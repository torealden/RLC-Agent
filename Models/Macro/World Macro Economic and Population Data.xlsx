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torem\Dropbox\RLC Documents\Models\Oilseeds\"/>
    </mc:Choice>
  </mc:AlternateContent>
  <xr:revisionPtr revIDLastSave="0" documentId="8_{7F9ECF88-6E32-4D0F-AAEF-0865E33808AC}" xr6:coauthVersionLast="47" xr6:coauthVersionMax="47" xr10:uidLastSave="{00000000-0000-0000-0000-000000000000}"/>
  <bookViews>
    <workbookView xWindow="735" yWindow="735" windowWidth="27240" windowHeight="14550" xr2:uid="{1A799B90-4A77-4B95-BA8F-E536FD67971B}"/>
  </bookViews>
  <sheets>
    <sheet name="Pivot" sheetId="1" r:id="rId1"/>
    <sheet name="Monthly Change Chart" sheetId="2" r:id="rId2"/>
    <sheet name="Food Expenditure Series" sheetId="3" r:id="rId3"/>
    <sheet name="Chart Data" sheetId="4" r:id="rId4"/>
    <sheet name="quarterly series" sheetId="5" r:id="rId5"/>
    <sheet name="Chart1" sheetId="6" r:id="rId6"/>
    <sheet name="Chart2" sheetId="7" r:id="rId7"/>
    <sheet name="World Macro Links" sheetId="8" r:id="rId8"/>
    <sheet name="Canadian GDP" sheetId="9" r:id="rId9"/>
    <sheet name="Canada Population" sheetId="10" r:id="rId10"/>
    <sheet name="Mexico GDP" sheetId="11" r:id="rId11"/>
    <sheet name="Mexico Population" sheetId="12" r:id="rId12"/>
  </sheets>
  <externalReferences>
    <externalReference r:id="rId13"/>
    <externalReference r:id="rId14"/>
  </externalReference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Scatter">"Scatter"</definedName>
    <definedName name="Series">"Series"</definedName>
    <definedName name="Stripe">"Stripe"</definedName>
    <definedName name="Table">"Table"</definedName>
    <definedName name="TreeMap">"TreeMap"</definedName>
  </definedNames>
  <calcPr calcId="191029"/>
  <pivotCaches>
    <pivotCache cacheId="0"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2" l="1"/>
  <c r="C43" i="11"/>
  <c r="C42" i="1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D13" i="11"/>
  <c r="E13" i="11" s="1"/>
  <c r="C13" i="11"/>
  <c r="D12" i="11"/>
  <c r="E12" i="11" s="1"/>
  <c r="F12" i="11" s="1"/>
  <c r="C12" i="11"/>
  <c r="D11" i="11"/>
  <c r="E11" i="11" s="1"/>
  <c r="F11" i="11" s="1"/>
  <c r="C11" i="11"/>
  <c r="F10" i="11"/>
  <c r="E10" i="11"/>
  <c r="D10" i="11"/>
  <c r="C10" i="11"/>
  <c r="D9" i="11"/>
  <c r="E9" i="11" s="1"/>
  <c r="C9" i="11"/>
  <c r="D8" i="11"/>
  <c r="E8" i="11" s="1"/>
  <c r="C8" i="11"/>
  <c r="D7" i="11"/>
  <c r="E7" i="11" s="1"/>
  <c r="C7" i="11"/>
  <c r="D6" i="11"/>
  <c r="E6" i="11" s="1"/>
  <c r="C6" i="11"/>
  <c r="D5" i="11"/>
  <c r="E5" i="11" s="1"/>
  <c r="F5" i="11" s="1"/>
  <c r="C5" i="11"/>
  <c r="D4" i="11"/>
  <c r="E4" i="11" s="1"/>
  <c r="C4" i="11"/>
  <c r="E23" i="9"/>
  <c r="E22" i="9"/>
  <c r="E21" i="9"/>
  <c r="E20" i="9"/>
  <c r="E19" i="9"/>
  <c r="E18" i="9"/>
  <c r="E17" i="9"/>
  <c r="E16" i="9"/>
  <c r="E15" i="9"/>
  <c r="E14" i="9"/>
  <c r="E13" i="9"/>
  <c r="E12" i="9"/>
  <c r="E11" i="9"/>
  <c r="E10" i="9"/>
  <c r="E9" i="9"/>
  <c r="E8" i="9"/>
  <c r="C8" i="9"/>
  <c r="B8" i="9"/>
  <c r="B9" i="9" s="1"/>
  <c r="B10" i="9" s="1"/>
  <c r="E7" i="9"/>
  <c r="C7" i="9"/>
  <c r="E6" i="9"/>
  <c r="C6" i="9"/>
  <c r="E5" i="9"/>
  <c r="C5" i="9"/>
  <c r="C4" i="9"/>
  <c r="AK84" i="5"/>
  <c r="AK85" i="5" s="1"/>
  <c r="AK86" i="5" s="1"/>
  <c r="AK87" i="5" s="1"/>
  <c r="AK88" i="5" s="1"/>
  <c r="AK89" i="5" s="1"/>
  <c r="AK90" i="5" s="1"/>
  <c r="AK91" i="5" s="1"/>
  <c r="AK92" i="5" s="1"/>
  <c r="AK93" i="5" s="1"/>
  <c r="AK94" i="5" s="1"/>
  <c r="AK95" i="5" s="1"/>
  <c r="AK96" i="5" s="1"/>
  <c r="AK97" i="5" s="1"/>
  <c r="AK98" i="5" s="1"/>
  <c r="AK99" i="5" s="1"/>
  <c r="AK100" i="5" s="1"/>
  <c r="AK101" i="5" s="1"/>
  <c r="AK102" i="5" s="1"/>
  <c r="AK103" i="5" s="1"/>
  <c r="AK104" i="5" s="1"/>
  <c r="AK105" i="5" s="1"/>
  <c r="AK106" i="5" s="1"/>
  <c r="AK107" i="5" s="1"/>
  <c r="AK108" i="5" s="1"/>
  <c r="AK109" i="5" s="1"/>
  <c r="AK110" i="5" s="1"/>
  <c r="AK111" i="5" s="1"/>
  <c r="AK112" i="5" s="1"/>
  <c r="AK113" i="5" s="1"/>
  <c r="AK114" i="5" s="1"/>
  <c r="AK115" i="5" s="1"/>
  <c r="AK116" i="5" s="1"/>
  <c r="AK117" i="5" s="1"/>
  <c r="AK118" i="5" s="1"/>
  <c r="AK119" i="5" s="1"/>
  <c r="AK120" i="5" s="1"/>
  <c r="AK121" i="5" s="1"/>
  <c r="AK122" i="5" s="1"/>
  <c r="AK123" i="5" s="1"/>
  <c r="AK124" i="5" s="1"/>
  <c r="AK125" i="5" s="1"/>
  <c r="AK126" i="5" s="1"/>
  <c r="AK127" i="5" s="1"/>
  <c r="AK128" i="5" s="1"/>
  <c r="AK129" i="5" s="1"/>
  <c r="AK130" i="5" s="1"/>
  <c r="AK131" i="5" s="1"/>
  <c r="AK132" i="5" s="1"/>
  <c r="AK133" i="5" s="1"/>
  <c r="AK134" i="5" s="1"/>
  <c r="AK135" i="5" s="1"/>
  <c r="AK136" i="5" s="1"/>
  <c r="AK137" i="5" s="1"/>
  <c r="AK138" i="5" s="1"/>
  <c r="AK139" i="5" s="1"/>
  <c r="AK140" i="5" s="1"/>
  <c r="AK141" i="5" s="1"/>
  <c r="AK83" i="5"/>
  <c r="AK82" i="5"/>
  <c r="FM5" i="5"/>
  <c r="FL5" i="5"/>
  <c r="FK5" i="5"/>
  <c r="FJ5" i="5"/>
  <c r="FI5" i="5"/>
  <c r="FH5" i="5"/>
  <c r="FG5" i="5"/>
  <c r="FF5" i="5"/>
  <c r="FE5" i="5"/>
  <c r="FD5" i="5"/>
  <c r="FC5" i="5"/>
  <c r="FB5" i="5"/>
  <c r="FA5" i="5"/>
  <c r="EZ5" i="5"/>
  <c r="EY5" i="5"/>
  <c r="EX5" i="5"/>
  <c r="EW5" i="5"/>
  <c r="EV5" i="5"/>
  <c r="EU5" i="5"/>
  <c r="ET5" i="5"/>
  <c r="ES5" i="5"/>
  <c r="ER5" i="5"/>
  <c r="EQ5" i="5"/>
  <c r="EP5" i="5"/>
  <c r="EO5" i="5"/>
  <c r="EN5" i="5"/>
  <c r="EM5" i="5"/>
  <c r="EL5" i="5"/>
  <c r="EK5" i="5"/>
  <c r="EJ5" i="5"/>
  <c r="EI5" i="5"/>
  <c r="EH5" i="5"/>
  <c r="EG5" i="5"/>
  <c r="EF5" i="5"/>
  <c r="EE5" i="5"/>
  <c r="ED5" i="5"/>
  <c r="EC5" i="5"/>
  <c r="EB5" i="5"/>
  <c r="EA5" i="5"/>
  <c r="DZ5" i="5"/>
  <c r="DY5" i="5"/>
  <c r="DX5" i="5"/>
  <c r="DW5" i="5"/>
  <c r="DV5" i="5"/>
  <c r="DU5" i="5"/>
  <c r="DT5" i="5"/>
  <c r="DS5" i="5"/>
  <c r="DR5" i="5"/>
  <c r="DQ5" i="5"/>
  <c r="DP5" i="5"/>
  <c r="DO5" i="5"/>
  <c r="DN5" i="5"/>
  <c r="DM5" i="5"/>
  <c r="DL5" i="5"/>
  <c r="DK5" i="5"/>
  <c r="DJ5" i="5"/>
  <c r="DI5" i="5"/>
  <c r="DH5" i="5"/>
  <c r="DG5" i="5"/>
  <c r="DF5" i="5"/>
  <c r="DE5" i="5"/>
  <c r="DD5" i="5"/>
  <c r="DC5" i="5"/>
  <c r="DB5" i="5"/>
  <c r="DA5" i="5"/>
  <c r="CZ5" i="5"/>
  <c r="CY5" i="5"/>
  <c r="CX5" i="5"/>
  <c r="CW5" i="5"/>
  <c r="CV5" i="5"/>
  <c r="CU5" i="5"/>
  <c r="CT5" i="5"/>
  <c r="CS5" i="5"/>
  <c r="CR5" i="5"/>
  <c r="CQ5" i="5"/>
  <c r="CP5" i="5"/>
  <c r="CO5" i="5"/>
  <c r="CN5" i="5"/>
  <c r="CM5" i="5"/>
  <c r="CL5" i="5"/>
  <c r="CK5" i="5"/>
  <c r="CJ5" i="5"/>
  <c r="CI5" i="5"/>
  <c r="CH5" i="5"/>
  <c r="CG5" i="5"/>
  <c r="CF5" i="5"/>
  <c r="CE5" i="5"/>
  <c r="CD5" i="5"/>
  <c r="CC5" i="5"/>
  <c r="CB5" i="5"/>
  <c r="CA5" i="5"/>
  <c r="BZ5" i="5"/>
  <c r="BY5" i="5"/>
  <c r="BX5" i="5"/>
  <c r="BW5" i="5"/>
  <c r="BV5" i="5"/>
  <c r="BU5" i="5"/>
  <c r="BT5" i="5"/>
  <c r="BS5" i="5"/>
  <c r="BR5" i="5"/>
  <c r="BQ5" i="5"/>
  <c r="BP5" i="5"/>
  <c r="BO5" i="5"/>
  <c r="BN5" i="5"/>
  <c r="BM5" i="5"/>
  <c r="BL5" i="5"/>
  <c r="BK5" i="5"/>
  <c r="BJ5" i="5"/>
  <c r="BI5" i="5"/>
  <c r="BH5" i="5"/>
  <c r="BG5" i="5"/>
  <c r="BF5" i="5"/>
  <c r="BE5" i="5"/>
  <c r="BD5" i="5"/>
  <c r="BC5" i="5"/>
  <c r="BB5" i="5"/>
  <c r="BA5" i="5"/>
  <c r="AZ5" i="5"/>
  <c r="AY5" i="5"/>
  <c r="AX5" i="5"/>
  <c r="AW5" i="5"/>
  <c r="AV5" i="5"/>
  <c r="AU5" i="5"/>
  <c r="AT5" i="5"/>
  <c r="AS5" i="5"/>
  <c r="AR5" i="5"/>
  <c r="AQ5" i="5"/>
  <c r="AP5" i="5"/>
  <c r="AO5" i="5"/>
  <c r="AN5" i="5"/>
  <c r="AM5" i="5"/>
  <c r="AK5" i="5"/>
  <c r="AJ5" i="5"/>
  <c r="AI5" i="5"/>
  <c r="AH5" i="5"/>
  <c r="AG5" i="5"/>
  <c r="AF5" i="5"/>
  <c r="AE5" i="5"/>
  <c r="AD5" i="5"/>
  <c r="AC5" i="5"/>
  <c r="AB5" i="5"/>
  <c r="AA5" i="5"/>
  <c r="Z5" i="5"/>
  <c r="Y5" i="5"/>
  <c r="X5" i="5"/>
  <c r="W5" i="5"/>
  <c r="V5" i="5"/>
  <c r="U5" i="5"/>
  <c r="T5" i="5"/>
  <c r="S5" i="5"/>
  <c r="R5" i="5"/>
  <c r="Q5" i="5"/>
  <c r="P5" i="5"/>
  <c r="O5" i="5"/>
  <c r="N5" i="5"/>
  <c r="M5" i="5"/>
  <c r="L5" i="5"/>
  <c r="K5" i="5"/>
  <c r="J5" i="5"/>
  <c r="I5" i="5"/>
  <c r="H5" i="5"/>
  <c r="G5" i="5"/>
  <c r="F5" i="5"/>
  <c r="E5" i="5"/>
  <c r="D5" i="5"/>
  <c r="C5" i="5"/>
  <c r="B5" i="5"/>
  <c r="M155" i="4"/>
  <c r="L155" i="4"/>
  <c r="M154" i="4"/>
  <c r="L154" i="4"/>
  <c r="K154" i="4"/>
  <c r="K155" i="4" s="1"/>
  <c r="J154" i="4"/>
  <c r="J155" i="4" s="1"/>
  <c r="I154" i="4"/>
  <c r="I155" i="4" s="1"/>
  <c r="H154" i="4"/>
  <c r="H155" i="4" s="1"/>
  <c r="G154" i="4"/>
  <c r="G155" i="4" s="1"/>
  <c r="F154" i="4"/>
  <c r="F155" i="4" s="1"/>
  <c r="E154" i="4"/>
  <c r="E155" i="4" s="1"/>
  <c r="D154" i="4"/>
  <c r="D155" i="4" s="1"/>
  <c r="C154" i="4"/>
  <c r="C155" i="4" s="1"/>
  <c r="B154" i="4"/>
  <c r="B155" i="4" s="1"/>
  <c r="P135" i="4" a="1"/>
  <c r="P135" i="4" s="1"/>
  <c r="C126" i="4"/>
  <c r="B126" i="4"/>
  <c r="M97" i="4"/>
  <c r="M126" i="4" s="1"/>
  <c r="L97" i="4"/>
  <c r="L126" i="4" s="1"/>
  <c r="K97" i="4"/>
  <c r="K126" i="4" s="1"/>
  <c r="J97" i="4"/>
  <c r="J126" i="4" s="1"/>
  <c r="I97" i="4"/>
  <c r="I126" i="4" s="1"/>
  <c r="H97" i="4"/>
  <c r="H126" i="4" s="1"/>
  <c r="G97" i="4"/>
  <c r="G126" i="4" s="1"/>
  <c r="F97" i="4"/>
  <c r="F126" i="4" s="1"/>
  <c r="E97" i="4"/>
  <c r="E126" i="4" s="1"/>
  <c r="D97" i="4"/>
  <c r="D126" i="4" s="1"/>
  <c r="C97" i="4"/>
  <c r="B97" i="4"/>
  <c r="M70" i="4"/>
  <c r="L70" i="4"/>
  <c r="K70" i="4"/>
  <c r="J70" i="4"/>
  <c r="I70" i="4"/>
  <c r="H70" i="4"/>
  <c r="G70" i="4"/>
  <c r="F70" i="4"/>
  <c r="E70" i="4"/>
  <c r="D70" i="4"/>
  <c r="C70" i="4"/>
  <c r="B70" i="4"/>
  <c r="M67" i="4"/>
  <c r="L67" i="4"/>
  <c r="K67" i="4"/>
  <c r="F67" i="4"/>
  <c r="M66" i="4"/>
  <c r="L66" i="4"/>
  <c r="K66" i="4"/>
  <c r="J66" i="4"/>
  <c r="I66" i="4"/>
  <c r="H66" i="4"/>
  <c r="G66" i="4"/>
  <c r="F66" i="4"/>
  <c r="E66" i="4"/>
  <c r="D66" i="4"/>
  <c r="C66" i="4"/>
  <c r="B66" i="4"/>
  <c r="M65" i="4"/>
  <c r="L65" i="4"/>
  <c r="K65" i="4"/>
  <c r="J65" i="4"/>
  <c r="I65" i="4"/>
  <c r="H65" i="4"/>
  <c r="G65" i="4"/>
  <c r="F65" i="4"/>
  <c r="E65" i="4"/>
  <c r="D65" i="4"/>
  <c r="C65" i="4"/>
  <c r="B65" i="4"/>
  <c r="M64" i="4"/>
  <c r="L64" i="4"/>
  <c r="K64" i="4"/>
  <c r="J64" i="4"/>
  <c r="J67" i="4" s="1"/>
  <c r="I64" i="4"/>
  <c r="I67" i="4" s="1"/>
  <c r="H64" i="4"/>
  <c r="H67" i="4" s="1"/>
  <c r="G64" i="4"/>
  <c r="G67" i="4" s="1"/>
  <c r="F64" i="4"/>
  <c r="E64" i="4"/>
  <c r="E67" i="4" s="1"/>
  <c r="D64" i="4"/>
  <c r="D67" i="4" s="1"/>
  <c r="C64" i="4"/>
  <c r="C67" i="4" s="1"/>
  <c r="B64" i="4"/>
  <c r="B67" i="4" s="1"/>
  <c r="M36" i="4"/>
  <c r="L36" i="4"/>
  <c r="K36" i="4"/>
  <c r="J36" i="4"/>
  <c r="I36" i="4"/>
  <c r="H36" i="4"/>
  <c r="G36" i="4"/>
  <c r="F36" i="4"/>
  <c r="E36" i="4"/>
  <c r="D36" i="4"/>
  <c r="C36" i="4"/>
  <c r="B36" i="4"/>
  <c r="M33" i="4"/>
  <c r="L33" i="4"/>
  <c r="K33" i="4"/>
  <c r="J33" i="4"/>
  <c r="I33" i="4"/>
  <c r="H33" i="4"/>
  <c r="G33" i="4"/>
  <c r="F33" i="4"/>
  <c r="E33" i="4"/>
  <c r="M32" i="4"/>
  <c r="L32" i="4"/>
  <c r="K32" i="4"/>
  <c r="J32" i="4"/>
  <c r="I32" i="4"/>
  <c r="H32" i="4"/>
  <c r="G32" i="4"/>
  <c r="F32" i="4"/>
  <c r="E32" i="4"/>
  <c r="D32" i="4"/>
  <c r="C32" i="4"/>
  <c r="B32" i="4"/>
  <c r="M31" i="4"/>
  <c r="L31" i="4"/>
  <c r="K31" i="4"/>
  <c r="J31" i="4"/>
  <c r="I31" i="4"/>
  <c r="H31" i="4"/>
  <c r="G31" i="4"/>
  <c r="F31" i="4"/>
  <c r="E31" i="4"/>
  <c r="D31" i="4"/>
  <c r="C31" i="4"/>
  <c r="B31" i="4"/>
  <c r="M30" i="4"/>
  <c r="L30" i="4"/>
  <c r="K30" i="4"/>
  <c r="J30" i="4"/>
  <c r="I30" i="4"/>
  <c r="H30" i="4"/>
  <c r="G30" i="4"/>
  <c r="F30" i="4"/>
  <c r="E30" i="4"/>
  <c r="D30" i="4"/>
  <c r="D33" i="4" s="1"/>
  <c r="C30" i="4"/>
  <c r="C33" i="4" s="1"/>
  <c r="B30" i="4"/>
  <c r="B33" i="4" s="1"/>
  <c r="Q353" i="3"/>
  <c r="P353" i="3"/>
  <c r="O353" i="3"/>
  <c r="Q352" i="3"/>
  <c r="P352" i="3"/>
  <c r="O352" i="3"/>
  <c r="Q351" i="3"/>
  <c r="P351" i="3"/>
  <c r="O351" i="3"/>
  <c r="Q350" i="3"/>
  <c r="P350" i="3"/>
  <c r="O350" i="3"/>
  <c r="Q349" i="3"/>
  <c r="P349" i="3"/>
  <c r="O349" i="3"/>
  <c r="Q348" i="3"/>
  <c r="P348" i="3"/>
  <c r="O348" i="3"/>
  <c r="Q347" i="3"/>
  <c r="P347" i="3"/>
  <c r="O347" i="3"/>
  <c r="Q346" i="3"/>
  <c r="P346" i="3"/>
  <c r="O346" i="3"/>
  <c r="Q345" i="3"/>
  <c r="P345" i="3"/>
  <c r="O345" i="3"/>
  <c r="Q344" i="3"/>
  <c r="P344" i="3"/>
  <c r="O344" i="3"/>
  <c r="Q343" i="3"/>
  <c r="P343" i="3"/>
  <c r="O343" i="3"/>
  <c r="D343" i="3"/>
  <c r="G343" i="3" s="1"/>
  <c r="Q342" i="3"/>
  <c r="P342" i="3"/>
  <c r="O342" i="3"/>
  <c r="D342" i="3"/>
  <c r="G342" i="3" s="1"/>
  <c r="Q341" i="3"/>
  <c r="P341" i="3"/>
  <c r="O341" i="3"/>
  <c r="N341" i="3"/>
  <c r="L341" i="3"/>
  <c r="J341" i="3"/>
  <c r="I341" i="3"/>
  <c r="N340" i="3"/>
  <c r="L340" i="3"/>
  <c r="J340" i="3"/>
  <c r="I340" i="3"/>
  <c r="N339" i="3"/>
  <c r="L339" i="3"/>
  <c r="J339" i="3"/>
  <c r="I339" i="3"/>
  <c r="N338" i="3"/>
  <c r="L338" i="3"/>
  <c r="J338" i="3"/>
  <c r="I338" i="3"/>
  <c r="N337" i="3"/>
  <c r="L337" i="3"/>
  <c r="J337" i="3"/>
  <c r="I337" i="3"/>
  <c r="N336" i="3"/>
  <c r="L336" i="3"/>
  <c r="J336" i="3"/>
  <c r="I336" i="3"/>
  <c r="N335" i="3"/>
  <c r="L335" i="3"/>
  <c r="J335" i="3"/>
  <c r="I335" i="3"/>
  <c r="N334" i="3"/>
  <c r="L334" i="3"/>
  <c r="J334" i="3"/>
  <c r="I334" i="3"/>
  <c r="N333" i="3"/>
  <c r="L333" i="3"/>
  <c r="J333" i="3"/>
  <c r="I333" i="3"/>
  <c r="N332" i="3"/>
  <c r="L332" i="3"/>
  <c r="J332" i="3"/>
  <c r="I332" i="3"/>
  <c r="N331" i="3"/>
  <c r="L331" i="3"/>
  <c r="J331" i="3"/>
  <c r="I331" i="3"/>
  <c r="N330" i="3"/>
  <c r="L330" i="3"/>
  <c r="J330" i="3"/>
  <c r="I330" i="3"/>
  <c r="S329" i="3"/>
  <c r="R329" i="3"/>
  <c r="N329" i="3"/>
  <c r="L329" i="3"/>
  <c r="J329" i="3"/>
  <c r="I329" i="3"/>
  <c r="S328" i="3"/>
  <c r="R328" i="3"/>
  <c r="N328" i="3"/>
  <c r="L328" i="3"/>
  <c r="J328" i="3"/>
  <c r="I328" i="3"/>
  <c r="S327" i="3"/>
  <c r="R327" i="3"/>
  <c r="N327" i="3"/>
  <c r="L327" i="3"/>
  <c r="J327" i="3"/>
  <c r="I327" i="3"/>
  <c r="S326" i="3"/>
  <c r="R326" i="3"/>
  <c r="N326" i="3"/>
  <c r="L326" i="3"/>
  <c r="J326" i="3"/>
  <c r="I326" i="3"/>
  <c r="S325" i="3"/>
  <c r="R325" i="3"/>
  <c r="N325" i="3"/>
  <c r="L325" i="3"/>
  <c r="J325" i="3"/>
  <c r="I325" i="3"/>
  <c r="S324" i="3"/>
  <c r="R324" i="3"/>
  <c r="N324" i="3"/>
  <c r="L324" i="3"/>
  <c r="J324" i="3"/>
  <c r="I324" i="3"/>
  <c r="S323" i="3"/>
  <c r="R323" i="3"/>
  <c r="N323" i="3"/>
  <c r="L323" i="3"/>
  <c r="J323" i="3"/>
  <c r="I323" i="3"/>
  <c r="S322" i="3"/>
  <c r="R322" i="3"/>
  <c r="N322" i="3"/>
  <c r="L322" i="3"/>
  <c r="J322" i="3"/>
  <c r="I322" i="3"/>
  <c r="S321" i="3"/>
  <c r="R321" i="3"/>
  <c r="N321" i="3"/>
  <c r="L321" i="3"/>
  <c r="J321" i="3"/>
  <c r="I321" i="3"/>
  <c r="S320" i="3"/>
  <c r="R320" i="3"/>
  <c r="N320" i="3"/>
  <c r="L320" i="3"/>
  <c r="J320" i="3"/>
  <c r="I320" i="3"/>
  <c r="S319" i="3"/>
  <c r="R319" i="3"/>
  <c r="N319" i="3"/>
  <c r="L319" i="3"/>
  <c r="J319" i="3"/>
  <c r="I319" i="3"/>
  <c r="S318" i="3"/>
  <c r="R318" i="3"/>
  <c r="N318" i="3"/>
  <c r="L318" i="3"/>
  <c r="J318" i="3"/>
  <c r="I318" i="3"/>
  <c r="S317" i="3"/>
  <c r="R317" i="3"/>
  <c r="N317" i="3"/>
  <c r="L317" i="3"/>
  <c r="J317" i="3"/>
  <c r="I317" i="3"/>
  <c r="S316" i="3"/>
  <c r="R316" i="3"/>
  <c r="N316" i="3"/>
  <c r="L316" i="3"/>
  <c r="J316" i="3"/>
  <c r="I316" i="3"/>
  <c r="S315" i="3"/>
  <c r="R315" i="3"/>
  <c r="N315" i="3"/>
  <c r="L315" i="3"/>
  <c r="J315" i="3"/>
  <c r="I315" i="3"/>
  <c r="S314" i="3"/>
  <c r="R314" i="3"/>
  <c r="N314" i="3"/>
  <c r="L314" i="3"/>
  <c r="J314" i="3"/>
  <c r="I314" i="3"/>
  <c r="S313" i="3"/>
  <c r="R313" i="3"/>
  <c r="N313" i="3"/>
  <c r="L313" i="3"/>
  <c r="J313" i="3"/>
  <c r="I313" i="3"/>
  <c r="S312" i="3"/>
  <c r="R312" i="3"/>
  <c r="N312" i="3"/>
  <c r="L312" i="3"/>
  <c r="J312" i="3"/>
  <c r="I312" i="3"/>
  <c r="S311" i="3"/>
  <c r="R311" i="3"/>
  <c r="N311" i="3"/>
  <c r="L311" i="3"/>
  <c r="J311" i="3"/>
  <c r="I311" i="3"/>
  <c r="S310" i="3"/>
  <c r="R310" i="3"/>
  <c r="N310" i="3"/>
  <c r="L310" i="3"/>
  <c r="J310" i="3"/>
  <c r="I310" i="3"/>
  <c r="S309" i="3"/>
  <c r="R309" i="3"/>
  <c r="N309" i="3"/>
  <c r="L309" i="3"/>
  <c r="J309" i="3"/>
  <c r="I309" i="3"/>
  <c r="S308" i="3"/>
  <c r="R308" i="3"/>
  <c r="N308" i="3"/>
  <c r="L308" i="3"/>
  <c r="J308" i="3"/>
  <c r="I308" i="3"/>
  <c r="S307" i="3"/>
  <c r="R307" i="3"/>
  <c r="N307" i="3"/>
  <c r="L307" i="3"/>
  <c r="J307" i="3"/>
  <c r="I307" i="3"/>
  <c r="S306" i="3"/>
  <c r="R306" i="3"/>
  <c r="N306" i="3"/>
  <c r="L306" i="3"/>
  <c r="J306" i="3"/>
  <c r="I306" i="3"/>
  <c r="S305" i="3"/>
  <c r="R305" i="3"/>
  <c r="N305" i="3"/>
  <c r="L305" i="3"/>
  <c r="J305" i="3"/>
  <c r="I305" i="3"/>
  <c r="S304" i="3"/>
  <c r="R304" i="3"/>
  <c r="N304" i="3"/>
  <c r="L304" i="3"/>
  <c r="J304" i="3"/>
  <c r="I304" i="3"/>
  <c r="S303" i="3"/>
  <c r="R303" i="3"/>
  <c r="N303" i="3"/>
  <c r="L303" i="3"/>
  <c r="J303" i="3"/>
  <c r="I303" i="3"/>
  <c r="S302" i="3"/>
  <c r="R302" i="3"/>
  <c r="N302" i="3"/>
  <c r="L302" i="3"/>
  <c r="J302" i="3"/>
  <c r="I302" i="3"/>
  <c r="S301" i="3"/>
  <c r="R301" i="3"/>
  <c r="N301" i="3"/>
  <c r="L301" i="3"/>
  <c r="J301" i="3"/>
  <c r="I301" i="3"/>
  <c r="S300" i="3"/>
  <c r="R300" i="3"/>
  <c r="N300" i="3"/>
  <c r="L300" i="3"/>
  <c r="J300" i="3"/>
  <c r="I300" i="3"/>
  <c r="AE299" i="3"/>
  <c r="AC299" i="3"/>
  <c r="AA299" i="3"/>
  <c r="S299" i="3"/>
  <c r="R299" i="3"/>
  <c r="N299" i="3"/>
  <c r="L299" i="3"/>
  <c r="J299" i="3"/>
  <c r="I299" i="3"/>
  <c r="AE298" i="3"/>
  <c r="AC298" i="3"/>
  <c r="AA298" i="3"/>
  <c r="S298" i="3"/>
  <c r="R298" i="3"/>
  <c r="N298" i="3"/>
  <c r="L298" i="3"/>
  <c r="J298" i="3"/>
  <c r="I298" i="3"/>
  <c r="AE297" i="3"/>
  <c r="AC297" i="3"/>
  <c r="AA297" i="3"/>
  <c r="S297" i="3"/>
  <c r="R297" i="3"/>
  <c r="N297" i="3"/>
  <c r="L297" i="3"/>
  <c r="J297" i="3"/>
  <c r="I297" i="3"/>
  <c r="AE296" i="3"/>
  <c r="AC296" i="3"/>
  <c r="AA296" i="3"/>
  <c r="S296" i="3"/>
  <c r="R296" i="3"/>
  <c r="N296" i="3"/>
  <c r="L296" i="3"/>
  <c r="J296" i="3"/>
  <c r="I296" i="3"/>
  <c r="AE295" i="3"/>
  <c r="AC295" i="3"/>
  <c r="AA295" i="3"/>
  <c r="S295" i="3"/>
  <c r="R295" i="3"/>
  <c r="N295" i="3"/>
  <c r="L295" i="3"/>
  <c r="J295" i="3"/>
  <c r="I295" i="3"/>
  <c r="AE294" i="3"/>
  <c r="AC294" i="3"/>
  <c r="AA294" i="3"/>
  <c r="S294" i="3"/>
  <c r="R294" i="3"/>
  <c r="N294" i="3"/>
  <c r="L294" i="3"/>
  <c r="J294" i="3"/>
  <c r="I294" i="3"/>
  <c r="S293" i="3"/>
  <c r="R293" i="3"/>
  <c r="N293" i="3"/>
  <c r="L293" i="3"/>
  <c r="J293" i="3"/>
  <c r="I293" i="3"/>
  <c r="S292" i="3"/>
  <c r="R292" i="3"/>
  <c r="N292" i="3"/>
  <c r="L292" i="3"/>
  <c r="J292" i="3"/>
  <c r="I292" i="3"/>
  <c r="S291" i="3"/>
  <c r="R291" i="3"/>
  <c r="N291" i="3"/>
  <c r="L291" i="3"/>
  <c r="J291" i="3"/>
  <c r="I291" i="3"/>
  <c r="S290" i="3"/>
  <c r="R290" i="3"/>
  <c r="L290" i="3"/>
  <c r="J290" i="3"/>
  <c r="I290" i="3"/>
  <c r="S289" i="3"/>
  <c r="R289" i="3"/>
  <c r="L289" i="3"/>
  <c r="J289" i="3"/>
  <c r="I289" i="3"/>
  <c r="S288" i="3"/>
  <c r="R288" i="3"/>
  <c r="L288" i="3"/>
  <c r="J288" i="3"/>
  <c r="I288" i="3"/>
  <c r="S287" i="3"/>
  <c r="R287" i="3"/>
  <c r="L287" i="3"/>
  <c r="J287" i="3"/>
  <c r="I287" i="3"/>
  <c r="S286" i="3"/>
  <c r="R286" i="3"/>
  <c r="L286" i="3"/>
  <c r="J286" i="3"/>
  <c r="I286" i="3"/>
  <c r="S285" i="3"/>
  <c r="R285" i="3"/>
  <c r="L285" i="3"/>
  <c r="J285" i="3"/>
  <c r="I285" i="3"/>
  <c r="S284" i="3"/>
  <c r="R284" i="3"/>
  <c r="L284" i="3"/>
  <c r="J284" i="3"/>
  <c r="I284" i="3"/>
  <c r="S283" i="3"/>
  <c r="R283" i="3"/>
  <c r="L283" i="3"/>
  <c r="J283" i="3"/>
  <c r="I283" i="3"/>
  <c r="S282" i="3"/>
  <c r="R282" i="3"/>
  <c r="L282" i="3"/>
  <c r="J282" i="3"/>
  <c r="I282" i="3"/>
  <c r="S281" i="3"/>
  <c r="R281" i="3"/>
  <c r="L281" i="3"/>
  <c r="J281" i="3"/>
  <c r="I281" i="3"/>
  <c r="S280" i="3"/>
  <c r="R280" i="3"/>
  <c r="L280" i="3"/>
  <c r="J280" i="3"/>
  <c r="I280" i="3"/>
  <c r="S279" i="3"/>
  <c r="R279" i="3"/>
  <c r="L279" i="3"/>
  <c r="J279" i="3"/>
  <c r="I279" i="3"/>
  <c r="S278" i="3"/>
  <c r="R278" i="3"/>
  <c r="L278" i="3"/>
  <c r="J278" i="3"/>
  <c r="I278" i="3"/>
  <c r="S277" i="3"/>
  <c r="R277" i="3"/>
  <c r="L277" i="3"/>
  <c r="J277" i="3"/>
  <c r="I277" i="3"/>
  <c r="S276" i="3"/>
  <c r="R276" i="3"/>
  <c r="L276" i="3"/>
  <c r="J276" i="3"/>
  <c r="I276" i="3"/>
  <c r="S275" i="3"/>
  <c r="R275" i="3"/>
  <c r="L275" i="3"/>
  <c r="J275" i="3"/>
  <c r="I275" i="3"/>
  <c r="S274" i="3"/>
  <c r="R274" i="3"/>
  <c r="L274" i="3"/>
  <c r="J274" i="3"/>
  <c r="I274" i="3"/>
  <c r="S273" i="3"/>
  <c r="R273" i="3"/>
  <c r="L273" i="3"/>
  <c r="J273" i="3"/>
  <c r="I273" i="3"/>
  <c r="S272" i="3"/>
  <c r="R272" i="3"/>
  <c r="L272" i="3"/>
  <c r="J272" i="3"/>
  <c r="I272" i="3"/>
  <c r="S271" i="3"/>
  <c r="R271" i="3"/>
  <c r="L271" i="3"/>
  <c r="J271" i="3"/>
  <c r="I271" i="3"/>
  <c r="S270" i="3"/>
  <c r="R270" i="3"/>
  <c r="R330" i="3" s="1"/>
  <c r="L270" i="3"/>
  <c r="J270" i="3"/>
  <c r="I270" i="3"/>
  <c r="S269" i="3"/>
  <c r="R269" i="3"/>
  <c r="L269" i="3"/>
  <c r="J269" i="3"/>
  <c r="I269" i="3"/>
  <c r="S268" i="3"/>
  <c r="R268" i="3"/>
  <c r="L268" i="3"/>
  <c r="J268" i="3"/>
  <c r="I268" i="3"/>
  <c r="S267" i="3"/>
  <c r="R267" i="3"/>
  <c r="L267" i="3"/>
  <c r="J267" i="3"/>
  <c r="I267" i="3"/>
  <c r="S266" i="3"/>
  <c r="R266" i="3"/>
  <c r="L266" i="3"/>
  <c r="J266" i="3"/>
  <c r="I266" i="3"/>
  <c r="S265" i="3"/>
  <c r="R265" i="3"/>
  <c r="L265" i="3"/>
  <c r="J265" i="3"/>
  <c r="I265" i="3"/>
  <c r="S264" i="3"/>
  <c r="R264" i="3"/>
  <c r="L264" i="3"/>
  <c r="J264" i="3"/>
  <c r="I264" i="3"/>
  <c r="S263" i="3"/>
  <c r="R263" i="3"/>
  <c r="L263" i="3"/>
  <c r="J263" i="3"/>
  <c r="I263" i="3"/>
  <c r="S262" i="3"/>
  <c r="R262" i="3"/>
  <c r="L262" i="3"/>
  <c r="J262" i="3"/>
  <c r="I262" i="3"/>
  <c r="S261" i="3"/>
  <c r="R261" i="3"/>
  <c r="L261" i="3"/>
  <c r="J261" i="3"/>
  <c r="I261" i="3"/>
  <c r="S260" i="3"/>
  <c r="R260" i="3"/>
  <c r="L260" i="3"/>
  <c r="J260" i="3"/>
  <c r="I260" i="3"/>
  <c r="S259" i="3"/>
  <c r="R259" i="3"/>
  <c r="L259" i="3"/>
  <c r="J259" i="3"/>
  <c r="I259" i="3"/>
  <c r="S258" i="3"/>
  <c r="R258" i="3"/>
  <c r="L258" i="3"/>
  <c r="J258" i="3"/>
  <c r="I258" i="3"/>
  <c r="S257" i="3"/>
  <c r="R257" i="3"/>
  <c r="L257" i="3"/>
  <c r="J257" i="3"/>
  <c r="I257" i="3"/>
  <c r="S256" i="3"/>
  <c r="R256" i="3"/>
  <c r="L256" i="3"/>
  <c r="J256" i="3"/>
  <c r="I256" i="3"/>
  <c r="S255" i="3"/>
  <c r="R255" i="3"/>
  <c r="L255" i="3"/>
  <c r="J255" i="3"/>
  <c r="I255" i="3"/>
  <c r="S254" i="3"/>
  <c r="R254" i="3"/>
  <c r="L254" i="3"/>
  <c r="J254" i="3"/>
  <c r="I254" i="3"/>
  <c r="S253" i="3"/>
  <c r="R253" i="3"/>
  <c r="L253" i="3"/>
  <c r="J253" i="3"/>
  <c r="I253" i="3"/>
  <c r="S252" i="3"/>
  <c r="R252" i="3"/>
  <c r="L252" i="3"/>
  <c r="J252" i="3"/>
  <c r="I252" i="3"/>
  <c r="S251" i="3"/>
  <c r="R251" i="3"/>
  <c r="L251" i="3"/>
  <c r="J251" i="3"/>
  <c r="I251" i="3"/>
  <c r="S250" i="3"/>
  <c r="R250" i="3"/>
  <c r="L250" i="3"/>
  <c r="J250" i="3"/>
  <c r="I250" i="3"/>
  <c r="S249" i="3"/>
  <c r="R249" i="3"/>
  <c r="L249" i="3"/>
  <c r="J249" i="3"/>
  <c r="I249" i="3"/>
  <c r="S248" i="3"/>
  <c r="R248" i="3"/>
  <c r="L248" i="3"/>
  <c r="J248" i="3"/>
  <c r="I248" i="3"/>
  <c r="S247" i="3"/>
  <c r="R247" i="3"/>
  <c r="L247" i="3"/>
  <c r="J247" i="3"/>
  <c r="I247" i="3"/>
  <c r="S246" i="3"/>
  <c r="R246" i="3"/>
  <c r="L246" i="3"/>
  <c r="J246" i="3"/>
  <c r="I246" i="3"/>
  <c r="S245" i="3"/>
  <c r="R245" i="3"/>
  <c r="L245" i="3"/>
  <c r="J245" i="3"/>
  <c r="I245" i="3"/>
  <c r="S244" i="3"/>
  <c r="R244" i="3"/>
  <c r="L244" i="3"/>
  <c r="J244" i="3"/>
  <c r="I244" i="3"/>
  <c r="S243" i="3"/>
  <c r="R243" i="3"/>
  <c r="L243" i="3"/>
  <c r="J243" i="3"/>
  <c r="I243" i="3"/>
  <c r="S242" i="3"/>
  <c r="R242" i="3"/>
  <c r="L242" i="3"/>
  <c r="J242" i="3"/>
  <c r="I242" i="3"/>
  <c r="S241" i="3"/>
  <c r="R241" i="3"/>
  <c r="L241" i="3"/>
  <c r="J241" i="3"/>
  <c r="I241" i="3"/>
  <c r="S240" i="3"/>
  <c r="R240" i="3"/>
  <c r="L240" i="3"/>
  <c r="J240" i="3"/>
  <c r="I240" i="3"/>
  <c r="S239" i="3"/>
  <c r="R239" i="3"/>
  <c r="L239" i="3"/>
  <c r="J239" i="3"/>
  <c r="I239" i="3"/>
  <c r="S238" i="3"/>
  <c r="R238" i="3"/>
  <c r="L238" i="3"/>
  <c r="J238" i="3"/>
  <c r="I238" i="3"/>
  <c r="S237" i="3"/>
  <c r="R237" i="3"/>
  <c r="L237" i="3"/>
  <c r="J237" i="3"/>
  <c r="I237" i="3"/>
  <c r="S236" i="3"/>
  <c r="R236" i="3"/>
  <c r="L236" i="3"/>
  <c r="J236" i="3"/>
  <c r="I236" i="3"/>
  <c r="S235" i="3"/>
  <c r="R235" i="3"/>
  <c r="L235" i="3"/>
  <c r="J235" i="3"/>
  <c r="I235" i="3"/>
  <c r="S234" i="3"/>
  <c r="R234" i="3"/>
  <c r="L234" i="3"/>
  <c r="J234" i="3"/>
  <c r="I234" i="3"/>
  <c r="S233" i="3"/>
  <c r="R233" i="3"/>
  <c r="L233" i="3"/>
  <c r="J233" i="3"/>
  <c r="I233" i="3"/>
  <c r="S232" i="3"/>
  <c r="R232" i="3"/>
  <c r="L232" i="3"/>
  <c r="J232" i="3"/>
  <c r="I232" i="3"/>
  <c r="S231" i="3"/>
  <c r="R231" i="3"/>
  <c r="L231" i="3"/>
  <c r="J231" i="3"/>
  <c r="I231" i="3"/>
  <c r="S230" i="3"/>
  <c r="R230" i="3"/>
  <c r="L230" i="3"/>
  <c r="J230" i="3"/>
  <c r="I230" i="3"/>
  <c r="S229" i="3"/>
  <c r="R229" i="3"/>
  <c r="L229" i="3"/>
  <c r="J229" i="3"/>
  <c r="I229" i="3"/>
  <c r="S228" i="3"/>
  <c r="R228" i="3"/>
  <c r="L228" i="3"/>
  <c r="J228" i="3"/>
  <c r="I228" i="3"/>
  <c r="S227" i="3"/>
  <c r="R227" i="3"/>
  <c r="L227" i="3"/>
  <c r="J227" i="3"/>
  <c r="I227" i="3"/>
  <c r="S226" i="3"/>
  <c r="R226" i="3"/>
  <c r="L226" i="3"/>
  <c r="J226" i="3"/>
  <c r="I226" i="3"/>
  <c r="S225" i="3"/>
  <c r="R225" i="3"/>
  <c r="L225" i="3"/>
  <c r="J225" i="3"/>
  <c r="I225" i="3"/>
  <c r="S224" i="3"/>
  <c r="R224" i="3"/>
  <c r="L224" i="3"/>
  <c r="J224" i="3"/>
  <c r="I224" i="3"/>
  <c r="S223" i="3"/>
  <c r="R223" i="3"/>
  <c r="L223" i="3"/>
  <c r="J223" i="3"/>
  <c r="I223" i="3"/>
  <c r="S222" i="3"/>
  <c r="R222" i="3"/>
  <c r="L222" i="3"/>
  <c r="J222" i="3"/>
  <c r="I222" i="3"/>
  <c r="S221" i="3"/>
  <c r="R221" i="3"/>
  <c r="L221" i="3"/>
  <c r="J221" i="3"/>
  <c r="I221" i="3"/>
  <c r="S220" i="3"/>
  <c r="R220" i="3"/>
  <c r="L220" i="3"/>
  <c r="J220" i="3"/>
  <c r="I220" i="3"/>
  <c r="S219" i="3"/>
  <c r="R219" i="3"/>
  <c r="L219" i="3"/>
  <c r="J219" i="3"/>
  <c r="I219" i="3"/>
  <c r="S218" i="3"/>
  <c r="R218" i="3"/>
  <c r="L218" i="3"/>
  <c r="J218" i="3"/>
  <c r="I218" i="3"/>
  <c r="S217" i="3"/>
  <c r="R217" i="3"/>
  <c r="L217" i="3"/>
  <c r="J217" i="3"/>
  <c r="I217" i="3"/>
  <c r="S216" i="3"/>
  <c r="R216" i="3"/>
  <c r="L216" i="3"/>
  <c r="J216" i="3"/>
  <c r="I216" i="3"/>
  <c r="S215" i="3"/>
  <c r="R215" i="3"/>
  <c r="L215" i="3"/>
  <c r="J215" i="3"/>
  <c r="I215" i="3"/>
  <c r="S214" i="3"/>
  <c r="R214" i="3"/>
  <c r="L214" i="3"/>
  <c r="J214" i="3"/>
  <c r="I214" i="3"/>
  <c r="S213" i="3"/>
  <c r="R213" i="3"/>
  <c r="L213" i="3"/>
  <c r="J213" i="3"/>
  <c r="I213" i="3"/>
  <c r="S212" i="3"/>
  <c r="R212" i="3"/>
  <c r="L212" i="3"/>
  <c r="J212" i="3"/>
  <c r="I212" i="3"/>
  <c r="S211" i="3"/>
  <c r="R211" i="3"/>
  <c r="L211" i="3"/>
  <c r="J211" i="3"/>
  <c r="I211" i="3"/>
  <c r="S210" i="3"/>
  <c r="R210" i="3"/>
  <c r="L210" i="3"/>
  <c r="J210" i="3"/>
  <c r="I210" i="3"/>
  <c r="S209" i="3"/>
  <c r="R209" i="3"/>
  <c r="L209" i="3"/>
  <c r="J209" i="3"/>
  <c r="I209" i="3"/>
  <c r="S208" i="3"/>
  <c r="R208" i="3"/>
  <c r="L208" i="3"/>
  <c r="J208" i="3"/>
  <c r="I208" i="3"/>
  <c r="S207" i="3"/>
  <c r="R207" i="3"/>
  <c r="L207" i="3"/>
  <c r="J207" i="3"/>
  <c r="I207" i="3"/>
  <c r="S206" i="3"/>
  <c r="R206" i="3"/>
  <c r="L206" i="3"/>
  <c r="J206" i="3"/>
  <c r="I206" i="3"/>
  <c r="S205" i="3"/>
  <c r="R205" i="3"/>
  <c r="L205" i="3"/>
  <c r="J205" i="3"/>
  <c r="I205" i="3"/>
  <c r="S204" i="3"/>
  <c r="R204" i="3"/>
  <c r="L204" i="3"/>
  <c r="J204" i="3"/>
  <c r="I204" i="3"/>
  <c r="S203" i="3"/>
  <c r="R203" i="3"/>
  <c r="L203" i="3"/>
  <c r="J203" i="3"/>
  <c r="I203" i="3"/>
  <c r="S202" i="3"/>
  <c r="R202" i="3"/>
  <c r="L202" i="3"/>
  <c r="J202" i="3"/>
  <c r="I202" i="3"/>
  <c r="S201" i="3"/>
  <c r="R201" i="3"/>
  <c r="L201" i="3"/>
  <c r="J201" i="3"/>
  <c r="I201" i="3"/>
  <c r="S200" i="3"/>
  <c r="R200" i="3"/>
  <c r="L200" i="3"/>
  <c r="J200" i="3"/>
  <c r="I200" i="3"/>
  <c r="S199" i="3"/>
  <c r="R199" i="3"/>
  <c r="L199" i="3"/>
  <c r="J199" i="3"/>
  <c r="I199" i="3"/>
  <c r="S198" i="3"/>
  <c r="R198" i="3"/>
  <c r="L198" i="3"/>
  <c r="J198" i="3"/>
  <c r="I198" i="3"/>
  <c r="S197" i="3"/>
  <c r="R197" i="3"/>
  <c r="L197" i="3"/>
  <c r="J197" i="3"/>
  <c r="I197" i="3"/>
  <c r="S196" i="3"/>
  <c r="R196" i="3"/>
  <c r="L196" i="3"/>
  <c r="J196" i="3"/>
  <c r="I196" i="3"/>
  <c r="S195" i="3"/>
  <c r="R195" i="3"/>
  <c r="L195" i="3"/>
  <c r="J195" i="3"/>
  <c r="I195" i="3"/>
  <c r="S194" i="3"/>
  <c r="R194" i="3"/>
  <c r="L194" i="3"/>
  <c r="J194" i="3"/>
  <c r="I194" i="3"/>
  <c r="S193" i="3"/>
  <c r="R193" i="3"/>
  <c r="L193" i="3"/>
  <c r="J193" i="3"/>
  <c r="I193" i="3"/>
  <c r="S192" i="3"/>
  <c r="R192" i="3"/>
  <c r="L192" i="3"/>
  <c r="J192" i="3"/>
  <c r="I192" i="3"/>
  <c r="S191" i="3"/>
  <c r="R191" i="3"/>
  <c r="L191" i="3"/>
  <c r="J191" i="3"/>
  <c r="I191" i="3"/>
  <c r="S190" i="3"/>
  <c r="R190" i="3"/>
  <c r="L190" i="3"/>
  <c r="J190" i="3"/>
  <c r="I190" i="3"/>
  <c r="S189" i="3"/>
  <c r="R189" i="3"/>
  <c r="L189" i="3"/>
  <c r="J189" i="3"/>
  <c r="I189" i="3"/>
  <c r="S188" i="3"/>
  <c r="R188" i="3"/>
  <c r="L188" i="3"/>
  <c r="J188" i="3"/>
  <c r="I188" i="3"/>
  <c r="S187" i="3"/>
  <c r="R187" i="3"/>
  <c r="L187" i="3"/>
  <c r="J187" i="3"/>
  <c r="I187" i="3"/>
  <c r="S186" i="3"/>
  <c r="R186" i="3"/>
  <c r="L186" i="3"/>
  <c r="J186" i="3"/>
  <c r="I186" i="3"/>
  <c r="S185" i="3"/>
  <c r="R185" i="3"/>
  <c r="L185" i="3"/>
  <c r="J185" i="3"/>
  <c r="I185" i="3"/>
  <c r="S184" i="3"/>
  <c r="R184" i="3"/>
  <c r="L184" i="3"/>
  <c r="J184" i="3"/>
  <c r="I184" i="3"/>
  <c r="S183" i="3"/>
  <c r="R183" i="3"/>
  <c r="L183" i="3"/>
  <c r="J183" i="3"/>
  <c r="I183" i="3"/>
  <c r="S182" i="3"/>
  <c r="R182" i="3"/>
  <c r="L182" i="3"/>
  <c r="J182" i="3"/>
  <c r="I182" i="3"/>
  <c r="S181" i="3"/>
  <c r="R181" i="3"/>
  <c r="L181" i="3"/>
  <c r="J181" i="3"/>
  <c r="I181" i="3"/>
  <c r="S180" i="3"/>
  <c r="R180" i="3"/>
  <c r="L180" i="3"/>
  <c r="J180" i="3"/>
  <c r="I180" i="3"/>
  <c r="S179" i="3"/>
  <c r="R179" i="3"/>
  <c r="L179" i="3"/>
  <c r="J179" i="3"/>
  <c r="I179" i="3"/>
  <c r="S178" i="3"/>
  <c r="R178" i="3"/>
  <c r="L178" i="3"/>
  <c r="J178" i="3"/>
  <c r="I178" i="3"/>
  <c r="S177" i="3"/>
  <c r="R177" i="3"/>
  <c r="L177" i="3"/>
  <c r="J177" i="3"/>
  <c r="I177" i="3"/>
  <c r="S176" i="3"/>
  <c r="R176" i="3"/>
  <c r="L176" i="3"/>
  <c r="J176" i="3"/>
  <c r="I176" i="3"/>
  <c r="S175" i="3"/>
  <c r="R175" i="3"/>
  <c r="L175" i="3"/>
  <c r="J175" i="3"/>
  <c r="I175" i="3"/>
  <c r="S174" i="3"/>
  <c r="R174" i="3"/>
  <c r="L174" i="3"/>
  <c r="J174" i="3"/>
  <c r="I174" i="3"/>
  <c r="S173" i="3"/>
  <c r="R173" i="3"/>
  <c r="L173" i="3"/>
  <c r="J173" i="3"/>
  <c r="I173" i="3"/>
  <c r="S172" i="3"/>
  <c r="R172" i="3"/>
  <c r="L172" i="3"/>
  <c r="J172" i="3"/>
  <c r="I172" i="3"/>
  <c r="S171" i="3"/>
  <c r="R171" i="3"/>
  <c r="L171" i="3"/>
  <c r="J171" i="3"/>
  <c r="I171" i="3"/>
  <c r="S170" i="3"/>
  <c r="R170" i="3"/>
  <c r="L170" i="3"/>
  <c r="J170" i="3"/>
  <c r="I170" i="3"/>
  <c r="S169" i="3"/>
  <c r="R169" i="3"/>
  <c r="L169" i="3"/>
  <c r="J169" i="3"/>
  <c r="I169" i="3"/>
  <c r="S168" i="3"/>
  <c r="R168" i="3"/>
  <c r="L168" i="3"/>
  <c r="J168" i="3"/>
  <c r="I168" i="3"/>
  <c r="S167" i="3"/>
  <c r="R167" i="3"/>
  <c r="L167" i="3"/>
  <c r="J167" i="3"/>
  <c r="I167" i="3"/>
  <c r="S166" i="3"/>
  <c r="R166" i="3"/>
  <c r="L166" i="3"/>
  <c r="J166" i="3"/>
  <c r="I166" i="3"/>
  <c r="S165" i="3"/>
  <c r="R165" i="3"/>
  <c r="L165" i="3"/>
  <c r="J165" i="3"/>
  <c r="I165" i="3"/>
  <c r="S164" i="3"/>
  <c r="R164" i="3"/>
  <c r="L164" i="3"/>
  <c r="J164" i="3"/>
  <c r="I164" i="3"/>
  <c r="S163" i="3"/>
  <c r="R163" i="3"/>
  <c r="L163" i="3"/>
  <c r="J163" i="3"/>
  <c r="I163" i="3"/>
  <c r="S162" i="3"/>
  <c r="R162" i="3"/>
  <c r="L162" i="3"/>
  <c r="J162" i="3"/>
  <c r="I162" i="3"/>
  <c r="S161" i="3"/>
  <c r="R161" i="3"/>
  <c r="L161" i="3"/>
  <c r="J161" i="3"/>
  <c r="I161" i="3"/>
  <c r="S160" i="3"/>
  <c r="R160" i="3"/>
  <c r="L160" i="3"/>
  <c r="J160" i="3"/>
  <c r="I160" i="3"/>
  <c r="S159" i="3"/>
  <c r="R159" i="3"/>
  <c r="L159" i="3"/>
  <c r="J159" i="3"/>
  <c r="I159" i="3"/>
  <c r="S158" i="3"/>
  <c r="R158" i="3"/>
  <c r="L158" i="3"/>
  <c r="J158" i="3"/>
  <c r="I158" i="3"/>
  <c r="S157" i="3"/>
  <c r="R157" i="3"/>
  <c r="L157" i="3"/>
  <c r="J157" i="3"/>
  <c r="I157" i="3"/>
  <c r="S156" i="3"/>
  <c r="R156" i="3"/>
  <c r="L156" i="3"/>
  <c r="J156" i="3"/>
  <c r="I156" i="3"/>
  <c r="S155" i="3"/>
  <c r="R155" i="3"/>
  <c r="L155" i="3"/>
  <c r="J155" i="3"/>
  <c r="I155" i="3"/>
  <c r="S154" i="3"/>
  <c r="R154" i="3"/>
  <c r="L154" i="3"/>
  <c r="J154" i="3"/>
  <c r="I154" i="3"/>
  <c r="S153" i="3"/>
  <c r="R153" i="3"/>
  <c r="L153" i="3"/>
  <c r="J153" i="3"/>
  <c r="I153" i="3"/>
  <c r="S152" i="3"/>
  <c r="R152" i="3"/>
  <c r="L152" i="3"/>
  <c r="J152" i="3"/>
  <c r="I152" i="3"/>
  <c r="S151" i="3"/>
  <c r="R151" i="3"/>
  <c r="L151" i="3"/>
  <c r="J151" i="3"/>
  <c r="I151" i="3"/>
  <c r="S150" i="3"/>
  <c r="R150" i="3"/>
  <c r="L150" i="3"/>
  <c r="J150" i="3"/>
  <c r="I150" i="3"/>
  <c r="S149" i="3"/>
  <c r="R149" i="3"/>
  <c r="L149" i="3"/>
  <c r="J149" i="3"/>
  <c r="I149" i="3"/>
  <c r="S148" i="3"/>
  <c r="R148" i="3"/>
  <c r="L148" i="3"/>
  <c r="J148" i="3"/>
  <c r="I148" i="3"/>
  <c r="S147" i="3"/>
  <c r="R147" i="3"/>
  <c r="L147" i="3"/>
  <c r="J147" i="3"/>
  <c r="I147" i="3"/>
  <c r="S146" i="3"/>
  <c r="R146" i="3"/>
  <c r="L146" i="3"/>
  <c r="J146" i="3"/>
  <c r="I146" i="3"/>
  <c r="S145" i="3"/>
  <c r="R145" i="3"/>
  <c r="L145" i="3"/>
  <c r="J145" i="3"/>
  <c r="I145" i="3"/>
  <c r="S144" i="3"/>
  <c r="R144" i="3"/>
  <c r="L144" i="3"/>
  <c r="J144" i="3"/>
  <c r="I144" i="3"/>
  <c r="S143" i="3"/>
  <c r="R143" i="3"/>
  <c r="L143" i="3"/>
  <c r="J143" i="3"/>
  <c r="I143" i="3"/>
  <c r="S142" i="3"/>
  <c r="R142" i="3"/>
  <c r="L142" i="3"/>
  <c r="J142" i="3"/>
  <c r="I142" i="3"/>
  <c r="S141" i="3"/>
  <c r="R141" i="3"/>
  <c r="L141" i="3"/>
  <c r="J141" i="3"/>
  <c r="I141" i="3"/>
  <c r="S140" i="3"/>
  <c r="R140" i="3"/>
  <c r="L140" i="3"/>
  <c r="J140" i="3"/>
  <c r="I140" i="3"/>
  <c r="S139" i="3"/>
  <c r="R139" i="3"/>
  <c r="L139" i="3"/>
  <c r="J139" i="3"/>
  <c r="I139" i="3"/>
  <c r="S138" i="3"/>
  <c r="R138" i="3"/>
  <c r="L138" i="3"/>
  <c r="J138" i="3"/>
  <c r="I138" i="3"/>
  <c r="S137" i="3"/>
  <c r="R137" i="3"/>
  <c r="L137" i="3"/>
  <c r="J137" i="3"/>
  <c r="I137" i="3"/>
  <c r="S136" i="3"/>
  <c r="R136" i="3"/>
  <c r="L136" i="3"/>
  <c r="J136" i="3"/>
  <c r="I136" i="3"/>
  <c r="S135" i="3"/>
  <c r="R135" i="3"/>
  <c r="L135" i="3"/>
  <c r="J135" i="3"/>
  <c r="I135" i="3"/>
  <c r="S134" i="3"/>
  <c r="R134" i="3"/>
  <c r="L134" i="3"/>
  <c r="J134" i="3"/>
  <c r="I134" i="3"/>
  <c r="S133" i="3"/>
  <c r="R133" i="3"/>
  <c r="L133" i="3"/>
  <c r="J133" i="3"/>
  <c r="I133" i="3"/>
  <c r="S132" i="3"/>
  <c r="R132" i="3"/>
  <c r="L132" i="3"/>
  <c r="J132" i="3"/>
  <c r="I132" i="3"/>
  <c r="S131" i="3"/>
  <c r="R131" i="3"/>
  <c r="L131" i="3"/>
  <c r="J131" i="3"/>
  <c r="I131" i="3"/>
  <c r="S130" i="3"/>
  <c r="R130" i="3"/>
  <c r="L130" i="3"/>
  <c r="J130" i="3"/>
  <c r="I130" i="3"/>
  <c r="S129" i="3"/>
  <c r="R129" i="3"/>
  <c r="L129" i="3"/>
  <c r="J129" i="3"/>
  <c r="I129" i="3"/>
  <c r="S128" i="3"/>
  <c r="R128" i="3"/>
  <c r="L128" i="3"/>
  <c r="J128" i="3"/>
  <c r="I128" i="3"/>
  <c r="S127" i="3"/>
  <c r="R127" i="3"/>
  <c r="L127" i="3"/>
  <c r="J127" i="3"/>
  <c r="I127" i="3"/>
  <c r="S126" i="3"/>
  <c r="R126" i="3"/>
  <c r="L126" i="3"/>
  <c r="J126" i="3"/>
  <c r="I126" i="3"/>
  <c r="S125" i="3"/>
  <c r="R125" i="3"/>
  <c r="L125" i="3"/>
  <c r="J125" i="3"/>
  <c r="I125" i="3"/>
  <c r="S124" i="3"/>
  <c r="R124" i="3"/>
  <c r="L124" i="3"/>
  <c r="J124" i="3"/>
  <c r="I124" i="3"/>
  <c r="S123" i="3"/>
  <c r="R123" i="3"/>
  <c r="L123" i="3"/>
  <c r="J123" i="3"/>
  <c r="I123" i="3"/>
  <c r="S122" i="3"/>
  <c r="R122" i="3"/>
  <c r="L122" i="3"/>
  <c r="J122" i="3"/>
  <c r="I122" i="3"/>
  <c r="S121" i="3"/>
  <c r="R121" i="3"/>
  <c r="L121" i="3"/>
  <c r="J121" i="3"/>
  <c r="I121" i="3"/>
  <c r="S120" i="3"/>
  <c r="R120" i="3"/>
  <c r="L120" i="3"/>
  <c r="J120" i="3"/>
  <c r="I120" i="3"/>
  <c r="S119" i="3"/>
  <c r="R119" i="3"/>
  <c r="L119" i="3"/>
  <c r="J119" i="3"/>
  <c r="I119" i="3"/>
  <c r="S118" i="3"/>
  <c r="R118" i="3"/>
  <c r="L118" i="3"/>
  <c r="J118" i="3"/>
  <c r="I118" i="3"/>
  <c r="S117" i="3"/>
  <c r="R117" i="3"/>
  <c r="L117" i="3"/>
  <c r="J117" i="3"/>
  <c r="I117" i="3"/>
  <c r="S116" i="3"/>
  <c r="R116" i="3"/>
  <c r="L116" i="3"/>
  <c r="J116" i="3"/>
  <c r="I116" i="3"/>
  <c r="S115" i="3"/>
  <c r="R115" i="3"/>
  <c r="L115" i="3"/>
  <c r="J115" i="3"/>
  <c r="I115" i="3"/>
  <c r="S114" i="3"/>
  <c r="R114" i="3"/>
  <c r="L114" i="3"/>
  <c r="J114" i="3"/>
  <c r="I114" i="3"/>
  <c r="S113" i="3"/>
  <c r="R113" i="3"/>
  <c r="L113" i="3"/>
  <c r="J113" i="3"/>
  <c r="I113" i="3"/>
  <c r="S112" i="3"/>
  <c r="R112" i="3"/>
  <c r="L112" i="3"/>
  <c r="J112" i="3"/>
  <c r="I112" i="3"/>
  <c r="S111" i="3"/>
  <c r="R111" i="3"/>
  <c r="L111" i="3"/>
  <c r="J111" i="3"/>
  <c r="I111" i="3"/>
  <c r="S110" i="3"/>
  <c r="R110" i="3"/>
  <c r="L110" i="3"/>
  <c r="J110" i="3"/>
  <c r="I110" i="3"/>
  <c r="S109" i="3"/>
  <c r="R109" i="3"/>
  <c r="L109" i="3"/>
  <c r="J109" i="3"/>
  <c r="I109" i="3"/>
  <c r="S108" i="3"/>
  <c r="R108" i="3"/>
  <c r="L108" i="3"/>
  <c r="J108" i="3"/>
  <c r="I108" i="3"/>
  <c r="S107" i="3"/>
  <c r="R107" i="3"/>
  <c r="L107" i="3"/>
  <c r="J107" i="3"/>
  <c r="I107" i="3"/>
  <c r="S106" i="3"/>
  <c r="R106" i="3"/>
  <c r="L106" i="3"/>
  <c r="J106" i="3"/>
  <c r="I106" i="3"/>
  <c r="S105" i="3"/>
  <c r="R105" i="3"/>
  <c r="L105" i="3"/>
  <c r="J105" i="3"/>
  <c r="I105" i="3"/>
  <c r="S104" i="3"/>
  <c r="R104" i="3"/>
  <c r="L104" i="3"/>
  <c r="J104" i="3"/>
  <c r="I104" i="3"/>
  <c r="S103" i="3"/>
  <c r="R103" i="3"/>
  <c r="L103" i="3"/>
  <c r="J103" i="3"/>
  <c r="I103" i="3"/>
  <c r="S102" i="3"/>
  <c r="R102" i="3"/>
  <c r="L102" i="3"/>
  <c r="J102" i="3"/>
  <c r="I102" i="3"/>
  <c r="S101" i="3"/>
  <c r="R101" i="3"/>
  <c r="L101" i="3"/>
  <c r="J101" i="3"/>
  <c r="I101" i="3"/>
  <c r="S100" i="3"/>
  <c r="R100" i="3"/>
  <c r="L100" i="3"/>
  <c r="J100" i="3"/>
  <c r="I100" i="3"/>
  <c r="S99" i="3"/>
  <c r="R99" i="3"/>
  <c r="L99" i="3"/>
  <c r="J99" i="3"/>
  <c r="I99" i="3"/>
  <c r="S98" i="3"/>
  <c r="R98" i="3"/>
  <c r="L98" i="3"/>
  <c r="J98" i="3"/>
  <c r="I98" i="3"/>
  <c r="S97" i="3"/>
  <c r="R97" i="3"/>
  <c r="L97" i="3"/>
  <c r="J97" i="3"/>
  <c r="I97" i="3"/>
  <c r="S96" i="3"/>
  <c r="R96" i="3"/>
  <c r="L96" i="3"/>
  <c r="J96" i="3"/>
  <c r="I96" i="3"/>
  <c r="S95" i="3"/>
  <c r="R95" i="3"/>
  <c r="L95" i="3"/>
  <c r="J95" i="3"/>
  <c r="I95" i="3"/>
  <c r="S94" i="3"/>
  <c r="R94" i="3"/>
  <c r="L94" i="3"/>
  <c r="J94" i="3"/>
  <c r="I94" i="3"/>
  <c r="S93" i="3"/>
  <c r="R93" i="3"/>
  <c r="L93" i="3"/>
  <c r="J93" i="3"/>
  <c r="I93" i="3"/>
  <c r="S92" i="3"/>
  <c r="R92" i="3"/>
  <c r="L92" i="3"/>
  <c r="J92" i="3"/>
  <c r="I92" i="3"/>
  <c r="S91" i="3"/>
  <c r="R91" i="3"/>
  <c r="L91" i="3"/>
  <c r="J91" i="3"/>
  <c r="I91" i="3"/>
  <c r="S90" i="3"/>
  <c r="R90" i="3"/>
  <c r="L90" i="3"/>
  <c r="J90" i="3"/>
  <c r="I90" i="3"/>
  <c r="S89" i="3"/>
  <c r="R89" i="3"/>
  <c r="L89" i="3"/>
  <c r="J89" i="3"/>
  <c r="I89" i="3"/>
  <c r="S88" i="3"/>
  <c r="R88" i="3"/>
  <c r="L88" i="3"/>
  <c r="J88" i="3"/>
  <c r="I88" i="3"/>
  <c r="S87" i="3"/>
  <c r="R87" i="3"/>
  <c r="L87" i="3"/>
  <c r="J87" i="3"/>
  <c r="I87" i="3"/>
  <c r="S86" i="3"/>
  <c r="R86" i="3"/>
  <c r="L86" i="3"/>
  <c r="J86" i="3"/>
  <c r="I86" i="3"/>
  <c r="S85" i="3"/>
  <c r="R85" i="3"/>
  <c r="L85" i="3"/>
  <c r="J85" i="3"/>
  <c r="I85" i="3"/>
  <c r="S84" i="3"/>
  <c r="R84" i="3"/>
  <c r="L84" i="3"/>
  <c r="J84" i="3"/>
  <c r="I84" i="3"/>
  <c r="S83" i="3"/>
  <c r="R83" i="3"/>
  <c r="L83" i="3"/>
  <c r="J83" i="3"/>
  <c r="I83" i="3"/>
  <c r="S82" i="3"/>
  <c r="R82" i="3"/>
  <c r="L82" i="3"/>
  <c r="J82" i="3"/>
  <c r="I82" i="3"/>
  <c r="S81" i="3"/>
  <c r="R81" i="3"/>
  <c r="L81" i="3"/>
  <c r="J81" i="3"/>
  <c r="I81" i="3"/>
  <c r="S80" i="3"/>
  <c r="R80" i="3"/>
  <c r="L80" i="3"/>
  <c r="J80" i="3"/>
  <c r="I80" i="3"/>
  <c r="S79" i="3"/>
  <c r="R79" i="3"/>
  <c r="L79" i="3"/>
  <c r="J79" i="3"/>
  <c r="I79" i="3"/>
  <c r="S78" i="3"/>
  <c r="R78" i="3"/>
  <c r="L78" i="3"/>
  <c r="J78" i="3"/>
  <c r="I78" i="3"/>
  <c r="S77" i="3"/>
  <c r="R77" i="3"/>
  <c r="L77" i="3"/>
  <c r="J77" i="3"/>
  <c r="I77" i="3"/>
  <c r="S76" i="3"/>
  <c r="R76" i="3"/>
  <c r="L76" i="3"/>
  <c r="J76" i="3"/>
  <c r="I76" i="3"/>
  <c r="S75" i="3"/>
  <c r="R75" i="3"/>
  <c r="L75" i="3"/>
  <c r="J75" i="3"/>
  <c r="I75" i="3"/>
  <c r="S74" i="3"/>
  <c r="R74" i="3"/>
  <c r="L74" i="3"/>
  <c r="J74" i="3"/>
  <c r="I74" i="3"/>
  <c r="S73" i="3"/>
  <c r="R73" i="3"/>
  <c r="L73" i="3"/>
  <c r="J73" i="3"/>
  <c r="I73" i="3"/>
  <c r="S72" i="3"/>
  <c r="R72" i="3"/>
  <c r="L72" i="3"/>
  <c r="J72" i="3"/>
  <c r="I72" i="3"/>
  <c r="S71" i="3"/>
  <c r="R71" i="3"/>
  <c r="L71" i="3"/>
  <c r="J71" i="3"/>
  <c r="I71" i="3"/>
  <c r="S70" i="3"/>
  <c r="R70" i="3"/>
  <c r="L70" i="3"/>
  <c r="J70" i="3"/>
  <c r="I70" i="3"/>
  <c r="S69" i="3"/>
  <c r="R69" i="3"/>
  <c r="L69" i="3"/>
  <c r="J69" i="3"/>
  <c r="I69" i="3"/>
  <c r="S68" i="3"/>
  <c r="R68" i="3"/>
  <c r="L68" i="3"/>
  <c r="J68" i="3"/>
  <c r="I68" i="3"/>
  <c r="S67" i="3"/>
  <c r="R67" i="3"/>
  <c r="L67" i="3"/>
  <c r="J67" i="3"/>
  <c r="I67" i="3"/>
  <c r="S66" i="3"/>
  <c r="R66" i="3"/>
  <c r="L66" i="3"/>
  <c r="J66" i="3"/>
  <c r="I66" i="3"/>
  <c r="S65" i="3"/>
  <c r="R65" i="3"/>
  <c r="L65" i="3"/>
  <c r="J65" i="3"/>
  <c r="I65" i="3"/>
  <c r="S64" i="3"/>
  <c r="R64" i="3"/>
  <c r="L64" i="3"/>
  <c r="J64" i="3"/>
  <c r="I64" i="3"/>
  <c r="S63" i="3"/>
  <c r="R63" i="3"/>
  <c r="L63" i="3"/>
  <c r="J63" i="3"/>
  <c r="I63" i="3"/>
  <c r="S62" i="3"/>
  <c r="R62" i="3"/>
  <c r="L62" i="3"/>
  <c r="J62" i="3"/>
  <c r="I62" i="3"/>
  <c r="S61" i="3"/>
  <c r="R61" i="3"/>
  <c r="L61" i="3"/>
  <c r="J61" i="3"/>
  <c r="I61" i="3"/>
  <c r="S60" i="3"/>
  <c r="R60" i="3"/>
  <c r="L60" i="3"/>
  <c r="J60" i="3"/>
  <c r="I60" i="3"/>
  <c r="S59" i="3"/>
  <c r="R59" i="3"/>
  <c r="L59" i="3"/>
  <c r="J59" i="3"/>
  <c r="I59" i="3"/>
  <c r="S58" i="3"/>
  <c r="R58" i="3"/>
  <c r="L58" i="3"/>
  <c r="J58" i="3"/>
  <c r="I58" i="3"/>
  <c r="S57" i="3"/>
  <c r="R57" i="3"/>
  <c r="L57" i="3"/>
  <c r="J57" i="3"/>
  <c r="I57" i="3"/>
  <c r="S56" i="3"/>
  <c r="R56" i="3"/>
  <c r="L56" i="3"/>
  <c r="J56" i="3"/>
  <c r="I56" i="3"/>
  <c r="S55" i="3"/>
  <c r="R55" i="3"/>
  <c r="L55" i="3"/>
  <c r="J55" i="3"/>
  <c r="I55" i="3"/>
  <c r="S54" i="3"/>
  <c r="R54" i="3"/>
  <c r="L54" i="3"/>
  <c r="J54" i="3"/>
  <c r="I54" i="3"/>
  <c r="S53" i="3"/>
  <c r="R53" i="3"/>
  <c r="L53" i="3"/>
  <c r="J53" i="3"/>
  <c r="I53" i="3"/>
  <c r="S52" i="3"/>
  <c r="R52" i="3"/>
  <c r="L52" i="3"/>
  <c r="J52" i="3"/>
  <c r="I52" i="3"/>
  <c r="S51" i="3"/>
  <c r="R51" i="3"/>
  <c r="L51" i="3"/>
  <c r="J51" i="3"/>
  <c r="I51" i="3"/>
  <c r="S50" i="3"/>
  <c r="R50" i="3"/>
  <c r="L50" i="3"/>
  <c r="J50" i="3"/>
  <c r="I50" i="3"/>
  <c r="S49" i="3"/>
  <c r="R49" i="3"/>
  <c r="L49" i="3"/>
  <c r="J49" i="3"/>
  <c r="I49" i="3"/>
  <c r="S48" i="3"/>
  <c r="R48" i="3"/>
  <c r="L48" i="3"/>
  <c r="J48" i="3"/>
  <c r="I48" i="3"/>
  <c r="S47" i="3"/>
  <c r="R47" i="3"/>
  <c r="L47" i="3"/>
  <c r="J47" i="3"/>
  <c r="I47" i="3"/>
  <c r="S46" i="3"/>
  <c r="R46" i="3"/>
  <c r="L46" i="3"/>
  <c r="J46" i="3"/>
  <c r="I46" i="3"/>
  <c r="S45" i="3"/>
  <c r="R45" i="3"/>
  <c r="L45" i="3"/>
  <c r="J45" i="3"/>
  <c r="I45" i="3"/>
  <c r="S44" i="3"/>
  <c r="R44" i="3"/>
  <c r="L44" i="3"/>
  <c r="J44" i="3"/>
  <c r="I44" i="3"/>
  <c r="S43" i="3"/>
  <c r="R43" i="3"/>
  <c r="L43" i="3"/>
  <c r="J43" i="3"/>
  <c r="I43" i="3"/>
  <c r="S42" i="3"/>
  <c r="R42" i="3"/>
  <c r="L42" i="3"/>
  <c r="J42" i="3"/>
  <c r="I42" i="3"/>
  <c r="S41" i="3"/>
  <c r="R41" i="3"/>
  <c r="L41" i="3"/>
  <c r="J41" i="3"/>
  <c r="I41" i="3"/>
  <c r="S40" i="3"/>
  <c r="R40" i="3"/>
  <c r="L40" i="3"/>
  <c r="J40" i="3"/>
  <c r="I40" i="3"/>
  <c r="S39" i="3"/>
  <c r="R39" i="3"/>
  <c r="L39" i="3"/>
  <c r="J39" i="3"/>
  <c r="I39" i="3"/>
  <c r="S38" i="3"/>
  <c r="R38" i="3"/>
  <c r="L38" i="3"/>
  <c r="J38" i="3"/>
  <c r="I38" i="3"/>
  <c r="S37" i="3"/>
  <c r="R37" i="3"/>
  <c r="L37" i="3"/>
  <c r="J37" i="3"/>
  <c r="I37" i="3"/>
  <c r="S36" i="3"/>
  <c r="R36" i="3"/>
  <c r="L36" i="3"/>
  <c r="J36" i="3"/>
  <c r="I36" i="3"/>
  <c r="S35" i="3"/>
  <c r="R35" i="3"/>
  <c r="L35" i="3"/>
  <c r="J35" i="3"/>
  <c r="I35" i="3"/>
  <c r="S34" i="3"/>
  <c r="R34" i="3"/>
  <c r="L34" i="3"/>
  <c r="J34" i="3"/>
  <c r="I34" i="3"/>
  <c r="S33" i="3"/>
  <c r="R33" i="3"/>
  <c r="L33" i="3"/>
  <c r="J33" i="3"/>
  <c r="I33" i="3"/>
  <c r="S32" i="3"/>
  <c r="R32" i="3"/>
  <c r="L32" i="3"/>
  <c r="J32" i="3"/>
  <c r="I32" i="3"/>
  <c r="S31" i="3"/>
  <c r="R31" i="3"/>
  <c r="L31" i="3"/>
  <c r="J31" i="3"/>
  <c r="I31" i="3"/>
  <c r="S30" i="3"/>
  <c r="R30" i="3"/>
  <c r="L30" i="3"/>
  <c r="J30" i="3"/>
  <c r="I30" i="3"/>
  <c r="S29" i="3"/>
  <c r="R29" i="3"/>
  <c r="L29" i="3"/>
  <c r="J29" i="3"/>
  <c r="I29" i="3"/>
  <c r="S28" i="3"/>
  <c r="R28" i="3"/>
  <c r="L28" i="3"/>
  <c r="J28" i="3"/>
  <c r="I28" i="3"/>
  <c r="S27" i="3"/>
  <c r="R27" i="3"/>
  <c r="L27" i="3"/>
  <c r="J27" i="3"/>
  <c r="I27" i="3"/>
  <c r="S26" i="3"/>
  <c r="R26" i="3"/>
  <c r="L26" i="3"/>
  <c r="J26" i="3"/>
  <c r="I26" i="3"/>
  <c r="S25" i="3"/>
  <c r="R25" i="3"/>
  <c r="L25" i="3"/>
  <c r="J25" i="3"/>
  <c r="I25" i="3"/>
  <c r="S24" i="3"/>
  <c r="R24" i="3"/>
  <c r="L24" i="3"/>
  <c r="J24" i="3"/>
  <c r="I24" i="3"/>
  <c r="S23" i="3"/>
  <c r="R23" i="3"/>
  <c r="L23" i="3"/>
  <c r="J23" i="3"/>
  <c r="I23" i="3"/>
  <c r="S22" i="3"/>
  <c r="R22" i="3"/>
  <c r="L22" i="3"/>
  <c r="J22" i="3"/>
  <c r="I22" i="3"/>
  <c r="S21" i="3"/>
  <c r="R21" i="3"/>
  <c r="L21" i="3"/>
  <c r="J21" i="3"/>
  <c r="I21" i="3"/>
  <c r="S20" i="3"/>
  <c r="R20" i="3"/>
  <c r="L20" i="3"/>
  <c r="J20" i="3"/>
  <c r="I20" i="3"/>
  <c r="S19" i="3"/>
  <c r="R19" i="3"/>
  <c r="L19" i="3"/>
  <c r="J19" i="3"/>
  <c r="I19" i="3"/>
  <c r="S18" i="3"/>
  <c r="R18" i="3"/>
  <c r="L18" i="3"/>
  <c r="J18" i="3"/>
  <c r="I18" i="3"/>
  <c r="S17" i="3"/>
  <c r="R17" i="3"/>
  <c r="L17" i="3"/>
  <c r="I17" i="3"/>
  <c r="S16" i="3"/>
  <c r="R16" i="3"/>
  <c r="L16" i="3"/>
  <c r="I16" i="3"/>
  <c r="S15" i="3"/>
  <c r="R15" i="3"/>
  <c r="L15" i="3"/>
  <c r="I15" i="3"/>
  <c r="S14" i="3"/>
  <c r="R14" i="3"/>
  <c r="L14" i="3"/>
  <c r="I14" i="3"/>
  <c r="S13" i="3"/>
  <c r="R13" i="3"/>
  <c r="L13" i="3"/>
  <c r="I13" i="3"/>
  <c r="S12" i="3"/>
  <c r="R12" i="3"/>
  <c r="L12" i="3"/>
  <c r="I12" i="3"/>
  <c r="S11" i="3"/>
  <c r="R11" i="3"/>
  <c r="L11" i="3"/>
  <c r="I11" i="3"/>
  <c r="S10" i="3"/>
  <c r="R10" i="3"/>
  <c r="L10" i="3"/>
  <c r="I10" i="3"/>
  <c r="S9" i="3"/>
  <c r="R9" i="3"/>
  <c r="L9" i="3"/>
  <c r="I9" i="3"/>
  <c r="S8" i="3"/>
  <c r="R8" i="3"/>
  <c r="L8" i="3"/>
  <c r="I8" i="3"/>
  <c r="S7" i="3"/>
  <c r="R7" i="3"/>
  <c r="L7" i="3"/>
  <c r="I7" i="3"/>
  <c r="S6" i="3"/>
  <c r="R6" i="3"/>
  <c r="L6" i="3"/>
  <c r="S330" i="3" l="1"/>
  <c r="F13" i="11"/>
  <c r="N343" i="3"/>
  <c r="L343" i="3"/>
  <c r="J343" i="3"/>
  <c r="I343" i="3"/>
  <c r="F6" i="11"/>
  <c r="F7" i="11"/>
  <c r="B11" i="9"/>
  <c r="C10" i="9"/>
  <c r="C9" i="9"/>
  <c r="D344" i="3"/>
  <c r="R331" i="3"/>
  <c r="R332" i="3" s="1"/>
  <c r="F8" i="11"/>
  <c r="N342" i="3"/>
  <c r="L342" i="3"/>
  <c r="J342" i="3"/>
  <c r="I342" i="3"/>
  <c r="F9" i="11"/>
  <c r="S332" i="3" l="1"/>
  <c r="B12" i="9"/>
  <c r="C11" i="9"/>
  <c r="S331" i="3"/>
  <c r="D345" i="3"/>
  <c r="G344" i="3"/>
  <c r="D346" i="3"/>
  <c r="D347" i="3"/>
  <c r="R333" i="3"/>
  <c r="S333" i="3" l="1"/>
  <c r="G346" i="3"/>
  <c r="G345" i="3"/>
  <c r="R334" i="3"/>
  <c r="N344" i="3"/>
  <c r="L344" i="3"/>
  <c r="J344" i="3"/>
  <c r="I344" i="3"/>
  <c r="D348" i="3"/>
  <c r="G347" i="3"/>
  <c r="B13" i="9"/>
  <c r="C12" i="9"/>
  <c r="R335" i="3"/>
  <c r="G348" i="3" l="1"/>
  <c r="C13" i="9"/>
  <c r="B14" i="9"/>
  <c r="D349" i="3"/>
  <c r="S335" i="3"/>
  <c r="L347" i="3"/>
  <c r="J347" i="3"/>
  <c r="N347" i="3"/>
  <c r="I347" i="3"/>
  <c r="S334" i="3"/>
  <c r="R337" i="3"/>
  <c r="R338" i="3" s="1"/>
  <c r="L345" i="3"/>
  <c r="J345" i="3"/>
  <c r="I345" i="3"/>
  <c r="N345" i="3"/>
  <c r="N346" i="3"/>
  <c r="L346" i="3"/>
  <c r="J346" i="3"/>
  <c r="I346" i="3"/>
  <c r="R336" i="3"/>
  <c r="S338" i="3" l="1"/>
  <c r="G349" i="3"/>
  <c r="D350" i="3"/>
  <c r="B15" i="9"/>
  <c r="C14" i="9"/>
  <c r="S337" i="3"/>
  <c r="R339" i="3"/>
  <c r="S336" i="3"/>
  <c r="N348" i="3"/>
  <c r="L348" i="3"/>
  <c r="S339" i="3" l="1"/>
  <c r="R340" i="3"/>
  <c r="B16" i="9"/>
  <c r="C15" i="9"/>
  <c r="D351" i="3"/>
  <c r="G350" i="3"/>
  <c r="N349" i="3"/>
  <c r="L349" i="3"/>
  <c r="R341" i="3"/>
  <c r="N350" i="3" l="1"/>
  <c r="L350" i="3"/>
  <c r="G351" i="3"/>
  <c r="D352" i="3"/>
  <c r="S341" i="3"/>
  <c r="S340" i="3"/>
  <c r="C16" i="9"/>
  <c r="B17" i="9"/>
  <c r="R342" i="3"/>
  <c r="R343" i="3" s="1"/>
  <c r="S343" i="3" l="1"/>
  <c r="C343" i="3" s="1"/>
  <c r="F343" i="3" s="1"/>
  <c r="B343" i="3"/>
  <c r="E343" i="3" s="1"/>
  <c r="C17" i="9"/>
  <c r="B18" i="9"/>
  <c r="B342" i="3"/>
  <c r="E342" i="3" s="1"/>
  <c r="S342" i="3"/>
  <c r="C342" i="3" s="1"/>
  <c r="F342" i="3" s="1"/>
  <c r="R344" i="3"/>
  <c r="D353" i="3"/>
  <c r="G352" i="3"/>
  <c r="L351" i="3"/>
  <c r="N351" i="3"/>
  <c r="N352" i="3" l="1"/>
  <c r="L352" i="3"/>
  <c r="G353" i="3"/>
  <c r="D354" i="3"/>
  <c r="S344" i="3"/>
  <c r="C344" i="3" s="1"/>
  <c r="F344" i="3" s="1"/>
  <c r="B344" i="3"/>
  <c r="E344" i="3" s="1"/>
  <c r="R345" i="3"/>
  <c r="B19" i="9"/>
  <c r="C18" i="9"/>
  <c r="R346" i="3"/>
  <c r="S346" i="3" l="1"/>
  <c r="C346" i="3" s="1"/>
  <c r="F346" i="3" s="1"/>
  <c r="B346" i="3"/>
  <c r="E346" i="3" s="1"/>
  <c r="B20" i="9"/>
  <c r="C19" i="9"/>
  <c r="S345" i="3"/>
  <c r="C345" i="3" s="1"/>
  <c r="F345" i="3" s="1"/>
  <c r="B345" i="3"/>
  <c r="E345" i="3" s="1"/>
  <c r="R347" i="3"/>
  <c r="N353" i="3"/>
  <c r="L353" i="3"/>
  <c r="D355" i="3"/>
  <c r="G354" i="3"/>
  <c r="N354" i="3" l="1"/>
  <c r="L354" i="3"/>
  <c r="G355" i="3"/>
  <c r="D356" i="3"/>
  <c r="S347" i="3"/>
  <c r="C347" i="3" s="1"/>
  <c r="F347" i="3" s="1"/>
  <c r="B347" i="3"/>
  <c r="E347" i="3" s="1"/>
  <c r="R348" i="3"/>
  <c r="B21" i="9"/>
  <c r="C20" i="9"/>
  <c r="R349" i="3"/>
  <c r="B22" i="9" l="1"/>
  <c r="C21" i="9"/>
  <c r="S348" i="3"/>
  <c r="C348" i="3" s="1"/>
  <c r="F348" i="3" s="1"/>
  <c r="B348" i="3"/>
  <c r="E348" i="3" s="1"/>
  <c r="S349" i="3"/>
  <c r="C349" i="3" s="1"/>
  <c r="F349" i="3" s="1"/>
  <c r="B349" i="3"/>
  <c r="E349" i="3" s="1"/>
  <c r="R350" i="3"/>
  <c r="R351" i="3" s="1"/>
  <c r="D357" i="3"/>
  <c r="G356" i="3"/>
  <c r="N355" i="3"/>
  <c r="L355" i="3"/>
  <c r="S351" i="3" l="1"/>
  <c r="C351" i="3" s="1"/>
  <c r="F351" i="3" s="1"/>
  <c r="B351" i="3"/>
  <c r="E351" i="3" s="1"/>
  <c r="N356" i="3"/>
  <c r="L356" i="3"/>
  <c r="G357" i="3"/>
  <c r="D358" i="3"/>
  <c r="S350" i="3"/>
  <c r="C350" i="3" s="1"/>
  <c r="F350" i="3" s="1"/>
  <c r="B350" i="3"/>
  <c r="E350" i="3" s="1"/>
  <c r="R352" i="3"/>
  <c r="B23" i="9"/>
  <c r="C22" i="9"/>
  <c r="S352" i="3" l="1"/>
  <c r="C352" i="3" s="1"/>
  <c r="F352" i="3" s="1"/>
  <c r="B352" i="3"/>
  <c r="E352" i="3" s="1"/>
  <c r="C23" i="9"/>
  <c r="B24" i="9"/>
  <c r="R353" i="3"/>
  <c r="D359" i="3"/>
  <c r="G358" i="3"/>
  <c r="N357" i="3"/>
  <c r="L357" i="3"/>
  <c r="R354" i="3"/>
  <c r="L358" i="3" l="1"/>
  <c r="N358" i="3"/>
  <c r="S354" i="3"/>
  <c r="C354" i="3" s="1"/>
  <c r="F354" i="3" s="1"/>
  <c r="B354" i="3"/>
  <c r="E354" i="3" s="1"/>
  <c r="G359" i="3"/>
  <c r="D360" i="3"/>
  <c r="B25" i="9"/>
  <c r="C24" i="9"/>
  <c r="S353" i="3"/>
  <c r="C353" i="3" s="1"/>
  <c r="F353" i="3" s="1"/>
  <c r="B353" i="3"/>
  <c r="E353" i="3" s="1"/>
  <c r="R355" i="3"/>
  <c r="S355" i="3" l="1"/>
  <c r="C355" i="3" s="1"/>
  <c r="F355" i="3" s="1"/>
  <c r="B355" i="3"/>
  <c r="E355" i="3" s="1"/>
  <c r="R356" i="3"/>
  <c r="B26" i="9"/>
  <c r="C25" i="9"/>
  <c r="D361" i="3"/>
  <c r="G360" i="3"/>
  <c r="N359" i="3"/>
  <c r="L359" i="3"/>
  <c r="R357" i="3"/>
  <c r="N360" i="3" l="1"/>
  <c r="L360" i="3"/>
  <c r="C26" i="9"/>
  <c r="B27" i="9"/>
  <c r="S357" i="3"/>
  <c r="C357" i="3" s="1"/>
  <c r="F357" i="3" s="1"/>
  <c r="B357" i="3"/>
  <c r="E357" i="3" s="1"/>
  <c r="D362" i="3"/>
  <c r="G361" i="3"/>
  <c r="S356" i="3"/>
  <c r="C356" i="3" s="1"/>
  <c r="F356" i="3" s="1"/>
  <c r="B356" i="3"/>
  <c r="E356" i="3" s="1"/>
  <c r="R358" i="3"/>
  <c r="S358" i="3" l="1"/>
  <c r="C358" i="3" s="1"/>
  <c r="F358" i="3" s="1"/>
  <c r="B358" i="3"/>
  <c r="E358" i="3" s="1"/>
  <c r="R359" i="3"/>
  <c r="D363" i="3"/>
  <c r="G362" i="3"/>
  <c r="C27" i="9"/>
  <c r="B28" i="9"/>
  <c r="N361" i="3"/>
  <c r="L361" i="3"/>
  <c r="R360" i="3"/>
  <c r="C28" i="9" l="1"/>
  <c r="B29" i="9"/>
  <c r="N362" i="3"/>
  <c r="L362" i="3"/>
  <c r="S360" i="3"/>
  <c r="C360" i="3" s="1"/>
  <c r="F360" i="3" s="1"/>
  <c r="B360" i="3"/>
  <c r="E360" i="3" s="1"/>
  <c r="D364" i="3"/>
  <c r="G363" i="3"/>
  <c r="S359" i="3"/>
  <c r="C359" i="3" s="1"/>
  <c r="F359" i="3" s="1"/>
  <c r="B359" i="3"/>
  <c r="E359" i="3" s="1"/>
  <c r="R361" i="3"/>
  <c r="S361" i="3" l="1"/>
  <c r="C361" i="3" s="1"/>
  <c r="F361" i="3" s="1"/>
  <c r="B361" i="3"/>
  <c r="E361" i="3" s="1"/>
  <c r="R362" i="3"/>
  <c r="N363" i="3"/>
  <c r="L363" i="3"/>
  <c r="G364" i="3"/>
  <c r="D365" i="3"/>
  <c r="R363" i="3"/>
  <c r="B30" i="9"/>
  <c r="C29" i="9"/>
  <c r="S363" i="3" l="1"/>
  <c r="C363" i="3" s="1"/>
  <c r="F363" i="3" s="1"/>
  <c r="B363" i="3"/>
  <c r="E363" i="3" s="1"/>
  <c r="B31" i="9"/>
  <c r="C30" i="9"/>
  <c r="D366" i="3"/>
  <c r="G365" i="3"/>
  <c r="N364" i="3"/>
  <c r="L364" i="3"/>
  <c r="S362" i="3"/>
  <c r="C362" i="3" s="1"/>
  <c r="F362" i="3" s="1"/>
  <c r="B362" i="3"/>
  <c r="E362" i="3" s="1"/>
  <c r="R364" i="3"/>
  <c r="S364" i="3" l="1"/>
  <c r="C364" i="3" s="1"/>
  <c r="F364" i="3" s="1"/>
  <c r="B364" i="3"/>
  <c r="E364" i="3" s="1"/>
  <c r="R365" i="3"/>
  <c r="G366" i="3"/>
  <c r="D367" i="3"/>
  <c r="N365" i="3"/>
  <c r="L365" i="3"/>
  <c r="B32" i="9"/>
  <c r="C31" i="9"/>
  <c r="R366" i="3"/>
  <c r="S366" i="3" l="1"/>
  <c r="C366" i="3" s="1"/>
  <c r="F366" i="3" s="1"/>
  <c r="B33" i="9"/>
  <c r="C32" i="9"/>
  <c r="B366" i="3"/>
  <c r="E366" i="3" s="1"/>
  <c r="D368" i="3"/>
  <c r="G367" i="3"/>
  <c r="N366" i="3"/>
  <c r="L366" i="3"/>
  <c r="O6" i="3" s="1"/>
  <c r="S365" i="3"/>
  <c r="C365" i="3" s="1"/>
  <c r="F365" i="3" s="1"/>
  <c r="B365" i="3"/>
  <c r="E365" i="3" s="1"/>
  <c r="R367" i="3"/>
  <c r="S367" i="3" l="1"/>
  <c r="C367" i="3" s="1"/>
  <c r="F367" i="3" s="1"/>
  <c r="N12" i="3"/>
  <c r="N284" i="3"/>
  <c r="N273" i="3"/>
  <c r="N262" i="3"/>
  <c r="N251" i="3"/>
  <c r="N240" i="3"/>
  <c r="N229" i="3"/>
  <c r="N218" i="3"/>
  <c r="N207" i="3"/>
  <c r="N196" i="3"/>
  <c r="N185" i="3"/>
  <c r="N174" i="3"/>
  <c r="N163" i="3"/>
  <c r="N152" i="3"/>
  <c r="N141" i="3"/>
  <c r="N130" i="3"/>
  <c r="N119" i="3"/>
  <c r="N108" i="3"/>
  <c r="N97" i="3"/>
  <c r="N86" i="3"/>
  <c r="N75" i="3"/>
  <c r="N64" i="3"/>
  <c r="N53" i="3"/>
  <c r="N42" i="3"/>
  <c r="N31" i="3"/>
  <c r="N20" i="3"/>
  <c r="N170" i="3"/>
  <c r="N82" i="3"/>
  <c r="N71" i="3"/>
  <c r="N221" i="3"/>
  <c r="N155" i="3"/>
  <c r="N100" i="3"/>
  <c r="N89" i="3"/>
  <c r="N67" i="3"/>
  <c r="N34" i="3"/>
  <c r="N23" i="3"/>
  <c r="N11" i="3"/>
  <c r="N16" i="3"/>
  <c r="N126" i="3"/>
  <c r="N60" i="3"/>
  <c r="N49" i="3"/>
  <c r="N38" i="3"/>
  <c r="N7" i="3"/>
  <c r="N210" i="3"/>
  <c r="N133" i="3"/>
  <c r="N280" i="3"/>
  <c r="N269" i="3"/>
  <c r="N258" i="3"/>
  <c r="N247" i="3"/>
  <c r="N236" i="3"/>
  <c r="N225" i="3"/>
  <c r="N214" i="3"/>
  <c r="N203" i="3"/>
  <c r="N192" i="3"/>
  <c r="N181" i="3"/>
  <c r="N159" i="3"/>
  <c r="N148" i="3"/>
  <c r="N137" i="3"/>
  <c r="N115" i="3"/>
  <c r="N104" i="3"/>
  <c r="N93" i="3"/>
  <c r="N27" i="3"/>
  <c r="N199" i="3"/>
  <c r="N111" i="3"/>
  <c r="N56" i="3"/>
  <c r="N243" i="3"/>
  <c r="N177" i="3"/>
  <c r="N122" i="3"/>
  <c r="N45" i="3"/>
  <c r="N287" i="3"/>
  <c r="N276" i="3"/>
  <c r="N265" i="3"/>
  <c r="N254" i="3"/>
  <c r="N232" i="3"/>
  <c r="N188" i="3"/>
  <c r="N166" i="3"/>
  <c r="N144" i="3"/>
  <c r="N78" i="3"/>
  <c r="N283" i="3"/>
  <c r="N272" i="3"/>
  <c r="N261" i="3"/>
  <c r="N250" i="3"/>
  <c r="N239" i="3"/>
  <c r="N228" i="3"/>
  <c r="N217" i="3"/>
  <c r="N206" i="3"/>
  <c r="N195" i="3"/>
  <c r="N184" i="3"/>
  <c r="N173" i="3"/>
  <c r="N162" i="3"/>
  <c r="N151" i="3"/>
  <c r="N140" i="3"/>
  <c r="N129" i="3"/>
  <c r="N118" i="3"/>
  <c r="N107" i="3"/>
  <c r="N96" i="3"/>
  <c r="N85" i="3"/>
  <c r="N74" i="3"/>
  <c r="N63" i="3"/>
  <c r="N52" i="3"/>
  <c r="N41" i="3"/>
  <c r="N30" i="3"/>
  <c r="N19" i="3"/>
  <c r="N15" i="3"/>
  <c r="N289" i="3"/>
  <c r="N246" i="3"/>
  <c r="N211" i="3"/>
  <c r="N168" i="3"/>
  <c r="N125" i="3"/>
  <c r="N90" i="3"/>
  <c r="N47" i="3"/>
  <c r="N277" i="3"/>
  <c r="N234" i="3"/>
  <c r="N191" i="3"/>
  <c r="N113" i="3"/>
  <c r="N175" i="3"/>
  <c r="N50" i="3"/>
  <c r="N37" i="3"/>
  <c r="N193" i="3"/>
  <c r="N33" i="3"/>
  <c r="N146" i="3"/>
  <c r="N99" i="3"/>
  <c r="N134" i="3"/>
  <c r="N87" i="3"/>
  <c r="N285" i="3"/>
  <c r="N281" i="3"/>
  <c r="N242" i="3"/>
  <c r="N238" i="3"/>
  <c r="N164" i="3"/>
  <c r="N160" i="3"/>
  <c r="N121" i="3"/>
  <c r="N117" i="3"/>
  <c r="N43" i="3"/>
  <c r="N39" i="3"/>
  <c r="N156" i="3"/>
  <c r="N70" i="3"/>
  <c r="N35" i="3"/>
  <c r="N10" i="3"/>
  <c r="N252" i="3"/>
  <c r="N209" i="3"/>
  <c r="N84" i="3"/>
  <c r="N80" i="3"/>
  <c r="N271" i="3"/>
  <c r="N76" i="3"/>
  <c r="N29" i="3"/>
  <c r="N103" i="3"/>
  <c r="N95" i="3"/>
  <c r="N165" i="3"/>
  <c r="N263" i="3"/>
  <c r="N216" i="3"/>
  <c r="N17" i="3"/>
  <c r="N255" i="3"/>
  <c r="N48" i="3"/>
  <c r="N230" i="3"/>
  <c r="N226" i="3"/>
  <c r="N187" i="3"/>
  <c r="N183" i="3"/>
  <c r="N109" i="3"/>
  <c r="N105" i="3"/>
  <c r="N66" i="3"/>
  <c r="N62" i="3"/>
  <c r="N249" i="3"/>
  <c r="N128" i="3"/>
  <c r="N61" i="3"/>
  <c r="N244" i="3"/>
  <c r="N150" i="3"/>
  <c r="N91" i="3"/>
  <c r="N204" i="3"/>
  <c r="N257" i="3"/>
  <c r="N222" i="3"/>
  <c r="N179" i="3"/>
  <c r="N136" i="3"/>
  <c r="N101" i="3"/>
  <c r="N58" i="3"/>
  <c r="N253" i="3"/>
  <c r="N171" i="3"/>
  <c r="N132" i="3"/>
  <c r="N54" i="3"/>
  <c r="N248" i="3"/>
  <c r="N13" i="3"/>
  <c r="N158" i="3"/>
  <c r="N72" i="3"/>
  <c r="N212" i="3"/>
  <c r="N44" i="3"/>
  <c r="N18" i="3"/>
  <c r="N288" i="3"/>
  <c r="N245" i="3"/>
  <c r="N202" i="3"/>
  <c r="N167" i="3"/>
  <c r="N124" i="3"/>
  <c r="N81" i="3"/>
  <c r="N46" i="3"/>
  <c r="N14" i="3"/>
  <c r="N26" i="3"/>
  <c r="N143" i="3"/>
  <c r="N22" i="3"/>
  <c r="N205" i="3"/>
  <c r="N131" i="3"/>
  <c r="N88" i="3"/>
  <c r="N201" i="3"/>
  <c r="N197" i="3"/>
  <c r="N208" i="3"/>
  <c r="N83" i="3"/>
  <c r="N241" i="3"/>
  <c r="N237" i="3"/>
  <c r="N198" i="3"/>
  <c r="N194" i="3"/>
  <c r="N120" i="3"/>
  <c r="N116" i="3"/>
  <c r="N77" i="3"/>
  <c r="N73" i="3"/>
  <c r="N9" i="3"/>
  <c r="N182" i="3"/>
  <c r="N139" i="3"/>
  <c r="N127" i="3"/>
  <c r="N279" i="3"/>
  <c r="N123" i="3"/>
  <c r="N8" i="3"/>
  <c r="N267" i="3"/>
  <c r="N224" i="3"/>
  <c r="N138" i="3"/>
  <c r="N21" i="3"/>
  <c r="N286" i="3"/>
  <c r="N268" i="3"/>
  <c r="N233" i="3"/>
  <c r="N190" i="3"/>
  <c r="N147" i="3"/>
  <c r="N112" i="3"/>
  <c r="N69" i="3"/>
  <c r="N260" i="3"/>
  <c r="N65" i="3"/>
  <c r="N275" i="3"/>
  <c r="N68" i="3"/>
  <c r="N259" i="3"/>
  <c r="N169" i="3"/>
  <c r="N40" i="3"/>
  <c r="N264" i="3"/>
  <c r="N186" i="3"/>
  <c r="N189" i="3"/>
  <c r="N220" i="3"/>
  <c r="N142" i="3"/>
  <c r="N290" i="3"/>
  <c r="N161" i="3"/>
  <c r="N256" i="3"/>
  <c r="N213" i="3"/>
  <c r="N178" i="3"/>
  <c r="N135" i="3"/>
  <c r="N92" i="3"/>
  <c r="N57" i="3"/>
  <c r="N154" i="3"/>
  <c r="N25" i="3"/>
  <c r="N282" i="3"/>
  <c r="N157" i="3"/>
  <c r="N24" i="3"/>
  <c r="N200" i="3"/>
  <c r="N28" i="3"/>
  <c r="N32" i="3"/>
  <c r="N266" i="3"/>
  <c r="N36" i="3"/>
  <c r="N231" i="3"/>
  <c r="N274" i="3"/>
  <c r="N106" i="3"/>
  <c r="N114" i="3"/>
  <c r="N79" i="3"/>
  <c r="N110" i="3"/>
  <c r="N227" i="3"/>
  <c r="N270" i="3"/>
  <c r="N98" i="3"/>
  <c r="N59" i="3"/>
  <c r="N235" i="3"/>
  <c r="N102" i="3"/>
  <c r="N145" i="3"/>
  <c r="N153" i="3"/>
  <c r="N55" i="3"/>
  <c r="N172" i="3"/>
  <c r="N94" i="3"/>
  <c r="N149" i="3"/>
  <c r="N215" i="3"/>
  <c r="N176" i="3"/>
  <c r="N219" i="3"/>
  <c r="N180" i="3"/>
  <c r="N6" i="3"/>
  <c r="N223" i="3"/>
  <c r="N51" i="3"/>
  <c r="N278" i="3"/>
  <c r="G368" i="3"/>
  <c r="D369" i="3"/>
  <c r="N367" i="3"/>
  <c r="L367" i="3"/>
  <c r="R368" i="3"/>
  <c r="B367" i="3"/>
  <c r="E367" i="3" s="1"/>
  <c r="B34" i="9"/>
  <c r="C33" i="9"/>
  <c r="R369" i="3"/>
  <c r="S369" i="3" l="1"/>
  <c r="C34" i="9"/>
  <c r="B35" i="9"/>
  <c r="S368" i="3"/>
  <c r="C368" i="3" s="1"/>
  <c r="F368" i="3" s="1"/>
  <c r="B368" i="3"/>
  <c r="E368" i="3" s="1"/>
  <c r="C369" i="3"/>
  <c r="F369" i="3" s="1"/>
  <c r="B369" i="3"/>
  <c r="E369" i="3" s="1"/>
  <c r="D370" i="3"/>
  <c r="G369" i="3"/>
  <c r="N368" i="3"/>
  <c r="L368" i="3"/>
  <c r="R370" i="3"/>
  <c r="S370" i="3" l="1"/>
  <c r="G370" i="3"/>
  <c r="D371" i="3"/>
  <c r="B370" i="3"/>
  <c r="E370" i="3" s="1"/>
  <c r="C370" i="3"/>
  <c r="F370" i="3" s="1"/>
  <c r="R371" i="3"/>
  <c r="N369" i="3"/>
  <c r="L369" i="3"/>
  <c r="B36" i="9"/>
  <c r="C35" i="9"/>
  <c r="R372" i="3"/>
  <c r="S372" i="3" l="1"/>
  <c r="B37" i="9"/>
  <c r="C36" i="9"/>
  <c r="S371" i="3"/>
  <c r="N370" i="3"/>
  <c r="L370" i="3"/>
  <c r="C371" i="3"/>
  <c r="F371" i="3" s="1"/>
  <c r="B371" i="3"/>
  <c r="E371" i="3" s="1"/>
  <c r="D372" i="3"/>
  <c r="G371" i="3"/>
  <c r="R373" i="3"/>
  <c r="S373" i="3" l="1"/>
  <c r="D373" i="3"/>
  <c r="G372" i="3"/>
  <c r="C372" i="3"/>
  <c r="F372" i="3" s="1"/>
  <c r="B372" i="3"/>
  <c r="E372" i="3" s="1"/>
  <c r="N371" i="3"/>
  <c r="L371" i="3"/>
  <c r="B38" i="9"/>
  <c r="C37" i="9"/>
  <c r="R374" i="3"/>
  <c r="R375" i="3" s="1"/>
  <c r="S375" i="3" l="1"/>
  <c r="S374" i="3"/>
  <c r="B39" i="9"/>
  <c r="C38" i="9"/>
  <c r="N372" i="3"/>
  <c r="L372" i="3"/>
  <c r="R376" i="3"/>
  <c r="C373" i="3"/>
  <c r="F373" i="3" s="1"/>
  <c r="B373" i="3"/>
  <c r="E373" i="3" s="1"/>
  <c r="D374" i="3"/>
  <c r="G373" i="3"/>
  <c r="N373" i="3" l="1"/>
  <c r="L373" i="3"/>
  <c r="D375" i="3"/>
  <c r="C374" i="3"/>
  <c r="F374" i="3" s="1"/>
  <c r="B374" i="3"/>
  <c r="E374" i="3" s="1"/>
  <c r="G374" i="3"/>
  <c r="S376" i="3"/>
  <c r="C39" i="9"/>
  <c r="B40" i="9"/>
  <c r="R377" i="3"/>
  <c r="R378" i="3" s="1"/>
  <c r="S378" i="3" l="1"/>
  <c r="B41" i="9"/>
  <c r="C40" i="9"/>
  <c r="N374" i="3"/>
  <c r="L374" i="3"/>
  <c r="S377" i="3"/>
  <c r="R379" i="3"/>
  <c r="G375" i="3"/>
  <c r="C375" i="3"/>
  <c r="F375" i="3" s="1"/>
  <c r="B375" i="3"/>
  <c r="E375" i="3" s="1"/>
  <c r="D376" i="3"/>
  <c r="D377" i="3" l="1"/>
  <c r="G376" i="3"/>
  <c r="C376" i="3"/>
  <c r="F376" i="3" s="1"/>
  <c r="B376" i="3"/>
  <c r="E376" i="3" s="1"/>
  <c r="S379" i="3"/>
  <c r="N375" i="3"/>
  <c r="L375" i="3"/>
  <c r="R380" i="3"/>
  <c r="B42" i="9"/>
  <c r="C41" i="9"/>
  <c r="R381" i="3"/>
  <c r="S381" i="3" l="1"/>
  <c r="S380" i="3"/>
  <c r="C42" i="9"/>
  <c r="B43" i="9"/>
  <c r="C43" i="9" s="1"/>
  <c r="R382" i="3"/>
  <c r="N376" i="3"/>
  <c r="L376" i="3"/>
  <c r="G377" i="3"/>
  <c r="C377" i="3"/>
  <c r="F377" i="3" s="1"/>
  <c r="B377" i="3"/>
  <c r="E377" i="3" s="1"/>
  <c r="D378" i="3"/>
  <c r="D379" i="3" l="1"/>
  <c r="C378" i="3"/>
  <c r="F378" i="3" s="1"/>
  <c r="G378" i="3"/>
  <c r="B378" i="3"/>
  <c r="E378" i="3" s="1"/>
  <c r="S382" i="3"/>
  <c r="R383" i="3"/>
  <c r="N377" i="3"/>
  <c r="L377" i="3"/>
  <c r="R384" i="3"/>
  <c r="S384" i="3" l="1"/>
  <c r="S383" i="3"/>
  <c r="R385" i="3"/>
  <c r="N378" i="3"/>
  <c r="L378" i="3"/>
  <c r="G379" i="3"/>
  <c r="C379" i="3"/>
  <c r="F379" i="3" s="1"/>
  <c r="D380" i="3"/>
  <c r="B379" i="3"/>
  <c r="E379" i="3" s="1"/>
  <c r="N379" i="3" l="1"/>
  <c r="L379" i="3"/>
  <c r="G380" i="3"/>
  <c r="D381" i="3"/>
  <c r="C380" i="3"/>
  <c r="F380" i="3" s="1"/>
  <c r="B380" i="3"/>
  <c r="E380" i="3" s="1"/>
  <c r="S385" i="3"/>
  <c r="R386" i="3"/>
  <c r="R387" i="3"/>
  <c r="S387" i="3" l="1"/>
  <c r="S386" i="3"/>
  <c r="R388" i="3"/>
  <c r="G381" i="3"/>
  <c r="D382" i="3"/>
  <c r="B381" i="3"/>
  <c r="E381" i="3" s="1"/>
  <c r="C381" i="3"/>
  <c r="F381" i="3" s="1"/>
  <c r="L380" i="3"/>
  <c r="N380" i="3"/>
  <c r="C382" i="3" l="1"/>
  <c r="F382" i="3" s="1"/>
  <c r="B382" i="3"/>
  <c r="E382" i="3" s="1"/>
  <c r="D383" i="3"/>
  <c r="G382" i="3"/>
  <c r="S388" i="3"/>
  <c r="N381" i="3"/>
  <c r="L381" i="3"/>
  <c r="R389" i="3"/>
  <c r="S389" i="3" l="1"/>
  <c r="N382" i="3"/>
  <c r="L382" i="3"/>
  <c r="R390" i="3"/>
  <c r="R391" i="3"/>
  <c r="D384" i="3"/>
  <c r="G383" i="3"/>
  <c r="C383" i="3"/>
  <c r="F383" i="3" s="1"/>
  <c r="B383" i="3"/>
  <c r="E383" i="3" s="1"/>
  <c r="N383" i="3" l="1"/>
  <c r="L383" i="3"/>
  <c r="S391" i="3"/>
  <c r="C384" i="3"/>
  <c r="F384" i="3" s="1"/>
  <c r="B384" i="3"/>
  <c r="E384" i="3" s="1"/>
  <c r="G384" i="3"/>
  <c r="D385" i="3"/>
  <c r="S390" i="3"/>
  <c r="R392" i="3"/>
  <c r="S392" i="3" l="1"/>
  <c r="R393" i="3"/>
  <c r="D386" i="3"/>
  <c r="G385" i="3"/>
  <c r="B385" i="3"/>
  <c r="E385" i="3" s="1"/>
  <c r="C385" i="3"/>
  <c r="F385" i="3" s="1"/>
  <c r="N384" i="3"/>
  <c r="L384" i="3"/>
  <c r="R394" i="3"/>
  <c r="S394" i="3" l="1"/>
  <c r="S393" i="3"/>
  <c r="N385" i="3"/>
  <c r="L385" i="3"/>
  <c r="G386" i="3"/>
  <c r="C386" i="3"/>
  <c r="F386" i="3" s="1"/>
  <c r="B386" i="3"/>
  <c r="E386" i="3" s="1"/>
  <c r="D387" i="3"/>
  <c r="R395" i="3"/>
  <c r="S395" i="3" l="1"/>
  <c r="D388" i="3"/>
  <c r="G387" i="3"/>
  <c r="C387" i="3"/>
  <c r="F387" i="3" s="1"/>
  <c r="B387" i="3"/>
  <c r="E387" i="3" s="1"/>
  <c r="N386" i="3"/>
  <c r="L386" i="3"/>
  <c r="R396" i="3"/>
  <c r="R397" i="3"/>
  <c r="S397" i="3" l="1"/>
  <c r="S396" i="3"/>
  <c r="L387" i="3"/>
  <c r="N387" i="3"/>
  <c r="G388" i="3"/>
  <c r="C388" i="3"/>
  <c r="F388" i="3" s="1"/>
  <c r="B388" i="3"/>
  <c r="E388" i="3" s="1"/>
  <c r="D389" i="3"/>
  <c r="R398" i="3"/>
  <c r="D390" i="3" l="1"/>
  <c r="C389" i="3"/>
  <c r="F389" i="3" s="1"/>
  <c r="B389" i="3"/>
  <c r="E389" i="3" s="1"/>
  <c r="G389" i="3"/>
  <c r="S398" i="3"/>
  <c r="N388" i="3"/>
  <c r="L388" i="3"/>
  <c r="R399" i="3"/>
  <c r="R400" i="3"/>
  <c r="S400" i="3" l="1"/>
  <c r="S399" i="3"/>
  <c r="R401" i="3"/>
  <c r="N389" i="3"/>
  <c r="L389" i="3"/>
  <c r="G390" i="3"/>
  <c r="C390" i="3"/>
  <c r="F390" i="3" s="1"/>
  <c r="D391" i="3"/>
  <c r="B390" i="3"/>
  <c r="E390" i="3" s="1"/>
  <c r="G391" i="3" l="1"/>
  <c r="C391" i="3"/>
  <c r="F391" i="3" s="1"/>
  <c r="B391" i="3"/>
  <c r="E391" i="3" s="1"/>
  <c r="D392" i="3"/>
  <c r="S401" i="3"/>
  <c r="N390" i="3"/>
  <c r="L390" i="3"/>
  <c r="R402" i="3"/>
  <c r="R403" i="3"/>
  <c r="S403" i="3" l="1"/>
  <c r="S402" i="3"/>
  <c r="R404" i="3"/>
  <c r="G392" i="3"/>
  <c r="D393" i="3"/>
  <c r="C392" i="3"/>
  <c r="F392" i="3" s="1"/>
  <c r="B392" i="3"/>
  <c r="E392" i="3" s="1"/>
  <c r="L391" i="3"/>
  <c r="N391" i="3"/>
  <c r="C393" i="3" l="1"/>
  <c r="F393" i="3" s="1"/>
  <c r="B393" i="3"/>
  <c r="E393" i="3" s="1"/>
  <c r="G393" i="3"/>
  <c r="D394" i="3"/>
  <c r="N392" i="3"/>
  <c r="L392" i="3"/>
  <c r="S404" i="3"/>
  <c r="R405" i="3"/>
  <c r="S405" i="3" l="1"/>
  <c r="R406" i="3"/>
  <c r="R407" i="3"/>
  <c r="D395" i="3"/>
  <c r="G394" i="3"/>
  <c r="C394" i="3"/>
  <c r="F394" i="3" s="1"/>
  <c r="B394" i="3"/>
  <c r="E394" i="3" s="1"/>
  <c r="N393" i="3"/>
  <c r="L393" i="3"/>
  <c r="N394" i="3" l="1"/>
  <c r="L394" i="3"/>
  <c r="S407" i="3"/>
  <c r="S406" i="3"/>
  <c r="C395" i="3"/>
  <c r="F395" i="3" s="1"/>
  <c r="B395" i="3"/>
  <c r="E395" i="3" s="1"/>
  <c r="G395" i="3"/>
  <c r="D396" i="3"/>
  <c r="R408" i="3"/>
  <c r="S408" i="3" l="1"/>
  <c r="D397" i="3"/>
  <c r="C396" i="3"/>
  <c r="F396" i="3" s="1"/>
  <c r="B396" i="3"/>
  <c r="E396" i="3" s="1"/>
  <c r="G396" i="3"/>
  <c r="L395" i="3"/>
  <c r="N395" i="3"/>
  <c r="R409" i="3"/>
  <c r="R410" i="3"/>
  <c r="S410" i="3" l="1"/>
  <c r="S409" i="3"/>
  <c r="N396" i="3"/>
  <c r="L396" i="3"/>
  <c r="G397" i="3"/>
  <c r="C397" i="3"/>
  <c r="F397" i="3" s="1"/>
  <c r="B397" i="3"/>
  <c r="E397" i="3" s="1"/>
  <c r="D398" i="3"/>
  <c r="R411" i="3"/>
  <c r="S411" i="3" s="1"/>
  <c r="D399" i="3" l="1"/>
  <c r="G398" i="3"/>
  <c r="C398" i="3"/>
  <c r="F398" i="3" s="1"/>
  <c r="B398" i="3"/>
  <c r="E398" i="3" s="1"/>
  <c r="N397" i="3"/>
  <c r="L397" i="3"/>
  <c r="R412" i="3"/>
  <c r="S412" i="3" s="1"/>
  <c r="R413" i="3"/>
  <c r="S413" i="3" s="1"/>
  <c r="N398" i="3" l="1"/>
  <c r="L398" i="3"/>
  <c r="C399" i="3"/>
  <c r="F399" i="3" s="1"/>
  <c r="G399" i="3"/>
  <c r="B399" i="3"/>
  <c r="E399" i="3" s="1"/>
  <c r="D400" i="3"/>
  <c r="D401" i="3" l="1"/>
  <c r="C400" i="3"/>
  <c r="F400" i="3" s="1"/>
  <c r="B400" i="3"/>
  <c r="E400" i="3" s="1"/>
  <c r="G400" i="3"/>
  <c r="N399" i="3"/>
  <c r="L399" i="3"/>
  <c r="N400" i="3" l="1"/>
  <c r="L400" i="3"/>
  <c r="G401" i="3"/>
  <c r="C401" i="3"/>
  <c r="F401" i="3" s="1"/>
  <c r="D402" i="3"/>
  <c r="B401" i="3"/>
  <c r="E401" i="3" s="1"/>
  <c r="G402" i="3" l="1"/>
  <c r="D403" i="3"/>
  <c r="C402" i="3"/>
  <c r="F402" i="3" s="1"/>
  <c r="B402" i="3"/>
  <c r="E402" i="3" s="1"/>
  <c r="N401" i="3"/>
  <c r="L401" i="3"/>
  <c r="G403" i="3" l="1"/>
  <c r="D404" i="3"/>
  <c r="C403" i="3"/>
  <c r="F403" i="3" s="1"/>
  <c r="B403" i="3"/>
  <c r="E403" i="3" s="1"/>
  <c r="N402" i="3"/>
  <c r="L402" i="3"/>
  <c r="C404" i="3" l="1"/>
  <c r="F404" i="3" s="1"/>
  <c r="B404" i="3"/>
  <c r="E404" i="3" s="1"/>
  <c r="G404" i="3"/>
  <c r="D405" i="3"/>
  <c r="N403" i="3"/>
  <c r="L403" i="3"/>
  <c r="D406" i="3" l="1"/>
  <c r="G405" i="3"/>
  <c r="C405" i="3"/>
  <c r="F405" i="3" s="1"/>
  <c r="B405" i="3"/>
  <c r="E405" i="3" s="1"/>
  <c r="L404" i="3"/>
  <c r="N404" i="3"/>
  <c r="N405" i="3" l="1"/>
  <c r="L405" i="3"/>
  <c r="C406" i="3"/>
  <c r="F406" i="3" s="1"/>
  <c r="B406" i="3"/>
  <c r="E406" i="3" s="1"/>
  <c r="G406" i="3"/>
  <c r="D407" i="3"/>
  <c r="D408" i="3" l="1"/>
  <c r="C407" i="3"/>
  <c r="F407" i="3" s="1"/>
  <c r="G407" i="3"/>
  <c r="B407" i="3"/>
  <c r="E407" i="3" s="1"/>
  <c r="N406" i="3"/>
  <c r="L406" i="3"/>
  <c r="N407" i="3" l="1"/>
  <c r="L407" i="3"/>
  <c r="G408" i="3"/>
  <c r="C408" i="3"/>
  <c r="F408" i="3" s="1"/>
  <c r="B408" i="3"/>
  <c r="E408" i="3" s="1"/>
  <c r="D409" i="3"/>
  <c r="D410" i="3" l="1"/>
  <c r="G409" i="3"/>
  <c r="C409" i="3"/>
  <c r="F409" i="3" s="1"/>
  <c r="B409" i="3"/>
  <c r="E409" i="3" s="1"/>
  <c r="N408" i="3"/>
  <c r="L408" i="3"/>
  <c r="N409" i="3" l="1"/>
  <c r="L409" i="3"/>
  <c r="G410" i="3"/>
  <c r="C410" i="3"/>
  <c r="F410" i="3" s="1"/>
  <c r="B410" i="3"/>
  <c r="E410" i="3" s="1"/>
  <c r="D411" i="3"/>
  <c r="D412" i="3" l="1"/>
  <c r="G411" i="3"/>
  <c r="C411" i="3"/>
  <c r="F411" i="3" s="1"/>
  <c r="B411" i="3"/>
  <c r="E411" i="3" s="1"/>
  <c r="N410" i="3"/>
  <c r="L410" i="3"/>
  <c r="L411" i="3" l="1"/>
  <c r="N411" i="3"/>
  <c r="G412" i="3"/>
  <c r="C412" i="3"/>
  <c r="F412" i="3" s="1"/>
  <c r="D413" i="3"/>
  <c r="B412" i="3"/>
  <c r="E412" i="3" s="1"/>
  <c r="G413" i="3" l="1"/>
  <c r="C413" i="3"/>
  <c r="F413" i="3" s="1"/>
  <c r="B413" i="3"/>
  <c r="E413" i="3" s="1"/>
  <c r="N412" i="3"/>
  <c r="L412" i="3"/>
  <c r="N413" i="3" l="1"/>
  <c r="L41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<sst xmlns="http://schemas.openxmlformats.org/spreadsheetml/2006/main" count="533" uniqueCount="469">
  <si>
    <t>Sum of Total nominal food sales</t>
  </si>
  <si>
    <t>Column Labels</t>
  </si>
  <si>
    <t>Row Labels</t>
  </si>
  <si>
    <t>January</t>
  </si>
  <si>
    <t>February</t>
  </si>
  <si>
    <t>March</t>
  </si>
  <si>
    <t>April</t>
  </si>
  <si>
    <t>May</t>
  </si>
  <si>
    <t>June</t>
  </si>
  <si>
    <t>July</t>
  </si>
  <si>
    <t>August</t>
  </si>
  <si>
    <t>September</t>
  </si>
  <si>
    <t>October</t>
  </si>
  <si>
    <t>November</t>
  </si>
  <si>
    <t>December</t>
  </si>
  <si>
    <t>Grand Total</t>
  </si>
  <si>
    <t>Monthly sales of food, with taxes and tips, for all purchasers</t>
  </si>
  <si>
    <t>Monthly Sales Of Food For All Purchasers With Taxes And Tips</t>
  </si>
  <si>
    <t>[$ Million]</t>
  </si>
  <si>
    <t>[Millions of Dollars]</t>
  </si>
  <si>
    <t>Monthly Change Constant Dollars</t>
  </si>
  <si>
    <t>Year-over-Year Change - Real</t>
  </si>
  <si>
    <t>UCO Production (million pounds)</t>
  </si>
  <si>
    <t>USDA Site</t>
  </si>
  <si>
    <t>FAH Percent</t>
  </si>
  <si>
    <t>FAFH Percent</t>
  </si>
  <si>
    <t>Real GDP Forecast</t>
  </si>
  <si>
    <t>Total constant dollar food sales</t>
  </si>
  <si>
    <t>Use GDP Now from Atlanta Fed for current quarter forecast</t>
  </si>
  <si>
    <t>Year</t>
  </si>
  <si>
    <t>FAH - Nominal</t>
  </si>
  <si>
    <t>FAFH - Nominal</t>
  </si>
  <si>
    <t>Total nominal food sales</t>
  </si>
  <si>
    <t>FAH - Constant $</t>
  </si>
  <si>
    <t>FAFH - Constant $</t>
  </si>
  <si>
    <t>pounds per $</t>
  </si>
  <si>
    <t>20/21</t>
  </si>
  <si>
    <t>21/22</t>
  </si>
  <si>
    <t>22/23</t>
  </si>
  <si>
    <t>23/24</t>
  </si>
  <si>
    <t>24/25</t>
  </si>
  <si>
    <t>Food at Home - Constant $</t>
  </si>
  <si>
    <t>Jan</t>
  </si>
  <si>
    <t>Feb</t>
  </si>
  <si>
    <t>Mar</t>
  </si>
  <si>
    <t>Apr</t>
  </si>
  <si>
    <t>Jun</t>
  </si>
  <si>
    <t>Jul</t>
  </si>
  <si>
    <t>Aug</t>
  </si>
  <si>
    <t>Sep</t>
  </si>
  <si>
    <t>Oct</t>
  </si>
  <si>
    <t>Nov</t>
  </si>
  <si>
    <t>Dec</t>
  </si>
  <si>
    <t>5-Year Average</t>
  </si>
  <si>
    <t>5-Year Maximum</t>
  </si>
  <si>
    <t>5-Year Minimum</t>
  </si>
  <si>
    <t>Percent Change from 5-Year Average</t>
  </si>
  <si>
    <t>Food Away from Home - Constant $</t>
  </si>
  <si>
    <t>Food Expendatures at Home - Nominal $</t>
  </si>
  <si>
    <t>Food Expendatures Away From Home - Nominal $</t>
  </si>
  <si>
    <t>Total Food Expendatures - Nominal $</t>
  </si>
  <si>
    <t>Five-Year Average</t>
  </si>
  <si>
    <t>Change from 5-Year Average</t>
  </si>
  <si>
    <t>2005:1</t>
  </si>
  <si>
    <t>release:</t>
  </si>
  <si>
    <t>2023_3</t>
  </si>
  <si>
    <t>2038:4</t>
  </si>
  <si>
    <t>GDPR</t>
  </si>
  <si>
    <t>CR</t>
  </si>
  <si>
    <t>CPIU</t>
  </si>
  <si>
    <t>IRFF</t>
  </si>
  <si>
    <t>IRG10Y</t>
  </si>
  <si>
    <t>UR</t>
  </si>
  <si>
    <t>IND</t>
  </si>
  <si>
    <t>INDM</t>
  </si>
  <si>
    <t>INDMD</t>
  </si>
  <si>
    <t>INDMN</t>
  </si>
  <si>
    <t>PPI</t>
  </si>
  <si>
    <t>PWTI</t>
  </si>
  <si>
    <t>PBRENT</t>
  </si>
  <si>
    <t>PNGAS</t>
  </si>
  <si>
    <t>HSTARTS</t>
  </si>
  <si>
    <t>NETEXM</t>
  </si>
  <si>
    <t>IRPRIME</t>
  </si>
  <si>
    <t>CNR</t>
  </si>
  <si>
    <t>IRG3M</t>
  </si>
  <si>
    <t>IRG30Y</t>
  </si>
  <si>
    <t>ZAR</t>
  </si>
  <si>
    <t>ECI</t>
  </si>
  <si>
    <t>YDR</t>
  </si>
  <si>
    <t>KFRB</t>
  </si>
  <si>
    <t>UKFRB</t>
  </si>
  <si>
    <t>JQZMHNF</t>
  </si>
  <si>
    <t>JQZMHM</t>
  </si>
  <si>
    <t>PMOIL</t>
  </si>
  <si>
    <t>PGDP</t>
  </si>
  <si>
    <t>PICNR</t>
  </si>
  <si>
    <t>PICR</t>
  </si>
  <si>
    <t>POP</t>
  </si>
  <si>
    <t>HH</t>
  </si>
  <si>
    <t>PPIIG</t>
  </si>
  <si>
    <t>PPIIND</t>
  </si>
  <si>
    <t>GDP</t>
  </si>
  <si>
    <t>PPI051</t>
  </si>
  <si>
    <t>PPI053</t>
  </si>
  <si>
    <t>PPI054</t>
  </si>
  <si>
    <t>PPI057</t>
  </si>
  <si>
    <t>PPI06</t>
  </si>
  <si>
    <t>PPI07</t>
  </si>
  <si>
    <t>PPIENERGY</t>
  </si>
  <si>
    <t>PPI05</t>
  </si>
  <si>
    <t>PPIFOOD</t>
  </si>
  <si>
    <t>GDPR_CA</t>
  </si>
  <si>
    <t>CR_CA</t>
  </si>
  <si>
    <t>IND_CA</t>
  </si>
  <si>
    <t>CPI_CA</t>
  </si>
  <si>
    <t>HSTARTS_CA</t>
  </si>
  <si>
    <t>XRUSCA</t>
  </si>
  <si>
    <t>YPR_CA</t>
  </si>
  <si>
    <t>AHEM_CA</t>
  </si>
  <si>
    <t>UR_CA</t>
  </si>
  <si>
    <t>PPI_CA</t>
  </si>
  <si>
    <t>IRG3M_CA</t>
  </si>
  <si>
    <t>IRBANK_CA</t>
  </si>
  <si>
    <t>IRG10Y_CA</t>
  </si>
  <si>
    <t>PICNRR_CA</t>
  </si>
  <si>
    <t>PGDPR_CA</t>
  </si>
  <si>
    <t>POIL_CA</t>
  </si>
  <si>
    <t>PWTI_CA</t>
  </si>
  <si>
    <t>INDMD_CA</t>
  </si>
  <si>
    <t>INDMN_CA</t>
  </si>
  <si>
    <t>N_CA</t>
  </si>
  <si>
    <t>XRCAUS</t>
  </si>
  <si>
    <t>YP_CA</t>
  </si>
  <si>
    <t>TRANSP_CA</t>
  </si>
  <si>
    <t>GDPR_EMU</t>
  </si>
  <si>
    <t>CR_EMU</t>
  </si>
  <si>
    <t>IND_EMU</t>
  </si>
  <si>
    <t>CPI_EMU</t>
  </si>
  <si>
    <t>PPI_EMU</t>
  </si>
  <si>
    <t>XRUSEU</t>
  </si>
  <si>
    <t>IRG10Y_DE</t>
  </si>
  <si>
    <t>IRG10Y_FI</t>
  </si>
  <si>
    <t>IRG10Y_SE</t>
  </si>
  <si>
    <t>XRGBUS</t>
  </si>
  <si>
    <t>XRSEUS</t>
  </si>
  <si>
    <t>IND_DE</t>
  </si>
  <si>
    <t>IND_FR</t>
  </si>
  <si>
    <t>IND_IT</t>
  </si>
  <si>
    <t>IND_GB</t>
  </si>
  <si>
    <t>INDCN_DE</t>
  </si>
  <si>
    <t>INDCN_FR</t>
  </si>
  <si>
    <t>INDCN_IT</t>
  </si>
  <si>
    <t>INDCN_GB</t>
  </si>
  <si>
    <t>CPI_GY</t>
  </si>
  <si>
    <t>PPI_DE</t>
  </si>
  <si>
    <t>CPI_PT</t>
  </si>
  <si>
    <t>PPI_ES</t>
  </si>
  <si>
    <t>XREUUS</t>
  </si>
  <si>
    <t>INDCN_EMU</t>
  </si>
  <si>
    <t>IRECR_DE</t>
  </si>
  <si>
    <t>PBRENT_EUR</t>
  </si>
  <si>
    <t>XRRUUS</t>
  </si>
  <si>
    <t>XRCZUS</t>
  </si>
  <si>
    <t>XRCZEU</t>
  </si>
  <si>
    <t xml:space="preserve"> PPIIND_FI</t>
  </si>
  <si>
    <t xml:space="preserve"> PPIIND_PT</t>
  </si>
  <si>
    <t xml:space="preserve"> PPIIND_SE</t>
  </si>
  <si>
    <t>PPIIND_AT</t>
  </si>
  <si>
    <t>PPIIND_CZ</t>
  </si>
  <si>
    <t>PPI_RU</t>
  </si>
  <si>
    <t>AHEM_RU_YY</t>
  </si>
  <si>
    <t>AHEM_DE</t>
  </si>
  <si>
    <t>AHEM_FI</t>
  </si>
  <si>
    <t>AHEM_SP</t>
  </si>
  <si>
    <t>AHEM_PT</t>
  </si>
  <si>
    <t>AHEM_SE</t>
  </si>
  <si>
    <t>AHEM_AT</t>
  </si>
  <si>
    <t>AHEM_CZ</t>
  </si>
  <si>
    <t>PELEC_FN</t>
  </si>
  <si>
    <t>PPICHEM_FN</t>
  </si>
  <si>
    <t>PELEC_GY</t>
  </si>
  <si>
    <t>PPICHEM_GY</t>
  </si>
  <si>
    <t>PELEC_SP</t>
  </si>
  <si>
    <t>PPICHEM_SP</t>
  </si>
  <si>
    <t>PELEC_SW</t>
  </si>
  <si>
    <t>PPICHEM_SW</t>
  </si>
  <si>
    <t>PELEC_PT</t>
  </si>
  <si>
    <t>PPICHEM_PT</t>
  </si>
  <si>
    <t>GDPR_JP</t>
  </si>
  <si>
    <t>CR_JP</t>
  </si>
  <si>
    <t>IND_JP</t>
  </si>
  <si>
    <t>CPI_JP</t>
  </si>
  <si>
    <t>PPI_JP</t>
  </si>
  <si>
    <t>PGDP_JP</t>
  </si>
  <si>
    <t>HSTARTS_JP</t>
  </si>
  <si>
    <t>XRJPUS</t>
  </si>
  <si>
    <t>PPI_DE_OLD</t>
  </si>
  <si>
    <t>PPI_ES_OLD</t>
  </si>
  <si>
    <t xml:space="preserve"> PPIIND_PT_OLD</t>
  </si>
  <si>
    <t xml:space="preserve"> PPIIND_FI_OLD</t>
  </si>
  <si>
    <t xml:space="preserve"> PPIIND_SE_OLD</t>
  </si>
  <si>
    <t>PELEC_FN_OLD</t>
  </si>
  <si>
    <t>PELEC_GY_OLD</t>
  </si>
  <si>
    <t>PELEC_PT_OLD</t>
  </si>
  <si>
    <t>PELEC_SP_OLD</t>
  </si>
  <si>
    <t>PELEC_SW_OLD</t>
  </si>
  <si>
    <t>PHFO_FN_OLD</t>
  </si>
  <si>
    <t>PHFO_GY_OLD</t>
  </si>
  <si>
    <t>PHFO_PT_OLD</t>
  </si>
  <si>
    <t>PHFO_SP_OLD</t>
  </si>
  <si>
    <t>PHFO_SW_OLD</t>
  </si>
  <si>
    <t>PPICHEM_FN_OLD</t>
  </si>
  <si>
    <t>PPICHEM_SP_OLD</t>
  </si>
  <si>
    <t>PPICHEM_SW_OLD</t>
  </si>
  <si>
    <t>PPINS_BR</t>
  </si>
  <si>
    <t>PPINS_CL</t>
  </si>
  <si>
    <t>PPINS_ID</t>
  </si>
  <si>
    <t>PPI_BR</t>
  </si>
  <si>
    <t>PPI_CL</t>
  </si>
  <si>
    <t>PPI_ID</t>
  </si>
  <si>
    <t>PPICHEM_BR</t>
  </si>
  <si>
    <t>PPIELECT_BR</t>
  </si>
  <si>
    <t>WAGES_BR</t>
  </si>
  <si>
    <t>WAGES_CL</t>
  </si>
  <si>
    <t>WAGES_ID</t>
  </si>
  <si>
    <t>PPI_CN</t>
  </si>
  <si>
    <t>XRBRUS</t>
  </si>
  <si>
    <t>XRCLUS</t>
  </si>
  <si>
    <t>XRIDUS</t>
  </si>
  <si>
    <t>XRCNUS</t>
  </si>
  <si>
    <t>XRMXUS</t>
  </si>
  <si>
    <t>EXCH</t>
  </si>
  <si>
    <t>EXCHR</t>
  </si>
  <si>
    <t>2005:2</t>
  </si>
  <si>
    <t>2005:3</t>
  </si>
  <si>
    <t>2005:4</t>
  </si>
  <si>
    <t>2006:1</t>
  </si>
  <si>
    <t>2006:2</t>
  </si>
  <si>
    <t>2006:3</t>
  </si>
  <si>
    <t>2006:4</t>
  </si>
  <si>
    <t>2007:1</t>
  </si>
  <si>
    <t>2007:2</t>
  </si>
  <si>
    <t>2007:3</t>
  </si>
  <si>
    <t>2007:4</t>
  </si>
  <si>
    <t>2008:1</t>
  </si>
  <si>
    <t>2008:2</t>
  </si>
  <si>
    <t>2008:3</t>
  </si>
  <si>
    <t>2008:4</t>
  </si>
  <si>
    <t>2009:1</t>
  </si>
  <si>
    <t>2009:2</t>
  </si>
  <si>
    <t>2009:3</t>
  </si>
  <si>
    <t>2009:4</t>
  </si>
  <si>
    <t>2010:1</t>
  </si>
  <si>
    <t>2010:2</t>
  </si>
  <si>
    <t>2010:3</t>
  </si>
  <si>
    <t>2010:4</t>
  </si>
  <si>
    <t>2011:1</t>
  </si>
  <si>
    <t>2011:2</t>
  </si>
  <si>
    <t>2011:3</t>
  </si>
  <si>
    <t>2011:4</t>
  </si>
  <si>
    <t>2012:1</t>
  </si>
  <si>
    <t>2012:2</t>
  </si>
  <si>
    <t>2012:3</t>
  </si>
  <si>
    <t>2012:4</t>
  </si>
  <si>
    <t>2013:1</t>
  </si>
  <si>
    <t>2013:2</t>
  </si>
  <si>
    <t>2013:3</t>
  </si>
  <si>
    <t>2013:4</t>
  </si>
  <si>
    <t>2014:1</t>
  </si>
  <si>
    <t>2014:2</t>
  </si>
  <si>
    <t>2014:3</t>
  </si>
  <si>
    <t>2014:4</t>
  </si>
  <si>
    <t>2015:1</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</si>
  <si>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</si>
  <si>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</si>
  <si>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</si>
  <si>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</si>
  <si>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</si>
  <si>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</si>
  <si>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</si>
  <si>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</si>
  <si>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</si>
  <si>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</si>
  <si>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</si>
  <si>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</si>
  <si>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</si>
  <si>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</si>
  <si>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</si>
  <si>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</si>
  <si>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</si>
  <si>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</si>
  <si>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</si>
  <si>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</si>
  <si>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</si>
  <si>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</si>
  <si>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</si>
  <si>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</si>
  <si>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</si>
  <si>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</si>
  <si>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</si>
  <si>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</si>
  <si>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</si>
  <si>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</si>
  <si>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</si>
  <si>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</si>
  <si>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</si>
  <si>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2023:3</t>
  </si>
  <si>
    <t>2023:4</t>
  </si>
  <si>
    <t>2024:1</t>
  </si>
  <si>
    <t>2024:2</t>
  </si>
  <si>
    <t>2024:3</t>
  </si>
  <si>
    <t>2024:4</t>
  </si>
  <si>
    <t>2025:1</t>
  </si>
  <si>
    <t>2025:2</t>
  </si>
  <si>
    <t>2025:3</t>
  </si>
  <si>
    <t>2025:4</t>
  </si>
  <si>
    <t>2026:1</t>
  </si>
  <si>
    <t>2026:2</t>
  </si>
  <si>
    <t>2026:3</t>
  </si>
  <si>
    <t>2026:4</t>
  </si>
  <si>
    <t>2027:1</t>
  </si>
  <si>
    <t>2027:2</t>
  </si>
  <si>
    <t>2027:3</t>
  </si>
  <si>
    <t>2027:4</t>
  </si>
  <si>
    <t>2028:1</t>
  </si>
  <si>
    <t>2028:2</t>
  </si>
  <si>
    <t>2028:3</t>
  </si>
  <si>
    <t>2028:4</t>
  </si>
  <si>
    <t>2029:1</t>
  </si>
  <si>
    <t>2029:2</t>
  </si>
  <si>
    <t>2029:3</t>
  </si>
  <si>
    <t>2029:4</t>
  </si>
  <si>
    <t>2030:1</t>
  </si>
  <si>
    <t>2030:2</t>
  </si>
  <si>
    <t>2030:3</t>
  </si>
  <si>
    <t>2030:4</t>
  </si>
  <si>
    <t>2031:1</t>
  </si>
  <si>
    <t>2031:2</t>
  </si>
  <si>
    <t>2031:3</t>
  </si>
  <si>
    <t>2031:4</t>
  </si>
  <si>
    <t>2032:1</t>
  </si>
  <si>
    <t>2032:2</t>
  </si>
  <si>
    <t>2032:3</t>
  </si>
  <si>
    <t>2032:4</t>
  </si>
  <si>
    <t>2033:1</t>
  </si>
  <si>
    <t>2033:2</t>
  </si>
  <si>
    <t>2033:3</t>
  </si>
  <si>
    <t>2033:4</t>
  </si>
  <si>
    <t>2034:1</t>
  </si>
  <si>
    <t>2034:2</t>
  </si>
  <si>
    <t>2034:3</t>
  </si>
  <si>
    <t>2034:4</t>
  </si>
  <si>
    <t>2035:1</t>
  </si>
  <si>
    <t>2035:2</t>
  </si>
  <si>
    <t>2035:3</t>
  </si>
  <si>
    <t>2035:4</t>
  </si>
  <si>
    <t>2036:1</t>
  </si>
  <si>
    <t>2036:2</t>
  </si>
  <si>
    <t>2036:3</t>
  </si>
  <si>
    <t>2036:4</t>
  </si>
  <si>
    <t>2037:1</t>
  </si>
  <si>
    <t>2037:2</t>
  </si>
  <si>
    <t>2037:3</t>
  </si>
  <si>
    <t>2037:4</t>
  </si>
  <si>
    <t>2038:1</t>
  </si>
  <si>
    <t>2038:2</t>
  </si>
  <si>
    <t>2038:3</t>
  </si>
  <si>
    <t>OECD GDP Projections</t>
  </si>
  <si>
    <t>OECD Population Projections</t>
  </si>
  <si>
    <t>Stats Canada Population Projections</t>
  </si>
  <si>
    <t>CANADA ECONOMIC GROWTH (million USD)</t>
  </si>
  <si>
    <t>Value</t>
  </si>
  <si>
    <t>GDP Growth</t>
  </si>
  <si>
    <t>Per Cap GDP M2 Medium Growth 5 Scenario</t>
  </si>
  <si>
    <t>Per Cap GDP Med Growth Scenario</t>
  </si>
  <si>
    <t>OECD - 2024</t>
  </si>
  <si>
    <t>GDP - in USD constant 2015 exchange</t>
  </si>
  <si>
    <t>Projected population, by projection scenario, age and sex, as of July 1 (x 1,000) 1</t>
  </si>
  <si>
    <t>Frequency: Annual</t>
  </si>
  <si>
    <t>Table: 17-10-0057-01 (formerly CANSIM 052-0005)</t>
  </si>
  <si>
    <t>Release date: 2022-08-22</t>
  </si>
  <si>
    <t>Geography: Canada, Province or territory</t>
  </si>
  <si>
    <t>Geography 2</t>
  </si>
  <si>
    <t>Canada</t>
  </si>
  <si>
    <t>Sex</t>
  </si>
  <si>
    <t>Both sexes</t>
  </si>
  <si>
    <t>Age group</t>
  </si>
  <si>
    <t>All ages</t>
  </si>
  <si>
    <t>Projection scenario 1</t>
  </si>
  <si>
    <t>Projection scenario LG: low-growth 3</t>
  </si>
  <si>
    <t>Projection scenario M1: medium-growth 4</t>
  </si>
  <si>
    <t>Projection scenario M2: medium-growth 5</t>
  </si>
  <si>
    <t>Projection scenario M3: medium-growth 6</t>
  </si>
  <si>
    <t>Projection scenario M4: medium-growth 7</t>
  </si>
  <si>
    <t>Projection scenario M5: medium-growth 8</t>
  </si>
  <si>
    <t>Projection scenario M6: medium-growth 9</t>
  </si>
  <si>
    <t>Projection scenario HG: high-growth 10</t>
  </si>
  <si>
    <t>Projection scenario SA: slow-aging 11</t>
  </si>
  <si>
    <t>Projection scenario FA: fast-aging 12</t>
  </si>
  <si>
    <t>Reference period</t>
  </si>
  <si>
    <t>Persons</t>
  </si>
  <si>
    <t>Footnotes:</t>
  </si>
  <si>
    <t>The base population for these projections is derived from the official preliminary postcensal estimates of the population for Canada, provinces and territories as of July 1, 2018. In all scenarios, the population is projected until 2043 for the provinces and territories, and until 2068 for Canada as a whole. For more detail on the assumptions and scenarios, please refer to the projection report (catalogue 91-520) and the technical report (catalogue 91-620). Because of rounding, counts within tables may differ from the totals.</t>
  </si>
  <si>
    <t>The population is projected until 2043 for the provinces and territories, and until 2068 for Canada as a whole.</t>
  </si>
  <si>
    <t>The low-growth scenario contains the following assumptions at the Canada level: the total fertility rate reaches 1.40 children per woman in 2042/2043 and remains constant thereafter; life expectancy at birth reaches 85.6 years for males and 88.8 years for females in 2067/2068; interprovincial migration is based on the trends observed between 1991/1992 and 2016/2017; the immigration rate reaches 0.65% in 2042/2043 and remains constant thereafter; the annual number of non-permanent residents reaches 1,080,910 in 2043 and remains constant thereafter; the net emigration rate reaches 0.18% in 2042/2043 and remains constant thereafter.</t>
  </si>
  <si>
    <t>The medium-growth (M1) scenario contains the following assumptions at the Canada level: the total fertility rate reaches 1.59 children per woman in 2042/2043 and remains constant thereafter; life expectancy at birth reaches 87.0 years for males and 89.0 years for females in 2067/2068; interprovincial migration is based on the trends observed between 1991/1992 and 2016/2017; the immigration rate reaches 0.83% in 2042/2043 and remains constant thereafter; the annual number of non-permanent residents reaches 1,397,060 in 2043 and remains constant thereafter; the net emigration rate reaches 0.15% in 2042/2043 and remains constant thereafter.</t>
  </si>
  <si>
    <t>The medium-growth (M2) scenario contains the following assumptions at the Canada level: the total fertility rate reaches 1.59 children per woman in 2042/2043 and remains constant thereafter; life expectancy at birth reaches 87.0 years for males and 89.0 years for females in 2067/2068; interprovincial migration is based on the trends observed between 1995/1996 and 2010/2011; the immigration rate reaches 0.83% in 2042/2043 and remains constant thereafter; the annual number of non-permanent residents reaches 1,397,060 in 2043 and remains constant thereafter; the net emigration rate reaches 0.15% in 2042/2043 and remains constant thereafter.</t>
  </si>
  <si>
    <t>The medium-growth (M3) scenario contains the following assumptions at the Canada level: the total fertility rate reaches 1.59 children per woman in 2042/2043 and remains constant thereafter; life expectancy at birth reaches 87.0 years for males and 89.0 years for females in 2067/2068; interprovincial migration is based on the trends observed between 2003/2004 and 2008/2009; the immigration rate reaches 0.83% in 2042/2043 and remains constant thereafter; the annual number of non-permanent residents reaches 1,397,060 in 2043 and remains constant thereafter; the net emigration rate reaches 0.15% in 2042/2043 and remains constant thereafter.</t>
  </si>
  <si>
    <t>The medium-growth (M4) scenario contains the following assumptions at the Canada level: the total fertility rate reaches 1.59 children per woman in 2042/2043 and remains constant thereafter; life expectancy at birth reaches 87.0 years for males and 89.0 years for females in 2067/2068; interprovincial migration is based on the trends observed between 2009/2010 and 2016/2017; the immigration rate reaches 0.83% in 2042/2043 and remains constant thereafter; the annual number of non-permanent residents reaches 1,397,060 in 2043 and remains constant thereafter; the net emigration rate reaches 0.15% in 2042/2043 and remains constant thereafter.</t>
  </si>
  <si>
    <t>The medium-growth (M5) scenario contains the following assumptions at the Canada level: the total fertility rate reaches 1.59 children per woman in 2042/2043 and remains constant thereafter; life expectancy at birth reaches 87.0 years for males and 89.0 years for females in 2067/2068; interprovincial migration is based on the trends observed between 2014/2015 and 2016/2017; the immigration rate reaches 0.83% in 2042/2043 and remains constant thereafter; the annual number of non-permanent residents reaches 1,397,060 in 2043 and remains constant thereafter; the net emigration rate reaches 0.15% in 2042/2043 and remains constant thereafter.</t>
  </si>
  <si>
    <t>The medium-growth (M6) scenario contains the following assumptions at the Canada level: the total fertility rate reaches 1.59 children per woman in 2042/2043 and remains constant thereafter; life expectancy at birth reaches 83.7 years for males and 87.4 years for females in 2042/2043; interprovincial migration is based on the trends observed between 2018/2019 and 2020/2021; the immigration rate reaches 0.83% in 2042/2043 and remains constant thereafter; the annual number of non-permanent residents reaches 1,795,809 in 2043 and remains constant thereafter; the net emigration rate reaches 0.15% in 2042/2043 and remains constant thereafter.</t>
  </si>
  <si>
    <t>The high-growth scenario contains the following assumptions at the Canada level: the total fertility rate reaches 1.79 children per woman in 2042/2043 and remains constant thereafter; life expectancy at birth reaches 88.0 years for males and 91.3 years for females in 2067/2068; interprovincial migration is based on the trends observed between 1991/1992 and 2016/2017; the immigration rate reaches 1.08% in 2042/2043 and remains constant thereafter; the annual number of non-permanent residents reaches 1,944,400 in 2043 and remains constant thereafter; the net emigration rate reaches 0.13% in 2042/2043 and remains constant thereafter.</t>
  </si>
  <si>
    <t>The slow-aging scenario contains the following assumptions at the Canada level: the total fertility rate reaches 1.79 children per woman in 2042/2043 and remains constant thereafter; life expectancy at birth reaches 85.6 years for males and 88.8 years for females in 2067/2068; interprovincial migration is based on the trends observed between 1991/1992 and 2016/2017; the immigration rate reaches 1.08% in 2042/2043 and remains constant thereafter; the annual number of non-permanent residents reaches 1,944,400 in 2043 and remains constant thereafter; the net emigration rate reaches 0.13% in 2042/2043 and remains constant thereafter.</t>
  </si>
  <si>
    <t>The fast-aging scenario contains the following assumptions at the Canada level: the total fertility rate reaches 1.40 children per woman in 2042/2043 and remains constant thereafter; life expectancy at birth reaches 88.0 years for males and 91.3 years for females in 2067/2068; interprovincial migration is based on the trends observed between 1991/1992 and 2016/2017; the immigration rate reaches 0.65% in 2042/2043 and remains constant thereafter; the annual number of non-permanent residents reaches 1,080,910 in 2043 and remains constant thereafter; the net emigration rate reaches 0.18% in 2042/2043 and remains constant thereafter.</t>
  </si>
  <si>
    <t>How to cite: Statistics Canada. Table 17-10-0057-01  Projected population, by projection scenario, age and sex, as of July 1 (x 1,000)</t>
  </si>
  <si>
    <t>https://www150.statcan.gc.ca/t1/tbl1/en/tv.action?pid=1710005701</t>
  </si>
  <si>
    <t>MEXICO ECONOMIC GROWTH (million USD)</t>
  </si>
  <si>
    <t>OECD Population</t>
  </si>
  <si>
    <t>Per Capita GDP</t>
  </si>
  <si>
    <t>&lt;?xml version="1.0" encoding="utf-16"?&gt;&lt;WebTableParameter xmlns:xsd="http://www.w3.org/2001/XMLSchema" xmlns:xsi="http://www.w3.org/2001/XMLSchema-instance" xmlns="http://stats.oecd.org/OECDStatWS/2004/03/01/"&gt;&lt;DataTable Code="POPPROJ" HasMetadata="true"&gt;&lt;Name LocaleIsoCode="en"&gt;Population projections&lt;/Name&gt;&lt;Name LocaleIsoCode="fr"&gt;Projections de la population&lt;/Name&gt;&lt;Dimension Code="LOCATION" HasMetadata="false" CommonCode="LOCATION" Display="labels"&gt;&lt;Name LocaleIsoCode="en"&gt;Country&lt;/Name&gt;&lt;Name LocaleIsoCode="fr"&gt;Pays&lt;/Name&gt;&lt;Member Code="AUS" HasMetadata="false" HasOnlyUnitMetadata="false" HasChild="0"&gt;&lt;Name LocaleIsoCode="en"&gt;Australia&lt;/Name&gt;&lt;Name LocaleIsoCode="fr"&gt;Australie&lt;/Name&gt;&lt;/Member&gt;&lt;Member Code="AUT" HasMetadata="false" HasOnlyUnitMetadata="false" HasChild="0"&gt;&lt;Name LocaleIsoCode="en"&gt;Austria&lt;/Name&gt;&lt;Name LocaleIsoCode="fr"&gt;Autriche&lt;/Name&gt;&lt;/Member&gt;&lt;Member Code="BEL" HasMetadata="false" HasOnlyUnitMetadata="false" HasChild="0"&gt;&lt;Name LocaleIsoCode="en"&gt;Belgium&lt;/Name&gt;&lt;Name LocaleIsoCode="fr"&gt;Belgique&lt;/Name&gt;&lt;/Member&gt;&lt;Member Code="CAN" HasMetadata="false" HasOnlyUnitMetadata="false" HasChild="0"&gt;&lt;Name LocaleIsoCode="en"&gt;Canada&lt;/Name&gt;&lt;Name LocaleIsoCode="fr"&gt;Canada&lt;/Name&gt;&lt;/Member&gt;&lt;Member Code="CHL" HasMetadata="false" HasOnlyUnitMetadata="false" HasChild="0"&gt;&lt;Name LocaleIsoCode="en"&gt;Chile&lt;/Name&gt;&lt;Name LocaleIsoCode="fr"&gt;Chili&lt;/Name&gt;&lt;/Member&gt;&lt;Member Code="COL" HasMetadata="false" HasOnlyUnitMetadata="false" HasChild="0"&gt;&lt;Name LocaleIsoCode="en"&gt;Colombia&lt;/Name&gt;&lt;Name LocaleIsoCode="fr"&gt;Colombie&lt;/Name&gt;&lt;/Member&gt;&lt;Member Code="CRI" HasMetadata="false" HasOnlyUnitMetadata="false" HasChild="0"&gt;&lt;Name LocaleIsoCode="en"&gt;Costa Rica&lt;/Name&gt;&lt;Name LocaleIsoCode="fr"&gt;Costa Rica&lt;/Name&gt;&lt;/Member&gt;&lt;Member Code="CZE" HasMetadata="false" HasOnlyUnitMetadata="false" HasChild="0"&gt;&lt;Name LocaleIsoCode="en"&gt;Czech Republic&lt;/Name&gt;&lt;Name LocaleIsoCode="fr"&gt;République tchèque&lt;/Name&gt;&lt;/Member&gt;&lt;Member Code="DNK" HasMetadata="false" HasOnlyUnitMetadata="false" HasChild="0"&gt;&lt;Name LocaleIsoCode="en"&gt;Denmark&lt;/Name&gt;&lt;Name LocaleIsoCode="fr"&gt;Danemark&lt;/Name&gt;&lt;/Member&gt;&lt;Member Code="EST" HasMetadata="false" HasOnlyUnitMetadata="false" HasChild="0"&gt;&lt;Name LocaleIsoCode="en"&gt;Estonia&lt;/Name&gt;&lt;Name LocaleIsoCode="fr"&gt;Estonie&lt;/Name&gt;&lt;/Member&gt;&lt;Member Code="FIN" HasMetadata="false" HasOnlyUnitMetadata="false" HasChild="0"&gt;&lt;Name LocaleIsoCode="en"&gt;Finland&lt;/Name&gt;&lt;Name LocaleIsoCode="fr"&gt;Finlande&lt;/Name&gt;&lt;/Member&gt;&lt;Member Code="FRA" HasMetadata="false" HasOnlyUnitMetadata="false" HasChild="0"&gt;&lt;Name LocaleIsoCode="en"&gt;France&lt;/Name&gt;&lt;Name LocaleIsoCode="fr"&gt;France&lt;/Name&gt;&lt;/Member&gt;&lt;Member Code="DEU" HasMetadata="true" HasOnlyUnitMetadata="false" HasChild="0"&gt;&lt;Name LocaleIsoCode="en"&gt;Germany&lt;/Name&gt;&lt;Name LocaleIsoCode="fr"&gt;Allemagne&lt;/Name&gt;&lt;/Member&gt;&lt;Member Code="GRC" HasMetadata="false" HasOnlyUnitMetadata="false" HasChild="0"&gt;&lt;Name LocaleIsoCode="en"&gt;Greece&lt;/Name&gt;&lt;Name LocaleIsoCode="fr"&gt;Grèce&lt;/Name&gt;&lt;/Member&gt;&lt;Member Code="HUN" HasMetadata="false" HasOnlyUnitMetadata="false" HasChild="0"&gt;&lt;Name LocaleIsoCode="en"&gt;Hungary&lt;/Name&gt;&lt;Name LocaleIsoCode="fr"&gt;Hongrie&lt;/Name&gt;&lt;/Member&gt;&lt;Member Code="ISL" HasMetadata="false" HasOnlyUnitMetadata="false" HasChild="0"&gt;&lt;Name LocaleIsoCode="en"&gt;Iceland&lt;/Name&gt;&lt;Name LocaleIsoCode="fr"&gt;Islande&lt;/Name&gt;&lt;/Member&gt;&lt;Member Code="IRL" HasMetadata="false" HasOnlyUnitMetadata="false" HasChild="0"&gt;&lt;Name LocaleIsoCode="en"&gt;Ireland&lt;/Name&gt;&lt;Name LocaleIsoCode="fr"&gt;Irlande&lt;/Name&gt;&lt;/Member&gt;&lt;Member Code="ISR" HasMetadata="true" HasOnlyUnitMetadata="false" HasChild="0"&gt;&lt;Name LocaleIsoCode="en"&gt;Israel&lt;/Name&gt;&lt;Name LocaleIsoCode="fr"&gt;Israël&lt;/Name&gt;&lt;/Member&gt;&lt;Member Code="ITA" HasMetadata="false" HasOnlyUnitMetadata="false" HasChild="0"&gt;&lt;Name LocaleIsoCode="en"&gt;Italy&lt;/Name&gt;&lt;Name LocaleIsoCode="fr"&gt;Italie&lt;/Name&gt;&lt;/Member&gt;&lt;Member Code="JPN" HasMetadata="false" HasOnlyUnitMetadata="false" HasChild="0"&gt;&lt;Name LocaleIsoCode="en"&gt;Japan&lt;/Name&gt;&lt;Name LocaleIsoCode="fr"&gt;Japon&lt;/Name&gt;&lt;/Member&gt;&lt;Member Code="KOR" HasMetadata="false" HasOnlyUnitMetadata="false" HasChild="0"&gt;&lt;Name LocaleIsoCode="en"&gt;Korea&lt;/Name&gt;&lt;Name LocaleIsoCode="fr"&gt;Corée&lt;/Name&gt;&lt;/Member&gt;&lt;Member Code="LTU" HasMetadata="false" HasOnlyUnitMetadata="false" HasChild="0"&gt;&lt;Name LocaleIsoCode="en"&gt;Lithuania&lt;/Name&gt;&lt;Name LocaleIsoCode="fr"&gt;Lituanie&lt;/Name&gt;&lt;/Member&gt;&lt;Member Code="LVA" HasMetadata="false" HasOnlyUnitMetadata="false" HasChild="0"&gt;&lt;Name LocaleIsoCode="en"&gt;Latvia&lt;/Name&gt;&lt;Name LocaleIsoCode="fr"&gt;Lettonie&lt;/Name&gt;&lt;/Member&gt;&lt;Member Code="LUX" HasMetadata="false" HasOnlyUnitMetadata="false" HasChild="0"&gt;&lt;Name LocaleIsoCode="en"&gt;Luxembourg&lt;/Name&gt;&lt;Name LocaleIsoCode="fr"&gt;Luxembourg&lt;/Name&gt;&lt;/Member&gt;&lt;Member Code="MEX" HasMetadata="false" HasOnlyUnitMetadata="false" HasChild="0" IsDisplayed="true"&gt;&lt;Name LocaleIsoCode="en"&gt;Mexico&lt;/Name&gt;&lt;Name LocaleIsoCode="fr"&gt;Mexique&lt;/Name&gt;&lt;/Member&gt;&lt;Member Code="NLD" HasMetadata="false" HasOnlyUnitMetadata="false" HasChild="0"&gt;&lt;Name LocaleIsoCode="en"&gt;Netherlands&lt;/Name&gt;&lt;Name LocaleIsoCode="fr"&gt;Pays-Bas&lt;/Name&gt;&lt;/Member&gt;&lt;Member Code="NZL" HasMetadata="false" HasOnlyUnitMetadata="false" HasChild="0"&gt;&lt;Name LocaleIsoCode="en"&gt;New Zealand&lt;/Name&gt;&lt;Name LocaleIsoCode="fr"&gt;Nouvelle-Zélande&lt;/Name&gt;&lt;/Member&gt;&lt;Member Code="NOR" HasMetadata="false" HasOnlyUnitMetadata="false" HasChild="0"&gt;&lt;Name LocaleIsoCode="en"&gt;Norway&lt;/Name&gt;&lt;Name LocaleIsoCode="fr"&gt;Norvège&lt;/Name&gt;&lt;/Member&gt;&lt;Member Code="POL" HasMetadata="false" HasOnlyUnitMetadata="false" HasChild="0"&gt;&lt;Name LocaleIsoCode="en"&gt;Poland&lt;/Name&gt;&lt;Name LocaleIsoCode="fr"&gt;Pologne&lt;/Name&gt;&lt;/Member&gt;&lt;Member Code="PRT" HasMetadata="false" HasOnlyUnitMetadata="false" HasChild="0"&gt;&lt;Name LocaleIsoCode="en"&gt;Portugal&lt;/Name&gt;&lt;Name LocaleIsoCode="fr"&gt;Portugal&lt;/Name&gt;&lt;/Member&gt;&lt;Member Code="SVK" HasMetadata="false" HasOnlyUnitMetadata="false" HasChild="0"&gt;&lt;Name LocaleIsoCode="en"&gt;Slovak Republic&lt;/Name&gt;&lt;Name LocaleIsoCode="fr"&gt;République slovaque&lt;/Name&gt;&lt;/Member&gt;&lt;Member Code="SVN" HasMetadata="false" HasOnlyUnitMetadata="false" HasChild="0"&gt;&lt;Name LocaleIsoCode="en"&gt;Slovenia&lt;/Name&gt;&lt;Name LocaleIsoCode="fr"&gt;Slovénie&lt;/Name&gt;&lt;/Member&gt;&lt;Member Code="ESP" HasMetadata="false" HasOnlyUnitMetadata="false" HasChild="0"&gt;&lt;Name LocaleIsoCode="en"&gt;Spain&lt;/Name&gt;&lt;Name LocaleIsoCode="fr"&gt;Espagne&lt;/Name&gt;&lt;/Member&gt;&lt;Member Code="SWE" HasMetadata="false" HasOnlyUnitMetadata="false" HasChild="0"&gt;&lt;Name LocaleIsoCode="en"&gt;Sweden&lt;/Name&gt;&lt;Name LocaleIsoCode="fr"&gt;Suède&lt;/Name&gt;&lt;/Member&gt;&lt;Member Code="CHE" HasMetadata="false" HasOnlyUnitMetadata="false" HasChild="0"&gt;&lt;Name LocaleIsoCode="en"&gt;Switzerland&lt;/Name&gt;&lt;Name LocaleIsoCode="fr"&gt;Suisse&lt;/Name&gt;&lt;/Member&gt;&lt;Member Code="TUR" HasMetadata="false" HasOnlyUnitMetadata="false" HasChild="0"&gt;&lt;Name LocaleIsoCode="en"&gt;Türkiye&lt;/Name&gt;&lt;Name LocaleIsoCode="fr"&gt;Türkiye&lt;/Name&gt;&lt;/Member&gt;&lt;Member Code="GBR" HasMetadata="false" HasOnlyUnitMetadata="false" HasChild="0"&gt;&lt;Name LocaleIsoCode="en"&gt;United Kingdom&lt;/Name&gt;&lt;Name LocaleIsoCode="fr"&gt;Royaume-Uni&lt;/Name&gt;&lt;/Member&gt;&lt;Member Code="USA" HasMetadata="false" HasOnlyUnitMetadata="false" HasChild="0"&gt;&lt;Name LocaleIsoCode="en"&gt;United States&lt;/Name&gt;&lt;Name LocaleIsoCode="fr"&gt;États-Unis&lt;/Name&gt;&lt;/Member&gt;&lt;Member Code="OECD" HasMetadata="false" HasOnlyUnitMetadata="false" HasChild="0"&gt;&lt;Name LocaleIsoCode="en"&gt;OECD - Total&lt;/Name&gt;&lt;Name LocaleIsoCode="fr"&gt;OCDE - Total&lt;/Name&gt;&lt;/Member&gt;&lt;Member Code="NMEC" HasMetadata="false" HasOnlyUnitMetadata="false" HasChild="1"&gt;&lt;Name LocaleIsoCode="en"&gt;Non-OECD Economies&lt;/Name&gt;&lt;Name LocaleIsoCode="fr"&gt;Économies non-OCDE&lt;/Name&gt;&lt;ChildMember Code="ARG" HasMetadata="false" HasOnlyUnitMetadata="false" HasChild="0"&gt;&lt;Name LocaleIsoCode="en"&gt;Argentina&lt;/Name&gt;&lt;Name LocaleIsoCode="fr"&gt;Argentine&lt;/Name&gt;&lt;/ChildMember&gt;&lt;ChildMember Code="BRA" HasMetadata="false" HasOnlyUnitMetadata="false" HasChild="0"&gt;&lt;Name LocaleIsoCode="en"&gt;Brazil&lt;/Name&gt;&lt;Name LocaleIsoCode="fr"&gt;Brésil&lt;/Name&gt;&lt;/ChildMember&gt;&lt;ChildMember Code="BGR" HasMetadata="false" HasOnlyUnitMetadata="false" HasChild="0"&gt;&lt;Name LocaleIsoCode="en"&gt;Bulgaria&lt;/Name&gt;&lt;Name LocaleIsoCode="fr"&gt;Bulgarie&lt;/Name&gt;&lt;/ChildMember&gt;&lt;ChildMember Code="CHN" HasMetadata="false" HasOnlyUnitMetadata="false" HasChild="0"&gt;&lt;Name LocaleIsoCode="en"&gt;China (People's Republic of)&lt;/Name&gt;&lt;Name LocaleIsoCode="fr"&gt;Chine (République populaire de)&lt;/Name&gt;&lt;/ChildMember&gt;&lt;ChildMember Code="HRV" HasMetadata="false" HasOnlyUnitMetadata="false" HasChild="0"&gt;&lt;Name LocaleIsoCode="en"&gt;Croatia&lt;/Name&gt;&lt;Name LocaleIsoCode="fr"&gt;Croatie&lt;/Name&gt;&lt;/ChildMember&gt;&lt;ChildMember Code="CYP" HasMetadata="true" HasOnlyUnitMetadata="false" HasChild="0"&gt;&lt;Name LocaleIsoCode="en"&gt;Cyprus&lt;/Name&gt;&lt;Name LocaleIsoCode="fr"&gt;Chypre&lt;/Name&gt;&lt;/ChildMember&gt;&lt;ChildMember Code="IND" HasMetadata="false" HasOnlyUnitMetadata="false" HasChild="0"&gt;&lt;Name LocaleIsoCode="en"&gt;India&lt;/Name&gt;&lt;Name LocaleIsoCode="fr"&gt;Inde&lt;/Name&gt;&lt;/ChildMember&gt;&lt;ChildMember Code="IDN" HasMetadata="false" HasOnlyUnitMetadata="false" HasChild="0"&gt;&lt;Name LocaleIsoCode="en"&gt;Indonesia&lt;/Name&gt;&lt;Name LocaleIsoCode="fr"&gt;Indonésie&lt;/Name&gt;&lt;/ChildMember&gt;&lt;ChildMember Code="MLT" HasMetadata="false" HasOnlyUnitMetadata="false" HasChild="0"&gt;&lt;Name LocaleIsoCode="en"&gt;Malta&lt;/Name&gt;&lt;Name LocaleIsoCode="fr"&gt;Malte&lt;/Name&gt;&lt;/ChildMember&gt;&lt;ChildMember Code="ROU" HasMetadata="false" HasOnlyUnitMetadata="false" HasChild="0"&gt;&lt;Name LocaleIsoCode="en"&gt;Romania&lt;/Name&gt;&lt;Name LocaleIsoCode="fr"&gt;Roumanie&lt;/Name&gt;&lt;/ChildMember&gt;&lt;ChildMember Code="RUS" HasMetadata="false" HasOnlyUnitMetadata="false" HasChild="0"&gt;&lt;Name LocaleIsoCode="en"&gt;Russia&lt;/Name&gt;&lt;Name LocaleIsoCode="fr"&gt;Russie&lt;/Name&gt;&lt;/ChildMember&gt;&lt;ChildMember Code="SAU" HasMetadata="false" HasOnlyUnitMetadata="false" HasChild="0"&gt;&lt;Name LocaleIsoCode="en"&gt;Saudi Arabia&lt;/Name&gt;&lt;Name LocaleIsoCode="fr"&gt;Arabie saoudite&lt;/Name&gt;&lt;/ChildMember&gt;&lt;ChildMember Code="SGP" HasMetadata="false" HasOnlyUnitMetadata="false" HasChild="0"&gt;&lt;Name LocaleIsoCode="en"&gt;Singapore&lt;/Name&gt;&lt;Name LocaleIsoCode="fr"&gt;Singapour&lt;/Name&gt;&lt;/ChildMember&gt;&lt;ChildMember Code="ZAF" HasMetadata="false" HasOnlyUnitMetadata="false" HasChild="0"&gt;&lt;Name LocaleIsoCode="en"&gt;South Africa&lt;/Name&gt;&lt;Name LocaleIsoCode="fr"&gt;Afrique du Sud&lt;/Name&gt;&lt;/ChildMember&gt;&lt;/Member&gt;&lt;/Dimension&gt;&lt;Dimension Code="TIME" HasMetadata="false" CommonCode="TIME" Display="labels"&gt;&lt;Name LocaleIsoCode="en"&gt;Time&lt;/Name&gt;&lt;Name LocaleIsoCode="fr"&gt;Temps&lt;/Name&gt;&lt;Member Code="2021" HasMetadata="false"&gt;&lt;Name LocaleIsoCode="en"&gt;2021&lt;/Name&gt;&lt;Name LocaleIsoCode="fr"&gt;2021&lt;/Name&gt;&lt;/Member&gt;&lt;Member Code="2022" HasMetadata="false"&gt;&lt;Name LocaleIsoCode="en"&gt;2022&lt;/Name&gt;&lt;Name LocaleIsoCode="fr"&gt;2022&lt;/Name&gt;&lt;/Member&gt;&lt;Member Code="2023" HasMetadata="false"&gt;&lt;Name LocaleIsoCode="en"&gt;2023&lt;/Name&gt;&lt;Name LocaleIsoCode="fr"&gt;2023&lt;/Name&gt;&lt;/Member&gt;&lt;Member Code="2024" HasMetadata="false"&gt;&lt;Name LocaleIsoCode="en"&gt;2024&lt;/Name&gt;&lt;Name LocaleIsoCode="fr"&gt;2024&lt;/Name&gt;&lt;/Member&gt;&lt;Member Code="2025" HasMetadata="false"&gt;&lt;Name LocaleIsoCode="en"&gt;2025&lt;/Name&gt;&lt;Name LocaleIsoCode="fr"&gt;2025&lt;/Name&gt;&lt;/Member&gt;&lt;Member Code="2026" HasMetadata="false"&gt;&lt;Name LocaleIsoCode="en"&gt;2026&lt;/Name&gt;&lt;Name LocaleIsoCode="fr"&gt;2026&lt;/Name&gt;&lt;/Member&gt;&lt;Member Code="2027" HasMetadata="false"&gt;&lt;Name LocaleIsoCode="en"&gt;2027&lt;/Name&gt;&lt;Name LocaleIsoCode="fr"&gt;2027&lt;/Name&gt;&lt;/Member&gt;&lt;Member Code="2028" HasMetadata="false"&gt;&lt;Name LocaleIsoCode="en"&gt;2028&lt;/Name&gt;&lt;Name LocaleIsoCode="fr"&gt;2028&lt;/Name&gt;&lt;/Member&gt;&lt;Member Code="2029" HasMetadata="false"&gt;&lt;Name LocaleIsoCode="en"&gt;2029&lt;/Name&gt;&lt;Name LocaleIsoCode="fr"&gt;2029&lt;/Name&gt;&lt;/Member&gt;&lt;Member Code="2030" HasMetadata="false"&gt;&lt;Name LocaleIsoCode="en"&gt;2030&lt;/Name&gt;&lt;Name LocaleIsoCode="fr"&gt;2030&lt;/Name&gt;&lt;/Member&gt;&lt;/Dimension&gt;&lt;Dimension Code="SEX" HasMetadata="false" CommonCode="SEX" Display="labels"&gt;&lt;Name LocaleIsoCode="en"&gt;Sex&lt;/Name&gt;&lt;Name LocaleIsoCode="fr"&gt;Sexe&lt;/Name&gt;&lt;Member Code="W" HasMetadata="false" HasOnlyUnitMetadata="false" HasChild="0"&gt;&lt;Name LocaleIsoCode="en"&gt;Women&lt;/Name&gt;&lt;Name LocaleIsoCode="fr"&gt;Femmes&lt;/Name&gt;&lt;/Member&gt;&lt;Member Code="M" HasMetadata="false" HasOnlyUnitMetadata="false" HasChild="0"&gt;&lt;Name LocaleIsoCode="en"&gt;Men&lt;/Name&gt;&lt;Name LocaleIsoCode="fr"&gt;Hommes&lt;/Name&gt;&lt;/Member&gt;&lt;Member Code="T" HasMetadata="false" HasOnlyUnitMetadata="false" HasChild="0" IsDisplayed="true"&gt;&lt;Name LocaleIsoCode="en"&gt;Total&lt;/Name&gt;&lt;Name LocaleIsoCode="fr"&gt;Total&lt;/Name&gt;&lt;/Member&gt;&lt;/Dimension&gt;&lt;Dimension Code="AGE" HasMetadata="false" Display="labels"&gt;&lt;Name LocaleIsoCode="en"&gt;Age&lt;/Name&gt;&lt;Name LocaleIsoCode="fr"&gt;Âge&lt;/Name&gt;&lt;Member Code="TOTAL" HasMetadata="false" HasOnlyUnitMetadata="false" HasChild="0"&gt;&lt;Name LocaleIsoCode="en"&gt;Total&lt;/Name&gt;&lt;Name LocaleIsoCode="fr"&gt;Total&lt;/Name&gt;&lt;/Member&gt;&lt;Member Code="0_4" HasMetadata="false" HasOnlyUnitMetadata="false" HasChild="0"&gt;&lt;Name LocaleIsoCode="en"&gt;0 to 4&lt;/Name&gt;&lt;Name LocaleIsoCode="fr"&gt;0 à 4 ans&lt;/Name&gt;&lt;/Member&gt;&lt;Member Code="05_9" HasMetadata="false" HasOnlyUnitMetadata="false" HasChild="0"&gt;&lt;Name LocaleIsoCode="en"&gt;5 to 9&lt;/Name&gt;&lt;Name LocaleIsoCode="fr"&gt;5 à 9 ans&lt;/Name&gt;&lt;/Member&gt;&lt;Member Code="10_14" HasMetadata="false" HasOnlyUnitMetadata="false" HasChild="0"&gt;&lt;Name LocaleIsoCode="en"&gt;10 to 14&lt;/Name&gt;&lt;Name LocaleIsoCode="fr"&gt;10 a 14 ans&lt;/Name&gt;&lt;/Member&gt;&lt;Member Code="15_19" HasMetadata="false" HasOnlyUnitMetadata="false" HasChild="0"&gt;&lt;Name LocaleIsoCode="en"&gt;15 to 19&lt;/Name&gt;&lt;Name LocaleIsoCode="fr"&gt;15 à 19 ans&lt;/Name&gt;&lt;/Member&gt;&lt;Member Code="20_24" HasMetadata="false" HasOnlyUnitMetadata="false" HasChild="0"&gt;&lt;Name LocaleIsoCode="en"&gt;20 to 24&lt;/Name&gt;&lt;Name LocaleIsoCode="fr"&gt;20 à 24 ans&lt;/Name&gt;&lt;/Member&gt;&lt;Member Code="25_29" HasMetadata="false" HasOnlyUnitMetadata="false" HasChild="0"&gt;&lt;Name LocaleIsoCode="en"&gt;25 to 29&lt;/Name&gt;&lt;Name LocaleIsoCode="fr"&gt;25 à 29 ans&lt;/Name&gt;&lt;/Member&gt;&lt;Member Code="30_34" HasMetadata="false" HasOnlyUnitMetadata="false" HasChild="0"&gt;&lt;Name LocaleIsoCode="en"&gt;30 to 34&lt;/Name&gt;&lt;Name LocaleIsoCode="fr"&gt;30 à 34 ans&lt;/Name&gt;&lt;/Member&gt;&lt;Member Code="35_39" HasMetadata="false" HasOnlyUnitMetadata="false" HasChild="0"&gt;&lt;Name LocaleIsoCode="en"&gt;35 to 39&lt;/Name&gt;&lt;Name LocaleIsoCode="fr"&gt;35 à 39 ans&lt;/Name&gt;&lt;/Member&gt;&lt;Member Code="40_44" HasMetadata="false" HasOnlyUnitMetadata="false" HasChild="0"&gt;&lt;Name LocaleIsoCode="en"&gt;40 to 44&lt;/Name&gt;&lt;Name LocaleIsoCode="fr"&gt;40 à 44 ans&lt;/Name&gt;&lt;/Member&gt;&lt;Member Code="45_49" HasMetadata="false" HasOnlyUnitMetadata="false" HasChild="0"&gt;&lt;Name LocaleIsoCode="en"&gt;45 to 49&lt;/Name&gt;&lt;Name LocaleIsoCode="fr"&gt;45 à 49 ans&lt;/Name&gt;&lt;/Member&gt;&lt;Member Code="50_54" HasMetadata="false" HasOnlyUnitMetadata="false" HasChild="0"&gt;&lt;Name LocaleIsoCode="en"&gt;50 to 54&lt;/Name&gt;&lt;Name LocaleIsoCode="fr"&gt;50 à 54 ans&lt;/Name&gt;&lt;/Member&gt;&lt;Member Code="55_59" HasMetadata="false" HasOnlyUnitMetadata="false" HasChild="0"&gt;&lt;Name LocaleIsoCode="en"&gt;55 to 59&lt;/Name&gt;&lt;Name LocaleIsoCode="fr"&gt;55 à 59 ans&lt;/Name&gt;&lt;/Member&gt;&lt;Member Code="60_64" HasMetadata="false" HasOnlyUnitMetadata="false" HasChild="0"&gt;&lt;Name LocaleIsoCode="en"&gt;60 to 64&lt;/Name&gt;&lt;Name LocaleIsoCode="fr"&gt;60 à 64 ans&lt;/Name&gt;&lt;/Member&gt;&lt;Member Code="65_69" HasMetadata="false" HasOnlyUnitMetadata="false" HasChild="0"&gt;&lt;Name LocaleIsoCode="en"&gt;65 to 69&lt;/Name&gt;&lt;Name LocaleIsoCode="fr"&gt;65 à 69 ans&lt;/Name&gt;&lt;/Member&gt;&lt;Member Code="70_74" HasMetadata="false" HasOnlyUnitMetadata="false" HasChild="0"&gt;&lt;Name LocaleIsoCode="en"&gt;70 to 74&lt;/Name&gt;&lt;Name LocaleIsoCode="fr"&gt;70 à 74 ans&lt;/Name&gt;&lt;/Member&gt;&lt;Member Code="75_79" HasMetadata="false" HasOnlyUnitMetadata="false" HasChild="0"&gt;&lt;Name LocaleIsoCode="en"&gt;75 to 79&lt;/Name&gt;&lt;Name LocaleIsoCode="fr"&gt;75 à 79 ans&lt;/Name&gt;&lt;/Member&gt;&lt;Member Code="80_84" HasMetadata="false" HasOnlyUnitMetadata="false" HasChild="0"&gt;&lt;Name LocaleIsoCode="en"&gt;80 to 84&lt;/Name&gt;&lt;Name LocaleIsoCode="fr"&gt;80 à 84 ans&lt;/Name&gt;&lt;/Member&gt;&lt;Member Code="85_OVER" HasMetadata="false" HasOnlyUnitMetadata="false" HasChild="0"&gt;&lt;Name LocaleIsoCode="en"&gt;85 and over&lt;/Name&gt;&lt;Name LocaleIsoCode="fr"&gt;85 ans et plus&lt;/Name&gt;&lt;/Member&gt;&lt;Member Code="50_OVER" HasMetadata="false" HasOnlyUnitMetadata="false" HasChild="0"&gt;&lt;Name LocaleIsoCode="en"&gt;50 and over&lt;/Name&gt;&lt;Name LocaleIsoCode="fr"&gt;50 ans et plus&lt;/Name&gt;&lt;/Member&gt;&lt;Member Code="LESS_20" HasMetadata="false" HasOnlyUnitMetadata="false" HasChild="0"&gt;&lt;Name LocaleIsoCode="en"&gt;Under 20&lt;/Name&gt;&lt;Name LocaleIsoCode="fr"&gt;Moins de 20 ans&lt;/Name&gt;&lt;/Member&gt;&lt;Member Code="15-64" HasMetadata="false" HasOnlyUnitMetadata="false" HasChild="0"&gt;&lt;Name LocaleIsoCode="en"&gt;15 to 64&lt;/Name&gt;&lt;Name LocaleIsoCode="fr"&gt;15 à 64 ans&lt;/Name&gt;&lt;/Member&gt;&lt;Member Code="20-64" HasMetadata="false" HasOnlyUnitMetadata="false" HasChild="0"&gt;&lt;Name LocaleIsoCode="en"&gt;20 to 64&lt;/Name&gt;&lt;Name LocaleIsoCode="fr"&gt;20 à 64 ans&lt;/Name&gt;&lt;/Member&gt;&lt;Member Code="65_OVER" HasMetadata="false" HasOnlyUnitMetadata="false" HasChild="0"&gt;&lt;Name LocaleIsoCode="en"&gt;65 and over&lt;/Name&gt;&lt;Name LocaleIsoCode="fr"&gt;65 ans et plus&lt;/Name&gt;&lt;/Member&gt;&lt;Member Code="65_OVER_SHARE" HasMetadata="false" HasOnlyUnitMetadata="false" HasChild="0"&gt;&lt;Name LocaleIsoCode="en"&gt;Share of 65 and over - elderly&lt;/Name&gt;&lt;Name LocaleIsoCode="fr"&gt;Part des 65 ans et plus - personnes âgées&lt;/Name&gt;&lt;/Member&gt;&lt;Member Code="LESS_15_SHARE" HasMetadata="false" HasOnlyUnitMetadata="false" HasChild="0"&gt;&lt;Name LocaleIsoCode="en"&gt;Share of under 15 - children&lt;/Name&gt;&lt;Name LocaleIsoCode="fr"&gt;Part des moins de 20 ans - enfants&lt;/Name&gt;&lt;/Member&gt;&lt;Member Code="15-24_SHARE" HasMetadata="false" HasOnlyUnitMetadata="false" HasChild="0"&gt;&lt;Name LocaleIsoCode="en"&gt;Share of 15 to 24 - youth&lt;/Name&gt;&lt;Name LocaleIsoCode="fr"&gt;Part des 15 à 24 ans - jeunes&lt;/Name&gt;&lt;/Member&gt;&lt;Member Code="OAD15-64" HasMetadata="false" HasOnlyUnitMetadata="false" HasChild="0"&gt;&lt;Name LocaleIsoCode="en"&gt;Old age dependency ratio (65 and over/15-64)&lt;/Name&gt;&lt;Name LocaleIsoCode="fr"&gt;Ratio de dépendance des personnes âgés (65 et plus/15-64)&lt;/Name&gt;&lt;/Member&gt;&lt;Member Code="TOTD20-64" HasMetadata="false" HasOnlyUnitMetadata="false" HasChild="0"&gt;&lt;Name LocaleIsoCode="en"&gt;Total dependency ratio ((&amp;lt;20 &amp;amp; 65+) / 20-64)&lt;/Name&gt;&lt;Name LocaleIsoCode="fr"&gt;Ratio de dépendance total  ((&amp;lt;20 &amp;amp; 65+) / 20-64)&lt;/Name&gt;&lt;/Member&gt;&lt;Member Code="15-64_SHARE" HasMetadata="false" HasOnlyUnitMetadata="false" HasChild="0"&gt;&lt;Name LocaleIsoCode="en"&gt;Share of 15 to 64 - working age&lt;/Name&gt;&lt;Name LocaleIsoCode="fr"&gt;Part des 15 à 64 ans - âge de travailler&lt;/Name&gt;&lt;/Member&gt;&lt;Member Code="POP_GR" HasMetadata="false" HasOnlyUnitMetadata="false" HasChild="0"&gt;&lt;Name LocaleIsoCode="en"&gt;Annual growth rate of total population&lt;/Name&gt;&lt;Name LocaleIsoCode="fr"&gt;Taux de croissance annuel de la population totale&lt;/Name&gt;&lt;/Member&gt;&lt;/Dimension&gt;&lt;WBOSInformations&gt;&lt;TimeDimension WebTreeWasUsed="false"&gt;&lt;StartCodes Annual="2018" /&gt;&lt;EndCodes Annual="2030" /&gt;&lt;/TimeDimension&gt;&lt;/WBOSInformations&gt;&lt;Tabulation Axis="horizontal"&gt;&lt;Dimension Code="TIME" CommonCode="TIME" /&gt;&lt;/Tabulation&gt;&lt;Tabulation Axis="vertical"&gt;&lt;Dimension Code="AGE" /&gt;&lt;/Tabulation&gt;&lt;Tabulation Axis="page"&gt;&lt;Dimension Code="SEX" CommonCode="SEX" /&gt;&lt;Dimension Code="LOCATION" CommonCode="LOCATION" /&gt;&lt;/Tabulation&gt;&lt;Formatting&gt;&lt;Labels LocaleIsoCode="en" /&gt;&lt;Power&gt;0&lt;/Power&gt;&lt;Decimals&gt;-1&lt;/Decimals&gt;&lt;SkipEmptyLines&gt;true&lt;/SkipEmptyLines&gt;&lt;SkipEmptyCols&gt;false&lt;/SkipEmptyCols&gt;&lt;SkipLineHierarchy&gt;false&lt;/SkipLineHierarchy&gt;&lt;SkipColHierarchy&gt;false&lt;/SkipColHierarchy&gt;&lt;Page&gt;1&lt;/Page&gt;&lt;/Formatting&gt;&lt;/DataTable&gt;&lt;Format&gt;&lt;ShowEmptyAxes&gt;true&lt;/ShowEmptyAxes&gt;&lt;Page&gt;1&lt;/Page&gt;&lt;EnableSort&gt;true&lt;/EnableSort&gt;&lt;IncludeFlagColumn&gt;false&lt;/IncludeFlagColumn&gt;&lt;IncludeTimeSeriesId&gt;false&lt;/IncludeTimeSeriesId&gt;&lt;DoBarChart&gt;false&lt;/DoBarChart&gt;&lt;FreezePanes&gt;true&lt;/FreezePanes&gt;&lt;MaxBarChartLen&gt;65&lt;/MaxBarChartLen&gt;&lt;/Format&gt;&lt;Query&gt;&lt;AbsoluteUri&gt;http://stats.oecd.org//View.aspx?QueryId=&amp;amp;QueryType=Public&amp;amp;Lang=en&lt;/AbsoluteUri&gt;&lt;/Query&gt;&lt;/WebTableParameter&gt;</t>
  </si>
  <si>
    <t>Dataset: Population projections</t>
  </si>
  <si>
    <t>Total</t>
  </si>
  <si>
    <t>Country</t>
  </si>
  <si>
    <t>Mexico</t>
  </si>
  <si>
    <t>Time</t>
  </si>
  <si>
    <t>2021</t>
  </si>
  <si>
    <t>2022</t>
  </si>
  <si>
    <t>2023</t>
  </si>
  <si>
    <t>2024</t>
  </si>
  <si>
    <t>2025</t>
  </si>
  <si>
    <t>2026</t>
  </si>
  <si>
    <t>2027</t>
  </si>
  <si>
    <t>2028</t>
  </si>
  <si>
    <t>2029</t>
  </si>
  <si>
    <t>2030</t>
  </si>
  <si>
    <t>Age</t>
  </si>
  <si>
    <t/>
  </si>
  <si>
    <t>0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</si>
  <si>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</si>
  <si>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</si>
  <si>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</si>
  <si>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</si>
  <si>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</si>
  <si>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</si>
  <si>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</si>
  <si>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</si>
  <si>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</si>
  <si>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</si>
  <si>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</si>
  <si>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</si>
  <si>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</si>
  <si>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</si>
  <si>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</si>
  <si>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</si>
  <si>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and over</t>
  </si>
  <si>
    <t>50 and over</t>
  </si>
  <si>
    <t>Under 20</t>
  </si>
  <si>
    <t>15 to 64</t>
  </si>
  <si>
    <t>20 to 64</t>
  </si>
  <si>
    <t>65 and over</t>
  </si>
  <si>
    <t>Share of 65 and over - elderly</t>
  </si>
  <si>
    <t>Share of under 15 - children</t>
  </si>
  <si>
    <t>Share of 15 to 24 - youth</t>
  </si>
  <si>
    <t>Old age dependency ratio (65 and over/15-64)</t>
  </si>
  <si>
    <t>Total dependency ratio ((&lt;20 &amp; 65+) / 20-64)</t>
  </si>
  <si>
    <t>Share of 15 to 64 - working age</t>
  </si>
  <si>
    <t>Annual growth rate of total population</t>
  </si>
  <si>
    <t>Data extracted on 19 Nov 2022 19:46 UTC (GMT) from OECD.Stat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</si>
</sst>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409]mmm\-yy;@"/>
    <numFmt numFmtId="166" formatCode="#,##0.000_);[Red]\(#,##0.000\)"/>
    <numFmt numFmtId="167" formatCode="#,##0.0000_);[Red]\(#,##0.0000\)"/>
    <numFmt numFmtId="168" formatCode="mmm\-yyyy"/>
  </numFmts>
  <fonts count="30" x14ac:knownFonts="1">
    <font>
      <sz val="11"/>
      <name val="Calibri"/>
    </font>
    <font>
      <sz val="11"/>
      <color theme="1"/>
      <name val="Aptos Narrow"/>
      <family val="2"/>
      <scheme val="minor"/>
    </font>
    <font>
      <b/>
      <sz val="8"/>
      <color rgb="FFFFFFFF"/>
      <name val="Avenir Next LT Pro Demi"/>
      <family val="2"/>
    </font>
    <font>
      <sz val="8"/>
      <name val="Avenir Next LT Pro Demi"/>
      <family val="2"/>
    </font>
    <font>
      <sz val="11"/>
      <name val="Calibri"/>
      <family val="2"/>
    </font>
    <font>
      <sz val="8"/>
      <color rgb="FFFFFFFF"/>
      <name val="Avenir Next LT Pro Demi"/>
      <family val="2"/>
    </font>
    <font>
      <b/>
      <sz val="8"/>
      <name val="Avenir Next LT Pro Demi"/>
      <family val="2"/>
    </font>
    <font>
      <u/>
      <sz val="11"/>
      <color theme="10"/>
      <name val="Calibri"/>
      <family val="2"/>
    </font>
    <font>
      <u/>
      <sz val="8"/>
      <color theme="10"/>
      <name val="Avenir Next LT Pro Demi"/>
      <family val="2"/>
    </font>
    <font>
      <b/>
      <u/>
      <sz val="8"/>
      <color theme="10"/>
      <name val="Avenir Next LT Pro Demi"/>
      <family val="2"/>
    </font>
    <font>
      <sz val="8"/>
      <color theme="1"/>
      <name val="Avenir Next LT Pro Demi"/>
      <family val="2"/>
    </font>
    <font>
      <b/>
      <sz val="8"/>
      <color rgb="FF6F0791"/>
      <name val="Avenir Next LT Pro Demi"/>
      <family val="2"/>
    </font>
    <font>
      <b/>
      <sz val="8"/>
      <color theme="1"/>
      <name val="Avenir Next LT Pro Demi"/>
      <family val="2"/>
    </font>
    <font>
      <sz val="8"/>
      <color rgb="FF6F0791"/>
      <name val="Avenir Next LT Pro Demi"/>
      <family val="2"/>
    </font>
    <font>
      <b/>
      <sz val="11"/>
      <name val="Calibri"/>
      <family val="2"/>
    </font>
    <font>
      <sz val="10"/>
      <color theme="1"/>
      <name val="Aptos Display"/>
      <family val="2"/>
    </font>
    <font>
      <b/>
      <sz val="10"/>
      <color theme="1"/>
      <name val="Aptos Display"/>
      <family val="2"/>
    </font>
    <font>
      <sz val="10"/>
      <color theme="1"/>
      <name val="Arial Narrow"/>
      <family val="2"/>
    </font>
    <font>
      <b/>
      <sz val="16"/>
      <color theme="0"/>
      <name val="Arial Narrow"/>
      <family val="2"/>
    </font>
    <font>
      <u/>
      <sz val="10"/>
      <color theme="10"/>
      <name val="Arial Narrow"/>
      <family val="2"/>
    </font>
    <font>
      <sz val="10"/>
      <name val="Arial Narrow"/>
      <family val="2"/>
    </font>
    <font>
      <sz val="10"/>
      <name val="Arial"/>
      <family val="2"/>
    </font>
    <font>
      <sz val="8"/>
      <name val="Arial"/>
      <family val="2"/>
    </font>
    <font>
      <b/>
      <u/>
      <sz val="9"/>
      <color indexed="18"/>
      <name val="Verdana"/>
      <family val="2"/>
    </font>
    <font>
      <b/>
      <sz val="8"/>
      <color indexed="9"/>
      <name val="Verdana"/>
      <family val="2"/>
    </font>
    <font>
      <sz val="8"/>
      <color indexed="9"/>
      <name val="Verdana"/>
      <family val="2"/>
    </font>
    <font>
      <b/>
      <sz val="8"/>
      <name val="Verdana"/>
      <family val="2"/>
    </font>
    <font>
      <b/>
      <sz val="9"/>
      <color indexed="10"/>
      <name val="Courier New"/>
      <family val="3"/>
    </font>
    <font>
      <sz val="8"/>
      <name val="Verdana"/>
      <family val="2"/>
    </font>
    <font>
      <u/>
      <sz val="8"/>
      <name val="Verdana"/>
      <family val="2"/>
    </font>
  </fonts>
  <fills count="11">
    <fill>
      <patternFill patternType="none"/>
    </fill>
    <fill>
      <patternFill patternType="gray125"/>
    </fill>
    <fill>
      <patternFill patternType="solid">
        <fgColor rgb="FF228B22"/>
        <bgColor rgb="FF228B22"/>
      </patternFill>
    </fill>
    <fill>
      <patternFill patternType="solid">
        <fgColor theme="7" tint="0.39997558519241921"/>
        <bgColor indexed="64"/>
      </patternFill>
    </fill>
    <fill>
      <patternFill patternType="solid">
        <fgColor rgb="FFFFFF00"/>
        <bgColor indexed="64"/>
      </patternFill>
    </fill>
    <fill>
      <patternFill patternType="solid">
        <fgColor rgb="FF8C8C8C"/>
        <bgColor indexed="64"/>
      </patternFill>
    </fill>
    <fill>
      <patternFill patternType="solid">
        <fgColor rgb="FF2973BD"/>
        <bgColor indexed="64"/>
      </patternFill>
    </fill>
    <fill>
      <patternFill patternType="solid">
        <fgColor rgb="FF00A1E3"/>
        <bgColor indexed="64"/>
      </patternFill>
    </fill>
    <fill>
      <patternFill patternType="solid">
        <fgColor rgb="FFC4D8ED"/>
        <bgColor indexed="64"/>
      </patternFill>
    </fill>
    <fill>
      <patternFill patternType="mediumGray">
        <fgColor rgb="FFC0C0C0"/>
        <bgColor rgb="FFFFFFFF"/>
      </patternFill>
    </fill>
    <fill>
      <patternFill patternType="solid">
        <fgColor rgb="FFF0F8FF"/>
        <bgColor indexed="64"/>
      </patternFill>
    </fill>
  </fills>
  <borders count="7">
    <border>
      <left/>
      <right/>
      <top/>
      <bottom/>
      <diagonal/>
    </border>
    <border>
      <left/>
      <right/>
      <top/>
      <bottom style="thin">
        <color auto="1"/>
      </bottom>
      <diagonal/>
    </border>
    <border>
      <left/>
      <right/>
      <top style="thin">
        <color auto="1"/>
      </top>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right/>
      <top style="thin">
        <color rgb="FFC0C0C0"/>
      </top>
      <bottom style="thin">
        <color rgb="FFC0C0C0"/>
      </bottom>
      <diagonal/>
    </border>
  </borders>
  <cellStyleXfs count="10">
    <xf numFmtId="0" fontId="0" fillId="0" borderId="0"/>
    <xf numFmtId="9" fontId="4" fillId="0" borderId="0" applyFont="0" applyFill="0" applyBorder="0" applyAlignment="0" applyProtection="0"/>
    <xf numFmtId="0" fontId="7" fillId="0" borderId="0" applyNumberFormat="0" applyFill="0" applyBorder="0" applyAlignment="0" applyProtection="0"/>
    <xf numFmtId="0" fontId="4" fillId="0" borderId="0"/>
    <xf numFmtId="0" fontId="1" fillId="0" borderId="0"/>
    <xf numFmtId="9" fontId="1"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21" fillId="0" borderId="0"/>
  </cellStyleXfs>
  <cellXfs count="80">
    <xf numFmtId="0" fontId="0" fillId="0" borderId="0" xfId="0"/>
    <xf numFmtId="0" fontId="0" fillId="0" borderId="0" xfId="0" applyAlignment="1">
      <alignment horizontal="left"/>
    </xf>
    <xf numFmtId="0" fontId="2" fillId="2" borderId="0" xfId="0" applyFont="1" applyFill="1"/>
    <xf numFmtId="0" fontId="3" fillId="0" borderId="0" xfId="0" applyFont="1"/>
    <xf numFmtId="164" fontId="3" fillId="0" borderId="0" xfId="1" applyNumberFormat="1" applyFont="1"/>
    <xf numFmtId="0" fontId="5" fillId="2" borderId="1" xfId="0" applyFont="1" applyFill="1" applyBorder="1"/>
    <xf numFmtId="0" fontId="6" fillId="0" borderId="0" xfId="0" applyFont="1" applyAlignment="1">
      <alignment horizontal="center" vertical="center" wrapText="1"/>
    </xf>
    <xf numFmtId="0" fontId="8" fillId="0" borderId="1" xfId="2" applyNumberFormat="1" applyFont="1" applyBorder="1" applyAlignment="1" applyProtection="1">
      <alignment vertical="center"/>
    </xf>
    <xf numFmtId="0" fontId="3" fillId="0" borderId="1" xfId="0" applyFont="1" applyBorder="1" applyAlignment="1">
      <alignment vertical="center"/>
    </xf>
    <xf numFmtId="0" fontId="3" fillId="0" borderId="2" xfId="0" applyFont="1" applyBorder="1" applyAlignment="1">
      <alignment vertical="center"/>
    </xf>
    <xf numFmtId="164" fontId="9" fillId="0" borderId="0" xfId="1" applyNumberFormat="1" applyFont="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165" fontId="6" fillId="0" borderId="0" xfId="0" applyNumberFormat="1" applyFont="1"/>
    <xf numFmtId="38" fontId="3" fillId="0" borderId="0" xfId="0" applyNumberFormat="1" applyFont="1"/>
    <xf numFmtId="164" fontId="3" fillId="0" borderId="0" xfId="0" applyNumberFormat="1" applyFont="1"/>
    <xf numFmtId="166" fontId="3" fillId="0" borderId="0" xfId="0" applyNumberFormat="1" applyFont="1"/>
    <xf numFmtId="167" fontId="3" fillId="0" borderId="0" xfId="0" applyNumberFormat="1" applyFont="1"/>
    <xf numFmtId="10" fontId="3" fillId="0" borderId="0" xfId="1" applyNumberFormat="1" applyFont="1"/>
    <xf numFmtId="0" fontId="3" fillId="0" borderId="0" xfId="0" quotePrefix="1" applyFont="1"/>
    <xf numFmtId="38" fontId="3" fillId="0" borderId="0" xfId="3" applyNumberFormat="1" applyFont="1"/>
    <xf numFmtId="38" fontId="10" fillId="0" borderId="0" xfId="3" applyNumberFormat="1" applyFont="1"/>
    <xf numFmtId="38" fontId="10" fillId="0" borderId="0" xfId="0" applyNumberFormat="1" applyFont="1"/>
    <xf numFmtId="10" fontId="3" fillId="0" borderId="0" xfId="0" applyNumberFormat="1" applyFont="1"/>
    <xf numFmtId="165" fontId="11" fillId="0" borderId="0" xfId="0" applyNumberFormat="1" applyFont="1"/>
    <xf numFmtId="38" fontId="12" fillId="0" borderId="0" xfId="0" applyNumberFormat="1" applyFont="1"/>
    <xf numFmtId="38" fontId="13" fillId="0" borderId="0" xfId="0" applyNumberFormat="1" applyFont="1"/>
    <xf numFmtId="164" fontId="13" fillId="0" borderId="0" xfId="0" applyNumberFormat="1" applyFont="1"/>
    <xf numFmtId="166" fontId="13" fillId="0" borderId="0" xfId="0" applyNumberFormat="1" applyFont="1"/>
    <xf numFmtId="10" fontId="13" fillId="0" borderId="0" xfId="1" applyNumberFormat="1" applyFont="1"/>
    <xf numFmtId="10" fontId="13" fillId="0" borderId="0" xfId="0" applyNumberFormat="1" applyFont="1"/>
    <xf numFmtId="164" fontId="3" fillId="0" borderId="0" xfId="1" applyNumberFormat="1" applyFont="1" applyFill="1"/>
    <xf numFmtId="38" fontId="11" fillId="0" borderId="0" xfId="0" applyNumberFormat="1" applyFont="1"/>
    <xf numFmtId="164" fontId="13" fillId="0" borderId="0" xfId="1" applyNumberFormat="1" applyFont="1"/>
    <xf numFmtId="0" fontId="13" fillId="0" borderId="0" xfId="0" applyFont="1"/>
    <xf numFmtId="14" fontId="0" fillId="0" borderId="0" xfId="0" applyNumberFormat="1"/>
    <xf numFmtId="38" fontId="0" fillId="0" borderId="0" xfId="0" applyNumberFormat="1"/>
    <xf numFmtId="38" fontId="4" fillId="0" borderId="0" xfId="0" applyNumberFormat="1" applyFont="1"/>
    <xf numFmtId="38" fontId="14" fillId="0" borderId="0" xfId="0" applyNumberFormat="1" applyFont="1"/>
    <xf numFmtId="9" fontId="0" fillId="0" borderId="0" xfId="1" applyFont="1"/>
    <xf numFmtId="38" fontId="0" fillId="3" borderId="0" xfId="0" applyNumberFormat="1" applyFill="1"/>
    <xf numFmtId="0" fontId="0" fillId="3" borderId="0" xfId="0" applyFill="1"/>
    <xf numFmtId="0" fontId="15" fillId="0" borderId="0" xfId="4" quotePrefix="1" applyFont="1"/>
    <xf numFmtId="0" fontId="15" fillId="0" borderId="0" xfId="4" applyFont="1"/>
    <xf numFmtId="0" fontId="15" fillId="4" borderId="0" xfId="4" applyFont="1" applyFill="1"/>
    <xf numFmtId="168" fontId="16" fillId="0" borderId="0" xfId="4" applyNumberFormat="1" applyFont="1"/>
    <xf numFmtId="0" fontId="16" fillId="0" borderId="0" xfId="4" applyFont="1"/>
    <xf numFmtId="164" fontId="15" fillId="0" borderId="0" xfId="5" applyNumberFormat="1" applyFont="1"/>
    <xf numFmtId="0" fontId="7" fillId="0" borderId="0" xfId="2"/>
    <xf numFmtId="0" fontId="18" fillId="5" borderId="0" xfId="6" applyFont="1" applyFill="1"/>
    <xf numFmtId="0" fontId="17" fillId="5" borderId="0" xfId="6" applyFill="1"/>
    <xf numFmtId="0" fontId="17" fillId="0" borderId="0" xfId="6"/>
    <xf numFmtId="0" fontId="17" fillId="0" borderId="0" xfId="6" applyAlignment="1">
      <alignment horizontal="center" vertical="center" wrapText="1"/>
    </xf>
    <xf numFmtId="38" fontId="17" fillId="0" borderId="0" xfId="6" applyNumberFormat="1"/>
    <xf numFmtId="0" fontId="19" fillId="0" borderId="0" xfId="2" applyFont="1" applyBorder="1"/>
    <xf numFmtId="10" fontId="20" fillId="0" borderId="0" xfId="7" applyNumberFormat="1" applyFont="1"/>
    <xf numFmtId="0" fontId="17" fillId="0" borderId="0" xfId="8"/>
    <xf numFmtId="0" fontId="17" fillId="0" borderId="0" xfId="8" applyAlignment="1">
      <alignment horizontal="center" vertical="center" wrapText="1"/>
    </xf>
    <xf numFmtId="4" fontId="17" fillId="0" borderId="0" xfId="8" applyNumberFormat="1"/>
    <xf numFmtId="38" fontId="17" fillId="0" borderId="0" xfId="8" applyNumberFormat="1"/>
    <xf numFmtId="164" fontId="17" fillId="0" borderId="0" xfId="1" applyNumberFormat="1" applyFont="1" applyBorder="1"/>
    <xf numFmtId="0" fontId="22" fillId="0" borderId="3" xfId="9" applyFont="1" applyBorder="1"/>
    <xf numFmtId="0" fontId="21" fillId="0" borderId="0" xfId="9"/>
    <xf numFmtId="0" fontId="23" fillId="0" borderId="3" xfId="9" applyFont="1" applyBorder="1" applyAlignment="1">
      <alignment horizontal="left" wrapText="1"/>
    </xf>
    <xf numFmtId="0" fontId="24" fillId="6" borderId="4" xfId="9" applyFont="1" applyFill="1" applyBorder="1" applyAlignment="1">
      <alignment horizontal="right" vertical="top" wrapText="1"/>
    </xf>
    <xf numFmtId="0" fontId="24" fillId="6" borderId="5" xfId="9" applyFont="1" applyFill="1" applyBorder="1" applyAlignment="1">
      <alignment horizontal="right" vertical="top" wrapText="1"/>
    </xf>
    <xf numFmtId="0" fontId="25" fillId="6" borderId="4" xfId="9" applyFont="1" applyFill="1" applyBorder="1" applyAlignment="1">
      <alignment vertical="top" wrapText="1"/>
    </xf>
    <xf numFmtId="0" fontId="25" fillId="6" borderId="6" xfId="9" applyFont="1" applyFill="1" applyBorder="1" applyAlignment="1">
      <alignment vertical="top" wrapText="1"/>
    </xf>
    <xf numFmtId="0" fontId="25" fillId="6" borderId="5" xfId="9" applyFont="1" applyFill="1" applyBorder="1" applyAlignment="1">
      <alignment vertical="top" wrapText="1"/>
    </xf>
    <xf numFmtId="0" fontId="24" fillId="7" borderId="4" xfId="9" applyFont="1" applyFill="1" applyBorder="1" applyAlignment="1">
      <alignment horizontal="right" vertical="center" wrapText="1"/>
    </xf>
    <xf numFmtId="0" fontId="24" fillId="7" borderId="5" xfId="9" applyFont="1" applyFill="1" applyBorder="1" applyAlignment="1">
      <alignment horizontal="right" vertical="center" wrapText="1"/>
    </xf>
    <xf numFmtId="0" fontId="25" fillId="7" borderId="3" xfId="9" applyFont="1" applyFill="1" applyBorder="1" applyAlignment="1">
      <alignment horizontal="center" vertical="top" wrapText="1"/>
    </xf>
    <xf numFmtId="0" fontId="26" fillId="8" borderId="3" xfId="9" applyFont="1" applyFill="1" applyBorder="1" applyAlignment="1">
      <alignment wrapText="1"/>
    </xf>
    <xf numFmtId="0" fontId="27" fillId="9" borderId="3" xfId="9" applyFont="1" applyFill="1" applyBorder="1" applyAlignment="1">
      <alignment horizontal="center"/>
    </xf>
    <xf numFmtId="0" fontId="28" fillId="8" borderId="3" xfId="9" applyFont="1" applyFill="1" applyBorder="1" applyAlignment="1">
      <alignment vertical="top" wrapText="1"/>
    </xf>
    <xf numFmtId="3" fontId="22" fillId="0" borderId="3" xfId="9" applyNumberFormat="1" applyFont="1" applyBorder="1" applyAlignment="1">
      <alignment horizontal="right"/>
    </xf>
    <xf numFmtId="3" fontId="22" fillId="10" borderId="3" xfId="9" applyNumberFormat="1" applyFont="1" applyFill="1" applyBorder="1" applyAlignment="1">
      <alignment horizontal="right"/>
    </xf>
    <xf numFmtId="0" fontId="22" fillId="0" borderId="3" xfId="9" applyFont="1" applyBorder="1" applyAlignment="1">
      <alignment horizontal="right"/>
    </xf>
    <xf numFmtId="0" fontId="22" fillId="10" borderId="3" xfId="9" applyFont="1" applyFill="1" applyBorder="1" applyAlignment="1">
      <alignment horizontal="right"/>
    </xf>
    <xf numFmtId="0" fontId="29" fillId="0" borderId="0" xfId="9" applyFont="1" applyAlignment="1">
      <alignment horizontal="left"/>
    </xf>
  </cellXfs>
  <cellStyles count="10">
    <cellStyle name="Hyperlink" xfId="2" builtinId="8"/>
    <cellStyle name="Normal" xfId="0" builtinId="0"/>
    <cellStyle name="Normal 10" xfId="9" xr:uid="{4547B51F-B3C8-4596-A95D-D1092787F19C}"/>
    <cellStyle name="Normal 11" xfId="4" xr:uid="{E7DEF6D2-78A0-4184-88AE-C30B9807318F}"/>
    <cellStyle name="Normal 16" xfId="3" xr:uid="{073FE9CD-27D6-47D3-A145-654C8D6F3478}"/>
    <cellStyle name="Normal 8" xfId="6" xr:uid="{3BBE5854-7D3E-47DD-82B1-CD78B62DF7AA}"/>
    <cellStyle name="Normal 9" xfId="8" xr:uid="{F909BE83-A75C-4264-A842-50B4B6DDA70B}"/>
    <cellStyle name="Percent" xfId="1" builtinId="5"/>
    <cellStyle name="Percent 2" xfId="7" xr:uid="{1EDBFBA8-FF83-4CBC-8B62-112722DE29A8}"/>
    <cellStyle name="Percent 3" xfId="5" xr:uid="{2DE35891-9B0F-4C52-9347-DA65EF49F8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2.xml"/><Relationship Id="rId7" Type="http://schemas.openxmlformats.org/officeDocument/2006/relationships/chartsheet" Target="chartsheets/sheet3.xml"/><Relationship Id="rId12" Type="http://schemas.openxmlformats.org/officeDocument/2006/relationships/worksheet" Target="worksheets/sheet9.xml"/><Relationship Id="rId17" Type="http://schemas.openxmlformats.org/officeDocument/2006/relationships/styles" Target="styles.xml"/><Relationship Id="rId2" Type="http://schemas.openxmlformats.org/officeDocument/2006/relationships/chartsheet" Target="chartsheets/sheet1.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worksheet" Target="worksheets/sheet8.xml"/><Relationship Id="rId5" Type="http://schemas.openxmlformats.org/officeDocument/2006/relationships/worksheet" Target="worksheets/sheet4.xml"/><Relationship Id="rId15" Type="http://schemas.openxmlformats.org/officeDocument/2006/relationships/pivotCacheDefinition" Target="pivotCache/pivotCacheDefinition1.xml"/><Relationship Id="rId10" Type="http://schemas.openxmlformats.org/officeDocument/2006/relationships/worksheet" Target="worksheets/sheet7.xml"/><Relationship Id="rId19" Type="http://schemas.openxmlformats.org/officeDocument/2006/relationships/sheetMetadata" Target="metadata.xml"/><Relationship Id="rId4" Type="http://schemas.openxmlformats.org/officeDocument/2006/relationships/worksheet" Target="worksheets/sheet3.xml"/><Relationship Id="rId9" Type="http://schemas.openxmlformats.org/officeDocument/2006/relationships/worksheet" Target="worksheets/sheet6.xml"/><Relationship Id="rId14"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600" b="1" i="0" u="none" strike="noStrike" kern="1200" spc="0" baseline="0">
                <a:solidFill>
                  <a:sysClr val="windowText" lastClr="000000"/>
                </a:solidFill>
                <a:latin typeface="Aptos Display" panose="020B0004020202020204" pitchFamily="34" charset="0"/>
                <a:ea typeface="+mn-ea"/>
                <a:cs typeface="+mn-cs"/>
              </a:defRPr>
            </a:pPr>
            <a:r>
              <a:rPr lang="en-US" sz="3600"/>
              <a:t>U.S. Monthly Sales of Food</a:t>
            </a:r>
          </a:p>
        </c:rich>
      </c:tx>
      <c:overlay val="0"/>
      <c:spPr>
        <a:noFill/>
        <a:ln>
          <a:noFill/>
        </a:ln>
        <a:effectLst/>
      </c:spPr>
      <c:txPr>
        <a:bodyPr rot="0" spcFirstLastPara="1" vertOverflow="ellipsis" vert="horz" wrap="square" anchor="ctr" anchorCtr="1"/>
        <a:lstStyle/>
        <a:p>
          <a:pPr>
            <a:defRPr sz="3600" b="1" i="0" u="none" strike="noStrike" kern="1200" spc="0" baseline="0">
              <a:solidFill>
                <a:sysClr val="windowText" lastClr="000000"/>
              </a:solidFill>
              <a:latin typeface="Aptos Display" panose="020B0004020202020204" pitchFamily="34" charset="0"/>
              <a:ea typeface="+mn-ea"/>
              <a:cs typeface="+mn-cs"/>
            </a:defRPr>
          </a:pPr>
          <a:endParaRPr lang="en-US"/>
        </a:p>
      </c:txPr>
    </c:title>
    <c:autoTitleDeleted val="0"/>
    <c:plotArea>
      <c:layout>
        <c:manualLayout>
          <c:layoutTarget val="inner"/>
          <c:xMode val="edge"/>
          <c:yMode val="edge"/>
          <c:x val="9.5186722953432779E-2"/>
          <c:y val="0.11930004261998103"/>
          <c:w val="0.89009541850025342"/>
          <c:h val="0.69167113299015348"/>
        </c:manualLayout>
      </c:layout>
      <c:barChart>
        <c:barDir val="col"/>
        <c:grouping val="clustered"/>
        <c:varyColors val="0"/>
        <c:ser>
          <c:idx val="1"/>
          <c:order val="1"/>
          <c:tx>
            <c:v>Month-over-Month Change</c:v>
          </c:tx>
          <c:spPr>
            <a:solidFill>
              <a:srgbClr val="000000"/>
            </a:solidFill>
            <a:ln w="3175">
              <a:solidFill>
                <a:srgbClr val="323232"/>
              </a:solidFill>
            </a:ln>
            <a:effectLst/>
          </c:spPr>
          <c:invertIfNegative val="1"/>
          <c:cat>
            <c:numRef>
              <c:f>'Food Expenditure Series'!$A$6:$A$329</c:f>
              <c:numCache>
                <c:formatCode>[$-409]mmm\-yy;@</c:formatCode>
                <c:ptCount val="324"/>
                <c:pt idx="0">
                  <c:v>35431</c:v>
                </c:pt>
                <c:pt idx="1">
                  <c:v>35462</c:v>
                </c:pt>
                <c:pt idx="2">
                  <c:v>35490</c:v>
                </c:pt>
                <c:pt idx="3">
                  <c:v>35521</c:v>
                </c:pt>
                <c:pt idx="4">
                  <c:v>35551</c:v>
                </c:pt>
                <c:pt idx="5">
                  <c:v>35582</c:v>
                </c:pt>
                <c:pt idx="6">
                  <c:v>35612</c:v>
                </c:pt>
                <c:pt idx="7">
                  <c:v>35643</c:v>
                </c:pt>
                <c:pt idx="8">
                  <c:v>35674</c:v>
                </c:pt>
                <c:pt idx="9">
                  <c:v>35704</c:v>
                </c:pt>
                <c:pt idx="10">
                  <c:v>35735</c:v>
                </c:pt>
                <c:pt idx="11">
                  <c:v>35765</c:v>
                </c:pt>
                <c:pt idx="12">
                  <c:v>35796</c:v>
                </c:pt>
                <c:pt idx="13">
                  <c:v>35827</c:v>
                </c:pt>
                <c:pt idx="14">
                  <c:v>35855</c:v>
                </c:pt>
                <c:pt idx="15">
                  <c:v>35886</c:v>
                </c:pt>
                <c:pt idx="16">
                  <c:v>35916</c:v>
                </c:pt>
                <c:pt idx="17">
                  <c:v>35947</c:v>
                </c:pt>
                <c:pt idx="18">
                  <c:v>35977</c:v>
                </c:pt>
                <c:pt idx="19">
                  <c:v>36008</c:v>
                </c:pt>
                <c:pt idx="20">
                  <c:v>36039</c:v>
                </c:pt>
                <c:pt idx="21">
                  <c:v>36069</c:v>
                </c:pt>
                <c:pt idx="22">
                  <c:v>36100</c:v>
                </c:pt>
                <c:pt idx="23">
                  <c:v>36130</c:v>
                </c:pt>
                <c:pt idx="24">
                  <c:v>36161</c:v>
                </c:pt>
                <c:pt idx="25">
                  <c:v>36192</c:v>
                </c:pt>
                <c:pt idx="26">
                  <c:v>36220</c:v>
                </c:pt>
                <c:pt idx="27">
                  <c:v>36251</c:v>
                </c:pt>
                <c:pt idx="28">
                  <c:v>36281</c:v>
                </c:pt>
                <c:pt idx="29">
                  <c:v>36312</c:v>
                </c:pt>
                <c:pt idx="30">
                  <c:v>36342</c:v>
                </c:pt>
                <c:pt idx="31">
                  <c:v>36373</c:v>
                </c:pt>
                <c:pt idx="32">
                  <c:v>36404</c:v>
                </c:pt>
                <c:pt idx="33">
                  <c:v>36434</c:v>
                </c:pt>
                <c:pt idx="34">
                  <c:v>36465</c:v>
                </c:pt>
                <c:pt idx="35">
                  <c:v>36495</c:v>
                </c:pt>
                <c:pt idx="36">
                  <c:v>36526</c:v>
                </c:pt>
                <c:pt idx="37">
                  <c:v>36557</c:v>
                </c:pt>
                <c:pt idx="38">
                  <c:v>36586</c:v>
                </c:pt>
                <c:pt idx="39">
                  <c:v>36617</c:v>
                </c:pt>
                <c:pt idx="40">
                  <c:v>36647</c:v>
                </c:pt>
                <c:pt idx="41">
                  <c:v>36678</c:v>
                </c:pt>
                <c:pt idx="42">
                  <c:v>36708</c:v>
                </c:pt>
                <c:pt idx="43">
                  <c:v>36739</c:v>
                </c:pt>
                <c:pt idx="44">
                  <c:v>36770</c:v>
                </c:pt>
                <c:pt idx="45">
                  <c:v>36800</c:v>
                </c:pt>
                <c:pt idx="46">
                  <c:v>36831</c:v>
                </c:pt>
                <c:pt idx="47">
                  <c:v>36861</c:v>
                </c:pt>
                <c:pt idx="48">
                  <c:v>36892</c:v>
                </c:pt>
                <c:pt idx="49">
                  <c:v>36923</c:v>
                </c:pt>
                <c:pt idx="50">
                  <c:v>36951</c:v>
                </c:pt>
                <c:pt idx="51">
                  <c:v>36982</c:v>
                </c:pt>
                <c:pt idx="52">
                  <c:v>37012</c:v>
                </c:pt>
                <c:pt idx="53">
                  <c:v>37043</c:v>
                </c:pt>
                <c:pt idx="54">
                  <c:v>37073</c:v>
                </c:pt>
                <c:pt idx="55">
                  <c:v>37104</c:v>
                </c:pt>
                <c:pt idx="56">
                  <c:v>37135</c:v>
                </c:pt>
                <c:pt idx="57">
                  <c:v>37165</c:v>
                </c:pt>
                <c:pt idx="58">
                  <c:v>37196</c:v>
                </c:pt>
                <c:pt idx="59">
                  <c:v>37226</c:v>
                </c:pt>
                <c:pt idx="60">
                  <c:v>37257</c:v>
                </c:pt>
                <c:pt idx="61">
                  <c:v>37288</c:v>
                </c:pt>
                <c:pt idx="62">
                  <c:v>37316</c:v>
                </c:pt>
                <c:pt idx="63">
                  <c:v>37347</c:v>
                </c:pt>
                <c:pt idx="64">
                  <c:v>37377</c:v>
                </c:pt>
                <c:pt idx="65">
                  <c:v>37408</c:v>
                </c:pt>
                <c:pt idx="66">
                  <c:v>37438</c:v>
                </c:pt>
                <c:pt idx="67">
                  <c:v>37469</c:v>
                </c:pt>
                <c:pt idx="68">
                  <c:v>37500</c:v>
                </c:pt>
                <c:pt idx="69">
                  <c:v>37530</c:v>
                </c:pt>
                <c:pt idx="70">
                  <c:v>37561</c:v>
                </c:pt>
                <c:pt idx="71">
                  <c:v>37591</c:v>
                </c:pt>
                <c:pt idx="72">
                  <c:v>37622</c:v>
                </c:pt>
                <c:pt idx="73">
                  <c:v>37653</c:v>
                </c:pt>
                <c:pt idx="74">
                  <c:v>37681</c:v>
                </c:pt>
                <c:pt idx="75">
                  <c:v>37712</c:v>
                </c:pt>
                <c:pt idx="76">
                  <c:v>37742</c:v>
                </c:pt>
                <c:pt idx="77">
                  <c:v>37773</c:v>
                </c:pt>
                <c:pt idx="78">
                  <c:v>37803</c:v>
                </c:pt>
                <c:pt idx="79">
                  <c:v>37834</c:v>
                </c:pt>
                <c:pt idx="80">
                  <c:v>37865</c:v>
                </c:pt>
                <c:pt idx="81">
                  <c:v>37895</c:v>
                </c:pt>
                <c:pt idx="82">
                  <c:v>37926</c:v>
                </c:pt>
                <c:pt idx="83">
                  <c:v>37956</c:v>
                </c:pt>
                <c:pt idx="84">
                  <c:v>37987</c:v>
                </c:pt>
                <c:pt idx="85">
                  <c:v>38018</c:v>
                </c:pt>
                <c:pt idx="86">
                  <c:v>38047</c:v>
                </c:pt>
                <c:pt idx="87">
                  <c:v>38078</c:v>
                </c:pt>
                <c:pt idx="88">
                  <c:v>38108</c:v>
                </c:pt>
                <c:pt idx="89">
                  <c:v>38139</c:v>
                </c:pt>
                <c:pt idx="90">
                  <c:v>38169</c:v>
                </c:pt>
                <c:pt idx="91">
                  <c:v>38200</c:v>
                </c:pt>
                <c:pt idx="92">
                  <c:v>38231</c:v>
                </c:pt>
                <c:pt idx="93">
                  <c:v>38261</c:v>
                </c:pt>
                <c:pt idx="94">
                  <c:v>38292</c:v>
                </c:pt>
                <c:pt idx="95">
                  <c:v>38322</c:v>
                </c:pt>
                <c:pt idx="96">
                  <c:v>38353</c:v>
                </c:pt>
                <c:pt idx="97">
                  <c:v>38384</c:v>
                </c:pt>
                <c:pt idx="98">
                  <c:v>38412</c:v>
                </c:pt>
                <c:pt idx="99">
                  <c:v>38443</c:v>
                </c:pt>
                <c:pt idx="100">
                  <c:v>38473</c:v>
                </c:pt>
                <c:pt idx="101">
                  <c:v>38504</c:v>
                </c:pt>
                <c:pt idx="102">
                  <c:v>38534</c:v>
                </c:pt>
                <c:pt idx="103">
                  <c:v>38565</c:v>
                </c:pt>
                <c:pt idx="104">
                  <c:v>38596</c:v>
                </c:pt>
                <c:pt idx="105">
                  <c:v>38626</c:v>
                </c:pt>
                <c:pt idx="106">
                  <c:v>38657</c:v>
                </c:pt>
                <c:pt idx="107">
                  <c:v>38687</c:v>
                </c:pt>
                <c:pt idx="108">
                  <c:v>38718</c:v>
                </c:pt>
                <c:pt idx="109">
                  <c:v>38749</c:v>
                </c:pt>
                <c:pt idx="110">
                  <c:v>38777</c:v>
                </c:pt>
                <c:pt idx="111">
                  <c:v>38808</c:v>
                </c:pt>
                <c:pt idx="112">
                  <c:v>38838</c:v>
                </c:pt>
                <c:pt idx="113">
                  <c:v>38869</c:v>
                </c:pt>
                <c:pt idx="114">
                  <c:v>38899</c:v>
                </c:pt>
                <c:pt idx="115">
                  <c:v>38930</c:v>
                </c:pt>
                <c:pt idx="116">
                  <c:v>38961</c:v>
                </c:pt>
                <c:pt idx="117">
                  <c:v>38991</c:v>
                </c:pt>
                <c:pt idx="118">
                  <c:v>39022</c:v>
                </c:pt>
                <c:pt idx="119">
                  <c:v>39052</c:v>
                </c:pt>
                <c:pt idx="120">
                  <c:v>39083</c:v>
                </c:pt>
                <c:pt idx="121">
                  <c:v>39114</c:v>
                </c:pt>
                <c:pt idx="122">
                  <c:v>39142</c:v>
                </c:pt>
                <c:pt idx="123">
                  <c:v>39173</c:v>
                </c:pt>
                <c:pt idx="124">
                  <c:v>39203</c:v>
                </c:pt>
                <c:pt idx="125">
                  <c:v>39234</c:v>
                </c:pt>
                <c:pt idx="126">
                  <c:v>39264</c:v>
                </c:pt>
                <c:pt idx="127">
                  <c:v>39295</c:v>
                </c:pt>
                <c:pt idx="128">
                  <c:v>39326</c:v>
                </c:pt>
                <c:pt idx="129">
                  <c:v>39356</c:v>
                </c:pt>
                <c:pt idx="130">
                  <c:v>39387</c:v>
                </c:pt>
                <c:pt idx="131">
                  <c:v>39417</c:v>
                </c:pt>
                <c:pt idx="132">
                  <c:v>39448</c:v>
                </c:pt>
                <c:pt idx="133">
                  <c:v>39479</c:v>
                </c:pt>
                <c:pt idx="134">
                  <c:v>39508</c:v>
                </c:pt>
                <c:pt idx="135">
                  <c:v>39539</c:v>
                </c:pt>
                <c:pt idx="136">
                  <c:v>39569</c:v>
                </c:pt>
                <c:pt idx="137">
                  <c:v>39600</c:v>
                </c:pt>
                <c:pt idx="138">
                  <c:v>39630</c:v>
                </c:pt>
                <c:pt idx="139">
                  <c:v>39661</c:v>
                </c:pt>
                <c:pt idx="140">
                  <c:v>39692</c:v>
                </c:pt>
                <c:pt idx="141">
                  <c:v>39722</c:v>
                </c:pt>
                <c:pt idx="142">
                  <c:v>39753</c:v>
                </c:pt>
                <c:pt idx="143">
                  <c:v>39783</c:v>
                </c:pt>
                <c:pt idx="144">
                  <c:v>39814</c:v>
                </c:pt>
                <c:pt idx="145">
                  <c:v>39845</c:v>
                </c:pt>
                <c:pt idx="146">
                  <c:v>39873</c:v>
                </c:pt>
                <c:pt idx="147">
                  <c:v>39904</c:v>
                </c:pt>
                <c:pt idx="148">
                  <c:v>39934</c:v>
                </c:pt>
                <c:pt idx="149">
                  <c:v>39965</c:v>
                </c:pt>
                <c:pt idx="150">
                  <c:v>39995</c:v>
                </c:pt>
                <c:pt idx="151">
                  <c:v>40026</c:v>
                </c:pt>
                <c:pt idx="152">
                  <c:v>40057</c:v>
                </c:pt>
                <c:pt idx="153">
                  <c:v>40087</c:v>
                </c:pt>
                <c:pt idx="154">
                  <c:v>40118</c:v>
                </c:pt>
                <c:pt idx="155">
                  <c:v>40148</c:v>
                </c:pt>
                <c:pt idx="156">
                  <c:v>40179</c:v>
                </c:pt>
                <c:pt idx="157">
                  <c:v>40210</c:v>
                </c:pt>
                <c:pt idx="158">
                  <c:v>40238</c:v>
                </c:pt>
                <c:pt idx="159">
                  <c:v>40269</c:v>
                </c:pt>
                <c:pt idx="160">
                  <c:v>40299</c:v>
                </c:pt>
                <c:pt idx="161">
                  <c:v>40330</c:v>
                </c:pt>
                <c:pt idx="162">
                  <c:v>40360</c:v>
                </c:pt>
                <c:pt idx="163">
                  <c:v>40391</c:v>
                </c:pt>
                <c:pt idx="164">
                  <c:v>40422</c:v>
                </c:pt>
                <c:pt idx="165">
                  <c:v>40452</c:v>
                </c:pt>
                <c:pt idx="166">
                  <c:v>40483</c:v>
                </c:pt>
                <c:pt idx="167">
                  <c:v>40513</c:v>
                </c:pt>
                <c:pt idx="168">
                  <c:v>40544</c:v>
                </c:pt>
                <c:pt idx="169">
                  <c:v>40575</c:v>
                </c:pt>
                <c:pt idx="170">
                  <c:v>40603</c:v>
                </c:pt>
                <c:pt idx="171">
                  <c:v>40634</c:v>
                </c:pt>
                <c:pt idx="172">
                  <c:v>40664</c:v>
                </c:pt>
                <c:pt idx="173">
                  <c:v>40695</c:v>
                </c:pt>
                <c:pt idx="174">
                  <c:v>40725</c:v>
                </c:pt>
                <c:pt idx="175">
                  <c:v>40756</c:v>
                </c:pt>
                <c:pt idx="176">
                  <c:v>40787</c:v>
                </c:pt>
                <c:pt idx="177">
                  <c:v>40817</c:v>
                </c:pt>
                <c:pt idx="178">
                  <c:v>40848</c:v>
                </c:pt>
                <c:pt idx="179">
                  <c:v>40878</c:v>
                </c:pt>
                <c:pt idx="180">
                  <c:v>40909</c:v>
                </c:pt>
                <c:pt idx="181">
                  <c:v>40940</c:v>
                </c:pt>
                <c:pt idx="182">
                  <c:v>40969</c:v>
                </c:pt>
                <c:pt idx="183">
                  <c:v>41000</c:v>
                </c:pt>
                <c:pt idx="184">
                  <c:v>41030</c:v>
                </c:pt>
                <c:pt idx="185">
                  <c:v>41061</c:v>
                </c:pt>
                <c:pt idx="186">
                  <c:v>41091</c:v>
                </c:pt>
                <c:pt idx="187">
                  <c:v>41122</c:v>
                </c:pt>
                <c:pt idx="188">
                  <c:v>41153</c:v>
                </c:pt>
                <c:pt idx="189">
                  <c:v>41183</c:v>
                </c:pt>
                <c:pt idx="190">
                  <c:v>41214</c:v>
                </c:pt>
                <c:pt idx="191">
                  <c:v>41244</c:v>
                </c:pt>
                <c:pt idx="192">
                  <c:v>41275</c:v>
                </c:pt>
                <c:pt idx="193">
                  <c:v>41306</c:v>
                </c:pt>
                <c:pt idx="194">
                  <c:v>41334</c:v>
                </c:pt>
                <c:pt idx="195">
                  <c:v>41365</c:v>
                </c:pt>
                <c:pt idx="196">
                  <c:v>41395</c:v>
                </c:pt>
                <c:pt idx="197">
                  <c:v>41426</c:v>
                </c:pt>
                <c:pt idx="198">
                  <c:v>41456</c:v>
                </c:pt>
                <c:pt idx="199">
                  <c:v>41487</c:v>
                </c:pt>
                <c:pt idx="200">
                  <c:v>41518</c:v>
                </c:pt>
                <c:pt idx="201">
                  <c:v>41548</c:v>
                </c:pt>
                <c:pt idx="202">
                  <c:v>41579</c:v>
                </c:pt>
                <c:pt idx="203">
                  <c:v>41609</c:v>
                </c:pt>
                <c:pt idx="204">
                  <c:v>41640</c:v>
                </c:pt>
                <c:pt idx="205">
                  <c:v>41671</c:v>
                </c:pt>
                <c:pt idx="206">
                  <c:v>41699</c:v>
                </c:pt>
                <c:pt idx="207">
                  <c:v>41730</c:v>
                </c:pt>
                <c:pt idx="208">
                  <c:v>41760</c:v>
                </c:pt>
                <c:pt idx="209">
                  <c:v>41791</c:v>
                </c:pt>
                <c:pt idx="210">
                  <c:v>41821</c:v>
                </c:pt>
                <c:pt idx="211">
                  <c:v>41852</c:v>
                </c:pt>
                <c:pt idx="212">
                  <c:v>41883</c:v>
                </c:pt>
                <c:pt idx="213">
                  <c:v>41913</c:v>
                </c:pt>
                <c:pt idx="214">
                  <c:v>41944</c:v>
                </c:pt>
                <c:pt idx="215">
                  <c:v>41974</c:v>
                </c:pt>
                <c:pt idx="216">
                  <c:v>42005</c:v>
                </c:pt>
                <c:pt idx="217">
                  <c:v>42036</c:v>
                </c:pt>
                <c:pt idx="218">
                  <c:v>42064</c:v>
                </c:pt>
                <c:pt idx="219">
                  <c:v>42095</c:v>
                </c:pt>
                <c:pt idx="220">
                  <c:v>42125</c:v>
                </c:pt>
                <c:pt idx="221">
                  <c:v>42156</c:v>
                </c:pt>
                <c:pt idx="222">
                  <c:v>42186</c:v>
                </c:pt>
                <c:pt idx="223">
                  <c:v>42217</c:v>
                </c:pt>
                <c:pt idx="224">
                  <c:v>42248</c:v>
                </c:pt>
                <c:pt idx="225">
                  <c:v>42278</c:v>
                </c:pt>
                <c:pt idx="226">
                  <c:v>42309</c:v>
                </c:pt>
                <c:pt idx="227">
                  <c:v>42339</c:v>
                </c:pt>
                <c:pt idx="228">
                  <c:v>42370</c:v>
                </c:pt>
                <c:pt idx="229">
                  <c:v>42401</c:v>
                </c:pt>
                <c:pt idx="230">
                  <c:v>42430</c:v>
                </c:pt>
                <c:pt idx="231">
                  <c:v>42461</c:v>
                </c:pt>
                <c:pt idx="232">
                  <c:v>42491</c:v>
                </c:pt>
                <c:pt idx="233">
                  <c:v>42522</c:v>
                </c:pt>
                <c:pt idx="234">
                  <c:v>42552</c:v>
                </c:pt>
                <c:pt idx="235">
                  <c:v>42583</c:v>
                </c:pt>
                <c:pt idx="236">
                  <c:v>42614</c:v>
                </c:pt>
                <c:pt idx="237">
                  <c:v>42644</c:v>
                </c:pt>
                <c:pt idx="238">
                  <c:v>42675</c:v>
                </c:pt>
                <c:pt idx="239">
                  <c:v>42705</c:v>
                </c:pt>
                <c:pt idx="240">
                  <c:v>42736</c:v>
                </c:pt>
                <c:pt idx="241">
                  <c:v>42767</c:v>
                </c:pt>
                <c:pt idx="242">
                  <c:v>42795</c:v>
                </c:pt>
                <c:pt idx="243">
                  <c:v>42826</c:v>
                </c:pt>
                <c:pt idx="244">
                  <c:v>42856</c:v>
                </c:pt>
                <c:pt idx="245">
                  <c:v>42887</c:v>
                </c:pt>
                <c:pt idx="246">
                  <c:v>42917</c:v>
                </c:pt>
                <c:pt idx="247">
                  <c:v>42948</c:v>
                </c:pt>
                <c:pt idx="248">
                  <c:v>42979</c:v>
                </c:pt>
                <c:pt idx="249">
                  <c:v>43009</c:v>
                </c:pt>
                <c:pt idx="250">
                  <c:v>43040</c:v>
                </c:pt>
                <c:pt idx="251">
                  <c:v>43070</c:v>
                </c:pt>
                <c:pt idx="252">
                  <c:v>43101</c:v>
                </c:pt>
                <c:pt idx="253">
                  <c:v>43132</c:v>
                </c:pt>
                <c:pt idx="254">
                  <c:v>43160</c:v>
                </c:pt>
                <c:pt idx="255">
                  <c:v>43191</c:v>
                </c:pt>
                <c:pt idx="256">
                  <c:v>43221</c:v>
                </c:pt>
                <c:pt idx="257">
                  <c:v>43252</c:v>
                </c:pt>
                <c:pt idx="258">
                  <c:v>43282</c:v>
                </c:pt>
                <c:pt idx="259">
                  <c:v>43313</c:v>
                </c:pt>
                <c:pt idx="260">
                  <c:v>43344</c:v>
                </c:pt>
                <c:pt idx="261">
                  <c:v>43374</c:v>
                </c:pt>
                <c:pt idx="262">
                  <c:v>43405</c:v>
                </c:pt>
                <c:pt idx="263">
                  <c:v>43435</c:v>
                </c:pt>
                <c:pt idx="264">
                  <c:v>43466</c:v>
                </c:pt>
                <c:pt idx="265">
                  <c:v>43497</c:v>
                </c:pt>
                <c:pt idx="266">
                  <c:v>43525</c:v>
                </c:pt>
                <c:pt idx="267">
                  <c:v>43556</c:v>
                </c:pt>
                <c:pt idx="268">
                  <c:v>43586</c:v>
                </c:pt>
                <c:pt idx="269">
                  <c:v>43617</c:v>
                </c:pt>
                <c:pt idx="270">
                  <c:v>43647</c:v>
                </c:pt>
                <c:pt idx="271">
                  <c:v>43678</c:v>
                </c:pt>
                <c:pt idx="272">
                  <c:v>43709</c:v>
                </c:pt>
                <c:pt idx="273">
                  <c:v>43739</c:v>
                </c:pt>
                <c:pt idx="274">
                  <c:v>43770</c:v>
                </c:pt>
                <c:pt idx="275">
                  <c:v>43800</c:v>
                </c:pt>
                <c:pt idx="276">
                  <c:v>43831</c:v>
                </c:pt>
                <c:pt idx="277">
                  <c:v>43862</c:v>
                </c:pt>
                <c:pt idx="278">
                  <c:v>43891</c:v>
                </c:pt>
                <c:pt idx="279">
                  <c:v>43922</c:v>
                </c:pt>
                <c:pt idx="280">
                  <c:v>43952</c:v>
                </c:pt>
                <c:pt idx="281">
                  <c:v>43983</c:v>
                </c:pt>
                <c:pt idx="282">
                  <c:v>44013</c:v>
                </c:pt>
                <c:pt idx="283">
                  <c:v>44044</c:v>
                </c:pt>
                <c:pt idx="284">
                  <c:v>44075</c:v>
                </c:pt>
                <c:pt idx="285">
                  <c:v>44105</c:v>
                </c:pt>
                <c:pt idx="286">
                  <c:v>44136</c:v>
                </c:pt>
                <c:pt idx="287">
                  <c:v>44166</c:v>
                </c:pt>
                <c:pt idx="288">
                  <c:v>44197</c:v>
                </c:pt>
                <c:pt idx="289">
                  <c:v>44228</c:v>
                </c:pt>
                <c:pt idx="290">
                  <c:v>44256</c:v>
                </c:pt>
                <c:pt idx="291">
                  <c:v>44287</c:v>
                </c:pt>
                <c:pt idx="292">
                  <c:v>44317</c:v>
                </c:pt>
                <c:pt idx="293">
                  <c:v>44348</c:v>
                </c:pt>
                <c:pt idx="294">
                  <c:v>44378</c:v>
                </c:pt>
                <c:pt idx="295">
                  <c:v>44409</c:v>
                </c:pt>
                <c:pt idx="296">
                  <c:v>44440</c:v>
                </c:pt>
                <c:pt idx="297">
                  <c:v>44470</c:v>
                </c:pt>
                <c:pt idx="298">
                  <c:v>44501</c:v>
                </c:pt>
                <c:pt idx="299">
                  <c:v>44531</c:v>
                </c:pt>
                <c:pt idx="300">
                  <c:v>44562</c:v>
                </c:pt>
                <c:pt idx="301">
                  <c:v>44593</c:v>
                </c:pt>
                <c:pt idx="302">
                  <c:v>44621</c:v>
                </c:pt>
                <c:pt idx="303">
                  <c:v>44652</c:v>
                </c:pt>
                <c:pt idx="304">
                  <c:v>44682</c:v>
                </c:pt>
                <c:pt idx="305">
                  <c:v>44713</c:v>
                </c:pt>
                <c:pt idx="306">
                  <c:v>44743</c:v>
                </c:pt>
                <c:pt idx="307">
                  <c:v>44774</c:v>
                </c:pt>
                <c:pt idx="308">
                  <c:v>44805</c:v>
                </c:pt>
                <c:pt idx="309">
                  <c:v>44835</c:v>
                </c:pt>
                <c:pt idx="310">
                  <c:v>44866</c:v>
                </c:pt>
                <c:pt idx="311">
                  <c:v>44896</c:v>
                </c:pt>
                <c:pt idx="312">
                  <c:v>44927</c:v>
                </c:pt>
                <c:pt idx="313">
                  <c:v>44958</c:v>
                </c:pt>
                <c:pt idx="314">
                  <c:v>44986</c:v>
                </c:pt>
                <c:pt idx="315">
                  <c:v>45017</c:v>
                </c:pt>
                <c:pt idx="316">
                  <c:v>45047</c:v>
                </c:pt>
                <c:pt idx="317">
                  <c:v>45078</c:v>
                </c:pt>
                <c:pt idx="318">
                  <c:v>45108</c:v>
                </c:pt>
                <c:pt idx="319">
                  <c:v>45139</c:v>
                </c:pt>
                <c:pt idx="320">
                  <c:v>45170</c:v>
                </c:pt>
                <c:pt idx="321">
                  <c:v>45200</c:v>
                </c:pt>
                <c:pt idx="322">
                  <c:v>45231</c:v>
                </c:pt>
                <c:pt idx="323">
                  <c:v>45261</c:v>
                </c:pt>
              </c:numCache>
            </c:numRef>
          </c:cat>
          <c:val>
            <c:numRef>
              <c:f>'Food Expenditure Series'!$I$7:$I$329</c:f>
              <c:numCache>
                <c:formatCode>#,##0_);[Red]\(#,##0\)</c:formatCode>
                <c:ptCount val="323"/>
                <c:pt idx="0">
                  <c:v>-1722.760000000002</c:v>
                </c:pt>
                <c:pt idx="1">
                  <c:v>4298.5900000000038</c:v>
                </c:pt>
                <c:pt idx="2">
                  <c:v>-1330.510000000002</c:v>
                </c:pt>
                <c:pt idx="3">
                  <c:v>3131.989999999998</c:v>
                </c:pt>
                <c:pt idx="4">
                  <c:v>-1734.1800000000003</c:v>
                </c:pt>
                <c:pt idx="5">
                  <c:v>1550.7000000000044</c:v>
                </c:pt>
                <c:pt idx="6">
                  <c:v>234.76000000000204</c:v>
                </c:pt>
                <c:pt idx="7">
                  <c:v>-3007.820000000007</c:v>
                </c:pt>
                <c:pt idx="8">
                  <c:v>1470.8900000000067</c:v>
                </c:pt>
                <c:pt idx="9">
                  <c:v>-1148.1900000000023</c:v>
                </c:pt>
                <c:pt idx="10">
                  <c:v>3101.4000000000015</c:v>
                </c:pt>
                <c:pt idx="11">
                  <c:v>-4649.68</c:v>
                </c:pt>
                <c:pt idx="12">
                  <c:v>-1827.1200000000026</c:v>
                </c:pt>
                <c:pt idx="13">
                  <c:v>3588</c:v>
                </c:pt>
                <c:pt idx="14">
                  <c:v>343.94999999999709</c:v>
                </c:pt>
                <c:pt idx="15">
                  <c:v>2313.2200000000012</c:v>
                </c:pt>
                <c:pt idx="16">
                  <c:v>-1116.1100000000006</c:v>
                </c:pt>
                <c:pt idx="17">
                  <c:v>1404.2700000000041</c:v>
                </c:pt>
                <c:pt idx="18">
                  <c:v>-569.44000000000233</c:v>
                </c:pt>
                <c:pt idx="19">
                  <c:v>-2192.7999999999956</c:v>
                </c:pt>
                <c:pt idx="20">
                  <c:v>1848.8599999999933</c:v>
                </c:pt>
                <c:pt idx="21">
                  <c:v>-1556.75</c:v>
                </c:pt>
                <c:pt idx="22">
                  <c:v>4194.5400000000009</c:v>
                </c:pt>
                <c:pt idx="23">
                  <c:v>-5722.9399999999951</c:v>
                </c:pt>
                <c:pt idx="24">
                  <c:v>-1346.7300000000032</c:v>
                </c:pt>
                <c:pt idx="25">
                  <c:v>4012.1900000000023</c:v>
                </c:pt>
                <c:pt idx="26">
                  <c:v>-46.349999999998545</c:v>
                </c:pt>
                <c:pt idx="27">
                  <c:v>2032.6800000000003</c:v>
                </c:pt>
                <c:pt idx="28">
                  <c:v>-942.31999999999971</c:v>
                </c:pt>
                <c:pt idx="29">
                  <c:v>1800.8599999999933</c:v>
                </c:pt>
                <c:pt idx="30">
                  <c:v>-1242.4499999999971</c:v>
                </c:pt>
                <c:pt idx="31">
                  <c:v>-1550.6999999999971</c:v>
                </c:pt>
                <c:pt idx="32">
                  <c:v>1410.6100000000006</c:v>
                </c:pt>
                <c:pt idx="33">
                  <c:v>-1052.4600000000064</c:v>
                </c:pt>
                <c:pt idx="34">
                  <c:v>5358.6000000000058</c:v>
                </c:pt>
                <c:pt idx="35">
                  <c:v>-7479.2800000000061</c:v>
                </c:pt>
                <c:pt idx="36">
                  <c:v>382.99000000000524</c:v>
                </c:pt>
                <c:pt idx="37">
                  <c:v>3666.6500000000015</c:v>
                </c:pt>
                <c:pt idx="38">
                  <c:v>-611</c:v>
                </c:pt>
                <c:pt idx="39">
                  <c:v>1474.6099999999933</c:v>
                </c:pt>
                <c:pt idx="40">
                  <c:v>193</c:v>
                </c:pt>
                <c:pt idx="41">
                  <c:v>336.26000000000204</c:v>
                </c:pt>
                <c:pt idx="42">
                  <c:v>-287.47000000000116</c:v>
                </c:pt>
                <c:pt idx="43">
                  <c:v>-1556.739999999998</c:v>
                </c:pt>
                <c:pt idx="44">
                  <c:v>342.86000000000058</c:v>
                </c:pt>
                <c:pt idx="45">
                  <c:v>-88.19999999999709</c:v>
                </c:pt>
                <c:pt idx="46">
                  <c:v>4097.2999999999956</c:v>
                </c:pt>
                <c:pt idx="47">
                  <c:v>-6194.2699999999968</c:v>
                </c:pt>
                <c:pt idx="48">
                  <c:v>-1446.0800000000017</c:v>
                </c:pt>
                <c:pt idx="49">
                  <c:v>4556.2200000000012</c:v>
                </c:pt>
                <c:pt idx="50">
                  <c:v>-1363.8400000000038</c:v>
                </c:pt>
                <c:pt idx="51">
                  <c:v>2605.260000000002</c:v>
                </c:pt>
                <c:pt idx="52">
                  <c:v>-460.47999999999593</c:v>
                </c:pt>
                <c:pt idx="53">
                  <c:v>-154.9600000000064</c:v>
                </c:pt>
                <c:pt idx="54">
                  <c:v>902.43000000000029</c:v>
                </c:pt>
                <c:pt idx="55">
                  <c:v>-3309.0899999999965</c:v>
                </c:pt>
                <c:pt idx="56">
                  <c:v>866.37000000000262</c:v>
                </c:pt>
                <c:pt idx="57">
                  <c:v>127.48999999999796</c:v>
                </c:pt>
                <c:pt idx="58">
                  <c:v>4282.4599999999991</c:v>
                </c:pt>
                <c:pt idx="59">
                  <c:v>-6400.0599999999977</c:v>
                </c:pt>
                <c:pt idx="60">
                  <c:v>-1412.8000000000029</c:v>
                </c:pt>
                <c:pt idx="61">
                  <c:v>4994.2200000000012</c:v>
                </c:pt>
                <c:pt idx="62">
                  <c:v>-2031.1800000000003</c:v>
                </c:pt>
                <c:pt idx="63">
                  <c:v>3349.8600000000006</c:v>
                </c:pt>
                <c:pt idx="64">
                  <c:v>-1106.3400000000038</c:v>
                </c:pt>
                <c:pt idx="65">
                  <c:v>609.5</c:v>
                </c:pt>
                <c:pt idx="66">
                  <c:v>937.20999999999913</c:v>
                </c:pt>
                <c:pt idx="67">
                  <c:v>-3984.0999999999985</c:v>
                </c:pt>
                <c:pt idx="68">
                  <c:v>1693.0800000000017</c:v>
                </c:pt>
                <c:pt idx="69">
                  <c:v>430.91999999999825</c:v>
                </c:pt>
                <c:pt idx="70">
                  <c:v>3064.4400000000023</c:v>
                </c:pt>
                <c:pt idx="71">
                  <c:v>-4906.7700000000041</c:v>
                </c:pt>
                <c:pt idx="72">
                  <c:v>-2007.0599999999977</c:v>
                </c:pt>
                <c:pt idx="73">
                  <c:v>4470.7900000000009</c:v>
                </c:pt>
                <c:pt idx="74">
                  <c:v>-932.66999999999825</c:v>
                </c:pt>
                <c:pt idx="75">
                  <c:v>3247.6399999999994</c:v>
                </c:pt>
                <c:pt idx="76">
                  <c:v>-1994.0900000000038</c:v>
                </c:pt>
                <c:pt idx="77">
                  <c:v>1606.3700000000026</c:v>
                </c:pt>
                <c:pt idx="78">
                  <c:v>783.04000000000087</c:v>
                </c:pt>
                <c:pt idx="79">
                  <c:v>-4058.6500000000015</c:v>
                </c:pt>
                <c:pt idx="80">
                  <c:v>1987.489999999998</c:v>
                </c:pt>
                <c:pt idx="81">
                  <c:v>-648.61000000000058</c:v>
                </c:pt>
                <c:pt idx="82">
                  <c:v>3400.0200000000041</c:v>
                </c:pt>
                <c:pt idx="83">
                  <c:v>-4285.8400000000038</c:v>
                </c:pt>
                <c:pt idx="84">
                  <c:v>-1169.3099999999977</c:v>
                </c:pt>
                <c:pt idx="85">
                  <c:v>3036.3799999999974</c:v>
                </c:pt>
                <c:pt idx="86">
                  <c:v>-83.109999999993306</c:v>
                </c:pt>
                <c:pt idx="87">
                  <c:v>1808.3699999999953</c:v>
                </c:pt>
                <c:pt idx="88">
                  <c:v>-1360.2999999999956</c:v>
                </c:pt>
                <c:pt idx="89">
                  <c:v>2048.6699999999983</c:v>
                </c:pt>
                <c:pt idx="90">
                  <c:v>-1388.760000000002</c:v>
                </c:pt>
                <c:pt idx="91">
                  <c:v>-1744.4700000000012</c:v>
                </c:pt>
                <c:pt idx="92">
                  <c:v>1751.5299999999988</c:v>
                </c:pt>
                <c:pt idx="93">
                  <c:v>-1031.6800000000003</c:v>
                </c:pt>
                <c:pt idx="94">
                  <c:v>5334.68</c:v>
                </c:pt>
                <c:pt idx="95">
                  <c:v>-6713.489999999998</c:v>
                </c:pt>
                <c:pt idx="96">
                  <c:v>-1362.8699999999953</c:v>
                </c:pt>
                <c:pt idx="97">
                  <c:v>4742.5499999999956</c:v>
                </c:pt>
                <c:pt idx="98">
                  <c:v>-608.05999999999767</c:v>
                </c:pt>
                <c:pt idx="99">
                  <c:v>1533.8199999999997</c:v>
                </c:pt>
                <c:pt idx="100">
                  <c:v>-364.88000000000466</c:v>
                </c:pt>
                <c:pt idx="101">
                  <c:v>1370.4000000000015</c:v>
                </c:pt>
                <c:pt idx="102">
                  <c:v>-521.11999999999534</c:v>
                </c:pt>
                <c:pt idx="103">
                  <c:v>-1922.0900000000038</c:v>
                </c:pt>
                <c:pt idx="104">
                  <c:v>1224.5400000000009</c:v>
                </c:pt>
                <c:pt idx="105">
                  <c:v>-816.94000000000233</c:v>
                </c:pt>
                <c:pt idx="106">
                  <c:v>5521.3300000000017</c:v>
                </c:pt>
                <c:pt idx="107">
                  <c:v>-7241.43</c:v>
                </c:pt>
                <c:pt idx="108">
                  <c:v>-1464.2099999999991</c:v>
                </c:pt>
                <c:pt idx="109">
                  <c:v>4987.25</c:v>
                </c:pt>
                <c:pt idx="110">
                  <c:v>-569.18000000000029</c:v>
                </c:pt>
                <c:pt idx="111">
                  <c:v>2023</c:v>
                </c:pt>
                <c:pt idx="112">
                  <c:v>-713.95999999999913</c:v>
                </c:pt>
                <c:pt idx="113">
                  <c:v>560.69000000000233</c:v>
                </c:pt>
                <c:pt idx="114">
                  <c:v>262.37999999999738</c:v>
                </c:pt>
                <c:pt idx="115">
                  <c:v>-2559.2699999999968</c:v>
                </c:pt>
                <c:pt idx="116">
                  <c:v>604.98999999999796</c:v>
                </c:pt>
                <c:pt idx="117">
                  <c:v>-117.47000000000116</c:v>
                </c:pt>
                <c:pt idx="118">
                  <c:v>6221.1600000000035</c:v>
                </c:pt>
                <c:pt idx="119">
                  <c:v>-7944.3800000000047</c:v>
                </c:pt>
                <c:pt idx="120">
                  <c:v>-1831.6500000000015</c:v>
                </c:pt>
                <c:pt idx="121">
                  <c:v>5674.3500000000058</c:v>
                </c:pt>
                <c:pt idx="122">
                  <c:v>-2101.6100000000006</c:v>
                </c:pt>
                <c:pt idx="123">
                  <c:v>2946.0199999999968</c:v>
                </c:pt>
                <c:pt idx="124">
                  <c:v>-538.5199999999968</c:v>
                </c:pt>
                <c:pt idx="125">
                  <c:v>-170.38999999999942</c:v>
                </c:pt>
                <c:pt idx="126">
                  <c:v>491.43000000000029</c:v>
                </c:pt>
                <c:pt idx="127">
                  <c:v>-3245</c:v>
                </c:pt>
                <c:pt idx="128">
                  <c:v>1169.9699999999939</c:v>
                </c:pt>
                <c:pt idx="129">
                  <c:v>352.90000000000146</c:v>
                </c:pt>
                <c:pt idx="130">
                  <c:v>4933.3300000000017</c:v>
                </c:pt>
                <c:pt idx="131">
                  <c:v>-7404.75</c:v>
                </c:pt>
                <c:pt idx="132">
                  <c:v>-473.06999999999971</c:v>
                </c:pt>
                <c:pt idx="133">
                  <c:v>3420.9799999999959</c:v>
                </c:pt>
                <c:pt idx="134">
                  <c:v>-1823.75</c:v>
                </c:pt>
                <c:pt idx="135">
                  <c:v>4078.5900000000038</c:v>
                </c:pt>
                <c:pt idx="136">
                  <c:v>-2494.2799999999988</c:v>
                </c:pt>
                <c:pt idx="137">
                  <c:v>722.11999999999534</c:v>
                </c:pt>
                <c:pt idx="138">
                  <c:v>209.45000000000437</c:v>
                </c:pt>
                <c:pt idx="139">
                  <c:v>-4308.9400000000023</c:v>
                </c:pt>
                <c:pt idx="140">
                  <c:v>1410.8400000000038</c:v>
                </c:pt>
                <c:pt idx="141">
                  <c:v>-1123.3500000000058</c:v>
                </c:pt>
                <c:pt idx="142">
                  <c:v>3079.8300000000017</c:v>
                </c:pt>
                <c:pt idx="143">
                  <c:v>-4639.7799999999988</c:v>
                </c:pt>
                <c:pt idx="144">
                  <c:v>-2619.5199999999968</c:v>
                </c:pt>
                <c:pt idx="145">
                  <c:v>3694.1399999999994</c:v>
                </c:pt>
                <c:pt idx="146">
                  <c:v>-71.069999999999709</c:v>
                </c:pt>
                <c:pt idx="147">
                  <c:v>3093.9499999999971</c:v>
                </c:pt>
                <c:pt idx="148">
                  <c:v>-1920.6100000000006</c:v>
                </c:pt>
                <c:pt idx="149">
                  <c:v>1336.3899999999994</c:v>
                </c:pt>
                <c:pt idx="150">
                  <c:v>-388.47000000000116</c:v>
                </c:pt>
                <c:pt idx="151">
                  <c:v>-2787.4099999999962</c:v>
                </c:pt>
                <c:pt idx="152">
                  <c:v>2107.6100000000006</c:v>
                </c:pt>
                <c:pt idx="153">
                  <c:v>-1140.8000000000029</c:v>
                </c:pt>
                <c:pt idx="154">
                  <c:v>4629.3799999999974</c:v>
                </c:pt>
                <c:pt idx="155">
                  <c:v>-5817.739999999998</c:v>
                </c:pt>
                <c:pt idx="156">
                  <c:v>-1370.9700000000012</c:v>
                </c:pt>
                <c:pt idx="157">
                  <c:v>4319.2099999999991</c:v>
                </c:pt>
                <c:pt idx="158">
                  <c:v>-707.54999999999563</c:v>
                </c:pt>
                <c:pt idx="159">
                  <c:v>2189.5499999999956</c:v>
                </c:pt>
                <c:pt idx="160">
                  <c:v>-1598.5299999999988</c:v>
                </c:pt>
                <c:pt idx="161">
                  <c:v>1685.4800000000032</c:v>
                </c:pt>
                <c:pt idx="162">
                  <c:v>-927.34000000000378</c:v>
                </c:pt>
                <c:pt idx="163">
                  <c:v>-2365.0599999999977</c:v>
                </c:pt>
                <c:pt idx="164">
                  <c:v>1850.3099999999977</c:v>
                </c:pt>
                <c:pt idx="165">
                  <c:v>-658.56999999999971</c:v>
                </c:pt>
                <c:pt idx="166">
                  <c:v>4794.2700000000041</c:v>
                </c:pt>
                <c:pt idx="167">
                  <c:v>-6366.010000000002</c:v>
                </c:pt>
                <c:pt idx="168">
                  <c:v>-1186.9599999999991</c:v>
                </c:pt>
                <c:pt idx="169">
                  <c:v>4568.239999999998</c:v>
                </c:pt>
                <c:pt idx="170">
                  <c:v>-28.559999999997672</c:v>
                </c:pt>
                <c:pt idx="171">
                  <c:v>1133.1900000000023</c:v>
                </c:pt>
                <c:pt idx="172">
                  <c:v>-797.9800000000032</c:v>
                </c:pt>
                <c:pt idx="173">
                  <c:v>1007.3099999999977</c:v>
                </c:pt>
                <c:pt idx="174">
                  <c:v>-911.39999999999418</c:v>
                </c:pt>
                <c:pt idx="175">
                  <c:v>-2205.9800000000032</c:v>
                </c:pt>
                <c:pt idx="176">
                  <c:v>1189.4499999999971</c:v>
                </c:pt>
                <c:pt idx="177">
                  <c:v>-626.30999999999767</c:v>
                </c:pt>
                <c:pt idx="178">
                  <c:v>4856.6999999999971</c:v>
                </c:pt>
                <c:pt idx="179">
                  <c:v>-5745.82</c:v>
                </c:pt>
                <c:pt idx="180">
                  <c:v>686.31000000000495</c:v>
                </c:pt>
                <c:pt idx="181">
                  <c:v>4309.7999999999956</c:v>
                </c:pt>
                <c:pt idx="182">
                  <c:v>-2119.0899999999965</c:v>
                </c:pt>
                <c:pt idx="183">
                  <c:v>2449.2099999999991</c:v>
                </c:pt>
                <c:pt idx="184">
                  <c:v>-1012.4199999999983</c:v>
                </c:pt>
                <c:pt idx="185">
                  <c:v>-174.58000000000175</c:v>
                </c:pt>
                <c:pt idx="186">
                  <c:v>778.4800000000032</c:v>
                </c:pt>
                <c:pt idx="187">
                  <c:v>-2858.4900000000052</c:v>
                </c:pt>
                <c:pt idx="188">
                  <c:v>1134.4900000000052</c:v>
                </c:pt>
                <c:pt idx="189">
                  <c:v>273.27999999999884</c:v>
                </c:pt>
                <c:pt idx="190">
                  <c:v>4127.4499999999971</c:v>
                </c:pt>
                <c:pt idx="191">
                  <c:v>-5701.1500000000015</c:v>
                </c:pt>
                <c:pt idx="192">
                  <c:v>-1220.4599999999991</c:v>
                </c:pt>
                <c:pt idx="193">
                  <c:v>6170.239999999998</c:v>
                </c:pt>
                <c:pt idx="194">
                  <c:v>-3342.6599999999962</c:v>
                </c:pt>
                <c:pt idx="195">
                  <c:v>3580.6599999999962</c:v>
                </c:pt>
                <c:pt idx="196">
                  <c:v>-1884.5599999999977</c:v>
                </c:pt>
                <c:pt idx="197">
                  <c:v>444.02999999999884</c:v>
                </c:pt>
                <c:pt idx="198">
                  <c:v>1096.6200000000026</c:v>
                </c:pt>
                <c:pt idx="199">
                  <c:v>-3983.6100000000006</c:v>
                </c:pt>
                <c:pt idx="200">
                  <c:v>2345.3099999999977</c:v>
                </c:pt>
                <c:pt idx="201">
                  <c:v>690.63000000000466</c:v>
                </c:pt>
                <c:pt idx="202">
                  <c:v>3329.9199999999983</c:v>
                </c:pt>
                <c:pt idx="203">
                  <c:v>-5357.2900000000009</c:v>
                </c:pt>
                <c:pt idx="204">
                  <c:v>-1843.9799999999959</c:v>
                </c:pt>
                <c:pt idx="205">
                  <c:v>5663.0399999999936</c:v>
                </c:pt>
                <c:pt idx="206">
                  <c:v>-1363.8699999999953</c:v>
                </c:pt>
                <c:pt idx="207">
                  <c:v>3422.4599999999991</c:v>
                </c:pt>
                <c:pt idx="208">
                  <c:v>-2790.6600000000035</c:v>
                </c:pt>
                <c:pt idx="209">
                  <c:v>1119.4400000000023</c:v>
                </c:pt>
                <c:pt idx="210">
                  <c:v>823.40000000000146</c:v>
                </c:pt>
                <c:pt idx="211">
                  <c:v>-3948.6600000000035</c:v>
                </c:pt>
                <c:pt idx="212">
                  <c:v>2818.9000000000015</c:v>
                </c:pt>
                <c:pt idx="213">
                  <c:v>-682.79000000000087</c:v>
                </c:pt>
                <c:pt idx="214">
                  <c:v>4051.8700000000026</c:v>
                </c:pt>
                <c:pt idx="215">
                  <c:v>-5057.2099999999991</c:v>
                </c:pt>
                <c:pt idx="216">
                  <c:v>-2631.0400000000009</c:v>
                </c:pt>
                <c:pt idx="217">
                  <c:v>6002.5999999999985</c:v>
                </c:pt>
                <c:pt idx="218">
                  <c:v>-1254.6299999999974</c:v>
                </c:pt>
                <c:pt idx="219">
                  <c:v>3610.7200000000012</c:v>
                </c:pt>
                <c:pt idx="220">
                  <c:v>-2809.9200000000055</c:v>
                </c:pt>
                <c:pt idx="221">
                  <c:v>1495.7900000000009</c:v>
                </c:pt>
                <c:pt idx="222">
                  <c:v>-502.05999999999767</c:v>
                </c:pt>
                <c:pt idx="223">
                  <c:v>-3291.5400000000009</c:v>
                </c:pt>
                <c:pt idx="224">
                  <c:v>2765.7799999999988</c:v>
                </c:pt>
                <c:pt idx="225">
                  <c:v>-1444.6199999999953</c:v>
                </c:pt>
                <c:pt idx="226">
                  <c:v>5579.1099999999933</c:v>
                </c:pt>
                <c:pt idx="227">
                  <c:v>-6588.2599999999948</c:v>
                </c:pt>
                <c:pt idx="228">
                  <c:v>-252.34000000000378</c:v>
                </c:pt>
                <c:pt idx="229">
                  <c:v>4618.68</c:v>
                </c:pt>
                <c:pt idx="230">
                  <c:v>-916.97000000000116</c:v>
                </c:pt>
                <c:pt idx="231">
                  <c:v>2155.5500000000029</c:v>
                </c:pt>
                <c:pt idx="232">
                  <c:v>-1345.8700000000026</c:v>
                </c:pt>
                <c:pt idx="233">
                  <c:v>1100.2400000000052</c:v>
                </c:pt>
                <c:pt idx="234">
                  <c:v>-882.60000000000582</c:v>
                </c:pt>
                <c:pt idx="235">
                  <c:v>-2097.3099999999977</c:v>
                </c:pt>
                <c:pt idx="236">
                  <c:v>1713.4700000000012</c:v>
                </c:pt>
                <c:pt idx="237">
                  <c:v>-449.34000000000378</c:v>
                </c:pt>
                <c:pt idx="238">
                  <c:v>5757.7800000000061</c:v>
                </c:pt>
                <c:pt idx="239">
                  <c:v>-6432.760000000002</c:v>
                </c:pt>
                <c:pt idx="240">
                  <c:v>-1793.4199999999983</c:v>
                </c:pt>
                <c:pt idx="241">
                  <c:v>6527.0999999999985</c:v>
                </c:pt>
                <c:pt idx="242">
                  <c:v>-1385.8300000000017</c:v>
                </c:pt>
                <c:pt idx="243">
                  <c:v>1983.1500000000015</c:v>
                </c:pt>
                <c:pt idx="244">
                  <c:v>-1210.8300000000017</c:v>
                </c:pt>
                <c:pt idx="245">
                  <c:v>69.540000000000873</c:v>
                </c:pt>
                <c:pt idx="246">
                  <c:v>124.2300000000032</c:v>
                </c:pt>
                <c:pt idx="247">
                  <c:v>-2185.7900000000009</c:v>
                </c:pt>
                <c:pt idx="248">
                  <c:v>948.73999999999796</c:v>
                </c:pt>
                <c:pt idx="249">
                  <c:v>249.33000000000175</c:v>
                </c:pt>
                <c:pt idx="250">
                  <c:v>6383.4699999999939</c:v>
                </c:pt>
                <c:pt idx="251">
                  <c:v>-9245.929999999993</c:v>
                </c:pt>
                <c:pt idx="252">
                  <c:v>-1615.4700000000012</c:v>
                </c:pt>
                <c:pt idx="253">
                  <c:v>8288.8300000000017</c:v>
                </c:pt>
                <c:pt idx="254">
                  <c:v>-3879.5300000000061</c:v>
                </c:pt>
                <c:pt idx="255">
                  <c:v>4815.7800000000061</c:v>
                </c:pt>
                <c:pt idx="256">
                  <c:v>-930.35000000000582</c:v>
                </c:pt>
                <c:pt idx="257">
                  <c:v>46.669999999998254</c:v>
                </c:pt>
                <c:pt idx="258">
                  <c:v>738.69000000000233</c:v>
                </c:pt>
                <c:pt idx="259">
                  <c:v>-4296.3799999999974</c:v>
                </c:pt>
                <c:pt idx="260">
                  <c:v>1991.9000000000015</c:v>
                </c:pt>
                <c:pt idx="261">
                  <c:v>-103.45999999999913</c:v>
                </c:pt>
                <c:pt idx="262">
                  <c:v>4431.2499999999927</c:v>
                </c:pt>
                <c:pt idx="263">
                  <c:v>-7648.8699999999953</c:v>
                </c:pt>
                <c:pt idx="264">
                  <c:v>-2864.239999999998</c:v>
                </c:pt>
                <c:pt idx="265">
                  <c:v>8082.5799999999945</c:v>
                </c:pt>
                <c:pt idx="266">
                  <c:v>-1831.179999999993</c:v>
                </c:pt>
                <c:pt idx="267">
                  <c:v>4122.9799999999959</c:v>
                </c:pt>
                <c:pt idx="268">
                  <c:v>-1662.4400000000023</c:v>
                </c:pt>
                <c:pt idx="269">
                  <c:v>743.22000000000116</c:v>
                </c:pt>
                <c:pt idx="270">
                  <c:v>1110.4700000000012</c:v>
                </c:pt>
                <c:pt idx="271">
                  <c:v>-5420.18</c:v>
                </c:pt>
                <c:pt idx="272">
                  <c:v>2425.8199999999997</c:v>
                </c:pt>
                <c:pt idx="273">
                  <c:v>30.94999999999709</c:v>
                </c:pt>
                <c:pt idx="274">
                  <c:v>3763.3600000000006</c:v>
                </c:pt>
                <c:pt idx="275">
                  <c:v>-5607.4099999999962</c:v>
                </c:pt>
                <c:pt idx="276">
                  <c:v>-993.12999999999738</c:v>
                </c:pt>
                <c:pt idx="277">
                  <c:v>924.25</c:v>
                </c:pt>
                <c:pt idx="278">
                  <c:v>-14892.570000000007</c:v>
                </c:pt>
                <c:pt idx="279">
                  <c:v>8492.61</c:v>
                </c:pt>
                <c:pt idx="280">
                  <c:v>2687.6399999999994</c:v>
                </c:pt>
                <c:pt idx="281">
                  <c:v>3369.4100000000035</c:v>
                </c:pt>
                <c:pt idx="282">
                  <c:v>145.52999999999884</c:v>
                </c:pt>
                <c:pt idx="283">
                  <c:v>-2302.6199999999953</c:v>
                </c:pt>
                <c:pt idx="284">
                  <c:v>2709.3399999999965</c:v>
                </c:pt>
                <c:pt idx="285">
                  <c:v>-2576.3899999999994</c:v>
                </c:pt>
                <c:pt idx="286">
                  <c:v>3192.4900000000052</c:v>
                </c:pt>
                <c:pt idx="287">
                  <c:v>-4240.1300000000047</c:v>
                </c:pt>
                <c:pt idx="288">
                  <c:v>-4120.989999999998</c:v>
                </c:pt>
                <c:pt idx="289">
                  <c:v>11715.349999999999</c:v>
                </c:pt>
                <c:pt idx="290">
                  <c:v>-303.55999999999767</c:v>
                </c:pt>
                <c:pt idx="291">
                  <c:v>4120.9599999999919</c:v>
                </c:pt>
                <c:pt idx="292">
                  <c:v>-922.44999999999709</c:v>
                </c:pt>
                <c:pt idx="293">
                  <c:v>2150.9100000000035</c:v>
                </c:pt>
                <c:pt idx="294">
                  <c:v>-1166.2700000000041</c:v>
                </c:pt>
                <c:pt idx="295">
                  <c:v>-3316.0099999999948</c:v>
                </c:pt>
                <c:pt idx="296">
                  <c:v>2936.3999999999942</c:v>
                </c:pt>
                <c:pt idx="297">
                  <c:v>-1392.5800000000017</c:v>
                </c:pt>
                <c:pt idx="298">
                  <c:v>4831.7700000000041</c:v>
                </c:pt>
                <c:pt idx="299">
                  <c:v>-9536.2100000000064</c:v>
                </c:pt>
                <c:pt idx="300">
                  <c:v>-2328.7399999999907</c:v>
                </c:pt>
                <c:pt idx="301">
                  <c:v>8699.9799999999959</c:v>
                </c:pt>
                <c:pt idx="302">
                  <c:v>-263.85000000000582</c:v>
                </c:pt>
                <c:pt idx="303">
                  <c:v>2588.6300000000047</c:v>
                </c:pt>
                <c:pt idx="304">
                  <c:v>-1460.8999999999942</c:v>
                </c:pt>
                <c:pt idx="305">
                  <c:v>385.47999999999593</c:v>
                </c:pt>
                <c:pt idx="306">
                  <c:v>-1145.0299999999988</c:v>
                </c:pt>
                <c:pt idx="307">
                  <c:v>-3107.6000000000058</c:v>
                </c:pt>
                <c:pt idx="308">
                  <c:v>2265.7900000000081</c:v>
                </c:pt>
                <c:pt idx="309">
                  <c:v>-1342.7799999999988</c:v>
                </c:pt>
                <c:pt idx="310">
                  <c:v>5158.3799999999901</c:v>
                </c:pt>
                <c:pt idx="311">
                  <c:v>-7884.9199999999983</c:v>
                </c:pt>
                <c:pt idx="312">
                  <c:v>-2988.1399999999994</c:v>
                </c:pt>
                <c:pt idx="313">
                  <c:v>7204.8500000000058</c:v>
                </c:pt>
                <c:pt idx="314">
                  <c:v>-1346.7799999999988</c:v>
                </c:pt>
                <c:pt idx="315">
                  <c:v>3255.6199999999953</c:v>
                </c:pt>
                <c:pt idx="316">
                  <c:v>-1323.4100000000035</c:v>
                </c:pt>
                <c:pt idx="317">
                  <c:v>759.2100000000064</c:v>
                </c:pt>
                <c:pt idx="318">
                  <c:v>-66.410000000003492</c:v>
                </c:pt>
                <c:pt idx="319">
                  <c:v>-2644.6900000000023</c:v>
                </c:pt>
                <c:pt idx="320">
                  <c:v>1005.5</c:v>
                </c:pt>
                <c:pt idx="321">
                  <c:v>-384.64999999999418</c:v>
                </c:pt>
                <c:pt idx="322">
                  <c:v>6049.1199999999953</c:v>
                </c:pt>
              </c:numCache>
            </c:numRef>
          </c:val>
          <c:extLst>
            <c:ext xmlns:c14="http://schemas.microsoft.com/office/drawing/2007/8/2/chart" uri="{6F2FDCE9-48DA-4B69-8628-5D25D57E5C99}">
              <c14:invertSolidFillFmt>
                <c14:spPr xmlns:c14="http://schemas.microsoft.com/office/drawing/2007/8/2/chart">
                  <a:solidFill>
                    <a:srgbClr val="FF0000"/>
                  </a:solidFill>
                  <a:ln w="3175">
                    <a:solidFill>
                      <a:srgbClr val="323232"/>
                    </a:solidFill>
                  </a:ln>
                  <a:effectLst/>
                </c14:spPr>
              </c14:invertSolidFillFmt>
            </c:ext>
            <c:ext xmlns:c16="http://schemas.microsoft.com/office/drawing/2014/chart" uri="{C3380CC4-5D6E-409C-BE32-E72D297353CC}">
              <c16:uniqueId val="{00000000-7329-4ECE-A44E-C1EE40953D18}"/>
            </c:ext>
          </c:extLst>
        </c:ser>
        <c:dLbls>
          <c:showLegendKey val="0"/>
          <c:showVal val="0"/>
          <c:showCatName val="0"/>
          <c:showSerName val="0"/>
          <c:showPercent val="0"/>
          <c:showBubbleSize val="0"/>
        </c:dLbls>
        <c:gapWidth val="50"/>
        <c:axId val="49310447"/>
        <c:axId val="228919407"/>
      </c:barChart>
      <c:lineChart>
        <c:grouping val="standard"/>
        <c:varyColors val="0"/>
        <c:ser>
          <c:idx val="0"/>
          <c:order val="0"/>
          <c:tx>
            <c:v>Total Sales</c:v>
          </c:tx>
          <c:spPr>
            <a:ln w="15875" cap="rnd">
              <a:solidFill>
                <a:srgbClr val="323232"/>
              </a:solidFill>
              <a:round/>
            </a:ln>
            <a:effectLst/>
          </c:spPr>
          <c:marker>
            <c:symbol val="none"/>
          </c:marker>
          <c:val>
            <c:numRef>
              <c:f>'Food Expenditure Series'!$G$6:$G$329</c:f>
              <c:numCache>
                <c:formatCode>#,##0_);[Red]\(#,##0\)</c:formatCode>
                <c:ptCount val="324"/>
                <c:pt idx="0">
                  <c:v>39145.07</c:v>
                </c:pt>
                <c:pt idx="1">
                  <c:v>37422.31</c:v>
                </c:pt>
                <c:pt idx="2">
                  <c:v>41720.9</c:v>
                </c:pt>
                <c:pt idx="3">
                  <c:v>40390.39</c:v>
                </c:pt>
                <c:pt idx="4">
                  <c:v>43522.38</c:v>
                </c:pt>
                <c:pt idx="5">
                  <c:v>41788.199999999997</c:v>
                </c:pt>
                <c:pt idx="6">
                  <c:v>43338.9</c:v>
                </c:pt>
                <c:pt idx="7">
                  <c:v>43573.66</c:v>
                </c:pt>
                <c:pt idx="8">
                  <c:v>40565.839999999997</c:v>
                </c:pt>
                <c:pt idx="9">
                  <c:v>42036.73</c:v>
                </c:pt>
                <c:pt idx="10">
                  <c:v>40888.54</c:v>
                </c:pt>
                <c:pt idx="11">
                  <c:v>43989.94</c:v>
                </c:pt>
                <c:pt idx="12">
                  <c:v>39340.26</c:v>
                </c:pt>
                <c:pt idx="13">
                  <c:v>37513.14</c:v>
                </c:pt>
                <c:pt idx="14">
                  <c:v>41101.14</c:v>
                </c:pt>
                <c:pt idx="15">
                  <c:v>41445.089999999997</c:v>
                </c:pt>
                <c:pt idx="16">
                  <c:v>43758.31</c:v>
                </c:pt>
                <c:pt idx="17">
                  <c:v>42642.2</c:v>
                </c:pt>
                <c:pt idx="18">
                  <c:v>44046.47</c:v>
                </c:pt>
                <c:pt idx="19">
                  <c:v>43477.03</c:v>
                </c:pt>
                <c:pt idx="20">
                  <c:v>41284.230000000003</c:v>
                </c:pt>
                <c:pt idx="21">
                  <c:v>43133.09</c:v>
                </c:pt>
                <c:pt idx="22">
                  <c:v>41576.339999999997</c:v>
                </c:pt>
                <c:pt idx="23">
                  <c:v>45770.879999999997</c:v>
                </c:pt>
                <c:pt idx="24">
                  <c:v>40047.94</c:v>
                </c:pt>
                <c:pt idx="25">
                  <c:v>38701.21</c:v>
                </c:pt>
                <c:pt idx="26">
                  <c:v>42713.4</c:v>
                </c:pt>
                <c:pt idx="27">
                  <c:v>42667.05</c:v>
                </c:pt>
                <c:pt idx="28">
                  <c:v>44699.73</c:v>
                </c:pt>
                <c:pt idx="29">
                  <c:v>43757.41</c:v>
                </c:pt>
                <c:pt idx="30">
                  <c:v>45558.27</c:v>
                </c:pt>
                <c:pt idx="31">
                  <c:v>44315.82</c:v>
                </c:pt>
                <c:pt idx="32">
                  <c:v>42765.120000000003</c:v>
                </c:pt>
                <c:pt idx="33">
                  <c:v>44175.73</c:v>
                </c:pt>
                <c:pt idx="34">
                  <c:v>43123.27</c:v>
                </c:pt>
                <c:pt idx="35">
                  <c:v>48481.87</c:v>
                </c:pt>
                <c:pt idx="36">
                  <c:v>41002.589999999997</c:v>
                </c:pt>
                <c:pt idx="37">
                  <c:v>41385.58</c:v>
                </c:pt>
                <c:pt idx="38">
                  <c:v>45052.23</c:v>
                </c:pt>
                <c:pt idx="39">
                  <c:v>44441.23</c:v>
                </c:pt>
                <c:pt idx="40">
                  <c:v>45915.839999999997</c:v>
                </c:pt>
                <c:pt idx="41">
                  <c:v>46108.84</c:v>
                </c:pt>
                <c:pt idx="42">
                  <c:v>46445.1</c:v>
                </c:pt>
                <c:pt idx="43">
                  <c:v>46157.63</c:v>
                </c:pt>
                <c:pt idx="44">
                  <c:v>44600.89</c:v>
                </c:pt>
                <c:pt idx="45">
                  <c:v>44943.75</c:v>
                </c:pt>
                <c:pt idx="46">
                  <c:v>44855.55</c:v>
                </c:pt>
                <c:pt idx="47">
                  <c:v>48952.85</c:v>
                </c:pt>
                <c:pt idx="48">
                  <c:v>42758.58</c:v>
                </c:pt>
                <c:pt idx="49">
                  <c:v>41312.5</c:v>
                </c:pt>
                <c:pt idx="50">
                  <c:v>45868.72</c:v>
                </c:pt>
                <c:pt idx="51">
                  <c:v>44504.88</c:v>
                </c:pt>
                <c:pt idx="52">
                  <c:v>47110.14</c:v>
                </c:pt>
                <c:pt idx="53">
                  <c:v>46649.66</c:v>
                </c:pt>
                <c:pt idx="54">
                  <c:v>46494.7</c:v>
                </c:pt>
                <c:pt idx="55">
                  <c:v>47397.13</c:v>
                </c:pt>
                <c:pt idx="56">
                  <c:v>44088.04</c:v>
                </c:pt>
                <c:pt idx="57">
                  <c:v>44954.41</c:v>
                </c:pt>
                <c:pt idx="58">
                  <c:v>45081.9</c:v>
                </c:pt>
                <c:pt idx="59">
                  <c:v>49364.36</c:v>
                </c:pt>
                <c:pt idx="60">
                  <c:v>42964.3</c:v>
                </c:pt>
                <c:pt idx="61">
                  <c:v>41551.5</c:v>
                </c:pt>
                <c:pt idx="62">
                  <c:v>46545.72</c:v>
                </c:pt>
                <c:pt idx="63">
                  <c:v>44514.54</c:v>
                </c:pt>
                <c:pt idx="64">
                  <c:v>47864.4</c:v>
                </c:pt>
                <c:pt idx="65">
                  <c:v>46758.06</c:v>
                </c:pt>
                <c:pt idx="66">
                  <c:v>47367.56</c:v>
                </c:pt>
                <c:pt idx="67">
                  <c:v>48304.77</c:v>
                </c:pt>
                <c:pt idx="68">
                  <c:v>44320.67</c:v>
                </c:pt>
                <c:pt idx="69">
                  <c:v>46013.75</c:v>
                </c:pt>
                <c:pt idx="70">
                  <c:v>46444.67</c:v>
                </c:pt>
                <c:pt idx="71">
                  <c:v>49509.11</c:v>
                </c:pt>
                <c:pt idx="72">
                  <c:v>44602.34</c:v>
                </c:pt>
                <c:pt idx="73">
                  <c:v>42595.28</c:v>
                </c:pt>
                <c:pt idx="74">
                  <c:v>47066.07</c:v>
                </c:pt>
                <c:pt idx="75">
                  <c:v>46133.4</c:v>
                </c:pt>
                <c:pt idx="76">
                  <c:v>49381.04</c:v>
                </c:pt>
                <c:pt idx="77">
                  <c:v>47386.95</c:v>
                </c:pt>
                <c:pt idx="78">
                  <c:v>48993.32</c:v>
                </c:pt>
                <c:pt idx="79">
                  <c:v>49776.36</c:v>
                </c:pt>
                <c:pt idx="80">
                  <c:v>45717.71</c:v>
                </c:pt>
                <c:pt idx="81">
                  <c:v>47705.2</c:v>
                </c:pt>
                <c:pt idx="82">
                  <c:v>47056.59</c:v>
                </c:pt>
                <c:pt idx="83">
                  <c:v>50456.61</c:v>
                </c:pt>
                <c:pt idx="84">
                  <c:v>46170.77</c:v>
                </c:pt>
                <c:pt idx="85">
                  <c:v>45001.46</c:v>
                </c:pt>
                <c:pt idx="86">
                  <c:v>48037.84</c:v>
                </c:pt>
                <c:pt idx="87">
                  <c:v>47954.73</c:v>
                </c:pt>
                <c:pt idx="88">
                  <c:v>49763.1</c:v>
                </c:pt>
                <c:pt idx="89">
                  <c:v>48402.8</c:v>
                </c:pt>
                <c:pt idx="90">
                  <c:v>50451.47</c:v>
                </c:pt>
                <c:pt idx="91">
                  <c:v>49062.71</c:v>
                </c:pt>
                <c:pt idx="92">
                  <c:v>47318.239999999998</c:v>
                </c:pt>
                <c:pt idx="93">
                  <c:v>49069.77</c:v>
                </c:pt>
                <c:pt idx="94">
                  <c:v>48038.09</c:v>
                </c:pt>
                <c:pt idx="95">
                  <c:v>53372.77</c:v>
                </c:pt>
                <c:pt idx="96">
                  <c:v>46659.28</c:v>
                </c:pt>
                <c:pt idx="97">
                  <c:v>45296.41</c:v>
                </c:pt>
                <c:pt idx="98">
                  <c:v>50038.96</c:v>
                </c:pt>
                <c:pt idx="99">
                  <c:v>49430.9</c:v>
                </c:pt>
                <c:pt idx="100">
                  <c:v>50964.72</c:v>
                </c:pt>
                <c:pt idx="101">
                  <c:v>50599.839999999997</c:v>
                </c:pt>
                <c:pt idx="102">
                  <c:v>51970.239999999998</c:v>
                </c:pt>
                <c:pt idx="103">
                  <c:v>51449.120000000003</c:v>
                </c:pt>
                <c:pt idx="104">
                  <c:v>49527.03</c:v>
                </c:pt>
                <c:pt idx="105">
                  <c:v>50751.57</c:v>
                </c:pt>
                <c:pt idx="106">
                  <c:v>49934.63</c:v>
                </c:pt>
                <c:pt idx="107">
                  <c:v>55455.96</c:v>
                </c:pt>
                <c:pt idx="108">
                  <c:v>48214.53</c:v>
                </c:pt>
                <c:pt idx="109">
                  <c:v>46750.32</c:v>
                </c:pt>
                <c:pt idx="110">
                  <c:v>51737.57</c:v>
                </c:pt>
                <c:pt idx="111">
                  <c:v>51168.39</c:v>
                </c:pt>
                <c:pt idx="112">
                  <c:v>53191.39</c:v>
                </c:pt>
                <c:pt idx="113">
                  <c:v>52477.43</c:v>
                </c:pt>
                <c:pt idx="114">
                  <c:v>53038.12</c:v>
                </c:pt>
                <c:pt idx="115">
                  <c:v>53300.5</c:v>
                </c:pt>
                <c:pt idx="116">
                  <c:v>50741.23</c:v>
                </c:pt>
                <c:pt idx="117">
                  <c:v>51346.22</c:v>
                </c:pt>
                <c:pt idx="118">
                  <c:v>51228.75</c:v>
                </c:pt>
                <c:pt idx="119">
                  <c:v>57449.91</c:v>
                </c:pt>
                <c:pt idx="120">
                  <c:v>49505.53</c:v>
                </c:pt>
                <c:pt idx="121">
                  <c:v>47673.88</c:v>
                </c:pt>
                <c:pt idx="122">
                  <c:v>53348.23</c:v>
                </c:pt>
                <c:pt idx="123">
                  <c:v>51246.62</c:v>
                </c:pt>
                <c:pt idx="124">
                  <c:v>54192.639999999999</c:v>
                </c:pt>
                <c:pt idx="125">
                  <c:v>53654.12</c:v>
                </c:pt>
                <c:pt idx="126">
                  <c:v>53483.73</c:v>
                </c:pt>
                <c:pt idx="127">
                  <c:v>53975.16</c:v>
                </c:pt>
                <c:pt idx="128">
                  <c:v>50730.16</c:v>
                </c:pt>
                <c:pt idx="129">
                  <c:v>51900.13</c:v>
                </c:pt>
                <c:pt idx="130">
                  <c:v>52253.03</c:v>
                </c:pt>
                <c:pt idx="131">
                  <c:v>57186.36</c:v>
                </c:pt>
                <c:pt idx="132">
                  <c:v>49781.61</c:v>
                </c:pt>
                <c:pt idx="133">
                  <c:v>49308.54</c:v>
                </c:pt>
                <c:pt idx="134">
                  <c:v>52729.52</c:v>
                </c:pt>
                <c:pt idx="135">
                  <c:v>50905.77</c:v>
                </c:pt>
                <c:pt idx="136">
                  <c:v>54984.36</c:v>
                </c:pt>
                <c:pt idx="137">
                  <c:v>52490.080000000002</c:v>
                </c:pt>
                <c:pt idx="138">
                  <c:v>53212.2</c:v>
                </c:pt>
                <c:pt idx="139">
                  <c:v>53421.65</c:v>
                </c:pt>
                <c:pt idx="140">
                  <c:v>49112.71</c:v>
                </c:pt>
                <c:pt idx="141">
                  <c:v>50523.55</c:v>
                </c:pt>
                <c:pt idx="142">
                  <c:v>49400.2</c:v>
                </c:pt>
                <c:pt idx="143">
                  <c:v>52480.03</c:v>
                </c:pt>
                <c:pt idx="144">
                  <c:v>47840.25</c:v>
                </c:pt>
                <c:pt idx="145">
                  <c:v>45220.73</c:v>
                </c:pt>
                <c:pt idx="146">
                  <c:v>48914.87</c:v>
                </c:pt>
                <c:pt idx="147">
                  <c:v>48843.8</c:v>
                </c:pt>
                <c:pt idx="148">
                  <c:v>51937.75</c:v>
                </c:pt>
                <c:pt idx="149">
                  <c:v>50017.14</c:v>
                </c:pt>
                <c:pt idx="150">
                  <c:v>51353.53</c:v>
                </c:pt>
                <c:pt idx="151">
                  <c:v>50965.06</c:v>
                </c:pt>
                <c:pt idx="152">
                  <c:v>48177.65</c:v>
                </c:pt>
                <c:pt idx="153">
                  <c:v>50285.26</c:v>
                </c:pt>
                <c:pt idx="154">
                  <c:v>49144.46</c:v>
                </c:pt>
                <c:pt idx="155">
                  <c:v>53773.84</c:v>
                </c:pt>
                <c:pt idx="156">
                  <c:v>47956.1</c:v>
                </c:pt>
                <c:pt idx="157">
                  <c:v>46585.13</c:v>
                </c:pt>
                <c:pt idx="158">
                  <c:v>50904.34</c:v>
                </c:pt>
                <c:pt idx="159">
                  <c:v>50196.79</c:v>
                </c:pt>
                <c:pt idx="160">
                  <c:v>52386.34</c:v>
                </c:pt>
                <c:pt idx="161">
                  <c:v>50787.81</c:v>
                </c:pt>
                <c:pt idx="162">
                  <c:v>52473.29</c:v>
                </c:pt>
                <c:pt idx="163">
                  <c:v>51545.95</c:v>
                </c:pt>
                <c:pt idx="164">
                  <c:v>49180.89</c:v>
                </c:pt>
                <c:pt idx="165">
                  <c:v>51031.199999999997</c:v>
                </c:pt>
                <c:pt idx="166">
                  <c:v>50372.63</c:v>
                </c:pt>
                <c:pt idx="167">
                  <c:v>55166.9</c:v>
                </c:pt>
                <c:pt idx="168">
                  <c:v>48800.89</c:v>
                </c:pt>
                <c:pt idx="169">
                  <c:v>47613.93</c:v>
                </c:pt>
                <c:pt idx="170">
                  <c:v>52182.17</c:v>
                </c:pt>
                <c:pt idx="171">
                  <c:v>52153.61</c:v>
                </c:pt>
                <c:pt idx="172">
                  <c:v>53286.8</c:v>
                </c:pt>
                <c:pt idx="173">
                  <c:v>52488.82</c:v>
                </c:pt>
                <c:pt idx="174">
                  <c:v>53496.13</c:v>
                </c:pt>
                <c:pt idx="175">
                  <c:v>52584.73</c:v>
                </c:pt>
                <c:pt idx="176">
                  <c:v>50378.75</c:v>
                </c:pt>
                <c:pt idx="177">
                  <c:v>51568.2</c:v>
                </c:pt>
                <c:pt idx="178">
                  <c:v>50941.89</c:v>
                </c:pt>
                <c:pt idx="179">
                  <c:v>55798.59</c:v>
                </c:pt>
                <c:pt idx="180">
                  <c:v>50052.77</c:v>
                </c:pt>
                <c:pt idx="181">
                  <c:v>50739.08</c:v>
                </c:pt>
                <c:pt idx="182">
                  <c:v>55048.88</c:v>
                </c:pt>
                <c:pt idx="183">
                  <c:v>52929.79</c:v>
                </c:pt>
                <c:pt idx="184">
                  <c:v>55379</c:v>
                </c:pt>
                <c:pt idx="185">
                  <c:v>54366.58</c:v>
                </c:pt>
                <c:pt idx="186">
                  <c:v>54192</c:v>
                </c:pt>
                <c:pt idx="187">
                  <c:v>54970.48</c:v>
                </c:pt>
                <c:pt idx="188">
                  <c:v>52111.99</c:v>
                </c:pt>
                <c:pt idx="189">
                  <c:v>53246.48</c:v>
                </c:pt>
                <c:pt idx="190">
                  <c:v>53519.76</c:v>
                </c:pt>
                <c:pt idx="191">
                  <c:v>57647.21</c:v>
                </c:pt>
                <c:pt idx="192">
                  <c:v>51946.06</c:v>
                </c:pt>
                <c:pt idx="193">
                  <c:v>50725.599999999999</c:v>
                </c:pt>
                <c:pt idx="194">
                  <c:v>56895.839999999997</c:v>
                </c:pt>
                <c:pt idx="195">
                  <c:v>53553.18</c:v>
                </c:pt>
                <c:pt idx="196">
                  <c:v>57133.84</c:v>
                </c:pt>
                <c:pt idx="197">
                  <c:v>55249.279999999999</c:v>
                </c:pt>
                <c:pt idx="198">
                  <c:v>55693.31</c:v>
                </c:pt>
                <c:pt idx="199">
                  <c:v>56789.93</c:v>
                </c:pt>
                <c:pt idx="200">
                  <c:v>52806.32</c:v>
                </c:pt>
                <c:pt idx="201">
                  <c:v>55151.63</c:v>
                </c:pt>
                <c:pt idx="202">
                  <c:v>55842.26</c:v>
                </c:pt>
                <c:pt idx="203">
                  <c:v>59172.18</c:v>
                </c:pt>
                <c:pt idx="204">
                  <c:v>53814.89</c:v>
                </c:pt>
                <c:pt idx="205">
                  <c:v>51970.91</c:v>
                </c:pt>
                <c:pt idx="206">
                  <c:v>57633.95</c:v>
                </c:pt>
                <c:pt idx="207">
                  <c:v>56270.080000000002</c:v>
                </c:pt>
                <c:pt idx="208">
                  <c:v>59692.54</c:v>
                </c:pt>
                <c:pt idx="209">
                  <c:v>56901.88</c:v>
                </c:pt>
                <c:pt idx="210">
                  <c:v>58021.32</c:v>
                </c:pt>
                <c:pt idx="211">
                  <c:v>58844.72</c:v>
                </c:pt>
                <c:pt idx="212">
                  <c:v>54896.06</c:v>
                </c:pt>
                <c:pt idx="213">
                  <c:v>57714.96</c:v>
                </c:pt>
                <c:pt idx="214">
                  <c:v>57032.17</c:v>
                </c:pt>
                <c:pt idx="215">
                  <c:v>61084.04</c:v>
                </c:pt>
                <c:pt idx="216">
                  <c:v>56026.83</c:v>
                </c:pt>
                <c:pt idx="217">
                  <c:v>53395.79</c:v>
                </c:pt>
                <c:pt idx="218">
                  <c:v>59398.39</c:v>
                </c:pt>
                <c:pt idx="219">
                  <c:v>58143.76</c:v>
                </c:pt>
                <c:pt idx="220">
                  <c:v>61754.48</c:v>
                </c:pt>
                <c:pt idx="221">
                  <c:v>58944.56</c:v>
                </c:pt>
                <c:pt idx="222">
                  <c:v>60440.35</c:v>
                </c:pt>
                <c:pt idx="223">
                  <c:v>59938.29</c:v>
                </c:pt>
                <c:pt idx="224">
                  <c:v>56646.75</c:v>
                </c:pt>
                <c:pt idx="225">
                  <c:v>59412.53</c:v>
                </c:pt>
                <c:pt idx="226">
                  <c:v>57967.91</c:v>
                </c:pt>
                <c:pt idx="227">
                  <c:v>63547.02</c:v>
                </c:pt>
                <c:pt idx="228">
                  <c:v>56958.76</c:v>
                </c:pt>
                <c:pt idx="229">
                  <c:v>56706.42</c:v>
                </c:pt>
                <c:pt idx="230">
                  <c:v>61325.1</c:v>
                </c:pt>
                <c:pt idx="231">
                  <c:v>60408.13</c:v>
                </c:pt>
                <c:pt idx="232">
                  <c:v>62563.68</c:v>
                </c:pt>
                <c:pt idx="233">
                  <c:v>61217.81</c:v>
                </c:pt>
                <c:pt idx="234">
                  <c:v>62318.05</c:v>
                </c:pt>
                <c:pt idx="235">
                  <c:v>61435.45</c:v>
                </c:pt>
                <c:pt idx="236">
                  <c:v>59338.14</c:v>
                </c:pt>
                <c:pt idx="237">
                  <c:v>61051.61</c:v>
                </c:pt>
                <c:pt idx="238">
                  <c:v>60602.27</c:v>
                </c:pt>
                <c:pt idx="239">
                  <c:v>66360.05</c:v>
                </c:pt>
                <c:pt idx="240">
                  <c:v>59927.29</c:v>
                </c:pt>
                <c:pt idx="241">
                  <c:v>58133.87</c:v>
                </c:pt>
                <c:pt idx="242">
                  <c:v>64660.97</c:v>
                </c:pt>
                <c:pt idx="243">
                  <c:v>63275.14</c:v>
                </c:pt>
                <c:pt idx="244">
                  <c:v>65258.29</c:v>
                </c:pt>
                <c:pt idx="245">
                  <c:v>64047.46</c:v>
                </c:pt>
                <c:pt idx="246">
                  <c:v>64117</c:v>
                </c:pt>
                <c:pt idx="247">
                  <c:v>64241.23</c:v>
                </c:pt>
                <c:pt idx="248">
                  <c:v>62055.44</c:v>
                </c:pt>
                <c:pt idx="249">
                  <c:v>63004.18</c:v>
                </c:pt>
                <c:pt idx="250">
                  <c:v>63253.51</c:v>
                </c:pt>
                <c:pt idx="251">
                  <c:v>69636.98</c:v>
                </c:pt>
                <c:pt idx="252">
                  <c:v>60391.05</c:v>
                </c:pt>
                <c:pt idx="253">
                  <c:v>58775.58</c:v>
                </c:pt>
                <c:pt idx="254">
                  <c:v>67064.41</c:v>
                </c:pt>
                <c:pt idx="255">
                  <c:v>63184.88</c:v>
                </c:pt>
                <c:pt idx="256">
                  <c:v>68000.66</c:v>
                </c:pt>
                <c:pt idx="257">
                  <c:v>67070.31</c:v>
                </c:pt>
                <c:pt idx="258">
                  <c:v>67116.98</c:v>
                </c:pt>
                <c:pt idx="259">
                  <c:v>67855.67</c:v>
                </c:pt>
                <c:pt idx="260">
                  <c:v>63559.29</c:v>
                </c:pt>
                <c:pt idx="261">
                  <c:v>65551.19</c:v>
                </c:pt>
                <c:pt idx="262">
                  <c:v>65447.73</c:v>
                </c:pt>
                <c:pt idx="263">
                  <c:v>69878.98</c:v>
                </c:pt>
                <c:pt idx="264">
                  <c:v>62230.11</c:v>
                </c:pt>
                <c:pt idx="265">
                  <c:v>59365.87</c:v>
                </c:pt>
                <c:pt idx="266">
                  <c:v>67448.45</c:v>
                </c:pt>
                <c:pt idx="267">
                  <c:v>65617.27</c:v>
                </c:pt>
                <c:pt idx="268">
                  <c:v>69740.25</c:v>
                </c:pt>
                <c:pt idx="269">
                  <c:v>68077.81</c:v>
                </c:pt>
                <c:pt idx="270">
                  <c:v>68821.03</c:v>
                </c:pt>
                <c:pt idx="271">
                  <c:v>69931.5</c:v>
                </c:pt>
                <c:pt idx="272">
                  <c:v>64511.32</c:v>
                </c:pt>
                <c:pt idx="273">
                  <c:v>66937.14</c:v>
                </c:pt>
                <c:pt idx="274">
                  <c:v>66968.09</c:v>
                </c:pt>
                <c:pt idx="275">
                  <c:v>70731.45</c:v>
                </c:pt>
                <c:pt idx="276">
                  <c:v>65124.04</c:v>
                </c:pt>
                <c:pt idx="277">
                  <c:v>64130.91</c:v>
                </c:pt>
                <c:pt idx="278">
                  <c:v>65055.16</c:v>
                </c:pt>
                <c:pt idx="279">
                  <c:v>50162.59</c:v>
                </c:pt>
                <c:pt idx="280">
                  <c:v>58655.199999999997</c:v>
                </c:pt>
                <c:pt idx="281">
                  <c:v>61342.84</c:v>
                </c:pt>
                <c:pt idx="282">
                  <c:v>64712.25</c:v>
                </c:pt>
                <c:pt idx="283">
                  <c:v>64857.78</c:v>
                </c:pt>
                <c:pt idx="284">
                  <c:v>62555.16</c:v>
                </c:pt>
                <c:pt idx="285">
                  <c:v>65264.5</c:v>
                </c:pt>
                <c:pt idx="286">
                  <c:v>62688.11</c:v>
                </c:pt>
                <c:pt idx="287">
                  <c:v>65880.600000000006</c:v>
                </c:pt>
                <c:pt idx="288">
                  <c:v>61640.47</c:v>
                </c:pt>
                <c:pt idx="289">
                  <c:v>57519.48</c:v>
                </c:pt>
                <c:pt idx="290">
                  <c:v>69234.83</c:v>
                </c:pt>
                <c:pt idx="291">
                  <c:v>68931.27</c:v>
                </c:pt>
                <c:pt idx="292">
                  <c:v>73052.23</c:v>
                </c:pt>
                <c:pt idx="293">
                  <c:v>72129.78</c:v>
                </c:pt>
                <c:pt idx="294">
                  <c:v>74280.69</c:v>
                </c:pt>
                <c:pt idx="295">
                  <c:v>73114.42</c:v>
                </c:pt>
                <c:pt idx="296">
                  <c:v>69798.41</c:v>
                </c:pt>
                <c:pt idx="297">
                  <c:v>72734.81</c:v>
                </c:pt>
                <c:pt idx="298">
                  <c:v>71342.23</c:v>
                </c:pt>
                <c:pt idx="299">
                  <c:v>76174</c:v>
                </c:pt>
                <c:pt idx="300">
                  <c:v>66637.789999999994</c:v>
                </c:pt>
                <c:pt idx="301">
                  <c:v>64309.05</c:v>
                </c:pt>
                <c:pt idx="302">
                  <c:v>73009.03</c:v>
                </c:pt>
                <c:pt idx="303">
                  <c:v>72745.179999999993</c:v>
                </c:pt>
                <c:pt idx="304">
                  <c:v>75333.81</c:v>
                </c:pt>
                <c:pt idx="305">
                  <c:v>73872.91</c:v>
                </c:pt>
                <c:pt idx="306">
                  <c:v>74258.39</c:v>
                </c:pt>
                <c:pt idx="307">
                  <c:v>73113.36</c:v>
                </c:pt>
                <c:pt idx="308">
                  <c:v>70005.759999999995</c:v>
                </c:pt>
                <c:pt idx="309">
                  <c:v>72271.55</c:v>
                </c:pt>
                <c:pt idx="310">
                  <c:v>70928.77</c:v>
                </c:pt>
                <c:pt idx="311">
                  <c:v>76087.149999999994</c:v>
                </c:pt>
                <c:pt idx="312">
                  <c:v>68202.23</c:v>
                </c:pt>
                <c:pt idx="313">
                  <c:v>65214.09</c:v>
                </c:pt>
                <c:pt idx="314">
                  <c:v>72418.94</c:v>
                </c:pt>
                <c:pt idx="315">
                  <c:v>71072.160000000003</c:v>
                </c:pt>
                <c:pt idx="316">
                  <c:v>74327.78</c:v>
                </c:pt>
                <c:pt idx="317">
                  <c:v>73004.37</c:v>
                </c:pt>
                <c:pt idx="318">
                  <c:v>73763.58</c:v>
                </c:pt>
                <c:pt idx="319">
                  <c:v>73697.17</c:v>
                </c:pt>
                <c:pt idx="320">
                  <c:v>71052.479999999996</c:v>
                </c:pt>
                <c:pt idx="321">
                  <c:v>72057.98</c:v>
                </c:pt>
                <c:pt idx="322">
                  <c:v>71673.33</c:v>
                </c:pt>
                <c:pt idx="323">
                  <c:v>77722.45</c:v>
                </c:pt>
              </c:numCache>
            </c:numRef>
          </c:val>
          <c:smooth val="0"/>
          <c:extLst>
            <c:ext xmlns:c16="http://schemas.microsoft.com/office/drawing/2014/chart" uri="{C3380CC4-5D6E-409C-BE32-E72D297353CC}">
              <c16:uniqueId val="{00000001-7329-4ECE-A44E-C1EE40953D18}"/>
            </c:ext>
          </c:extLst>
        </c:ser>
        <c:dLbls>
          <c:showLegendKey val="0"/>
          <c:showVal val="0"/>
          <c:showCatName val="0"/>
          <c:showSerName val="0"/>
          <c:showPercent val="0"/>
          <c:showBubbleSize val="0"/>
        </c:dLbls>
        <c:marker val="1"/>
        <c:smooth val="0"/>
        <c:axId val="49310447"/>
        <c:axId val="228919407"/>
      </c:lineChart>
      <c:catAx>
        <c:axId val="49310447"/>
        <c:scaling>
          <c:orientation val="minMax"/>
        </c:scaling>
        <c:delete val="0"/>
        <c:axPos val="b"/>
        <c:numFmt formatCode="[$-409]mmm\-yy;@" sourceLinked="1"/>
        <c:majorTickMark val="none"/>
        <c:minorTickMark val="none"/>
        <c:tickLblPos val="low"/>
        <c:spPr>
          <a:noFill/>
          <a:ln w="15875" cap="flat" cmpd="sng" algn="ctr">
            <a:solidFill>
              <a:srgbClr val="FF0000"/>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ptos Display" panose="020B0004020202020204" pitchFamily="34" charset="0"/>
                <a:ea typeface="+mn-ea"/>
                <a:cs typeface="+mn-cs"/>
              </a:defRPr>
            </a:pPr>
            <a:endParaRPr lang="en-US"/>
          </a:p>
        </c:txPr>
        <c:crossAx val="228919407"/>
        <c:crosses val="autoZero"/>
        <c:auto val="1"/>
        <c:lblAlgn val="ctr"/>
        <c:lblOffset val="100"/>
        <c:tickMarkSkip val="6"/>
        <c:noMultiLvlLbl val="0"/>
      </c:catAx>
      <c:valAx>
        <c:axId val="228919407"/>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323232"/>
                    </a:solidFill>
                    <a:latin typeface="Aptos Display" panose="020B0004020202020204" pitchFamily="34" charset="0"/>
                    <a:ea typeface="+mn-ea"/>
                    <a:cs typeface="+mn-cs"/>
                  </a:defRPr>
                </a:pPr>
                <a:r>
                  <a:rPr lang="en-US">
                    <a:solidFill>
                      <a:srgbClr val="323232"/>
                    </a:solidFill>
                  </a:rPr>
                  <a:t>Constant</a:t>
                </a:r>
                <a:r>
                  <a:rPr lang="en-US" baseline="0">
                    <a:solidFill>
                      <a:srgbClr val="323232"/>
                    </a:solidFill>
                  </a:rPr>
                  <a:t> Dollar Sales (including tips and tax, million dollars)</a:t>
                </a:r>
                <a:endParaRPr lang="en-US">
                  <a:solidFill>
                    <a:srgbClr val="323232"/>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323232"/>
                  </a:solidFill>
                  <a:latin typeface="Aptos Display" panose="020B0004020202020204" pitchFamily="34" charset="0"/>
                  <a:ea typeface="+mn-ea"/>
                  <a:cs typeface="+mn-cs"/>
                </a:defRPr>
              </a:pPr>
              <a:endParaRPr lang="en-US"/>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ptos Display" panose="020B0004020202020204" pitchFamily="34" charset="0"/>
                <a:ea typeface="+mn-ea"/>
                <a:cs typeface="+mn-cs"/>
              </a:defRPr>
            </a:pPr>
            <a:endParaRPr lang="en-US"/>
          </a:p>
        </c:txPr>
        <c:crossAx val="49310447"/>
        <c:crosses val="autoZero"/>
        <c:crossBetween val="midCat"/>
      </c:valAx>
      <c:spPr>
        <a:noFill/>
        <a:ln w="22225">
          <a:solidFill>
            <a:srgbClr val="8C8C8C"/>
          </a:solidFill>
        </a:ln>
        <a:effectLst/>
      </c:spPr>
    </c:plotArea>
    <c:legend>
      <c:legendPos val="b"/>
      <c:layout>
        <c:manualLayout>
          <c:xMode val="edge"/>
          <c:yMode val="edge"/>
          <c:x val="0.10514345434566635"/>
          <c:y val="0.14030531235460419"/>
          <c:w val="0.23578641511103712"/>
          <c:h val="0.11783541097214298"/>
        </c:manualLayout>
      </c:layout>
      <c:overlay val="0"/>
      <c:spPr>
        <a:solidFill>
          <a:schemeClr val="bg1"/>
        </a:solidFill>
        <a:ln w="15875">
          <a:solidFill>
            <a:srgbClr val="8C8C8C"/>
          </a:solidFill>
        </a:ln>
        <a:effectLst/>
      </c:spPr>
      <c:txPr>
        <a:bodyPr rot="0" spcFirstLastPara="1" vertOverflow="ellipsis" vert="horz" wrap="square" anchor="ctr" anchorCtr="1"/>
        <a:lstStyle/>
        <a:p>
          <a:pPr>
            <a:defRPr sz="1200" b="1" i="0" u="none" strike="noStrike" kern="1200" baseline="0">
              <a:solidFill>
                <a:sysClr val="windowText" lastClr="000000"/>
              </a:solidFill>
              <a:latin typeface="Aptos Display"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1">
          <a:solidFill>
            <a:sysClr val="windowText" lastClr="000000"/>
          </a:solidFill>
          <a:latin typeface="Aptos Display" panose="020B0004020202020204" pitchFamily="34" charset="0"/>
        </a:defRPr>
      </a:pPr>
      <a:endParaRPr lang="en-US"/>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 Data'!$A$24</c:f>
              <c:strCache>
                <c:ptCount val="1"/>
                <c:pt idx="0">
                  <c:v>2018</c:v>
                </c:pt>
              </c:strCache>
            </c:strRef>
          </c:tx>
          <c:spPr>
            <a:ln w="28575" cap="rnd">
              <a:solidFill>
                <a:schemeClr val="accent1"/>
              </a:solidFill>
              <a:round/>
            </a:ln>
            <a:effectLst/>
          </c:spPr>
          <c:marker>
            <c:symbol val="none"/>
          </c:marker>
          <c:cat>
            <c:strRef>
              <c:f>'Chart Data'!$B$2:$M$2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Data'!$B$24:$M$24</c:f>
              <c:numCache>
                <c:formatCode>#,##0_);[Red]\(#,##0\)</c:formatCode>
                <c:ptCount val="12"/>
                <c:pt idx="0">
                  <c:v>30671.076134309456</c:v>
                </c:pt>
                <c:pt idx="1">
                  <c:v>29122.62968954067</c:v>
                </c:pt>
                <c:pt idx="2">
                  <c:v>32992.628835545926</c:v>
                </c:pt>
                <c:pt idx="3">
                  <c:v>30569.385435911398</c:v>
                </c:pt>
                <c:pt idx="4">
                  <c:v>33223.503240901431</c:v>
                </c:pt>
                <c:pt idx="5">
                  <c:v>32395.95732463375</c:v>
                </c:pt>
                <c:pt idx="6">
                  <c:v>32462.294163873135</c:v>
                </c:pt>
                <c:pt idx="7">
                  <c:v>32970.320980581178</c:v>
                </c:pt>
                <c:pt idx="8">
                  <c:v>31329.528297989254</c:v>
                </c:pt>
                <c:pt idx="9">
                  <c:v>32491.453411457649</c:v>
                </c:pt>
                <c:pt idx="10">
                  <c:v>33734.953089293223</c:v>
                </c:pt>
                <c:pt idx="11">
                  <c:v>36225.456895962918</c:v>
                </c:pt>
              </c:numCache>
            </c:numRef>
          </c:val>
          <c:smooth val="0"/>
          <c:extLst>
            <c:ext xmlns:c16="http://schemas.microsoft.com/office/drawing/2014/chart" uri="{C3380CC4-5D6E-409C-BE32-E72D297353CC}">
              <c16:uniqueId val="{00000000-EB1C-47AD-9762-D261F85CE918}"/>
            </c:ext>
          </c:extLst>
        </c:ser>
        <c:ser>
          <c:idx val="1"/>
          <c:order val="1"/>
          <c:tx>
            <c:strRef>
              <c:f>'Chart Data'!$A$25</c:f>
              <c:strCache>
                <c:ptCount val="1"/>
                <c:pt idx="0">
                  <c:v>2019</c:v>
                </c:pt>
              </c:strCache>
            </c:strRef>
          </c:tx>
          <c:spPr>
            <a:ln w="28575" cap="rnd">
              <a:solidFill>
                <a:schemeClr val="accent2"/>
              </a:solidFill>
              <a:round/>
            </a:ln>
            <a:effectLst/>
          </c:spPr>
          <c:marker>
            <c:symbol val="none"/>
          </c:marker>
          <c:cat>
            <c:strRef>
              <c:f>'Chart Data'!$B$2:$M$2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Data'!$B$25:$M$25</c:f>
              <c:numCache>
                <c:formatCode>#,##0_);[Red]\(#,##0\)</c:formatCode>
                <c:ptCount val="12"/>
                <c:pt idx="0">
                  <c:v>31699.132228939954</c:v>
                </c:pt>
                <c:pt idx="1">
                  <c:v>29077.775738610384</c:v>
                </c:pt>
                <c:pt idx="2">
                  <c:v>32634.073525918924</c:v>
                </c:pt>
                <c:pt idx="3">
                  <c:v>32094.291425471478</c:v>
                </c:pt>
                <c:pt idx="4">
                  <c:v>34063.304952439699</c:v>
                </c:pt>
                <c:pt idx="5">
                  <c:v>33052.805841248548</c:v>
                </c:pt>
                <c:pt idx="6">
                  <c:v>33753.505220486666</c:v>
                </c:pt>
                <c:pt idx="7">
                  <c:v>34366.396841675487</c:v>
                </c:pt>
                <c:pt idx="8">
                  <c:v>31776.805487807756</c:v>
                </c:pt>
                <c:pt idx="9">
                  <c:v>33273.802194374039</c:v>
                </c:pt>
                <c:pt idx="10">
                  <c:v>34508.428884562039</c:v>
                </c:pt>
                <c:pt idx="11">
                  <c:v>36890.146408464985</c:v>
                </c:pt>
              </c:numCache>
            </c:numRef>
          </c:val>
          <c:smooth val="0"/>
          <c:extLst>
            <c:ext xmlns:c16="http://schemas.microsoft.com/office/drawing/2014/chart" uri="{C3380CC4-5D6E-409C-BE32-E72D297353CC}">
              <c16:uniqueId val="{00000001-EB1C-47AD-9762-D261F85CE918}"/>
            </c:ext>
          </c:extLst>
        </c:ser>
        <c:ser>
          <c:idx val="2"/>
          <c:order val="2"/>
          <c:tx>
            <c:strRef>
              <c:f>'Chart Data'!$A$26</c:f>
              <c:strCache>
                <c:ptCount val="1"/>
                <c:pt idx="0">
                  <c:v>2020</c:v>
                </c:pt>
              </c:strCache>
            </c:strRef>
          </c:tx>
          <c:spPr>
            <a:ln w="28575" cap="rnd">
              <a:solidFill>
                <a:schemeClr val="accent3"/>
              </a:solidFill>
              <a:round/>
            </a:ln>
            <a:effectLst/>
          </c:spPr>
          <c:marker>
            <c:symbol val="none"/>
          </c:marker>
          <c:cat>
            <c:strRef>
              <c:f>'Chart Data'!$B$2:$M$2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Data'!$B$26:$M$26</c:f>
              <c:numCache>
                <c:formatCode>#,##0_);[Red]\(#,##0\)</c:formatCode>
                <c:ptCount val="12"/>
                <c:pt idx="0">
                  <c:v>32287.806065023695</c:v>
                </c:pt>
                <c:pt idx="1">
                  <c:v>31042.186973104042</c:v>
                </c:pt>
                <c:pt idx="2">
                  <c:v>38893.415058175633</c:v>
                </c:pt>
                <c:pt idx="3">
                  <c:v>33005.261943485486</c:v>
                </c:pt>
                <c:pt idx="4">
                  <c:v>35265.100615128773</c:v>
                </c:pt>
                <c:pt idx="5">
                  <c:v>33467.089602865897</c:v>
                </c:pt>
                <c:pt idx="6">
                  <c:v>35063.466538395849</c:v>
                </c:pt>
                <c:pt idx="7">
                  <c:v>34317.388173426982</c:v>
                </c:pt>
                <c:pt idx="8">
                  <c:v>32958.29534293725</c:v>
                </c:pt>
                <c:pt idx="9">
                  <c:v>34351.53729498895</c:v>
                </c:pt>
                <c:pt idx="10">
                  <c:v>34767.349163631661</c:v>
                </c:pt>
                <c:pt idx="11">
                  <c:v>37366.353228835804</c:v>
                </c:pt>
              </c:numCache>
            </c:numRef>
          </c:val>
          <c:smooth val="0"/>
          <c:extLst>
            <c:ext xmlns:c16="http://schemas.microsoft.com/office/drawing/2014/chart" uri="{C3380CC4-5D6E-409C-BE32-E72D297353CC}">
              <c16:uniqueId val="{00000002-EB1C-47AD-9762-D261F85CE918}"/>
            </c:ext>
          </c:extLst>
        </c:ser>
        <c:dLbls>
          <c:showLegendKey val="0"/>
          <c:showVal val="0"/>
          <c:showCatName val="0"/>
          <c:showSerName val="0"/>
          <c:showPercent val="0"/>
          <c:showBubbleSize val="0"/>
        </c:dLbls>
        <c:smooth val="0"/>
        <c:axId val="1058611464"/>
        <c:axId val="1058618680"/>
      </c:lineChart>
      <c:catAx>
        <c:axId val="1058611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618680"/>
        <c:crosses val="autoZero"/>
        <c:auto val="1"/>
        <c:lblAlgn val="ctr"/>
        <c:lblOffset val="100"/>
        <c:noMultiLvlLbl val="1"/>
      </c:catAx>
      <c:valAx>
        <c:axId val="105861868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611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000" b="1"/>
              <a:t>2023 Food Expendatures: Change from Five-Year Average</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6.8490300932501011E-2"/>
          <c:y val="8.1155970547929293E-2"/>
          <c:w val="0.81427718064519794"/>
          <c:h val="0.8100910041112116"/>
        </c:manualLayout>
      </c:layout>
      <c:barChart>
        <c:barDir val="col"/>
        <c:grouping val="clustered"/>
        <c:varyColors val="0"/>
        <c:ser>
          <c:idx val="0"/>
          <c:order val="0"/>
          <c:tx>
            <c:v>Food Away From Home</c:v>
          </c:tx>
          <c:spPr>
            <a:solidFill>
              <a:srgbClr val="8C8C8C"/>
            </a:solidFill>
            <a:ln w="9525">
              <a:solidFill>
                <a:srgbClr val="323232"/>
              </a:solidFill>
            </a:ln>
            <a:effectLst/>
          </c:spPr>
          <c:invertIfNegative val="0"/>
          <c:dPt>
            <c:idx val="6"/>
            <c:invertIfNegative val="0"/>
            <c:bubble3D val="0"/>
            <c:spPr>
              <a:solidFill>
                <a:srgbClr val="8C8C8C"/>
              </a:solidFill>
              <a:ln w="9525">
                <a:solidFill>
                  <a:srgbClr val="323232"/>
                </a:solidFill>
              </a:ln>
              <a:effectLst/>
            </c:spPr>
            <c:extLst>
              <c:ext xmlns:c16="http://schemas.microsoft.com/office/drawing/2014/chart" uri="{C3380CC4-5D6E-409C-BE32-E72D297353CC}">
                <c16:uniqueId val="{00000001-DFED-47AF-A46E-F99E4A41F89E}"/>
              </c:ext>
            </c:extLst>
          </c:dPt>
          <c:dPt>
            <c:idx val="7"/>
            <c:invertIfNegative val="0"/>
            <c:bubble3D val="0"/>
            <c:spPr>
              <a:solidFill>
                <a:srgbClr val="8C8C8C"/>
              </a:solidFill>
              <a:ln w="9525">
                <a:solidFill>
                  <a:srgbClr val="323232"/>
                </a:solidFill>
              </a:ln>
              <a:effectLst/>
            </c:spPr>
            <c:extLst>
              <c:ext xmlns:c16="http://schemas.microsoft.com/office/drawing/2014/chart" uri="{C3380CC4-5D6E-409C-BE32-E72D297353CC}">
                <c16:uniqueId val="{00000003-DFED-47AF-A46E-F99E4A41F89E}"/>
              </c:ext>
            </c:extLst>
          </c:dPt>
          <c:dPt>
            <c:idx val="8"/>
            <c:invertIfNegative val="0"/>
            <c:bubble3D val="0"/>
            <c:spPr>
              <a:solidFill>
                <a:srgbClr val="8C8C8C"/>
              </a:solidFill>
              <a:ln w="9525">
                <a:solidFill>
                  <a:srgbClr val="323232"/>
                </a:solidFill>
              </a:ln>
              <a:effectLst/>
            </c:spPr>
            <c:extLst>
              <c:ext xmlns:c16="http://schemas.microsoft.com/office/drawing/2014/chart" uri="{C3380CC4-5D6E-409C-BE32-E72D297353CC}">
                <c16:uniqueId val="{00000005-DFED-47AF-A46E-F99E4A41F89E}"/>
              </c:ext>
            </c:extLst>
          </c:dPt>
          <c:dPt>
            <c:idx val="9"/>
            <c:invertIfNegative val="0"/>
            <c:bubble3D val="0"/>
            <c:spPr>
              <a:solidFill>
                <a:srgbClr val="8C8C8C"/>
              </a:solidFill>
              <a:ln w="9525">
                <a:solidFill>
                  <a:srgbClr val="323232"/>
                </a:solidFill>
              </a:ln>
              <a:effectLst/>
            </c:spPr>
            <c:extLst>
              <c:ext xmlns:c16="http://schemas.microsoft.com/office/drawing/2014/chart" uri="{C3380CC4-5D6E-409C-BE32-E72D297353CC}">
                <c16:uniqueId val="{00000007-DFED-47AF-A46E-F99E4A41F89E}"/>
              </c:ext>
            </c:extLst>
          </c:dPt>
          <c:dPt>
            <c:idx val="10"/>
            <c:invertIfNegative val="0"/>
            <c:bubble3D val="0"/>
            <c:spPr>
              <a:solidFill>
                <a:srgbClr val="8C8C8C"/>
              </a:solidFill>
              <a:ln w="9525">
                <a:solidFill>
                  <a:srgbClr val="323232"/>
                </a:solidFill>
              </a:ln>
              <a:effectLst/>
            </c:spPr>
            <c:extLst>
              <c:ext xmlns:c16="http://schemas.microsoft.com/office/drawing/2014/chart" uri="{C3380CC4-5D6E-409C-BE32-E72D297353CC}">
                <c16:uniqueId val="{00000009-DFED-47AF-A46E-F99E4A41F89E}"/>
              </c:ext>
            </c:extLst>
          </c:dPt>
          <c:dPt>
            <c:idx val="11"/>
            <c:invertIfNegative val="0"/>
            <c:bubble3D val="0"/>
            <c:spPr>
              <a:solidFill>
                <a:srgbClr val="8C8C8C"/>
              </a:solidFill>
              <a:ln w="9525">
                <a:solidFill>
                  <a:srgbClr val="323232"/>
                </a:solidFill>
              </a:ln>
              <a:effectLst/>
            </c:spPr>
            <c:extLst>
              <c:ext xmlns:c16="http://schemas.microsoft.com/office/drawing/2014/chart" uri="{C3380CC4-5D6E-409C-BE32-E72D297353CC}">
                <c16:uniqueId val="{0000000B-DFED-47AF-A46E-F99E4A41F89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w="3175">
                      <a:noFill/>
                    </a:ln>
                    <a:solidFill>
                      <a:schemeClr val="bg1"/>
                    </a:solidFill>
                    <a:latin typeface="Arial Narrow" panose="020B060602020203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Data'!$B$36:$M$36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Data'!$B$67:$M$67</c:f>
              <c:numCache>
                <c:formatCode>0%</c:formatCode>
                <c:ptCount val="12"/>
                <c:pt idx="0">
                  <c:v>0.2412953071508902</c:v>
                </c:pt>
                <c:pt idx="1">
                  <c:v>0.2606761408451202</c:v>
                </c:pt>
                <c:pt idx="2">
                  <c:v>0.14258843290509865</c:v>
                </c:pt>
                <c:pt idx="3">
                  <c:v>0.21310617856390746</c:v>
                </c:pt>
                <c:pt idx="4">
                  <c:v>0.12140188515883379</c:v>
                </c:pt>
                <c:pt idx="5">
                  <c:v>0.11583231114736374</c:v>
                </c:pt>
                <c:pt idx="6">
                  <c:v>9.670870403038935E-2</c:v>
                </c:pt>
                <c:pt idx="7">
                  <c:v>0.10256703107816897</c:v>
                </c:pt>
                <c:pt idx="8">
                  <c:v>0.17049806596030204</c:v>
                </c:pt>
                <c:pt idx="9">
                  <c:v>0.13656969912307654</c:v>
                </c:pt>
                <c:pt idx="10">
                  <c:v>0.19083232189020652</c:v>
                </c:pt>
                <c:pt idx="11">
                  <c:v>0.12062530042300178</c:v>
                </c:pt>
              </c:numCache>
            </c:numRef>
          </c:val>
          <c:extLst>
            <c:ext xmlns:c16="http://schemas.microsoft.com/office/drawing/2014/chart" uri="{C3380CC4-5D6E-409C-BE32-E72D297353CC}">
              <c16:uniqueId val="{0000000C-DFED-47AF-A46E-F99E4A41F89E}"/>
            </c:ext>
          </c:extLst>
        </c:ser>
        <c:ser>
          <c:idx val="1"/>
          <c:order val="1"/>
          <c:tx>
            <c:v>Food at Home</c:v>
          </c:tx>
          <c:spPr>
            <a:solidFill>
              <a:srgbClr val="ECECEC"/>
            </a:solidFill>
            <a:ln w="9525">
              <a:solidFill>
                <a:srgbClr val="323232"/>
              </a:solidFill>
            </a:ln>
            <a:effectLst/>
          </c:spPr>
          <c:invertIfNegative val="0"/>
          <c:dPt>
            <c:idx val="6"/>
            <c:invertIfNegative val="0"/>
            <c:bubble3D val="0"/>
            <c:spPr>
              <a:solidFill>
                <a:srgbClr val="ECECEC"/>
              </a:solidFill>
              <a:ln w="9525">
                <a:solidFill>
                  <a:srgbClr val="323232"/>
                </a:solidFill>
              </a:ln>
              <a:effectLst/>
            </c:spPr>
            <c:extLst>
              <c:ext xmlns:c16="http://schemas.microsoft.com/office/drawing/2014/chart" uri="{C3380CC4-5D6E-409C-BE32-E72D297353CC}">
                <c16:uniqueId val="{0000000E-DFED-47AF-A46E-F99E4A41F89E}"/>
              </c:ext>
            </c:extLst>
          </c:dPt>
          <c:dPt>
            <c:idx val="7"/>
            <c:invertIfNegative val="0"/>
            <c:bubble3D val="0"/>
            <c:spPr>
              <a:solidFill>
                <a:srgbClr val="ECECEC"/>
              </a:solidFill>
              <a:ln w="9525">
                <a:solidFill>
                  <a:srgbClr val="323232"/>
                </a:solidFill>
              </a:ln>
              <a:effectLst/>
            </c:spPr>
            <c:extLst>
              <c:ext xmlns:c16="http://schemas.microsoft.com/office/drawing/2014/chart" uri="{C3380CC4-5D6E-409C-BE32-E72D297353CC}">
                <c16:uniqueId val="{00000010-DFED-47AF-A46E-F99E4A41F89E}"/>
              </c:ext>
            </c:extLst>
          </c:dPt>
          <c:dPt>
            <c:idx val="8"/>
            <c:invertIfNegative val="0"/>
            <c:bubble3D val="0"/>
            <c:spPr>
              <a:solidFill>
                <a:srgbClr val="ECECEC"/>
              </a:solidFill>
              <a:ln w="9525">
                <a:solidFill>
                  <a:srgbClr val="323232"/>
                </a:solidFill>
              </a:ln>
              <a:effectLst/>
            </c:spPr>
            <c:extLst>
              <c:ext xmlns:c16="http://schemas.microsoft.com/office/drawing/2014/chart" uri="{C3380CC4-5D6E-409C-BE32-E72D297353CC}">
                <c16:uniqueId val="{00000012-DFED-47AF-A46E-F99E4A41F89E}"/>
              </c:ext>
            </c:extLst>
          </c:dPt>
          <c:dPt>
            <c:idx val="9"/>
            <c:invertIfNegative val="0"/>
            <c:bubble3D val="0"/>
            <c:spPr>
              <a:solidFill>
                <a:srgbClr val="ECECEC"/>
              </a:solidFill>
              <a:ln w="9525">
                <a:solidFill>
                  <a:srgbClr val="323232"/>
                </a:solidFill>
              </a:ln>
              <a:effectLst/>
            </c:spPr>
            <c:extLst>
              <c:ext xmlns:c16="http://schemas.microsoft.com/office/drawing/2014/chart" uri="{C3380CC4-5D6E-409C-BE32-E72D297353CC}">
                <c16:uniqueId val="{00000014-DFED-47AF-A46E-F99E4A41F89E}"/>
              </c:ext>
            </c:extLst>
          </c:dPt>
          <c:dPt>
            <c:idx val="10"/>
            <c:invertIfNegative val="0"/>
            <c:bubble3D val="0"/>
            <c:spPr>
              <a:solidFill>
                <a:srgbClr val="ECECEC"/>
              </a:solidFill>
              <a:ln w="9525">
                <a:solidFill>
                  <a:srgbClr val="323232"/>
                </a:solidFill>
              </a:ln>
              <a:effectLst/>
            </c:spPr>
            <c:extLst>
              <c:ext xmlns:c16="http://schemas.microsoft.com/office/drawing/2014/chart" uri="{C3380CC4-5D6E-409C-BE32-E72D297353CC}">
                <c16:uniqueId val="{00000016-DFED-47AF-A46E-F99E4A41F89E}"/>
              </c:ext>
            </c:extLst>
          </c:dPt>
          <c:dPt>
            <c:idx val="11"/>
            <c:invertIfNegative val="0"/>
            <c:bubble3D val="0"/>
            <c:spPr>
              <a:solidFill>
                <a:srgbClr val="ECECEC"/>
              </a:solidFill>
              <a:ln w="9525">
                <a:solidFill>
                  <a:srgbClr val="323232"/>
                </a:solidFill>
              </a:ln>
              <a:effectLst/>
            </c:spPr>
            <c:extLst>
              <c:ext xmlns:c16="http://schemas.microsoft.com/office/drawing/2014/chart" uri="{C3380CC4-5D6E-409C-BE32-E72D297353CC}">
                <c16:uniqueId val="{00000018-DFED-47AF-A46E-F99E4A41F89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323232"/>
                    </a:solidFill>
                    <a:latin typeface="Arial Narrow" panose="020B060602020203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Data'!$B$36:$M$36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Data'!$B$33:$M$33</c:f>
              <c:numCache>
                <c:formatCode>0%</c:formatCode>
                <c:ptCount val="12"/>
                <c:pt idx="0">
                  <c:v>0.16538145606398799</c:v>
                </c:pt>
                <c:pt idx="1">
                  <c:v>0.24135466901124364</c:v>
                </c:pt>
                <c:pt idx="2">
                  <c:v>8.5437351116167404E-2</c:v>
                </c:pt>
                <c:pt idx="3">
                  <c:v>0.16315114467247657</c:v>
                </c:pt>
                <c:pt idx="4">
                  <c:v>8.8575387157712085E-2</c:v>
                </c:pt>
                <c:pt idx="5">
                  <c:v>0.10883116448429647</c:v>
                </c:pt>
                <c:pt idx="6">
                  <c:v>8.6840320775069368E-2</c:v>
                </c:pt>
                <c:pt idx="7">
                  <c:v>8.4553786322052224E-2</c:v>
                </c:pt>
                <c:pt idx="8">
                  <c:v>0.14052285000060422</c:v>
                </c:pt>
                <c:pt idx="9">
                  <c:v>9.6755852587971966E-2</c:v>
                </c:pt>
                <c:pt idx="10">
                  <c:v>8.6038031335314208E-2</c:v>
                </c:pt>
                <c:pt idx="11">
                  <c:v>1.7355173956760301E-2</c:v>
                </c:pt>
              </c:numCache>
            </c:numRef>
          </c:val>
          <c:extLst>
            <c:ext xmlns:c16="http://schemas.microsoft.com/office/drawing/2014/chart" uri="{C3380CC4-5D6E-409C-BE32-E72D297353CC}">
              <c16:uniqueId val="{00000019-DFED-47AF-A46E-F99E4A41F89E}"/>
            </c:ext>
          </c:extLst>
        </c:ser>
        <c:dLbls>
          <c:showLegendKey val="0"/>
          <c:showVal val="0"/>
          <c:showCatName val="0"/>
          <c:showSerName val="0"/>
          <c:showPercent val="0"/>
          <c:showBubbleSize val="0"/>
        </c:dLbls>
        <c:gapWidth val="50"/>
        <c:axId val="1888171920"/>
        <c:axId val="1888169296"/>
      </c:barChart>
      <c:lineChart>
        <c:grouping val="standard"/>
        <c:varyColors val="0"/>
        <c:ser>
          <c:idx val="2"/>
          <c:order val="2"/>
          <c:tx>
            <c:v>Nominal Food Expendatures Change from 5-Year Average</c:v>
          </c:tx>
          <c:spPr>
            <a:ln w="15875" cap="rnd">
              <a:solidFill>
                <a:srgbClr val="6F0791"/>
              </a:solidFill>
              <a:round/>
            </a:ln>
            <a:effectLst/>
          </c:spPr>
          <c:marker>
            <c:symbol val="circle"/>
            <c:size val="7"/>
            <c:spPr>
              <a:solidFill>
                <a:srgbClr val="6F0791"/>
              </a:solidFill>
              <a:ln w="15875">
                <a:solidFill>
                  <a:srgbClr val="6F0791"/>
                </a:solidFill>
              </a:ln>
              <a:effectLst/>
            </c:spPr>
          </c:marker>
          <c:val>
            <c:numRef>
              <c:f>'Chart Data'!$B$155:$M$155</c:f>
              <c:numCache>
                <c:formatCode>#,##0_);[Red]\(#,##0\)</c:formatCode>
                <c:ptCount val="12"/>
                <c:pt idx="0">
                  <c:v>43629.298437499994</c:v>
                </c:pt>
                <c:pt idx="1">
                  <c:v>48386.173437499994</c:v>
                </c:pt>
                <c:pt idx="2">
                  <c:v>30743.821874999994</c:v>
                </c:pt>
                <c:pt idx="3">
                  <c:v>39129.239062500012</c:v>
                </c:pt>
                <c:pt idx="4">
                  <c:v>27081.556249999994</c:v>
                </c:pt>
                <c:pt idx="5">
                  <c:v>26997.384374999994</c:v>
                </c:pt>
                <c:pt idx="6">
                  <c:v>23240.993749999994</c:v>
                </c:pt>
                <c:pt idx="7">
                  <c:v>23021.471874999988</c:v>
                </c:pt>
                <c:pt idx="8">
                  <c:v>30880.121875000012</c:v>
                </c:pt>
                <c:pt idx="9">
                  <c:v>24911.946874999994</c:v>
                </c:pt>
                <c:pt idx="10">
                  <c:v>28101.762500000012</c:v>
                </c:pt>
                <c:pt idx="11">
                  <c:v>20815.821874999994</c:v>
                </c:pt>
              </c:numCache>
            </c:numRef>
          </c:val>
          <c:smooth val="0"/>
          <c:extLst>
            <c:ext xmlns:c16="http://schemas.microsoft.com/office/drawing/2014/chart" uri="{C3380CC4-5D6E-409C-BE32-E72D297353CC}">
              <c16:uniqueId val="{0000001A-DFED-47AF-A46E-F99E4A41F89E}"/>
            </c:ext>
          </c:extLst>
        </c:ser>
        <c:dLbls>
          <c:showLegendKey val="0"/>
          <c:showVal val="0"/>
          <c:showCatName val="0"/>
          <c:showSerName val="0"/>
          <c:showPercent val="0"/>
          <c:showBubbleSize val="0"/>
        </c:dLbls>
        <c:marker val="1"/>
        <c:smooth val="0"/>
        <c:axId val="1888170936"/>
        <c:axId val="1888173560"/>
      </c:lineChart>
      <c:catAx>
        <c:axId val="1888171920"/>
        <c:scaling>
          <c:orientation val="minMax"/>
        </c:scaling>
        <c:delete val="0"/>
        <c:axPos val="b"/>
        <c:numFmt formatCode="mmm" sourceLinked="0"/>
        <c:majorTickMark val="none"/>
        <c:minorTickMark val="none"/>
        <c:tickLblPos val="low"/>
        <c:spPr>
          <a:noFill/>
          <a:ln w="22225" cap="flat" cmpd="sng" algn="ctr">
            <a:solidFill>
              <a:srgbClr val="8C8C8C"/>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888169296"/>
        <c:crosses val="autoZero"/>
        <c:auto val="1"/>
        <c:lblAlgn val="ctr"/>
        <c:lblOffset val="100"/>
        <c:noMultiLvlLbl val="1"/>
      </c:catAx>
      <c:valAx>
        <c:axId val="1888169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22225">
            <a:solidFill>
              <a:srgbClr val="8C8C8C"/>
            </a:solid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888171920"/>
        <c:crosses val="autoZero"/>
        <c:crossBetween val="between"/>
      </c:valAx>
      <c:valAx>
        <c:axId val="1888173560"/>
        <c:scaling>
          <c:orientation val="minMax"/>
          <c:min val="0"/>
        </c:scaling>
        <c:delete val="0"/>
        <c:axPos val="r"/>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b="1"/>
                  <a:t>(million</a:t>
                </a:r>
                <a:r>
                  <a:rPr lang="en-US" sz="1200" b="1" baseline="0"/>
                  <a:t> dollars)</a:t>
                </a:r>
                <a:endParaRPr lang="en-US"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_);[Red]\(#,##0\)" sourceLinked="0"/>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888170936"/>
        <c:crosses val="max"/>
        <c:crossBetween val="between"/>
      </c:valAx>
      <c:catAx>
        <c:axId val="1888170936"/>
        <c:scaling>
          <c:orientation val="minMax"/>
        </c:scaling>
        <c:delete val="1"/>
        <c:axPos val="b"/>
        <c:majorTickMark val="out"/>
        <c:minorTickMark val="none"/>
        <c:tickLblPos val="nextTo"/>
        <c:crossAx val="1888173560"/>
        <c:crosses val="autoZero"/>
        <c:auto val="1"/>
        <c:lblAlgn val="ctr"/>
        <c:lblOffset val="100"/>
        <c:noMultiLvlLbl val="0"/>
      </c:catAx>
      <c:spPr>
        <a:noFill/>
        <a:ln w="22225">
          <a:solidFill>
            <a:srgbClr val="8C8C8C"/>
          </a:solidFill>
        </a:ln>
        <a:effectLst/>
      </c:spPr>
    </c:plotArea>
    <c:legend>
      <c:legendPos val="t"/>
      <c:layout>
        <c:manualLayout>
          <c:xMode val="edge"/>
          <c:yMode val="edge"/>
          <c:x val="0.51494262314502559"/>
          <c:y val="0.10016026757717236"/>
          <c:w val="0.26485240498398083"/>
          <c:h val="0.25309214224328147"/>
        </c:manualLayout>
      </c:layout>
      <c:overlay val="0"/>
      <c:spPr>
        <a:solidFill>
          <a:schemeClr val="bg1"/>
        </a:solidFill>
        <a:ln w="15875">
          <a:solidFill>
            <a:srgbClr val="8C8C8C"/>
          </a:solidFill>
        </a:ln>
        <a:effectLst/>
      </c:spPr>
      <c:txPr>
        <a:bodyPr rot="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000" b="1"/>
              <a:t>2020 Food Expendatures</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464748576437974"/>
          <c:y val="8.1155970547929293E-2"/>
          <c:w val="0.79020494554529719"/>
          <c:h val="0.8100910041112116"/>
        </c:manualLayout>
      </c:layout>
      <c:barChart>
        <c:barDir val="col"/>
        <c:grouping val="clustered"/>
        <c:varyColors val="0"/>
        <c:ser>
          <c:idx val="0"/>
          <c:order val="0"/>
          <c:tx>
            <c:v>Food Away From Home</c:v>
          </c:tx>
          <c:spPr>
            <a:solidFill>
              <a:schemeClr val="accent6">
                <a:lumMod val="60000"/>
                <a:lumOff val="40000"/>
              </a:schemeClr>
            </a:solidFill>
            <a:ln w="15875">
              <a:solidFill>
                <a:srgbClr val="505A5B"/>
              </a:solidFill>
            </a:ln>
            <a:effectLst/>
          </c:spPr>
          <c:invertIfNegative val="0"/>
          <c:cat>
            <c:strRef>
              <c:f>'Chart Data'!$B$36:$K$36</c:f>
              <c:strCache>
                <c:ptCount val="10"/>
                <c:pt idx="0">
                  <c:v>Jan</c:v>
                </c:pt>
                <c:pt idx="1">
                  <c:v>Feb</c:v>
                </c:pt>
                <c:pt idx="2">
                  <c:v>Mar</c:v>
                </c:pt>
                <c:pt idx="3">
                  <c:v>Apr</c:v>
                </c:pt>
                <c:pt idx="4">
                  <c:v>May</c:v>
                </c:pt>
                <c:pt idx="5">
                  <c:v>Jun</c:v>
                </c:pt>
                <c:pt idx="6">
                  <c:v>Jul</c:v>
                </c:pt>
                <c:pt idx="7">
                  <c:v>Aug</c:v>
                </c:pt>
                <c:pt idx="8">
                  <c:v>Sep</c:v>
                </c:pt>
                <c:pt idx="9">
                  <c:v>Oct</c:v>
                </c:pt>
              </c:strCache>
            </c:strRef>
          </c:cat>
          <c:val>
            <c:numRef>
              <c:f>'Chart Data'!$B$60:$K$60</c:f>
              <c:numCache>
                <c:formatCode>#,##0_);[Red]\(#,##0\)</c:formatCode>
                <c:ptCount val="10"/>
                <c:pt idx="0">
                  <c:v>32835.509677293085</c:v>
                </c:pt>
                <c:pt idx="1">
                  <c:v>33357.152986448098</c:v>
                </c:pt>
                <c:pt idx="2">
                  <c:v>26619.217095756943</c:v>
                </c:pt>
                <c:pt idx="3">
                  <c:v>17536.834405433619</c:v>
                </c:pt>
                <c:pt idx="4">
                  <c:v>23832.145305755301</c:v>
                </c:pt>
                <c:pt idx="5">
                  <c:v>28283.26624576317</c:v>
                </c:pt>
                <c:pt idx="6">
                  <c:v>29915.05799242873</c:v>
                </c:pt>
                <c:pt idx="7">
                  <c:v>30548.207572056239</c:v>
                </c:pt>
                <c:pt idx="8">
                  <c:v>29255.962620697941</c:v>
                </c:pt>
                <c:pt idx="9">
                  <c:v>30098.784021864798</c:v>
                </c:pt>
              </c:numCache>
            </c:numRef>
          </c:val>
          <c:extLst>
            <c:ext xmlns:c16="http://schemas.microsoft.com/office/drawing/2014/chart" uri="{C3380CC4-5D6E-409C-BE32-E72D297353CC}">
              <c16:uniqueId val="{00000000-CF06-4FD9-932D-1A97C00AFDA3}"/>
            </c:ext>
          </c:extLst>
        </c:ser>
        <c:ser>
          <c:idx val="1"/>
          <c:order val="1"/>
          <c:tx>
            <c:v>Food at Home</c:v>
          </c:tx>
          <c:spPr>
            <a:solidFill>
              <a:srgbClr val="C00000"/>
            </a:solidFill>
            <a:ln w="15875">
              <a:solidFill>
                <a:srgbClr val="505A5B"/>
              </a:solidFill>
            </a:ln>
            <a:effectLst/>
          </c:spPr>
          <c:invertIfNegative val="0"/>
          <c:cat>
            <c:strRef>
              <c:f>'Chart Data'!$B$36:$K$36</c:f>
              <c:strCache>
                <c:ptCount val="10"/>
                <c:pt idx="0">
                  <c:v>Jan</c:v>
                </c:pt>
                <c:pt idx="1">
                  <c:v>Feb</c:v>
                </c:pt>
                <c:pt idx="2">
                  <c:v>Mar</c:v>
                </c:pt>
                <c:pt idx="3">
                  <c:v>Apr</c:v>
                </c:pt>
                <c:pt idx="4">
                  <c:v>May</c:v>
                </c:pt>
                <c:pt idx="5">
                  <c:v>Jun</c:v>
                </c:pt>
                <c:pt idx="6">
                  <c:v>Jul</c:v>
                </c:pt>
                <c:pt idx="7">
                  <c:v>Aug</c:v>
                </c:pt>
                <c:pt idx="8">
                  <c:v>Sep</c:v>
                </c:pt>
                <c:pt idx="9">
                  <c:v>Oct</c:v>
                </c:pt>
              </c:strCache>
            </c:strRef>
          </c:cat>
          <c:val>
            <c:numRef>
              <c:f>'Chart Data'!$B$26:$K$26</c:f>
              <c:numCache>
                <c:formatCode>#,##0_);[Red]\(#,##0\)</c:formatCode>
                <c:ptCount val="10"/>
                <c:pt idx="0">
                  <c:v>32287.806065023695</c:v>
                </c:pt>
                <c:pt idx="1">
                  <c:v>31042.186973104042</c:v>
                </c:pt>
                <c:pt idx="2">
                  <c:v>38893.415058175633</c:v>
                </c:pt>
                <c:pt idx="3">
                  <c:v>33005.261943485486</c:v>
                </c:pt>
                <c:pt idx="4">
                  <c:v>35265.100615128773</c:v>
                </c:pt>
                <c:pt idx="5">
                  <c:v>33467.089602865897</c:v>
                </c:pt>
                <c:pt idx="6">
                  <c:v>35063.466538395849</c:v>
                </c:pt>
                <c:pt idx="7">
                  <c:v>34317.388173426982</c:v>
                </c:pt>
                <c:pt idx="8">
                  <c:v>32958.29534293725</c:v>
                </c:pt>
                <c:pt idx="9">
                  <c:v>34351.53729498895</c:v>
                </c:pt>
              </c:numCache>
            </c:numRef>
          </c:val>
          <c:extLst>
            <c:ext xmlns:c16="http://schemas.microsoft.com/office/drawing/2014/chart" uri="{C3380CC4-5D6E-409C-BE32-E72D297353CC}">
              <c16:uniqueId val="{00000001-CF06-4FD9-932D-1A97C00AFDA3}"/>
            </c:ext>
          </c:extLst>
        </c:ser>
        <c:dLbls>
          <c:showLegendKey val="0"/>
          <c:showVal val="0"/>
          <c:showCatName val="0"/>
          <c:showSerName val="0"/>
          <c:showPercent val="0"/>
          <c:showBubbleSize val="0"/>
        </c:dLbls>
        <c:gapWidth val="50"/>
        <c:axId val="1888171920"/>
        <c:axId val="1888169296"/>
      </c:barChart>
      <c:lineChart>
        <c:grouping val="standard"/>
        <c:varyColors val="0"/>
        <c:ser>
          <c:idx val="2"/>
          <c:order val="2"/>
          <c:tx>
            <c:v>Total Food Spending</c:v>
          </c:tx>
          <c:spPr>
            <a:ln w="22225" cap="rnd">
              <a:solidFill>
                <a:schemeClr val="tx1"/>
              </a:solidFill>
              <a:round/>
            </a:ln>
            <a:effectLst/>
          </c:spPr>
          <c:marker>
            <c:symbol val="circle"/>
            <c:size val="7"/>
            <c:spPr>
              <a:solidFill>
                <a:schemeClr val="tx1"/>
              </a:solidFill>
              <a:ln w="15875">
                <a:solidFill>
                  <a:schemeClr val="tx1"/>
                </a:solidFill>
              </a:ln>
              <a:effectLst/>
            </c:spPr>
          </c:marker>
          <c:val>
            <c:numRef>
              <c:f>'Chart Data'!$B$150:$K$150</c:f>
              <c:numCache>
                <c:formatCode>#,##0_);[Red]\(#,##0\)</c:formatCode>
                <c:ptCount val="10"/>
                <c:pt idx="0">
                  <c:v>145217.671875</c:v>
                </c:pt>
                <c:pt idx="1">
                  <c:v>144287.109375</c:v>
                </c:pt>
                <c:pt idx="2">
                  <c:v>145167.203125</c:v>
                </c:pt>
                <c:pt idx="3">
                  <c:v>113077.5390625</c:v>
                </c:pt>
                <c:pt idx="4">
                  <c:v>133825.046875</c:v>
                </c:pt>
                <c:pt idx="5">
                  <c:v>141275.8125</c:v>
                </c:pt>
                <c:pt idx="6">
                  <c:v>148297.21875</c:v>
                </c:pt>
                <c:pt idx="7">
                  <c:v>148369.09375</c:v>
                </c:pt>
                <c:pt idx="8">
                  <c:v>142416.90625</c:v>
                </c:pt>
                <c:pt idx="9">
                  <c:v>147849.34375</c:v>
                </c:pt>
              </c:numCache>
            </c:numRef>
          </c:val>
          <c:smooth val="0"/>
          <c:extLst>
            <c:ext xmlns:c16="http://schemas.microsoft.com/office/drawing/2014/chart" uri="{C3380CC4-5D6E-409C-BE32-E72D297353CC}">
              <c16:uniqueId val="{00000002-CF06-4FD9-932D-1A97C00AFDA3}"/>
            </c:ext>
          </c:extLst>
        </c:ser>
        <c:dLbls>
          <c:showLegendKey val="0"/>
          <c:showVal val="0"/>
          <c:showCatName val="0"/>
          <c:showSerName val="0"/>
          <c:showPercent val="0"/>
          <c:showBubbleSize val="0"/>
        </c:dLbls>
        <c:marker val="1"/>
        <c:smooth val="0"/>
        <c:axId val="1888170936"/>
        <c:axId val="1888173560"/>
      </c:lineChart>
      <c:catAx>
        <c:axId val="1888171920"/>
        <c:scaling>
          <c:orientation val="minMax"/>
        </c:scaling>
        <c:delete val="0"/>
        <c:axPos val="b"/>
        <c:numFmt formatCode="mmm" sourceLinked="0"/>
        <c:majorTickMark val="none"/>
        <c:minorTickMark val="none"/>
        <c:tickLblPos val="low"/>
        <c:spPr>
          <a:noFill/>
          <a:ln w="15875"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888169296"/>
        <c:crosses val="autoZero"/>
        <c:auto val="1"/>
        <c:lblAlgn val="ctr"/>
        <c:lblOffset val="100"/>
        <c:noMultiLvlLbl val="1"/>
      </c:catAx>
      <c:valAx>
        <c:axId val="1888169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b="1"/>
                  <a:t>(million</a:t>
                </a:r>
                <a:r>
                  <a:rPr lang="en-US" sz="1200" b="1" baseline="0"/>
                  <a:t> dollars)</a:t>
                </a:r>
                <a:endParaRPr lang="en-US"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888171920"/>
        <c:crosses val="autoZero"/>
        <c:crossBetween val="between"/>
      </c:valAx>
      <c:valAx>
        <c:axId val="1888173560"/>
        <c:scaling>
          <c:orientation val="minMax"/>
          <c:min val="0"/>
        </c:scaling>
        <c:delete val="0"/>
        <c:axPos val="r"/>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b="1"/>
                  <a:t>(million</a:t>
                </a:r>
                <a:r>
                  <a:rPr lang="en-US" sz="1200" b="1" baseline="0"/>
                  <a:t> dollars)</a:t>
                </a:r>
                <a:endParaRPr lang="en-US"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_);[Red]\(#,##0\)" sourceLinked="0"/>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888170936"/>
        <c:crosses val="max"/>
        <c:crossBetween val="between"/>
      </c:valAx>
      <c:catAx>
        <c:axId val="1888170936"/>
        <c:scaling>
          <c:orientation val="minMax"/>
        </c:scaling>
        <c:delete val="1"/>
        <c:axPos val="b"/>
        <c:majorTickMark val="out"/>
        <c:minorTickMark val="none"/>
        <c:tickLblPos val="nextTo"/>
        <c:crossAx val="1888173560"/>
        <c:crosses val="autoZero"/>
        <c:auto val="1"/>
        <c:lblAlgn val="ctr"/>
        <c:lblOffset val="100"/>
        <c:noMultiLvlLbl val="0"/>
      </c:catAx>
      <c:spPr>
        <a:noFill/>
        <a:ln w="15875">
          <a:solidFill>
            <a:srgbClr val="505A5B"/>
          </a:solidFill>
        </a:ln>
        <a:effectLst/>
      </c:spPr>
    </c:plotArea>
    <c:legend>
      <c:legendPos val="t"/>
      <c:layout>
        <c:manualLayout>
          <c:xMode val="edge"/>
          <c:yMode val="edge"/>
          <c:x val="0.5818098916171085"/>
          <c:y val="0.54617796669221652"/>
          <c:w val="0.26485240498398083"/>
          <c:h val="0.25309214224328147"/>
        </c:manualLayout>
      </c:layout>
      <c:overlay val="0"/>
      <c:spPr>
        <a:solidFill>
          <a:schemeClr val="bg1"/>
        </a:solidFill>
        <a:ln w="15875">
          <a:solidFill>
            <a:srgbClr val="505A5B"/>
          </a:solidFill>
        </a:ln>
        <a:effectLst/>
      </c:spPr>
      <c:txPr>
        <a:bodyPr rot="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9CBF8FD-B6DB-42FE-84A6-F0A4F955A526}">
  <sheetPr/>
  <sheetViews>
    <sheetView workbookViewId="0"/>
  </sheetViews>
  <pageMargins left="0.25" right="0.25" top="1.25" bottom="1.25" header="0.3" footer="0.3"/>
  <pageSetup orientation="landscape" horizontalDpi="300" verticalDpi="300"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AD6AA58-CE95-4DFF-BB89-27BF27368662}">
  <sheetPr/>
  <sheetViews>
    <sheetView workbookViewId="0"/>
  </sheetViews>
  <pageMargins left="0.25" right="0.25" top="1.25" bottom="1.25" header="0.3" footer="0.3"/>
  <pageSetup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DD3E8D6-846B-4568-B60D-627F1452B9DF}">
  <sheetPr/>
  <sheetViews>
    <sheetView workbookViewId="0"/>
  </sheetViews>
  <pageMargins left="0.25" right="0.25" top="1.25" bottom="1.25" header="0.3" footer="0.3"/>
  <pageSetup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17E755E8-F625-757F-F865-060F0581377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0.95223</cdr:y>
    </cdr:from>
    <cdr:to>
      <cdr:x>0.22164</cdr:x>
      <cdr:y>1</cdr:y>
    </cdr:to>
    <cdr:sp macro="" textlink="">
      <cdr:nvSpPr>
        <cdr:cNvPr id="2" name="TextBox 1">
          <a:extLst xmlns:a="http://schemas.openxmlformats.org/drawingml/2006/main">
            <a:ext uri="{FF2B5EF4-FFF2-40B4-BE49-F238E27FC236}">
              <a16:creationId xmlns:a16="http://schemas.microsoft.com/office/drawing/2014/main" id="{B9D3EA51-A635-BA49-09DD-CEA82CFB1696}"/>
            </a:ext>
          </a:extLst>
        </cdr:cNvPr>
        <cdr:cNvSpPr txBox="1"/>
      </cdr:nvSpPr>
      <cdr:spPr>
        <a:xfrm xmlns:a="http://schemas.openxmlformats.org/drawingml/2006/main">
          <a:off x="0" y="5118651"/>
          <a:ext cx="2103783" cy="256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rgbClr val="323232"/>
              </a:solidFill>
              <a:latin typeface="Aptos Display" panose="020B0004020202020204" pitchFamily="34" charset="0"/>
            </a:rPr>
            <a:t>Source: USDA,</a:t>
          </a:r>
          <a:r>
            <a:rPr lang="en-US" sz="1200" b="1" baseline="0">
              <a:solidFill>
                <a:srgbClr val="323232"/>
              </a:solidFill>
              <a:latin typeface="Aptos Display" panose="020B0004020202020204" pitchFamily="34" charset="0"/>
            </a:rPr>
            <a:t> Fastmarkets</a:t>
          </a:r>
          <a:endParaRPr lang="en-US" sz="1200" b="1">
            <a:solidFill>
              <a:srgbClr val="323232"/>
            </a:solidFill>
            <a:latin typeface="Aptos Display" panose="020B00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14</xdr:col>
      <xdr:colOff>523875</xdr:colOff>
      <xdr:row>10</xdr:row>
      <xdr:rowOff>157162</xdr:rowOff>
    </xdr:from>
    <xdr:to>
      <xdr:col>22</xdr:col>
      <xdr:colOff>219075</xdr:colOff>
      <xdr:row>25</xdr:row>
      <xdr:rowOff>42862</xdr:rowOff>
    </xdr:to>
    <xdr:graphicFrame macro="">
      <xdr:nvGraphicFramePr>
        <xdr:cNvPr id="2" name="Chart 1">
          <a:extLst>
            <a:ext uri="{FF2B5EF4-FFF2-40B4-BE49-F238E27FC236}">
              <a16:creationId xmlns:a16="http://schemas.microsoft.com/office/drawing/2014/main" id="{DA4EAE5E-81A0-4E96-BB8A-E954852CA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4F5048BE-20BF-FE08-3CA3-645052D27EA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0.01905</cdr:x>
      <cdr:y>0.94113</cdr:y>
    </cdr:from>
    <cdr:to>
      <cdr:x>0.30886</cdr:x>
      <cdr:y>0.99597</cdr:y>
    </cdr:to>
    <cdr:sp macro="" textlink="">
      <cdr:nvSpPr>
        <cdr:cNvPr id="2" name="TextBox 1">
          <a:extLst xmlns:a="http://schemas.openxmlformats.org/drawingml/2006/main">
            <a:ext uri="{FF2B5EF4-FFF2-40B4-BE49-F238E27FC236}">
              <a16:creationId xmlns:a16="http://schemas.microsoft.com/office/drawing/2014/main" id="{0A794B77-23B9-4228-9FEE-839822608BC1}"/>
            </a:ext>
          </a:extLst>
        </cdr:cNvPr>
        <cdr:cNvSpPr txBox="1"/>
      </cdr:nvSpPr>
      <cdr:spPr>
        <a:xfrm xmlns:a="http://schemas.openxmlformats.org/drawingml/2006/main">
          <a:off x="180975" y="5067300"/>
          <a:ext cx="2752725" cy="2952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a:latin typeface="Arial" panose="020B0604020202020204" pitchFamily="34" charset="0"/>
              <a:cs typeface="Arial" panose="020B0604020202020204" pitchFamily="34" charset="0"/>
            </a:rPr>
            <a:t>Source: USDA</a:t>
          </a:r>
        </a:p>
      </cdr:txBody>
    </cdr:sp>
  </cdr:relSizeAnchor>
</c:userShapes>
</file>

<file path=xl/drawings/drawing6.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E26A5573-7C5B-07AE-C236-393B2D02E9E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0.01905</cdr:x>
      <cdr:y>0.94113</cdr:y>
    </cdr:from>
    <cdr:to>
      <cdr:x>0.30886</cdr:x>
      <cdr:y>0.99597</cdr:y>
    </cdr:to>
    <cdr:sp macro="" textlink="">
      <cdr:nvSpPr>
        <cdr:cNvPr id="2" name="TextBox 1">
          <a:extLst xmlns:a="http://schemas.openxmlformats.org/drawingml/2006/main">
            <a:ext uri="{FF2B5EF4-FFF2-40B4-BE49-F238E27FC236}">
              <a16:creationId xmlns:a16="http://schemas.microsoft.com/office/drawing/2014/main" id="{0A794B77-23B9-4228-9FEE-839822608BC1}"/>
            </a:ext>
          </a:extLst>
        </cdr:cNvPr>
        <cdr:cNvSpPr txBox="1"/>
      </cdr:nvSpPr>
      <cdr:spPr>
        <a:xfrm xmlns:a="http://schemas.openxmlformats.org/drawingml/2006/main">
          <a:off x="180975" y="5067300"/>
          <a:ext cx="2752725" cy="2952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a:latin typeface="Arial" panose="020B0604020202020204" pitchFamily="34" charset="0"/>
              <a:cs typeface="Arial" panose="020B0604020202020204" pitchFamily="34" charset="0"/>
            </a:rPr>
            <a:t>Source: USDA</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orem\Dropbox\FM%20Files\HOBO\Biofuel%20Model\macrodata%20-%20HOBO.xlsx" TargetMode="External"/><Relationship Id="rId1" Type="http://schemas.openxmlformats.org/officeDocument/2006/relationships/externalLinkPath" Target="/Users/torem/Dropbox/FM%20Files/HOBO/Biofuel%20Model/macrodata%20-%20HOBO.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orem\Dropbox\FM%20Files\HOBO\Biofuel%20Model\usoilseedbal%20-%20HOBO.xlsx" TargetMode="External"/><Relationship Id="rId1" Type="http://schemas.openxmlformats.org/officeDocument/2006/relationships/externalLinkPath" Target="/Users/torem/Dropbox/FM%20Files/HOBO/Biofuel%20Model/usoilseedbal%20-%20HOB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sheetName val="Monthly Change Chart"/>
      <sheetName val="Food Expenditure Series"/>
      <sheetName val="Chart Data"/>
      <sheetName val="quarterly series"/>
      <sheetName val="Chart1"/>
      <sheetName val="Chart2"/>
      <sheetName val="World Macro Links"/>
      <sheetName val="Canadian GDP"/>
      <sheetName val="Canada Population"/>
      <sheetName val="Mexico GDP"/>
      <sheetName val="Mexico Population"/>
    </sheetNames>
    <sheetDataSet>
      <sheetData sheetId="0"/>
      <sheetData sheetId="2">
        <row r="6">
          <cell r="A6">
            <v>35431</v>
          </cell>
          <cell r="G6">
            <v>39145.07</v>
          </cell>
        </row>
        <row r="7">
          <cell r="A7">
            <v>35462</v>
          </cell>
          <cell r="G7">
            <v>37422.31</v>
          </cell>
          <cell r="I7">
            <v>-1722.760000000002</v>
          </cell>
        </row>
        <row r="8">
          <cell r="A8">
            <v>35490</v>
          </cell>
          <cell r="G8">
            <v>41720.9</v>
          </cell>
          <cell r="I8">
            <v>4298.5900000000038</v>
          </cell>
        </row>
        <row r="9">
          <cell r="A9">
            <v>35521</v>
          </cell>
          <cell r="G9">
            <v>40390.39</v>
          </cell>
          <cell r="I9">
            <v>-1330.510000000002</v>
          </cell>
        </row>
        <row r="10">
          <cell r="A10">
            <v>35551</v>
          </cell>
          <cell r="G10">
            <v>43522.38</v>
          </cell>
          <cell r="I10">
            <v>3131.989999999998</v>
          </cell>
        </row>
        <row r="11">
          <cell r="A11">
            <v>35582</v>
          </cell>
          <cell r="G11">
            <v>41788.199999999997</v>
          </cell>
          <cell r="I11">
            <v>-1734.1800000000003</v>
          </cell>
        </row>
        <row r="12">
          <cell r="A12">
            <v>35612</v>
          </cell>
          <cell r="G12">
            <v>43338.9</v>
          </cell>
          <cell r="I12">
            <v>1550.7000000000044</v>
          </cell>
        </row>
        <row r="13">
          <cell r="A13">
            <v>35643</v>
          </cell>
          <cell r="G13">
            <v>43573.66</v>
          </cell>
          <cell r="I13">
            <v>234.76000000000204</v>
          </cell>
        </row>
        <row r="14">
          <cell r="A14">
            <v>35674</v>
          </cell>
          <cell r="G14">
            <v>40565.839999999997</v>
          </cell>
          <cell r="I14">
            <v>-3007.820000000007</v>
          </cell>
        </row>
        <row r="15">
          <cell r="A15">
            <v>35704</v>
          </cell>
          <cell r="G15">
            <v>42036.73</v>
          </cell>
          <cell r="I15">
            <v>1470.8900000000067</v>
          </cell>
        </row>
        <row r="16">
          <cell r="A16">
            <v>35735</v>
          </cell>
          <cell r="G16">
            <v>40888.54</v>
          </cell>
          <cell r="I16">
            <v>-1148.1900000000023</v>
          </cell>
        </row>
        <row r="17">
          <cell r="A17">
            <v>35765</v>
          </cell>
          <cell r="G17">
            <v>43989.94</v>
          </cell>
          <cell r="I17">
            <v>3101.4000000000015</v>
          </cell>
        </row>
        <row r="18">
          <cell r="A18">
            <v>35796</v>
          </cell>
          <cell r="G18">
            <v>39340.26</v>
          </cell>
          <cell r="I18">
            <v>-4649.68</v>
          </cell>
        </row>
        <row r="19">
          <cell r="A19">
            <v>35827</v>
          </cell>
          <cell r="G19">
            <v>37513.14</v>
          </cell>
          <cell r="I19">
            <v>-1827.1200000000026</v>
          </cell>
        </row>
        <row r="20">
          <cell r="A20">
            <v>35855</v>
          </cell>
          <cell r="G20">
            <v>41101.14</v>
          </cell>
          <cell r="I20">
            <v>3588</v>
          </cell>
        </row>
        <row r="21">
          <cell r="A21">
            <v>35886</v>
          </cell>
          <cell r="G21">
            <v>41445.089999999997</v>
          </cell>
          <cell r="I21">
            <v>343.94999999999709</v>
          </cell>
        </row>
        <row r="22">
          <cell r="A22">
            <v>35916</v>
          </cell>
          <cell r="G22">
            <v>43758.31</v>
          </cell>
          <cell r="I22">
            <v>2313.2200000000012</v>
          </cell>
        </row>
        <row r="23">
          <cell r="A23">
            <v>35947</v>
          </cell>
          <cell r="G23">
            <v>42642.2</v>
          </cell>
          <cell r="I23">
            <v>-1116.1100000000006</v>
          </cell>
        </row>
        <row r="24">
          <cell r="A24">
            <v>35977</v>
          </cell>
          <cell r="G24">
            <v>44046.47</v>
          </cell>
          <cell r="I24">
            <v>1404.2700000000041</v>
          </cell>
        </row>
        <row r="25">
          <cell r="A25">
            <v>36008</v>
          </cell>
          <cell r="G25">
            <v>43477.03</v>
          </cell>
          <cell r="I25">
            <v>-569.44000000000233</v>
          </cell>
        </row>
        <row r="26">
          <cell r="A26">
            <v>36039</v>
          </cell>
          <cell r="G26">
            <v>41284.230000000003</v>
          </cell>
          <cell r="I26">
            <v>-2192.7999999999956</v>
          </cell>
        </row>
        <row r="27">
          <cell r="A27">
            <v>36069</v>
          </cell>
          <cell r="G27">
            <v>43133.09</v>
          </cell>
          <cell r="I27">
            <v>1848.8599999999933</v>
          </cell>
        </row>
        <row r="28">
          <cell r="A28">
            <v>36100</v>
          </cell>
          <cell r="G28">
            <v>41576.339999999997</v>
          </cell>
          <cell r="I28">
            <v>-1556.75</v>
          </cell>
        </row>
        <row r="29">
          <cell r="A29">
            <v>36130</v>
          </cell>
          <cell r="G29">
            <v>45770.879999999997</v>
          </cell>
          <cell r="I29">
            <v>4194.5400000000009</v>
          </cell>
        </row>
        <row r="30">
          <cell r="A30">
            <v>36161</v>
          </cell>
          <cell r="G30">
            <v>40047.94</v>
          </cell>
          <cell r="I30">
            <v>-5722.9399999999951</v>
          </cell>
        </row>
        <row r="31">
          <cell r="A31">
            <v>36192</v>
          </cell>
          <cell r="G31">
            <v>38701.21</v>
          </cell>
          <cell r="I31">
            <v>-1346.7300000000032</v>
          </cell>
        </row>
        <row r="32">
          <cell r="A32">
            <v>36220</v>
          </cell>
          <cell r="G32">
            <v>42713.4</v>
          </cell>
          <cell r="I32">
            <v>4012.1900000000023</v>
          </cell>
        </row>
        <row r="33">
          <cell r="A33">
            <v>36251</v>
          </cell>
          <cell r="G33">
            <v>42667.05</v>
          </cell>
          <cell r="I33">
            <v>-46.349999999998545</v>
          </cell>
        </row>
        <row r="34">
          <cell r="A34">
            <v>36281</v>
          </cell>
          <cell r="G34">
            <v>44699.73</v>
          </cell>
          <cell r="I34">
            <v>2032.6800000000003</v>
          </cell>
        </row>
        <row r="35">
          <cell r="A35">
            <v>36312</v>
          </cell>
          <cell r="G35">
            <v>43757.41</v>
          </cell>
          <cell r="I35">
            <v>-942.31999999999971</v>
          </cell>
        </row>
        <row r="36">
          <cell r="A36">
            <v>36342</v>
          </cell>
          <cell r="G36">
            <v>45558.27</v>
          </cell>
          <cell r="I36">
            <v>1800.8599999999933</v>
          </cell>
        </row>
        <row r="37">
          <cell r="A37">
            <v>36373</v>
          </cell>
          <cell r="G37">
            <v>44315.82</v>
          </cell>
          <cell r="I37">
            <v>-1242.4499999999971</v>
          </cell>
        </row>
        <row r="38">
          <cell r="A38">
            <v>36404</v>
          </cell>
          <cell r="G38">
            <v>42765.120000000003</v>
          </cell>
          <cell r="I38">
            <v>-1550.6999999999971</v>
          </cell>
        </row>
        <row r="39">
          <cell r="A39">
            <v>36434</v>
          </cell>
          <cell r="G39">
            <v>44175.73</v>
          </cell>
          <cell r="I39">
            <v>1410.6100000000006</v>
          </cell>
        </row>
        <row r="40">
          <cell r="A40">
            <v>36465</v>
          </cell>
          <cell r="G40">
            <v>43123.27</v>
          </cell>
          <cell r="I40">
            <v>-1052.4600000000064</v>
          </cell>
        </row>
        <row r="41">
          <cell r="A41">
            <v>36495</v>
          </cell>
          <cell r="G41">
            <v>48481.87</v>
          </cell>
          <cell r="I41">
            <v>5358.6000000000058</v>
          </cell>
        </row>
        <row r="42">
          <cell r="A42">
            <v>36526</v>
          </cell>
          <cell r="G42">
            <v>41002.589999999997</v>
          </cell>
          <cell r="I42">
            <v>-7479.2800000000061</v>
          </cell>
        </row>
        <row r="43">
          <cell r="A43">
            <v>36557</v>
          </cell>
          <cell r="G43">
            <v>41385.58</v>
          </cell>
          <cell r="I43">
            <v>382.99000000000524</v>
          </cell>
        </row>
        <row r="44">
          <cell r="A44">
            <v>36586</v>
          </cell>
          <cell r="G44">
            <v>45052.23</v>
          </cell>
          <cell r="I44">
            <v>3666.6500000000015</v>
          </cell>
        </row>
        <row r="45">
          <cell r="A45">
            <v>36617</v>
          </cell>
          <cell r="G45">
            <v>44441.23</v>
          </cell>
          <cell r="I45">
            <v>-611</v>
          </cell>
        </row>
        <row r="46">
          <cell r="A46">
            <v>36647</v>
          </cell>
          <cell r="G46">
            <v>45915.839999999997</v>
          </cell>
          <cell r="I46">
            <v>1474.6099999999933</v>
          </cell>
        </row>
        <row r="47">
          <cell r="A47">
            <v>36678</v>
          </cell>
          <cell r="G47">
            <v>46108.84</v>
          </cell>
          <cell r="I47">
            <v>193</v>
          </cell>
        </row>
        <row r="48">
          <cell r="A48">
            <v>36708</v>
          </cell>
          <cell r="G48">
            <v>46445.1</v>
          </cell>
          <cell r="I48">
            <v>336.26000000000204</v>
          </cell>
        </row>
        <row r="49">
          <cell r="A49">
            <v>36739</v>
          </cell>
          <cell r="G49">
            <v>46157.63</v>
          </cell>
          <cell r="I49">
            <v>-287.47000000000116</v>
          </cell>
        </row>
        <row r="50">
          <cell r="A50">
            <v>36770</v>
          </cell>
          <cell r="G50">
            <v>44600.89</v>
          </cell>
          <cell r="I50">
            <v>-1556.739999999998</v>
          </cell>
        </row>
        <row r="51">
          <cell r="A51">
            <v>36800</v>
          </cell>
          <cell r="G51">
            <v>44943.75</v>
          </cell>
          <cell r="I51">
            <v>342.86000000000058</v>
          </cell>
        </row>
        <row r="52">
          <cell r="A52">
            <v>36831</v>
          </cell>
          <cell r="G52">
            <v>44855.55</v>
          </cell>
          <cell r="I52">
            <v>-88.19999999999709</v>
          </cell>
        </row>
        <row r="53">
          <cell r="A53">
            <v>36861</v>
          </cell>
          <cell r="G53">
            <v>48952.85</v>
          </cell>
          <cell r="I53">
            <v>4097.2999999999956</v>
          </cell>
        </row>
        <row r="54">
          <cell r="A54">
            <v>36892</v>
          </cell>
          <cell r="G54">
            <v>42758.58</v>
          </cell>
          <cell r="I54">
            <v>-6194.2699999999968</v>
          </cell>
        </row>
        <row r="55">
          <cell r="A55">
            <v>36923</v>
          </cell>
          <cell r="G55">
            <v>41312.5</v>
          </cell>
          <cell r="I55">
            <v>-1446.0800000000017</v>
          </cell>
        </row>
        <row r="56">
          <cell r="A56">
            <v>36951</v>
          </cell>
          <cell r="G56">
            <v>45868.72</v>
          </cell>
          <cell r="I56">
            <v>4556.2200000000012</v>
          </cell>
        </row>
        <row r="57">
          <cell r="A57">
            <v>36982</v>
          </cell>
          <cell r="G57">
            <v>44504.88</v>
          </cell>
          <cell r="I57">
            <v>-1363.8400000000038</v>
          </cell>
        </row>
        <row r="58">
          <cell r="A58">
            <v>37012</v>
          </cell>
          <cell r="G58">
            <v>47110.14</v>
          </cell>
          <cell r="I58">
            <v>2605.260000000002</v>
          </cell>
        </row>
        <row r="59">
          <cell r="A59">
            <v>37043</v>
          </cell>
          <cell r="G59">
            <v>46649.66</v>
          </cell>
          <cell r="I59">
            <v>-460.47999999999593</v>
          </cell>
        </row>
        <row r="60">
          <cell r="A60">
            <v>37073</v>
          </cell>
          <cell r="G60">
            <v>46494.7</v>
          </cell>
          <cell r="I60">
            <v>-154.9600000000064</v>
          </cell>
        </row>
        <row r="61">
          <cell r="A61">
            <v>37104</v>
          </cell>
          <cell r="G61">
            <v>47397.13</v>
          </cell>
          <cell r="I61">
            <v>902.43000000000029</v>
          </cell>
        </row>
        <row r="62">
          <cell r="A62">
            <v>37135</v>
          </cell>
          <cell r="G62">
            <v>44088.04</v>
          </cell>
          <cell r="I62">
            <v>-3309.0899999999965</v>
          </cell>
        </row>
        <row r="63">
          <cell r="A63">
            <v>37165</v>
          </cell>
          <cell r="G63">
            <v>44954.41</v>
          </cell>
          <cell r="I63">
            <v>866.37000000000262</v>
          </cell>
        </row>
        <row r="64">
          <cell r="A64">
            <v>37196</v>
          </cell>
          <cell r="G64">
            <v>45081.9</v>
          </cell>
          <cell r="I64">
            <v>127.48999999999796</v>
          </cell>
        </row>
        <row r="65">
          <cell r="A65">
            <v>37226</v>
          </cell>
          <cell r="G65">
            <v>49364.36</v>
          </cell>
          <cell r="I65">
            <v>4282.4599999999991</v>
          </cell>
        </row>
        <row r="66">
          <cell r="A66">
            <v>37257</v>
          </cell>
          <cell r="G66">
            <v>42964.3</v>
          </cell>
          <cell r="I66">
            <v>-6400.0599999999977</v>
          </cell>
        </row>
        <row r="67">
          <cell r="A67">
            <v>37288</v>
          </cell>
          <cell r="G67">
            <v>41551.5</v>
          </cell>
          <cell r="I67">
            <v>-1412.8000000000029</v>
          </cell>
        </row>
        <row r="68">
          <cell r="A68">
            <v>37316</v>
          </cell>
          <cell r="G68">
            <v>46545.72</v>
          </cell>
          <cell r="I68">
            <v>4994.2200000000012</v>
          </cell>
        </row>
        <row r="69">
          <cell r="A69">
            <v>37347</v>
          </cell>
          <cell r="G69">
            <v>44514.54</v>
          </cell>
          <cell r="I69">
            <v>-2031.1800000000003</v>
          </cell>
        </row>
        <row r="70">
          <cell r="A70">
            <v>37377</v>
          </cell>
          <cell r="G70">
            <v>47864.4</v>
          </cell>
          <cell r="I70">
            <v>3349.8600000000006</v>
          </cell>
        </row>
        <row r="71">
          <cell r="A71">
            <v>37408</v>
          </cell>
          <cell r="G71">
            <v>46758.06</v>
          </cell>
          <cell r="I71">
            <v>-1106.3400000000038</v>
          </cell>
        </row>
        <row r="72">
          <cell r="A72">
            <v>37438</v>
          </cell>
          <cell r="G72">
            <v>47367.56</v>
          </cell>
          <cell r="I72">
            <v>609.5</v>
          </cell>
        </row>
        <row r="73">
          <cell r="A73">
            <v>37469</v>
          </cell>
          <cell r="G73">
            <v>48304.77</v>
          </cell>
          <cell r="I73">
            <v>937.20999999999913</v>
          </cell>
        </row>
        <row r="74">
          <cell r="A74">
            <v>37500</v>
          </cell>
          <cell r="G74">
            <v>44320.67</v>
          </cell>
          <cell r="I74">
            <v>-3984.0999999999985</v>
          </cell>
        </row>
        <row r="75">
          <cell r="A75">
            <v>37530</v>
          </cell>
          <cell r="G75">
            <v>46013.75</v>
          </cell>
          <cell r="I75">
            <v>1693.0800000000017</v>
          </cell>
        </row>
        <row r="76">
          <cell r="A76">
            <v>37561</v>
          </cell>
          <cell r="G76">
            <v>46444.67</v>
          </cell>
          <cell r="I76">
            <v>430.91999999999825</v>
          </cell>
        </row>
        <row r="77">
          <cell r="A77">
            <v>37591</v>
          </cell>
          <cell r="G77">
            <v>49509.11</v>
          </cell>
          <cell r="I77">
            <v>3064.4400000000023</v>
          </cell>
        </row>
        <row r="78">
          <cell r="A78">
            <v>37622</v>
          </cell>
          <cell r="G78">
            <v>44602.34</v>
          </cell>
          <cell r="I78">
            <v>-4906.7700000000041</v>
          </cell>
        </row>
        <row r="79">
          <cell r="A79">
            <v>37653</v>
          </cell>
          <cell r="G79">
            <v>42595.28</v>
          </cell>
          <cell r="I79">
            <v>-2007.0599999999977</v>
          </cell>
        </row>
        <row r="80">
          <cell r="A80">
            <v>37681</v>
          </cell>
          <cell r="G80">
            <v>47066.07</v>
          </cell>
          <cell r="I80">
            <v>4470.7900000000009</v>
          </cell>
        </row>
        <row r="81">
          <cell r="A81">
            <v>37712</v>
          </cell>
          <cell r="G81">
            <v>46133.4</v>
          </cell>
          <cell r="I81">
            <v>-932.66999999999825</v>
          </cell>
        </row>
        <row r="82">
          <cell r="A82">
            <v>37742</v>
          </cell>
          <cell r="G82">
            <v>49381.04</v>
          </cell>
          <cell r="I82">
            <v>3247.6399999999994</v>
          </cell>
        </row>
        <row r="83">
          <cell r="A83">
            <v>37773</v>
          </cell>
          <cell r="G83">
            <v>47386.95</v>
          </cell>
          <cell r="I83">
            <v>-1994.0900000000038</v>
          </cell>
        </row>
        <row r="84">
          <cell r="A84">
            <v>37803</v>
          </cell>
          <cell r="G84">
            <v>48993.32</v>
          </cell>
          <cell r="I84">
            <v>1606.3700000000026</v>
          </cell>
        </row>
        <row r="85">
          <cell r="A85">
            <v>37834</v>
          </cell>
          <cell r="G85">
            <v>49776.36</v>
          </cell>
          <cell r="I85">
            <v>783.04000000000087</v>
          </cell>
        </row>
        <row r="86">
          <cell r="A86">
            <v>37865</v>
          </cell>
          <cell r="G86">
            <v>45717.71</v>
          </cell>
          <cell r="I86">
            <v>-4058.6500000000015</v>
          </cell>
        </row>
        <row r="87">
          <cell r="A87">
            <v>37895</v>
          </cell>
          <cell r="G87">
            <v>47705.2</v>
          </cell>
          <cell r="I87">
            <v>1987.489999999998</v>
          </cell>
        </row>
        <row r="88">
          <cell r="A88">
            <v>37926</v>
          </cell>
          <cell r="G88">
            <v>47056.59</v>
          </cell>
          <cell r="I88">
            <v>-648.61000000000058</v>
          </cell>
        </row>
        <row r="89">
          <cell r="A89">
            <v>37956</v>
          </cell>
          <cell r="G89">
            <v>50456.61</v>
          </cell>
          <cell r="I89">
            <v>3400.0200000000041</v>
          </cell>
        </row>
        <row r="90">
          <cell r="A90">
            <v>37987</v>
          </cell>
          <cell r="G90">
            <v>46170.77</v>
          </cell>
          <cell r="I90">
            <v>-4285.8400000000038</v>
          </cell>
        </row>
        <row r="91">
          <cell r="A91">
            <v>38018</v>
          </cell>
          <cell r="G91">
            <v>45001.46</v>
          </cell>
          <cell r="I91">
            <v>-1169.3099999999977</v>
          </cell>
        </row>
        <row r="92">
          <cell r="A92">
            <v>38047</v>
          </cell>
          <cell r="G92">
            <v>48037.84</v>
          </cell>
          <cell r="I92">
            <v>3036.3799999999974</v>
          </cell>
        </row>
        <row r="93">
          <cell r="A93">
            <v>38078</v>
          </cell>
          <cell r="G93">
            <v>47954.73</v>
          </cell>
          <cell r="I93">
            <v>-83.109999999993306</v>
          </cell>
        </row>
        <row r="94">
          <cell r="A94">
            <v>38108</v>
          </cell>
          <cell r="G94">
            <v>49763.1</v>
          </cell>
          <cell r="I94">
            <v>1808.3699999999953</v>
          </cell>
        </row>
        <row r="95">
          <cell r="A95">
            <v>38139</v>
          </cell>
          <cell r="G95">
            <v>48402.8</v>
          </cell>
          <cell r="I95">
            <v>-1360.2999999999956</v>
          </cell>
        </row>
        <row r="96">
          <cell r="A96">
            <v>38169</v>
          </cell>
          <cell r="G96">
            <v>50451.47</v>
          </cell>
          <cell r="I96">
            <v>2048.6699999999983</v>
          </cell>
        </row>
        <row r="97">
          <cell r="A97">
            <v>38200</v>
          </cell>
          <cell r="G97">
            <v>49062.71</v>
          </cell>
          <cell r="I97">
            <v>-1388.760000000002</v>
          </cell>
        </row>
        <row r="98">
          <cell r="A98">
            <v>38231</v>
          </cell>
          <cell r="G98">
            <v>47318.239999999998</v>
          </cell>
          <cell r="I98">
            <v>-1744.4700000000012</v>
          </cell>
        </row>
        <row r="99">
          <cell r="A99">
            <v>38261</v>
          </cell>
          <cell r="G99">
            <v>49069.77</v>
          </cell>
          <cell r="I99">
            <v>1751.5299999999988</v>
          </cell>
        </row>
        <row r="100">
          <cell r="A100">
            <v>38292</v>
          </cell>
          <cell r="G100">
            <v>48038.09</v>
          </cell>
          <cell r="I100">
            <v>-1031.6800000000003</v>
          </cell>
        </row>
        <row r="101">
          <cell r="A101">
            <v>38322</v>
          </cell>
          <cell r="G101">
            <v>53372.77</v>
          </cell>
          <cell r="I101">
            <v>5334.68</v>
          </cell>
        </row>
        <row r="102">
          <cell r="A102">
            <v>38353</v>
          </cell>
          <cell r="G102">
            <v>46659.28</v>
          </cell>
          <cell r="I102">
            <v>-6713.489999999998</v>
          </cell>
        </row>
        <row r="103">
          <cell r="A103">
            <v>38384</v>
          </cell>
          <cell r="G103">
            <v>45296.41</v>
          </cell>
          <cell r="I103">
            <v>-1362.8699999999953</v>
          </cell>
        </row>
        <row r="104">
          <cell r="A104">
            <v>38412</v>
          </cell>
          <cell r="G104">
            <v>50038.96</v>
          </cell>
          <cell r="I104">
            <v>4742.5499999999956</v>
          </cell>
        </row>
        <row r="105">
          <cell r="A105">
            <v>38443</v>
          </cell>
          <cell r="G105">
            <v>49430.9</v>
          </cell>
          <cell r="I105">
            <v>-608.05999999999767</v>
          </cell>
        </row>
        <row r="106">
          <cell r="A106">
            <v>38473</v>
          </cell>
          <cell r="G106">
            <v>50964.72</v>
          </cell>
          <cell r="I106">
            <v>1533.8199999999997</v>
          </cell>
        </row>
        <row r="107">
          <cell r="A107">
            <v>38504</v>
          </cell>
          <cell r="G107">
            <v>50599.839999999997</v>
          </cell>
          <cell r="I107">
            <v>-364.88000000000466</v>
          </cell>
        </row>
        <row r="108">
          <cell r="A108">
            <v>38534</v>
          </cell>
          <cell r="G108">
            <v>51970.239999999998</v>
          </cell>
          <cell r="I108">
            <v>1370.4000000000015</v>
          </cell>
        </row>
        <row r="109">
          <cell r="A109">
            <v>38565</v>
          </cell>
          <cell r="G109">
            <v>51449.120000000003</v>
          </cell>
          <cell r="I109">
            <v>-521.11999999999534</v>
          </cell>
        </row>
        <row r="110">
          <cell r="A110">
            <v>38596</v>
          </cell>
          <cell r="G110">
            <v>49527.03</v>
          </cell>
          <cell r="I110">
            <v>-1922.0900000000038</v>
          </cell>
        </row>
        <row r="111">
          <cell r="A111">
            <v>38626</v>
          </cell>
          <cell r="G111">
            <v>50751.57</v>
          </cell>
          <cell r="I111">
            <v>1224.5400000000009</v>
          </cell>
        </row>
        <row r="112">
          <cell r="A112">
            <v>38657</v>
          </cell>
          <cell r="G112">
            <v>49934.63</v>
          </cell>
          <cell r="I112">
            <v>-816.94000000000233</v>
          </cell>
        </row>
        <row r="113">
          <cell r="A113">
            <v>38687</v>
          </cell>
          <cell r="G113">
            <v>55455.96</v>
          </cell>
          <cell r="I113">
            <v>5521.3300000000017</v>
          </cell>
        </row>
        <row r="114">
          <cell r="A114">
            <v>38718</v>
          </cell>
          <cell r="G114">
            <v>48214.53</v>
          </cell>
          <cell r="I114">
            <v>-7241.43</v>
          </cell>
        </row>
        <row r="115">
          <cell r="A115">
            <v>38749</v>
          </cell>
          <cell r="G115">
            <v>46750.32</v>
          </cell>
          <cell r="I115">
            <v>-1464.2099999999991</v>
          </cell>
        </row>
        <row r="116">
          <cell r="A116">
            <v>38777</v>
          </cell>
          <cell r="G116">
            <v>51737.57</v>
          </cell>
          <cell r="I116">
            <v>4987.25</v>
          </cell>
        </row>
        <row r="117">
          <cell r="A117">
            <v>38808</v>
          </cell>
          <cell r="G117">
            <v>51168.39</v>
          </cell>
          <cell r="I117">
            <v>-569.18000000000029</v>
          </cell>
        </row>
        <row r="118">
          <cell r="A118">
            <v>38838</v>
          </cell>
          <cell r="G118">
            <v>53191.39</v>
          </cell>
          <cell r="I118">
            <v>2023</v>
          </cell>
        </row>
        <row r="119">
          <cell r="A119">
            <v>38869</v>
          </cell>
          <cell r="G119">
            <v>52477.43</v>
          </cell>
          <cell r="I119">
            <v>-713.95999999999913</v>
          </cell>
        </row>
        <row r="120">
          <cell r="A120">
            <v>38899</v>
          </cell>
          <cell r="G120">
            <v>53038.12</v>
          </cell>
          <cell r="I120">
            <v>560.69000000000233</v>
          </cell>
        </row>
        <row r="121">
          <cell r="A121">
            <v>38930</v>
          </cell>
          <cell r="G121">
            <v>53300.5</v>
          </cell>
          <cell r="I121">
            <v>262.37999999999738</v>
          </cell>
        </row>
        <row r="122">
          <cell r="A122">
            <v>38961</v>
          </cell>
          <cell r="G122">
            <v>50741.23</v>
          </cell>
          <cell r="I122">
            <v>-2559.2699999999968</v>
          </cell>
        </row>
        <row r="123">
          <cell r="A123">
            <v>38991</v>
          </cell>
          <cell r="G123">
            <v>51346.22</v>
          </cell>
          <cell r="I123">
            <v>604.98999999999796</v>
          </cell>
        </row>
        <row r="124">
          <cell r="A124">
            <v>39022</v>
          </cell>
          <cell r="G124">
            <v>51228.75</v>
          </cell>
          <cell r="I124">
            <v>-117.47000000000116</v>
          </cell>
        </row>
        <row r="125">
          <cell r="A125">
            <v>39052</v>
          </cell>
          <cell r="G125">
            <v>57449.91</v>
          </cell>
          <cell r="I125">
            <v>6221.1600000000035</v>
          </cell>
        </row>
        <row r="126">
          <cell r="A126">
            <v>39083</v>
          </cell>
          <cell r="G126">
            <v>49505.53</v>
          </cell>
          <cell r="I126">
            <v>-7944.3800000000047</v>
          </cell>
        </row>
        <row r="127">
          <cell r="A127">
            <v>39114</v>
          </cell>
          <cell r="G127">
            <v>47673.88</v>
          </cell>
          <cell r="I127">
            <v>-1831.6500000000015</v>
          </cell>
        </row>
        <row r="128">
          <cell r="A128">
            <v>39142</v>
          </cell>
          <cell r="G128">
            <v>53348.23</v>
          </cell>
          <cell r="I128">
            <v>5674.3500000000058</v>
          </cell>
        </row>
        <row r="129">
          <cell r="A129">
            <v>39173</v>
          </cell>
          <cell r="G129">
            <v>51246.62</v>
          </cell>
          <cell r="I129">
            <v>-2101.6100000000006</v>
          </cell>
        </row>
        <row r="130">
          <cell r="A130">
            <v>39203</v>
          </cell>
          <cell r="G130">
            <v>54192.639999999999</v>
          </cell>
          <cell r="I130">
            <v>2946.0199999999968</v>
          </cell>
        </row>
        <row r="131">
          <cell r="A131">
            <v>39234</v>
          </cell>
          <cell r="G131">
            <v>53654.12</v>
          </cell>
          <cell r="I131">
            <v>-538.5199999999968</v>
          </cell>
        </row>
        <row r="132">
          <cell r="A132">
            <v>39264</v>
          </cell>
          <cell r="G132">
            <v>53483.73</v>
          </cell>
          <cell r="I132">
            <v>-170.38999999999942</v>
          </cell>
        </row>
        <row r="133">
          <cell r="A133">
            <v>39295</v>
          </cell>
          <cell r="G133">
            <v>53975.16</v>
          </cell>
          <cell r="I133">
            <v>491.43000000000029</v>
          </cell>
        </row>
        <row r="134">
          <cell r="A134">
            <v>39326</v>
          </cell>
          <cell r="G134">
            <v>50730.16</v>
          </cell>
          <cell r="I134">
            <v>-3245</v>
          </cell>
        </row>
        <row r="135">
          <cell r="A135">
            <v>39356</v>
          </cell>
          <cell r="G135">
            <v>51900.13</v>
          </cell>
          <cell r="I135">
            <v>1169.9699999999939</v>
          </cell>
        </row>
        <row r="136">
          <cell r="A136">
            <v>39387</v>
          </cell>
          <cell r="G136">
            <v>52253.03</v>
          </cell>
          <cell r="I136">
            <v>352.90000000000146</v>
          </cell>
        </row>
        <row r="137">
          <cell r="A137">
            <v>39417</v>
          </cell>
          <cell r="G137">
            <v>57186.36</v>
          </cell>
          <cell r="I137">
            <v>4933.3300000000017</v>
          </cell>
        </row>
        <row r="138">
          <cell r="A138">
            <v>39448</v>
          </cell>
          <cell r="G138">
            <v>49781.61</v>
          </cell>
          <cell r="I138">
            <v>-7404.75</v>
          </cell>
        </row>
        <row r="139">
          <cell r="A139">
            <v>39479</v>
          </cell>
          <cell r="G139">
            <v>49308.54</v>
          </cell>
          <cell r="I139">
            <v>-473.06999999999971</v>
          </cell>
        </row>
        <row r="140">
          <cell r="A140">
            <v>39508</v>
          </cell>
          <cell r="G140">
            <v>52729.52</v>
          </cell>
          <cell r="I140">
            <v>3420.9799999999959</v>
          </cell>
        </row>
        <row r="141">
          <cell r="A141">
            <v>39539</v>
          </cell>
          <cell r="G141">
            <v>50905.77</v>
          </cell>
          <cell r="I141">
            <v>-1823.75</v>
          </cell>
        </row>
        <row r="142">
          <cell r="A142">
            <v>39569</v>
          </cell>
          <cell r="G142">
            <v>54984.36</v>
          </cell>
          <cell r="I142">
            <v>4078.5900000000038</v>
          </cell>
        </row>
        <row r="143">
          <cell r="A143">
            <v>39600</v>
          </cell>
          <cell r="G143">
            <v>52490.080000000002</v>
          </cell>
          <cell r="I143">
            <v>-2494.2799999999988</v>
          </cell>
        </row>
        <row r="144">
          <cell r="A144">
            <v>39630</v>
          </cell>
          <cell r="G144">
            <v>53212.2</v>
          </cell>
          <cell r="I144">
            <v>722.11999999999534</v>
          </cell>
        </row>
        <row r="145">
          <cell r="A145">
            <v>39661</v>
          </cell>
          <cell r="G145">
            <v>53421.65</v>
          </cell>
          <cell r="I145">
            <v>209.45000000000437</v>
          </cell>
        </row>
        <row r="146">
          <cell r="A146">
            <v>39692</v>
          </cell>
          <cell r="G146">
            <v>49112.71</v>
          </cell>
          <cell r="I146">
            <v>-4308.9400000000023</v>
          </cell>
        </row>
        <row r="147">
          <cell r="A147">
            <v>39722</v>
          </cell>
          <cell r="G147">
            <v>50523.55</v>
          </cell>
          <cell r="I147">
            <v>1410.8400000000038</v>
          </cell>
        </row>
        <row r="148">
          <cell r="A148">
            <v>39753</v>
          </cell>
          <cell r="G148">
            <v>49400.2</v>
          </cell>
          <cell r="I148">
            <v>-1123.3500000000058</v>
          </cell>
        </row>
        <row r="149">
          <cell r="A149">
            <v>39783</v>
          </cell>
          <cell r="G149">
            <v>52480.03</v>
          </cell>
          <cell r="I149">
            <v>3079.8300000000017</v>
          </cell>
        </row>
        <row r="150">
          <cell r="A150">
            <v>39814</v>
          </cell>
          <cell r="G150">
            <v>47840.25</v>
          </cell>
          <cell r="I150">
            <v>-4639.7799999999988</v>
          </cell>
        </row>
        <row r="151">
          <cell r="A151">
            <v>39845</v>
          </cell>
          <cell r="G151">
            <v>45220.73</v>
          </cell>
          <cell r="I151">
            <v>-2619.5199999999968</v>
          </cell>
        </row>
        <row r="152">
          <cell r="A152">
            <v>39873</v>
          </cell>
          <cell r="G152">
            <v>48914.87</v>
          </cell>
          <cell r="I152">
            <v>3694.1399999999994</v>
          </cell>
        </row>
        <row r="153">
          <cell r="A153">
            <v>39904</v>
          </cell>
          <cell r="G153">
            <v>48843.8</v>
          </cell>
          <cell r="I153">
            <v>-71.069999999999709</v>
          </cell>
        </row>
        <row r="154">
          <cell r="A154">
            <v>39934</v>
          </cell>
          <cell r="G154">
            <v>51937.75</v>
          </cell>
          <cell r="I154">
            <v>3093.9499999999971</v>
          </cell>
        </row>
        <row r="155">
          <cell r="A155">
            <v>39965</v>
          </cell>
          <cell r="G155">
            <v>50017.14</v>
          </cell>
          <cell r="I155">
            <v>-1920.6100000000006</v>
          </cell>
        </row>
        <row r="156">
          <cell r="A156">
            <v>39995</v>
          </cell>
          <cell r="G156">
            <v>51353.53</v>
          </cell>
          <cell r="I156">
            <v>1336.3899999999994</v>
          </cell>
        </row>
        <row r="157">
          <cell r="A157">
            <v>40026</v>
          </cell>
          <cell r="G157">
            <v>50965.06</v>
          </cell>
          <cell r="I157">
            <v>-388.47000000000116</v>
          </cell>
        </row>
        <row r="158">
          <cell r="A158">
            <v>40057</v>
          </cell>
          <cell r="G158">
            <v>48177.65</v>
          </cell>
          <cell r="I158">
            <v>-2787.4099999999962</v>
          </cell>
        </row>
        <row r="159">
          <cell r="A159">
            <v>40087</v>
          </cell>
          <cell r="G159">
            <v>50285.26</v>
          </cell>
          <cell r="I159">
            <v>2107.6100000000006</v>
          </cell>
        </row>
        <row r="160">
          <cell r="A160">
            <v>40118</v>
          </cell>
          <cell r="G160">
            <v>49144.46</v>
          </cell>
          <cell r="I160">
            <v>-1140.8000000000029</v>
          </cell>
        </row>
        <row r="161">
          <cell r="A161">
            <v>40148</v>
          </cell>
          <cell r="G161">
            <v>53773.84</v>
          </cell>
          <cell r="I161">
            <v>4629.3799999999974</v>
          </cell>
        </row>
        <row r="162">
          <cell r="A162">
            <v>40179</v>
          </cell>
          <cell r="G162">
            <v>47956.1</v>
          </cell>
          <cell r="I162">
            <v>-5817.739999999998</v>
          </cell>
        </row>
        <row r="163">
          <cell r="A163">
            <v>40210</v>
          </cell>
          <cell r="G163">
            <v>46585.13</v>
          </cell>
          <cell r="I163">
            <v>-1370.9700000000012</v>
          </cell>
        </row>
        <row r="164">
          <cell r="A164">
            <v>40238</v>
          </cell>
          <cell r="G164">
            <v>50904.34</v>
          </cell>
          <cell r="I164">
            <v>4319.2099999999991</v>
          </cell>
        </row>
        <row r="165">
          <cell r="A165">
            <v>40269</v>
          </cell>
          <cell r="G165">
            <v>50196.79</v>
          </cell>
          <cell r="I165">
            <v>-707.54999999999563</v>
          </cell>
        </row>
        <row r="166">
          <cell r="A166">
            <v>40299</v>
          </cell>
          <cell r="G166">
            <v>52386.34</v>
          </cell>
          <cell r="I166">
            <v>2189.5499999999956</v>
          </cell>
        </row>
        <row r="167">
          <cell r="A167">
            <v>40330</v>
          </cell>
          <cell r="G167">
            <v>50787.81</v>
          </cell>
          <cell r="I167">
            <v>-1598.5299999999988</v>
          </cell>
        </row>
        <row r="168">
          <cell r="A168">
            <v>40360</v>
          </cell>
          <cell r="G168">
            <v>52473.29</v>
          </cell>
          <cell r="I168">
            <v>1685.4800000000032</v>
          </cell>
        </row>
        <row r="169">
          <cell r="A169">
            <v>40391</v>
          </cell>
          <cell r="G169">
            <v>51545.95</v>
          </cell>
          <cell r="I169">
            <v>-927.34000000000378</v>
          </cell>
        </row>
        <row r="170">
          <cell r="A170">
            <v>40422</v>
          </cell>
          <cell r="G170">
            <v>49180.89</v>
          </cell>
          <cell r="I170">
            <v>-2365.0599999999977</v>
          </cell>
        </row>
        <row r="171">
          <cell r="A171">
            <v>40452</v>
          </cell>
          <cell r="G171">
            <v>51031.199999999997</v>
          </cell>
          <cell r="I171">
            <v>1850.3099999999977</v>
          </cell>
        </row>
        <row r="172">
          <cell r="A172">
            <v>40483</v>
          </cell>
          <cell r="G172">
            <v>50372.63</v>
          </cell>
          <cell r="I172">
            <v>-658.56999999999971</v>
          </cell>
        </row>
        <row r="173">
          <cell r="A173">
            <v>40513</v>
          </cell>
          <cell r="G173">
            <v>55166.9</v>
          </cell>
          <cell r="I173">
            <v>4794.2700000000041</v>
          </cell>
        </row>
        <row r="174">
          <cell r="A174">
            <v>40544</v>
          </cell>
          <cell r="G174">
            <v>48800.89</v>
          </cell>
          <cell r="I174">
            <v>-6366.010000000002</v>
          </cell>
        </row>
        <row r="175">
          <cell r="A175">
            <v>40575</v>
          </cell>
          <cell r="G175">
            <v>47613.93</v>
          </cell>
          <cell r="I175">
            <v>-1186.9599999999991</v>
          </cell>
        </row>
        <row r="176">
          <cell r="A176">
            <v>40603</v>
          </cell>
          <cell r="G176">
            <v>52182.17</v>
          </cell>
          <cell r="I176">
            <v>4568.239999999998</v>
          </cell>
        </row>
        <row r="177">
          <cell r="A177">
            <v>40634</v>
          </cell>
          <cell r="G177">
            <v>52153.61</v>
          </cell>
          <cell r="I177">
            <v>-28.559999999997672</v>
          </cell>
        </row>
        <row r="178">
          <cell r="A178">
            <v>40664</v>
          </cell>
          <cell r="G178">
            <v>53286.8</v>
          </cell>
          <cell r="I178">
            <v>1133.1900000000023</v>
          </cell>
        </row>
        <row r="179">
          <cell r="A179">
            <v>40695</v>
          </cell>
          <cell r="G179">
            <v>52488.82</v>
          </cell>
          <cell r="I179">
            <v>-797.9800000000032</v>
          </cell>
        </row>
        <row r="180">
          <cell r="A180">
            <v>40725</v>
          </cell>
          <cell r="G180">
            <v>53496.13</v>
          </cell>
          <cell r="I180">
            <v>1007.3099999999977</v>
          </cell>
        </row>
        <row r="181">
          <cell r="A181">
            <v>40756</v>
          </cell>
          <cell r="G181">
            <v>52584.73</v>
          </cell>
          <cell r="I181">
            <v>-911.39999999999418</v>
          </cell>
        </row>
        <row r="182">
          <cell r="A182">
            <v>40787</v>
          </cell>
          <cell r="G182">
            <v>50378.75</v>
          </cell>
          <cell r="I182">
            <v>-2205.9800000000032</v>
          </cell>
        </row>
        <row r="183">
          <cell r="A183">
            <v>40817</v>
          </cell>
          <cell r="G183">
            <v>51568.2</v>
          </cell>
          <cell r="I183">
            <v>1189.4499999999971</v>
          </cell>
        </row>
        <row r="184">
          <cell r="A184">
            <v>40848</v>
          </cell>
          <cell r="G184">
            <v>50941.89</v>
          </cell>
          <cell r="I184">
            <v>-626.30999999999767</v>
          </cell>
        </row>
        <row r="185">
          <cell r="A185">
            <v>40878</v>
          </cell>
          <cell r="G185">
            <v>55798.59</v>
          </cell>
          <cell r="I185">
            <v>4856.6999999999971</v>
          </cell>
        </row>
        <row r="186">
          <cell r="A186">
            <v>40909</v>
          </cell>
          <cell r="G186">
            <v>50052.77</v>
          </cell>
          <cell r="I186">
            <v>-5745.82</v>
          </cell>
        </row>
        <row r="187">
          <cell r="A187">
            <v>40940</v>
          </cell>
          <cell r="G187">
            <v>50739.08</v>
          </cell>
          <cell r="I187">
            <v>686.31000000000495</v>
          </cell>
        </row>
        <row r="188">
          <cell r="A188">
            <v>40969</v>
          </cell>
          <cell r="G188">
            <v>55048.88</v>
          </cell>
          <cell r="I188">
            <v>4309.7999999999956</v>
          </cell>
        </row>
        <row r="189">
          <cell r="A189">
            <v>41000</v>
          </cell>
          <cell r="G189">
            <v>52929.79</v>
          </cell>
          <cell r="I189">
            <v>-2119.0899999999965</v>
          </cell>
        </row>
        <row r="190">
          <cell r="A190">
            <v>41030</v>
          </cell>
          <cell r="G190">
            <v>55379</v>
          </cell>
          <cell r="I190">
            <v>2449.2099999999991</v>
          </cell>
        </row>
        <row r="191">
          <cell r="A191">
            <v>41061</v>
          </cell>
          <cell r="G191">
            <v>54366.58</v>
          </cell>
          <cell r="I191">
            <v>-1012.4199999999983</v>
          </cell>
        </row>
        <row r="192">
          <cell r="A192">
            <v>41091</v>
          </cell>
          <cell r="G192">
            <v>54192</v>
          </cell>
          <cell r="I192">
            <v>-174.58000000000175</v>
          </cell>
        </row>
        <row r="193">
          <cell r="A193">
            <v>41122</v>
          </cell>
          <cell r="G193">
            <v>54970.48</v>
          </cell>
          <cell r="I193">
            <v>778.4800000000032</v>
          </cell>
        </row>
        <row r="194">
          <cell r="A194">
            <v>41153</v>
          </cell>
          <cell r="G194">
            <v>52111.99</v>
          </cell>
          <cell r="I194">
            <v>-2858.4900000000052</v>
          </cell>
        </row>
        <row r="195">
          <cell r="A195">
            <v>41183</v>
          </cell>
          <cell r="G195">
            <v>53246.48</v>
          </cell>
          <cell r="I195">
            <v>1134.4900000000052</v>
          </cell>
        </row>
        <row r="196">
          <cell r="A196">
            <v>41214</v>
          </cell>
          <cell r="G196">
            <v>53519.76</v>
          </cell>
          <cell r="I196">
            <v>273.27999999999884</v>
          </cell>
        </row>
        <row r="197">
          <cell r="A197">
            <v>41244</v>
          </cell>
          <cell r="G197">
            <v>57647.21</v>
          </cell>
          <cell r="I197">
            <v>4127.4499999999971</v>
          </cell>
        </row>
        <row r="198">
          <cell r="A198">
            <v>41275</v>
          </cell>
          <cell r="G198">
            <v>51946.06</v>
          </cell>
          <cell r="I198">
            <v>-5701.1500000000015</v>
          </cell>
        </row>
        <row r="199">
          <cell r="A199">
            <v>41306</v>
          </cell>
          <cell r="G199">
            <v>50725.599999999999</v>
          </cell>
          <cell r="I199">
            <v>-1220.4599999999991</v>
          </cell>
        </row>
        <row r="200">
          <cell r="A200">
            <v>41334</v>
          </cell>
          <cell r="G200">
            <v>56895.839999999997</v>
          </cell>
          <cell r="I200">
            <v>6170.239999999998</v>
          </cell>
        </row>
        <row r="201">
          <cell r="A201">
            <v>41365</v>
          </cell>
          <cell r="G201">
            <v>53553.18</v>
          </cell>
          <cell r="I201">
            <v>-3342.6599999999962</v>
          </cell>
        </row>
        <row r="202">
          <cell r="A202">
            <v>41395</v>
          </cell>
          <cell r="G202">
            <v>57133.84</v>
          </cell>
          <cell r="I202">
            <v>3580.6599999999962</v>
          </cell>
        </row>
        <row r="203">
          <cell r="A203">
            <v>41426</v>
          </cell>
          <cell r="G203">
            <v>55249.279999999999</v>
          </cell>
          <cell r="I203">
            <v>-1884.5599999999977</v>
          </cell>
        </row>
        <row r="204">
          <cell r="A204">
            <v>41456</v>
          </cell>
          <cell r="G204">
            <v>55693.31</v>
          </cell>
          <cell r="I204">
            <v>444.02999999999884</v>
          </cell>
        </row>
        <row r="205">
          <cell r="A205">
            <v>41487</v>
          </cell>
          <cell r="G205">
            <v>56789.93</v>
          </cell>
          <cell r="I205">
            <v>1096.6200000000026</v>
          </cell>
        </row>
        <row r="206">
          <cell r="A206">
            <v>41518</v>
          </cell>
          <cell r="G206">
            <v>52806.32</v>
          </cell>
          <cell r="I206">
            <v>-3983.6100000000006</v>
          </cell>
        </row>
        <row r="207">
          <cell r="A207">
            <v>41548</v>
          </cell>
          <cell r="G207">
            <v>55151.63</v>
          </cell>
          <cell r="I207">
            <v>2345.3099999999977</v>
          </cell>
        </row>
        <row r="208">
          <cell r="A208">
            <v>41579</v>
          </cell>
          <cell r="G208">
            <v>55842.26</v>
          </cell>
          <cell r="I208">
            <v>690.63000000000466</v>
          </cell>
        </row>
        <row r="209">
          <cell r="A209">
            <v>41609</v>
          </cell>
          <cell r="G209">
            <v>59172.18</v>
          </cell>
          <cell r="I209">
            <v>3329.9199999999983</v>
          </cell>
        </row>
        <row r="210">
          <cell r="A210">
            <v>41640</v>
          </cell>
          <cell r="G210">
            <v>53814.89</v>
          </cell>
          <cell r="I210">
            <v>-5357.2900000000009</v>
          </cell>
        </row>
        <row r="211">
          <cell r="A211">
            <v>41671</v>
          </cell>
          <cell r="G211">
            <v>51970.91</v>
          </cell>
          <cell r="I211">
            <v>-1843.9799999999959</v>
          </cell>
        </row>
        <row r="212">
          <cell r="A212">
            <v>41699</v>
          </cell>
          <cell r="G212">
            <v>57633.95</v>
          </cell>
          <cell r="I212">
            <v>5663.0399999999936</v>
          </cell>
        </row>
        <row r="213">
          <cell r="A213">
            <v>41730</v>
          </cell>
          <cell r="G213">
            <v>56270.080000000002</v>
          </cell>
          <cell r="I213">
            <v>-1363.8699999999953</v>
          </cell>
        </row>
        <row r="214">
          <cell r="A214">
            <v>41760</v>
          </cell>
          <cell r="G214">
            <v>59692.54</v>
          </cell>
          <cell r="I214">
            <v>3422.4599999999991</v>
          </cell>
        </row>
        <row r="215">
          <cell r="A215">
            <v>41791</v>
          </cell>
          <cell r="G215">
            <v>56901.88</v>
          </cell>
          <cell r="I215">
            <v>-2790.6600000000035</v>
          </cell>
        </row>
        <row r="216">
          <cell r="A216">
            <v>41821</v>
          </cell>
          <cell r="G216">
            <v>58021.32</v>
          </cell>
          <cell r="I216">
            <v>1119.4400000000023</v>
          </cell>
        </row>
        <row r="217">
          <cell r="A217">
            <v>41852</v>
          </cell>
          <cell r="G217">
            <v>58844.72</v>
          </cell>
          <cell r="I217">
            <v>823.40000000000146</v>
          </cell>
        </row>
        <row r="218">
          <cell r="A218">
            <v>41883</v>
          </cell>
          <cell r="G218">
            <v>54896.06</v>
          </cell>
          <cell r="I218">
            <v>-3948.6600000000035</v>
          </cell>
        </row>
        <row r="219">
          <cell r="A219">
            <v>41913</v>
          </cell>
          <cell r="G219">
            <v>57714.96</v>
          </cell>
          <cell r="I219">
            <v>2818.9000000000015</v>
          </cell>
        </row>
        <row r="220">
          <cell r="A220">
            <v>41944</v>
          </cell>
          <cell r="G220">
            <v>57032.17</v>
          </cell>
          <cell r="I220">
            <v>-682.79000000000087</v>
          </cell>
        </row>
        <row r="221">
          <cell r="A221">
            <v>41974</v>
          </cell>
          <cell r="G221">
            <v>61084.04</v>
          </cell>
          <cell r="I221">
            <v>4051.8700000000026</v>
          </cell>
        </row>
        <row r="222">
          <cell r="A222">
            <v>42005</v>
          </cell>
          <cell r="G222">
            <v>56026.83</v>
          </cell>
          <cell r="I222">
            <v>-5057.2099999999991</v>
          </cell>
        </row>
        <row r="223">
          <cell r="A223">
            <v>42036</v>
          </cell>
          <cell r="G223">
            <v>53395.79</v>
          </cell>
          <cell r="I223">
            <v>-2631.0400000000009</v>
          </cell>
        </row>
        <row r="224">
          <cell r="A224">
            <v>42064</v>
          </cell>
          <cell r="G224">
            <v>59398.39</v>
          </cell>
          <cell r="I224">
            <v>6002.5999999999985</v>
          </cell>
        </row>
        <row r="225">
          <cell r="A225">
            <v>42095</v>
          </cell>
          <cell r="G225">
            <v>58143.76</v>
          </cell>
          <cell r="I225">
            <v>-1254.6299999999974</v>
          </cell>
        </row>
        <row r="226">
          <cell r="A226">
            <v>42125</v>
          </cell>
          <cell r="G226">
            <v>61754.48</v>
          </cell>
          <cell r="I226">
            <v>3610.7200000000012</v>
          </cell>
        </row>
        <row r="227">
          <cell r="A227">
            <v>42156</v>
          </cell>
          <cell r="G227">
            <v>58944.56</v>
          </cell>
          <cell r="I227">
            <v>-2809.9200000000055</v>
          </cell>
        </row>
        <row r="228">
          <cell r="A228">
            <v>42186</v>
          </cell>
          <cell r="G228">
            <v>60440.35</v>
          </cell>
          <cell r="I228">
            <v>1495.7900000000009</v>
          </cell>
        </row>
        <row r="229">
          <cell r="A229">
            <v>42217</v>
          </cell>
          <cell r="G229">
            <v>59938.29</v>
          </cell>
          <cell r="I229">
            <v>-502.05999999999767</v>
          </cell>
        </row>
        <row r="230">
          <cell r="A230">
            <v>42248</v>
          </cell>
          <cell r="G230">
            <v>56646.75</v>
          </cell>
          <cell r="I230">
            <v>-3291.5400000000009</v>
          </cell>
        </row>
        <row r="231">
          <cell r="A231">
            <v>42278</v>
          </cell>
          <cell r="G231">
            <v>59412.53</v>
          </cell>
          <cell r="I231">
            <v>2765.7799999999988</v>
          </cell>
        </row>
        <row r="232">
          <cell r="A232">
            <v>42309</v>
          </cell>
          <cell r="G232">
            <v>57967.91</v>
          </cell>
          <cell r="I232">
            <v>-1444.6199999999953</v>
          </cell>
        </row>
        <row r="233">
          <cell r="A233">
            <v>42339</v>
          </cell>
          <cell r="G233">
            <v>63547.02</v>
          </cell>
          <cell r="I233">
            <v>5579.1099999999933</v>
          </cell>
        </row>
        <row r="234">
          <cell r="A234">
            <v>42370</v>
          </cell>
          <cell r="G234">
            <v>56958.76</v>
          </cell>
          <cell r="I234">
            <v>-6588.2599999999948</v>
          </cell>
        </row>
        <row r="235">
          <cell r="A235">
            <v>42401</v>
          </cell>
          <cell r="G235">
            <v>56706.42</v>
          </cell>
          <cell r="I235">
            <v>-252.34000000000378</v>
          </cell>
        </row>
        <row r="236">
          <cell r="A236">
            <v>42430</v>
          </cell>
          <cell r="G236">
            <v>61325.1</v>
          </cell>
          <cell r="I236">
            <v>4618.68</v>
          </cell>
        </row>
        <row r="237">
          <cell r="A237">
            <v>42461</v>
          </cell>
          <cell r="G237">
            <v>60408.13</v>
          </cell>
          <cell r="I237">
            <v>-916.97000000000116</v>
          </cell>
        </row>
        <row r="238">
          <cell r="A238">
            <v>42491</v>
          </cell>
          <cell r="G238">
            <v>62563.68</v>
          </cell>
          <cell r="I238">
            <v>2155.5500000000029</v>
          </cell>
        </row>
        <row r="239">
          <cell r="A239">
            <v>42522</v>
          </cell>
          <cell r="G239">
            <v>61217.81</v>
          </cell>
          <cell r="I239">
            <v>-1345.8700000000026</v>
          </cell>
        </row>
        <row r="240">
          <cell r="A240">
            <v>42552</v>
          </cell>
          <cell r="G240">
            <v>62318.05</v>
          </cell>
          <cell r="I240">
            <v>1100.2400000000052</v>
          </cell>
        </row>
        <row r="241">
          <cell r="A241">
            <v>42583</v>
          </cell>
          <cell r="G241">
            <v>61435.45</v>
          </cell>
          <cell r="I241">
            <v>-882.60000000000582</v>
          </cell>
        </row>
        <row r="242">
          <cell r="A242">
            <v>42614</v>
          </cell>
          <cell r="G242">
            <v>59338.14</v>
          </cell>
          <cell r="I242">
            <v>-2097.3099999999977</v>
          </cell>
        </row>
        <row r="243">
          <cell r="A243">
            <v>42644</v>
          </cell>
          <cell r="G243">
            <v>61051.61</v>
          </cell>
          <cell r="I243">
            <v>1713.4700000000012</v>
          </cell>
        </row>
        <row r="244">
          <cell r="A244">
            <v>42675</v>
          </cell>
          <cell r="G244">
            <v>60602.27</v>
          </cell>
          <cell r="I244">
            <v>-449.34000000000378</v>
          </cell>
        </row>
        <row r="245">
          <cell r="A245">
            <v>42705</v>
          </cell>
          <cell r="G245">
            <v>66360.05</v>
          </cell>
          <cell r="I245">
            <v>5757.7800000000061</v>
          </cell>
        </row>
        <row r="246">
          <cell r="A246">
            <v>42736</v>
          </cell>
          <cell r="G246">
            <v>59927.29</v>
          </cell>
          <cell r="I246">
            <v>-6432.760000000002</v>
          </cell>
        </row>
        <row r="247">
          <cell r="A247">
            <v>42767</v>
          </cell>
          <cell r="G247">
            <v>58133.87</v>
          </cell>
          <cell r="I247">
            <v>-1793.4199999999983</v>
          </cell>
        </row>
        <row r="248">
          <cell r="A248">
            <v>42795</v>
          </cell>
          <cell r="G248">
            <v>64660.97</v>
          </cell>
          <cell r="I248">
            <v>6527.0999999999985</v>
          </cell>
        </row>
        <row r="249">
          <cell r="A249">
            <v>42826</v>
          </cell>
          <cell r="G249">
            <v>63275.14</v>
          </cell>
          <cell r="I249">
            <v>-1385.8300000000017</v>
          </cell>
        </row>
        <row r="250">
          <cell r="A250">
            <v>42856</v>
          </cell>
          <cell r="G250">
            <v>65258.29</v>
          </cell>
          <cell r="I250">
            <v>1983.1500000000015</v>
          </cell>
        </row>
        <row r="251">
          <cell r="A251">
            <v>42887</v>
          </cell>
          <cell r="G251">
            <v>64047.46</v>
          </cell>
          <cell r="I251">
            <v>-1210.8300000000017</v>
          </cell>
        </row>
        <row r="252">
          <cell r="A252">
            <v>42917</v>
          </cell>
          <cell r="G252">
            <v>64117</v>
          </cell>
          <cell r="I252">
            <v>69.540000000000873</v>
          </cell>
        </row>
        <row r="253">
          <cell r="A253">
            <v>42948</v>
          </cell>
          <cell r="G253">
            <v>64241.23</v>
          </cell>
          <cell r="I253">
            <v>124.2300000000032</v>
          </cell>
        </row>
        <row r="254">
          <cell r="A254">
            <v>42979</v>
          </cell>
          <cell r="G254">
            <v>62055.44</v>
          </cell>
          <cell r="I254">
            <v>-2185.7900000000009</v>
          </cell>
        </row>
        <row r="255">
          <cell r="A255">
            <v>43009</v>
          </cell>
          <cell r="G255">
            <v>63004.18</v>
          </cell>
          <cell r="I255">
            <v>948.73999999999796</v>
          </cell>
        </row>
        <row r="256">
          <cell r="A256">
            <v>43040</v>
          </cell>
          <cell r="G256">
            <v>63253.51</v>
          </cell>
          <cell r="I256">
            <v>249.33000000000175</v>
          </cell>
        </row>
        <row r="257">
          <cell r="A257">
            <v>43070</v>
          </cell>
          <cell r="G257">
            <v>69636.98</v>
          </cell>
          <cell r="I257">
            <v>6383.4699999999939</v>
          </cell>
        </row>
        <row r="258">
          <cell r="A258">
            <v>43101</v>
          </cell>
          <cell r="G258">
            <v>60391.05</v>
          </cell>
          <cell r="I258">
            <v>-9245.929999999993</v>
          </cell>
        </row>
        <row r="259">
          <cell r="A259">
            <v>43132</v>
          </cell>
          <cell r="G259">
            <v>58775.58</v>
          </cell>
          <cell r="I259">
            <v>-1615.4700000000012</v>
          </cell>
        </row>
        <row r="260">
          <cell r="A260">
            <v>43160</v>
          </cell>
          <cell r="G260">
            <v>67064.41</v>
          </cell>
          <cell r="I260">
            <v>8288.8300000000017</v>
          </cell>
        </row>
        <row r="261">
          <cell r="A261">
            <v>43191</v>
          </cell>
          <cell r="G261">
            <v>63184.88</v>
          </cell>
          <cell r="I261">
            <v>-3879.5300000000061</v>
          </cell>
        </row>
        <row r="262">
          <cell r="A262">
            <v>43221</v>
          </cell>
          <cell r="G262">
            <v>68000.66</v>
          </cell>
          <cell r="I262">
            <v>4815.7800000000061</v>
          </cell>
        </row>
        <row r="263">
          <cell r="A263">
            <v>43252</v>
          </cell>
          <cell r="G263">
            <v>67070.31</v>
          </cell>
          <cell r="I263">
            <v>-930.35000000000582</v>
          </cell>
        </row>
        <row r="264">
          <cell r="A264">
            <v>43282</v>
          </cell>
          <cell r="G264">
            <v>67116.98</v>
          </cell>
          <cell r="I264">
            <v>46.669999999998254</v>
          </cell>
        </row>
        <row r="265">
          <cell r="A265">
            <v>43313</v>
          </cell>
          <cell r="G265">
            <v>67855.67</v>
          </cell>
          <cell r="I265">
            <v>738.69000000000233</v>
          </cell>
        </row>
        <row r="266">
          <cell r="A266">
            <v>43344</v>
          </cell>
          <cell r="G266">
            <v>63559.29</v>
          </cell>
          <cell r="I266">
            <v>-4296.3799999999974</v>
          </cell>
        </row>
        <row r="267">
          <cell r="A267">
            <v>43374</v>
          </cell>
          <cell r="G267">
            <v>65551.19</v>
          </cell>
          <cell r="I267">
            <v>1991.9000000000015</v>
          </cell>
        </row>
        <row r="268">
          <cell r="A268">
            <v>43405</v>
          </cell>
          <cell r="G268">
            <v>65447.73</v>
          </cell>
          <cell r="I268">
            <v>-103.45999999999913</v>
          </cell>
        </row>
        <row r="269">
          <cell r="A269">
            <v>43435</v>
          </cell>
          <cell r="G269">
            <v>69878.98</v>
          </cell>
          <cell r="I269">
            <v>4431.2499999999927</v>
          </cell>
        </row>
        <row r="270">
          <cell r="A270">
            <v>43466</v>
          </cell>
          <cell r="G270">
            <v>62230.11</v>
          </cell>
          <cell r="I270">
            <v>-7648.8699999999953</v>
          </cell>
        </row>
        <row r="271">
          <cell r="A271">
            <v>43497</v>
          </cell>
          <cell r="G271">
            <v>59365.87</v>
          </cell>
          <cell r="I271">
            <v>-2864.239999999998</v>
          </cell>
        </row>
        <row r="272">
          <cell r="A272">
            <v>43525</v>
          </cell>
          <cell r="G272">
            <v>67448.45</v>
          </cell>
          <cell r="I272">
            <v>8082.5799999999945</v>
          </cell>
        </row>
        <row r="273">
          <cell r="A273">
            <v>43556</v>
          </cell>
          <cell r="G273">
            <v>65617.27</v>
          </cell>
          <cell r="I273">
            <v>-1831.179999999993</v>
          </cell>
        </row>
        <row r="274">
          <cell r="A274">
            <v>43586</v>
          </cell>
          <cell r="G274">
            <v>69740.25</v>
          </cell>
          <cell r="I274">
            <v>4122.9799999999959</v>
          </cell>
        </row>
        <row r="275">
          <cell r="A275">
            <v>43617</v>
          </cell>
          <cell r="G275">
            <v>68077.81</v>
          </cell>
          <cell r="I275">
            <v>-1662.4400000000023</v>
          </cell>
        </row>
        <row r="276">
          <cell r="A276">
            <v>43647</v>
          </cell>
          <cell r="G276">
            <v>68821.03</v>
          </cell>
          <cell r="I276">
            <v>743.22000000000116</v>
          </cell>
        </row>
        <row r="277">
          <cell r="A277">
            <v>43678</v>
          </cell>
          <cell r="G277">
            <v>69931.5</v>
          </cell>
          <cell r="I277">
            <v>1110.4700000000012</v>
          </cell>
        </row>
        <row r="278">
          <cell r="A278">
            <v>43709</v>
          </cell>
          <cell r="G278">
            <v>64511.32</v>
          </cell>
          <cell r="I278">
            <v>-5420.18</v>
          </cell>
        </row>
        <row r="279">
          <cell r="A279">
            <v>43739</v>
          </cell>
          <cell r="G279">
            <v>66937.14</v>
          </cell>
          <cell r="I279">
            <v>2425.8199999999997</v>
          </cell>
        </row>
        <row r="280">
          <cell r="A280">
            <v>43770</v>
          </cell>
          <cell r="G280">
            <v>66968.09</v>
          </cell>
          <cell r="I280">
            <v>30.94999999999709</v>
          </cell>
        </row>
        <row r="281">
          <cell r="A281">
            <v>43800</v>
          </cell>
          <cell r="G281">
            <v>70731.45</v>
          </cell>
          <cell r="I281">
            <v>3763.3600000000006</v>
          </cell>
        </row>
        <row r="282">
          <cell r="A282">
            <v>43831</v>
          </cell>
          <cell r="G282">
            <v>65124.04</v>
          </cell>
          <cell r="I282">
            <v>-5607.4099999999962</v>
          </cell>
        </row>
        <row r="283">
          <cell r="A283">
            <v>43862</v>
          </cell>
          <cell r="G283">
            <v>64130.91</v>
          </cell>
          <cell r="I283">
            <v>-993.12999999999738</v>
          </cell>
        </row>
        <row r="284">
          <cell r="A284">
            <v>43891</v>
          </cell>
          <cell r="G284">
            <v>65055.16</v>
          </cell>
          <cell r="I284">
            <v>924.25</v>
          </cell>
        </row>
        <row r="285">
          <cell r="A285">
            <v>43922</v>
          </cell>
          <cell r="G285">
            <v>50162.59</v>
          </cell>
          <cell r="I285">
            <v>-14892.570000000007</v>
          </cell>
        </row>
        <row r="286">
          <cell r="A286">
            <v>43952</v>
          </cell>
          <cell r="G286">
            <v>58655.199999999997</v>
          </cell>
          <cell r="I286">
            <v>8492.61</v>
          </cell>
        </row>
        <row r="287">
          <cell r="A287">
            <v>43983</v>
          </cell>
          <cell r="G287">
            <v>61342.84</v>
          </cell>
          <cell r="I287">
            <v>2687.6399999999994</v>
          </cell>
        </row>
        <row r="288">
          <cell r="A288">
            <v>44013</v>
          </cell>
          <cell r="G288">
            <v>64712.25</v>
          </cell>
          <cell r="I288">
            <v>3369.4100000000035</v>
          </cell>
        </row>
        <row r="289">
          <cell r="A289">
            <v>44044</v>
          </cell>
          <cell r="G289">
            <v>64857.78</v>
          </cell>
          <cell r="I289">
            <v>145.52999999999884</v>
          </cell>
        </row>
        <row r="290">
          <cell r="A290">
            <v>44075</v>
          </cell>
          <cell r="G290">
            <v>62555.16</v>
          </cell>
          <cell r="I290">
            <v>-2302.6199999999953</v>
          </cell>
        </row>
        <row r="291">
          <cell r="A291">
            <v>44105</v>
          </cell>
          <cell r="G291">
            <v>65264.5</v>
          </cell>
          <cell r="I291">
            <v>2709.3399999999965</v>
          </cell>
        </row>
        <row r="292">
          <cell r="A292">
            <v>44136</v>
          </cell>
          <cell r="G292">
            <v>62688.11</v>
          </cell>
          <cell r="I292">
            <v>-2576.3899999999994</v>
          </cell>
        </row>
        <row r="293">
          <cell r="A293">
            <v>44166</v>
          </cell>
          <cell r="G293">
            <v>65880.600000000006</v>
          </cell>
          <cell r="I293">
            <v>3192.4900000000052</v>
          </cell>
        </row>
        <row r="294">
          <cell r="A294">
            <v>44197</v>
          </cell>
          <cell r="G294">
            <v>61640.47</v>
          </cell>
          <cell r="I294">
            <v>-4240.1300000000047</v>
          </cell>
        </row>
        <row r="295">
          <cell r="A295">
            <v>44228</v>
          </cell>
          <cell r="G295">
            <v>57519.48</v>
          </cell>
          <cell r="I295">
            <v>-4120.989999999998</v>
          </cell>
        </row>
        <row r="296">
          <cell r="A296">
            <v>44256</v>
          </cell>
          <cell r="G296">
            <v>69234.83</v>
          </cell>
          <cell r="I296">
            <v>11715.349999999999</v>
          </cell>
        </row>
        <row r="297">
          <cell r="A297">
            <v>44287</v>
          </cell>
          <cell r="G297">
            <v>68931.27</v>
          </cell>
          <cell r="I297">
            <v>-303.55999999999767</v>
          </cell>
        </row>
        <row r="298">
          <cell r="A298">
            <v>44317</v>
          </cell>
          <cell r="G298">
            <v>73052.23</v>
          </cell>
          <cell r="I298">
            <v>4120.9599999999919</v>
          </cell>
        </row>
        <row r="299">
          <cell r="A299">
            <v>44348</v>
          </cell>
          <cell r="G299">
            <v>72129.78</v>
          </cell>
          <cell r="I299">
            <v>-922.44999999999709</v>
          </cell>
        </row>
        <row r="300">
          <cell r="A300">
            <v>44378</v>
          </cell>
          <cell r="G300">
            <v>74280.69</v>
          </cell>
          <cell r="I300">
            <v>2150.9100000000035</v>
          </cell>
        </row>
        <row r="301">
          <cell r="A301">
            <v>44409</v>
          </cell>
          <cell r="G301">
            <v>73114.42</v>
          </cell>
          <cell r="I301">
            <v>-1166.2700000000041</v>
          </cell>
        </row>
        <row r="302">
          <cell r="A302">
            <v>44440</v>
          </cell>
          <cell r="G302">
            <v>69798.41</v>
          </cell>
          <cell r="I302">
            <v>-3316.0099999999948</v>
          </cell>
        </row>
        <row r="303">
          <cell r="A303">
            <v>44470</v>
          </cell>
          <cell r="G303">
            <v>72734.81</v>
          </cell>
          <cell r="I303">
            <v>2936.3999999999942</v>
          </cell>
        </row>
        <row r="304">
          <cell r="A304">
            <v>44501</v>
          </cell>
          <cell r="G304">
            <v>71342.23</v>
          </cell>
          <cell r="I304">
            <v>-1392.5800000000017</v>
          </cell>
        </row>
        <row r="305">
          <cell r="A305">
            <v>44531</v>
          </cell>
          <cell r="G305">
            <v>76174</v>
          </cell>
          <cell r="I305">
            <v>4831.7700000000041</v>
          </cell>
        </row>
        <row r="306">
          <cell r="A306">
            <v>44562</v>
          </cell>
          <cell r="G306">
            <v>66637.789999999994</v>
          </cell>
          <cell r="I306">
            <v>-9536.2100000000064</v>
          </cell>
        </row>
        <row r="307">
          <cell r="A307">
            <v>44593</v>
          </cell>
          <cell r="G307">
            <v>64309.05</v>
          </cell>
          <cell r="I307">
            <v>-2328.7399999999907</v>
          </cell>
        </row>
        <row r="308">
          <cell r="A308">
            <v>44621</v>
          </cell>
          <cell r="G308">
            <v>73009.03</v>
          </cell>
          <cell r="I308">
            <v>8699.9799999999959</v>
          </cell>
        </row>
        <row r="309">
          <cell r="A309">
            <v>44652</v>
          </cell>
          <cell r="G309">
            <v>72745.179999999993</v>
          </cell>
          <cell r="I309">
            <v>-263.85000000000582</v>
          </cell>
        </row>
        <row r="310">
          <cell r="A310">
            <v>44682</v>
          </cell>
          <cell r="G310">
            <v>75333.81</v>
          </cell>
          <cell r="I310">
            <v>2588.6300000000047</v>
          </cell>
        </row>
        <row r="311">
          <cell r="A311">
            <v>44713</v>
          </cell>
          <cell r="G311">
            <v>73872.91</v>
          </cell>
          <cell r="I311">
            <v>-1460.8999999999942</v>
          </cell>
        </row>
        <row r="312">
          <cell r="A312">
            <v>44743</v>
          </cell>
          <cell r="G312">
            <v>74258.39</v>
          </cell>
          <cell r="I312">
            <v>385.47999999999593</v>
          </cell>
        </row>
        <row r="313">
          <cell r="A313">
            <v>44774</v>
          </cell>
          <cell r="G313">
            <v>73113.36</v>
          </cell>
          <cell r="I313">
            <v>-1145.0299999999988</v>
          </cell>
        </row>
        <row r="314">
          <cell r="A314">
            <v>44805</v>
          </cell>
          <cell r="G314">
            <v>70005.759999999995</v>
          </cell>
          <cell r="I314">
            <v>-3107.6000000000058</v>
          </cell>
        </row>
        <row r="315">
          <cell r="A315">
            <v>44835</v>
          </cell>
          <cell r="G315">
            <v>72271.55</v>
          </cell>
          <cell r="I315">
            <v>2265.7900000000081</v>
          </cell>
        </row>
        <row r="316">
          <cell r="A316">
            <v>44866</v>
          </cell>
          <cell r="G316">
            <v>70928.77</v>
          </cell>
          <cell r="I316">
            <v>-1342.7799999999988</v>
          </cell>
        </row>
        <row r="317">
          <cell r="A317">
            <v>44896</v>
          </cell>
          <cell r="G317">
            <v>76087.149999999994</v>
          </cell>
          <cell r="I317">
            <v>5158.3799999999901</v>
          </cell>
        </row>
        <row r="318">
          <cell r="A318">
            <v>44927</v>
          </cell>
          <cell r="G318">
            <v>68202.23</v>
          </cell>
          <cell r="I318">
            <v>-7884.9199999999983</v>
          </cell>
        </row>
        <row r="319">
          <cell r="A319">
            <v>44958</v>
          </cell>
          <cell r="G319">
            <v>65214.09</v>
          </cell>
          <cell r="I319">
            <v>-2988.1399999999994</v>
          </cell>
        </row>
        <row r="320">
          <cell r="A320">
            <v>44986</v>
          </cell>
          <cell r="G320">
            <v>72418.94</v>
          </cell>
          <cell r="I320">
            <v>7204.8500000000058</v>
          </cell>
        </row>
        <row r="321">
          <cell r="A321">
            <v>45017</v>
          </cell>
          <cell r="G321">
            <v>71072.160000000003</v>
          </cell>
          <cell r="I321">
            <v>-1346.7799999999988</v>
          </cell>
        </row>
        <row r="322">
          <cell r="A322">
            <v>45047</v>
          </cell>
          <cell r="G322">
            <v>74327.78</v>
          </cell>
          <cell r="I322">
            <v>3255.6199999999953</v>
          </cell>
        </row>
        <row r="323">
          <cell r="A323">
            <v>45078</v>
          </cell>
          <cell r="G323">
            <v>73004.37</v>
          </cell>
          <cell r="I323">
            <v>-1323.4100000000035</v>
          </cell>
        </row>
        <row r="324">
          <cell r="A324">
            <v>45108</v>
          </cell>
          <cell r="G324">
            <v>73763.58</v>
          </cell>
          <cell r="I324">
            <v>759.2100000000064</v>
          </cell>
        </row>
        <row r="325">
          <cell r="A325">
            <v>45139</v>
          </cell>
          <cell r="G325">
            <v>73697.17</v>
          </cell>
          <cell r="I325">
            <v>-66.410000000003492</v>
          </cell>
        </row>
        <row r="326">
          <cell r="A326">
            <v>45170</v>
          </cell>
          <cell r="G326">
            <v>71052.479999999996</v>
          </cell>
          <cell r="I326">
            <v>-2644.6900000000023</v>
          </cell>
        </row>
        <row r="327">
          <cell r="A327">
            <v>45200</v>
          </cell>
          <cell r="G327">
            <v>72057.98</v>
          </cell>
          <cell r="I327">
            <v>1005.5</v>
          </cell>
        </row>
        <row r="328">
          <cell r="A328">
            <v>45231</v>
          </cell>
          <cell r="G328">
            <v>71673.33</v>
          </cell>
          <cell r="I328">
            <v>-384.64999999999418</v>
          </cell>
        </row>
        <row r="329">
          <cell r="A329">
            <v>45261</v>
          </cell>
          <cell r="G329">
            <v>77722.45</v>
          </cell>
          <cell r="I329">
            <v>6049.1199999999953</v>
          </cell>
        </row>
      </sheetData>
      <sheetData sheetId="3">
        <row r="2">
          <cell r="B2" t="str">
            <v>Jan</v>
          </cell>
          <cell r="C2" t="str">
            <v>Feb</v>
          </cell>
          <cell r="D2" t="str">
            <v>Mar</v>
          </cell>
          <cell r="E2" t="str">
            <v>Apr</v>
          </cell>
          <cell r="F2" t="str">
            <v>May</v>
          </cell>
          <cell r="G2" t="str">
            <v>Jun</v>
          </cell>
          <cell r="H2" t="str">
            <v>Jul</v>
          </cell>
          <cell r="I2" t="str">
            <v>Aug</v>
          </cell>
          <cell r="J2" t="str">
            <v>Sep</v>
          </cell>
          <cell r="K2" t="str">
            <v>Oct</v>
          </cell>
          <cell r="L2" t="str">
            <v>Nov</v>
          </cell>
          <cell r="M2" t="str">
            <v>Dec</v>
          </cell>
        </row>
        <row r="24">
          <cell r="A24">
            <v>2018</v>
          </cell>
          <cell r="B24">
            <v>30671.076134309456</v>
          </cell>
          <cell r="C24">
            <v>29122.62968954067</v>
          </cell>
          <cell r="D24">
            <v>32992.628835545926</v>
          </cell>
          <cell r="E24">
            <v>30569.385435911398</v>
          </cell>
          <cell r="F24">
            <v>33223.503240901431</v>
          </cell>
          <cell r="G24">
            <v>32395.95732463375</v>
          </cell>
          <cell r="H24">
            <v>32462.294163873135</v>
          </cell>
          <cell r="I24">
            <v>32970.320980581178</v>
          </cell>
          <cell r="J24">
            <v>31329.528297989254</v>
          </cell>
          <cell r="K24">
            <v>32491.453411457649</v>
          </cell>
          <cell r="L24">
            <v>33734.953089293223</v>
          </cell>
          <cell r="M24">
            <v>36225.456895962918</v>
          </cell>
        </row>
        <row r="25">
          <cell r="A25">
            <v>2019</v>
          </cell>
          <cell r="B25">
            <v>31699.132228939954</v>
          </cell>
          <cell r="C25">
            <v>29077.775738610384</v>
          </cell>
          <cell r="D25">
            <v>32634.073525918924</v>
          </cell>
          <cell r="E25">
            <v>32094.291425471478</v>
          </cell>
          <cell r="F25">
            <v>34063.304952439699</v>
          </cell>
          <cell r="G25">
            <v>33052.805841248548</v>
          </cell>
          <cell r="H25">
            <v>33753.505220486666</v>
          </cell>
          <cell r="I25">
            <v>34366.396841675487</v>
          </cell>
          <cell r="J25">
            <v>31776.805487807756</v>
          </cell>
          <cell r="K25">
            <v>33273.802194374039</v>
          </cell>
          <cell r="L25">
            <v>34508.428884562039</v>
          </cell>
          <cell r="M25">
            <v>36890.146408464985</v>
          </cell>
        </row>
        <row r="26">
          <cell r="A26">
            <v>2020</v>
          </cell>
          <cell r="B26">
            <v>32287.806065023695</v>
          </cell>
          <cell r="C26">
            <v>31042.186973104042</v>
          </cell>
          <cell r="D26">
            <v>38893.415058175633</v>
          </cell>
          <cell r="E26">
            <v>33005.261943485486</v>
          </cell>
          <cell r="F26">
            <v>35265.100615128773</v>
          </cell>
          <cell r="G26">
            <v>33467.089602865897</v>
          </cell>
          <cell r="H26">
            <v>35063.466538395849</v>
          </cell>
          <cell r="I26">
            <v>34317.388173426982</v>
          </cell>
          <cell r="J26">
            <v>32958.29534293725</v>
          </cell>
          <cell r="K26">
            <v>34351.53729498895</v>
          </cell>
          <cell r="L26">
            <v>34767.349163631661</v>
          </cell>
          <cell r="M26">
            <v>37366.353228835804</v>
          </cell>
        </row>
        <row r="33">
          <cell r="B33">
            <v>0.16538145606398799</v>
          </cell>
          <cell r="C33">
            <v>0.24135466901124364</v>
          </cell>
          <cell r="D33">
            <v>8.5437351116167404E-2</v>
          </cell>
          <cell r="E33">
            <v>0.16315114467247657</v>
          </cell>
          <cell r="F33">
            <v>8.8575387157712085E-2</v>
          </cell>
          <cell r="G33">
            <v>0.10883116448429647</v>
          </cell>
          <cell r="H33">
            <v>8.6840320775069368E-2</v>
          </cell>
          <cell r="I33">
            <v>8.4553786322052224E-2</v>
          </cell>
          <cell r="J33">
            <v>0.14052285000060422</v>
          </cell>
          <cell r="K33">
            <v>9.6755852587971966E-2</v>
          </cell>
          <cell r="L33">
            <v>8.6038031335314208E-2</v>
          </cell>
          <cell r="M33">
            <v>1.7355173956760301E-2</v>
          </cell>
        </row>
        <row r="36">
          <cell r="B36" t="str">
            <v>Jan</v>
          </cell>
          <cell r="C36" t="str">
            <v>Feb</v>
          </cell>
          <cell r="D36" t="str">
            <v>Mar</v>
          </cell>
          <cell r="E36" t="str">
            <v>Apr</v>
          </cell>
          <cell r="F36" t="str">
            <v>May</v>
          </cell>
          <cell r="G36" t="str">
            <v>Jun</v>
          </cell>
          <cell r="H36" t="str">
            <v>Jul</v>
          </cell>
          <cell r="I36" t="str">
            <v>Aug</v>
          </cell>
          <cell r="J36" t="str">
            <v>Sep</v>
          </cell>
          <cell r="K36" t="str">
            <v>Oct</v>
          </cell>
          <cell r="L36" t="str">
            <v>Nov</v>
          </cell>
          <cell r="M36" t="str">
            <v>Dec</v>
          </cell>
        </row>
        <row r="60">
          <cell r="B60">
            <v>32835.509677293085</v>
          </cell>
          <cell r="C60">
            <v>33357.152986448098</v>
          </cell>
          <cell r="D60">
            <v>26619.217095756943</v>
          </cell>
          <cell r="E60">
            <v>17536.834405433619</v>
          </cell>
          <cell r="F60">
            <v>23832.145305755301</v>
          </cell>
          <cell r="G60">
            <v>28283.26624576317</v>
          </cell>
          <cell r="H60">
            <v>29915.05799242873</v>
          </cell>
          <cell r="I60">
            <v>30548.207572056239</v>
          </cell>
          <cell r="J60">
            <v>29255.962620697941</v>
          </cell>
          <cell r="K60">
            <v>30098.784021864798</v>
          </cell>
        </row>
        <row r="67">
          <cell r="B67">
            <v>0.2412953071508902</v>
          </cell>
          <cell r="C67">
            <v>0.2606761408451202</v>
          </cell>
          <cell r="D67">
            <v>0.14258843290509865</v>
          </cell>
          <cell r="E67">
            <v>0.21310617856390746</v>
          </cell>
          <cell r="F67">
            <v>0.12140188515883379</v>
          </cell>
          <cell r="G67">
            <v>0.11583231114736374</v>
          </cell>
          <cell r="H67">
            <v>9.670870403038935E-2</v>
          </cell>
          <cell r="I67">
            <v>0.10256703107816897</v>
          </cell>
          <cell r="J67">
            <v>0.17049806596030204</v>
          </cell>
          <cell r="K67">
            <v>0.13656969912307654</v>
          </cell>
          <cell r="L67">
            <v>0.19083232189020652</v>
          </cell>
          <cell r="M67">
            <v>0.12062530042300178</v>
          </cell>
        </row>
        <row r="150">
          <cell r="B150">
            <v>145217.671875</v>
          </cell>
          <cell r="C150">
            <v>144287.109375</v>
          </cell>
          <cell r="D150">
            <v>145167.203125</v>
          </cell>
          <cell r="E150">
            <v>113077.5390625</v>
          </cell>
          <cell r="F150">
            <v>133825.046875</v>
          </cell>
          <cell r="G150">
            <v>141275.8125</v>
          </cell>
          <cell r="H150">
            <v>148297.21875</v>
          </cell>
          <cell r="I150">
            <v>148369.09375</v>
          </cell>
          <cell r="J150">
            <v>142416.90625</v>
          </cell>
          <cell r="K150">
            <v>147849.34375</v>
          </cell>
        </row>
        <row r="155">
          <cell r="B155">
            <v>43629.298437499994</v>
          </cell>
          <cell r="C155">
            <v>48386.173437499994</v>
          </cell>
          <cell r="D155">
            <v>30743.821874999994</v>
          </cell>
          <cell r="E155">
            <v>39129.239062500012</v>
          </cell>
          <cell r="F155">
            <v>27081.556249999994</v>
          </cell>
          <cell r="G155">
            <v>26997.384374999994</v>
          </cell>
          <cell r="H155">
            <v>23240.993749999994</v>
          </cell>
          <cell r="I155">
            <v>23021.471874999988</v>
          </cell>
          <cell r="J155">
            <v>30880.121875000012</v>
          </cell>
          <cell r="K155">
            <v>24911.946874999994</v>
          </cell>
          <cell r="L155">
            <v>28101.762500000012</v>
          </cell>
          <cell r="M155">
            <v>20815.821874999994</v>
          </cell>
        </row>
      </sheetData>
      <sheetData sheetId="4"/>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_mgBOMa2PUKJtcAnuJC0ExKGZpoQRi1Lgi7DZfPxc16uUQNQTNyYRqvagvQVE-VN" itemId="01KT72473H2NNMB766WZDI6HXLG4EJHMOK">
      <xxl21:absoluteUrl r:id="rId2"/>
    </xxl21:alternateUrls>
    <sheetNames>
      <sheetName val="USDA Comp"/>
      <sheetName val="Long-Term Comparison"/>
      <sheetName val="Sheet2"/>
      <sheetName val="VO CY Balance Sheets"/>
      <sheetName val="VO MY Balance Sheets"/>
      <sheetName val="Soy Complex"/>
      <sheetName val="Soy Complex-old"/>
      <sheetName val="Acreage-Yield Scenario"/>
      <sheetName val="Slaughter"/>
      <sheetName val="Crop Progress"/>
      <sheetName val="Soy Monthly Bal"/>
      <sheetName val="Meal Monthly Bal"/>
      <sheetName val="Meal Domestic Use"/>
      <sheetName val="Protein Meal and Animal Units"/>
      <sheetName val="Meal and Co-Product Dom Use"/>
      <sheetName val="Oil Monthly Bal"/>
      <sheetName val="Oil Domestic Supply"/>
      <sheetName val="Veg Oil Imports"/>
      <sheetName val="Sun Complex"/>
      <sheetName val="Sunflower Meal Monthly Bal"/>
      <sheetName val="Sunflower Oil Monthly Bal"/>
      <sheetName val="Canola USDA Comp"/>
      <sheetName val="Canola Complex"/>
      <sheetName val="Canola State Production"/>
      <sheetName val="Canola Meal Monthly Bal"/>
      <sheetName val="Canola Oil Monthly Bal"/>
      <sheetName val="Cottonseed Complex"/>
      <sheetName val="Peanut Complex"/>
      <sheetName val="Flaxseed Complex"/>
      <sheetName val="Safflower Complex"/>
      <sheetName val="FOG MY Balance Sheet"/>
      <sheetName val="FOG CY Balance Sheet"/>
      <sheetName val="Corn Oil Balance Sheet"/>
      <sheetName val="Distillers' Corn Oil Complex"/>
      <sheetName val="Corn Oil Monthly Bal"/>
      <sheetName val="Palm Complex"/>
      <sheetName val="Copra Complex"/>
      <sheetName val="Meat and Bone Meal Complex"/>
      <sheetName val="Inedible Fat and Oil Bal"/>
      <sheetName val="Tallow Complex"/>
      <sheetName val="Technical Tallow"/>
      <sheetName val="Edible Tallow Complex"/>
      <sheetName val="Inedible Tallow Complex"/>
      <sheetName val="Grease Complex"/>
      <sheetName val="UCO-YG Combined Bal Sheets"/>
      <sheetName val="tblSAFFeedstock"/>
      <sheetName val="DataDepotMetaData"/>
      <sheetName val="Yellow Grease Complex"/>
      <sheetName val="Used Cooking Oil Complex"/>
      <sheetName val="CWG Complex"/>
      <sheetName val="Lard Complex"/>
      <sheetName val="Feather Meal Complex"/>
      <sheetName val="Poultry Fat Non-Bio Use"/>
      <sheetName val="Poultry Fat Bio Use"/>
      <sheetName val="Poultry Byproduct Compl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ow r="26">
          <cell r="AZ26">
            <v>1453.8144061968094</v>
          </cell>
        </row>
      </sheetData>
      <sheetData sheetId="49"/>
      <sheetData sheetId="50"/>
      <sheetData sheetId="51"/>
      <sheetData sheetId="52" refreshError="1"/>
      <sheetData sheetId="53" refreshError="1"/>
      <sheetData sheetId="5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torem/Dropbox/FM%20Files/HOBO/Biofuel%20Model/macrodata%20-%20HOBO.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re Alden" refreshedDate="44433.305212615742" createdVersion="6" refreshedVersion="6" minRefreshableVersion="3" recordCount="294" xr:uid="{A43BAA0B-9F2C-497A-81F4-FC86B79B96DA}">
  <cacheSource type="worksheet">
    <worksheetSource ref="A5:G299" sheet="Food Expenditure Series" r:id="rId2"/>
  </cacheSource>
  <cacheFields count="8">
    <cacheField name="Year" numFmtId="0">
      <sharedItems containsSemiMixedTypes="0" containsString="0" containsNumber="1" containsInteger="1" minValue="1997" maxValue="2021" count="25">
        <n v="1997"/>
        <n v="1998"/>
        <n v="1999"/>
        <n v="2000"/>
        <n v="2001"/>
        <n v="2002"/>
        <n v="2003"/>
        <n v="2004"/>
        <n v="2005"/>
        <n v="2006"/>
        <n v="2007"/>
        <n v="2008"/>
        <n v="2009"/>
        <n v="2010"/>
        <n v="2011"/>
        <n v="2012"/>
        <n v="2013"/>
        <n v="2014"/>
        <n v="2015"/>
        <n v="2016"/>
        <n v="2017"/>
        <n v="2018"/>
        <n v="2019"/>
        <n v="2020"/>
        <n v="2021"/>
      </sharedItems>
    </cacheField>
    <cacheField name="Month" numFmtId="4">
      <sharedItems count="12">
        <s v="January"/>
        <s v="February"/>
        <s v="March"/>
        <s v="April"/>
        <s v="May"/>
        <s v="June"/>
        <s v="July"/>
        <s v="August"/>
        <s v="September"/>
        <s v="October"/>
        <s v="November"/>
        <s v="December"/>
      </sharedItems>
    </cacheField>
    <cacheField name="FAH - Nominal" numFmtId="4">
      <sharedItems containsSemiMixedTypes="0" containsString="0" containsNumber="1" minValue="28154.22952826622" maxValue="80446.196407990385"/>
    </cacheField>
    <cacheField name="FAFH - Nominal" numFmtId="4">
      <sharedItems containsSemiMixedTypes="0" containsString="0" containsNumber="1" minValue="21313.571611525338" maxValue="80994.207825805977"/>
    </cacheField>
    <cacheField name="Total nominal food sales" numFmtId="4">
      <sharedItems containsSemiMixedTypes="0" containsString="0" containsNumber="1" minValue="49467.80078125" maxValue="160099.484375"/>
    </cacheField>
    <cacheField name="FAH - Constant $" numFmtId="0">
      <sharedItems containsSemiMixedTypes="0" containsString="0" containsNumber="1" minValue="20533.076718215631" maxValue="38146.778036284217"/>
    </cacheField>
    <cacheField name="FAFH - Constant $" numFmtId="0">
      <sharedItems containsSemiMixedTypes="0" containsString="0" containsNumber="1" minValue="14971.165999397987" maxValue="32690.26081043225"/>
    </cacheField>
    <cacheField name="Total constant dollar food sales" numFmtId="0">
      <sharedItems containsSemiMixedTypes="0" containsString="0" containsNumber="1" minValue="37353.71875" maxValue="68996.82031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
  <r>
    <x v="0"/>
    <x v="0"/>
    <n v="30334.111427562133"/>
    <n v="21457.621212601814"/>
    <n v="51791.734375"/>
    <n v="22407.043576200729"/>
    <n v="16833.029049847908"/>
    <n v="39108.55078125"/>
  </r>
  <r>
    <x v="0"/>
    <x v="1"/>
    <n v="28154.22952826622"/>
    <n v="21313.571611525338"/>
    <n v="49467.80078125"/>
    <n v="20823.224839654547"/>
    <n v="16687.748558269937"/>
    <n v="37353.71875"/>
  </r>
  <r>
    <x v="0"/>
    <x v="2"/>
    <n v="31584.100241117052"/>
    <n v="23639.872735217206"/>
    <n v="55223.97265625"/>
    <n v="23360.066308398022"/>
    <n v="18461.604204612984"/>
    <n v="41673.64453125"/>
  </r>
  <r>
    <x v="0"/>
    <x v="3"/>
    <n v="30011.505529046113"/>
    <n v="23415.440226037448"/>
    <n v="53426.9453125"/>
    <n v="22225.235594302023"/>
    <n v="18262.775491753"/>
    <n v="40317.5546875"/>
  </r>
  <r>
    <x v="0"/>
    <x v="4"/>
    <n v="32477.243634261198"/>
    <n v="25119.81512898489"/>
    <n v="57597.05859375"/>
    <n v="24051.39522613414"/>
    <n v="19579.348954754209"/>
    <n v="43464.4453125"/>
  </r>
  <r>
    <x v="0"/>
    <x v="5"/>
    <n v="30881.498850848518"/>
    <n v="24418.137505705108"/>
    <n v="55299.63671875"/>
    <n v="22898.897314328846"/>
    <n v="18995.714667509619"/>
    <n v="41730.7421875"/>
  </r>
  <r>
    <x v="0"/>
    <x v="6"/>
    <n v="32298.722213018005"/>
    <n v="25230.396306952447"/>
    <n v="57529.1171875"/>
    <n v="23889.250339522267"/>
    <n v="19564.802926291359"/>
    <n v="43302.5703125"/>
  </r>
  <r>
    <x v="0"/>
    <x v="7"/>
    <n v="32224.972153763498"/>
    <n v="25813.133167535907"/>
    <n v="58038.10546875"/>
    <n v="23714.649917308139"/>
    <n v="19978.138534957892"/>
    <n v="43519.37109375"/>
  </r>
  <r>
    <x v="0"/>
    <x v="8"/>
    <n v="30396.650017699987"/>
    <n v="23741.773228545786"/>
    <n v="54138.421875"/>
    <n v="22355.335867352085"/>
    <n v="18328.004814357453"/>
    <n v="40518.1015625"/>
  </r>
  <r>
    <x v="0"/>
    <x v="9"/>
    <n v="31844.197116070729"/>
    <n v="24421.046693896795"/>
    <n v="56265.2421875"/>
    <n v="23361.335039109887"/>
    <n v="18804.233466150235"/>
    <n v="42029.99609375"/>
  </r>
  <r>
    <x v="0"/>
    <x v="10"/>
    <n v="31800.275105889934"/>
    <n v="23057.232281048386"/>
    <n v="54857.5078125"/>
    <n v="23314.793467246833"/>
    <n v="17708.805239064335"/>
    <n v="40900.859375"/>
  </r>
  <r>
    <x v="0"/>
    <x v="11"/>
    <n v="35049.619182456583"/>
    <n v="24103.272401948874"/>
    <n v="59152.890625"/>
    <n v="25681.366260442432"/>
    <n v="18465.044092431057"/>
    <n v="44047.84375"/>
  </r>
  <r>
    <x v="1"/>
    <x v="0"/>
    <n v="30442.638440663435"/>
    <n v="22676.464142143202"/>
    <n v="53119.1015625"/>
    <n v="22056.769465842826"/>
    <n v="17349.566557228438"/>
    <n v="39257.97265625"/>
  </r>
  <r>
    <x v="1"/>
    <x v="1"/>
    <n v="28163.25347327007"/>
    <n v="22338.795511205386"/>
    <n v="50502.05078125"/>
    <n v="20533.076718215631"/>
    <n v="17047.882539538081"/>
    <n v="37440.90234375"/>
  </r>
  <r>
    <x v="1"/>
    <x v="2"/>
    <n v="30786.004686319349"/>
    <n v="24634.768683545855"/>
    <n v="55420.7734375"/>
    <n v="22417.43485653622"/>
    <n v="18764.336061364305"/>
    <n v="41010.33203125"/>
  </r>
  <r>
    <x v="1"/>
    <x v="3"/>
    <n v="31238.78371470196"/>
    <n v="24709.540246398687"/>
    <n v="55948.32421875"/>
    <n v="22747.234291356024"/>
    <n v="18785.699987046944"/>
    <n v="41374.80078125"/>
  </r>
  <r>
    <x v="1"/>
    <x v="4"/>
    <n v="32787.33691502588"/>
    <n v="26445.519574058464"/>
    <n v="59232.85546875"/>
    <n v="23800.558761011689"/>
    <n v="20055.174811982684"/>
    <n v="43667.13671875"/>
  </r>
  <r>
    <x v="1"/>
    <x v="5"/>
    <n v="31819.137614791674"/>
    <n v="25881.485897678824"/>
    <n v="57700.625"/>
    <n v="23126.400704659591"/>
    <n v="19615.105907065779"/>
    <n v="42590.69921875"/>
  </r>
  <r>
    <x v="1"/>
    <x v="6"/>
    <n v="33277.357178759004"/>
    <n v="26472.573027568735"/>
    <n v="59749.9296875"/>
    <n v="24140.889664896909"/>
    <n v="20013.269219183239"/>
    <n v="43993.4453125"/>
  </r>
  <r>
    <x v="1"/>
    <x v="7"/>
    <n v="32599.474232173958"/>
    <n v="26552.996146794256"/>
    <n v="59152.46875"/>
    <n v="23560.868241009288"/>
    <n v="20024.483098583667"/>
    <n v="43418.27734375"/>
  </r>
  <r>
    <x v="1"/>
    <x v="8"/>
    <n v="31382.628030718875"/>
    <n v="24864.221495597605"/>
    <n v="56246.84765625"/>
    <n v="22709.111716438194"/>
    <n v="18681.762113029978"/>
    <n v="41259.90625"/>
  </r>
  <r>
    <x v="1"/>
    <x v="9"/>
    <n v="32879.518198259007"/>
    <n v="26176.950169130141"/>
    <n v="59056.46875"/>
    <n v="23601.397688933983"/>
    <n v="19644.222171313966"/>
    <n v="43080.23828125"/>
  </r>
  <r>
    <x v="1"/>
    <x v="10"/>
    <n v="32529.106693363254"/>
    <n v="24482.402931332548"/>
    <n v="57011.5078125"/>
    <n v="23349.212063065825"/>
    <n v="18339.136279822407"/>
    <n v="41562.828125"/>
  </r>
  <r>
    <x v="1"/>
    <x v="11"/>
    <n v="36959.885821953525"/>
    <n v="25942.125924546322"/>
    <n v="62902.01171875"/>
    <n v="26512.420828033853"/>
    <n v="19385.50187884047"/>
    <n v="45800.6484375"/>
  </r>
  <r>
    <x v="2"/>
    <x v="0"/>
    <n v="31539.112191596592"/>
    <n v="23825.753588607189"/>
    <n v="55364.8671875"/>
    <n v="22389.008986934539"/>
    <n v="17750.248249237036"/>
    <n v="39992.31640625"/>
  </r>
  <r>
    <x v="2"/>
    <x v="1"/>
    <n v="29749.963894823268"/>
    <n v="23672.014182322426"/>
    <n v="53421.9765625"/>
    <n v="21182.697446353246"/>
    <n v="17603.994780142137"/>
    <n v="38659.78125"/>
  </r>
  <r>
    <x v="2"/>
    <x v="2"/>
    <n v="33102.007167432777"/>
    <n v="25854.369310167083"/>
    <n v="58956.375"/>
    <n v="23626.459827579027"/>
    <n v="19180.641094431867"/>
    <n v="42664.84765625"/>
  </r>
  <r>
    <x v="2"/>
    <x v="3"/>
    <n v="32615.657683871766"/>
    <n v="26322.536517129734"/>
    <n v="58938.1953125"/>
    <n v="23264.541000363388"/>
    <n v="19492.80772899646"/>
    <n v="42625.58984375"/>
  </r>
  <r>
    <x v="2"/>
    <x v="4"/>
    <n v="34399.825137094507"/>
    <n v="27449.28800446033"/>
    <n v="61849.11328125"/>
    <n v="24476.836058713383"/>
    <n v="20315.231521958729"/>
    <n v="44648.86328125"/>
  </r>
  <r>
    <x v="2"/>
    <x v="5"/>
    <n v="33493.000430106586"/>
    <n v="27001.327700934737"/>
    <n v="60494.328125"/>
    <n v="23860.385730408136"/>
    <n v="19983.958007863766"/>
    <n v="43697.53515625"/>
  </r>
  <r>
    <x v="2"/>
    <x v="6"/>
    <n v="35031.731107998094"/>
    <n v="28038.750790379894"/>
    <n v="63070.48046875"/>
    <n v="24956.359146007871"/>
    <n v="20689.083197263342"/>
    <n v="45502.76953125"/>
  </r>
  <r>
    <x v="2"/>
    <x v="7"/>
    <n v="33927.560500323547"/>
    <n v="27574.470612650483"/>
    <n v="61502.03125"/>
    <n v="24110.75583613343"/>
    <n v="20285.117688139719"/>
    <n v="44263.109375"/>
  </r>
  <r>
    <x v="2"/>
    <x v="8"/>
    <n v="33441.947834920706"/>
    <n v="26037.630735577623"/>
    <n v="59479.578125"/>
    <n v="23707.904069777931"/>
    <n v="19131.384444344952"/>
    <n v="42703.515625"/>
  </r>
  <r>
    <x v="2"/>
    <x v="9"/>
    <n v="34079.020126347532"/>
    <n v="27522.972710000453"/>
    <n v="61601.9921875"/>
    <n v="24071.900859981361"/>
    <n v="20173.92354030054"/>
    <n v="44093.3671875"/>
  </r>
  <r>
    <x v="2"/>
    <x v="10"/>
    <n v="34276.788826453827"/>
    <n v="25936.280744012631"/>
    <n v="60213.0703125"/>
    <n v="24211.883205292506"/>
    <n v="18976.398940909705"/>
    <n v="43073.12109375"/>
  </r>
  <r>
    <x v="2"/>
    <x v="11"/>
    <n v="40369.072599030857"/>
    <n v="27504.98010375748"/>
    <n v="67874.0546875"/>
    <n v="28464.017832455174"/>
    <n v="20087.585806411753"/>
    <n v="48494.65625"/>
  </r>
  <r>
    <x v="3"/>
    <x v="0"/>
    <n v="32075.509680490977"/>
    <n v="25516.838448307124"/>
    <n v="57592.34765625"/>
    <n v="22494.397248056383"/>
    <n v="18590.579211273023"/>
    <n v="40975.16796875"/>
  </r>
  <r>
    <x v="3"/>
    <x v="1"/>
    <n v="31834.288144615704"/>
    <n v="26328.918053388279"/>
    <n v="58163.20703125"/>
    <n v="22325.656281986001"/>
    <n v="19136.003730960772"/>
    <n v="41331.55078125"/>
  </r>
  <r>
    <x v="3"/>
    <x v="2"/>
    <n v="34701.465054406683"/>
    <n v="28680.060442379407"/>
    <n v="63381.52734375"/>
    <n v="24322.16928274394"/>
    <n v="20807.107548641186"/>
    <n v="44985.65625"/>
  </r>
  <r>
    <x v="3"/>
    <x v="3"/>
    <n v="34173.548742322339"/>
    <n v="28392.995066184318"/>
    <n v="62566.54296875"/>
    <n v="23938.015578615963"/>
    <n v="20573.872540228804"/>
    <n v="44380.55859375"/>
  </r>
  <r>
    <x v="3"/>
    <x v="4"/>
    <n v="35611.489395617173"/>
    <n v="29275.587935157342"/>
    <n v="64887.078125"/>
    <n v="24796.487504390021"/>
    <n v="21187.726823390949"/>
    <n v="45834.01171875"/>
  </r>
  <r>
    <x v="3"/>
    <x v="5"/>
    <n v="35594.818859741303"/>
    <n v="29564.81126674659"/>
    <n v="65159.62890625"/>
    <n v="24814.534034241049"/>
    <n v="21358.505247548524"/>
    <n v="46026.53125"/>
  </r>
  <r>
    <x v="3"/>
    <x v="6"/>
    <n v="35876.391763387343"/>
    <n v="30048.994973696597"/>
    <n v="65925.390625"/>
    <n v="24862.126256614993"/>
    <n v="21643.635623775102"/>
    <n v="46345.8203125"/>
  </r>
  <r>
    <x v="3"/>
    <x v="7"/>
    <n v="35926.671225781349"/>
    <n v="29791.143348161113"/>
    <n v="65717.8125"/>
    <n v="24808.30925940055"/>
    <n v="21406.812009992336"/>
    <n v="46035.58203125"/>
  </r>
  <r>
    <x v="3"/>
    <x v="8"/>
    <n v="34921.780271316253"/>
    <n v="28690.091958480702"/>
    <n v="63611.87109375"/>
    <n v="24099.806323593184"/>
    <n v="20554.566108912688"/>
    <n v="44507.59765625"/>
  </r>
  <r>
    <x v="3"/>
    <x v="9"/>
    <n v="35246.676421248092"/>
    <n v="28926.046200987894"/>
    <n v="64172.72265625"/>
    <n v="24309.184493471679"/>
    <n v="20686.670356866671"/>
    <n v="44846.90234375"/>
  </r>
  <r>
    <x v="3"/>
    <x v="10"/>
    <n v="36477.848978069727"/>
    <n v="27571.47213129127"/>
    <n v="64049.3203125"/>
    <n v="25202.427740046402"/>
    <n v="19705.954569963404"/>
    <n v="44813.66796875"/>
  </r>
  <r>
    <x v="3"/>
    <x v="11"/>
    <n v="41339.761463002986"/>
    <n v="29010.852675219317"/>
    <n v="70350.6171875"/>
    <n v="28325.760996839883"/>
    <n v="20685.722478446562"/>
    <n v="48904.0234375"/>
  </r>
  <r>
    <x v="4"/>
    <x v="0"/>
    <n v="34760.399020984449"/>
    <n v="26930.686769283369"/>
    <n v="61691.0859375"/>
    <n v="23663.860578543939"/>
    <n v="19134.881741089746"/>
    <n v="42658.5390625"/>
  </r>
  <r>
    <x v="4"/>
    <x v="1"/>
    <n v="33036.752525609001"/>
    <n v="26699.782518632586"/>
    <n v="59736.53515625"/>
    <n v="22424.296149643291"/>
    <n v="18926.32733497064"/>
    <n v="41210.5390625"/>
  </r>
  <r>
    <x v="4"/>
    <x v="2"/>
    <n v="36516.396510780665"/>
    <n v="29930.239609976888"/>
    <n v="66446.6328125"/>
    <n v="24756.646382822099"/>
    <n v="21154.409466920242"/>
    <n v="45732.8515625"/>
  </r>
  <r>
    <x v="4"/>
    <x v="3"/>
    <n v="35621.211050958424"/>
    <n v="28966.207094460042"/>
    <n v="64587.41796875"/>
    <n v="24121.097003738309"/>
    <n v="20425.431260522157"/>
    <n v="44401.5"/>
  </r>
  <r>
    <x v="4"/>
    <x v="4"/>
    <n v="37934.237552010833"/>
    <n v="30642.367847038175"/>
    <n v="68576.6015625"/>
    <n v="25597.627291777888"/>
    <n v="21557.322694997085"/>
    <n v="46979.94140625"/>
  </r>
  <r>
    <x v="4"/>
    <x v="5"/>
    <n v="37124.591032728858"/>
    <n v="30956.595906075287"/>
    <n v="68081.1875"/>
    <n v="24978.551915922686"/>
    <n v="21715.633173246053"/>
    <n v="46505.74609375"/>
  </r>
  <r>
    <x v="4"/>
    <x v="6"/>
    <n v="37031.767789347643"/>
    <n v="31037.82260243487"/>
    <n v="68069.59375"/>
    <n v="24829.758608120756"/>
    <n v="21710.143197989641"/>
    <n v="46363.828125"/>
  </r>
  <r>
    <x v="4"/>
    <x v="7"/>
    <n v="37886.449140492099"/>
    <n v="31683.248973642872"/>
    <n v="69569.6953125"/>
    <n v="25358.775900121538"/>
    <n v="22085.64725826354"/>
    <n v="47276.58984375"/>
  </r>
  <r>
    <x v="4"/>
    <x v="8"/>
    <n v="36006.119563335167"/>
    <n v="28825.692706185564"/>
    <n v="64831.8125"/>
    <n v="24086.17108283762"/>
    <n v="20048.037177523231"/>
    <n v="44006.3125"/>
  </r>
  <r>
    <x v="4"/>
    <x v="9"/>
    <n v="36903.633065869501"/>
    <n v="29477.544146679091"/>
    <n v="66381.1796875"/>
    <n v="24559.61688240679"/>
    <n v="20443.331435887896"/>
    <n v="44851.89453125"/>
  </r>
  <r>
    <x v="4"/>
    <x v="10"/>
    <n v="37971.214505588796"/>
    <n v="28569.356302723754"/>
    <n v="66540.5703125"/>
    <n v="25342.3687204991"/>
    <n v="19791.326194428861"/>
    <n v="45036.8359375"/>
  </r>
  <r>
    <x v="4"/>
    <x v="11"/>
    <n v="42252.853242294565"/>
    <n v="30671.799272867494"/>
    <n v="72924.65625"/>
    <n v="28200.01073356604"/>
    <n v="21224.134064160859"/>
    <n v="49329.54296875"/>
  </r>
  <r>
    <x v="5"/>
    <x v="0"/>
    <n v="35654.234576086099"/>
    <n v="28071.665372101001"/>
    <n v="63725.8984375"/>
    <n v="23593.558156740532"/>
    <n v="19381.390342502043"/>
    <n v="42837.359375"/>
  </r>
  <r>
    <x v="5"/>
    <x v="1"/>
    <n v="33722.286055207456"/>
    <n v="27935.482646372711"/>
    <n v="61657.76953125"/>
    <n v="22340.641664761908"/>
    <n v="19222.496709415176"/>
    <n v="41423.578125"/>
  </r>
  <r>
    <x v="5"/>
    <x v="2"/>
    <n v="37954.217075207729"/>
    <n v="31203.434392598232"/>
    <n v="69157.6484375"/>
    <n v="25101.694042818297"/>
    <n v="21459.608869141928"/>
    <n v="46409.453125"/>
  </r>
  <r>
    <x v="5"/>
    <x v="3"/>
    <n v="35576.447350966693"/>
    <n v="30573.726989877247"/>
    <n v="66150.171875"/>
    <n v="23516.051373345726"/>
    <n v="21015.188291858722"/>
    <n v="44366.04296875"/>
  </r>
  <r>
    <x v="5"/>
    <x v="4"/>
    <n v="38902.290496609879"/>
    <n v="32135.578570020589"/>
    <n v="71037.8671875"/>
    <n v="25846.664453624773"/>
    <n v="22039.508221380329"/>
    <n v="47752.55859375"/>
  </r>
  <r>
    <x v="5"/>
    <x v="5"/>
    <n v="37381.600990304491"/>
    <n v="32001.706619932695"/>
    <n v="69383.3046875"/>
    <n v="24907.686383978253"/>
    <n v="21874.283999990374"/>
    <n v="46640.33984375"/>
  </r>
  <r>
    <x v="5"/>
    <x v="6"/>
    <n v="38106.823728473231"/>
    <n v="32287.489283859988"/>
    <n v="70394.3125"/>
    <n v="25362.399157947442"/>
    <n v="22032.994020076523"/>
    <n v="47266.1796875"/>
  </r>
  <r>
    <x v="5"/>
    <x v="7"/>
    <n v="38623.860243040886"/>
    <n v="33152.29776954632"/>
    <n v="71776.15625"/>
    <n v="25751.154535554862"/>
    <n v="22585.620026655677"/>
    <n v="48194.01953125"/>
  </r>
  <r>
    <x v="5"/>
    <x v="8"/>
    <n v="35827.598922184145"/>
    <n v="30168.625447355509"/>
    <n v="65996.2265625"/>
    <n v="23846.497677506537"/>
    <n v="20507.432526573855"/>
    <n v="44212.609375"/>
  </r>
  <r>
    <x v="5"/>
    <x v="9"/>
    <n v="37673.188307674325"/>
    <n v="30906.599987790745"/>
    <n v="68579.7890625"/>
    <n v="25089.866169364628"/>
    <n v="20962.633706350152"/>
    <n v="45917.375"/>
  </r>
  <r>
    <x v="5"/>
    <x v="10"/>
    <n v="39112.512389318901"/>
    <n v="30255.315434719632"/>
    <n v="69367.828125"/>
    <n v="25989.79159932887"/>
    <n v="20498.380363438013"/>
    <n v="46366.19140625"/>
  </r>
  <r>
    <x v="5"/>
    <x v="11"/>
    <n v="42502.877364926098"/>
    <n v="31656.952485825332"/>
    <n v="74159.828125"/>
    <n v="28147.276035028161"/>
    <n v="21412.572297617182"/>
    <n v="49429.4296875"/>
  </r>
  <r>
    <x v="6"/>
    <x v="0"/>
    <n v="37559.421414665165"/>
    <n v="29327.010229176489"/>
    <n v="66886.4296875"/>
    <n v="24789.86361586424"/>
    <n v="19858.907212718583"/>
    <n v="44531.2890625"/>
  </r>
  <r>
    <x v="6"/>
    <x v="1"/>
    <n v="35375.480985730377"/>
    <n v="28793.146192753538"/>
    <n v="64168.62890625"/>
    <n v="23230.790128683315"/>
    <n v="19411.259482011847"/>
    <n v="42530.16015625"/>
  </r>
  <r>
    <x v="6"/>
    <x v="2"/>
    <n v="38503.99906910069"/>
    <n v="32460.027753079023"/>
    <n v="70964.0234375"/>
    <n v="25271.692597860536"/>
    <n v="21847.216087272478"/>
    <n v="46955.05859375"/>
  </r>
  <r>
    <x v="6"/>
    <x v="3"/>
    <n v="37837.715481748834"/>
    <n v="31654.471565451564"/>
    <n v="69492.1875"/>
    <n v="24890.965590695898"/>
    <n v="21293.369532350931"/>
    <n v="46032.73046875"/>
  </r>
  <r>
    <x v="6"/>
    <x v="4"/>
    <n v="40131.981626238819"/>
    <n v="34425.219147204014"/>
    <n v="74557.203125"/>
    <n v="26326.46137763666"/>
    <n v="23106.222607282802"/>
    <n v="49277.390625"/>
  </r>
  <r>
    <x v="6"/>
    <x v="5"/>
    <n v="38340.008458514152"/>
    <n v="33498.621984095364"/>
    <n v="71838.6328125"/>
    <n v="24996.652428823192"/>
    <n v="22434.852130479565"/>
    <n v="47269.09765625"/>
  </r>
  <r>
    <x v="6"/>
    <x v="6"/>
    <n v="39922.374639919282"/>
    <n v="34423.233959397068"/>
    <n v="74345.609375"/>
    <n v="26028.592036731676"/>
    <n v="23003.464833782262"/>
    <n v="48891.4453125"/>
  </r>
  <r>
    <x v="6"/>
    <x v="7"/>
    <n v="40245.120505748324"/>
    <n v="35498.953734639021"/>
    <n v="75744.078125"/>
    <n v="26122.375486487654"/>
    <n v="23683.267321488751"/>
    <n v="49617.83203125"/>
  </r>
  <r>
    <x v="6"/>
    <x v="8"/>
    <n v="37786.278588814312"/>
    <n v="31904.99343939696"/>
    <n v="69691.2734375"/>
    <n v="24471.972940127955"/>
    <n v="21262.151854751231"/>
    <n v="45577.01171875"/>
  </r>
  <r>
    <x v="6"/>
    <x v="9"/>
    <n v="39607.507049771477"/>
    <n v="33486.519534793762"/>
    <n v="73094.0234375"/>
    <n v="25453.576765271315"/>
    <n v="22255.106877260987"/>
    <n v="47539.27734375"/>
  </r>
  <r>
    <x v="6"/>
    <x v="10"/>
    <n v="40269.743823173703"/>
    <n v="32130.26646164776"/>
    <n v="72400.0078125"/>
    <n v="25751.320222638598"/>
    <n v="21295.500263605256"/>
    <n v="46907.1875"/>
  </r>
  <r>
    <x v="6"/>
    <x v="11"/>
    <n v="44626.774606574807"/>
    <n v="33522.00474836542"/>
    <n v="78148.78125"/>
    <n v="28273.705559179001"/>
    <n v="22157.478671995264"/>
    <n v="50300.82421875"/>
  </r>
  <r>
    <x v="7"/>
    <x v="0"/>
    <n v="39579.078116778735"/>
    <n v="32136.745489045476"/>
    <n v="71715.8203125"/>
    <n v="25088.937424118707"/>
    <n v="21172.744437865673"/>
    <n v="46109.99609375"/>
  </r>
  <r>
    <x v="7"/>
    <x v="1"/>
    <n v="37636.776821076513"/>
    <n v="32308.589044369943"/>
    <n v="69945.3671875"/>
    <n v="23857.366313909839"/>
    <n v="21217.011617828299"/>
    <n v="44898.390625"/>
  </r>
  <r>
    <x v="7"/>
    <x v="2"/>
    <n v="39913.027820331197"/>
    <n v="34837.272815089404"/>
    <n v="74750.296875"/>
    <n v="25258.692426311485"/>
    <n v="22840.623873527042"/>
    <n v="47904.6484375"/>
  </r>
  <r>
    <x v="7"/>
    <x v="3"/>
    <n v="40004.433578041491"/>
    <n v="34632.872204991079"/>
    <n v="74637.3046875"/>
    <n v="25343.67993721582"/>
    <n v="22657.87452640527"/>
    <n v="47806.30859375"/>
  </r>
  <r>
    <x v="7"/>
    <x v="4"/>
    <n v="42036.328205942031"/>
    <n v="36054.513931304784"/>
    <n v="78090.84375"/>
    <n v="26273.770604101479"/>
    <n v="23524.898992502425"/>
    <n v="49588.3125"/>
  </r>
  <r>
    <x v="7"/>
    <x v="5"/>
    <n v="40582.548322479342"/>
    <n v="35442.775339812208"/>
    <n v="76025.3203125"/>
    <n v="25337.62644505631"/>
    <n v="23088.830728542096"/>
    <n v="48224.86328125"/>
  </r>
  <r>
    <x v="7"/>
    <x v="6"/>
    <n v="42195.206143650576"/>
    <n v="37253.081549655813"/>
    <n v="79448.2890625"/>
    <n v="26301.910700011598"/>
    <n v="24165.00889230362"/>
    <n v="50261.25"/>
  </r>
  <r>
    <x v="7"/>
    <x v="7"/>
    <n v="41053.175695412319"/>
    <n v="36229.966265547948"/>
    <n v="77283.140625"/>
    <n v="25644.557658647445"/>
    <n v="23426.797351197452"/>
    <n v="48891.515625"/>
  </r>
  <r>
    <x v="7"/>
    <x v="8"/>
    <n v="40222.244465396157"/>
    <n v="34295.185355220157"/>
    <n v="74517.4296875"/>
    <n v="25206.218679233625"/>
    <n v="22117.368697862406"/>
    <n v="47167.1015625"/>
  </r>
  <r>
    <x v="7"/>
    <x v="9"/>
    <n v="41808.371172127241"/>
    <n v="35949.662467006252"/>
    <n v="77758.03125"/>
    <n v="25948.934351358155"/>
    <n v="23123.52682171917"/>
    <n v="48903.96484375"/>
  </r>
  <r>
    <x v="7"/>
    <x v="10"/>
    <n v="42457.596583923587"/>
    <n v="33801.533574908448"/>
    <n v="76259.1328125"/>
    <n v="26323.596762442605"/>
    <n v="21719.249627610989"/>
    <n v="47884.8203125"/>
  </r>
  <r>
    <x v="7"/>
    <x v="11"/>
    <n v="48331.681824840824"/>
    <n v="36598.239463048463"/>
    <n v="84929.921875"/>
    <n v="29901.646197592934"/>
    <n v="23479.564432635521"/>
    <n v="53244.52734375"/>
  </r>
  <r>
    <x v="8"/>
    <x v="0"/>
    <n v="40992.021291754885"/>
    <n v="33469.157985651051"/>
    <n v="74461.1796875"/>
    <n v="25306.858875331527"/>
    <n v="21371.236762149132"/>
    <n v="46533.3125"/>
  </r>
  <r>
    <x v="8"/>
    <x v="1"/>
    <n v="38780.890225851661"/>
    <n v="33399.954334170834"/>
    <n v="72180.84375"/>
    <n v="24056.211907779892"/>
    <n v="21260.516363256382"/>
    <n v="45179.93359375"/>
  </r>
  <r>
    <x v="8"/>
    <x v="2"/>
    <n v="43225.494468889461"/>
    <n v="36607.768566931896"/>
    <n v="79833.265625"/>
    <n v="26798.783486882312"/>
    <n v="23266.218013689449"/>
    <n v="49890.51171875"/>
  </r>
  <r>
    <x v="8"/>
    <x v="3"/>
    <n v="41920.408248840191"/>
    <n v="37370.787392543461"/>
    <n v="79291.1953125"/>
    <n v="25756.687285552838"/>
    <n v="23701.851525687118"/>
    <n v="49265.1796875"/>
  </r>
  <r>
    <x v="8"/>
    <x v="4"/>
    <n v="43888.254565546958"/>
    <n v="38100.130923449549"/>
    <n v="81988.3828125"/>
    <n v="26894.728301297728"/>
    <n v="24101.740118513531"/>
    <n v="50834.0859375"/>
  </r>
  <r>
    <x v="8"/>
    <x v="5"/>
    <n v="43476.718930679337"/>
    <n v="37843.461051514336"/>
    <n v="81320.1796875"/>
    <n v="26768.960496381897"/>
    <n v="23864.961536187606"/>
    <n v="50472.75390625"/>
  </r>
  <r>
    <x v="8"/>
    <x v="6"/>
    <n v="44400.597317538151"/>
    <n v="39292.334615789638"/>
    <n v="83692.9296875"/>
    <n v="27280.005647884951"/>
    <n v="24727.278728130139"/>
    <n v="51836.5390625"/>
  </r>
  <r>
    <x v="8"/>
    <x v="7"/>
    <n v="44261.60570691777"/>
    <n v="38654.538435412236"/>
    <n v="82916.140625"/>
    <n v="27237.494562037351"/>
    <n v="24250.459606002016"/>
    <n v="51328.52734375"/>
  </r>
  <r>
    <x v="8"/>
    <x v="8"/>
    <n v="43230.755553344003"/>
    <n v="36790.690347825301"/>
    <n v="80021.4453125"/>
    <n v="26532.971469643457"/>
    <n v="23033.32849095884"/>
    <n v="49407.1796875"/>
  </r>
  <r>
    <x v="8"/>
    <x v="9"/>
    <n v="44440.44299392659"/>
    <n v="37864.508714954492"/>
    <n v="82304.953125"/>
    <n v="27160.903164892923"/>
    <n v="23632.257919458782"/>
    <n v="50631.8984375"/>
  </r>
  <r>
    <x v="8"/>
    <x v="10"/>
    <n v="45068.812674264991"/>
    <n v="36063.369622723971"/>
    <n v="81132.1796875"/>
    <n v="27515.957856779609"/>
    <n v="22461.533865087051"/>
    <n v="49832.6171875"/>
  </r>
  <r>
    <x v="8"/>
    <x v="11"/>
    <n v="51339.060522445965"/>
    <n v="39057.266759033235"/>
    <n v="90396.328125"/>
    <n v="31229.530695535545"/>
    <n v="24275.89832087998"/>
    <n v="55378.8828125"/>
  </r>
  <r>
    <x v="9"/>
    <x v="0"/>
    <n v="42652.31442921589"/>
    <n v="36351.426269572155"/>
    <n v="79003.7421875"/>
    <n v="25717.197985078234"/>
    <n v="22524.394547944732"/>
    <n v="48100.29296875"/>
  </r>
  <r>
    <x v="9"/>
    <x v="1"/>
    <n v="41060.543407513433"/>
    <n v="35480.151710280086"/>
    <n v="76540.6953125"/>
    <n v="24860.254971323433"/>
    <n v="21917.016744067332"/>
    <n v="46624.7265625"/>
  </r>
  <r>
    <x v="9"/>
    <x v="2"/>
    <n v="44890.832176427786"/>
    <n v="39818.125152627581"/>
    <n v="84708.9609375"/>
    <n v="27221.805309427506"/>
    <n v="24546.312089780688"/>
    <n v="51600.421875"/>
  </r>
  <r>
    <x v="9"/>
    <x v="3"/>
    <n v="44482.326988970184"/>
    <n v="39195.112615450322"/>
    <n v="83677.4375"/>
    <n v="27086.980611869159"/>
    <n v="24112.977773811595"/>
    <n v="51051.01171875"/>
  </r>
  <r>
    <x v="9"/>
    <x v="4"/>
    <n v="46765.539274347153"/>
    <n v="40467.455848957048"/>
    <n v="87232.9921875"/>
    <n v="28418.298048247132"/>
    <n v="24807.663761409425"/>
    <n v="53083.20703125"/>
  </r>
  <r>
    <x v="9"/>
    <x v="5"/>
    <n v="45939.680516169974"/>
    <n v="40294.836770338421"/>
    <n v="86234.515625"/>
    <n v="27873.327565297775"/>
    <n v="24639.606646986918"/>
    <n v="52394.671875"/>
  </r>
  <r>
    <x v="9"/>
    <x v="6"/>
    <n v="46469.295913116417"/>
    <n v="40887.142328535134"/>
    <n v="87356.4375"/>
    <n v="28136.697890703348"/>
    <n v="24939.076692928116"/>
    <n v="52940.23828125"/>
  </r>
  <r>
    <x v="9"/>
    <x v="7"/>
    <n v="46831.276766860239"/>
    <n v="41183.645953438681"/>
    <n v="88014.921875"/>
    <n v="28283.170546338944"/>
    <n v="25057.197529493144"/>
    <n v="53202.8828125"/>
  </r>
  <r>
    <x v="9"/>
    <x v="8"/>
    <n v="44599.265696589981"/>
    <n v="39478.441341392798"/>
    <n v="84077.7109375"/>
    <n v="26797.210393089739"/>
    <n v="23983.889980131997"/>
    <n v="50641.609375"/>
  </r>
  <r>
    <x v="9"/>
    <x v="9"/>
    <n v="45621.204485537171"/>
    <n v="39816.711891457089"/>
    <n v="85437.9140625"/>
    <n v="27271.674856453661"/>
    <n v="24117.460014628221"/>
    <n v="51225.90234375"/>
  </r>
  <r>
    <x v="9"/>
    <x v="10"/>
    <n v="47200.294751408503"/>
    <n v="37971.413776402842"/>
    <n v="85171.7109375"/>
    <n v="28332.907926344436"/>
    <n v="22943.031399078238"/>
    <n v="51144.140625"/>
  </r>
  <r>
    <x v="9"/>
    <x v="11"/>
    <n v="53515.863093843232"/>
    <n v="42130.692591547791"/>
    <n v="95646.5546875"/>
    <n v="32125.348895826621"/>
    <n v="25381.091569739598"/>
    <n v="57375.796875"/>
  </r>
  <r>
    <x v="10"/>
    <x v="0"/>
    <n v="45245.249934012019"/>
    <n v="37877.836134982768"/>
    <n v="83123.0859375"/>
    <n v="26834.400993653784"/>
    <n v="22710.497146210717"/>
    <n v="49408.84375"/>
  </r>
  <r>
    <x v="10"/>
    <x v="1"/>
    <n v="43205.647877984804"/>
    <n v="37301.114942465501"/>
    <n v="80506.765625"/>
    <n v="25428.987816067936"/>
    <n v="22284.18474252673"/>
    <n v="47569.43359375"/>
  </r>
  <r>
    <x v="10"/>
    <x v="2"/>
    <n v="47680.490020121091"/>
    <n v="42569.425334979591"/>
    <n v="90249.9140625"/>
    <n v="27982.701403057814"/>
    <n v="25410.326491689317"/>
    <n v="53219.1796875"/>
  </r>
  <r>
    <x v="10"/>
    <x v="3"/>
    <n v="45949.047530186217"/>
    <n v="40934.216537222768"/>
    <n v="86883.265625"/>
    <n v="26932.786940229249"/>
    <n v="24357.687185023096"/>
    <n v="51127.5234375"/>
  </r>
  <r>
    <x v="10"/>
    <x v="4"/>
    <n v="49292.169998921505"/>
    <n v="43020.974477633557"/>
    <n v="92313.140625"/>
    <n v="28703.294036597006"/>
    <n v="25536.089987177129"/>
    <n v="54061.41015625"/>
  </r>
  <r>
    <x v="10"/>
    <x v="5"/>
    <n v="48365.138780039109"/>
    <n v="43312.947376456366"/>
    <n v="91678.0859375"/>
    <n v="28077.34560775532"/>
    <n v="25621.784478515659"/>
    <n v="53517.11328125"/>
  </r>
  <r>
    <x v="10"/>
    <x v="6"/>
    <n v="48351.291307309672"/>
    <n v="43351.309732292473"/>
    <n v="91702.6015625"/>
    <n v="28006.418126243338"/>
    <n v="25520.674119486062"/>
    <n v="53352.21484375"/>
  </r>
  <r>
    <x v="10"/>
    <x v="7"/>
    <n v="49105.678980763259"/>
    <n v="43789.066004926914"/>
    <n v="92894.7421875"/>
    <n v="28341.083052564991"/>
    <n v="25675.616303459559"/>
    <n v="53843.27734375"/>
  </r>
  <r>
    <x v="10"/>
    <x v="8"/>
    <n v="46607.400710086484"/>
    <n v="41154.220337453546"/>
    <n v="87761.6171875"/>
    <n v="26757.482855990849"/>
    <n v="24008.940639584594"/>
    <n v="50605.92578125"/>
  </r>
  <r>
    <x v="10"/>
    <x v="9"/>
    <n v="48079.375567341885"/>
    <n v="42067.101011744795"/>
    <n v="90146.4765625"/>
    <n v="27447.836582382501"/>
    <n v="24485.737073756176"/>
    <n v="51765.14453125"/>
  </r>
  <r>
    <x v="10"/>
    <x v="10"/>
    <n v="50433.25339335866"/>
    <n v="40574.221085972858"/>
    <n v="91007.4765625"/>
    <n v="28732.711521934751"/>
    <n v="23550.863221096686"/>
    <n v="52137.703125"/>
  </r>
  <r>
    <x v="10"/>
    <x v="11"/>
    <n v="56382.505899875352"/>
    <n v="43437.473273868825"/>
    <n v="99819.9765625"/>
    <n v="32048.263563522516"/>
    <n v="25166.411111474281"/>
    <n v="57068.203125"/>
  </r>
  <r>
    <x v="11"/>
    <x v="0"/>
    <n v="48065.407743163458"/>
    <n v="39635.893454335674"/>
    <n v="87701.3046875"/>
    <n v="26954.828735366678"/>
    <n v="22871.835853204077"/>
    <n v="49679.80859375"/>
  </r>
  <r>
    <x v="11"/>
    <x v="1"/>
    <n v="46894.37161048501"/>
    <n v="40176.171828479448"/>
    <n v="87070.546875"/>
    <n v="26253.074858237931"/>
    <n v="23094.330464154104"/>
    <n v="49193.28125"/>
  </r>
  <r>
    <x v="11"/>
    <x v="2"/>
    <n v="50116.590608196086"/>
    <n v="43094.294823823708"/>
    <n v="93210.8828125"/>
    <n v="28072.501550567566"/>
    <n v="24694.16695840063"/>
    <n v="52607.3828125"/>
  </r>
  <r>
    <x v="11"/>
    <x v="3"/>
    <n v="48207.596882338774"/>
    <n v="42472.544565512988"/>
    <n v="90680.140625"/>
    <n v="26662.682901745229"/>
    <n v="24274.91914165004"/>
    <n v="50762.78125"/>
  </r>
  <r>
    <x v="11"/>
    <x v="4"/>
    <n v="52812.802645477299"/>
    <n v="45588.769663961306"/>
    <n v="98401.5703125"/>
    <n v="29068.689902425471"/>
    <n v="25947.841345676483"/>
    <n v="54837.94140625"/>
  </r>
  <r>
    <x v="11"/>
    <x v="5"/>
    <n v="50621.195505004056"/>
    <n v="43837.544115718119"/>
    <n v="94458.7421875"/>
    <n v="27689.999418735904"/>
    <n v="24829.175793530361"/>
    <n v="52347.14453125"/>
  </r>
  <r>
    <x v="11"/>
    <x v="6"/>
    <n v="51973.0912548333"/>
    <n v="44698.600188913042"/>
    <n v="96671.6953125"/>
    <n v="28083.62496726419"/>
    <n v="25157.473265068125"/>
    <n v="53061.91796875"/>
  </r>
  <r>
    <x v="11"/>
    <x v="7"/>
    <n v="52058.732904118675"/>
    <n v="45474.523050200776"/>
    <n v="97533.2578125"/>
    <n v="27937.574865106963"/>
    <n v="25513.177273771642"/>
    <n v="53257.03125"/>
  </r>
  <r>
    <x v="11"/>
    <x v="8"/>
    <n v="48460.739871576632"/>
    <n v="41749.181693062856"/>
    <n v="90209.921875"/>
    <n v="25842.350344573311"/>
    <n v="23298.518714255923"/>
    <n v="48969.9296875"/>
  </r>
  <r>
    <x v="11"/>
    <x v="9"/>
    <n v="50201.24411963595"/>
    <n v="43055.765297953723"/>
    <n v="93257.0078125"/>
    <n v="26643.408123975198"/>
    <n v="23911.258975424389"/>
    <n v="50382.86328125"/>
  </r>
  <r>
    <x v="11"/>
    <x v="10"/>
    <n v="50465.875929468617"/>
    <n v="40800.112766152008"/>
    <n v="91265.9921875"/>
    <n v="26852.565080257547"/>
    <n v="22581.420296275592"/>
    <n v="49304.72265625"/>
  </r>
  <r>
    <x v="11"/>
    <x v="11"/>
    <n v="54793.913425702071"/>
    <n v="42242.56730188644"/>
    <n v="97036.484375"/>
    <n v="29207.605501744023"/>
    <n v="23312.381918588631"/>
    <n v="52408.70703125"/>
  </r>
  <r>
    <x v="12"/>
    <x v="0"/>
    <n v="48360.997656494103"/>
    <n v="40349.519305613285"/>
    <n v="88710.515625"/>
    <n v="25652.675915988744"/>
    <n v="22204.39409424318"/>
    <n v="47722.15625"/>
  </r>
  <r>
    <x v="12"/>
    <x v="1"/>
    <n v="44755.428092338458"/>
    <n v="38916.182985215928"/>
    <n v="83671.609375"/>
    <n v="23886.338272718127"/>
    <n v="21353.536674639075"/>
    <n v="45107.96875"/>
  </r>
  <r>
    <x v="12"/>
    <x v="2"/>
    <n v="47821.612727184176"/>
    <n v="42449.431768276838"/>
    <n v="90271.046875"/>
    <n v="25672.210482285369"/>
    <n v="23266.754489578718"/>
    <n v="48800.4609375"/>
  </r>
  <r>
    <x v="12"/>
    <x v="3"/>
    <n v="48054.282939184959"/>
    <n v="41938.644379659323"/>
    <n v="89992.9296875"/>
    <n v="25955.080448059754"/>
    <n v="22916.153952028726"/>
    <n v="48747.78515625"/>
  </r>
  <r>
    <x v="12"/>
    <x v="4"/>
    <n v="50880.821570606036"/>
    <n v="44676.19532930525"/>
    <n v="95557.015625"/>
    <n v="27570.109294004196"/>
    <n v="24399.461810092824"/>
    <n v="51841.609375"/>
  </r>
  <r>
    <x v="12"/>
    <x v="5"/>
    <n v="48991.404871858533"/>
    <n v="43002.710814075166"/>
    <n v="91994.1171875"/>
    <n v="26578.796676245191"/>
    <n v="23471.048135393819"/>
    <n v="49928.375"/>
  </r>
  <r>
    <x v="12"/>
    <x v="6"/>
    <n v="50285.973382534059"/>
    <n v="43968.365794917874"/>
    <n v="94254.3359375"/>
    <n v="27410.005990187001"/>
    <n v="23978.753849837125"/>
    <n v="51268.80078125"/>
  </r>
  <r>
    <x v="12"/>
    <x v="7"/>
    <n v="49917.086392306745"/>
    <n v="43667.817879110968"/>
    <n v="93584.90625"/>
    <n v="27221.202123877927"/>
    <n v="23779.835239144762"/>
    <n v="50882.88671875"/>
  </r>
  <r>
    <x v="12"/>
    <x v="8"/>
    <n v="47574.191530345124"/>
    <n v="40840.972907902207"/>
    <n v="88415.1640625"/>
    <n v="26004.465919739701"/>
    <n v="22207.924571722157"/>
    <n v="48101.2734375"/>
  </r>
  <r>
    <x v="12"/>
    <x v="9"/>
    <n v="49934.007806857138"/>
    <n v="42476.70331473495"/>
    <n v="92410.7109375"/>
    <n v="27247.057955402826"/>
    <n v="23074.595686717781"/>
    <n v="50203.81640625"/>
  </r>
  <r>
    <x v="12"/>
    <x v="10"/>
    <n v="50322.762327790624"/>
    <n v="39869.196102071219"/>
    <n v="90191.9609375"/>
    <n v="27562.288407898479"/>
    <n v="21618.604450925457"/>
    <n v="49057.3046875"/>
  </r>
  <r>
    <x v="12"/>
    <x v="11"/>
    <n v="56690.680702500162"/>
    <n v="42153.884419117028"/>
    <n v="98844.5625"/>
    <n v="30972.83101359264"/>
    <n v="22841.43704567639"/>
    <n v="53671.7421875"/>
  </r>
  <r>
    <x v="13"/>
    <x v="0"/>
    <n v="48869.661286969262"/>
    <n v="39786.69692939199"/>
    <n v="88656.359375"/>
    <n v="26448.195566852482"/>
    <n v="21546.378599362593"/>
    <n v="47867.56640625"/>
  </r>
  <r>
    <x v="13"/>
    <x v="1"/>
    <n v="46676.107830554298"/>
    <n v="39406.247717898455"/>
    <n v="86082.359375"/>
    <n v="25296.299096721184"/>
    <n v="21324.551666510619"/>
    <n v="46498.19921875"/>
  </r>
  <r>
    <x v="13"/>
    <x v="2"/>
    <n v="50527.799361271456"/>
    <n v="43630.898316532315"/>
    <n v="94158.6953125"/>
    <n v="27321.292945603353"/>
    <n v="23620.036362949188"/>
    <n v="50801.7265625"/>
  </r>
  <r>
    <x v="13"/>
    <x v="3"/>
    <n v="49297.821518867982"/>
    <n v="43625.778961926488"/>
    <n v="92923.6015625"/>
    <n v="26643.671943304045"/>
    <n v="23587.332721034829"/>
    <n v="50092.8125"/>
  </r>
  <r>
    <x v="13"/>
    <x v="4"/>
    <n v="51782.32310718501"/>
    <n v="45261.186045496157"/>
    <n v="97043.5078125"/>
    <n v="27980.692662831749"/>
    <n v="24439.342621854175"/>
    <n v="52276.5546875"/>
  </r>
  <r>
    <x v="13"/>
    <x v="5"/>
    <n v="49919.342755995596"/>
    <n v="44099.665254294137"/>
    <n v="94019.0078125"/>
    <n v="27029.469023984992"/>
    <n v="23788.612171756868"/>
    <n v="50683.3203125"/>
  </r>
  <r>
    <x v="13"/>
    <x v="6"/>
    <n v="51340.236149489741"/>
    <n v="45749.572723128978"/>
    <n v="97089.8125"/>
    <n v="27813.645767079161"/>
    <n v="24688.26481041946"/>
    <n v="52361.8828125"/>
  </r>
  <r>
    <x v="13"/>
    <x v="7"/>
    <n v="50549.910956637956"/>
    <n v="44987.617511414704"/>
    <n v="95537.53125"/>
    <n v="27370.584773998056"/>
    <n v="24200.939332438786"/>
    <n v="51437.86328125"/>
  </r>
  <r>
    <x v="13"/>
    <x v="8"/>
    <n v="48968.596971976476"/>
    <n v="42473.921846452475"/>
    <n v="91442.515625"/>
    <n v="26419.787077291789"/>
    <n v="22783.243860731807"/>
    <n v="49071"/>
  </r>
  <r>
    <x v="13"/>
    <x v="9"/>
    <n v="50721.565077899599"/>
    <n v="44321.681469524992"/>
    <n v="95043.25"/>
    <n v="27298.63486159149"/>
    <n v="23752.522526072633"/>
    <n v="50910.796875"/>
  </r>
  <r>
    <x v="13"/>
    <x v="10"/>
    <n v="52043.710768491801"/>
    <n v="41761.494047741202"/>
    <n v="93805.203125"/>
    <n v="28031.719019467222"/>
    <n v="22358.699712539186"/>
    <n v="50247.39453125"/>
  </r>
  <r>
    <x v="13"/>
    <x v="11"/>
    <n v="58467.299214660728"/>
    <n v="44403.145426198163"/>
    <n v="102870.4453125"/>
    <n v="31431.819761274484"/>
    <n v="23751.513114329839"/>
    <n v="55021.203125"/>
  </r>
  <r>
    <x v="14"/>
    <x v="0"/>
    <n v="50313.956086956809"/>
    <n v="41484.678002838897"/>
    <n v="91798.6328125"/>
    <n v="26672.819280405169"/>
    <n v="22146.215534140178"/>
    <n v="48666.3046875"/>
  </r>
  <r>
    <x v="14"/>
    <x v="1"/>
    <n v="48136.214411102279"/>
    <n v="41759.580667697715"/>
    <n v="89895.796875"/>
    <n v="25377.47086464426"/>
    <n v="22251.907802335998"/>
    <n v="47468.6484375"/>
  </r>
  <r>
    <x v="14"/>
    <x v="2"/>
    <n v="52520.067591438456"/>
    <n v="46640.655912854709"/>
    <n v="99160.7265625"/>
    <n v="27417.750639801157"/>
    <n v="24779.906192529401"/>
    <n v="52000.5234375"/>
  </r>
  <r>
    <x v="14"/>
    <x v="3"/>
    <n v="52999.768771420255"/>
    <n v="46461.60304803327"/>
    <n v="99461.375"/>
    <n v="27569.36548665748"/>
    <n v="24599.223389016948"/>
    <n v="51973.6796875"/>
  </r>
  <r>
    <x v="14"/>
    <x v="4"/>
    <n v="54000.036332741292"/>
    <n v="47971.756431845672"/>
    <n v="101971.7890625"/>
    <n v="27949.868892956441"/>
    <n v="25352.816407623359"/>
    <n v="53091.58984375"/>
  </r>
  <r>
    <x v="14"/>
    <x v="5"/>
    <n v="53371.362842128263"/>
    <n v="47255.394267137075"/>
    <n v="100626.7578125"/>
    <n v="27596.097745428"/>
    <n v="24909.938724205284"/>
    <n v="52302.8125"/>
  </r>
  <r>
    <x v="14"/>
    <x v="6"/>
    <n v="54388.439544148896"/>
    <n v="48581.913179783245"/>
    <n v="102970.3515625"/>
    <n v="27960.393339945025"/>
    <n v="25555.834892877614"/>
    <n v="53296.83984375"/>
  </r>
  <r>
    <x v="14"/>
    <x v="7"/>
    <n v="54083.529443783045"/>
    <n v="47684.116285939861"/>
    <n v="101767.6484375"/>
    <n v="27625.286842960966"/>
    <n v="24982.885649457374"/>
    <n v="52390.25"/>
  </r>
  <r>
    <x v="14"/>
    <x v="8"/>
    <n v="51975.106571357574"/>
    <n v="45944.217866584921"/>
    <n v="97919.328125"/>
    <n v="26387.921892338007"/>
    <n v="24017.608583834597"/>
    <n v="50186.34765625"/>
  </r>
  <r>
    <x v="14"/>
    <x v="9"/>
    <n v="53505.400579199588"/>
    <n v="46935.593388552588"/>
    <n v="100440.9921875"/>
    <n v="27110.411675987405"/>
    <n v="24490.819072711867"/>
    <n v="51379.83203125"/>
  </r>
  <r>
    <x v="14"/>
    <x v="10"/>
    <n v="54875.376308952269"/>
    <n v="44345.385053132755"/>
    <n v="99220.7578125"/>
    <n v="27902.783083938921"/>
    <n v="23081.01060381133"/>
    <n v="50805.55078125"/>
  </r>
  <r>
    <x v="14"/>
    <x v="11"/>
    <n v="61125.616516771232"/>
    <n v="47836.230895599314"/>
    <n v="108961.84375"/>
    <n v="30998.580254937206"/>
    <n v="24856.333147456055"/>
    <n v="55670.171875"/>
  </r>
  <r>
    <x v="15"/>
    <x v="0"/>
    <n v="51902.818215452193"/>
    <n v="44479.079741007634"/>
    <n v="96381.8984375"/>
    <n v="26125.981247393855"/>
    <n v="23029.749980753102"/>
    <n v="48953.99609375"/>
  </r>
  <r>
    <x v="15"/>
    <x v="1"/>
    <n v="51941.731967451014"/>
    <n v="45730.952231151095"/>
    <n v="97672.6875"/>
    <n v="26202.782982716686"/>
    <n v="23643.973361886055"/>
    <n v="49648.0234375"/>
  </r>
  <r>
    <x v="15"/>
    <x v="2"/>
    <n v="55610.772240345046"/>
    <n v="50531.617625535015"/>
    <n v="106142.390625"/>
    <n v="28028.134442350292"/>
    <n v="26073.75682435057"/>
    <n v="53882.3359375"/>
  </r>
  <r>
    <x v="15"/>
    <x v="3"/>
    <n v="53619.255388274243"/>
    <n v="48663.552374209619"/>
    <n v="102282.8046875"/>
    <n v="26985.288203885182"/>
    <n v="25043.67289372929"/>
    <n v="51824.6484375"/>
  </r>
  <r>
    <x v="15"/>
    <x v="4"/>
    <n v="56484.983061683604"/>
    <n v="50628.225231363125"/>
    <n v="107113.2109375"/>
    <n v="28450.386643269154"/>
    <n v="25992.335007007488"/>
    <n v="54247.6953125"/>
  </r>
  <r>
    <x v="15"/>
    <x v="5"/>
    <n v="55044.797659199336"/>
    <n v="50259.819193615665"/>
    <n v="105304.6171875"/>
    <n v="27724.571482162322"/>
    <n v="25740.486495175919"/>
    <n v="53280.58203125"/>
  </r>
  <r>
    <x v="15"/>
    <x v="6"/>
    <n v="54940.056709306737"/>
    <n v="50107.311543430878"/>
    <n v="105047.3671875"/>
    <n v="27696.087523109942"/>
    <n v="25608.683255111959"/>
    <n v="53135.1796875"/>
  </r>
  <r>
    <x v="15"/>
    <x v="7"/>
    <n v="56293.339455130794"/>
    <n v="50535.674131084284"/>
    <n v="106829.015625"/>
    <n v="28328.360740864184"/>
    <n v="25749.779431713047"/>
    <n v="53914.9921875"/>
  </r>
  <r>
    <x v="15"/>
    <x v="8"/>
    <n v="53380.511050039408"/>
    <n v="48001.199331872034"/>
    <n v="101381.7109375"/>
    <n v="26872.71246828157"/>
    <n v="24406.487804555723"/>
    <n v="51134.80859375"/>
  </r>
  <r>
    <x v="15"/>
    <x v="9"/>
    <n v="55094.571692849757"/>
    <n v="48752.99397362068"/>
    <n v="103847.5625"/>
    <n v="27634.671527352199"/>
    <n v="24770.434060316682"/>
    <n v="52249.19140625"/>
  </r>
  <r>
    <x v="15"/>
    <x v="10"/>
    <n v="56690.331754542625"/>
    <n v="47719.135278455113"/>
    <n v="104409.46875"/>
    <n v="28454.239316255731"/>
    <n v="24215.263354895873"/>
    <n v="52527.8828125"/>
  </r>
  <r>
    <x v="15"/>
    <x v="11"/>
    <n v="61937.143305725127"/>
    <n v="50772.064344654886"/>
    <n v="112709.2109375"/>
    <n v="31006.314672358945"/>
    <n v="25730.096280504287"/>
    <n v="56584.4375"/>
  </r>
  <r>
    <x v="16"/>
    <x v="0"/>
    <n v="53782.182439264376"/>
    <n v="47020.93507680123"/>
    <n v="100803.1171875"/>
    <n v="26769.556920792918"/>
    <n v="23794.092253329043"/>
    <n v="50403.4765625"/>
  </r>
  <r>
    <x v="16"/>
    <x v="1"/>
    <n v="51757.938019413261"/>
    <n v="46690.475779779415"/>
    <n v="98448.4140625"/>
    <n v="25784.548665441587"/>
    <n v="23605.619558666425"/>
    <n v="49234.41796875"/>
  </r>
  <r>
    <x v="16"/>
    <x v="2"/>
    <n v="57502.861154973158"/>
    <n v="52986.482928558144"/>
    <n v="110489.34375"/>
    <n v="28677.770990347773"/>
    <n v="26735.625929228445"/>
    <n v="55248.87890625"/>
  </r>
  <r>
    <x v="16"/>
    <x v="3"/>
    <n v="53343.998811646423"/>
    <n v="50915.841133466827"/>
    <n v="104259.84375"/>
    <n v="26569.03446434435"/>
    <n v="25603.182847673081"/>
    <n v="52021.84765625"/>
  </r>
  <r>
    <x v="16"/>
    <x v="4"/>
    <n v="57868.131364491128"/>
    <n v="53288.494293423922"/>
    <n v="111156.625"/>
    <n v="28918.917524173612"/>
    <n v="26751.526739202574"/>
    <n v="55536.953125"/>
  </r>
  <r>
    <x v="16"/>
    <x v="5"/>
    <n v="55947.445503905932"/>
    <n v="51689.356473338994"/>
    <n v="107636.8046875"/>
    <n v="27935.832431420476"/>
    <n v="25908.91567860232"/>
    <n v="53717.94140625"/>
  </r>
  <r>
    <x v="16"/>
    <x v="6"/>
    <n v="56680.077369394217"/>
    <n v="51944.747099240398"/>
    <n v="108624.828125"/>
    <n v="28291.015148121554"/>
    <n v="25995.036936029817"/>
    <n v="54163.22265625"/>
  </r>
  <r>
    <x v="16"/>
    <x v="7"/>
    <n v="57794.857092571787"/>
    <n v="53172.077247902198"/>
    <n v="110966.9375"/>
    <n v="28797.827013526992"/>
    <n v="26565.546920039087"/>
    <n v="55236.671875"/>
  </r>
  <r>
    <x v="16"/>
    <x v="8"/>
    <n v="53981.528615363633"/>
    <n v="49267.536449912033"/>
    <n v="103249.0625"/>
    <n v="26893.237538626847"/>
    <n v="24592.304003052541"/>
    <n v="51369.80078125"/>
  </r>
  <r>
    <x v="16"/>
    <x v="9"/>
    <n v="56421.298127604627"/>
    <n v="51578.14884354212"/>
    <n v="107999.4453125"/>
    <n v="28064.963638489633"/>
    <n v="25712.841921627027"/>
    <n v="53654.43359375"/>
  </r>
  <r>
    <x v="16"/>
    <x v="10"/>
    <n v="58381.128990650723"/>
    <n v="50906.140423300967"/>
    <n v="109287.265625"/>
    <n v="29137.817437149486"/>
    <n v="25313.907745382334"/>
    <n v="54346.7734375"/>
  </r>
  <r>
    <x v="16"/>
    <x v="11"/>
    <n v="63302.677510720721"/>
    <n v="52608.07675073373"/>
    <n v="115910.7578125"/>
    <n v="31573.571977564774"/>
    <n v="26125.399467167324"/>
    <n v="57585.28125"/>
  </r>
  <r>
    <x v="17"/>
    <x v="0"/>
    <n v="56091.177500950122"/>
    <n v="48676.098268001013"/>
    <n v="104767.2734375"/>
    <n v="27793.412268088607"/>
    <n v="24155.335471899376"/>
    <n v="51830.578125"/>
  </r>
  <r>
    <x v="17"/>
    <x v="1"/>
    <n v="53035.069816739793"/>
    <n v="48430.331058424352"/>
    <n v="101465.3984375"/>
    <n v="26195.904369637534"/>
    <n v="23964.809350662079"/>
    <n v="50042.875"/>
  </r>
  <r>
    <x v="17"/>
    <x v="2"/>
    <n v="57671.663645310851"/>
    <n v="55196.045252103817"/>
    <n v="112867.7109375"/>
    <n v="28383.874214822044"/>
    <n v="27236.604284853733"/>
    <n v="55483.578125"/>
  </r>
  <r>
    <x v="17"/>
    <x v="3"/>
    <n v="57043.245801121906"/>
    <n v="53593.847082151064"/>
    <n v="110637.09375"/>
    <n v="27942.165727552736"/>
    <n v="26376.204978755512"/>
    <n v="54175.44140625"/>
  </r>
  <r>
    <x v="17"/>
    <x v="4"/>
    <n v="60629.02022639435"/>
    <n v="57207.169401109895"/>
    <n v="117836.1875"/>
    <n v="29525.520392292303"/>
    <n v="28107.286440675744"/>
    <n v="57460.84765625"/>
  </r>
  <r>
    <x v="17"/>
    <x v="5"/>
    <n v="57951.144061617772"/>
    <n v="54435.058124152602"/>
    <n v="112386.203125"/>
    <n v="28263.899238348513"/>
    <n v="26692.374574768623"/>
    <n v="54807.32421875"/>
  </r>
  <r>
    <x v="17"/>
    <x v="6"/>
    <n v="59524.620410423777"/>
    <n v="55454.279205132196"/>
    <n v="114978.8984375"/>
    <n v="28949.950480761065"/>
    <n v="27108.783108007789"/>
    <n v="55908.3515625"/>
  </r>
  <r>
    <x v="17"/>
    <x v="7"/>
    <n v="60253.851452421615"/>
    <n v="56752.959737566234"/>
    <n v="117006.8125"/>
    <n v="29194.541505150602"/>
    <n v="27678.025290938087"/>
    <n v="56713.109375"/>
  </r>
  <r>
    <x v="17"/>
    <x v="8"/>
    <n v="56584.047830949079"/>
    <n v="52987.219338910785"/>
    <n v="109571.265625"/>
    <n v="27319.014407477091"/>
    <n v="25762.130948248174"/>
    <n v="52931.296875"/>
  </r>
  <r>
    <x v="17"/>
    <x v="9"/>
    <n v="59493.927252050926"/>
    <n v="56009.056668613775"/>
    <n v="115502.984375"/>
    <n v="28658.858884287405"/>
    <n v="27173.705491698322"/>
    <n v="55674.7890625"/>
  </r>
  <r>
    <x v="17"/>
    <x v="10"/>
    <n v="60676.359624066507"/>
    <n v="53632.878360352406"/>
    <n v="114309.234375"/>
    <n v="29293.476046604585"/>
    <n v="25929.037169251063"/>
    <n v="55093.53515625"/>
  </r>
  <r>
    <x v="17"/>
    <x v="11"/>
    <n v="65812.872377953376"/>
    <n v="57089.870003481861"/>
    <n v="122902.7421875"/>
    <n v="31656.569964977509"/>
    <n v="27529.952890241497"/>
    <n v="59046.5390625"/>
  </r>
  <r>
    <x v="18"/>
    <x v="0"/>
    <n v="57969.844171608689"/>
    <n v="53892.424426374608"/>
    <n v="111862.265625"/>
    <n v="27806.233233249473"/>
    <n v="25945.637860223895"/>
    <n v="53619.81640625"/>
  </r>
  <r>
    <x v="18"/>
    <x v="1"/>
    <n v="54321.119824065361"/>
    <n v="52400.326785367964"/>
    <n v="106721.4453125"/>
    <n v="26078.083825837766"/>
    <n v="25159.050672318386"/>
    <n v="51126.1875"/>
  </r>
  <r>
    <x v="18"/>
    <x v="2"/>
    <n v="59227.906599963164"/>
    <n v="59273.35925054019"/>
    <n v="118501.265625"/>
    <n v="28587.493585639098"/>
    <n v="28414.95225771761"/>
    <n v="56915.95703125"/>
  </r>
  <r>
    <x v="18"/>
    <x v="3"/>
    <n v="57710.686700047787"/>
    <n v="58387.326708037457"/>
    <n v="116098.015625"/>
    <n v="27886.590897286329"/>
    <n v="27921.705012506565"/>
    <n v="55744.4609375"/>
  </r>
  <r>
    <x v="18"/>
    <x v="4"/>
    <n v="61474.524895898867"/>
    <n v="61929.285246926003"/>
    <n v="123403.8125"/>
    <n v="29739.270839361776"/>
    <n v="29546.021943143813"/>
    <n v="59236.45703125"/>
  </r>
  <r>
    <x v="18"/>
    <x v="5"/>
    <n v="59093.785210985028"/>
    <n v="58939.362935096353"/>
    <n v="118033.1484375"/>
    <n v="28530.098683268159"/>
    <n v="28061.533045989057"/>
    <n v="56545.19140625"/>
  </r>
  <r>
    <x v="18"/>
    <x v="6"/>
    <n v="61022.750337463403"/>
    <n v="60136.358010227334"/>
    <n v="121159.109375"/>
    <n v="29399.416564107582"/>
    <n v="28624.438697448641"/>
    <n v="57966.81640625"/>
  </r>
  <r>
    <x v="18"/>
    <x v="7"/>
    <n v="60454.029835577749"/>
    <n v="59972.231092816764"/>
    <n v="120426.2578125"/>
    <n v="29033.908843263933"/>
    <n v="28485.408731262156"/>
    <n v="57460.79296875"/>
  </r>
  <r>
    <x v="18"/>
    <x v="8"/>
    <n v="57489.345775417409"/>
    <n v="56747.3861645008"/>
    <n v="114236.734375"/>
    <n v="27531.210478549227"/>
    <n v="26809.037408661996"/>
    <n v="54296.8125"/>
  </r>
  <r>
    <x v="18"/>
    <x v="9"/>
    <n v="60013.264344827716"/>
    <n v="59932.704058224568"/>
    <n v="119945.96875"/>
    <n v="28697.939839966064"/>
    <n v="28255.241207883064"/>
    <n v="56914.28125"/>
  </r>
  <r>
    <x v="18"/>
    <x v="10"/>
    <n v="60441.867903954349"/>
    <n v="56284.728706389178"/>
    <n v="116726.59375"/>
    <n v="29085.515647017255"/>
    <n v="26489.974219612719"/>
    <n v="55553.08984375"/>
  </r>
  <r>
    <x v="18"/>
    <x v="11"/>
    <n v="66774.749400190602"/>
    <n v="60927.569115498918"/>
    <n v="127702.3203125"/>
    <n v="32247.081312453378"/>
    <n v="28642.748943232102"/>
    <n v="60875.5078125"/>
  </r>
  <r>
    <x v="19"/>
    <x v="0"/>
    <n v="58131.039853302333"/>
    <n v="56085.467259306133"/>
    <n v="114216.5078125"/>
    <n v="27997.479240711076"/>
    <n v="26279.173311002851"/>
    <n v="54287.421875"/>
  </r>
  <r>
    <x v="19"/>
    <x v="1"/>
    <n v="56238.727295711091"/>
    <n v="57425.217169636409"/>
    <n v="113663.9453125"/>
    <n v="27080.344936270609"/>
    <n v="26869.766833954869"/>
    <n v="53988.08984375"/>
  </r>
  <r>
    <x v="19"/>
    <x v="2"/>
    <n v="60473.324251288643"/>
    <n v="62087.827245003573"/>
    <n v="122561.1484375"/>
    <n v="29328.780011982661"/>
    <n v="28988.873340367059"/>
    <n v="58407.046875"/>
  </r>
  <r>
    <x v="19"/>
    <x v="3"/>
    <n v="58446.146379191297"/>
    <n v="62452.000140040611"/>
    <n v="120898.1484375"/>
    <n v="28309.192077778542"/>
    <n v="29088.50069955859"/>
    <n v="57513.6484375"/>
  </r>
  <r>
    <x v="19"/>
    <x v="4"/>
    <n v="61492.059018621767"/>
    <n v="63558.446082408576"/>
    <n v="125050.5078125"/>
    <n v="29943.710454778593"/>
    <n v="29541.250459793202"/>
    <n v="59621.734375"/>
  </r>
  <r>
    <x v="19"/>
    <x v="5"/>
    <n v="60634.309791378924"/>
    <n v="61645.965105306088"/>
    <n v="122280.2734375"/>
    <n v="29640.477977265116"/>
    <n v="28602.995582619013"/>
    <n v="58389.9921875"/>
  </r>
  <r>
    <x v="19"/>
    <x v="6"/>
    <n v="61449.812048575732"/>
    <n v="63165.531077116371"/>
    <n v="124615.34375"/>
    <n v="30067.524699996779"/>
    <n v="29250.191156589819"/>
    <n v="59487.69921875"/>
  </r>
  <r>
    <x v="19"/>
    <x v="7"/>
    <n v="60865.669813388224"/>
    <n v="62201.727539758955"/>
    <n v="123067.3984375"/>
    <n v="29797.115838690752"/>
    <n v="28738.794106160207"/>
    <n v="58709.625"/>
  </r>
  <r>
    <x v="19"/>
    <x v="8"/>
    <n v="58792.046544192599"/>
    <n v="60318.376684427421"/>
    <n v="119110.421875"/>
    <n v="28778.859563470272"/>
    <n v="27821.01054484972"/>
    <n v="56776.5546875"/>
  </r>
  <r>
    <x v="19"/>
    <x v="9"/>
    <n v="60927.92631486318"/>
    <n v="61881.182507900878"/>
    <n v="122809.109375"/>
    <n v="29822.280918021217"/>
    <n v="28503.39857623287"/>
    <n v="58502.80859375"/>
  </r>
  <r>
    <x v="19"/>
    <x v="10"/>
    <n v="62241.929950401689"/>
    <n v="59594.658251316068"/>
    <n v="121836.5859375"/>
    <n v="30622.998219881523"/>
    <n v="27425.304808255729"/>
    <n v="58189.17578125"/>
  </r>
  <r>
    <x v="19"/>
    <x v="11"/>
    <n v="69480.821239084427"/>
    <n v="64131.225937778821"/>
    <n v="133612.046875"/>
    <n v="34253.704811152813"/>
    <n v="29467.834330616082"/>
    <n v="63844.6171875"/>
  </r>
  <r>
    <x v="20"/>
    <x v="0"/>
    <n v="59405.524817635654"/>
    <n v="59204.115638305499"/>
    <n v="118609.640625"/>
    <n v="29177.325229924794"/>
    <n v="27103.968970103419"/>
    <n v="56463.828125"/>
  </r>
  <r>
    <x v="20"/>
    <x v="1"/>
    <n v="56710.32865873741"/>
    <n v="58813.04554466407"/>
    <n v="115523.375"/>
    <n v="27790.379605405535"/>
    <n v="26869.487922294145"/>
    <n v="54873.265625"/>
  </r>
  <r>
    <x v="20"/>
    <x v="2"/>
    <n v="62441.56457817131"/>
    <n v="66468.440274832799"/>
    <n v="128910.0078125"/>
    <n v="30557.011166231969"/>
    <n v="30317.946656039258"/>
    <n v="61139.96875"/>
  </r>
  <r>
    <x v="20"/>
    <x v="3"/>
    <n v="61627.47385918966"/>
    <n v="65015.605296419126"/>
    <n v="126643.078125"/>
    <n v="30089.032939597619"/>
    <n v="29588.929488512513"/>
    <n v="59926.7421875"/>
  </r>
  <r>
    <x v="20"/>
    <x v="4"/>
    <n v="63979.429373234147"/>
    <n v="66977.022417866712"/>
    <n v="130956.453125"/>
    <n v="31219.241823943215"/>
    <n v="30427.303474754412"/>
    <n v="61899.15234375"/>
  </r>
  <r>
    <x v="20"/>
    <x v="5"/>
    <n v="62579.08182399394"/>
    <n v="65948.480241561425"/>
    <n v="128527.5625"/>
    <n v="30621.896259270157"/>
    <n v="29949.085467921512"/>
    <n v="60839.42578125"/>
  </r>
  <r>
    <x v="20"/>
    <x v="6"/>
    <n v="63096.42585137413"/>
    <n v="65974.387170120113"/>
    <n v="129070.8125"/>
    <n v="30791.340538222983"/>
    <n v="29913.494986819449"/>
    <n v="60959.5859375"/>
  </r>
  <r>
    <x v="20"/>
    <x v="7"/>
    <n v="63704.242587614441"/>
    <n v="65902.565917987115"/>
    <n v="129606.8046875"/>
    <n v="31102.748840067445"/>
    <n v="29784.123686065846"/>
    <n v="61144.55859375"/>
  </r>
  <r>
    <x v="20"/>
    <x v="8"/>
    <n v="62005.19062608439"/>
    <n v="63530.942769914989"/>
    <n v="125536.1328125"/>
    <n v="30237.383460839865"/>
    <n v="28624.089474782337"/>
    <n v="59106.16015625"/>
  </r>
  <r>
    <x v="20"/>
    <x v="9"/>
    <n v="63128.806439019339"/>
    <n v="64554.380858913239"/>
    <n v="127683.1875"/>
    <n v="30732.063767756452"/>
    <n v="29052.570625256536"/>
    <n v="60028.32421875"/>
  </r>
  <r>
    <x v="20"/>
    <x v="10"/>
    <n v="65690.514666922274"/>
    <n v="62302.856265724717"/>
    <n v="127993.3671875"/>
    <n v="32131.941839740062"/>
    <n v="27988.414567202875"/>
    <n v="60292.40625"/>
  </r>
  <r>
    <x v="20"/>
    <x v="11"/>
    <n v="72844.104218023436"/>
    <n v="68268.220103690299"/>
    <n v="141112.328125"/>
    <n v="35604.384528999959"/>
    <n v="30594.240930247714"/>
    <n v="66375.1015625"/>
  </r>
  <r>
    <x v="21"/>
    <x v="0"/>
    <n v="61977.128602162644"/>
    <n v="60883.796714299198"/>
    <n v="122860.921875"/>
    <n v="30134.542273112151"/>
    <n v="27189.227981140692"/>
    <n v="57533.01953125"/>
  </r>
  <r>
    <x v="21"/>
    <x v="1"/>
    <n v="58681.431867698782"/>
    <n v="60861.97337382377"/>
    <n v="119543.40625"/>
    <n v="28607.704203997553"/>
    <n v="27113.908820181223"/>
    <n v="56000.578125"/>
  </r>
  <r>
    <x v="21"/>
    <x v="2"/>
    <n v="66457.786967831489"/>
    <n v="69974.938220032069"/>
    <n v="136432.71875"/>
    <n v="32402.544524925626"/>
    <n v="31140.059845230913"/>
    <n v="63886.10546875"/>
  </r>
  <r>
    <x v="21"/>
    <x v="3"/>
    <n v="61813.554749751522"/>
    <n v="67111.188018084678"/>
    <n v="128924.7421875"/>
    <n v="30015.854546747756"/>
    <n v="29793.968769459003"/>
    <n v="60170.37890625"/>
  </r>
  <r>
    <x v="21"/>
    <x v="4"/>
    <n v="66929.482926800003"/>
    <n v="71758.644488154168"/>
    <n v="138688.125"/>
    <n v="32613.984808682046"/>
    <n v="31751.523772485754"/>
    <n v="64755.421875"/>
  </r>
  <r>
    <x v="21"/>
    <x v="5"/>
    <n v="65210.955787269406"/>
    <n v="71633.622850790445"/>
    <n v="136844.578125"/>
    <n v="31793.307732424411"/>
    <n v="31638.637373689693"/>
    <n v="63861.08984375"/>
  </r>
  <r>
    <x v="21"/>
    <x v="6"/>
    <n v="65507.79901170262"/>
    <n v="71627.648136214892"/>
    <n v="137135.453125"/>
    <n v="31849.513812304398"/>
    <n v="31599.624472153369"/>
    <n v="63866.94921875"/>
  </r>
  <r>
    <x v="21"/>
    <x v="7"/>
    <n v="66567.950814918237"/>
    <n v="72188.252625778172"/>
    <n v="138756.203125"/>
    <n v="32338.34169901862"/>
    <n v="31786.621194817144"/>
    <n v="64537.578125"/>
  </r>
  <r>
    <x v="21"/>
    <x v="8"/>
    <n v="63264.764266301056"/>
    <n v="66787.082203559083"/>
    <n v="130051.84375"/>
    <n v="30719.319644049065"/>
    <n v="29343.474750994865"/>
    <n v="60413.91015625"/>
  </r>
  <r>
    <x v="21"/>
    <x v="9"/>
    <n v="65523.430172153734"/>
    <n v="68512.747800596495"/>
    <n v="134036.171875"/>
    <n v="31848.03734724013"/>
    <n v="30073.813879281199"/>
    <n v="62273.34765625"/>
  </r>
  <r>
    <x v="21"/>
    <x v="10"/>
    <n v="67857.535798856465"/>
    <n v="65853.473438253524"/>
    <n v="133711.015625"/>
    <n v="33055.357579780575"/>
    <n v="28823.950703394585"/>
    <n v="62117.15234375"/>
  </r>
  <r>
    <x v="21"/>
    <x v="11"/>
    <n v="73034.616534554152"/>
    <n v="70102.194630413447"/>
    <n v="143136.8125"/>
    <n v="35482.648077717691"/>
    <n v="30561.15718717155"/>
    <n v="66279.5078125"/>
  </r>
  <r>
    <x v="22"/>
    <x v="0"/>
    <n v="64255.123638068253"/>
    <n v="64618.785204791311"/>
    <n v="128873.90625"/>
    <n v="31037.134076195696"/>
    <n v="28073.902078183979"/>
    <n v="59394.16796875"/>
  </r>
  <r>
    <x v="22"/>
    <x v="1"/>
    <n v="59087.548791896319"/>
    <n v="64274.296676083439"/>
    <n v="123361.84375"/>
    <n v="28461.284614361077"/>
    <n v="27825.57764726867"/>
    <n v="56675.89453125"/>
  </r>
  <r>
    <x v="22"/>
    <x v="2"/>
    <n v="66432.755825791668"/>
    <n v="73945.917830051942"/>
    <n v="140378.671875"/>
    <n v="31933.636724020333"/>
    <n v="31954.191079929045"/>
    <n v="64368.2734375"/>
  </r>
  <r>
    <x v="22"/>
    <x v="3"/>
    <n v="65138.127850039265"/>
    <n v="71371.072253205566"/>
    <n v="136509.203125"/>
    <n v="31399.035401522971"/>
    <n v="30742.219284050258"/>
    <n v="62597.8828125"/>
  </r>
  <r>
    <x v="22"/>
    <x v="4"/>
    <n v="69200.599381743596"/>
    <n v="76053.29587346263"/>
    <n v="145253.890625"/>
    <n v="33320.679851512228"/>
    <n v="32690.26081043225"/>
    <n v="66504.125"/>
  </r>
  <r>
    <x v="22"/>
    <x v="5"/>
    <n v="66937.568731356456"/>
    <n v="74846.094489914758"/>
    <n v="141783.65625"/>
    <n v="32329.777252639637"/>
    <n v="32067.236598499454"/>
    <n v="64926.85546875"/>
  </r>
  <r>
    <x v="22"/>
    <x v="6"/>
    <n v="68341.614085041321"/>
    <n v="75034.915943666478"/>
    <n v="143376.53125"/>
    <n v="33014.782135354806"/>
    <n v="32083.508533470704"/>
    <n v="65602.8984375"/>
  </r>
  <r>
    <x v="22"/>
    <x v="7"/>
    <n v="69526.132634377936"/>
    <n v="76211.561343893336"/>
    <n v="145737.6875"/>
    <n v="33616.087777263841"/>
    <n v="32516.623363909504"/>
    <n v="66648.15625"/>
  </r>
  <r>
    <x v="22"/>
    <x v="8"/>
    <n v="64398.034240998255"/>
    <n v="70282.405190386809"/>
    <n v="134680.4375"/>
    <n v="31086.795775060637"/>
    <n v="29909.776777818057"/>
    <n v="61464.7265625"/>
  </r>
  <r>
    <x v="22"/>
    <x v="9"/>
    <n v="67665.568125999285"/>
    <n v="72372.40690263515"/>
    <n v="140037.96875"/>
    <n v="32557.232106206353"/>
    <n v="30741.042883437185"/>
    <n v="63740.16796875"/>
  </r>
  <r>
    <x v="22"/>
    <x v="10"/>
    <n v="70014.523668207752"/>
    <n v="69865.6749752139"/>
    <n v="139880.203125"/>
    <n v="33773.618397477781"/>
    <n v="29628.706764297734"/>
    <n v="63708.84375"/>
  </r>
  <r>
    <x v="22"/>
    <x v="11"/>
    <n v="74876.215526479937"/>
    <n v="73010.260816694718"/>
    <n v="147886.46875"/>
    <n v="36115.967138384629"/>
    <n v="30874.204178703134"/>
    <n v="67263.03125"/>
  </r>
  <r>
    <x v="23"/>
    <x v="0"/>
    <n v="65927.395459708816"/>
    <n v="67764.935759814922"/>
    <n v="133692.328125"/>
    <n v="31622.414381193776"/>
    <n v="28551.500010364049"/>
    <n v="60519.6953125"/>
  </r>
  <r>
    <x v="23"/>
    <x v="1"/>
    <n v="63667.66352413065"/>
    <n v="68364.011948617044"/>
    <n v="132031.671875"/>
    <n v="30421.05618627269"/>
    <n v="28740.234889563064"/>
    <n v="59581.03125"/>
  </r>
  <r>
    <x v="23"/>
    <x v="2"/>
    <n v="80197.886870824179"/>
    <n v="54315.547569771537"/>
    <n v="134513.4375"/>
    <n v="38146.778036284217"/>
    <n v="22800.2826318796"/>
    <n v="60508.71875"/>
  </r>
  <r>
    <x v="23"/>
    <x v="3"/>
    <n v="69951.718812051258"/>
    <n v="35716.411686064392"/>
    <n v="105668.1328125"/>
    <n v="32407.33070284882"/>
    <n v="14971.165999397987"/>
    <n v="46811.640625"/>
  </r>
  <r>
    <x v="23"/>
    <x v="4"/>
    <n v="75467.183872466732"/>
    <n v="48636.026071528591"/>
    <n v="124103.2109375"/>
    <n v="34672.451983251951"/>
    <n v="20312.063062237743"/>
    <n v="54634"/>
  </r>
  <r>
    <x v="23"/>
    <x v="5"/>
    <n v="72075.356256089872"/>
    <n v="58053.894268113843"/>
    <n v="130129.25"/>
    <n v="32956.814153862717"/>
    <n v="24120.636731919891"/>
    <n v="57004.203125"/>
  </r>
  <r>
    <x v="23"/>
    <x v="6"/>
    <n v="74914.882980684255"/>
    <n v="61896.272331207765"/>
    <n v="136811.15625"/>
    <n v="34591.838322184005"/>
    <n v="25596.823330825941"/>
    <n v="60133.44140625"/>
  </r>
  <r>
    <x v="23"/>
    <x v="7"/>
    <n v="73410.989589996781"/>
    <n v="63779.480898048809"/>
    <n v="137190.46875"/>
    <n v="33926.094621269258"/>
    <n v="26300.965907933652"/>
    <n v="60251.76171875"/>
  </r>
  <r>
    <x v="23"/>
    <x v="8"/>
    <n v="70391.773858081608"/>
    <n v="61989.292643434972"/>
    <n v="132381.0625"/>
    <n v="32658.269241337752"/>
    <n v="25421.499270753819"/>
    <n v="58121.40625"/>
  </r>
  <r>
    <x v="23"/>
    <x v="9"/>
    <n v="73721.540388498121"/>
    <n v="64735.279473362622"/>
    <n v="138456.8125"/>
    <n v="34126.212755856846"/>
    <n v="26475.261838018901"/>
    <n v="60639.12109375"/>
  </r>
  <r>
    <x v="23"/>
    <x v="10"/>
    <n v="74369.724479477387"/>
    <n v="58292.623793157698"/>
    <n v="132662.34375"/>
    <n v="34636.74901644791"/>
    <n v="23811.647796796969"/>
    <n v="58265.25"/>
  </r>
  <r>
    <x v="23"/>
    <x v="11"/>
    <n v="80446.196407990385"/>
    <n v="59478.098556877812"/>
    <n v="139924.296875"/>
    <n v="37340.709349190045"/>
    <n v="24205.356030308409"/>
    <n v="61237.57421875"/>
  </r>
  <r>
    <x v="24"/>
    <x v="0"/>
    <n v="73214.925914834384"/>
    <n v="60317.382324360762"/>
    <n v="133532.3125"/>
    <n v="33869.051839604173"/>
    <n v="24464.133736873089"/>
    <n v="58242.77734375"/>
  </r>
  <r>
    <x v="24"/>
    <x v="1"/>
    <n v="67069.075249911359"/>
    <n v="57783.186083320252"/>
    <n v="124852.2578125"/>
    <n v="30951.227287134308"/>
    <n v="23423.965759111321"/>
    <n v="54371.50390625"/>
  </r>
  <r>
    <x v="24"/>
    <x v="2"/>
    <n v="77283.231698370204"/>
    <n v="73119.997023497315"/>
    <n v="150403.234375"/>
    <n v="35592.349910245684"/>
    <n v="29605.986904187375"/>
    <n v="65390.421875"/>
  </r>
  <r>
    <x v="24"/>
    <x v="3"/>
    <n v="75021.359313734967"/>
    <n v="75418.106671158879"/>
    <n v="150439.46875"/>
    <n v="34343.294508902254"/>
    <n v="30443.202447152016"/>
    <n v="65100.09765625"/>
  </r>
  <r>
    <x v="24"/>
    <x v="4"/>
    <n v="79189.625985505249"/>
    <n v="80909.860490706851"/>
    <n v="160099.484375"/>
    <n v="36144.184803438657"/>
    <n v="32481.141478729787"/>
    <n v="68996.8203125"/>
  </r>
  <r>
    <x v="24"/>
    <x v="5"/>
    <n v="77442.997297613634"/>
    <n v="80994.207825805977"/>
    <n v="158437.203125"/>
    <n v="35086.63254125313"/>
    <n v="32285.949310671211"/>
    <n v="67787.515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F3BE45-E773-4395-B460-99293E9D4CAC}"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N30" firstHeaderRow="1" firstDataRow="2" firstDataCol="1"/>
  <pivotFields count="8">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Col" showAll="0">
      <items count="13">
        <item x="0"/>
        <item x="1"/>
        <item x="2"/>
        <item x="3"/>
        <item x="4"/>
        <item x="5"/>
        <item x="6"/>
        <item x="7"/>
        <item x="8"/>
        <item x="9"/>
        <item x="10"/>
        <item x="11"/>
        <item t="default"/>
      </items>
    </pivotField>
    <pivotField numFmtId="4" showAll="0"/>
    <pivotField numFmtId="4" showAll="0"/>
    <pivotField dataField="1" numFmtId="4" showAll="0"/>
    <pivotField showAll="0"/>
    <pivotField showAll="0"/>
    <pivotField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1"/>
  </colFields>
  <colItems count="13">
    <i>
      <x/>
    </i>
    <i>
      <x v="1"/>
    </i>
    <i>
      <x v="2"/>
    </i>
    <i>
      <x v="3"/>
    </i>
    <i>
      <x v="4"/>
    </i>
    <i>
      <x v="5"/>
    </i>
    <i>
      <x v="6"/>
    </i>
    <i>
      <x v="7"/>
    </i>
    <i>
      <x v="8"/>
    </i>
    <i>
      <x v="9"/>
    </i>
    <i>
      <x v="10"/>
    </i>
    <i>
      <x v="11"/>
    </i>
    <i t="grand">
      <x/>
    </i>
  </colItems>
  <dataFields count="1">
    <dataField name="Sum of Total nominal food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conference-board.org/research/us-forecast" TargetMode="External"/><Relationship Id="rId1" Type="http://schemas.openxmlformats.org/officeDocument/2006/relationships/hyperlink" Target="https://www.ers.usda.gov/data-products/food-expenditure-serie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150.statcan.gc.ca/t1/tbl1/en/tv.action?pid=1710005701&amp;pickMembers%5B0%5D=1.1&amp;pickMembers%5B1%5D=3.1&amp;pickMembers%5B2%5D=4.1&amp;cubeTimeFrame.startYear=2021&amp;cubeTimeFrame.endYear=2040&amp;referencePeriods=20210101%2C20400101" TargetMode="External"/><Relationship Id="rId2" Type="http://schemas.openxmlformats.org/officeDocument/2006/relationships/hyperlink" Target="https://stats.oecd.org/Index.aspx?DataSetCode=POPPROJ" TargetMode="External"/><Relationship Id="rId1" Type="http://schemas.openxmlformats.org/officeDocument/2006/relationships/hyperlink" Target="https://data.oecd.org/gdp/real-gdp-long-term-forecast.ht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tats.oecd.org/Index.aspx?QueryId=72578"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stats-2.oecd.org/index.aspx?DatasetCode=POPPROJ" TargetMode="External"/><Relationship Id="rId1" Type="http://schemas.openxmlformats.org/officeDocument/2006/relationships/hyperlink" Target="http://stats.oecd.org/OECDStat_Metadata/ShowMetadata.ashx?Dataset=POPPROJ&amp;ShowOnWeb=true&amp;Lan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B4000-1A01-4101-B4CD-2DBA938F96D8}">
  <dimension ref="A3:N30"/>
  <sheetViews>
    <sheetView tabSelected="1" workbookViewId="0">
      <selection activeCell="A5" sqref="A5:M29"/>
    </sheetView>
  </sheetViews>
  <sheetFormatPr defaultColWidth="8.85546875" defaultRowHeight="15" x14ac:dyDescent="0.25"/>
  <cols>
    <col min="1" max="1" width="29.85546875" bestFit="1" customWidth="1"/>
    <col min="2" max="2" width="16.28515625" bestFit="1" customWidth="1"/>
    <col min="3" max="14" width="12" bestFit="1" customWidth="1"/>
  </cols>
  <sheetData>
    <row r="3" spans="1:14" x14ac:dyDescent="0.25">
      <c r="A3" t="s">
        <v>0</v>
      </c>
      <c r="B3" t="s">
        <v>1</v>
      </c>
    </row>
    <row r="4" spans="1:14" x14ac:dyDescent="0.25">
      <c r="A4" t="s">
        <v>2</v>
      </c>
      <c r="B4" t="s">
        <v>3</v>
      </c>
      <c r="C4" t="s">
        <v>4</v>
      </c>
      <c r="D4" t="s">
        <v>5</v>
      </c>
      <c r="E4" t="s">
        <v>6</v>
      </c>
      <c r="F4" t="s">
        <v>7</v>
      </c>
      <c r="G4" t="s">
        <v>8</v>
      </c>
      <c r="H4" t="s">
        <v>9</v>
      </c>
      <c r="I4" t="s">
        <v>10</v>
      </c>
      <c r="J4" t="s">
        <v>11</v>
      </c>
      <c r="K4" t="s">
        <v>12</v>
      </c>
      <c r="L4" t="s">
        <v>13</v>
      </c>
      <c r="M4" t="s">
        <v>14</v>
      </c>
      <c r="N4" t="s">
        <v>15</v>
      </c>
    </row>
    <row r="5" spans="1:14" x14ac:dyDescent="0.25">
      <c r="A5" s="1">
        <v>1997</v>
      </c>
      <c r="B5">
        <v>51791.734375</v>
      </c>
      <c r="C5">
        <v>49467.80078125</v>
      </c>
      <c r="D5">
        <v>55223.97265625</v>
      </c>
      <c r="E5">
        <v>53426.9453125</v>
      </c>
      <c r="F5">
        <v>57597.05859375</v>
      </c>
      <c r="G5">
        <v>55299.63671875</v>
      </c>
      <c r="H5">
        <v>57529.1171875</v>
      </c>
      <c r="I5">
        <v>58038.10546875</v>
      </c>
      <c r="J5">
        <v>54138.421875</v>
      </c>
      <c r="K5">
        <v>56265.2421875</v>
      </c>
      <c r="L5">
        <v>54857.5078125</v>
      </c>
      <c r="M5">
        <v>59152.890625</v>
      </c>
      <c r="N5">
        <v>662788.43359375</v>
      </c>
    </row>
    <row r="6" spans="1:14" x14ac:dyDescent="0.25">
      <c r="A6" s="1">
        <v>1998</v>
      </c>
      <c r="B6">
        <v>53119.1015625</v>
      </c>
      <c r="C6">
        <v>50502.05078125</v>
      </c>
      <c r="D6">
        <v>55420.7734375</v>
      </c>
      <c r="E6">
        <v>55948.32421875</v>
      </c>
      <c r="F6">
        <v>59232.85546875</v>
      </c>
      <c r="G6">
        <v>57700.625</v>
      </c>
      <c r="H6">
        <v>59749.9296875</v>
      </c>
      <c r="I6">
        <v>59152.46875</v>
      </c>
      <c r="J6">
        <v>56246.84765625</v>
      </c>
      <c r="K6">
        <v>59056.46875</v>
      </c>
      <c r="L6">
        <v>57011.5078125</v>
      </c>
      <c r="M6">
        <v>62902.01171875</v>
      </c>
      <c r="N6">
        <v>686042.96484375</v>
      </c>
    </row>
    <row r="7" spans="1:14" x14ac:dyDescent="0.25">
      <c r="A7" s="1">
        <v>1999</v>
      </c>
      <c r="B7">
        <v>55364.8671875</v>
      </c>
      <c r="C7">
        <v>53421.9765625</v>
      </c>
      <c r="D7">
        <v>58956.375</v>
      </c>
      <c r="E7">
        <v>58938.1953125</v>
      </c>
      <c r="F7">
        <v>61849.11328125</v>
      </c>
      <c r="G7">
        <v>60494.328125</v>
      </c>
      <c r="H7">
        <v>63070.48046875</v>
      </c>
      <c r="I7">
        <v>61502.03125</v>
      </c>
      <c r="J7">
        <v>59479.578125</v>
      </c>
      <c r="K7">
        <v>61601.9921875</v>
      </c>
      <c r="L7">
        <v>60213.0703125</v>
      </c>
      <c r="M7">
        <v>67874.0546875</v>
      </c>
      <c r="N7">
        <v>722766.0625</v>
      </c>
    </row>
    <row r="8" spans="1:14" x14ac:dyDescent="0.25">
      <c r="A8" s="1">
        <v>2000</v>
      </c>
      <c r="B8">
        <v>57592.34765625</v>
      </c>
      <c r="C8">
        <v>58163.20703125</v>
      </c>
      <c r="D8">
        <v>63381.52734375</v>
      </c>
      <c r="E8">
        <v>62566.54296875</v>
      </c>
      <c r="F8">
        <v>64887.078125</v>
      </c>
      <c r="G8">
        <v>65159.62890625</v>
      </c>
      <c r="H8">
        <v>65925.390625</v>
      </c>
      <c r="I8">
        <v>65717.8125</v>
      </c>
      <c r="J8">
        <v>63611.87109375</v>
      </c>
      <c r="K8">
        <v>64172.72265625</v>
      </c>
      <c r="L8">
        <v>64049.3203125</v>
      </c>
      <c r="M8">
        <v>70350.6171875</v>
      </c>
      <c r="N8">
        <v>765578.06640625</v>
      </c>
    </row>
    <row r="9" spans="1:14" x14ac:dyDescent="0.25">
      <c r="A9" s="1">
        <v>2001</v>
      </c>
      <c r="B9">
        <v>61691.0859375</v>
      </c>
      <c r="C9">
        <v>59736.53515625</v>
      </c>
      <c r="D9">
        <v>66446.6328125</v>
      </c>
      <c r="E9">
        <v>64587.41796875</v>
      </c>
      <c r="F9">
        <v>68576.6015625</v>
      </c>
      <c r="G9">
        <v>68081.1875</v>
      </c>
      <c r="H9">
        <v>68069.59375</v>
      </c>
      <c r="I9">
        <v>69569.6953125</v>
      </c>
      <c r="J9">
        <v>64831.8125</v>
      </c>
      <c r="K9">
        <v>66381.1796875</v>
      </c>
      <c r="L9">
        <v>66540.5703125</v>
      </c>
      <c r="M9">
        <v>72924.65625</v>
      </c>
      <c r="N9">
        <v>797436.96875</v>
      </c>
    </row>
    <row r="10" spans="1:14" x14ac:dyDescent="0.25">
      <c r="A10" s="1">
        <v>2002</v>
      </c>
      <c r="B10">
        <v>63725.8984375</v>
      </c>
      <c r="C10">
        <v>61657.76953125</v>
      </c>
      <c r="D10">
        <v>69157.6484375</v>
      </c>
      <c r="E10">
        <v>66150.171875</v>
      </c>
      <c r="F10">
        <v>71037.8671875</v>
      </c>
      <c r="G10">
        <v>69383.3046875</v>
      </c>
      <c r="H10">
        <v>70394.3125</v>
      </c>
      <c r="I10">
        <v>71776.15625</v>
      </c>
      <c r="J10">
        <v>65996.2265625</v>
      </c>
      <c r="K10">
        <v>68579.7890625</v>
      </c>
      <c r="L10">
        <v>69367.828125</v>
      </c>
      <c r="M10">
        <v>74159.828125</v>
      </c>
      <c r="N10">
        <v>821386.80078125</v>
      </c>
    </row>
    <row r="11" spans="1:14" x14ac:dyDescent="0.25">
      <c r="A11" s="1">
        <v>2003</v>
      </c>
      <c r="B11">
        <v>66886.4296875</v>
      </c>
      <c r="C11">
        <v>64168.62890625</v>
      </c>
      <c r="D11">
        <v>70964.0234375</v>
      </c>
      <c r="E11">
        <v>69492.1875</v>
      </c>
      <c r="F11">
        <v>74557.203125</v>
      </c>
      <c r="G11">
        <v>71838.6328125</v>
      </c>
      <c r="H11">
        <v>74345.609375</v>
      </c>
      <c r="I11">
        <v>75744.078125</v>
      </c>
      <c r="J11">
        <v>69691.2734375</v>
      </c>
      <c r="K11">
        <v>73094.0234375</v>
      </c>
      <c r="L11">
        <v>72400.0078125</v>
      </c>
      <c r="M11">
        <v>78148.78125</v>
      </c>
      <c r="N11">
        <v>861330.87890625</v>
      </c>
    </row>
    <row r="12" spans="1:14" x14ac:dyDescent="0.25">
      <c r="A12" s="1">
        <v>2004</v>
      </c>
      <c r="B12">
        <v>71715.8203125</v>
      </c>
      <c r="C12">
        <v>69945.3671875</v>
      </c>
      <c r="D12">
        <v>74750.296875</v>
      </c>
      <c r="E12">
        <v>74637.3046875</v>
      </c>
      <c r="F12">
        <v>78090.84375</v>
      </c>
      <c r="G12">
        <v>76025.3203125</v>
      </c>
      <c r="H12">
        <v>79448.2890625</v>
      </c>
      <c r="I12">
        <v>77283.140625</v>
      </c>
      <c r="J12">
        <v>74517.4296875</v>
      </c>
      <c r="K12">
        <v>77758.03125</v>
      </c>
      <c r="L12">
        <v>76259.1328125</v>
      </c>
      <c r="M12">
        <v>84929.921875</v>
      </c>
      <c r="N12">
        <v>915360.8984375</v>
      </c>
    </row>
    <row r="13" spans="1:14" x14ac:dyDescent="0.25">
      <c r="A13" s="1">
        <v>2005</v>
      </c>
      <c r="B13">
        <v>74461.1796875</v>
      </c>
      <c r="C13">
        <v>72180.84375</v>
      </c>
      <c r="D13">
        <v>79833.265625</v>
      </c>
      <c r="E13">
        <v>79291.1953125</v>
      </c>
      <c r="F13">
        <v>81988.3828125</v>
      </c>
      <c r="G13">
        <v>81320.1796875</v>
      </c>
      <c r="H13">
        <v>83692.9296875</v>
      </c>
      <c r="I13">
        <v>82916.140625</v>
      </c>
      <c r="J13">
        <v>80021.4453125</v>
      </c>
      <c r="K13">
        <v>82304.953125</v>
      </c>
      <c r="L13">
        <v>81132.1796875</v>
      </c>
      <c r="M13">
        <v>90396.328125</v>
      </c>
      <c r="N13">
        <v>969539.0234375</v>
      </c>
    </row>
    <row r="14" spans="1:14" x14ac:dyDescent="0.25">
      <c r="A14" s="1">
        <v>2006</v>
      </c>
      <c r="B14">
        <v>79003.7421875</v>
      </c>
      <c r="C14">
        <v>76540.6953125</v>
      </c>
      <c r="D14">
        <v>84708.9609375</v>
      </c>
      <c r="E14">
        <v>83677.4375</v>
      </c>
      <c r="F14">
        <v>87232.9921875</v>
      </c>
      <c r="G14">
        <v>86234.515625</v>
      </c>
      <c r="H14">
        <v>87356.4375</v>
      </c>
      <c r="I14">
        <v>88014.921875</v>
      </c>
      <c r="J14">
        <v>84077.7109375</v>
      </c>
      <c r="K14">
        <v>85437.9140625</v>
      </c>
      <c r="L14">
        <v>85171.7109375</v>
      </c>
      <c r="M14">
        <v>95646.5546875</v>
      </c>
      <c r="N14">
        <v>1023103.59375</v>
      </c>
    </row>
    <row r="15" spans="1:14" x14ac:dyDescent="0.25">
      <c r="A15" s="1">
        <v>2007</v>
      </c>
      <c r="B15">
        <v>83123.0859375</v>
      </c>
      <c r="C15">
        <v>80506.765625</v>
      </c>
      <c r="D15">
        <v>90249.9140625</v>
      </c>
      <c r="E15">
        <v>86883.265625</v>
      </c>
      <c r="F15">
        <v>92313.140625</v>
      </c>
      <c r="G15">
        <v>91678.0859375</v>
      </c>
      <c r="H15">
        <v>91702.6015625</v>
      </c>
      <c r="I15">
        <v>92894.7421875</v>
      </c>
      <c r="J15">
        <v>87761.6171875</v>
      </c>
      <c r="K15">
        <v>90146.4765625</v>
      </c>
      <c r="L15">
        <v>91007.4765625</v>
      </c>
      <c r="M15">
        <v>99819.9765625</v>
      </c>
      <c r="N15">
        <v>1078087.1484375</v>
      </c>
    </row>
    <row r="16" spans="1:14" x14ac:dyDescent="0.25">
      <c r="A16" s="1">
        <v>2008</v>
      </c>
      <c r="B16">
        <v>87701.3046875</v>
      </c>
      <c r="C16">
        <v>87070.546875</v>
      </c>
      <c r="D16">
        <v>93210.8828125</v>
      </c>
      <c r="E16">
        <v>90680.140625</v>
      </c>
      <c r="F16">
        <v>98401.5703125</v>
      </c>
      <c r="G16">
        <v>94458.7421875</v>
      </c>
      <c r="H16">
        <v>96671.6953125</v>
      </c>
      <c r="I16">
        <v>97533.2578125</v>
      </c>
      <c r="J16">
        <v>90209.921875</v>
      </c>
      <c r="K16">
        <v>93257.0078125</v>
      </c>
      <c r="L16">
        <v>91265.9921875</v>
      </c>
      <c r="M16">
        <v>97036.484375</v>
      </c>
      <c r="N16">
        <v>1117497.546875</v>
      </c>
    </row>
    <row r="17" spans="1:14" x14ac:dyDescent="0.25">
      <c r="A17" s="1">
        <v>2009</v>
      </c>
      <c r="B17">
        <v>88710.515625</v>
      </c>
      <c r="C17">
        <v>83671.609375</v>
      </c>
      <c r="D17">
        <v>90271.046875</v>
      </c>
      <c r="E17">
        <v>89992.9296875</v>
      </c>
      <c r="F17">
        <v>95557.015625</v>
      </c>
      <c r="G17">
        <v>91994.1171875</v>
      </c>
      <c r="H17">
        <v>94254.3359375</v>
      </c>
      <c r="I17">
        <v>93584.90625</v>
      </c>
      <c r="J17">
        <v>88415.1640625</v>
      </c>
      <c r="K17">
        <v>92410.7109375</v>
      </c>
      <c r="L17">
        <v>90191.9609375</v>
      </c>
      <c r="M17">
        <v>98844.5625</v>
      </c>
      <c r="N17">
        <v>1097898.875</v>
      </c>
    </row>
    <row r="18" spans="1:14" x14ac:dyDescent="0.25">
      <c r="A18" s="1">
        <v>2010</v>
      </c>
      <c r="B18">
        <v>88656.359375</v>
      </c>
      <c r="C18">
        <v>86082.359375</v>
      </c>
      <c r="D18">
        <v>94158.6953125</v>
      </c>
      <c r="E18">
        <v>92923.6015625</v>
      </c>
      <c r="F18">
        <v>97043.5078125</v>
      </c>
      <c r="G18">
        <v>94019.0078125</v>
      </c>
      <c r="H18">
        <v>97089.8125</v>
      </c>
      <c r="I18">
        <v>95537.53125</v>
      </c>
      <c r="J18">
        <v>91442.515625</v>
      </c>
      <c r="K18">
        <v>95043.25</v>
      </c>
      <c r="L18">
        <v>93805.203125</v>
      </c>
      <c r="M18">
        <v>102870.4453125</v>
      </c>
      <c r="N18">
        <v>1128672.2890625</v>
      </c>
    </row>
    <row r="19" spans="1:14" x14ac:dyDescent="0.25">
      <c r="A19" s="1">
        <v>2011</v>
      </c>
      <c r="B19">
        <v>91798.6328125</v>
      </c>
      <c r="C19">
        <v>89895.796875</v>
      </c>
      <c r="D19">
        <v>99160.7265625</v>
      </c>
      <c r="E19">
        <v>99461.375</v>
      </c>
      <c r="F19">
        <v>101971.7890625</v>
      </c>
      <c r="G19">
        <v>100626.7578125</v>
      </c>
      <c r="H19">
        <v>102970.3515625</v>
      </c>
      <c r="I19">
        <v>101767.6484375</v>
      </c>
      <c r="J19">
        <v>97919.328125</v>
      </c>
      <c r="K19">
        <v>100440.9921875</v>
      </c>
      <c r="L19">
        <v>99220.7578125</v>
      </c>
      <c r="M19">
        <v>108961.84375</v>
      </c>
      <c r="N19">
        <v>1194196</v>
      </c>
    </row>
    <row r="20" spans="1:14" x14ac:dyDescent="0.25">
      <c r="A20" s="1">
        <v>2012</v>
      </c>
      <c r="B20">
        <v>96381.8984375</v>
      </c>
      <c r="C20">
        <v>97672.6875</v>
      </c>
      <c r="D20">
        <v>106142.390625</v>
      </c>
      <c r="E20">
        <v>102282.8046875</v>
      </c>
      <c r="F20">
        <v>107113.2109375</v>
      </c>
      <c r="G20">
        <v>105304.6171875</v>
      </c>
      <c r="H20">
        <v>105047.3671875</v>
      </c>
      <c r="I20">
        <v>106829.015625</v>
      </c>
      <c r="J20">
        <v>101381.7109375</v>
      </c>
      <c r="K20">
        <v>103847.5625</v>
      </c>
      <c r="L20">
        <v>104409.46875</v>
      </c>
      <c r="M20">
        <v>112709.2109375</v>
      </c>
      <c r="N20">
        <v>1249121.9453125</v>
      </c>
    </row>
    <row r="21" spans="1:14" x14ac:dyDescent="0.25">
      <c r="A21" s="1">
        <v>2013</v>
      </c>
      <c r="B21">
        <v>100803.1171875</v>
      </c>
      <c r="C21">
        <v>98448.4140625</v>
      </c>
      <c r="D21">
        <v>110489.34375</v>
      </c>
      <c r="E21">
        <v>104259.84375</v>
      </c>
      <c r="F21">
        <v>111156.625</v>
      </c>
      <c r="G21">
        <v>107636.8046875</v>
      </c>
      <c r="H21">
        <v>108624.828125</v>
      </c>
      <c r="I21">
        <v>110966.9375</v>
      </c>
      <c r="J21">
        <v>103249.0625</v>
      </c>
      <c r="K21">
        <v>107999.4453125</v>
      </c>
      <c r="L21">
        <v>109287.265625</v>
      </c>
      <c r="M21">
        <v>115910.7578125</v>
      </c>
      <c r="N21">
        <v>1288832.4453125</v>
      </c>
    </row>
    <row r="22" spans="1:14" x14ac:dyDescent="0.25">
      <c r="A22" s="1">
        <v>2014</v>
      </c>
      <c r="B22">
        <v>104767.2734375</v>
      </c>
      <c r="C22">
        <v>101465.3984375</v>
      </c>
      <c r="D22">
        <v>112867.7109375</v>
      </c>
      <c r="E22">
        <v>110637.09375</v>
      </c>
      <c r="F22">
        <v>117836.1875</v>
      </c>
      <c r="G22">
        <v>112386.203125</v>
      </c>
      <c r="H22">
        <v>114978.8984375</v>
      </c>
      <c r="I22">
        <v>117006.8125</v>
      </c>
      <c r="J22">
        <v>109571.265625</v>
      </c>
      <c r="K22">
        <v>115502.984375</v>
      </c>
      <c r="L22">
        <v>114309.234375</v>
      </c>
      <c r="M22">
        <v>122902.7421875</v>
      </c>
      <c r="N22">
        <v>1354231.8046875</v>
      </c>
    </row>
    <row r="23" spans="1:14" x14ac:dyDescent="0.25">
      <c r="A23" s="1">
        <v>2015</v>
      </c>
      <c r="B23">
        <v>111862.265625</v>
      </c>
      <c r="C23">
        <v>106721.4453125</v>
      </c>
      <c r="D23">
        <v>118501.265625</v>
      </c>
      <c r="E23">
        <v>116098.015625</v>
      </c>
      <c r="F23">
        <v>123403.8125</v>
      </c>
      <c r="G23">
        <v>118033.1484375</v>
      </c>
      <c r="H23">
        <v>121159.109375</v>
      </c>
      <c r="I23">
        <v>120426.2578125</v>
      </c>
      <c r="J23">
        <v>114236.734375</v>
      </c>
      <c r="K23">
        <v>119945.96875</v>
      </c>
      <c r="L23">
        <v>116726.59375</v>
      </c>
      <c r="M23">
        <v>127702.3203125</v>
      </c>
      <c r="N23">
        <v>1414816.9375</v>
      </c>
    </row>
    <row r="24" spans="1:14" x14ac:dyDescent="0.25">
      <c r="A24" s="1">
        <v>2016</v>
      </c>
      <c r="B24">
        <v>114216.5078125</v>
      </c>
      <c r="C24">
        <v>113663.9453125</v>
      </c>
      <c r="D24">
        <v>122561.1484375</v>
      </c>
      <c r="E24">
        <v>120898.1484375</v>
      </c>
      <c r="F24">
        <v>125050.5078125</v>
      </c>
      <c r="G24">
        <v>122280.2734375</v>
      </c>
      <c r="H24">
        <v>124615.34375</v>
      </c>
      <c r="I24">
        <v>123067.3984375</v>
      </c>
      <c r="J24">
        <v>119110.421875</v>
      </c>
      <c r="K24">
        <v>122809.109375</v>
      </c>
      <c r="L24">
        <v>121836.5859375</v>
      </c>
      <c r="M24">
        <v>133612.046875</v>
      </c>
      <c r="N24">
        <v>1463721.4375</v>
      </c>
    </row>
    <row r="25" spans="1:14" x14ac:dyDescent="0.25">
      <c r="A25" s="1">
        <v>2017</v>
      </c>
      <c r="B25">
        <v>118609.640625</v>
      </c>
      <c r="C25">
        <v>115523.375</v>
      </c>
      <c r="D25">
        <v>128910.0078125</v>
      </c>
      <c r="E25">
        <v>126643.078125</v>
      </c>
      <c r="F25">
        <v>130956.453125</v>
      </c>
      <c r="G25">
        <v>128527.5625</v>
      </c>
      <c r="H25">
        <v>129070.8125</v>
      </c>
      <c r="I25">
        <v>129606.8046875</v>
      </c>
      <c r="J25">
        <v>125536.1328125</v>
      </c>
      <c r="K25">
        <v>127683.1875</v>
      </c>
      <c r="L25">
        <v>127993.3671875</v>
      </c>
      <c r="M25">
        <v>141112.328125</v>
      </c>
      <c r="N25">
        <v>1530172.75</v>
      </c>
    </row>
    <row r="26" spans="1:14" x14ac:dyDescent="0.25">
      <c r="A26" s="1">
        <v>2018</v>
      </c>
      <c r="B26">
        <v>122860.921875</v>
      </c>
      <c r="C26">
        <v>119543.40625</v>
      </c>
      <c r="D26">
        <v>136432.71875</v>
      </c>
      <c r="E26">
        <v>128924.7421875</v>
      </c>
      <c r="F26">
        <v>138688.125</v>
      </c>
      <c r="G26">
        <v>136844.578125</v>
      </c>
      <c r="H26">
        <v>137135.453125</v>
      </c>
      <c r="I26">
        <v>138756.203125</v>
      </c>
      <c r="J26">
        <v>130051.84375</v>
      </c>
      <c r="K26">
        <v>134036.171875</v>
      </c>
      <c r="L26">
        <v>133711.015625</v>
      </c>
      <c r="M26">
        <v>143136.8125</v>
      </c>
      <c r="N26">
        <v>1600121.9921875</v>
      </c>
    </row>
    <row r="27" spans="1:14" x14ac:dyDescent="0.25">
      <c r="A27" s="1">
        <v>2019</v>
      </c>
      <c r="B27">
        <v>128873.90625</v>
      </c>
      <c r="C27">
        <v>123361.84375</v>
      </c>
      <c r="D27">
        <v>140378.671875</v>
      </c>
      <c r="E27">
        <v>136509.203125</v>
      </c>
      <c r="F27">
        <v>145253.890625</v>
      </c>
      <c r="G27">
        <v>141783.65625</v>
      </c>
      <c r="H27">
        <v>143376.53125</v>
      </c>
      <c r="I27">
        <v>145737.6875</v>
      </c>
      <c r="J27">
        <v>134680.4375</v>
      </c>
      <c r="K27">
        <v>140037.96875</v>
      </c>
      <c r="L27">
        <v>139880.203125</v>
      </c>
      <c r="M27">
        <v>147886.46875</v>
      </c>
      <c r="N27">
        <v>1667760.46875</v>
      </c>
    </row>
    <row r="28" spans="1:14" x14ac:dyDescent="0.25">
      <c r="A28" s="1">
        <v>2020</v>
      </c>
      <c r="B28">
        <v>133692.328125</v>
      </c>
      <c r="C28">
        <v>132031.671875</v>
      </c>
      <c r="D28">
        <v>134513.4375</v>
      </c>
      <c r="E28">
        <v>105668.1328125</v>
      </c>
      <c r="F28">
        <v>124103.2109375</v>
      </c>
      <c r="G28">
        <v>130129.25</v>
      </c>
      <c r="H28">
        <v>136811.15625</v>
      </c>
      <c r="I28">
        <v>137190.46875</v>
      </c>
      <c r="J28">
        <v>132381.0625</v>
      </c>
      <c r="K28">
        <v>138456.8125</v>
      </c>
      <c r="L28">
        <v>132662.34375</v>
      </c>
      <c r="M28">
        <v>139924.296875</v>
      </c>
      <c r="N28">
        <v>1577564.171875</v>
      </c>
    </row>
    <row r="29" spans="1:14" x14ac:dyDescent="0.25">
      <c r="A29" s="1">
        <v>2021</v>
      </c>
      <c r="B29">
        <v>133532.3125</v>
      </c>
      <c r="C29">
        <v>124852.2578125</v>
      </c>
      <c r="D29">
        <v>150403.234375</v>
      </c>
      <c r="E29">
        <v>150439.46875</v>
      </c>
      <c r="F29">
        <v>160099.484375</v>
      </c>
      <c r="G29">
        <v>158437.203125</v>
      </c>
      <c r="N29">
        <v>877763.9609375</v>
      </c>
    </row>
    <row r="30" spans="1:14" x14ac:dyDescent="0.25">
      <c r="A30" s="1" t="s">
        <v>15</v>
      </c>
      <c r="B30">
        <v>2240942.27734375</v>
      </c>
      <c r="C30">
        <v>2176296.3984375</v>
      </c>
      <c r="D30">
        <v>2407094.671875</v>
      </c>
      <c r="E30">
        <v>2331017.56640625</v>
      </c>
      <c r="F30">
        <v>2473998.52734375</v>
      </c>
      <c r="G30">
        <v>2425677.3671875</v>
      </c>
      <c r="H30">
        <v>2313090.38671875</v>
      </c>
      <c r="I30">
        <v>2320620.22265625</v>
      </c>
      <c r="J30">
        <v>2198559.8359375</v>
      </c>
      <c r="K30">
        <v>2276269.96484375</v>
      </c>
      <c r="L30">
        <v>2253310.3046875</v>
      </c>
      <c r="M30">
        <v>2448915.94140625</v>
      </c>
      <c r="N30">
        <v>27865793.46484375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CEC14-0607-43A5-ACAD-0F165E5ADAC0}">
  <dimension ref="A1:AE413"/>
  <sheetViews>
    <sheetView zoomScale="115" zoomScaleNormal="115" workbookViewId="0">
      <pane xSplit="1" ySplit="5" topLeftCell="D6" activePane="bottomRight" state="frozen"/>
      <selection activeCell="A5" sqref="A5:M29"/>
      <selection pane="topRight" activeCell="A5" sqref="A5:M29"/>
      <selection pane="bottomLeft" activeCell="A5" sqref="A5:M29"/>
      <selection pane="bottomRight" activeCell="A5" sqref="A5:M29"/>
    </sheetView>
  </sheetViews>
  <sheetFormatPr defaultColWidth="8.85546875" defaultRowHeight="11.25" x14ac:dyDescent="0.2"/>
  <cols>
    <col min="1" max="1" width="9" style="3" bestFit="1" customWidth="1"/>
    <col min="2" max="7" width="18.42578125" style="3" customWidth="1"/>
    <col min="8" max="8" width="8.85546875" style="3"/>
    <col min="9" max="9" width="9.7109375" style="3" bestFit="1" customWidth="1"/>
    <col min="10" max="10" width="9" style="3" bestFit="1" customWidth="1"/>
    <col min="11" max="11" width="8.85546875" style="3"/>
    <col min="12" max="12" width="9" style="3" bestFit="1" customWidth="1"/>
    <col min="13" max="13" width="12.28515625" style="3" customWidth="1"/>
    <col min="14" max="14" width="10.85546875" style="3" bestFit="1" customWidth="1"/>
    <col min="15" max="15" width="9.42578125" style="3" bestFit="1" customWidth="1"/>
    <col min="16" max="17" width="8.85546875" style="3"/>
    <col min="18" max="18" width="9.5703125" style="3" bestFit="1" customWidth="1"/>
    <col min="19" max="19" width="9" style="3" bestFit="1" customWidth="1"/>
    <col min="20" max="20" width="8.85546875" style="3"/>
    <col min="21" max="21" width="9.28515625" style="4" bestFit="1" customWidth="1"/>
    <col min="22" max="25" width="8.85546875" style="3"/>
    <col min="26" max="31" width="9" style="3" bestFit="1" customWidth="1"/>
    <col min="32" max="16384" width="8.85546875" style="3"/>
  </cols>
  <sheetData>
    <row r="1" spans="1:22" x14ac:dyDescent="0.2">
      <c r="A1" s="2" t="s">
        <v>16</v>
      </c>
      <c r="B1" s="2" t="s">
        <v>17</v>
      </c>
      <c r="C1" s="2" t="s">
        <v>17</v>
      </c>
      <c r="D1" s="2" t="s">
        <v>17</v>
      </c>
      <c r="E1" s="2" t="s">
        <v>17</v>
      </c>
      <c r="F1" s="2" t="s">
        <v>17</v>
      </c>
      <c r="G1" s="2" t="s">
        <v>17</v>
      </c>
    </row>
    <row r="2" spans="1:22" x14ac:dyDescent="0.2">
      <c r="A2" s="5" t="s">
        <v>18</v>
      </c>
      <c r="B2" s="5" t="s">
        <v>19</v>
      </c>
      <c r="C2" s="5" t="s">
        <v>19</v>
      </c>
      <c r="D2" s="5" t="s">
        <v>19</v>
      </c>
      <c r="E2" s="5" t="s">
        <v>19</v>
      </c>
      <c r="F2" s="5" t="s">
        <v>19</v>
      </c>
      <c r="G2" s="5" t="s">
        <v>19</v>
      </c>
      <c r="I2" s="6" t="s">
        <v>20</v>
      </c>
      <c r="J2" s="6" t="s">
        <v>21</v>
      </c>
      <c r="N2" s="6" t="s">
        <v>22</v>
      </c>
    </row>
    <row r="3" spans="1:22" ht="15" customHeight="1" x14ac:dyDescent="0.2">
      <c r="A3" s="7" t="s">
        <v>23</v>
      </c>
      <c r="B3" s="8"/>
      <c r="C3" s="8"/>
      <c r="D3" s="8"/>
      <c r="E3" s="8"/>
      <c r="F3" s="8"/>
      <c r="G3" s="9"/>
      <c r="I3" s="6"/>
      <c r="J3" s="6"/>
      <c r="N3" s="6"/>
      <c r="R3" s="6" t="s">
        <v>24</v>
      </c>
      <c r="S3" s="6" t="s">
        <v>25</v>
      </c>
      <c r="U3" s="10" t="s">
        <v>26</v>
      </c>
    </row>
    <row r="4" spans="1:22" ht="15" customHeight="1" x14ac:dyDescent="0.2">
      <c r="A4" s="8" t="s">
        <v>16</v>
      </c>
      <c r="B4" s="8"/>
      <c r="C4" s="8"/>
      <c r="D4" s="8"/>
      <c r="E4" s="8"/>
      <c r="F4" s="8"/>
      <c r="G4" s="11" t="s">
        <v>27</v>
      </c>
      <c r="I4" s="6"/>
      <c r="J4" s="6"/>
      <c r="N4" s="6"/>
      <c r="R4" s="6"/>
      <c r="S4" s="6"/>
      <c r="U4" s="10"/>
      <c r="V4" s="3" t="s">
        <v>28</v>
      </c>
    </row>
    <row r="5" spans="1:22" ht="15" customHeight="1" x14ac:dyDescent="0.2">
      <c r="A5" s="8" t="s">
        <v>29</v>
      </c>
      <c r="B5" s="12" t="s">
        <v>30</v>
      </c>
      <c r="C5" s="12" t="s">
        <v>31</v>
      </c>
      <c r="D5" s="8" t="s">
        <v>32</v>
      </c>
      <c r="E5" s="12" t="s">
        <v>33</v>
      </c>
      <c r="F5" s="12" t="s">
        <v>34</v>
      </c>
      <c r="G5" s="11"/>
      <c r="I5" s="6"/>
      <c r="J5" s="6"/>
      <c r="N5" s="6"/>
      <c r="R5" s="6"/>
      <c r="S5" s="6"/>
      <c r="U5" s="10"/>
    </row>
    <row r="6" spans="1:22" x14ac:dyDescent="0.2">
      <c r="A6" s="13">
        <v>35431</v>
      </c>
      <c r="B6" s="14">
        <v>30199.9</v>
      </c>
      <c r="C6" s="14">
        <v>21463.37</v>
      </c>
      <c r="D6" s="14">
        <v>51663.27</v>
      </c>
      <c r="E6" s="14">
        <v>22308.67</v>
      </c>
      <c r="F6" s="14">
        <v>16836.39</v>
      </c>
      <c r="G6" s="14">
        <v>39145.07</v>
      </c>
      <c r="L6" s="15">
        <f>G6/D6</f>
        <v>0.75769632855218039</v>
      </c>
      <c r="M6" s="16">
        <v>60.071951295034602</v>
      </c>
      <c r="N6" s="16">
        <f>G6*$O$6/'[2]Used Cooking Oil Complex'!$AZ$26</f>
        <v>3.5146750774795496E-2</v>
      </c>
      <c r="O6" s="17">
        <f>0.0007/AVERAGE(L6:L366)</f>
        <v>1.3053202512450883E-3</v>
      </c>
      <c r="P6" s="3" t="s">
        <v>35</v>
      </c>
      <c r="R6" s="18">
        <f>B6/D6</f>
        <v>0.58455262316922652</v>
      </c>
      <c r="S6" s="18">
        <f>C6/D6</f>
        <v>0.4154473768307736</v>
      </c>
    </row>
    <row r="7" spans="1:22" x14ac:dyDescent="0.2">
      <c r="A7" s="13">
        <v>35462</v>
      </c>
      <c r="B7" s="14">
        <v>28029.09</v>
      </c>
      <c r="C7" s="14">
        <v>21319.07</v>
      </c>
      <c r="D7" s="14">
        <v>49348.160000000003</v>
      </c>
      <c r="E7" s="14">
        <v>20731.36</v>
      </c>
      <c r="F7" s="14">
        <v>16690.96</v>
      </c>
      <c r="G7" s="14">
        <v>37422.31</v>
      </c>
      <c r="I7" s="14">
        <f t="shared" ref="I7:I70" si="0">G7-G6</f>
        <v>-1722.760000000002</v>
      </c>
      <c r="J7" s="15"/>
      <c r="L7" s="15">
        <f t="shared" ref="L7:L70" si="1">G7/D7</f>
        <v>0.75833242819995705</v>
      </c>
      <c r="M7" s="16">
        <v>57.4282070173252</v>
      </c>
      <c r="N7" s="16">
        <f>G7*$O$6/'[2]Used Cooking Oil Complex'!$AZ$26</f>
        <v>3.3599955319715546E-2</v>
      </c>
      <c r="O7" s="17">
        <v>1.75E-3</v>
      </c>
      <c r="P7" s="3" t="s">
        <v>36</v>
      </c>
      <c r="R7" s="18">
        <f t="shared" ref="R7:R70" si="2">B7/D7</f>
        <v>0.56798652675195993</v>
      </c>
      <c r="S7" s="18">
        <f t="shared" ref="S7:S70" si="3">C7/D7</f>
        <v>0.43201347324804001</v>
      </c>
    </row>
    <row r="8" spans="1:22" x14ac:dyDescent="0.2">
      <c r="A8" s="13">
        <v>35490</v>
      </c>
      <c r="B8" s="14">
        <v>31442.48</v>
      </c>
      <c r="C8" s="14">
        <v>23645.48</v>
      </c>
      <c r="D8" s="14">
        <v>55087.97</v>
      </c>
      <c r="E8" s="14">
        <v>23256.03</v>
      </c>
      <c r="F8" s="14">
        <v>18464.87</v>
      </c>
      <c r="G8" s="14">
        <v>41720.9</v>
      </c>
      <c r="I8" s="14">
        <f t="shared" si="0"/>
        <v>4298.5900000000038</v>
      </c>
      <c r="J8" s="15"/>
      <c r="L8" s="15">
        <f t="shared" si="1"/>
        <v>0.7573504705292281</v>
      </c>
      <c r="M8" s="16">
        <v>64.024815201122621</v>
      </c>
      <c r="N8" s="16">
        <f>G8*$O$6/'[2]Used Cooking Oil Complex'!$AZ$26</f>
        <v>3.7459482749683817E-2</v>
      </c>
      <c r="O8" s="17">
        <v>2E-3</v>
      </c>
      <c r="P8" s="3" t="s">
        <v>37</v>
      </c>
      <c r="R8" s="18">
        <f t="shared" si="2"/>
        <v>0.5707685362158017</v>
      </c>
      <c r="S8" s="18">
        <f t="shared" si="3"/>
        <v>0.42923128225636192</v>
      </c>
    </row>
    <row r="9" spans="1:22" x14ac:dyDescent="0.2">
      <c r="A9" s="13">
        <v>35521</v>
      </c>
      <c r="B9" s="14">
        <v>29875.14</v>
      </c>
      <c r="C9" s="14">
        <v>23420.26</v>
      </c>
      <c r="D9" s="14">
        <v>53295.39</v>
      </c>
      <c r="E9" s="14">
        <v>22124.82</v>
      </c>
      <c r="F9" s="14">
        <v>18265.57</v>
      </c>
      <c r="G9" s="14">
        <v>40390.39</v>
      </c>
      <c r="I9" s="14">
        <f t="shared" si="0"/>
        <v>-1330.510000000002</v>
      </c>
      <c r="J9" s="15"/>
      <c r="L9" s="15">
        <f t="shared" si="1"/>
        <v>0.75785898179936384</v>
      </c>
      <c r="M9" s="16">
        <v>61.983017040650395</v>
      </c>
      <c r="N9" s="16">
        <f>G9*$O$6/'[2]Used Cooking Oil Complex'!$AZ$26</f>
        <v>3.6264872460996814E-2</v>
      </c>
      <c r="O9" s="17">
        <v>2.5000000000000001E-3</v>
      </c>
      <c r="P9" s="3" t="s">
        <v>38</v>
      </c>
      <c r="R9" s="18">
        <f t="shared" si="2"/>
        <v>0.5605576767521544</v>
      </c>
      <c r="S9" s="18">
        <f t="shared" si="3"/>
        <v>0.43944251088133512</v>
      </c>
    </row>
    <row r="10" spans="1:22" x14ac:dyDescent="0.2">
      <c r="A10" s="13">
        <v>35551</v>
      </c>
      <c r="B10" s="14">
        <v>32327.06</v>
      </c>
      <c r="C10" s="14">
        <v>25123.9</v>
      </c>
      <c r="D10" s="14">
        <v>57450.97</v>
      </c>
      <c r="E10" s="14">
        <v>23940.66</v>
      </c>
      <c r="F10" s="14">
        <v>19581.71</v>
      </c>
      <c r="G10" s="14">
        <v>43522.38</v>
      </c>
      <c r="I10" s="14">
        <f t="shared" si="0"/>
        <v>3131.989999999998</v>
      </c>
      <c r="J10" s="15"/>
      <c r="L10" s="15">
        <f t="shared" si="1"/>
        <v>0.75755692201541591</v>
      </c>
      <c r="M10" s="16">
        <v>66.789363043775069</v>
      </c>
      <c r="N10" s="16">
        <f>G10*$O$6/'[2]Used Cooking Oil Complex'!$AZ$26</f>
        <v>3.9076957659954219E-2</v>
      </c>
      <c r="O10" s="17">
        <v>2.7499999999999998E-3</v>
      </c>
      <c r="P10" s="19" t="s">
        <v>39</v>
      </c>
      <c r="R10" s="18">
        <f t="shared" si="2"/>
        <v>0.56268954205647004</v>
      </c>
      <c r="S10" s="18">
        <f t="shared" si="3"/>
        <v>0.437310283882065</v>
      </c>
    </row>
    <row r="11" spans="1:22" x14ac:dyDescent="0.2">
      <c r="A11" s="13">
        <v>35582</v>
      </c>
      <c r="B11" s="14">
        <v>30735.56</v>
      </c>
      <c r="C11" s="14">
        <v>24420.77</v>
      </c>
      <c r="D11" s="14">
        <v>55156.33</v>
      </c>
      <c r="E11" s="14">
        <v>22790.959999999999</v>
      </c>
      <c r="F11" s="14">
        <v>18997.23</v>
      </c>
      <c r="G11" s="14">
        <v>41788.199999999997</v>
      </c>
      <c r="I11" s="14">
        <f t="shared" si="0"/>
        <v>-1734.1800000000003</v>
      </c>
      <c r="J11" s="15"/>
      <c r="L11" s="15">
        <f t="shared" si="1"/>
        <v>0.75763198893037287</v>
      </c>
      <c r="M11" s="16">
        <v>64.128093655399383</v>
      </c>
      <c r="N11" s="16">
        <f>G11*$O$6/'[2]Used Cooking Oil Complex'!$AZ$26</f>
        <v>3.7519908655861627E-2</v>
      </c>
      <c r="O11" s="17">
        <v>3.0000000000000001E-3</v>
      </c>
      <c r="P11" s="19" t="s">
        <v>40</v>
      </c>
      <c r="R11" s="18">
        <f t="shared" si="2"/>
        <v>0.5572444722119837</v>
      </c>
      <c r="S11" s="18">
        <f t="shared" si="3"/>
        <v>0.44275552778801636</v>
      </c>
    </row>
    <row r="12" spans="1:22" x14ac:dyDescent="0.2">
      <c r="A12" s="13">
        <v>35612</v>
      </c>
      <c r="B12" s="14">
        <v>32142.13</v>
      </c>
      <c r="C12" s="14">
        <v>25231.439999999999</v>
      </c>
      <c r="D12" s="14">
        <v>57373.57</v>
      </c>
      <c r="E12" s="14">
        <v>23773.51</v>
      </c>
      <c r="F12" s="14">
        <v>19565.39</v>
      </c>
      <c r="G12" s="14">
        <v>43338.9</v>
      </c>
      <c r="I12" s="14">
        <f t="shared" si="0"/>
        <v>1550.7000000000044</v>
      </c>
      <c r="J12" s="15"/>
      <c r="L12" s="15">
        <f t="shared" si="1"/>
        <v>0.75538091842637645</v>
      </c>
      <c r="M12" s="16">
        <v>66.507794978534335</v>
      </c>
      <c r="N12" s="16">
        <f>G12*$O$6/'[2]Used Cooking Oil Complex'!$AZ$26</f>
        <v>3.8912218502963079E-2</v>
      </c>
      <c r="O12" s="16"/>
      <c r="R12" s="18">
        <f t="shared" si="2"/>
        <v>0.56022537903776948</v>
      </c>
      <c r="S12" s="18">
        <f t="shared" si="3"/>
        <v>0.43977462096223052</v>
      </c>
    </row>
    <row r="13" spans="1:22" x14ac:dyDescent="0.2">
      <c r="A13" s="13">
        <v>35643</v>
      </c>
      <c r="B13" s="14">
        <v>32064.1</v>
      </c>
      <c r="C13" s="14">
        <v>25812.17</v>
      </c>
      <c r="D13" s="14">
        <v>57876.27</v>
      </c>
      <c r="E13" s="14">
        <v>23596.09</v>
      </c>
      <c r="F13" s="14">
        <v>19977.560000000001</v>
      </c>
      <c r="G13" s="14">
        <v>43573.66</v>
      </c>
      <c r="I13" s="14">
        <f t="shared" si="0"/>
        <v>234.76000000000204</v>
      </c>
      <c r="J13" s="15"/>
      <c r="L13" s="15">
        <f t="shared" si="1"/>
        <v>0.75287609239503528</v>
      </c>
      <c r="M13" s="16">
        <v>66.868057235978824</v>
      </c>
      <c r="N13" s="16">
        <f>G13*$O$6/'[2]Used Cooking Oil Complex'!$AZ$26</f>
        <v>3.9122999866028491E-2</v>
      </c>
      <c r="O13" s="16"/>
      <c r="R13" s="18">
        <f t="shared" si="2"/>
        <v>0.55401116899896974</v>
      </c>
      <c r="S13" s="18">
        <f t="shared" si="3"/>
        <v>0.44598883100103032</v>
      </c>
    </row>
    <row r="14" spans="1:22" x14ac:dyDescent="0.2">
      <c r="A14" s="13">
        <v>35674</v>
      </c>
      <c r="B14" s="14">
        <v>30239.88</v>
      </c>
      <c r="C14" s="14">
        <v>23738.73</v>
      </c>
      <c r="D14" s="14">
        <v>53978.61</v>
      </c>
      <c r="E14" s="14">
        <v>22239.61</v>
      </c>
      <c r="F14" s="14">
        <v>18326.23</v>
      </c>
      <c r="G14" s="14">
        <v>40565.839999999997</v>
      </c>
      <c r="I14" s="14">
        <f t="shared" si="0"/>
        <v>-3007.820000000007</v>
      </c>
      <c r="J14" s="15"/>
      <c r="L14" s="15">
        <f t="shared" si="1"/>
        <v>0.75151694347075626</v>
      </c>
      <c r="M14" s="16">
        <v>62.252262282891976</v>
      </c>
      <c r="N14" s="16">
        <f>G14*$O$6/'[2]Used Cooking Oil Complex'!$AZ$26</f>
        <v>3.6422401810757524E-2</v>
      </c>
      <c r="O14" s="16"/>
      <c r="R14" s="18">
        <f t="shared" si="2"/>
        <v>0.56021968702046976</v>
      </c>
      <c r="S14" s="18">
        <f t="shared" si="3"/>
        <v>0.43978031297953019</v>
      </c>
    </row>
    <row r="15" spans="1:22" x14ac:dyDescent="0.2">
      <c r="A15" s="13">
        <v>35704</v>
      </c>
      <c r="B15" s="14">
        <v>31674.05</v>
      </c>
      <c r="C15" s="14">
        <v>24415.42</v>
      </c>
      <c r="D15" s="14">
        <v>56089.48</v>
      </c>
      <c r="E15" s="14">
        <v>23235.759999999998</v>
      </c>
      <c r="F15" s="14">
        <v>18800.98</v>
      </c>
      <c r="G15" s="14">
        <v>42036.73</v>
      </c>
      <c r="I15" s="14">
        <f t="shared" si="0"/>
        <v>1470.8900000000067</v>
      </c>
      <c r="J15" s="15"/>
      <c r="L15" s="15">
        <f t="shared" si="1"/>
        <v>0.74945836545462718</v>
      </c>
      <c r="M15" s="16">
        <v>64.50948732912012</v>
      </c>
      <c r="N15" s="16">
        <f>G15*$O$6/'[2]Used Cooking Oil Complex'!$AZ$26</f>
        <v>3.7743053536431773E-2</v>
      </c>
      <c r="O15" s="16"/>
      <c r="R15" s="18">
        <f t="shared" si="2"/>
        <v>0.56470571665132208</v>
      </c>
      <c r="S15" s="18">
        <f t="shared" si="3"/>
        <v>0.43529410506212568</v>
      </c>
    </row>
    <row r="16" spans="1:22" x14ac:dyDescent="0.2">
      <c r="A16" s="13">
        <v>35735</v>
      </c>
      <c r="B16" s="14">
        <v>31623.79</v>
      </c>
      <c r="C16" s="14">
        <v>23049.3</v>
      </c>
      <c r="D16" s="14">
        <v>54673.09</v>
      </c>
      <c r="E16" s="14">
        <v>23184.31</v>
      </c>
      <c r="F16" s="14">
        <v>17704.23</v>
      </c>
      <c r="G16" s="14">
        <v>40888.54</v>
      </c>
      <c r="I16" s="14">
        <f t="shared" si="0"/>
        <v>-1148.1900000000023</v>
      </c>
      <c r="J16" s="15"/>
      <c r="L16" s="15">
        <f t="shared" si="1"/>
        <v>0.74787322245733689</v>
      </c>
      <c r="M16" s="16">
        <v>62.747477100055612</v>
      </c>
      <c r="N16" s="16">
        <f>G16*$O$6/'[2]Used Cooking Oil Complex'!$AZ$26</f>
        <v>3.6712140888373858E-2</v>
      </c>
      <c r="O16" s="16"/>
      <c r="R16" s="18">
        <f t="shared" si="2"/>
        <v>0.57841599953468892</v>
      </c>
      <c r="S16" s="18">
        <f t="shared" si="3"/>
        <v>0.42158400046531119</v>
      </c>
    </row>
    <row r="17" spans="1:19" x14ac:dyDescent="0.2">
      <c r="A17" s="13">
        <v>35765</v>
      </c>
      <c r="B17" s="14">
        <v>34847.120000000003</v>
      </c>
      <c r="C17" s="14">
        <v>24091.97</v>
      </c>
      <c r="D17" s="14">
        <v>58939.09</v>
      </c>
      <c r="E17" s="14">
        <v>25531.38</v>
      </c>
      <c r="F17" s="14">
        <v>18458.560000000001</v>
      </c>
      <c r="G17" s="14">
        <v>43989.94</v>
      </c>
      <c r="I17" s="14">
        <f t="shared" si="0"/>
        <v>3101.4000000000015</v>
      </c>
      <c r="J17" s="15"/>
      <c r="L17" s="15">
        <f t="shared" si="1"/>
        <v>0.74636272802990344</v>
      </c>
      <c r="M17" s="16">
        <v>67.506879746325509</v>
      </c>
      <c r="N17" s="16">
        <f>G17*$O$6/'[2]Used Cooking Oil Complex'!$AZ$26</f>
        <v>3.949676058257675E-2</v>
      </c>
      <c r="O17" s="16"/>
      <c r="R17" s="18">
        <f t="shared" si="2"/>
        <v>0.5912395322018037</v>
      </c>
      <c r="S17" s="18">
        <f t="shared" si="3"/>
        <v>0.40876046779819647</v>
      </c>
    </row>
    <row r="18" spans="1:19" x14ac:dyDescent="0.2">
      <c r="A18" s="13">
        <v>35796</v>
      </c>
      <c r="B18" s="14">
        <v>30342.99</v>
      </c>
      <c r="C18" s="14">
        <v>22686.14</v>
      </c>
      <c r="D18" s="14">
        <v>53029.13</v>
      </c>
      <c r="E18" s="14">
        <v>21984.26</v>
      </c>
      <c r="F18" s="14">
        <v>17356</v>
      </c>
      <c r="G18" s="14">
        <v>39340.26</v>
      </c>
      <c r="I18" s="14">
        <f t="shared" si="0"/>
        <v>-4649.68</v>
      </c>
      <c r="J18" s="15">
        <f t="shared" ref="J18:J81" si="4">G18/G6-1</f>
        <v>4.9863239483287636E-3</v>
      </c>
      <c r="L18" s="15">
        <f t="shared" si="1"/>
        <v>0.74186131282938272</v>
      </c>
      <c r="M18" s="16">
        <v>60.371489504399868</v>
      </c>
      <c r="N18" s="16">
        <f>G18*$O$6/'[2]Used Cooking Oil Complex'!$AZ$26</f>
        <v>3.5322003859889803E-2</v>
      </c>
      <c r="O18" s="16"/>
      <c r="R18" s="18">
        <f t="shared" si="2"/>
        <v>0.57219475409081766</v>
      </c>
      <c r="S18" s="18">
        <f t="shared" si="3"/>
        <v>0.4278052459091824</v>
      </c>
    </row>
    <row r="19" spans="1:19" x14ac:dyDescent="0.2">
      <c r="A19" s="13">
        <v>35827</v>
      </c>
      <c r="B19" s="14">
        <v>28064.53</v>
      </c>
      <c r="C19" s="14">
        <v>22345.57</v>
      </c>
      <c r="D19" s="14">
        <v>50410.09</v>
      </c>
      <c r="E19" s="14">
        <v>20460.54</v>
      </c>
      <c r="F19" s="14">
        <v>17052.599999999999</v>
      </c>
      <c r="G19" s="14">
        <v>37513.14</v>
      </c>
      <c r="I19" s="14">
        <f t="shared" si="0"/>
        <v>-1827.1200000000026</v>
      </c>
      <c r="J19" s="15">
        <f t="shared" si="4"/>
        <v>2.4271617652678046E-3</v>
      </c>
      <c r="L19" s="15">
        <f t="shared" si="1"/>
        <v>0.74415935381190557</v>
      </c>
      <c r="M19" s="16">
        <v>57.567594565645543</v>
      </c>
      <c r="N19" s="16">
        <f>G19*$O$6/'[2]Used Cooking Oil Complex'!$AZ$26</f>
        <v>3.3681507846582269E-2</v>
      </c>
      <c r="O19" s="16"/>
      <c r="R19" s="18">
        <f t="shared" si="2"/>
        <v>0.55672445734574172</v>
      </c>
      <c r="S19" s="18">
        <f t="shared" si="3"/>
        <v>0.44327574102724276</v>
      </c>
    </row>
    <row r="20" spans="1:19" x14ac:dyDescent="0.2">
      <c r="A20" s="13">
        <v>35855</v>
      </c>
      <c r="B20" s="14">
        <v>30671.49</v>
      </c>
      <c r="C20" s="14">
        <v>24639.52</v>
      </c>
      <c r="D20" s="14">
        <v>55311</v>
      </c>
      <c r="E20" s="14">
        <v>22333.23</v>
      </c>
      <c r="F20" s="14">
        <v>18767.91</v>
      </c>
      <c r="G20" s="14">
        <v>41101.14</v>
      </c>
      <c r="I20" s="14">
        <f t="shared" si="0"/>
        <v>3588</v>
      </c>
      <c r="J20" s="15">
        <f t="shared" si="4"/>
        <v>-1.4854904855839735E-2</v>
      </c>
      <c r="L20" s="15">
        <f t="shared" si="1"/>
        <v>0.74309160926397999</v>
      </c>
      <c r="M20" s="16">
        <v>63.073732662897228</v>
      </c>
      <c r="N20" s="16">
        <f>G20*$O$6/'[2]Used Cooking Oil Complex'!$AZ$26</f>
        <v>3.6903025697488302E-2</v>
      </c>
      <c r="O20" s="16"/>
      <c r="R20" s="18">
        <f t="shared" si="2"/>
        <v>0.55452785160275531</v>
      </c>
      <c r="S20" s="18">
        <f t="shared" si="3"/>
        <v>0.44547232919310809</v>
      </c>
    </row>
    <row r="21" spans="1:19" x14ac:dyDescent="0.2">
      <c r="A21" s="13">
        <v>35886</v>
      </c>
      <c r="B21" s="14">
        <v>31116.51</v>
      </c>
      <c r="C21" s="14">
        <v>24711.919999999998</v>
      </c>
      <c r="D21" s="14">
        <v>55828.43</v>
      </c>
      <c r="E21" s="14">
        <v>22657.27</v>
      </c>
      <c r="F21" s="14">
        <v>18787.810000000001</v>
      </c>
      <c r="G21" s="14">
        <v>41445.089999999997</v>
      </c>
      <c r="I21" s="14">
        <f t="shared" si="0"/>
        <v>343.94999999999709</v>
      </c>
      <c r="J21" s="15">
        <f t="shared" si="4"/>
        <v>2.6112647092538577E-2</v>
      </c>
      <c r="L21" s="15">
        <f t="shared" si="1"/>
        <v>0.742365314589717</v>
      </c>
      <c r="M21" s="16">
        <v>63.601557690363705</v>
      </c>
      <c r="N21" s="16">
        <f>G21*$O$6/'[2]Used Cooking Oil Complex'!$AZ$26</f>
        <v>3.7211844277426735E-2</v>
      </c>
      <c r="O21" s="16"/>
      <c r="R21" s="18">
        <f t="shared" si="2"/>
        <v>0.55735957468264818</v>
      </c>
      <c r="S21" s="18">
        <f t="shared" si="3"/>
        <v>0.4426404253173517</v>
      </c>
    </row>
    <row r="22" spans="1:19" x14ac:dyDescent="0.2">
      <c r="A22" s="13">
        <v>35916</v>
      </c>
      <c r="B22" s="14">
        <v>32653.27</v>
      </c>
      <c r="C22" s="14">
        <v>26445.89</v>
      </c>
      <c r="D22" s="14">
        <v>59099.16</v>
      </c>
      <c r="E22" s="14">
        <v>23702.28</v>
      </c>
      <c r="F22" s="14">
        <v>20056.03</v>
      </c>
      <c r="G22" s="14">
        <v>43758.31</v>
      </c>
      <c r="I22" s="14">
        <f t="shared" si="0"/>
        <v>2313.2200000000012</v>
      </c>
      <c r="J22" s="15">
        <f t="shared" si="4"/>
        <v>5.4208892068861037E-3</v>
      </c>
      <c r="L22" s="15">
        <f t="shared" si="1"/>
        <v>0.74042186047991199</v>
      </c>
      <c r="M22" s="16">
        <v>67.151420781033863</v>
      </c>
      <c r="N22" s="16">
        <f>G22*$O$6/'[2]Used Cooking Oil Complex'!$AZ$26</f>
        <v>3.9288789517971011E-2</v>
      </c>
      <c r="O22" s="16"/>
      <c r="R22" s="18">
        <f t="shared" si="2"/>
        <v>0.55251665167491382</v>
      </c>
      <c r="S22" s="18">
        <f t="shared" si="3"/>
        <v>0.44748334832508613</v>
      </c>
    </row>
    <row r="23" spans="1:19" x14ac:dyDescent="0.2">
      <c r="A23" s="13">
        <v>35947</v>
      </c>
      <c r="B23" s="14">
        <v>31684.14</v>
      </c>
      <c r="C23" s="14">
        <v>25880.12</v>
      </c>
      <c r="D23" s="14">
        <v>57564.26</v>
      </c>
      <c r="E23" s="14">
        <v>23027.47</v>
      </c>
      <c r="F23" s="14">
        <v>19614.740000000002</v>
      </c>
      <c r="G23" s="14">
        <v>42642.2</v>
      </c>
      <c r="I23" s="14">
        <f t="shared" si="0"/>
        <v>-1116.1100000000006</v>
      </c>
      <c r="J23" s="15">
        <f t="shared" si="4"/>
        <v>2.043639113433926E-2</v>
      </c>
      <c r="L23" s="15">
        <f t="shared" si="1"/>
        <v>0.74077561320166363</v>
      </c>
      <c r="M23" s="16">
        <v>65.438640460040673</v>
      </c>
      <c r="N23" s="16">
        <f>G23*$O$6/'[2]Used Cooking Oil Complex'!$AZ$26</f>
        <v>3.8286680184477499E-2</v>
      </c>
      <c r="O23" s="16"/>
      <c r="R23" s="18">
        <f t="shared" si="2"/>
        <v>0.55041339886936791</v>
      </c>
      <c r="S23" s="18">
        <f t="shared" si="3"/>
        <v>0.44958660113063209</v>
      </c>
    </row>
    <row r="24" spans="1:19" x14ac:dyDescent="0.2">
      <c r="A24" s="13">
        <v>35977</v>
      </c>
      <c r="B24" s="14">
        <v>33131.730000000003</v>
      </c>
      <c r="C24" s="14">
        <v>26469.79</v>
      </c>
      <c r="D24" s="14">
        <v>59601.52</v>
      </c>
      <c r="E24" s="14">
        <v>24034.63</v>
      </c>
      <c r="F24" s="14">
        <v>20011.84</v>
      </c>
      <c r="G24" s="14">
        <v>44046.47</v>
      </c>
      <c r="I24" s="14">
        <f t="shared" si="0"/>
        <v>1404.2700000000041</v>
      </c>
      <c r="J24" s="15">
        <f t="shared" si="4"/>
        <v>1.6326441141791825E-2</v>
      </c>
      <c r="L24" s="15">
        <f t="shared" si="1"/>
        <v>0.73901588415865915</v>
      </c>
      <c r="M24" s="16">
        <v>67.593630578721744</v>
      </c>
      <c r="N24" s="16">
        <f>G24*$O$6/'[2]Used Cooking Oil Complex'!$AZ$26</f>
        <v>3.9547516548048244E-2</v>
      </c>
      <c r="O24" s="16"/>
      <c r="R24" s="18">
        <f t="shared" si="2"/>
        <v>0.55588733307472704</v>
      </c>
      <c r="S24" s="18">
        <f t="shared" si="3"/>
        <v>0.44411266692527307</v>
      </c>
    </row>
    <row r="25" spans="1:19" x14ac:dyDescent="0.2">
      <c r="A25" s="13">
        <v>36008</v>
      </c>
      <c r="B25" s="14">
        <v>32453.15</v>
      </c>
      <c r="C25" s="14">
        <v>26549.22</v>
      </c>
      <c r="D25" s="14">
        <v>59002.37</v>
      </c>
      <c r="E25" s="14">
        <v>23454.85</v>
      </c>
      <c r="F25" s="14">
        <v>20022.18</v>
      </c>
      <c r="G25" s="14">
        <v>43477.03</v>
      </c>
      <c r="I25" s="14">
        <f t="shared" si="0"/>
        <v>-569.44000000000233</v>
      </c>
      <c r="J25" s="15">
        <f t="shared" si="4"/>
        <v>-2.2176241334789237E-3</v>
      </c>
      <c r="L25" s="15">
        <f t="shared" si="1"/>
        <v>0.73686921389767901</v>
      </c>
      <c r="M25" s="16">
        <v>66.719769018493466</v>
      </c>
      <c r="N25" s="16">
        <f>G25*$O$6/'[2]Used Cooking Oil Complex'!$AZ$26</f>
        <v>3.9036239757351494E-2</v>
      </c>
      <c r="O25" s="16"/>
      <c r="R25" s="18">
        <f t="shared" si="2"/>
        <v>0.55003129535305106</v>
      </c>
      <c r="S25" s="18">
        <f t="shared" si="3"/>
        <v>0.44996870464694894</v>
      </c>
    </row>
    <row r="26" spans="1:19" x14ac:dyDescent="0.2">
      <c r="A26" s="13">
        <v>36039</v>
      </c>
      <c r="B26" s="14">
        <v>31238.89</v>
      </c>
      <c r="C26" s="14">
        <v>24860.14</v>
      </c>
      <c r="D26" s="14">
        <v>56099.03</v>
      </c>
      <c r="E26" s="14">
        <v>22605.279999999999</v>
      </c>
      <c r="F26" s="14">
        <v>18678.96</v>
      </c>
      <c r="G26" s="14">
        <v>41284.230000000003</v>
      </c>
      <c r="I26" s="14">
        <f t="shared" si="0"/>
        <v>-2192.7999999999956</v>
      </c>
      <c r="J26" s="15">
        <f t="shared" si="4"/>
        <v>1.7709235159434789E-2</v>
      </c>
      <c r="L26" s="15">
        <f t="shared" si="1"/>
        <v>0.73591700248649583</v>
      </c>
      <c r="M26" s="16">
        <v>63.354702234866522</v>
      </c>
      <c r="N26" s="16">
        <f>G26*$O$6/'[2]Used Cooking Oil Complex'!$AZ$26</f>
        <v>3.7067414689495655E-2</v>
      </c>
      <c r="O26" s="16"/>
      <c r="R26" s="18">
        <f t="shared" si="2"/>
        <v>0.55685258729072495</v>
      </c>
      <c r="S26" s="18">
        <f t="shared" si="3"/>
        <v>0.44314741270927499</v>
      </c>
    </row>
    <row r="27" spans="1:19" x14ac:dyDescent="0.2">
      <c r="A27" s="13">
        <v>36069</v>
      </c>
      <c r="B27" s="14">
        <v>32726.560000000001</v>
      </c>
      <c r="C27" s="14">
        <v>26172.46</v>
      </c>
      <c r="D27" s="14">
        <v>58899.02</v>
      </c>
      <c r="E27" s="14">
        <v>23492.34</v>
      </c>
      <c r="F27" s="14">
        <v>19640.75</v>
      </c>
      <c r="G27" s="14">
        <v>43133.09</v>
      </c>
      <c r="I27" s="14">
        <f t="shared" si="0"/>
        <v>1848.8599999999933</v>
      </c>
      <c r="J27" s="15">
        <f t="shared" si="4"/>
        <v>2.6081001067399745E-2</v>
      </c>
      <c r="L27" s="15">
        <f t="shared" si="1"/>
        <v>0.732322710972101</v>
      </c>
      <c r="M27" s="16">
        <v>66.191959337008299</v>
      </c>
      <c r="N27" s="16">
        <f>G27*$O$6/'[2]Used Cooking Oil Complex'!$AZ$26</f>
        <v>3.8727430156002378E-2</v>
      </c>
      <c r="O27" s="16"/>
      <c r="R27" s="18">
        <f t="shared" si="2"/>
        <v>0.55563844695548426</v>
      </c>
      <c r="S27" s="18">
        <f t="shared" si="3"/>
        <v>0.44436155304451586</v>
      </c>
    </row>
    <row r="28" spans="1:19" x14ac:dyDescent="0.2">
      <c r="A28" s="13">
        <v>36100</v>
      </c>
      <c r="B28" s="14">
        <v>32376.12</v>
      </c>
      <c r="C28" s="14">
        <v>24478.38</v>
      </c>
      <c r="D28" s="14">
        <v>56854.5</v>
      </c>
      <c r="E28" s="14">
        <v>23240.78</v>
      </c>
      <c r="F28" s="14">
        <v>18335.560000000001</v>
      </c>
      <c r="G28" s="14">
        <v>41576.339999999997</v>
      </c>
      <c r="I28" s="14">
        <f t="shared" si="0"/>
        <v>-1556.75</v>
      </c>
      <c r="J28" s="15">
        <f t="shared" si="4"/>
        <v>1.6821339182078843E-2</v>
      </c>
      <c r="L28" s="15">
        <f t="shared" si="1"/>
        <v>0.73127615228346032</v>
      </c>
      <c r="M28" s="16">
        <v>63.802973695175375</v>
      </c>
      <c r="N28" s="16">
        <f>G28*$O$6/'[2]Used Cooking Oil Complex'!$AZ$26</f>
        <v>3.7329688262357455E-2</v>
      </c>
      <c r="O28" s="16"/>
      <c r="R28" s="18">
        <f t="shared" si="2"/>
        <v>0.56945571590639266</v>
      </c>
      <c r="S28" s="18">
        <f t="shared" si="3"/>
        <v>0.4305442840936074</v>
      </c>
    </row>
    <row r="29" spans="1:19" x14ac:dyDescent="0.2">
      <c r="A29" s="13">
        <v>36130</v>
      </c>
      <c r="B29" s="14">
        <v>36784.93</v>
      </c>
      <c r="C29" s="14">
        <v>25938.42</v>
      </c>
      <c r="D29" s="14">
        <v>62723.35</v>
      </c>
      <c r="E29" s="14">
        <v>26389.35</v>
      </c>
      <c r="F29" s="14">
        <v>19381.53</v>
      </c>
      <c r="G29" s="14">
        <v>45770.879999999997</v>
      </c>
      <c r="I29" s="14">
        <f t="shared" si="0"/>
        <v>4194.5400000000009</v>
      </c>
      <c r="J29" s="15">
        <f t="shared" si="4"/>
        <v>4.0485165471923601E-2</v>
      </c>
      <c r="L29" s="15">
        <f t="shared" si="1"/>
        <v>0.72972632998715792</v>
      </c>
      <c r="M29" s="16">
        <v>70.239906943348757</v>
      </c>
      <c r="N29" s="16">
        <f>G29*$O$6/'[2]Used Cooking Oil Complex'!$AZ$26</f>
        <v>4.109579347036732E-2</v>
      </c>
      <c r="O29" s="16"/>
      <c r="R29" s="18">
        <f t="shared" si="2"/>
        <v>0.58646309548198561</v>
      </c>
      <c r="S29" s="18">
        <f t="shared" si="3"/>
        <v>0.41353690451801439</v>
      </c>
    </row>
    <row r="30" spans="1:19" x14ac:dyDescent="0.2">
      <c r="A30" s="13">
        <v>36161</v>
      </c>
      <c r="B30" s="14">
        <v>31416.61</v>
      </c>
      <c r="C30" s="14">
        <v>23820.46</v>
      </c>
      <c r="D30" s="14">
        <v>55237.06</v>
      </c>
      <c r="E30" s="14">
        <v>22299.99</v>
      </c>
      <c r="F30" s="14">
        <v>17747.939999999999</v>
      </c>
      <c r="G30" s="14">
        <v>40047.94</v>
      </c>
      <c r="I30" s="14">
        <f t="shared" si="0"/>
        <v>-5722.9399999999951</v>
      </c>
      <c r="J30" s="15">
        <f t="shared" si="4"/>
        <v>1.7988696566825002E-2</v>
      </c>
      <c r="L30" s="15">
        <f t="shared" si="1"/>
        <v>0.7250193982083768</v>
      </c>
      <c r="M30" s="16">
        <v>61.457493910381771</v>
      </c>
      <c r="N30" s="16">
        <f>G30*$O$6/'[2]Used Cooking Oil Complex'!$AZ$26</f>
        <v>3.595740066945758E-2</v>
      </c>
      <c r="O30" s="16"/>
      <c r="R30" s="18">
        <f t="shared" si="2"/>
        <v>0.56875963347795844</v>
      </c>
      <c r="S30" s="18">
        <f t="shared" si="3"/>
        <v>0.4312405475599172</v>
      </c>
    </row>
    <row r="31" spans="1:19" x14ac:dyDescent="0.2">
      <c r="A31" s="13">
        <v>36192</v>
      </c>
      <c r="B31" s="14">
        <v>29634.78</v>
      </c>
      <c r="C31" s="14">
        <v>23667.63</v>
      </c>
      <c r="D31" s="14">
        <v>53302.41</v>
      </c>
      <c r="E31" s="14">
        <v>21099.439999999999</v>
      </c>
      <c r="F31" s="14">
        <v>17601.78</v>
      </c>
      <c r="G31" s="14">
        <v>38701.21</v>
      </c>
      <c r="I31" s="14">
        <f t="shared" si="0"/>
        <v>-1346.7300000000032</v>
      </c>
      <c r="J31" s="15">
        <f t="shared" si="4"/>
        <v>3.1670769229128704E-2</v>
      </c>
      <c r="L31" s="15">
        <f t="shared" si="1"/>
        <v>0.72606867119141516</v>
      </c>
      <c r="M31" s="16">
        <v>59.39080456821015</v>
      </c>
      <c r="N31" s="16">
        <f>G31*$O$6/'[2]Used Cooking Oil Complex'!$AZ$26</f>
        <v>3.474822710888046E-2</v>
      </c>
      <c r="O31" s="16"/>
      <c r="R31" s="18">
        <f t="shared" si="2"/>
        <v>0.55597448595663868</v>
      </c>
      <c r="S31" s="18">
        <f t="shared" si="3"/>
        <v>0.44402551404336127</v>
      </c>
    </row>
    <row r="32" spans="1:19" x14ac:dyDescent="0.2">
      <c r="A32" s="13">
        <v>36220</v>
      </c>
      <c r="B32" s="14">
        <v>32974.879999999997</v>
      </c>
      <c r="C32" s="14">
        <v>25850.55</v>
      </c>
      <c r="D32" s="14">
        <v>58825.43</v>
      </c>
      <c r="E32" s="14">
        <v>23535</v>
      </c>
      <c r="F32" s="14">
        <v>19178.400000000001</v>
      </c>
      <c r="G32" s="14">
        <v>42713.4</v>
      </c>
      <c r="I32" s="14">
        <f t="shared" si="0"/>
        <v>4012.1900000000023</v>
      </c>
      <c r="J32" s="15">
        <f t="shared" si="4"/>
        <v>3.9226649187832807E-2</v>
      </c>
      <c r="L32" s="15">
        <f t="shared" si="1"/>
        <v>0.7261043395687885</v>
      </c>
      <c r="M32" s="16">
        <v>65.547903847031847</v>
      </c>
      <c r="N32" s="16">
        <f>G32*$O$6/'[2]Used Cooking Oil Complex'!$AZ$26</f>
        <v>3.8350607740493252E-2</v>
      </c>
      <c r="O32" s="16"/>
      <c r="R32" s="18">
        <f t="shared" si="2"/>
        <v>0.56055484847284576</v>
      </c>
      <c r="S32" s="18">
        <f t="shared" si="3"/>
        <v>0.43944515152715413</v>
      </c>
    </row>
    <row r="33" spans="1:19" x14ac:dyDescent="0.2">
      <c r="A33" s="13">
        <v>36251</v>
      </c>
      <c r="B33" s="14">
        <v>32492.09</v>
      </c>
      <c r="C33" s="14">
        <v>26319.66</v>
      </c>
      <c r="D33" s="14">
        <v>58811.75</v>
      </c>
      <c r="E33" s="14">
        <v>23176.23</v>
      </c>
      <c r="F33" s="14">
        <v>19490.810000000001</v>
      </c>
      <c r="G33" s="14">
        <v>42667.05</v>
      </c>
      <c r="I33" s="14">
        <f t="shared" si="0"/>
        <v>-46.349999999998545</v>
      </c>
      <c r="J33" s="15">
        <f t="shared" si="4"/>
        <v>2.9483830292080571E-2</v>
      </c>
      <c r="L33" s="15">
        <f t="shared" si="1"/>
        <v>0.72548512839696155</v>
      </c>
      <c r="M33" s="16">
        <v>65.476775223618361</v>
      </c>
      <c r="N33" s="16">
        <f>G33*$O$6/'[2]Used Cooking Oil Complex'!$AZ$26</f>
        <v>3.8308991978957714E-2</v>
      </c>
      <c r="O33" s="16"/>
      <c r="R33" s="18">
        <f t="shared" si="2"/>
        <v>0.55247616335171124</v>
      </c>
      <c r="S33" s="18">
        <f t="shared" si="3"/>
        <v>0.44752383664828882</v>
      </c>
    </row>
    <row r="34" spans="1:19" x14ac:dyDescent="0.2">
      <c r="A34" s="13">
        <v>36281</v>
      </c>
      <c r="B34" s="14">
        <v>34271.980000000003</v>
      </c>
      <c r="C34" s="14">
        <v>27447.360000000001</v>
      </c>
      <c r="D34" s="14">
        <v>61719.34</v>
      </c>
      <c r="E34" s="14">
        <v>24386.15</v>
      </c>
      <c r="F34" s="14">
        <v>20313.57</v>
      </c>
      <c r="G34" s="14">
        <v>44699.73</v>
      </c>
      <c r="I34" s="14">
        <f t="shared" si="0"/>
        <v>2032.6800000000003</v>
      </c>
      <c r="J34" s="15">
        <f t="shared" si="4"/>
        <v>2.1514084981801407E-2</v>
      </c>
      <c r="L34" s="15">
        <f t="shared" si="1"/>
        <v>0.72424186648787892</v>
      </c>
      <c r="M34" s="16">
        <v>68.59612215436573</v>
      </c>
      <c r="N34" s="16">
        <f>G34*$O$6/'[2]Used Cooking Oil Complex'!$AZ$26</f>
        <v>4.0134051874492746E-2</v>
      </c>
      <c r="O34" s="16"/>
      <c r="R34" s="18">
        <f t="shared" si="2"/>
        <v>0.55528753223867922</v>
      </c>
      <c r="S34" s="18">
        <f t="shared" si="3"/>
        <v>0.4447124677613209</v>
      </c>
    </row>
    <row r="35" spans="1:19" x14ac:dyDescent="0.2">
      <c r="A35" s="13">
        <v>36312</v>
      </c>
      <c r="B35" s="14">
        <v>33371.660000000003</v>
      </c>
      <c r="C35" s="14">
        <v>27000.51</v>
      </c>
      <c r="D35" s="14">
        <v>60372.160000000003</v>
      </c>
      <c r="E35" s="14">
        <v>23774.54</v>
      </c>
      <c r="F35" s="14">
        <v>19982.86</v>
      </c>
      <c r="G35" s="14">
        <v>43757.41</v>
      </c>
      <c r="I35" s="14">
        <f t="shared" si="0"/>
        <v>-942.31999999999971</v>
      </c>
      <c r="J35" s="15">
        <f t="shared" si="4"/>
        <v>2.6152731331873236E-2</v>
      </c>
      <c r="L35" s="15">
        <f t="shared" si="1"/>
        <v>0.72479450793213296</v>
      </c>
      <c r="M35" s="16">
        <v>67.150039642715171</v>
      </c>
      <c r="N35" s="16">
        <f>G35*$O$6/'[2]Used Cooking Oil Complex'!$AZ$26</f>
        <v>3.9287981444931494E-2</v>
      </c>
      <c r="O35" s="16"/>
      <c r="R35" s="18">
        <f t="shared" si="2"/>
        <v>0.55276571187779266</v>
      </c>
      <c r="S35" s="18">
        <f t="shared" si="3"/>
        <v>0.44723445376146881</v>
      </c>
    </row>
    <row r="36" spans="1:19" x14ac:dyDescent="0.2">
      <c r="A36" s="13">
        <v>36342</v>
      </c>
      <c r="B36" s="14">
        <v>34908.82</v>
      </c>
      <c r="C36" s="14">
        <v>28039.040000000001</v>
      </c>
      <c r="D36" s="14">
        <v>62947.86</v>
      </c>
      <c r="E36" s="14">
        <v>24869.64</v>
      </c>
      <c r="F36" s="14">
        <v>20688.63</v>
      </c>
      <c r="G36" s="14">
        <v>45558.27</v>
      </c>
      <c r="I36" s="14">
        <f t="shared" si="0"/>
        <v>1800.8599999999933</v>
      </c>
      <c r="J36" s="15">
        <f t="shared" si="4"/>
        <v>3.4322841308281893E-2</v>
      </c>
      <c r="L36" s="15">
        <f t="shared" si="1"/>
        <v>0.72374612893909329</v>
      </c>
      <c r="M36" s="16">
        <v>69.913636034525823</v>
      </c>
      <c r="N36" s="16">
        <f>G36*$O$6/'[2]Used Cooking Oil Complex'!$AZ$26</f>
        <v>4.0904899682663552E-2</v>
      </c>
      <c r="O36" s="16"/>
      <c r="R36" s="18">
        <f t="shared" si="2"/>
        <v>0.55456722436632477</v>
      </c>
      <c r="S36" s="18">
        <f t="shared" si="3"/>
        <v>0.44543277563367523</v>
      </c>
    </row>
    <row r="37" spans="1:19" x14ac:dyDescent="0.2">
      <c r="A37" s="13">
        <v>36373</v>
      </c>
      <c r="B37" s="14">
        <v>33813.15</v>
      </c>
      <c r="C37" s="14">
        <v>27575.9</v>
      </c>
      <c r="D37" s="14">
        <v>61389.05</v>
      </c>
      <c r="E37" s="14">
        <v>24030.35</v>
      </c>
      <c r="F37" s="14">
        <v>20285.46</v>
      </c>
      <c r="G37" s="14">
        <v>44315.82</v>
      </c>
      <c r="I37" s="14">
        <f t="shared" si="0"/>
        <v>-1242.4499999999971</v>
      </c>
      <c r="J37" s="15">
        <f t="shared" si="4"/>
        <v>1.9292716176795066E-2</v>
      </c>
      <c r="L37" s="15">
        <f t="shared" si="1"/>
        <v>0.72188476609427898</v>
      </c>
      <c r="M37" s="16">
        <v>68.006974585548576</v>
      </c>
      <c r="N37" s="16">
        <f>G37*$O$6/'[2]Used Cooking Oil Complex'!$AZ$26</f>
        <v>3.9789354851599394E-2</v>
      </c>
      <c r="O37" s="16"/>
      <c r="R37" s="18">
        <f t="shared" si="2"/>
        <v>0.55080099789783354</v>
      </c>
      <c r="S37" s="18">
        <f t="shared" si="3"/>
        <v>0.44919900210216646</v>
      </c>
    </row>
    <row r="38" spans="1:19" x14ac:dyDescent="0.2">
      <c r="A38" s="13">
        <v>36404</v>
      </c>
      <c r="B38" s="14">
        <v>33334.449999999997</v>
      </c>
      <c r="C38" s="14">
        <v>26040.080000000002</v>
      </c>
      <c r="D38" s="14">
        <v>59374.53</v>
      </c>
      <c r="E38" s="14">
        <v>23632.54</v>
      </c>
      <c r="F38" s="14">
        <v>19132.580000000002</v>
      </c>
      <c r="G38" s="14">
        <v>42765.120000000003</v>
      </c>
      <c r="I38" s="14">
        <f t="shared" si="0"/>
        <v>-1550.6999999999971</v>
      </c>
      <c r="J38" s="15">
        <f t="shared" si="4"/>
        <v>3.58705975623137E-2</v>
      </c>
      <c r="L38" s="15">
        <f t="shared" si="1"/>
        <v>0.72026035406090805</v>
      </c>
      <c r="M38" s="16">
        <v>65.627273262413638</v>
      </c>
      <c r="N38" s="16">
        <f>G38*$O$6/'[2]Used Cooking Oil Complex'!$AZ$26</f>
        <v>3.8397045004497948E-2</v>
      </c>
      <c r="O38" s="16"/>
      <c r="R38" s="18">
        <f t="shared" si="2"/>
        <v>0.56142675992551005</v>
      </c>
      <c r="S38" s="18">
        <f t="shared" si="3"/>
        <v>0.43857324007448989</v>
      </c>
    </row>
    <row r="39" spans="1:19" x14ac:dyDescent="0.2">
      <c r="A39" s="13">
        <v>36434</v>
      </c>
      <c r="B39" s="14">
        <v>33975.56</v>
      </c>
      <c r="C39" s="14">
        <v>27526.75</v>
      </c>
      <c r="D39" s="14">
        <v>61502.31</v>
      </c>
      <c r="E39" s="14">
        <v>23999.52</v>
      </c>
      <c r="F39" s="14">
        <v>20176.21</v>
      </c>
      <c r="G39" s="14">
        <v>44175.73</v>
      </c>
      <c r="I39" s="14">
        <f t="shared" si="0"/>
        <v>1410.6100000000006</v>
      </c>
      <c r="J39" s="15">
        <f t="shared" si="4"/>
        <v>2.417262477601323E-2</v>
      </c>
      <c r="L39" s="15">
        <f t="shared" si="1"/>
        <v>0.71827757363910405</v>
      </c>
      <c r="M39" s="16">
        <v>67.791992733250936</v>
      </c>
      <c r="N39" s="16">
        <f>G39*$O$6/'[2]Used Cooking Oil Complex'!$AZ$26</f>
        <v>3.9663573793702681E-2</v>
      </c>
      <c r="O39" s="16"/>
      <c r="R39" s="18">
        <f t="shared" si="2"/>
        <v>0.55242738036994055</v>
      </c>
      <c r="S39" s="18">
        <f t="shared" si="3"/>
        <v>0.44757261963005945</v>
      </c>
    </row>
    <row r="40" spans="1:19" x14ac:dyDescent="0.2">
      <c r="A40" s="13">
        <v>36465</v>
      </c>
      <c r="B40" s="14">
        <v>34179.58</v>
      </c>
      <c r="C40" s="14">
        <v>25940.98</v>
      </c>
      <c r="D40" s="14">
        <v>60120.55</v>
      </c>
      <c r="E40" s="14">
        <v>24143.63</v>
      </c>
      <c r="F40" s="14">
        <v>18979.63</v>
      </c>
      <c r="G40" s="14">
        <v>43123.27</v>
      </c>
      <c r="I40" s="14">
        <f t="shared" si="0"/>
        <v>-1052.4600000000064</v>
      </c>
      <c r="J40" s="15">
        <f t="shared" si="4"/>
        <v>3.7206978776871624E-2</v>
      </c>
      <c r="L40" s="15">
        <f t="shared" si="1"/>
        <v>0.71728003153663755</v>
      </c>
      <c r="M40" s="16">
        <v>66.176889583353073</v>
      </c>
      <c r="N40" s="16">
        <f>G40*$O$6/'[2]Used Cooking Oil Complex'!$AZ$26</f>
        <v>3.8718613181282231E-2</v>
      </c>
      <c r="O40" s="16"/>
      <c r="R40" s="18">
        <f t="shared" si="2"/>
        <v>0.56851742041614728</v>
      </c>
      <c r="S40" s="18">
        <f t="shared" si="3"/>
        <v>0.43148274591632974</v>
      </c>
    </row>
    <row r="41" spans="1:19" x14ac:dyDescent="0.2">
      <c r="A41" s="13">
        <v>36495</v>
      </c>
      <c r="B41" s="14">
        <v>40263.519999999997</v>
      </c>
      <c r="C41" s="14">
        <v>27511.19</v>
      </c>
      <c r="D41" s="14">
        <v>67774.710000000006</v>
      </c>
      <c r="E41" s="14">
        <v>28389.599999999999</v>
      </c>
      <c r="F41" s="14">
        <v>20092.27</v>
      </c>
      <c r="G41" s="14">
        <v>48481.87</v>
      </c>
      <c r="I41" s="14">
        <f t="shared" si="0"/>
        <v>5358.6000000000058</v>
      </c>
      <c r="J41" s="15">
        <f t="shared" si="4"/>
        <v>5.9229580029923179E-2</v>
      </c>
      <c r="L41" s="15">
        <f t="shared" si="1"/>
        <v>0.7153386565578812</v>
      </c>
      <c r="M41" s="16">
        <v>74.400187132944183</v>
      </c>
      <c r="N41" s="16">
        <f>G41*$O$6/'[2]Used Cooking Oil Complex'!$AZ$26</f>
        <v>4.3529880058613635E-2</v>
      </c>
      <c r="O41" s="16"/>
      <c r="R41" s="18">
        <f t="shared" si="2"/>
        <v>0.59407882379725407</v>
      </c>
      <c r="S41" s="18">
        <f t="shared" si="3"/>
        <v>0.40592117620274576</v>
      </c>
    </row>
    <row r="42" spans="1:19" x14ac:dyDescent="0.2">
      <c r="A42" s="13">
        <v>36526</v>
      </c>
      <c r="B42" s="14">
        <v>31962.86</v>
      </c>
      <c r="C42" s="14">
        <v>25514.63</v>
      </c>
      <c r="D42" s="14">
        <v>57477.48</v>
      </c>
      <c r="E42" s="14">
        <v>22415.91</v>
      </c>
      <c r="F42" s="14">
        <v>18586.669999999998</v>
      </c>
      <c r="G42" s="14">
        <v>41002.589999999997</v>
      </c>
      <c r="I42" s="14">
        <f t="shared" si="0"/>
        <v>-7479.2800000000061</v>
      </c>
      <c r="J42" s="15">
        <f t="shared" si="4"/>
        <v>2.3837680539872785E-2</v>
      </c>
      <c r="L42" s="15">
        <f t="shared" si="1"/>
        <v>0.71336791383338294</v>
      </c>
      <c r="M42" s="16">
        <v>62.922498016998631</v>
      </c>
      <c r="N42" s="16">
        <f>G42*$O$6/'[2]Used Cooking Oil Complex'!$AZ$26</f>
        <v>3.6814541699660322E-2</v>
      </c>
      <c r="O42" s="16"/>
      <c r="R42" s="18">
        <f t="shared" si="2"/>
        <v>0.55609362136266238</v>
      </c>
      <c r="S42" s="18">
        <f t="shared" si="3"/>
        <v>0.44390655261852119</v>
      </c>
    </row>
    <row r="43" spans="1:19" x14ac:dyDescent="0.2">
      <c r="A43" s="13">
        <v>36557</v>
      </c>
      <c r="B43" s="14">
        <v>31729.7</v>
      </c>
      <c r="C43" s="14">
        <v>26327.67</v>
      </c>
      <c r="D43" s="14">
        <v>58057.37</v>
      </c>
      <c r="E43" s="14">
        <v>22252.400000000001</v>
      </c>
      <c r="F43" s="14">
        <v>19133.18</v>
      </c>
      <c r="G43" s="14">
        <v>41385.58</v>
      </c>
      <c r="I43" s="14">
        <f t="shared" si="0"/>
        <v>382.99000000000524</v>
      </c>
      <c r="J43" s="15">
        <f t="shared" si="4"/>
        <v>6.9361397227631905E-2</v>
      </c>
      <c r="L43" s="15">
        <f t="shared" si="1"/>
        <v>0.71283938628291288</v>
      </c>
      <c r="M43" s="16">
        <v>63.510233755534429</v>
      </c>
      <c r="N43" s="16">
        <f>G43*$O$6/'[2]Used Cooking Oil Complex'!$AZ$26</f>
        <v>3.7158412692335489E-2</v>
      </c>
      <c r="O43" s="16"/>
      <c r="R43" s="18">
        <f t="shared" si="2"/>
        <v>0.54652320626993611</v>
      </c>
      <c r="S43" s="18">
        <f t="shared" si="3"/>
        <v>0.45347679373006383</v>
      </c>
    </row>
    <row r="44" spans="1:19" x14ac:dyDescent="0.2">
      <c r="A44" s="13">
        <v>36586</v>
      </c>
      <c r="B44" s="14">
        <v>34594.65</v>
      </c>
      <c r="C44" s="14">
        <v>28679.63</v>
      </c>
      <c r="D44" s="14">
        <v>63274.28</v>
      </c>
      <c r="E44" s="14">
        <v>24247.040000000001</v>
      </c>
      <c r="F44" s="14">
        <v>20805.189999999999</v>
      </c>
      <c r="G44" s="14">
        <v>45052.23</v>
      </c>
      <c r="I44" s="14">
        <f t="shared" si="0"/>
        <v>3666.6500000000015</v>
      </c>
      <c r="J44" s="15">
        <f t="shared" si="4"/>
        <v>5.4756352807315833E-2</v>
      </c>
      <c r="L44" s="15">
        <f t="shared" si="1"/>
        <v>0.71201489768038462</v>
      </c>
      <c r="M44" s="16">
        <v>69.137067995859937</v>
      </c>
      <c r="N44" s="16">
        <f>G44*$O$6/'[2]Used Cooking Oil Complex'!$AZ$26</f>
        <v>4.0450547148306676E-2</v>
      </c>
      <c r="O44" s="16"/>
      <c r="R44" s="18">
        <f t="shared" si="2"/>
        <v>0.54674110870957371</v>
      </c>
      <c r="S44" s="18">
        <f t="shared" si="3"/>
        <v>0.4532588912904264</v>
      </c>
    </row>
    <row r="45" spans="1:19" x14ac:dyDescent="0.2">
      <c r="A45" s="13">
        <v>36617</v>
      </c>
      <c r="B45" s="14">
        <v>34074.71</v>
      </c>
      <c r="C45" s="14">
        <v>28393.29</v>
      </c>
      <c r="D45" s="14">
        <v>62468</v>
      </c>
      <c r="E45" s="14">
        <v>23868.28</v>
      </c>
      <c r="F45" s="14">
        <v>20572.96</v>
      </c>
      <c r="G45" s="14">
        <v>44441.23</v>
      </c>
      <c r="I45" s="14">
        <f t="shared" si="0"/>
        <v>-611</v>
      </c>
      <c r="J45" s="15">
        <f t="shared" si="4"/>
        <v>4.1581970161986836E-2</v>
      </c>
      <c r="L45" s="15">
        <f t="shared" si="1"/>
        <v>0.71142392905167451</v>
      </c>
      <c r="M45" s="16">
        <v>68.199428537269966</v>
      </c>
      <c r="N45" s="16">
        <f>G45*$O$6/'[2]Used Cooking Oil Complex'!$AZ$26</f>
        <v>3.9901955340362533E-2</v>
      </c>
      <c r="O45" s="16"/>
      <c r="R45" s="18">
        <f t="shared" si="2"/>
        <v>0.54547464301722481</v>
      </c>
      <c r="S45" s="18">
        <f t="shared" si="3"/>
        <v>0.45452535698277519</v>
      </c>
    </row>
    <row r="46" spans="1:19" x14ac:dyDescent="0.2">
      <c r="A46" s="13">
        <v>36647</v>
      </c>
      <c r="B46" s="14">
        <v>35514.36</v>
      </c>
      <c r="C46" s="14">
        <v>29276.43</v>
      </c>
      <c r="D46" s="14">
        <v>64790.8</v>
      </c>
      <c r="E46" s="14">
        <v>24728.2</v>
      </c>
      <c r="F46" s="14">
        <v>21187.65</v>
      </c>
      <c r="G46" s="14">
        <v>45915.839999999997</v>
      </c>
      <c r="I46" s="14">
        <f t="shared" si="0"/>
        <v>1474.6099999999933</v>
      </c>
      <c r="J46" s="15">
        <f t="shared" si="4"/>
        <v>2.7206204601235795E-2</v>
      </c>
      <c r="L46" s="15">
        <f t="shared" si="1"/>
        <v>0.70867839261129661</v>
      </c>
      <c r="M46" s="16">
        <v>70.462362288548761</v>
      </c>
      <c r="N46" s="16">
        <f>G46*$O$6/'[2]Used Cooking Oil Complex'!$AZ$26</f>
        <v>4.1225947101266799E-2</v>
      </c>
      <c r="O46" s="16"/>
      <c r="R46" s="18">
        <f t="shared" si="2"/>
        <v>0.5481389333053458</v>
      </c>
      <c r="S46" s="18">
        <f t="shared" si="3"/>
        <v>0.45186091235175363</v>
      </c>
    </row>
    <row r="47" spans="1:19" x14ac:dyDescent="0.2">
      <c r="A47" s="13">
        <v>36678</v>
      </c>
      <c r="B47" s="14">
        <v>35502.83</v>
      </c>
      <c r="C47" s="14">
        <v>29565.99</v>
      </c>
      <c r="D47" s="14">
        <v>65068.82</v>
      </c>
      <c r="E47" s="14">
        <v>24749.71</v>
      </c>
      <c r="F47" s="14">
        <v>21359.13</v>
      </c>
      <c r="G47" s="14">
        <v>46108.84</v>
      </c>
      <c r="I47" s="14">
        <f t="shared" si="0"/>
        <v>193</v>
      </c>
      <c r="J47" s="15">
        <f t="shared" si="4"/>
        <v>5.3737869768800239E-2</v>
      </c>
      <c r="L47" s="15">
        <f t="shared" si="1"/>
        <v>0.70861650787581509</v>
      </c>
      <c r="M47" s="16">
        <v>70.758539728005161</v>
      </c>
      <c r="N47" s="16">
        <f>G47*$O$6/'[2]Used Cooking Oil Complex'!$AZ$26</f>
        <v>4.1399233875298258E-2</v>
      </c>
      <c r="O47" s="16"/>
      <c r="R47" s="18">
        <f t="shared" si="2"/>
        <v>0.5456196992661001</v>
      </c>
      <c r="S47" s="18">
        <f t="shared" si="3"/>
        <v>0.4543803007338999</v>
      </c>
    </row>
    <row r="48" spans="1:19" x14ac:dyDescent="0.2">
      <c r="A48" s="13">
        <v>36708</v>
      </c>
      <c r="B48" s="14">
        <v>35788.01</v>
      </c>
      <c r="C48" s="14">
        <v>30050.31</v>
      </c>
      <c r="D48" s="14">
        <v>65838.320000000007</v>
      </c>
      <c r="E48" s="14">
        <v>24800.28</v>
      </c>
      <c r="F48" s="14">
        <v>21644.82</v>
      </c>
      <c r="G48" s="14">
        <v>46445.1</v>
      </c>
      <c r="I48" s="14">
        <f t="shared" si="0"/>
        <v>336.26000000000204</v>
      </c>
      <c r="J48" s="15">
        <f t="shared" si="4"/>
        <v>1.9465840120794775E-2</v>
      </c>
      <c r="L48" s="15">
        <f t="shared" si="1"/>
        <v>0.70544175489289507</v>
      </c>
      <c r="M48" s="16">
        <v>71.274563695837344</v>
      </c>
      <c r="N48" s="16">
        <f>G48*$O$6/'[2]Used Cooking Oil Complex'!$AZ$26</f>
        <v>4.1701147920043431E-2</v>
      </c>
      <c r="O48" s="16"/>
      <c r="R48" s="18">
        <f t="shared" si="2"/>
        <v>0.54357416774911627</v>
      </c>
      <c r="S48" s="18">
        <f t="shared" si="3"/>
        <v>0.45642583225088368</v>
      </c>
    </row>
    <row r="49" spans="1:19" x14ac:dyDescent="0.2">
      <c r="A49" s="13">
        <v>36739</v>
      </c>
      <c r="B49" s="14">
        <v>35841.72</v>
      </c>
      <c r="C49" s="14">
        <v>29792.33</v>
      </c>
      <c r="D49" s="14">
        <v>65634.05</v>
      </c>
      <c r="E49" s="14">
        <v>24749.27</v>
      </c>
      <c r="F49" s="14">
        <v>21408.36</v>
      </c>
      <c r="G49" s="14">
        <v>46157.63</v>
      </c>
      <c r="I49" s="14">
        <f t="shared" si="0"/>
        <v>-287.47000000000116</v>
      </c>
      <c r="J49" s="15">
        <f t="shared" si="4"/>
        <v>4.1561004625436215E-2</v>
      </c>
      <c r="L49" s="15">
        <f t="shared" si="1"/>
        <v>0.70325737936330301</v>
      </c>
      <c r="M49" s="16">
        <v>70.833412770860491</v>
      </c>
      <c r="N49" s="16">
        <f>G49*$O$6/'[2]Used Cooking Oil Complex'!$AZ$26</f>
        <v>4.144304041262984E-2</v>
      </c>
      <c r="O49" s="16"/>
      <c r="R49" s="18">
        <f t="shared" si="2"/>
        <v>0.54608423524070204</v>
      </c>
      <c r="S49" s="18">
        <f t="shared" si="3"/>
        <v>0.45391576475929796</v>
      </c>
    </row>
    <row r="50" spans="1:19" x14ac:dyDescent="0.2">
      <c r="A50" s="13">
        <v>36770</v>
      </c>
      <c r="B50" s="14">
        <v>34841.879999999997</v>
      </c>
      <c r="C50" s="14">
        <v>28690.92</v>
      </c>
      <c r="D50" s="14">
        <v>63532.800000000003</v>
      </c>
      <c r="E50" s="14">
        <v>24044.63</v>
      </c>
      <c r="F50" s="14">
        <v>20556.259999999998</v>
      </c>
      <c r="G50" s="14">
        <v>44600.89</v>
      </c>
      <c r="I50" s="14">
        <f t="shared" si="0"/>
        <v>-1556.739999999998</v>
      </c>
      <c r="J50" s="15">
        <f t="shared" si="4"/>
        <v>4.2926805770683973E-2</v>
      </c>
      <c r="L50" s="15">
        <f t="shared" si="1"/>
        <v>0.70201360557066583</v>
      </c>
      <c r="M50" s="16">
        <v>68.444442475008884</v>
      </c>
      <c r="N50" s="16">
        <f>G50*$O$6/'[2]Used Cooking Oil Complex'!$AZ$26</f>
        <v>4.0045307497574248E-2</v>
      </c>
      <c r="O50" s="16"/>
      <c r="R50" s="18">
        <f t="shared" si="2"/>
        <v>0.54840775158658195</v>
      </c>
      <c r="S50" s="18">
        <f t="shared" si="3"/>
        <v>0.45159224841341788</v>
      </c>
    </row>
    <row r="51" spans="1:19" x14ac:dyDescent="0.2">
      <c r="A51" s="13">
        <v>36800</v>
      </c>
      <c r="B51" s="14">
        <v>35167.97</v>
      </c>
      <c r="C51" s="14">
        <v>28926.35</v>
      </c>
      <c r="D51" s="14">
        <v>64094.32</v>
      </c>
      <c r="E51" s="14">
        <v>24255.31</v>
      </c>
      <c r="F51" s="14">
        <v>20688.43</v>
      </c>
      <c r="G51" s="14">
        <v>44943.75</v>
      </c>
      <c r="I51" s="14">
        <f t="shared" si="0"/>
        <v>342.86000000000058</v>
      </c>
      <c r="J51" s="15">
        <f t="shared" si="4"/>
        <v>1.738556442643957E-2</v>
      </c>
      <c r="L51" s="15">
        <f t="shared" si="1"/>
        <v>0.70121268156055017</v>
      </c>
      <c r="M51" s="16">
        <v>68.970594790511583</v>
      </c>
      <c r="N51" s="16">
        <f>G51*$O$6/'[2]Used Cooking Oil Complex'!$AZ$26</f>
        <v>4.0353147411275936E-2</v>
      </c>
      <c r="O51" s="16"/>
      <c r="R51" s="18">
        <f t="shared" si="2"/>
        <v>0.54869089803901505</v>
      </c>
      <c r="S51" s="18">
        <f t="shared" si="3"/>
        <v>0.451309101960985</v>
      </c>
    </row>
    <row r="52" spans="1:19" x14ac:dyDescent="0.2">
      <c r="A52" s="13">
        <v>36831</v>
      </c>
      <c r="B52" s="14">
        <v>36397.61</v>
      </c>
      <c r="C52" s="14">
        <v>27571.05</v>
      </c>
      <c r="D52" s="14">
        <v>63968.66</v>
      </c>
      <c r="E52" s="14">
        <v>25148</v>
      </c>
      <c r="F52" s="14">
        <v>19707.54</v>
      </c>
      <c r="G52" s="14">
        <v>44855.55</v>
      </c>
      <c r="I52" s="14">
        <f t="shared" si="0"/>
        <v>-88.19999999999709</v>
      </c>
      <c r="J52" s="15">
        <f t="shared" si="4"/>
        <v>4.0170423068566219E-2</v>
      </c>
      <c r="L52" s="15">
        <f t="shared" si="1"/>
        <v>0.70121134317961331</v>
      </c>
      <c r="M52" s="16">
        <v>68.835243235278142</v>
      </c>
      <c r="N52" s="16">
        <f>G52*$O$6/'[2]Used Cooking Oil Complex'!$AZ$26</f>
        <v>4.0273956253402493E-2</v>
      </c>
      <c r="O52" s="16"/>
      <c r="R52" s="18">
        <f t="shared" si="2"/>
        <v>0.56899128416946676</v>
      </c>
      <c r="S52" s="18">
        <f t="shared" si="3"/>
        <v>0.43100871583053324</v>
      </c>
    </row>
    <row r="53" spans="1:19" x14ac:dyDescent="0.2">
      <c r="A53" s="13">
        <v>36861</v>
      </c>
      <c r="B53" s="14">
        <v>41249.269999999997</v>
      </c>
      <c r="C53" s="14">
        <v>29009.47</v>
      </c>
      <c r="D53" s="14">
        <v>70258.73</v>
      </c>
      <c r="E53" s="14">
        <v>28265.7</v>
      </c>
      <c r="F53" s="14">
        <v>20687.150000000001</v>
      </c>
      <c r="G53" s="14">
        <v>48952.85</v>
      </c>
      <c r="I53" s="14">
        <f t="shared" si="0"/>
        <v>4097.2999999999956</v>
      </c>
      <c r="J53" s="15">
        <f t="shared" si="4"/>
        <v>9.7145592775196299E-3</v>
      </c>
      <c r="L53" s="15">
        <f t="shared" si="1"/>
        <v>0.69675113683381418</v>
      </c>
      <c r="M53" s="16">
        <v>75.122952161105715</v>
      </c>
      <c r="N53" s="16">
        <f>G53*$O$6/'[2]Used Cooking Oil Complex'!$AZ$26</f>
        <v>4.3952753658786349E-2</v>
      </c>
      <c r="O53" s="16"/>
      <c r="R53" s="18">
        <f t="shared" si="2"/>
        <v>0.58710526079819547</v>
      </c>
      <c r="S53" s="18">
        <f t="shared" si="3"/>
        <v>0.41289488153287146</v>
      </c>
    </row>
    <row r="54" spans="1:19" x14ac:dyDescent="0.2">
      <c r="A54" s="13">
        <v>36892</v>
      </c>
      <c r="B54" s="14">
        <v>34704.89</v>
      </c>
      <c r="C54" s="14">
        <v>26931.77</v>
      </c>
      <c r="D54" s="14">
        <v>61636.66</v>
      </c>
      <c r="E54" s="14">
        <v>23623.33</v>
      </c>
      <c r="F54" s="14">
        <v>19135.240000000002</v>
      </c>
      <c r="G54" s="14">
        <v>42758.58</v>
      </c>
      <c r="I54" s="14">
        <f t="shared" si="0"/>
        <v>-6194.2699999999968</v>
      </c>
      <c r="J54" s="15">
        <f t="shared" si="4"/>
        <v>4.2826319020335291E-2</v>
      </c>
      <c r="L54" s="15">
        <f t="shared" si="1"/>
        <v>0.69371993875073701</v>
      </c>
      <c r="M54" s="16">
        <v>65.617236990631014</v>
      </c>
      <c r="N54" s="16">
        <f>G54*$O$6/'[2]Used Cooking Oil Complex'!$AZ$26</f>
        <v>3.8391173007077402E-2</v>
      </c>
      <c r="O54" s="16"/>
      <c r="R54" s="18">
        <f t="shared" si="2"/>
        <v>0.56305597999632029</v>
      </c>
      <c r="S54" s="18">
        <f t="shared" si="3"/>
        <v>0.4369440200036796</v>
      </c>
    </row>
    <row r="55" spans="1:19" x14ac:dyDescent="0.2">
      <c r="A55" s="13">
        <v>36923</v>
      </c>
      <c r="B55" s="14">
        <v>32983.29</v>
      </c>
      <c r="C55" s="14">
        <v>26699.99</v>
      </c>
      <c r="D55" s="14">
        <v>59683.27</v>
      </c>
      <c r="E55" s="14">
        <v>22386.11</v>
      </c>
      <c r="F55" s="14">
        <v>18926.39</v>
      </c>
      <c r="G55" s="14">
        <v>41312.5</v>
      </c>
      <c r="I55" s="14">
        <f t="shared" si="0"/>
        <v>-1446.0800000000017</v>
      </c>
      <c r="J55" s="15">
        <f t="shared" si="4"/>
        <v>-1.76583244695383E-3</v>
      </c>
      <c r="L55" s="15">
        <f t="shared" si="1"/>
        <v>0.69219565214841616</v>
      </c>
      <c r="M55" s="16">
        <v>63.398085324055295</v>
      </c>
      <c r="N55" s="16">
        <f>G55*$O$6/'[2]Used Cooking Oil Complex'!$AZ$26</f>
        <v>3.7092797161526067E-2</v>
      </c>
      <c r="O55" s="16"/>
      <c r="R55" s="18">
        <f t="shared" si="2"/>
        <v>0.55263878805568134</v>
      </c>
      <c r="S55" s="18">
        <f t="shared" si="3"/>
        <v>0.44736137949546001</v>
      </c>
    </row>
    <row r="56" spans="1:19" x14ac:dyDescent="0.2">
      <c r="A56" s="13">
        <v>36951</v>
      </c>
      <c r="B56" s="14">
        <v>36456.29</v>
      </c>
      <c r="C56" s="14">
        <v>29929.7</v>
      </c>
      <c r="D56" s="14">
        <v>66385.990000000005</v>
      </c>
      <c r="E56" s="14">
        <v>24714.5</v>
      </c>
      <c r="F56" s="14">
        <v>21154.22</v>
      </c>
      <c r="G56" s="14">
        <v>45868.72</v>
      </c>
      <c r="I56" s="14">
        <f t="shared" si="0"/>
        <v>4556.2200000000012</v>
      </c>
      <c r="J56" s="15">
        <f t="shared" si="4"/>
        <v>1.8123187242895522E-2</v>
      </c>
      <c r="L56" s="15">
        <f t="shared" si="1"/>
        <v>0.69093976003069324</v>
      </c>
      <c r="M56" s="16">
        <v>70.390052024573706</v>
      </c>
      <c r="N56" s="16">
        <f>G56*$O$6/'[2]Used Cooking Oil Complex'!$AZ$26</f>
        <v>4.1183639988353012E-2</v>
      </c>
      <c r="O56" s="16"/>
      <c r="R56" s="18">
        <f t="shared" si="2"/>
        <v>0.5491563807363572</v>
      </c>
      <c r="S56" s="18">
        <f t="shared" si="3"/>
        <v>0.4508436192636428</v>
      </c>
    </row>
    <row r="57" spans="1:19" x14ac:dyDescent="0.2">
      <c r="A57" s="13">
        <v>36982</v>
      </c>
      <c r="B57" s="14">
        <v>35561.35</v>
      </c>
      <c r="C57" s="14">
        <v>28965.16</v>
      </c>
      <c r="D57" s="14">
        <v>64526.51</v>
      </c>
      <c r="E57" s="14">
        <v>24079.8</v>
      </c>
      <c r="F57" s="14">
        <v>20425.07</v>
      </c>
      <c r="G57" s="14">
        <v>44504.88</v>
      </c>
      <c r="I57" s="14">
        <f t="shared" si="0"/>
        <v>-1363.8400000000038</v>
      </c>
      <c r="J57" s="15">
        <f t="shared" si="4"/>
        <v>1.4322285859322825E-3</v>
      </c>
      <c r="L57" s="15">
        <f t="shared" si="1"/>
        <v>0.68971466146239735</v>
      </c>
      <c r="M57" s="16">
        <v>68.297105708365308</v>
      </c>
      <c r="N57" s="16">
        <f>G57*$O$6/'[2]Used Cooking Oil Complex'!$AZ$26</f>
        <v>3.9959104061435595E-2</v>
      </c>
      <c r="O57" s="16"/>
      <c r="R57" s="18">
        <f t="shared" si="2"/>
        <v>0.55111224828368988</v>
      </c>
      <c r="S57" s="18">
        <f t="shared" si="3"/>
        <v>0.44888775171631007</v>
      </c>
    </row>
    <row r="58" spans="1:19" x14ac:dyDescent="0.2">
      <c r="A58" s="13">
        <v>37012</v>
      </c>
      <c r="B58" s="14">
        <v>37868.93</v>
      </c>
      <c r="C58" s="14">
        <v>30640.94</v>
      </c>
      <c r="D58" s="14">
        <v>68509.87</v>
      </c>
      <c r="E58" s="14">
        <v>25553.31</v>
      </c>
      <c r="F58" s="14">
        <v>21556.83</v>
      </c>
      <c r="G58" s="14">
        <v>47110.14</v>
      </c>
      <c r="I58" s="14">
        <f t="shared" si="0"/>
        <v>2605.260000000002</v>
      </c>
      <c r="J58" s="15">
        <f t="shared" si="4"/>
        <v>2.6010631625164704E-2</v>
      </c>
      <c r="L58" s="15">
        <f t="shared" si="1"/>
        <v>0.68764018965442497</v>
      </c>
      <c r="M58" s="16">
        <v>72.295132837475094</v>
      </c>
      <c r="N58" s="16">
        <f>G58*$O$6/'[2]Used Cooking Oil Complex'!$AZ$26</f>
        <v>4.2298260024716386E-2</v>
      </c>
      <c r="O58" s="16"/>
      <c r="R58" s="18">
        <f t="shared" si="2"/>
        <v>0.55275145026548733</v>
      </c>
      <c r="S58" s="18">
        <f t="shared" si="3"/>
        <v>0.44724854973451272</v>
      </c>
    </row>
    <row r="59" spans="1:19" x14ac:dyDescent="0.2">
      <c r="A59" s="13">
        <v>37043</v>
      </c>
      <c r="B59" s="14">
        <v>37058.879999999997</v>
      </c>
      <c r="C59" s="14">
        <v>30955.08</v>
      </c>
      <c r="D59" s="14">
        <v>68013.960000000006</v>
      </c>
      <c r="E59" s="14">
        <v>24934.55</v>
      </c>
      <c r="F59" s="14">
        <v>21715.11</v>
      </c>
      <c r="G59" s="14">
        <v>46649.66</v>
      </c>
      <c r="I59" s="14">
        <f t="shared" si="0"/>
        <v>-460.47999999999593</v>
      </c>
      <c r="J59" s="15">
        <f t="shared" si="4"/>
        <v>1.1729204204660171E-2</v>
      </c>
      <c r="L59" s="15">
        <f t="shared" si="1"/>
        <v>0.68588360389543557</v>
      </c>
      <c r="M59" s="16">
        <v>71.588481089698504</v>
      </c>
      <c r="N59" s="16">
        <f>G59*$O$6/'[2]Used Cooking Oil Complex'!$AZ$26</f>
        <v>4.1884813943338123E-2</v>
      </c>
      <c r="O59" s="16"/>
      <c r="R59" s="18">
        <f t="shared" si="2"/>
        <v>0.54487167046294604</v>
      </c>
      <c r="S59" s="18">
        <f t="shared" si="3"/>
        <v>0.45512832953705384</v>
      </c>
    </row>
    <row r="60" spans="1:19" x14ac:dyDescent="0.2">
      <c r="A60" s="13">
        <v>37073</v>
      </c>
      <c r="B60" s="14">
        <v>36964.18</v>
      </c>
      <c r="C60" s="14">
        <v>31036.47</v>
      </c>
      <c r="D60" s="14">
        <v>68000.649999999994</v>
      </c>
      <c r="E60" s="14">
        <v>24785.02</v>
      </c>
      <c r="F60" s="14">
        <v>21709.68</v>
      </c>
      <c r="G60" s="14">
        <v>46494.7</v>
      </c>
      <c r="I60" s="14">
        <f t="shared" si="0"/>
        <v>-154.9600000000064</v>
      </c>
      <c r="J60" s="15">
        <f t="shared" si="4"/>
        <v>1.0679275101139751E-3</v>
      </c>
      <c r="L60" s="15">
        <f t="shared" si="1"/>
        <v>0.68373905249435118</v>
      </c>
      <c r="M60" s="16">
        <v>71.3506797631795</v>
      </c>
      <c r="N60" s="16">
        <f>G60*$O$6/'[2]Used Cooking Oil Complex'!$AZ$26</f>
        <v>4.1745681723110578E-2</v>
      </c>
      <c r="O60" s="16"/>
      <c r="R60" s="18">
        <f t="shared" si="2"/>
        <v>0.54358568631329263</v>
      </c>
      <c r="S60" s="18">
        <f t="shared" si="3"/>
        <v>0.45641431368670748</v>
      </c>
    </row>
    <row r="61" spans="1:19" x14ac:dyDescent="0.2">
      <c r="A61" s="13">
        <v>37104</v>
      </c>
      <c r="B61" s="14">
        <v>37814.94</v>
      </c>
      <c r="C61" s="14">
        <v>31682.29</v>
      </c>
      <c r="D61" s="14">
        <v>69497.23</v>
      </c>
      <c r="E61" s="14">
        <v>25311.81</v>
      </c>
      <c r="F61" s="14">
        <v>22085.32</v>
      </c>
      <c r="G61" s="14">
        <v>47397.13</v>
      </c>
      <c r="I61" s="14">
        <f t="shared" si="0"/>
        <v>902.43000000000029</v>
      </c>
      <c r="J61" s="15">
        <f t="shared" si="4"/>
        <v>2.6853631783087639E-2</v>
      </c>
      <c r="L61" s="15">
        <f t="shared" si="1"/>
        <v>0.68200027540666008</v>
      </c>
      <c r="M61" s="16">
        <v>72.735547155348641</v>
      </c>
      <c r="N61" s="16">
        <f>G61*$O$6/'[2]Used Cooking Oil Complex'!$AZ$26</f>
        <v>4.2555936559842224E-2</v>
      </c>
      <c r="O61" s="16"/>
      <c r="R61" s="18">
        <f t="shared" si="2"/>
        <v>0.54412154268594592</v>
      </c>
      <c r="S61" s="18">
        <f t="shared" si="3"/>
        <v>0.45587845731405413</v>
      </c>
    </row>
    <row r="62" spans="1:19" x14ac:dyDescent="0.2">
      <c r="A62" s="13">
        <v>37135</v>
      </c>
      <c r="B62" s="14">
        <v>35935.67</v>
      </c>
      <c r="C62" s="14">
        <v>28825.45</v>
      </c>
      <c r="D62" s="14">
        <v>64761.120000000003</v>
      </c>
      <c r="E62" s="14">
        <v>24040.09</v>
      </c>
      <c r="F62" s="14">
        <v>20047.939999999999</v>
      </c>
      <c r="G62" s="14">
        <v>44088.04</v>
      </c>
      <c r="I62" s="14">
        <f t="shared" si="0"/>
        <v>-3309.0899999999965</v>
      </c>
      <c r="J62" s="15">
        <f t="shared" si="4"/>
        <v>-1.1498649466411992E-2</v>
      </c>
      <c r="L62" s="15">
        <f t="shared" si="1"/>
        <v>0.68077945532751749</v>
      </c>
      <c r="M62" s="16">
        <v>67.657423823064761</v>
      </c>
      <c r="N62" s="16">
        <f>G62*$O$6/'[2]Used Cooking Oil Complex'!$AZ$26</f>
        <v>3.9584840543884968E-2</v>
      </c>
      <c r="O62" s="16"/>
      <c r="R62" s="18">
        <f t="shared" si="2"/>
        <v>0.55489574608962899</v>
      </c>
      <c r="S62" s="18">
        <f t="shared" si="3"/>
        <v>0.4451042539103709</v>
      </c>
    </row>
    <row r="63" spans="1:19" x14ac:dyDescent="0.2">
      <c r="A63" s="13">
        <v>37165</v>
      </c>
      <c r="B63" s="14">
        <v>36828.620000000003</v>
      </c>
      <c r="C63" s="14">
        <v>29478.15</v>
      </c>
      <c r="D63" s="14">
        <v>66306.77</v>
      </c>
      <c r="E63" s="14">
        <v>24510.89</v>
      </c>
      <c r="F63" s="14">
        <v>20443.52</v>
      </c>
      <c r="G63" s="14">
        <v>44954.41</v>
      </c>
      <c r="I63" s="14">
        <f t="shared" si="0"/>
        <v>866.37000000000262</v>
      </c>
      <c r="J63" s="15">
        <f t="shared" si="4"/>
        <v>2.3718537060224421E-4</v>
      </c>
      <c r="L63" s="15">
        <f t="shared" si="1"/>
        <v>0.67797617045740577</v>
      </c>
      <c r="M63" s="16">
        <v>68.986953606597623</v>
      </c>
      <c r="N63" s="16">
        <f>G63*$O$6/'[2]Used Cooking Oil Complex'!$AZ$26</f>
        <v>4.0362718587499645E-2</v>
      </c>
      <c r="O63" s="16"/>
      <c r="R63" s="18">
        <f t="shared" si="2"/>
        <v>0.55542774893121771</v>
      </c>
      <c r="S63" s="18">
        <f t="shared" si="3"/>
        <v>0.44457225106878229</v>
      </c>
    </row>
    <row r="64" spans="1:19" x14ac:dyDescent="0.2">
      <c r="A64" s="13">
        <v>37196</v>
      </c>
      <c r="B64" s="14">
        <v>37890.879999999997</v>
      </c>
      <c r="C64" s="14">
        <v>28571</v>
      </c>
      <c r="D64" s="14">
        <v>66461.88</v>
      </c>
      <c r="E64" s="14">
        <v>25290.05</v>
      </c>
      <c r="F64" s="14">
        <v>19791.849999999999</v>
      </c>
      <c r="G64" s="14">
        <v>45081.9</v>
      </c>
      <c r="I64" s="14">
        <f t="shared" si="0"/>
        <v>127.48999999999796</v>
      </c>
      <c r="J64" s="15">
        <f t="shared" si="4"/>
        <v>5.0461982965317453E-3</v>
      </c>
      <c r="L64" s="15">
        <f t="shared" si="1"/>
        <v>0.67831213922928446</v>
      </c>
      <c r="M64" s="16">
        <v>69.18259952243335</v>
      </c>
      <c r="N64" s="16">
        <f>G64*$O$6/'[2]Used Cooking Oil Complex'!$AZ$26</f>
        <v>4.0477186622843012E-2</v>
      </c>
      <c r="O64" s="16"/>
      <c r="R64" s="18">
        <f t="shared" si="2"/>
        <v>0.57011447765245271</v>
      </c>
      <c r="S64" s="18">
        <f t="shared" si="3"/>
        <v>0.42988552234754718</v>
      </c>
    </row>
    <row r="65" spans="1:19" x14ac:dyDescent="0.2">
      <c r="A65" s="13">
        <v>37226</v>
      </c>
      <c r="B65" s="14">
        <v>42159.65</v>
      </c>
      <c r="C65" s="14">
        <v>30674.92</v>
      </c>
      <c r="D65" s="14">
        <v>72834.570000000007</v>
      </c>
      <c r="E65" s="14">
        <v>28139.21</v>
      </c>
      <c r="F65" s="14">
        <v>21225.14</v>
      </c>
      <c r="G65" s="14">
        <v>49364.36</v>
      </c>
      <c r="I65" s="14">
        <f t="shared" si="0"/>
        <v>4282.4599999999991</v>
      </c>
      <c r="J65" s="15">
        <f t="shared" si="4"/>
        <v>8.4062521385375177E-3</v>
      </c>
      <c r="L65" s="15">
        <f t="shared" si="1"/>
        <v>0.67776002521879375</v>
      </c>
      <c r="M65" s="16">
        <v>75.754454638363242</v>
      </c>
      <c r="N65" s="16">
        <f>G65*$O$6/'[2]Used Cooking Oil Complex'!$AZ$26</f>
        <v>4.4322231588225125E-2</v>
      </c>
      <c r="O65" s="16"/>
      <c r="R65" s="18">
        <f t="shared" si="2"/>
        <v>0.57884120136907513</v>
      </c>
      <c r="S65" s="18">
        <f t="shared" si="3"/>
        <v>0.42115879863092476</v>
      </c>
    </row>
    <row r="66" spans="1:19" x14ac:dyDescent="0.2">
      <c r="A66" s="13">
        <v>37257</v>
      </c>
      <c r="B66" s="14">
        <v>35620.32</v>
      </c>
      <c r="C66" s="14">
        <v>28082.400000000001</v>
      </c>
      <c r="D66" s="14">
        <v>63702.720000000001</v>
      </c>
      <c r="E66" s="14">
        <v>23573.1</v>
      </c>
      <c r="F66" s="14">
        <v>19391.2</v>
      </c>
      <c r="G66" s="14">
        <v>42964.3</v>
      </c>
      <c r="I66" s="14">
        <f t="shared" si="0"/>
        <v>-6400.0599999999977</v>
      </c>
      <c r="J66" s="15">
        <f t="shared" si="4"/>
        <v>4.811198126785321E-3</v>
      </c>
      <c r="L66" s="15">
        <f t="shared" si="1"/>
        <v>0.67445000778616682</v>
      </c>
      <c r="M66" s="16">
        <v>65.932934518325183</v>
      </c>
      <c r="N66" s="16">
        <f>G66*$O$6/'[2]Used Cooking Oil Complex'!$AZ$26</f>
        <v>3.8575880546734144E-2</v>
      </c>
      <c r="O66" s="16"/>
      <c r="R66" s="18">
        <f t="shared" si="2"/>
        <v>0.55916482059164818</v>
      </c>
      <c r="S66" s="18">
        <f t="shared" si="3"/>
        <v>0.44083517940835182</v>
      </c>
    </row>
    <row r="67" spans="1:19" x14ac:dyDescent="0.2">
      <c r="A67" s="13">
        <v>37288</v>
      </c>
      <c r="B67" s="14">
        <v>33687.449999999997</v>
      </c>
      <c r="C67" s="14">
        <v>27946.89</v>
      </c>
      <c r="D67" s="14">
        <v>61634.34</v>
      </c>
      <c r="E67" s="14">
        <v>22319.29</v>
      </c>
      <c r="F67" s="14">
        <v>19232.22</v>
      </c>
      <c r="G67" s="14">
        <v>41551.5</v>
      </c>
      <c r="I67" s="14">
        <f t="shared" si="0"/>
        <v>-1412.8000000000029</v>
      </c>
      <c r="J67" s="15">
        <f t="shared" si="4"/>
        <v>5.7851739788199463E-3</v>
      </c>
      <c r="L67" s="15">
        <f t="shared" si="1"/>
        <v>0.6741615145063613</v>
      </c>
      <c r="M67" s="16">
        <v>63.764854277579019</v>
      </c>
      <c r="N67" s="16">
        <f>G67*$O$6/'[2]Used Cooking Oil Complex'!$AZ$26</f>
        <v>3.7307385446466571E-2</v>
      </c>
      <c r="O67" s="16"/>
      <c r="R67" s="18">
        <f t="shared" si="2"/>
        <v>0.54656949356478868</v>
      </c>
      <c r="S67" s="18">
        <f t="shared" si="3"/>
        <v>0.45343050643521132</v>
      </c>
    </row>
    <row r="68" spans="1:19" x14ac:dyDescent="0.2">
      <c r="A68" s="13">
        <v>37316</v>
      </c>
      <c r="B68" s="14">
        <v>37912.51</v>
      </c>
      <c r="C68" s="14">
        <v>31216.18</v>
      </c>
      <c r="D68" s="14">
        <v>69128.69</v>
      </c>
      <c r="E68" s="14">
        <v>25075.81</v>
      </c>
      <c r="F68" s="14">
        <v>21469.91</v>
      </c>
      <c r="G68" s="14">
        <v>46545.72</v>
      </c>
      <c r="I68" s="14">
        <f t="shared" si="0"/>
        <v>4994.2200000000012</v>
      </c>
      <c r="J68" s="15">
        <f t="shared" si="4"/>
        <v>1.4759513672934377E-2</v>
      </c>
      <c r="L68" s="15">
        <f t="shared" si="1"/>
        <v>0.67331986184028658</v>
      </c>
      <c r="M68" s="16">
        <v>71.428974959868967</v>
      </c>
      <c r="N68" s="16">
        <f>G68*$O$6/'[2]Used Cooking Oil Complex'!$AZ$26</f>
        <v>4.1791490485862316E-2</v>
      </c>
      <c r="O68" s="16"/>
      <c r="R68" s="18">
        <f t="shared" si="2"/>
        <v>0.54843379789201852</v>
      </c>
      <c r="S68" s="18">
        <f t="shared" si="3"/>
        <v>0.45156620210798148</v>
      </c>
    </row>
    <row r="69" spans="1:19" x14ac:dyDescent="0.2">
      <c r="A69" s="13">
        <v>37347</v>
      </c>
      <c r="B69" s="14">
        <v>35535.629999999997</v>
      </c>
      <c r="C69" s="14">
        <v>30585.34</v>
      </c>
      <c r="D69" s="14">
        <v>66120.960000000006</v>
      </c>
      <c r="E69" s="14">
        <v>23490.39</v>
      </c>
      <c r="F69" s="14">
        <v>21024.16</v>
      </c>
      <c r="G69" s="14">
        <v>44514.54</v>
      </c>
      <c r="I69" s="14">
        <f t="shared" si="0"/>
        <v>-2031.1800000000003</v>
      </c>
      <c r="J69" s="15">
        <f t="shared" si="4"/>
        <v>2.1705484881673343E-4</v>
      </c>
      <c r="L69" s="15">
        <f t="shared" si="1"/>
        <v>0.67322888233927636</v>
      </c>
      <c r="M69" s="16">
        <v>68.311929926319436</v>
      </c>
      <c r="N69" s="16">
        <f>G69*$O$6/'[2]Used Cooking Oil Complex'!$AZ$26</f>
        <v>3.9967777378726498E-2</v>
      </c>
      <c r="O69" s="16"/>
      <c r="R69" s="18">
        <f t="shared" si="2"/>
        <v>0.53743366702479811</v>
      </c>
      <c r="S69" s="18">
        <f t="shared" si="3"/>
        <v>0.46256648421317531</v>
      </c>
    </row>
    <row r="70" spans="1:19" x14ac:dyDescent="0.2">
      <c r="A70" s="13">
        <v>37377</v>
      </c>
      <c r="B70" s="14">
        <v>38856.400000000001</v>
      </c>
      <c r="C70" s="14">
        <v>32145.94</v>
      </c>
      <c r="D70" s="14">
        <v>71002.34</v>
      </c>
      <c r="E70" s="14">
        <v>25817.27</v>
      </c>
      <c r="F70" s="14">
        <v>22047.13</v>
      </c>
      <c r="G70" s="14">
        <v>47864.4</v>
      </c>
      <c r="I70" s="14">
        <f t="shared" si="0"/>
        <v>3349.8600000000006</v>
      </c>
      <c r="J70" s="15">
        <f t="shared" si="4"/>
        <v>1.6010565878173955E-2</v>
      </c>
      <c r="L70" s="15">
        <f t="shared" si="1"/>
        <v>0.67412426125674174</v>
      </c>
      <c r="M70" s="16">
        <v>73.452618824440833</v>
      </c>
      <c r="N70" s="16">
        <f>G70*$O$6/'[2]Used Cooking Oil Complex'!$AZ$26</f>
        <v>4.2975479103374237E-2</v>
      </c>
      <c r="O70" s="16"/>
      <c r="R70" s="18">
        <f t="shared" si="2"/>
        <v>0.5472552031383755</v>
      </c>
      <c r="S70" s="18">
        <f t="shared" si="3"/>
        <v>0.45274479686162455</v>
      </c>
    </row>
    <row r="71" spans="1:19" x14ac:dyDescent="0.2">
      <c r="A71" s="13">
        <v>37408</v>
      </c>
      <c r="B71" s="14">
        <v>37336.980000000003</v>
      </c>
      <c r="C71" s="14">
        <v>32009.23</v>
      </c>
      <c r="D71" s="14">
        <v>69346.210000000006</v>
      </c>
      <c r="E71" s="14">
        <v>24878.6</v>
      </c>
      <c r="F71" s="14">
        <v>21879.46</v>
      </c>
      <c r="G71" s="14">
        <v>46758.06</v>
      </c>
      <c r="I71" s="14">
        <f t="shared" ref="I71:I134" si="5">G71-G70</f>
        <v>-1106.3400000000038</v>
      </c>
      <c r="J71" s="15">
        <f t="shared" si="4"/>
        <v>2.3237039669741222E-3</v>
      </c>
      <c r="L71" s="15">
        <f t="shared" ref="L71:L134" si="6">G71/D71</f>
        <v>0.67426986997559046</v>
      </c>
      <c r="M71" s="16">
        <v>71.754831527196288</v>
      </c>
      <c r="N71" s="16">
        <f>G71*$O$6/'[2]Used Cooking Oil Complex'!$AZ$26</f>
        <v>4.1982141851654227E-2</v>
      </c>
      <c r="O71" s="16"/>
      <c r="R71" s="18">
        <f t="shared" ref="R71:R134" si="7">B71/D71</f>
        <v>0.53841413972010876</v>
      </c>
      <c r="S71" s="18">
        <f t="shared" ref="S71:S134" si="8">C71/D71</f>
        <v>0.46158586027989124</v>
      </c>
    </row>
    <row r="72" spans="1:19" x14ac:dyDescent="0.2">
      <c r="A72" s="13">
        <v>37438</v>
      </c>
      <c r="B72" s="14">
        <v>38061.449999999997</v>
      </c>
      <c r="C72" s="14">
        <v>32291.31</v>
      </c>
      <c r="D72" s="14">
        <v>70352.77</v>
      </c>
      <c r="E72" s="14">
        <v>25332.38</v>
      </c>
      <c r="F72" s="14">
        <v>22035.18</v>
      </c>
      <c r="G72" s="14">
        <v>47367.56</v>
      </c>
      <c r="I72" s="14">
        <f t="shared" si="5"/>
        <v>609.5</v>
      </c>
      <c r="J72" s="15">
        <f t="shared" si="4"/>
        <v>1.8773322550742266E-2</v>
      </c>
      <c r="L72" s="15">
        <f t="shared" si="6"/>
        <v>0.67328635389907165</v>
      </c>
      <c r="M72" s="16">
        <v>72.690169088588405</v>
      </c>
      <c r="N72" s="16">
        <f>G72*$O$6/'[2]Used Cooking Oil Complex'!$AZ$26</f>
        <v>4.2529386871199164E-2</v>
      </c>
      <c r="O72" s="16"/>
      <c r="R72" s="18">
        <f t="shared" si="7"/>
        <v>0.54100854877498061</v>
      </c>
      <c r="S72" s="18">
        <f t="shared" si="8"/>
        <v>0.45899130908420521</v>
      </c>
    </row>
    <row r="73" spans="1:19" x14ac:dyDescent="0.2">
      <c r="A73" s="13">
        <v>37469</v>
      </c>
      <c r="B73" s="14">
        <v>38578.67</v>
      </c>
      <c r="C73" s="14">
        <v>33151.360000000001</v>
      </c>
      <c r="D73" s="14">
        <v>71730.03</v>
      </c>
      <c r="E73" s="14">
        <v>25720.67</v>
      </c>
      <c r="F73" s="14">
        <v>22584.1</v>
      </c>
      <c r="G73" s="14">
        <v>48304.77</v>
      </c>
      <c r="I73" s="14">
        <f t="shared" si="5"/>
        <v>937.20999999999913</v>
      </c>
      <c r="J73" s="15">
        <f t="shared" si="4"/>
        <v>1.9149682691757874E-2</v>
      </c>
      <c r="L73" s="15">
        <f t="shared" si="6"/>
        <v>0.67342464515907774</v>
      </c>
      <c r="M73" s="16">
        <v>74.128409803784962</v>
      </c>
      <c r="N73" s="16">
        <f>G73*$O$6/'[2]Used Cooking Oil Complex'!$AZ$26</f>
        <v>4.3370869241613777E-2</v>
      </c>
      <c r="O73" s="16"/>
      <c r="R73" s="18">
        <f t="shared" si="7"/>
        <v>0.5378315051589968</v>
      </c>
      <c r="S73" s="18">
        <f t="shared" si="8"/>
        <v>0.46216849484100314</v>
      </c>
    </row>
    <row r="74" spans="1:19" x14ac:dyDescent="0.2">
      <c r="A74" s="13">
        <v>37500</v>
      </c>
      <c r="B74" s="14">
        <v>35787.06</v>
      </c>
      <c r="C74" s="14">
        <v>30162.41</v>
      </c>
      <c r="D74" s="14">
        <v>65949.47</v>
      </c>
      <c r="E74" s="14">
        <v>23818.63</v>
      </c>
      <c r="F74" s="14">
        <v>20502.04</v>
      </c>
      <c r="G74" s="14">
        <v>44320.67</v>
      </c>
      <c r="I74" s="14">
        <f t="shared" si="5"/>
        <v>-3984.0999999999985</v>
      </c>
      <c r="J74" s="15">
        <f t="shared" si="4"/>
        <v>5.276487682373654E-3</v>
      </c>
      <c r="L74" s="15">
        <f t="shared" si="6"/>
        <v>0.67203982079006852</v>
      </c>
      <c r="M74" s="16">
        <v>68.01441738648829</v>
      </c>
      <c r="N74" s="16">
        <f>G74*$O$6/'[2]Used Cooking Oil Complex'!$AZ$26</f>
        <v>3.9793709467423499E-2</v>
      </c>
      <c r="O74" s="16"/>
      <c r="R74" s="18">
        <f t="shared" si="7"/>
        <v>0.54264363307241126</v>
      </c>
      <c r="S74" s="18">
        <f t="shared" si="8"/>
        <v>0.45735636692758863</v>
      </c>
    </row>
    <row r="75" spans="1:19" x14ac:dyDescent="0.2">
      <c r="A75" s="13">
        <v>37530</v>
      </c>
      <c r="B75" s="14">
        <v>37632.629999999997</v>
      </c>
      <c r="C75" s="14">
        <v>30893.88</v>
      </c>
      <c r="D75" s="14">
        <v>68526.52</v>
      </c>
      <c r="E75" s="14">
        <v>25061.279999999999</v>
      </c>
      <c r="F75" s="14">
        <v>20952.47</v>
      </c>
      <c r="G75" s="14">
        <v>46013.75</v>
      </c>
      <c r="I75" s="14">
        <f t="shared" si="5"/>
        <v>1693.0800000000017</v>
      </c>
      <c r="J75" s="15">
        <f t="shared" si="4"/>
        <v>2.3564762611721468E-2</v>
      </c>
      <c r="L75" s="15">
        <f t="shared" si="6"/>
        <v>0.67147361342732703</v>
      </c>
      <c r="M75" s="16">
        <v>70.61261479164294</v>
      </c>
      <c r="N75" s="16">
        <f>G75*$O$6/'[2]Used Cooking Oil Complex'!$AZ$26</f>
        <v>4.131385646937779E-2</v>
      </c>
      <c r="O75" s="16"/>
      <c r="R75" s="18">
        <f t="shared" si="7"/>
        <v>0.54916884733093108</v>
      </c>
      <c r="S75" s="18">
        <f t="shared" si="8"/>
        <v>0.45083100674016424</v>
      </c>
    </row>
    <row r="76" spans="1:19" x14ac:dyDescent="0.2">
      <c r="A76" s="13">
        <v>37561</v>
      </c>
      <c r="B76" s="14">
        <v>39073.24</v>
      </c>
      <c r="C76" s="14">
        <v>30235.79</v>
      </c>
      <c r="D76" s="14">
        <v>69309.03</v>
      </c>
      <c r="E76" s="14">
        <v>25961.33</v>
      </c>
      <c r="F76" s="14">
        <v>20483.34</v>
      </c>
      <c r="G76" s="14">
        <v>46444.67</v>
      </c>
      <c r="I76" s="14">
        <f t="shared" si="5"/>
        <v>430.91999999999825</v>
      </c>
      <c r="J76" s="15">
        <f t="shared" si="4"/>
        <v>3.0228761431971618E-2</v>
      </c>
      <c r="L76" s="15">
        <f t="shared" si="6"/>
        <v>0.67010994094131748</v>
      </c>
      <c r="M76" s="16">
        <v>71.273903818640619</v>
      </c>
      <c r="N76" s="16">
        <f>G76*$O$6/'[2]Used Cooking Oil Complex'!$AZ$26</f>
        <v>4.1700761840702323E-2</v>
      </c>
      <c r="O76" s="16"/>
      <c r="R76" s="18">
        <f t="shared" si="7"/>
        <v>0.56375395817832108</v>
      </c>
      <c r="S76" s="18">
        <f t="shared" si="8"/>
        <v>0.43624604182167898</v>
      </c>
    </row>
    <row r="77" spans="1:19" x14ac:dyDescent="0.2">
      <c r="A77" s="13">
        <v>37591</v>
      </c>
      <c r="B77" s="14">
        <v>42464.04</v>
      </c>
      <c r="C77" s="14">
        <v>31628.23</v>
      </c>
      <c r="D77" s="14">
        <v>74092.27</v>
      </c>
      <c r="E77" s="14">
        <v>28118.15</v>
      </c>
      <c r="F77" s="14">
        <v>21390.959999999999</v>
      </c>
      <c r="G77" s="14">
        <v>49509.11</v>
      </c>
      <c r="I77" s="14">
        <f t="shared" si="5"/>
        <v>3064.4400000000023</v>
      </c>
      <c r="J77" s="15">
        <f t="shared" si="4"/>
        <v>2.9322774568534271E-3</v>
      </c>
      <c r="L77" s="15">
        <f t="shared" si="6"/>
        <v>0.66820884283880089</v>
      </c>
      <c r="M77" s="16">
        <v>75.976587717955567</v>
      </c>
      <c r="N77" s="16">
        <f>G77*$O$6/'[2]Used Cooking Oil Complex'!$AZ$26</f>
        <v>4.4452196668748729E-2</v>
      </c>
      <c r="O77" s="16"/>
      <c r="R77" s="18">
        <f t="shared" si="7"/>
        <v>0.5731237550151993</v>
      </c>
      <c r="S77" s="18">
        <f t="shared" si="8"/>
        <v>0.4268762449848007</v>
      </c>
    </row>
    <row r="78" spans="1:19" x14ac:dyDescent="0.2">
      <c r="A78" s="13">
        <v>37622</v>
      </c>
      <c r="B78" s="14">
        <v>37513.230000000003</v>
      </c>
      <c r="C78" s="14">
        <v>29299.46</v>
      </c>
      <c r="D78" s="14">
        <v>66812.69</v>
      </c>
      <c r="E78" s="14">
        <v>24761.67</v>
      </c>
      <c r="F78" s="14">
        <v>19840.669999999998</v>
      </c>
      <c r="G78" s="14">
        <v>44602.34</v>
      </c>
      <c r="I78" s="14">
        <f t="shared" si="5"/>
        <v>-4906.7700000000041</v>
      </c>
      <c r="J78" s="15">
        <f t="shared" si="4"/>
        <v>3.8125606608276907E-2</v>
      </c>
      <c r="L78" s="15">
        <f t="shared" si="6"/>
        <v>0.66757288173848406</v>
      </c>
      <c r="M78" s="16">
        <v>68.446667642300127</v>
      </c>
      <c r="N78" s="16">
        <f>G78*$O$6/'[2]Used Cooking Oil Complex'!$AZ$26</f>
        <v>4.0046609393026816E-2</v>
      </c>
      <c r="O78" s="16"/>
      <c r="R78" s="18">
        <f t="shared" si="7"/>
        <v>0.56146863717057349</v>
      </c>
      <c r="S78" s="18">
        <f t="shared" si="8"/>
        <v>0.43853136282942656</v>
      </c>
    </row>
    <row r="79" spans="1:19" x14ac:dyDescent="0.2">
      <c r="A79" s="13">
        <v>37653</v>
      </c>
      <c r="B79" s="14">
        <v>35335.120000000003</v>
      </c>
      <c r="C79" s="14">
        <v>28760.560000000001</v>
      </c>
      <c r="D79" s="14">
        <v>64095.68</v>
      </c>
      <c r="E79" s="14">
        <v>23205.759999999998</v>
      </c>
      <c r="F79" s="14">
        <v>19389.52</v>
      </c>
      <c r="G79" s="14">
        <v>42595.28</v>
      </c>
      <c r="I79" s="14">
        <f t="shared" si="5"/>
        <v>-2007.0599999999977</v>
      </c>
      <c r="J79" s="15">
        <f t="shared" si="4"/>
        <v>2.5120152100405413E-2</v>
      </c>
      <c r="L79" s="15">
        <f t="shared" si="6"/>
        <v>0.66455773618440428</v>
      </c>
      <c r="M79" s="16">
        <v>65.366637115692001</v>
      </c>
      <c r="N79" s="16">
        <f>G79*$O$6/'[2]Used Cooking Oil Complex'!$AZ$26</f>
        <v>3.824455264335027E-2</v>
      </c>
      <c r="O79" s="16"/>
      <c r="R79" s="18">
        <f t="shared" si="7"/>
        <v>0.55128707582164671</v>
      </c>
      <c r="S79" s="18">
        <f t="shared" si="8"/>
        <v>0.4487129241783534</v>
      </c>
    </row>
    <row r="80" spans="1:19" x14ac:dyDescent="0.2">
      <c r="A80" s="13">
        <v>37681</v>
      </c>
      <c r="B80" s="14">
        <v>38462.74</v>
      </c>
      <c r="C80" s="14">
        <v>32420.19</v>
      </c>
      <c r="D80" s="14">
        <v>70882.94</v>
      </c>
      <c r="E80" s="14">
        <v>25245.56</v>
      </c>
      <c r="F80" s="14">
        <v>21820.51</v>
      </c>
      <c r="G80" s="14">
        <v>47066.07</v>
      </c>
      <c r="I80" s="14">
        <f t="shared" si="5"/>
        <v>4470.7900000000009</v>
      </c>
      <c r="J80" s="15">
        <f t="shared" si="4"/>
        <v>1.1179330774129248E-2</v>
      </c>
      <c r="L80" s="15">
        <f t="shared" si="6"/>
        <v>0.66399714797382836</v>
      </c>
      <c r="M80" s="16">
        <v>72.227503097802341</v>
      </c>
      <c r="N80" s="16">
        <f>G80*$O$6/'[2]Used Cooking Oil Complex'!$AZ$26</f>
        <v>4.2258691381547642E-2</v>
      </c>
      <c r="O80" s="16"/>
      <c r="R80" s="18">
        <f t="shared" si="7"/>
        <v>0.5426233731275818</v>
      </c>
      <c r="S80" s="18">
        <f t="shared" si="8"/>
        <v>0.45737648579474832</v>
      </c>
    </row>
    <row r="81" spans="1:19" x14ac:dyDescent="0.2">
      <c r="A81" s="13">
        <v>37712</v>
      </c>
      <c r="B81" s="14">
        <v>37798.99</v>
      </c>
      <c r="C81" s="14">
        <v>31616.06</v>
      </c>
      <c r="D81" s="14">
        <v>69415.05</v>
      </c>
      <c r="E81" s="14">
        <v>24865.86</v>
      </c>
      <c r="F81" s="14">
        <v>21267.54</v>
      </c>
      <c r="G81" s="14">
        <v>46133.4</v>
      </c>
      <c r="I81" s="14">
        <f t="shared" si="5"/>
        <v>-932.66999999999825</v>
      </c>
      <c r="J81" s="15">
        <f t="shared" si="4"/>
        <v>3.6366993795735159E-2</v>
      </c>
      <c r="L81" s="15">
        <f t="shared" si="6"/>
        <v>0.66460227285005191</v>
      </c>
      <c r="M81" s="16">
        <v>70.7962294581246</v>
      </c>
      <c r="N81" s="16">
        <f>G81*$O$6/'[2]Used Cooking Oil Complex'!$AZ$26</f>
        <v>4.1421285290687962E-2</v>
      </c>
      <c r="O81" s="16"/>
      <c r="R81" s="18">
        <f t="shared" si="7"/>
        <v>0.54453594717572051</v>
      </c>
      <c r="S81" s="18">
        <f t="shared" si="8"/>
        <v>0.45546405282427949</v>
      </c>
    </row>
    <row r="82" spans="1:19" x14ac:dyDescent="0.2">
      <c r="A82" s="13">
        <v>37742</v>
      </c>
      <c r="B82" s="14">
        <v>40091.980000000003</v>
      </c>
      <c r="C82" s="14">
        <v>34387.58</v>
      </c>
      <c r="D82" s="14">
        <v>74479.56</v>
      </c>
      <c r="E82" s="14">
        <v>26300.13</v>
      </c>
      <c r="F82" s="14">
        <v>23080.91</v>
      </c>
      <c r="G82" s="14">
        <v>49381.04</v>
      </c>
      <c r="I82" s="14">
        <f t="shared" si="5"/>
        <v>3247.6399999999994</v>
      </c>
      <c r="J82" s="15">
        <f t="shared" ref="J82:J145" si="9">G82/G70-1</f>
        <v>3.1686180125521268E-2</v>
      </c>
      <c r="L82" s="15">
        <f t="shared" si="6"/>
        <v>0.66301465798133075</v>
      </c>
      <c r="M82" s="16">
        <v>75.78005173520333</v>
      </c>
      <c r="N82" s="16">
        <f>G82*$O$6/'[2]Used Cooking Oil Complex'!$AZ$26</f>
        <v>4.4337207875224327E-2</v>
      </c>
      <c r="O82" s="16"/>
      <c r="R82" s="18">
        <f t="shared" si="7"/>
        <v>0.53829507048645298</v>
      </c>
      <c r="S82" s="18">
        <f t="shared" si="8"/>
        <v>0.46170492951354714</v>
      </c>
    </row>
    <row r="83" spans="1:19" x14ac:dyDescent="0.2">
      <c r="A83" s="13">
        <v>37773</v>
      </c>
      <c r="B83" s="14">
        <v>38301.949999999997</v>
      </c>
      <c r="C83" s="14">
        <v>33469.9</v>
      </c>
      <c r="D83" s="14">
        <v>71771.86</v>
      </c>
      <c r="E83" s="14">
        <v>24971.39</v>
      </c>
      <c r="F83" s="14">
        <v>22415.56</v>
      </c>
      <c r="G83" s="14">
        <v>47386.95</v>
      </c>
      <c r="I83" s="14">
        <f t="shared" si="5"/>
        <v>-1994.0900000000038</v>
      </c>
      <c r="J83" s="15">
        <f t="shared" si="9"/>
        <v>1.3449873668839096E-2</v>
      </c>
      <c r="L83" s="15">
        <f t="shared" si="6"/>
        <v>0.66024414025218237</v>
      </c>
      <c r="M83" s="16">
        <v>72.719924946365907</v>
      </c>
      <c r="N83" s="16">
        <f>G83*$O$6/'[2]Used Cooking Oil Complex'!$AZ$26</f>
        <v>4.2546796355906261E-2</v>
      </c>
      <c r="O83" s="16"/>
      <c r="R83" s="18">
        <f t="shared" si="7"/>
        <v>0.53366249669438681</v>
      </c>
      <c r="S83" s="18">
        <f t="shared" si="8"/>
        <v>0.46633736397524045</v>
      </c>
    </row>
    <row r="84" spans="1:19" x14ac:dyDescent="0.2">
      <c r="A84" s="13">
        <v>37803</v>
      </c>
      <c r="B84" s="14">
        <v>39882.07</v>
      </c>
      <c r="C84" s="14">
        <v>34405.74</v>
      </c>
      <c r="D84" s="14">
        <v>74287.81</v>
      </c>
      <c r="E84" s="14">
        <v>26001.56</v>
      </c>
      <c r="F84" s="14">
        <v>22991.75</v>
      </c>
      <c r="G84" s="14">
        <v>48993.32</v>
      </c>
      <c r="I84" s="14">
        <f t="shared" si="5"/>
        <v>1606.3700000000026</v>
      </c>
      <c r="J84" s="15">
        <f t="shared" si="9"/>
        <v>3.4322223901758875E-2</v>
      </c>
      <c r="L84" s="15">
        <f t="shared" si="6"/>
        <v>0.65950685583543256</v>
      </c>
      <c r="M84" s="16">
        <v>75.185057347503644</v>
      </c>
      <c r="N84" s="16">
        <f>G84*$O$6/'[2]Used Cooking Oil Complex'!$AZ$26</f>
        <v>4.3989090009796984E-2</v>
      </c>
      <c r="O84" s="16"/>
      <c r="R84" s="18">
        <f t="shared" si="7"/>
        <v>0.53685887361600781</v>
      </c>
      <c r="S84" s="18">
        <f t="shared" si="8"/>
        <v>0.46314112638399219</v>
      </c>
    </row>
    <row r="85" spans="1:19" x14ac:dyDescent="0.2">
      <c r="A85" s="13">
        <v>37834</v>
      </c>
      <c r="B85" s="14">
        <v>40202.9</v>
      </c>
      <c r="C85" s="14">
        <v>35497.43</v>
      </c>
      <c r="D85" s="14">
        <v>75700.33</v>
      </c>
      <c r="E85" s="14">
        <v>26094.05</v>
      </c>
      <c r="F85" s="14">
        <v>23682.31</v>
      </c>
      <c r="G85" s="14">
        <v>49776.36</v>
      </c>
      <c r="I85" s="14">
        <f t="shared" si="5"/>
        <v>783.04000000000087</v>
      </c>
      <c r="J85" s="15">
        <f t="shared" si="9"/>
        <v>3.0464693238369644E-2</v>
      </c>
      <c r="L85" s="15">
        <f t="shared" si="6"/>
        <v>0.65754482179932372</v>
      </c>
      <c r="M85" s="16">
        <v>76.386709068705429</v>
      </c>
      <c r="N85" s="16">
        <f>G85*$O$6/'[2]Used Cooking Oil Complex'!$AZ$26</f>
        <v>4.4692149468540991E-2</v>
      </c>
      <c r="O85" s="16"/>
      <c r="R85" s="18">
        <f t="shared" si="7"/>
        <v>0.53107958710351721</v>
      </c>
      <c r="S85" s="18">
        <f t="shared" si="8"/>
        <v>0.46892041289648273</v>
      </c>
    </row>
    <row r="86" spans="1:19" x14ac:dyDescent="0.2">
      <c r="A86" s="13">
        <v>37865</v>
      </c>
      <c r="B86" s="14">
        <v>37744.300000000003</v>
      </c>
      <c r="C86" s="14">
        <v>31922.31</v>
      </c>
      <c r="D86" s="14">
        <v>69666.61</v>
      </c>
      <c r="E86" s="14">
        <v>24443.86</v>
      </c>
      <c r="F86" s="14">
        <v>21273.84</v>
      </c>
      <c r="G86" s="14">
        <v>45717.71</v>
      </c>
      <c r="I86" s="14">
        <f t="shared" si="5"/>
        <v>-4058.6500000000015</v>
      </c>
      <c r="J86" s="15">
        <f t="shared" si="9"/>
        <v>3.1521184133723734E-2</v>
      </c>
      <c r="L86" s="15">
        <f t="shared" si="6"/>
        <v>0.65623560555049254</v>
      </c>
      <c r="M86" s="16">
        <v>70.158312360675723</v>
      </c>
      <c r="N86" s="16">
        <f>G86*$O$6/'[2]Used Cooking Oil Complex'!$AZ$26</f>
        <v>4.1048054310910055E-2</v>
      </c>
      <c r="O86" s="16"/>
      <c r="R86" s="18">
        <f t="shared" si="7"/>
        <v>0.54178465121239572</v>
      </c>
      <c r="S86" s="18">
        <f t="shared" si="8"/>
        <v>0.45821534878760428</v>
      </c>
    </row>
    <row r="87" spans="1:19" x14ac:dyDescent="0.2">
      <c r="A87" s="13">
        <v>37895</v>
      </c>
      <c r="B87" s="14">
        <v>39560.230000000003</v>
      </c>
      <c r="C87" s="14">
        <v>33527.94</v>
      </c>
      <c r="D87" s="14">
        <v>73088.17</v>
      </c>
      <c r="E87" s="14">
        <v>25422.26</v>
      </c>
      <c r="F87" s="14">
        <v>22282.93</v>
      </c>
      <c r="G87" s="14">
        <v>47705.2</v>
      </c>
      <c r="I87" s="14">
        <f t="shared" si="5"/>
        <v>1987.489999999998</v>
      </c>
      <c r="J87" s="15">
        <f t="shared" si="9"/>
        <v>3.6759664230800571E-2</v>
      </c>
      <c r="L87" s="15">
        <f t="shared" si="6"/>
        <v>0.6527075448735411</v>
      </c>
      <c r="M87" s="16">
        <v>73.2083108018426</v>
      </c>
      <c r="N87" s="16">
        <f>G87*$O$6/'[2]Used Cooking Oil Complex'!$AZ$26</f>
        <v>4.28325399612716E-2</v>
      </c>
      <c r="O87" s="16"/>
      <c r="R87" s="18">
        <f t="shared" si="7"/>
        <v>0.54126721191678495</v>
      </c>
      <c r="S87" s="18">
        <f t="shared" si="8"/>
        <v>0.45873278808321516</v>
      </c>
    </row>
    <row r="88" spans="1:19" x14ac:dyDescent="0.2">
      <c r="A88" s="13">
        <v>37926</v>
      </c>
      <c r="B88" s="14">
        <v>40217.449999999997</v>
      </c>
      <c r="C88" s="14">
        <v>32196</v>
      </c>
      <c r="D88" s="14">
        <v>72413.45</v>
      </c>
      <c r="E88" s="14">
        <v>25717.08</v>
      </c>
      <c r="F88" s="14">
        <v>21339.5</v>
      </c>
      <c r="G88" s="14">
        <v>47056.59</v>
      </c>
      <c r="I88" s="14">
        <f t="shared" si="5"/>
        <v>-648.61000000000058</v>
      </c>
      <c r="J88" s="15">
        <f t="shared" si="9"/>
        <v>1.3175247019733272E-2</v>
      </c>
      <c r="L88" s="15">
        <f t="shared" si="6"/>
        <v>0.64983217896675272</v>
      </c>
      <c r="M88" s="16">
        <v>72.212955107511931</v>
      </c>
      <c r="N88" s="16">
        <f>G88*$O$6/'[2]Used Cooking Oil Complex'!$AZ$26</f>
        <v>4.2250179678864644E-2</v>
      </c>
      <c r="O88" s="16"/>
      <c r="R88" s="18">
        <f t="shared" si="7"/>
        <v>0.55538646480729748</v>
      </c>
      <c r="S88" s="18">
        <f t="shared" si="8"/>
        <v>0.44461353519270247</v>
      </c>
    </row>
    <row r="89" spans="1:19" x14ac:dyDescent="0.2">
      <c r="A89" s="13">
        <v>37956</v>
      </c>
      <c r="B89" s="14">
        <v>44563.13</v>
      </c>
      <c r="C89" s="14">
        <v>33621.410000000003</v>
      </c>
      <c r="D89" s="14">
        <v>78184.539999999994</v>
      </c>
      <c r="E89" s="14">
        <v>28232.799999999999</v>
      </c>
      <c r="F89" s="14">
        <v>22223.81</v>
      </c>
      <c r="G89" s="14">
        <v>50456.61</v>
      </c>
      <c r="I89" s="14">
        <f t="shared" si="5"/>
        <v>3400.0200000000041</v>
      </c>
      <c r="J89" s="15">
        <f t="shared" si="9"/>
        <v>1.9137891996038769E-2</v>
      </c>
      <c r="L89" s="15">
        <f t="shared" si="6"/>
        <v>0.64535277690448778</v>
      </c>
      <c r="M89" s="16">
        <v>77.430619447929345</v>
      </c>
      <c r="N89" s="16">
        <f>G89*$O$6/'[2]Used Cooking Oil Complex'!$AZ$26</f>
        <v>4.5302918007581905E-2</v>
      </c>
      <c r="O89" s="16"/>
      <c r="R89" s="18">
        <f t="shared" si="7"/>
        <v>0.56997368021862127</v>
      </c>
      <c r="S89" s="18">
        <f t="shared" si="8"/>
        <v>0.43002631978137884</v>
      </c>
    </row>
    <row r="90" spans="1:19" x14ac:dyDescent="0.2">
      <c r="A90" s="13">
        <v>37987</v>
      </c>
      <c r="B90" s="14">
        <v>39547.519999999997</v>
      </c>
      <c r="C90" s="14">
        <v>32030.77</v>
      </c>
      <c r="D90" s="14">
        <v>71578.3</v>
      </c>
      <c r="E90" s="14">
        <v>25067.01</v>
      </c>
      <c r="F90" s="14">
        <v>21103.77</v>
      </c>
      <c r="G90" s="14">
        <v>46170.77</v>
      </c>
      <c r="I90" s="14">
        <f t="shared" si="5"/>
        <v>-4285.8400000000038</v>
      </c>
      <c r="J90" s="15">
        <f t="shared" si="9"/>
        <v>3.5164746961706461E-2</v>
      </c>
      <c r="L90" s="15">
        <f t="shared" si="6"/>
        <v>0.64503864998190785</v>
      </c>
      <c r="M90" s="16">
        <v>70.853577390313632</v>
      </c>
      <c r="N90" s="16">
        <f>G90*$O$6/'[2]Used Cooking Oil Complex'!$AZ$26</f>
        <v>4.1454838279006902E-2</v>
      </c>
      <c r="O90" s="16"/>
      <c r="R90" s="18">
        <f t="shared" si="7"/>
        <v>0.55250711458640389</v>
      </c>
      <c r="S90" s="18">
        <f t="shared" si="8"/>
        <v>0.44749274570645015</v>
      </c>
    </row>
    <row r="91" spans="1:19" x14ac:dyDescent="0.2">
      <c r="A91" s="13">
        <v>38018</v>
      </c>
      <c r="B91" s="14">
        <v>37601.699999999997</v>
      </c>
      <c r="C91" s="14">
        <v>32232.23</v>
      </c>
      <c r="D91" s="14">
        <v>69833.929999999993</v>
      </c>
      <c r="E91" s="14">
        <v>23833.65</v>
      </c>
      <c r="F91" s="14">
        <v>21167.81</v>
      </c>
      <c r="G91" s="14">
        <v>45001.46</v>
      </c>
      <c r="I91" s="14">
        <f t="shared" si="5"/>
        <v>-1169.3099999999977</v>
      </c>
      <c r="J91" s="15">
        <f t="shared" si="9"/>
        <v>5.6489357506277704E-2</v>
      </c>
      <c r="L91" s="15">
        <f t="shared" si="6"/>
        <v>0.64440680912559267</v>
      </c>
      <c r="M91" s="16">
        <v>69.059156448703447</v>
      </c>
      <c r="N91" s="16">
        <f>G91*$O$6/'[2]Used Cooking Oil Complex'!$AZ$26</f>
        <v>4.0404962850288141E-2</v>
      </c>
      <c r="O91" s="16"/>
      <c r="R91" s="18">
        <f t="shared" si="7"/>
        <v>0.53844456412520392</v>
      </c>
      <c r="S91" s="18">
        <f t="shared" si="8"/>
        <v>0.46155543587479614</v>
      </c>
    </row>
    <row r="92" spans="1:19" x14ac:dyDescent="0.2">
      <c r="A92" s="13">
        <v>38047</v>
      </c>
      <c r="B92" s="14">
        <v>39871.129999999997</v>
      </c>
      <c r="C92" s="14">
        <v>34784.18</v>
      </c>
      <c r="D92" s="14">
        <v>74655.3</v>
      </c>
      <c r="E92" s="14">
        <v>25230.98</v>
      </c>
      <c r="F92" s="14">
        <v>22806.86</v>
      </c>
      <c r="G92" s="14">
        <v>48037.84</v>
      </c>
      <c r="I92" s="14">
        <f t="shared" si="5"/>
        <v>3036.3799999999974</v>
      </c>
      <c r="J92" s="15">
        <f t="shared" si="9"/>
        <v>2.0646933130384459E-2</v>
      </c>
      <c r="L92" s="15">
        <f t="shared" si="6"/>
        <v>0.64346188415289995</v>
      </c>
      <c r="M92" s="16">
        <v>73.718779524437295</v>
      </c>
      <c r="N92" s="16">
        <f>G92*$O$6/'[2]Used Cooking Oil Complex'!$AZ$26</f>
        <v>4.3131203756680017E-2</v>
      </c>
      <c r="O92" s="16"/>
      <c r="R92" s="18">
        <f t="shared" si="7"/>
        <v>0.53406965078165913</v>
      </c>
      <c r="S92" s="18">
        <f t="shared" si="8"/>
        <v>0.46593048316730357</v>
      </c>
    </row>
    <row r="93" spans="1:19" x14ac:dyDescent="0.2">
      <c r="A93" s="13">
        <v>38078</v>
      </c>
      <c r="B93" s="14">
        <v>39958.449999999997</v>
      </c>
      <c r="C93" s="14">
        <v>34605.58</v>
      </c>
      <c r="D93" s="14">
        <v>74564.03</v>
      </c>
      <c r="E93" s="14">
        <v>25313.71</v>
      </c>
      <c r="F93" s="14">
        <v>22641.02</v>
      </c>
      <c r="G93" s="14">
        <v>47954.73</v>
      </c>
      <c r="I93" s="14">
        <f t="shared" si="5"/>
        <v>-83.109999999993306</v>
      </c>
      <c r="J93" s="15">
        <f t="shared" si="9"/>
        <v>3.9479639480289874E-2</v>
      </c>
      <c r="L93" s="15">
        <f t="shared" si="6"/>
        <v>0.64313490029978271</v>
      </c>
      <c r="M93" s="16">
        <v>73.591239073695235</v>
      </c>
      <c r="N93" s="16">
        <f>G93*$O$6/'[2]Used Cooking Oil Complex'!$AZ$26</f>
        <v>4.3056582700774552E-2</v>
      </c>
      <c r="O93" s="16"/>
      <c r="R93" s="18">
        <f t="shared" si="7"/>
        <v>0.53589445205684294</v>
      </c>
      <c r="S93" s="18">
        <f t="shared" si="8"/>
        <v>0.46410554794315706</v>
      </c>
    </row>
    <row r="94" spans="1:19" x14ac:dyDescent="0.2">
      <c r="A94" s="13">
        <v>38108</v>
      </c>
      <c r="B94" s="14">
        <v>41984.56</v>
      </c>
      <c r="C94" s="14">
        <v>36048.93</v>
      </c>
      <c r="D94" s="14">
        <v>78033.5</v>
      </c>
      <c r="E94" s="14">
        <v>26240.92</v>
      </c>
      <c r="F94" s="14">
        <v>23522.18</v>
      </c>
      <c r="G94" s="14">
        <v>49763.1</v>
      </c>
      <c r="I94" s="14">
        <f t="shared" si="5"/>
        <v>1808.3699999999953</v>
      </c>
      <c r="J94" s="15">
        <f t="shared" si="9"/>
        <v>7.7369775930193896E-3</v>
      </c>
      <c r="L94" s="15">
        <f t="shared" si="6"/>
        <v>0.63771457130591347</v>
      </c>
      <c r="M94" s="16">
        <v>76.366360297476447</v>
      </c>
      <c r="N94" s="16">
        <f>G94*$O$6/'[2]Used Cooking Oil Complex'!$AZ$26</f>
        <v>4.4680243859091986E-2</v>
      </c>
      <c r="O94" s="16"/>
      <c r="R94" s="18">
        <f t="shared" si="7"/>
        <v>0.53803251167767685</v>
      </c>
      <c r="S94" s="18">
        <f t="shared" si="8"/>
        <v>0.46196736017223372</v>
      </c>
    </row>
    <row r="95" spans="1:19" x14ac:dyDescent="0.2">
      <c r="A95" s="13">
        <v>38139</v>
      </c>
      <c r="B95" s="14">
        <v>40530.019999999997</v>
      </c>
      <c r="C95" s="14">
        <v>35455.910000000003</v>
      </c>
      <c r="D95" s="14">
        <v>75985.919999999998</v>
      </c>
      <c r="E95" s="14">
        <v>25304.68</v>
      </c>
      <c r="F95" s="14">
        <v>23098.11</v>
      </c>
      <c r="G95" s="14">
        <v>48402.8</v>
      </c>
      <c r="I95" s="14">
        <f t="shared" si="5"/>
        <v>-1360.2999999999956</v>
      </c>
      <c r="J95" s="15">
        <f t="shared" si="9"/>
        <v>2.1437336650702576E-2</v>
      </c>
      <c r="L95" s="15">
        <f t="shared" si="6"/>
        <v>0.63699695943669565</v>
      </c>
      <c r="M95" s="16">
        <v>74.278846458654968</v>
      </c>
      <c r="N95" s="16">
        <f>G95*$O$6/'[2]Used Cooking Oil Complex'!$AZ$26</f>
        <v>4.3458886352796704E-2</v>
      </c>
      <c r="O95" s="16"/>
      <c r="R95" s="18">
        <f t="shared" si="7"/>
        <v>0.53338855409002084</v>
      </c>
      <c r="S95" s="18">
        <f t="shared" si="8"/>
        <v>0.46661157751330778</v>
      </c>
    </row>
    <row r="96" spans="1:19" x14ac:dyDescent="0.2">
      <c r="A96" s="13">
        <v>38169</v>
      </c>
      <c r="B96" s="14">
        <v>42138.7</v>
      </c>
      <c r="C96" s="14">
        <v>37282.5</v>
      </c>
      <c r="D96" s="14">
        <v>79421.2</v>
      </c>
      <c r="E96" s="14">
        <v>26266.87</v>
      </c>
      <c r="F96" s="14">
        <v>24184.6</v>
      </c>
      <c r="G96" s="14">
        <v>50451.47</v>
      </c>
      <c r="I96" s="14">
        <f t="shared" si="5"/>
        <v>2048.6699999999983</v>
      </c>
      <c r="J96" s="15">
        <f t="shared" si="9"/>
        <v>2.9762220645590087E-2</v>
      </c>
      <c r="L96" s="15">
        <f t="shared" si="6"/>
        <v>0.63523933156386458</v>
      </c>
      <c r="M96" s="16">
        <v>77.422731613531397</v>
      </c>
      <c r="N96" s="16">
        <f>G96*$O$6/'[2]Used Cooking Oil Complex'!$AZ$26</f>
        <v>4.5298303012667289E-2</v>
      </c>
      <c r="O96" s="16"/>
      <c r="R96" s="18">
        <f t="shared" si="7"/>
        <v>0.5305724416150851</v>
      </c>
      <c r="S96" s="18">
        <f t="shared" si="8"/>
        <v>0.4694275583849149</v>
      </c>
    </row>
    <row r="97" spans="1:19" x14ac:dyDescent="0.2">
      <c r="A97" s="13">
        <v>38200</v>
      </c>
      <c r="B97" s="14">
        <v>40997.129999999997</v>
      </c>
      <c r="C97" s="14">
        <v>36269.699999999997</v>
      </c>
      <c r="D97" s="14">
        <v>77266.83</v>
      </c>
      <c r="E97" s="14">
        <v>25610.03</v>
      </c>
      <c r="F97" s="14">
        <v>23452.68</v>
      </c>
      <c r="G97" s="14">
        <v>49062.71</v>
      </c>
      <c r="I97" s="14">
        <f t="shared" si="5"/>
        <v>-1388.760000000002</v>
      </c>
      <c r="J97" s="15">
        <f t="shared" si="9"/>
        <v>-1.4337127102102332E-2</v>
      </c>
      <c r="L97" s="15">
        <f t="shared" si="6"/>
        <v>0.63497764823534231</v>
      </c>
      <c r="M97" s="16">
        <v>75.291543111876081</v>
      </c>
      <c r="N97" s="16">
        <f>G97*$O$6/'[2]Used Cooking Oil Complex'!$AZ$26</f>
        <v>4.4051392441144359E-2</v>
      </c>
      <c r="O97" s="16"/>
      <c r="R97" s="18">
        <f t="shared" si="7"/>
        <v>0.53059158761916336</v>
      </c>
      <c r="S97" s="18">
        <f t="shared" si="8"/>
        <v>0.46940841238083658</v>
      </c>
    </row>
    <row r="98" spans="1:19" x14ac:dyDescent="0.2">
      <c r="A98" s="13">
        <v>38231</v>
      </c>
      <c r="B98" s="14">
        <v>40167.03</v>
      </c>
      <c r="C98" s="14">
        <v>34339.57</v>
      </c>
      <c r="D98" s="14">
        <v>74506.600000000006</v>
      </c>
      <c r="E98" s="14">
        <v>25172.38</v>
      </c>
      <c r="F98" s="14">
        <v>22145.86</v>
      </c>
      <c r="G98" s="14">
        <v>47318.239999999998</v>
      </c>
      <c r="I98" s="14">
        <f t="shared" si="5"/>
        <v>-1744.4700000000012</v>
      </c>
      <c r="J98" s="15">
        <f t="shared" si="9"/>
        <v>3.5008971359239194E-2</v>
      </c>
      <c r="L98" s="15">
        <f t="shared" si="6"/>
        <v>0.63508789825330902</v>
      </c>
      <c r="M98" s="16">
        <v>72.614482708723173</v>
      </c>
      <c r="N98" s="16">
        <f>G98*$O$6/'[2]Used Cooking Oil Complex'!$AZ$26</f>
        <v>4.2485104468633197E-2</v>
      </c>
      <c r="O98" s="16"/>
      <c r="R98" s="18">
        <f t="shared" si="7"/>
        <v>0.53910700528543776</v>
      </c>
      <c r="S98" s="18">
        <f t="shared" si="8"/>
        <v>0.46089299471456219</v>
      </c>
    </row>
    <row r="99" spans="1:19" x14ac:dyDescent="0.2">
      <c r="A99" s="13">
        <v>38261</v>
      </c>
      <c r="B99" s="14">
        <v>41751.410000000003</v>
      </c>
      <c r="C99" s="14">
        <v>35999.58</v>
      </c>
      <c r="D99" s="14">
        <v>77750.990000000005</v>
      </c>
      <c r="E99" s="14">
        <v>25914.66</v>
      </c>
      <c r="F99" s="14">
        <v>23155.119999999999</v>
      </c>
      <c r="G99" s="14">
        <v>49069.77</v>
      </c>
      <c r="I99" s="14">
        <f t="shared" si="5"/>
        <v>1751.5299999999988</v>
      </c>
      <c r="J99" s="15">
        <f t="shared" si="9"/>
        <v>2.860421924653922E-2</v>
      </c>
      <c r="L99" s="15">
        <f t="shared" si="6"/>
        <v>0.63111440767506621</v>
      </c>
      <c r="M99" s="16">
        <v>75.302377374687268</v>
      </c>
      <c r="N99" s="16">
        <f>G99*$O$6/'[2]Used Cooking Oil Complex'!$AZ$26</f>
        <v>4.4057731325209959E-2</v>
      </c>
      <c r="O99" s="16"/>
      <c r="R99" s="18">
        <f t="shared" si="7"/>
        <v>0.53698878946750395</v>
      </c>
      <c r="S99" s="18">
        <f t="shared" si="8"/>
        <v>0.46301121053249611</v>
      </c>
    </row>
    <row r="100" spans="1:19" x14ac:dyDescent="0.2">
      <c r="A100" s="13">
        <v>38292</v>
      </c>
      <c r="B100" s="14">
        <v>42400.99</v>
      </c>
      <c r="C100" s="14">
        <v>33847.980000000003</v>
      </c>
      <c r="D100" s="14">
        <v>76248.97</v>
      </c>
      <c r="E100" s="14">
        <v>26289.86</v>
      </c>
      <c r="F100" s="14">
        <v>21748.23</v>
      </c>
      <c r="G100" s="14">
        <v>48038.09</v>
      </c>
      <c r="I100" s="14">
        <f t="shared" si="5"/>
        <v>-1031.6800000000003</v>
      </c>
      <c r="J100" s="15">
        <f t="shared" si="9"/>
        <v>2.0857864966415951E-2</v>
      </c>
      <c r="L100" s="15">
        <f t="shared" si="6"/>
        <v>0.63001624808833478</v>
      </c>
      <c r="M100" s="16">
        <v>73.719163173970273</v>
      </c>
      <c r="N100" s="16">
        <f>G100*$O$6/'[2]Used Cooking Oil Complex'!$AZ$26</f>
        <v>4.3131428221413214E-2</v>
      </c>
      <c r="O100" s="16"/>
      <c r="R100" s="18">
        <f t="shared" si="7"/>
        <v>0.55608606909706448</v>
      </c>
      <c r="S100" s="18">
        <f t="shared" si="8"/>
        <v>0.44391393090293552</v>
      </c>
    </row>
    <row r="101" spans="1:19" x14ac:dyDescent="0.2">
      <c r="A101" s="13">
        <v>38322</v>
      </c>
      <c r="B101" s="14">
        <v>48269.58</v>
      </c>
      <c r="C101" s="14">
        <v>36644.269999999997</v>
      </c>
      <c r="D101" s="14">
        <v>84913.84</v>
      </c>
      <c r="E101" s="14">
        <v>29865.040000000001</v>
      </c>
      <c r="F101" s="14">
        <v>23507.72</v>
      </c>
      <c r="G101" s="14">
        <v>53372.77</v>
      </c>
      <c r="I101" s="14">
        <f t="shared" si="5"/>
        <v>5334.68</v>
      </c>
      <c r="J101" s="15">
        <f t="shared" si="9"/>
        <v>5.7795400840444877E-2</v>
      </c>
      <c r="L101" s="15">
        <f t="shared" si="6"/>
        <v>0.62855207113469369</v>
      </c>
      <c r="M101" s="16">
        <v>81.905753136246361</v>
      </c>
      <c r="N101" s="16">
        <f>G101*$O$6/'[2]Used Cooking Oil Complex'!$AZ$26</f>
        <v>4.7921218313071917E-2</v>
      </c>
      <c r="O101" s="16"/>
      <c r="R101" s="18">
        <f t="shared" si="7"/>
        <v>0.56845362310784675</v>
      </c>
      <c r="S101" s="18">
        <f t="shared" si="8"/>
        <v>0.43154649465858569</v>
      </c>
    </row>
    <row r="102" spans="1:19" x14ac:dyDescent="0.2">
      <c r="A102" s="13">
        <v>38353</v>
      </c>
      <c r="B102" s="14">
        <v>40937.11</v>
      </c>
      <c r="C102" s="14">
        <v>33494.39</v>
      </c>
      <c r="D102" s="14">
        <v>74431.5</v>
      </c>
      <c r="E102" s="14">
        <v>25271.94</v>
      </c>
      <c r="F102" s="14">
        <v>21387.34</v>
      </c>
      <c r="G102" s="14">
        <v>46659.28</v>
      </c>
      <c r="I102" s="14">
        <f t="shared" si="5"/>
        <v>-6713.489999999998</v>
      </c>
      <c r="J102" s="15">
        <f t="shared" si="9"/>
        <v>1.0580503638990768E-2</v>
      </c>
      <c r="L102" s="15">
        <f t="shared" si="6"/>
        <v>0.62687544923856164</v>
      </c>
      <c r="M102" s="16">
        <v>71.603243923727348</v>
      </c>
      <c r="N102" s="16">
        <f>G102*$O$6/'[2]Used Cooking Oil Complex'!$AZ$26</f>
        <v>4.1893451346271704E-2</v>
      </c>
      <c r="O102" s="16"/>
      <c r="R102" s="18">
        <f t="shared" si="7"/>
        <v>0.54999711143803365</v>
      </c>
      <c r="S102" s="18">
        <f t="shared" si="8"/>
        <v>0.45000288856196635</v>
      </c>
    </row>
    <row r="103" spans="1:19" x14ac:dyDescent="0.2">
      <c r="A103" s="13">
        <v>38384</v>
      </c>
      <c r="B103" s="14">
        <v>38731.160000000003</v>
      </c>
      <c r="C103" s="14">
        <v>33418.230000000003</v>
      </c>
      <c r="D103" s="14">
        <v>72149.38</v>
      </c>
      <c r="E103" s="14">
        <v>24024.6</v>
      </c>
      <c r="F103" s="14">
        <v>21271.81</v>
      </c>
      <c r="G103" s="14">
        <v>45296.41</v>
      </c>
      <c r="I103" s="14">
        <f t="shared" si="5"/>
        <v>-1362.8699999999953</v>
      </c>
      <c r="J103" s="15">
        <f t="shared" si="9"/>
        <v>6.5542317960352037E-3</v>
      </c>
      <c r="L103" s="15">
        <f t="shared" si="6"/>
        <v>0.62781426534781037</v>
      </c>
      <c r="M103" s="16">
        <v>69.511786167706902</v>
      </c>
      <c r="N103" s="16">
        <f>G103*$O$6/'[2]Used Cooking Oil Complex'!$AZ$26</f>
        <v>4.0669786342519117E-2</v>
      </c>
      <c r="O103" s="16"/>
      <c r="R103" s="18">
        <f t="shared" si="7"/>
        <v>0.53681902741229381</v>
      </c>
      <c r="S103" s="18">
        <f t="shared" si="8"/>
        <v>0.46318111118903588</v>
      </c>
    </row>
    <row r="104" spans="1:19" x14ac:dyDescent="0.2">
      <c r="A104" s="13">
        <v>38412</v>
      </c>
      <c r="B104" s="14">
        <v>43172.02</v>
      </c>
      <c r="C104" s="14">
        <v>36620.949999999997</v>
      </c>
      <c r="D104" s="14">
        <v>79792.97</v>
      </c>
      <c r="E104" s="14">
        <v>26764.99</v>
      </c>
      <c r="F104" s="14">
        <v>23273.97</v>
      </c>
      <c r="G104" s="14">
        <v>50038.96</v>
      </c>
      <c r="I104" s="14">
        <f t="shared" si="5"/>
        <v>4742.5499999999956</v>
      </c>
      <c r="J104" s="15">
        <f t="shared" si="9"/>
        <v>4.1657160271985738E-2</v>
      </c>
      <c r="L104" s="15">
        <f t="shared" si="6"/>
        <v>0.62710988198584405</v>
      </c>
      <c r="M104" s="16">
        <v>76.789694538141958</v>
      </c>
      <c r="N104" s="16">
        <f>G104*$O$6/'[2]Used Cooking Oil Complex'!$AZ$26</f>
        <v>4.49279272242957E-2</v>
      </c>
      <c r="O104" s="16"/>
      <c r="R104" s="18">
        <f t="shared" si="7"/>
        <v>0.54105042085787758</v>
      </c>
      <c r="S104" s="18">
        <f t="shared" si="8"/>
        <v>0.45894957914212237</v>
      </c>
    </row>
    <row r="105" spans="1:19" x14ac:dyDescent="0.2">
      <c r="A105" s="13">
        <v>38443</v>
      </c>
      <c r="B105" s="14">
        <v>41869.89</v>
      </c>
      <c r="C105" s="14">
        <v>37378.07</v>
      </c>
      <c r="D105" s="14">
        <v>79247.960000000006</v>
      </c>
      <c r="E105" s="14">
        <v>25725.22</v>
      </c>
      <c r="F105" s="14">
        <v>23705.68</v>
      </c>
      <c r="G105" s="14">
        <v>49430.9</v>
      </c>
      <c r="I105" s="14">
        <f t="shared" si="5"/>
        <v>-608.05999999999767</v>
      </c>
      <c r="J105" s="15">
        <f t="shared" si="9"/>
        <v>3.0782573481281217E-2</v>
      </c>
      <c r="L105" s="15">
        <f t="shared" si="6"/>
        <v>0.62374981008974861</v>
      </c>
      <c r="M105" s="16">
        <v>75.856566798059788</v>
      </c>
      <c r="N105" s="16">
        <f>G105*$O$6/'[2]Used Cooking Oil Complex'!$AZ$26</f>
        <v>4.4381975121614015E-2</v>
      </c>
      <c r="O105" s="16"/>
      <c r="R105" s="18">
        <f t="shared" si="7"/>
        <v>0.52834028787617993</v>
      </c>
      <c r="S105" s="18">
        <f t="shared" si="8"/>
        <v>0.47165971212381991</v>
      </c>
    </row>
    <row r="106" spans="1:19" x14ac:dyDescent="0.2">
      <c r="A106" s="13">
        <v>38473</v>
      </c>
      <c r="B106" s="14">
        <v>43836.21</v>
      </c>
      <c r="C106" s="14">
        <v>38102.1</v>
      </c>
      <c r="D106" s="14">
        <v>81938.31</v>
      </c>
      <c r="E106" s="14">
        <v>26862.58</v>
      </c>
      <c r="F106" s="14">
        <v>24102.14</v>
      </c>
      <c r="G106" s="14">
        <v>50964.72</v>
      </c>
      <c r="I106" s="14">
        <f t="shared" si="5"/>
        <v>1533.8199999999997</v>
      </c>
      <c r="J106" s="15">
        <f t="shared" si="9"/>
        <v>2.4146807574286999E-2</v>
      </c>
      <c r="L106" s="15">
        <f t="shared" si="6"/>
        <v>0.62198890848493216</v>
      </c>
      <c r="M106" s="16">
        <v>78.210364104728285</v>
      </c>
      <c r="N106" s="16">
        <f>G106*$O$6/'[2]Used Cooking Oil Complex'!$AZ$26</f>
        <v>4.57591291099297E-2</v>
      </c>
      <c r="O106" s="16"/>
      <c r="R106" s="18">
        <f t="shared" si="7"/>
        <v>0.53499040924812824</v>
      </c>
      <c r="S106" s="18">
        <f t="shared" si="8"/>
        <v>0.46500959075187176</v>
      </c>
    </row>
    <row r="107" spans="1:19" x14ac:dyDescent="0.2">
      <c r="A107" s="13">
        <v>38504</v>
      </c>
      <c r="B107" s="14">
        <v>43425.41</v>
      </c>
      <c r="C107" s="14">
        <v>37840.86</v>
      </c>
      <c r="D107" s="14">
        <v>81266.28</v>
      </c>
      <c r="E107" s="14">
        <v>26737.3</v>
      </c>
      <c r="F107" s="14">
        <v>23862.55</v>
      </c>
      <c r="G107" s="14">
        <v>50599.839999999997</v>
      </c>
      <c r="I107" s="14">
        <f t="shared" si="5"/>
        <v>-364.88000000000466</v>
      </c>
      <c r="J107" s="15">
        <f t="shared" si="9"/>
        <v>4.5390762517870664E-2</v>
      </c>
      <c r="L107" s="15">
        <f t="shared" si="6"/>
        <v>0.62264250313906333</v>
      </c>
      <c r="M107" s="16">
        <v>77.650419938361168</v>
      </c>
      <c r="N107" s="16">
        <f>G107*$O$6/'[2]Used Cooking Oil Complex'!$AZ$26</f>
        <v>4.5431518342527635E-2</v>
      </c>
      <c r="O107" s="16"/>
      <c r="R107" s="18">
        <f t="shared" si="7"/>
        <v>0.53435951541032767</v>
      </c>
      <c r="S107" s="18">
        <f t="shared" si="8"/>
        <v>0.46564036153740518</v>
      </c>
    </row>
    <row r="108" spans="1:19" x14ac:dyDescent="0.2">
      <c r="A108" s="13">
        <v>38534</v>
      </c>
      <c r="B108" s="14">
        <v>44347.86</v>
      </c>
      <c r="C108" s="14">
        <v>39285.79</v>
      </c>
      <c r="D108" s="14">
        <v>83633.66</v>
      </c>
      <c r="E108" s="14">
        <v>27247.71</v>
      </c>
      <c r="F108" s="14">
        <v>24722.54</v>
      </c>
      <c r="G108" s="14">
        <v>51970.239999999998</v>
      </c>
      <c r="I108" s="14">
        <f t="shared" si="5"/>
        <v>1370.4000000000015</v>
      </c>
      <c r="J108" s="15">
        <f t="shared" si="9"/>
        <v>3.01035827102758E-2</v>
      </c>
      <c r="L108" s="15">
        <f t="shared" si="6"/>
        <v>0.62140339188790727</v>
      </c>
      <c r="M108" s="16">
        <v>79.753433218314825</v>
      </c>
      <c r="N108" s="16">
        <f>G108*$O$6/'[2]Used Cooking Oil Complex'!$AZ$26</f>
        <v>4.6661944224044259E-2</v>
      </c>
      <c r="O108" s="16"/>
      <c r="R108" s="18">
        <f t="shared" si="7"/>
        <v>0.5302632935112489</v>
      </c>
      <c r="S108" s="18">
        <f t="shared" si="8"/>
        <v>0.46973658691966846</v>
      </c>
    </row>
    <row r="109" spans="1:19" x14ac:dyDescent="0.2">
      <c r="A109" s="13">
        <v>38565</v>
      </c>
      <c r="B109" s="14">
        <v>44208.09</v>
      </c>
      <c r="C109" s="14">
        <v>38645.21</v>
      </c>
      <c r="D109" s="14">
        <v>82853.3</v>
      </c>
      <c r="E109" s="14">
        <v>27204.83</v>
      </c>
      <c r="F109" s="14">
        <v>24244.29</v>
      </c>
      <c r="G109" s="14">
        <v>51449.120000000003</v>
      </c>
      <c r="I109" s="14">
        <f t="shared" si="5"/>
        <v>-521.11999999999534</v>
      </c>
      <c r="J109" s="15">
        <f t="shared" si="9"/>
        <v>4.8639995630082478E-2</v>
      </c>
      <c r="L109" s="15">
        <f t="shared" si="6"/>
        <v>0.62096645516835181</v>
      </c>
      <c r="M109" s="16">
        <v>78.953723439819896</v>
      </c>
      <c r="N109" s="16">
        <f>G109*$O$6/'[2]Used Cooking Oil Complex'!$AZ$26</f>
        <v>4.619405197698067E-2</v>
      </c>
      <c r="O109" s="16"/>
      <c r="R109" s="18">
        <f t="shared" si="7"/>
        <v>0.53357066043235446</v>
      </c>
      <c r="S109" s="18">
        <f t="shared" si="8"/>
        <v>0.46642933956764543</v>
      </c>
    </row>
    <row r="110" spans="1:19" x14ac:dyDescent="0.2">
      <c r="A110" s="13">
        <v>38596</v>
      </c>
      <c r="B110" s="14">
        <v>43176.98</v>
      </c>
      <c r="C110" s="14">
        <v>36779.910000000003</v>
      </c>
      <c r="D110" s="14">
        <v>79956.89</v>
      </c>
      <c r="E110" s="14">
        <v>26500.38</v>
      </c>
      <c r="F110" s="14">
        <v>23026.65</v>
      </c>
      <c r="G110" s="14">
        <v>49527.03</v>
      </c>
      <c r="I110" s="14">
        <f t="shared" si="5"/>
        <v>-1922.0900000000038</v>
      </c>
      <c r="J110" s="15">
        <f t="shared" si="9"/>
        <v>4.667946229614639E-2</v>
      </c>
      <c r="L110" s="15">
        <f t="shared" si="6"/>
        <v>0.61942166585018499</v>
      </c>
      <c r="M110" s="16">
        <v>76.004087716479177</v>
      </c>
      <c r="N110" s="16">
        <f>G110*$O$6/'[2]Used Cooking Oil Complex'!$AZ$26</f>
        <v>4.4468286300824597E-2</v>
      </c>
      <c r="O110" s="16"/>
      <c r="R110" s="18">
        <f t="shared" si="7"/>
        <v>0.54000324424824431</v>
      </c>
      <c r="S110" s="18">
        <f t="shared" si="8"/>
        <v>0.45999675575175575</v>
      </c>
    </row>
    <row r="111" spans="1:19" x14ac:dyDescent="0.2">
      <c r="A111" s="13">
        <v>38626</v>
      </c>
      <c r="B111" s="14">
        <v>44383.02</v>
      </c>
      <c r="C111" s="14">
        <v>37852.28</v>
      </c>
      <c r="D111" s="14">
        <v>82235.3</v>
      </c>
      <c r="E111" s="14">
        <v>27126.39</v>
      </c>
      <c r="F111" s="14">
        <v>23625.18</v>
      </c>
      <c r="G111" s="14">
        <v>50751.57</v>
      </c>
      <c r="I111" s="14">
        <f t="shared" si="5"/>
        <v>1224.5400000000009</v>
      </c>
      <c r="J111" s="15">
        <f t="shared" si="9"/>
        <v>3.4273647502321758E-2</v>
      </c>
      <c r="L111" s="15">
        <f t="shared" si="6"/>
        <v>0.61715066400925145</v>
      </c>
      <c r="M111" s="16">
        <v>77.883264512914124</v>
      </c>
      <c r="N111" s="16">
        <f>G111*$O$6/'[2]Used Cooking Oil Complex'!$AZ$26</f>
        <v>4.5567750478402211E-2</v>
      </c>
      <c r="O111" s="16"/>
      <c r="R111" s="18">
        <f t="shared" si="7"/>
        <v>0.53970764379773639</v>
      </c>
      <c r="S111" s="18">
        <f t="shared" si="8"/>
        <v>0.4602923562022635</v>
      </c>
    </row>
    <row r="112" spans="1:19" x14ac:dyDescent="0.2">
      <c r="A112" s="13">
        <v>38657</v>
      </c>
      <c r="B112" s="14">
        <v>45007.79</v>
      </c>
      <c r="C112" s="14">
        <v>36051.449999999997</v>
      </c>
      <c r="D112" s="14">
        <v>81059.240000000005</v>
      </c>
      <c r="E112" s="14">
        <v>27479.439999999999</v>
      </c>
      <c r="F112" s="14">
        <v>22455.200000000001</v>
      </c>
      <c r="G112" s="14">
        <v>49934.63</v>
      </c>
      <c r="I112" s="14">
        <f t="shared" si="5"/>
        <v>-816.94000000000233</v>
      </c>
      <c r="J112" s="15">
        <f t="shared" si="9"/>
        <v>3.947992103765996E-2</v>
      </c>
      <c r="L112" s="15">
        <f t="shared" si="6"/>
        <v>0.6160263777454611</v>
      </c>
      <c r="M112" s="16">
        <v>76.629589915040981</v>
      </c>
      <c r="N112" s="16">
        <f>G112*$O$6/'[2]Used Cooking Oil Complex'!$AZ$26</f>
        <v>4.4834253601836106E-2</v>
      </c>
      <c r="O112" s="16"/>
      <c r="R112" s="18">
        <f t="shared" si="7"/>
        <v>0.555245645036889</v>
      </c>
      <c r="S112" s="18">
        <f t="shared" si="8"/>
        <v>0.44475435496311089</v>
      </c>
    </row>
    <row r="113" spans="1:19" x14ac:dyDescent="0.2">
      <c r="A113" s="13">
        <v>38687</v>
      </c>
      <c r="B113" s="14">
        <v>51265.67</v>
      </c>
      <c r="C113" s="14">
        <v>39044.9</v>
      </c>
      <c r="D113" s="14">
        <v>90310.58</v>
      </c>
      <c r="E113" s="14">
        <v>31185.88</v>
      </c>
      <c r="F113" s="14">
        <v>24270.080000000002</v>
      </c>
      <c r="G113" s="14">
        <v>55455.96</v>
      </c>
      <c r="I113" s="14">
        <f t="shared" si="5"/>
        <v>5521.3300000000017</v>
      </c>
      <c r="J113" s="15">
        <f t="shared" si="9"/>
        <v>3.9030951550762749E-2</v>
      </c>
      <c r="L113" s="15">
        <f t="shared" si="6"/>
        <v>0.61405828641561155</v>
      </c>
      <c r="M113" s="16">
        <v>85.102612618635931</v>
      </c>
      <c r="N113" s="16">
        <f>G113*$O$6/'[2]Used Cooking Oil Complex'!$AZ$26</f>
        <v>4.9791629063302943E-2</v>
      </c>
      <c r="O113" s="16"/>
      <c r="R113" s="18">
        <f t="shared" si="7"/>
        <v>0.56765962526206781</v>
      </c>
      <c r="S113" s="18">
        <f t="shared" si="8"/>
        <v>0.43234026400893449</v>
      </c>
    </row>
    <row r="114" spans="1:19" x14ac:dyDescent="0.2">
      <c r="A114" s="13">
        <v>38718</v>
      </c>
      <c r="B114" s="14">
        <v>42609.71</v>
      </c>
      <c r="C114" s="14">
        <v>36348.550000000003</v>
      </c>
      <c r="D114" s="14">
        <v>78958.27</v>
      </c>
      <c r="E114" s="14">
        <v>25693.5</v>
      </c>
      <c r="F114" s="14">
        <v>22521.03</v>
      </c>
      <c r="G114" s="14">
        <v>48214.53</v>
      </c>
      <c r="I114" s="14">
        <f t="shared" si="5"/>
        <v>-7241.43</v>
      </c>
      <c r="J114" s="15">
        <f t="shared" si="9"/>
        <v>3.3332061703481131E-2</v>
      </c>
      <c r="L114" s="15">
        <f t="shared" si="6"/>
        <v>0.61063305971622728</v>
      </c>
      <c r="M114" s="16">
        <v>73.989927668362441</v>
      </c>
      <c r="N114" s="16">
        <f>G114*$O$6/'[2]Used Cooking Oil Complex'!$AZ$26</f>
        <v>4.3289846451517414E-2</v>
      </c>
      <c r="O114" s="16"/>
      <c r="R114" s="18">
        <f t="shared" si="7"/>
        <v>0.53964847507423852</v>
      </c>
      <c r="S114" s="18">
        <f t="shared" si="8"/>
        <v>0.46035139827658333</v>
      </c>
    </row>
    <row r="115" spans="1:19" x14ac:dyDescent="0.2">
      <c r="A115" s="13">
        <v>38749</v>
      </c>
      <c r="B115" s="14">
        <v>41016.03</v>
      </c>
      <c r="C115" s="14">
        <v>35478.480000000003</v>
      </c>
      <c r="D115" s="14">
        <v>76494.52</v>
      </c>
      <c r="E115" s="14">
        <v>24835.25</v>
      </c>
      <c r="F115" s="14">
        <v>21915.06</v>
      </c>
      <c r="G115" s="14">
        <v>46750.32</v>
      </c>
      <c r="I115" s="14">
        <f t="shared" si="5"/>
        <v>-1464.2099999999991</v>
      </c>
      <c r="J115" s="15">
        <f t="shared" si="9"/>
        <v>3.209768721185613E-2</v>
      </c>
      <c r="L115" s="15">
        <f t="shared" si="6"/>
        <v>0.61115907387875623</v>
      </c>
      <c r="M115" s="16">
        <v>71.742953737655384</v>
      </c>
      <c r="N115" s="16">
        <f>G115*$O$6/'[2]Used Cooking Oil Complex'!$AZ$26</f>
        <v>4.1975192423514315E-2</v>
      </c>
      <c r="O115" s="16"/>
      <c r="R115" s="18">
        <f t="shared" si="7"/>
        <v>0.53619566473519931</v>
      </c>
      <c r="S115" s="18">
        <f t="shared" si="8"/>
        <v>0.46380420453648186</v>
      </c>
    </row>
    <row r="116" spans="1:19" x14ac:dyDescent="0.2">
      <c r="A116" s="13">
        <v>38777</v>
      </c>
      <c r="B116" s="14">
        <v>44838.62</v>
      </c>
      <c r="C116" s="14">
        <v>39817.33</v>
      </c>
      <c r="D116" s="14">
        <v>84655.95</v>
      </c>
      <c r="E116" s="14">
        <v>27192.19</v>
      </c>
      <c r="F116" s="14">
        <v>24545.38</v>
      </c>
      <c r="G116" s="14">
        <v>51737.57</v>
      </c>
      <c r="I116" s="14">
        <f t="shared" si="5"/>
        <v>4987.25</v>
      </c>
      <c r="J116" s="15">
        <f t="shared" si="9"/>
        <v>3.3945749472011455E-2</v>
      </c>
      <c r="L116" s="15">
        <f t="shared" si="6"/>
        <v>0.61115101773708758</v>
      </c>
      <c r="M116" s="16">
        <v>79.396378270965997</v>
      </c>
      <c r="N116" s="16">
        <f>G116*$O$6/'[2]Used Cooking Oil Complex'!$AZ$26</f>
        <v>4.6453039386148406E-2</v>
      </c>
      <c r="O116" s="16"/>
      <c r="R116" s="18">
        <f t="shared" si="7"/>
        <v>0.52965704123573132</v>
      </c>
      <c r="S116" s="18">
        <f t="shared" si="8"/>
        <v>0.47034295876426885</v>
      </c>
    </row>
    <row r="117" spans="1:19" x14ac:dyDescent="0.2">
      <c r="A117" s="13">
        <v>38808</v>
      </c>
      <c r="B117" s="14">
        <v>44427.37</v>
      </c>
      <c r="C117" s="14">
        <v>39195.18</v>
      </c>
      <c r="D117" s="14">
        <v>83622.55</v>
      </c>
      <c r="E117" s="14">
        <v>27055.34</v>
      </c>
      <c r="F117" s="14">
        <v>24113.05</v>
      </c>
      <c r="G117" s="14">
        <v>51168.39</v>
      </c>
      <c r="I117" s="14">
        <f t="shared" si="5"/>
        <v>-569.18000000000029</v>
      </c>
      <c r="J117" s="15">
        <f t="shared" si="9"/>
        <v>3.5149875887349857E-2</v>
      </c>
      <c r="L117" s="15">
        <f t="shared" si="6"/>
        <v>0.61189703016710206</v>
      </c>
      <c r="M117" s="16">
        <v>78.522915706252036</v>
      </c>
      <c r="N117" s="16">
        <f>G117*$O$6/'[2]Used Cooking Oil Complex'!$AZ$26</f>
        <v>4.5941996038774191E-2</v>
      </c>
      <c r="O117" s="16"/>
      <c r="R117" s="18">
        <f t="shared" si="7"/>
        <v>0.53128456379290034</v>
      </c>
      <c r="S117" s="18">
        <f t="shared" si="8"/>
        <v>0.4687154362070996</v>
      </c>
    </row>
    <row r="118" spans="1:19" x14ac:dyDescent="0.2">
      <c r="A118" s="13">
        <v>38838</v>
      </c>
      <c r="B118" s="14">
        <v>46704.68</v>
      </c>
      <c r="C118" s="14">
        <v>40468.17</v>
      </c>
      <c r="D118" s="14">
        <v>87172.86</v>
      </c>
      <c r="E118" s="14">
        <v>28382.9</v>
      </c>
      <c r="F118" s="14">
        <v>24808.49</v>
      </c>
      <c r="G118" s="14">
        <v>53191.39</v>
      </c>
      <c r="I118" s="14">
        <f t="shared" si="5"/>
        <v>2023</v>
      </c>
      <c r="J118" s="15">
        <f t="shared" si="9"/>
        <v>4.3690419568674033E-2</v>
      </c>
      <c r="L118" s="15">
        <f t="shared" si="6"/>
        <v>0.61018291702256866</v>
      </c>
      <c r="M118" s="16">
        <v>81.627407727082627</v>
      </c>
      <c r="N118" s="16">
        <f>G118*$O$6/'[2]Used Cooking Oil Complex'!$AZ$26</f>
        <v>4.7758364659839653E-2</v>
      </c>
      <c r="O118" s="16"/>
      <c r="R118" s="18">
        <f t="shared" si="7"/>
        <v>0.53577088098291148</v>
      </c>
      <c r="S118" s="18">
        <f t="shared" si="8"/>
        <v>0.46422900430248587</v>
      </c>
    </row>
    <row r="119" spans="1:19" x14ac:dyDescent="0.2">
      <c r="A119" s="13">
        <v>38869</v>
      </c>
      <c r="B119" s="14">
        <v>45877.19</v>
      </c>
      <c r="C119" s="14">
        <v>40295.980000000003</v>
      </c>
      <c r="D119" s="14">
        <v>86173.17</v>
      </c>
      <c r="E119" s="14">
        <v>27836.5</v>
      </c>
      <c r="F119" s="14">
        <v>24640.92</v>
      </c>
      <c r="G119" s="14">
        <v>52477.43</v>
      </c>
      <c r="I119" s="14">
        <f t="shared" si="5"/>
        <v>-713.95999999999913</v>
      </c>
      <c r="J119" s="15">
        <f t="shared" si="9"/>
        <v>3.7106639072376657E-2</v>
      </c>
      <c r="L119" s="15">
        <f t="shared" si="6"/>
        <v>0.60897643663335121</v>
      </c>
      <c r="M119" s="16">
        <v>80.531766044832409</v>
      </c>
      <c r="N119" s="16">
        <f>G119*$O$6/'[2]Used Cooking Oil Complex'!$AZ$26</f>
        <v>4.7117329296173863E-2</v>
      </c>
      <c r="O119" s="16"/>
      <c r="R119" s="18">
        <f t="shared" si="7"/>
        <v>0.53238368740525621</v>
      </c>
      <c r="S119" s="18">
        <f t="shared" si="8"/>
        <v>0.46761631259474384</v>
      </c>
    </row>
    <row r="120" spans="1:19" x14ac:dyDescent="0.2">
      <c r="A120" s="13">
        <v>38899</v>
      </c>
      <c r="B120" s="14">
        <v>46403.66</v>
      </c>
      <c r="C120" s="14">
        <v>40888.5</v>
      </c>
      <c r="D120" s="14">
        <v>87292.17</v>
      </c>
      <c r="E120" s="14">
        <v>28097.47</v>
      </c>
      <c r="F120" s="14">
        <v>24940.65</v>
      </c>
      <c r="G120" s="14">
        <v>53038.12</v>
      </c>
      <c r="I120" s="14">
        <f t="shared" si="5"/>
        <v>560.69000000000233</v>
      </c>
      <c r="J120" s="15">
        <f t="shared" si="9"/>
        <v>2.0547913575153842E-2</v>
      </c>
      <c r="L120" s="15">
        <f t="shared" si="6"/>
        <v>0.60759309798347327</v>
      </c>
      <c r="M120" s="16">
        <v>81.392199871406561</v>
      </c>
      <c r="N120" s="16">
        <f>G120*$O$6/'[2]Used Cooking Oil Complex'!$AZ$26</f>
        <v>4.7620749821208563E-2</v>
      </c>
      <c r="O120" s="16"/>
      <c r="R120" s="18">
        <f t="shared" si="7"/>
        <v>0.53159017584280477</v>
      </c>
      <c r="S120" s="18">
        <f t="shared" si="8"/>
        <v>0.46840970959938333</v>
      </c>
    </row>
    <row r="121" spans="1:19" x14ac:dyDescent="0.2">
      <c r="A121" s="13">
        <v>38930</v>
      </c>
      <c r="B121" s="14">
        <v>46763.01</v>
      </c>
      <c r="C121" s="14">
        <v>41184.99</v>
      </c>
      <c r="D121" s="14">
        <v>87948</v>
      </c>
      <c r="E121" s="14">
        <v>28241.74</v>
      </c>
      <c r="F121" s="14">
        <v>25058.76</v>
      </c>
      <c r="G121" s="14">
        <v>53300.5</v>
      </c>
      <c r="I121" s="14">
        <f t="shared" si="5"/>
        <v>262.37999999999738</v>
      </c>
      <c r="J121" s="15">
        <f t="shared" si="9"/>
        <v>3.5984677677674437E-2</v>
      </c>
      <c r="L121" s="15">
        <f t="shared" si="6"/>
        <v>0.60604561786510214</v>
      </c>
      <c r="M121" s="16">
        <v>81.794847729254073</v>
      </c>
      <c r="N121" s="16">
        <f>G121*$O$6/'[2]Used Cooking Oil Complex'!$AZ$26</f>
        <v>4.7856330047998066E-2</v>
      </c>
      <c r="O121" s="16"/>
      <c r="R121" s="18">
        <f t="shared" si="7"/>
        <v>0.5317120343839542</v>
      </c>
      <c r="S121" s="18">
        <f t="shared" si="8"/>
        <v>0.4682879656160458</v>
      </c>
    </row>
    <row r="122" spans="1:19" x14ac:dyDescent="0.2">
      <c r="A122" s="13">
        <v>38961</v>
      </c>
      <c r="B122" s="14">
        <v>44532.55</v>
      </c>
      <c r="C122" s="14">
        <v>39479.480000000003</v>
      </c>
      <c r="D122" s="14">
        <v>84012.02</v>
      </c>
      <c r="E122" s="14">
        <v>26756.13</v>
      </c>
      <c r="F122" s="14">
        <v>23985.11</v>
      </c>
      <c r="G122" s="14">
        <v>50741.23</v>
      </c>
      <c r="I122" s="14">
        <f t="shared" si="5"/>
        <v>-2559.2699999999968</v>
      </c>
      <c r="J122" s="15">
        <f t="shared" si="9"/>
        <v>2.4515905758936141E-2</v>
      </c>
      <c r="L122" s="15">
        <f t="shared" si="6"/>
        <v>0.60397583583872883</v>
      </c>
      <c r="M122" s="16">
        <v>77.867396768230293</v>
      </c>
      <c r="N122" s="16">
        <f>G122*$O$6/'[2]Used Cooking Oil Complex'!$AZ$26</f>
        <v>4.5558466617037004E-2</v>
      </c>
      <c r="O122" s="16"/>
      <c r="R122" s="18">
        <f t="shared" si="7"/>
        <v>0.53007355376052145</v>
      </c>
      <c r="S122" s="18">
        <f t="shared" si="8"/>
        <v>0.46992656527006493</v>
      </c>
    </row>
    <row r="123" spans="1:19" x14ac:dyDescent="0.2">
      <c r="A123" s="13">
        <v>38991</v>
      </c>
      <c r="B123" s="14">
        <v>45551.51</v>
      </c>
      <c r="C123" s="14">
        <v>39817.29</v>
      </c>
      <c r="D123" s="14">
        <v>85368.8</v>
      </c>
      <c r="E123" s="14">
        <v>27228.06</v>
      </c>
      <c r="F123" s="14">
        <v>24118.16</v>
      </c>
      <c r="G123" s="14">
        <v>51346.22</v>
      </c>
      <c r="I123" s="14">
        <f t="shared" si="5"/>
        <v>604.98999999999796</v>
      </c>
      <c r="J123" s="15">
        <f t="shared" si="9"/>
        <v>1.1716878906406381E-2</v>
      </c>
      <c r="L123" s="15">
        <f t="shared" si="6"/>
        <v>0.60146353234436933</v>
      </c>
      <c r="M123" s="16">
        <v>78.795813292047555</v>
      </c>
      <c r="N123" s="16">
        <f>G123*$O$6/'[2]Used Cooking Oil Complex'!$AZ$26</f>
        <v>4.6101662292794991E-2</v>
      </c>
      <c r="O123" s="16"/>
      <c r="R123" s="18">
        <f t="shared" si="7"/>
        <v>0.53358498655246411</v>
      </c>
      <c r="S123" s="18">
        <f t="shared" si="8"/>
        <v>0.46641501344753589</v>
      </c>
    </row>
    <row r="124" spans="1:19" x14ac:dyDescent="0.2">
      <c r="A124" s="13">
        <v>39022</v>
      </c>
      <c r="B124" s="14">
        <v>47127.01</v>
      </c>
      <c r="C124" s="14">
        <v>37971.300000000003</v>
      </c>
      <c r="D124" s="14">
        <v>85098.31</v>
      </c>
      <c r="E124" s="14">
        <v>28285.79</v>
      </c>
      <c r="F124" s="14">
        <v>22942.959999999999</v>
      </c>
      <c r="G124" s="14">
        <v>51228.75</v>
      </c>
      <c r="I124" s="14">
        <f t="shared" si="5"/>
        <v>-117.47000000000116</v>
      </c>
      <c r="J124" s="15">
        <f t="shared" si="9"/>
        <v>2.5916282948326597E-2</v>
      </c>
      <c r="L124" s="15">
        <f t="shared" si="6"/>
        <v>0.60199491623276657</v>
      </c>
      <c r="M124" s="16">
        <v>78.615544049493437</v>
      </c>
      <c r="N124" s="16">
        <f>G124*$O$6/'[2]Used Cooking Oil Complex'!$AZ$26</f>
        <v>4.5996190803958323E-2</v>
      </c>
      <c r="O124" s="16"/>
      <c r="R124" s="18">
        <f t="shared" si="7"/>
        <v>0.55379489909964141</v>
      </c>
      <c r="S124" s="18">
        <f t="shared" si="8"/>
        <v>0.4462051009003587</v>
      </c>
    </row>
    <row r="125" spans="1:19" x14ac:dyDescent="0.2">
      <c r="A125" s="13">
        <v>39052</v>
      </c>
      <c r="B125" s="14">
        <v>53431.8</v>
      </c>
      <c r="C125" s="14">
        <v>42129.62</v>
      </c>
      <c r="D125" s="14">
        <v>95561.42</v>
      </c>
      <c r="E125" s="14">
        <v>32069.95</v>
      </c>
      <c r="F125" s="14">
        <v>25379.96</v>
      </c>
      <c r="G125" s="14">
        <v>57449.91</v>
      </c>
      <c r="I125" s="14">
        <f t="shared" si="5"/>
        <v>6221.1600000000035</v>
      </c>
      <c r="J125" s="15">
        <f t="shared" si="9"/>
        <v>3.5955558248383035E-2</v>
      </c>
      <c r="L125" s="15">
        <f t="shared" si="6"/>
        <v>0.60118309250741575</v>
      </c>
      <c r="M125" s="16">
        <v>88.162524563734891</v>
      </c>
      <c r="N125" s="16">
        <f>G125*$O$6/'[2]Used Cooking Oil Complex'!$AZ$26</f>
        <v>5.1581914882370419E-2</v>
      </c>
      <c r="O125" s="16"/>
      <c r="R125" s="18">
        <f t="shared" si="7"/>
        <v>0.55913568467274766</v>
      </c>
      <c r="S125" s="18">
        <f t="shared" si="8"/>
        <v>0.4408643153272524</v>
      </c>
    </row>
    <row r="126" spans="1:19" x14ac:dyDescent="0.2">
      <c r="A126" s="13">
        <v>39083</v>
      </c>
      <c r="B126" s="14">
        <v>45174.34</v>
      </c>
      <c r="C126" s="14">
        <v>37879.089999999997</v>
      </c>
      <c r="D126" s="14">
        <v>83053.429999999993</v>
      </c>
      <c r="E126" s="14">
        <v>26794.28</v>
      </c>
      <c r="F126" s="14">
        <v>22711.25</v>
      </c>
      <c r="G126" s="14">
        <v>49505.53</v>
      </c>
      <c r="I126" s="14">
        <f t="shared" si="5"/>
        <v>-7944.3800000000047</v>
      </c>
      <c r="J126" s="15">
        <f t="shared" si="9"/>
        <v>2.6776160630415768E-2</v>
      </c>
      <c r="L126" s="15">
        <f t="shared" si="6"/>
        <v>0.59606845858142166</v>
      </c>
      <c r="M126" s="16">
        <v>75.971093856643364</v>
      </c>
      <c r="N126" s="16">
        <f>G126*$O$6/'[2]Used Cooking Oil Complex'!$AZ$26</f>
        <v>4.4448982333769281E-2</v>
      </c>
      <c r="O126" s="16"/>
      <c r="R126" s="18">
        <f t="shared" si="7"/>
        <v>0.5439190169508954</v>
      </c>
      <c r="S126" s="18">
        <f t="shared" si="8"/>
        <v>0.45608098304910466</v>
      </c>
    </row>
    <row r="127" spans="1:19" x14ac:dyDescent="0.2">
      <c r="A127" s="13">
        <v>39114</v>
      </c>
      <c r="B127" s="14">
        <v>43137.86</v>
      </c>
      <c r="C127" s="14">
        <v>37301.480000000003</v>
      </c>
      <c r="D127" s="14">
        <v>80439.34</v>
      </c>
      <c r="E127" s="14">
        <v>25389.9</v>
      </c>
      <c r="F127" s="14">
        <v>22283.98</v>
      </c>
      <c r="G127" s="14">
        <v>47673.88</v>
      </c>
      <c r="I127" s="14">
        <f t="shared" si="5"/>
        <v>-1831.6500000000015</v>
      </c>
      <c r="J127" s="15">
        <f t="shared" si="9"/>
        <v>1.9755158895168989E-2</v>
      </c>
      <c r="L127" s="15">
        <f t="shared" si="6"/>
        <v>0.5926687116030539</v>
      </c>
      <c r="M127" s="16">
        <v>73.160247188351534</v>
      </c>
      <c r="N127" s="16">
        <f>G127*$O$6/'[2]Used Cooking Oil Complex'!$AZ$26</f>
        <v>4.280441901949613E-2</v>
      </c>
      <c r="O127" s="16"/>
      <c r="R127" s="18">
        <f t="shared" si="7"/>
        <v>0.53627814449994249</v>
      </c>
      <c r="S127" s="18">
        <f t="shared" si="8"/>
        <v>0.46372185550005762</v>
      </c>
    </row>
    <row r="128" spans="1:19" x14ac:dyDescent="0.2">
      <c r="A128" s="13">
        <v>39142</v>
      </c>
      <c r="B128" s="14">
        <v>47605.98</v>
      </c>
      <c r="C128" s="14">
        <v>42569.04</v>
      </c>
      <c r="D128" s="14">
        <v>90175.02</v>
      </c>
      <c r="E128" s="14">
        <v>27938.95</v>
      </c>
      <c r="F128" s="14">
        <v>25409.279999999999</v>
      </c>
      <c r="G128" s="14">
        <v>53348.23</v>
      </c>
      <c r="I128" s="14">
        <f t="shared" si="5"/>
        <v>5674.3500000000058</v>
      </c>
      <c r="J128" s="15">
        <f t="shared" si="9"/>
        <v>3.1131342272163298E-2</v>
      </c>
      <c r="L128" s="15">
        <f t="shared" si="6"/>
        <v>0.59160763147044493</v>
      </c>
      <c r="M128" s="16">
        <v>81.8680940980896</v>
      </c>
      <c r="N128" s="16">
        <f>G128*$O$6/'[2]Used Cooking Oil Complex'!$AZ$26</f>
        <v>4.7899184854860867E-2</v>
      </c>
      <c r="O128" s="16"/>
      <c r="R128" s="18">
        <f t="shared" si="7"/>
        <v>0.5279286880113806</v>
      </c>
      <c r="S128" s="18">
        <f t="shared" si="8"/>
        <v>0.47207131198861946</v>
      </c>
    </row>
    <row r="129" spans="1:19" x14ac:dyDescent="0.2">
      <c r="A129" s="13">
        <v>39173</v>
      </c>
      <c r="B129" s="14">
        <v>45877.94</v>
      </c>
      <c r="C129" s="14">
        <v>40933.300000000003</v>
      </c>
      <c r="D129" s="14">
        <v>86811.24</v>
      </c>
      <c r="E129" s="14">
        <v>26890.44</v>
      </c>
      <c r="F129" s="14">
        <v>24356.18</v>
      </c>
      <c r="G129" s="14">
        <v>51246.62</v>
      </c>
      <c r="I129" s="14">
        <f t="shared" si="5"/>
        <v>-2101.6100000000006</v>
      </c>
      <c r="J129" s="15">
        <f t="shared" si="9"/>
        <v>1.5288735877756476E-3</v>
      </c>
      <c r="L129" s="15">
        <f t="shared" si="6"/>
        <v>0.59032240525535629</v>
      </c>
      <c r="M129" s="16">
        <v>78.642967318110465</v>
      </c>
      <c r="N129" s="16">
        <f>G129*$O$6/'[2]Used Cooking Oil Complex'!$AZ$26</f>
        <v>4.6012235543087567E-2</v>
      </c>
      <c r="O129" s="16"/>
      <c r="R129" s="18">
        <f t="shared" si="7"/>
        <v>0.52847926144126034</v>
      </c>
      <c r="S129" s="18">
        <f t="shared" si="8"/>
        <v>0.47152073855873966</v>
      </c>
    </row>
    <row r="130" spans="1:19" x14ac:dyDescent="0.2">
      <c r="A130" s="13">
        <v>39203</v>
      </c>
      <c r="B130" s="14">
        <v>49217.07</v>
      </c>
      <c r="C130" s="14">
        <v>43019.67</v>
      </c>
      <c r="D130" s="14">
        <v>92236.73</v>
      </c>
      <c r="E130" s="14">
        <v>28658.39</v>
      </c>
      <c r="F130" s="14">
        <v>25534.25</v>
      </c>
      <c r="G130" s="14">
        <v>54192.639999999999</v>
      </c>
      <c r="I130" s="14">
        <f t="shared" si="5"/>
        <v>2946.0199999999968</v>
      </c>
      <c r="J130" s="15">
        <f t="shared" si="9"/>
        <v>1.8823535162363791E-2</v>
      </c>
      <c r="L130" s="15">
        <f t="shared" si="6"/>
        <v>0.58753860853479956</v>
      </c>
      <c r="M130" s="16">
        <v>83.163924106645965</v>
      </c>
      <c r="N130" s="16">
        <f>G130*$O$6/'[2]Used Cooking Oil Complex'!$AZ$26</f>
        <v>4.8657345916311129E-2</v>
      </c>
      <c r="O130" s="16"/>
      <c r="R130" s="18">
        <f t="shared" si="7"/>
        <v>0.53359513070335429</v>
      </c>
      <c r="S130" s="18">
        <f t="shared" si="8"/>
        <v>0.46640497771332529</v>
      </c>
    </row>
    <row r="131" spans="1:19" x14ac:dyDescent="0.2">
      <c r="A131" s="13">
        <v>39234</v>
      </c>
      <c r="B131" s="14">
        <v>48293.04</v>
      </c>
      <c r="C131" s="14">
        <v>43311.53</v>
      </c>
      <c r="D131" s="14">
        <v>91604.57</v>
      </c>
      <c r="E131" s="14">
        <v>28034.14</v>
      </c>
      <c r="F131" s="14">
        <v>25619.97</v>
      </c>
      <c r="G131" s="14">
        <v>53654.12</v>
      </c>
      <c r="I131" s="14">
        <f t="shared" si="5"/>
        <v>-538.5199999999968</v>
      </c>
      <c r="J131" s="15">
        <f t="shared" si="9"/>
        <v>2.2422782518122686E-2</v>
      </c>
      <c r="L131" s="15">
        <f t="shared" si="6"/>
        <v>0.58571444634257874</v>
      </c>
      <c r="M131" s="16">
        <v>82.337512320656003</v>
      </c>
      <c r="N131" s="16">
        <f>G131*$O$6/'[2]Used Cooking Oil Complex'!$AZ$26</f>
        <v>4.8173830923816732E-2</v>
      </c>
      <c r="O131" s="16"/>
      <c r="R131" s="18">
        <f t="shared" si="7"/>
        <v>0.52719029192539191</v>
      </c>
      <c r="S131" s="18">
        <f t="shared" si="8"/>
        <v>0.47280970807460804</v>
      </c>
    </row>
    <row r="132" spans="1:19" x14ac:dyDescent="0.2">
      <c r="A132" s="13">
        <v>39264</v>
      </c>
      <c r="B132" s="14">
        <v>48281.25</v>
      </c>
      <c r="C132" s="14">
        <v>43350.02</v>
      </c>
      <c r="D132" s="14">
        <v>91631.27</v>
      </c>
      <c r="E132" s="14">
        <v>27964.53</v>
      </c>
      <c r="F132" s="14">
        <v>25519.200000000001</v>
      </c>
      <c r="G132" s="14">
        <v>53483.73</v>
      </c>
      <c r="I132" s="14">
        <f t="shared" si="5"/>
        <v>-170.38999999999942</v>
      </c>
      <c r="J132" s="15">
        <f t="shared" si="9"/>
        <v>8.4016929710177823E-3</v>
      </c>
      <c r="L132" s="15">
        <f t="shared" si="6"/>
        <v>0.5836842597510653</v>
      </c>
      <c r="M132" s="16">
        <v>82.076032144961829</v>
      </c>
      <c r="N132" s="16">
        <f>G132*$O$6/'[2]Used Cooking Oil Complex'!$AZ$26</f>
        <v>4.8020844740256016E-2</v>
      </c>
      <c r="O132" s="16"/>
      <c r="R132" s="18">
        <f t="shared" si="7"/>
        <v>0.52690800858702491</v>
      </c>
      <c r="S132" s="18">
        <f t="shared" si="8"/>
        <v>0.47309199141297503</v>
      </c>
    </row>
    <row r="133" spans="1:19" x14ac:dyDescent="0.2">
      <c r="A133" s="13">
        <v>39295</v>
      </c>
      <c r="B133" s="14">
        <v>49037.05</v>
      </c>
      <c r="C133" s="14">
        <v>43788.14</v>
      </c>
      <c r="D133" s="14">
        <v>92825.2</v>
      </c>
      <c r="E133" s="14">
        <v>28300.42</v>
      </c>
      <c r="F133" s="14">
        <v>25674.75</v>
      </c>
      <c r="G133" s="14">
        <v>53975.16</v>
      </c>
      <c r="I133" s="14">
        <f t="shared" si="5"/>
        <v>491.43000000000029</v>
      </c>
      <c r="J133" s="15">
        <f t="shared" si="9"/>
        <v>1.2657667376478665E-2</v>
      </c>
      <c r="L133" s="15">
        <f t="shared" si="6"/>
        <v>0.58147097986322682</v>
      </c>
      <c r="M133" s="16">
        <v>82.830179704920695</v>
      </c>
      <c r="N133" s="16">
        <f>G133*$O$6/'[2]Used Cooking Oil Complex'!$AZ$26</f>
        <v>4.8462079555604602E-2</v>
      </c>
      <c r="O133" s="16"/>
      <c r="R133" s="18">
        <f t="shared" si="7"/>
        <v>0.52827303361587163</v>
      </c>
      <c r="S133" s="18">
        <f t="shared" si="8"/>
        <v>0.47172685865476188</v>
      </c>
    </row>
    <row r="134" spans="1:19" x14ac:dyDescent="0.2">
      <c r="A134" s="13">
        <v>39326</v>
      </c>
      <c r="B134" s="14">
        <v>46545.07</v>
      </c>
      <c r="C134" s="14">
        <v>41153.94</v>
      </c>
      <c r="D134" s="14">
        <v>87699.02</v>
      </c>
      <c r="E134" s="14">
        <v>26721.18</v>
      </c>
      <c r="F134" s="14">
        <v>24008.98</v>
      </c>
      <c r="G134" s="14">
        <v>50730.16</v>
      </c>
      <c r="I134" s="14">
        <f t="shared" si="5"/>
        <v>-3245</v>
      </c>
      <c r="J134" s="15">
        <f t="shared" si="9"/>
        <v>-2.1816577958400085E-4</v>
      </c>
      <c r="L134" s="15">
        <f t="shared" si="6"/>
        <v>0.57845754718809861</v>
      </c>
      <c r="M134" s="16">
        <v>77.850408766910178</v>
      </c>
      <c r="N134" s="16">
        <f>G134*$O$6/'[2]Used Cooking Oil Complex'!$AZ$26</f>
        <v>4.5548527318650854E-2</v>
      </c>
      <c r="O134" s="16"/>
      <c r="R134" s="18">
        <f t="shared" si="7"/>
        <v>0.53073648941573115</v>
      </c>
      <c r="S134" s="18">
        <f t="shared" si="8"/>
        <v>0.46926339655790911</v>
      </c>
    </row>
    <row r="135" spans="1:19" x14ac:dyDescent="0.2">
      <c r="A135" s="13">
        <v>39356</v>
      </c>
      <c r="B135" s="14">
        <v>48018.39</v>
      </c>
      <c r="C135" s="14">
        <v>42067.64</v>
      </c>
      <c r="D135" s="14">
        <v>90086.03</v>
      </c>
      <c r="E135" s="14">
        <v>27413.21</v>
      </c>
      <c r="F135" s="14">
        <v>24486.91</v>
      </c>
      <c r="G135" s="14">
        <v>51900.13</v>
      </c>
      <c r="I135" s="14">
        <f t="shared" ref="I135:I198" si="10">G135-G134</f>
        <v>1169.9699999999939</v>
      </c>
      <c r="J135" s="15">
        <f t="shared" si="9"/>
        <v>1.0787746400806153E-2</v>
      </c>
      <c r="L135" s="15">
        <f t="shared" ref="L135:L198" si="11">G135/D135</f>
        <v>0.57611740688317603</v>
      </c>
      <c r="M135" s="16">
        <v>79.645842543287415</v>
      </c>
      <c r="N135" s="16">
        <f>G135*$O$6/'[2]Used Cooking Oil Complex'!$AZ$26</f>
        <v>4.6598995334265259E-2</v>
      </c>
      <c r="O135" s="16"/>
      <c r="R135" s="18">
        <f t="shared" ref="R135:R198" si="12">B135/D135</f>
        <v>0.53302815097968015</v>
      </c>
      <c r="S135" s="18">
        <f t="shared" ref="S135:S198" si="13">C135/D135</f>
        <v>0.4669718490203198</v>
      </c>
    </row>
    <row r="136" spans="1:19" x14ac:dyDescent="0.2">
      <c r="A136" s="13">
        <v>39387</v>
      </c>
      <c r="B136" s="14">
        <v>50373.22</v>
      </c>
      <c r="C136" s="14">
        <v>40575.760000000002</v>
      </c>
      <c r="D136" s="14">
        <v>90948.98</v>
      </c>
      <c r="E136" s="14">
        <v>28699.68</v>
      </c>
      <c r="F136" s="14">
        <v>23553.34</v>
      </c>
      <c r="G136" s="14">
        <v>52253.03</v>
      </c>
      <c r="I136" s="14">
        <f t="shared" si="10"/>
        <v>352.90000000000146</v>
      </c>
      <c r="J136" s="15">
        <f t="shared" si="9"/>
        <v>1.9994241514774469E-2</v>
      </c>
      <c r="L136" s="15">
        <f t="shared" si="11"/>
        <v>0.57453123718374854</v>
      </c>
      <c r="M136" s="16">
        <v>80.187402224034386</v>
      </c>
      <c r="N136" s="16">
        <f>G136*$O$6/'[2]Used Cooking Oil Complex'!$AZ$26</f>
        <v>4.6915849751652312E-2</v>
      </c>
      <c r="O136" s="16"/>
      <c r="R136" s="18">
        <f t="shared" si="12"/>
        <v>0.55386239625777001</v>
      </c>
      <c r="S136" s="18">
        <f t="shared" si="13"/>
        <v>0.44613760374223005</v>
      </c>
    </row>
    <row r="137" spans="1:19" x14ac:dyDescent="0.2">
      <c r="A137" s="13">
        <v>39417</v>
      </c>
      <c r="B137" s="14">
        <v>56320.32</v>
      </c>
      <c r="C137" s="14">
        <v>43440.43</v>
      </c>
      <c r="D137" s="14">
        <v>99760.75</v>
      </c>
      <c r="E137" s="14">
        <v>32015.59</v>
      </c>
      <c r="F137" s="14">
        <v>25170.77</v>
      </c>
      <c r="G137" s="14">
        <v>57186.36</v>
      </c>
      <c r="I137" s="14">
        <f t="shared" si="10"/>
        <v>4933.3300000000017</v>
      </c>
      <c r="J137" s="15">
        <f t="shared" si="9"/>
        <v>-4.5874745495685376E-3</v>
      </c>
      <c r="L137" s="15">
        <f t="shared" si="11"/>
        <v>0.57323506489275589</v>
      </c>
      <c r="M137" s="16">
        <v>87.758081226073045</v>
      </c>
      <c r="N137" s="16">
        <f>G137*$O$6/'[2]Used Cooking Oil Complex'!$AZ$26</f>
        <v>5.1345284160629535E-2</v>
      </c>
      <c r="O137" s="16"/>
      <c r="R137" s="18">
        <f t="shared" si="12"/>
        <v>0.56455389519425225</v>
      </c>
      <c r="S137" s="18">
        <f t="shared" si="13"/>
        <v>0.43544610480574775</v>
      </c>
    </row>
    <row r="138" spans="1:19" x14ac:dyDescent="0.2">
      <c r="A138" s="13">
        <v>39448</v>
      </c>
      <c r="B138" s="14">
        <v>47994.55</v>
      </c>
      <c r="C138" s="14">
        <v>39643.910000000003</v>
      </c>
      <c r="D138" s="14">
        <v>87638.46</v>
      </c>
      <c r="E138" s="14">
        <v>26907.35</v>
      </c>
      <c r="F138" s="14">
        <v>22874.26</v>
      </c>
      <c r="G138" s="14">
        <v>49781.61</v>
      </c>
      <c r="I138" s="14">
        <f t="shared" si="10"/>
        <v>-7404.75</v>
      </c>
      <c r="J138" s="15">
        <f t="shared" si="9"/>
        <v>5.5767507185562337E-3</v>
      </c>
      <c r="L138" s="15">
        <f t="shared" si="11"/>
        <v>0.56803382898330246</v>
      </c>
      <c r="M138" s="16">
        <v>76.394765708897893</v>
      </c>
      <c r="N138" s="16">
        <f>G138*$O$6/'[2]Used Cooking Oil Complex'!$AZ$26</f>
        <v>4.4696863227938213E-2</v>
      </c>
      <c r="O138" s="16"/>
      <c r="R138" s="18">
        <f t="shared" si="12"/>
        <v>0.54764255328083122</v>
      </c>
      <c r="S138" s="18">
        <f t="shared" si="13"/>
        <v>0.45235744671916872</v>
      </c>
    </row>
    <row r="139" spans="1:19" x14ac:dyDescent="0.2">
      <c r="A139" s="13">
        <v>39479</v>
      </c>
      <c r="B139" s="14">
        <v>46829.27</v>
      </c>
      <c r="C139" s="14">
        <v>40185.1</v>
      </c>
      <c r="D139" s="14">
        <v>87014.36</v>
      </c>
      <c r="E139" s="14">
        <v>26210.44</v>
      </c>
      <c r="F139" s="14">
        <v>23098.1</v>
      </c>
      <c r="G139" s="14">
        <v>49308.54</v>
      </c>
      <c r="I139" s="14">
        <f t="shared" si="10"/>
        <v>-473.06999999999971</v>
      </c>
      <c r="J139" s="15">
        <f t="shared" si="9"/>
        <v>3.4288377618939325E-2</v>
      </c>
      <c r="L139" s="15">
        <f t="shared" si="11"/>
        <v>0.56667129425533902</v>
      </c>
      <c r="M139" s="16">
        <v>75.668793370640685</v>
      </c>
      <c r="N139" s="16">
        <f>G139*$O$6/'[2]Used Cooking Oil Complex'!$AZ$26</f>
        <v>4.4272113102595934E-2</v>
      </c>
      <c r="O139" s="16"/>
      <c r="R139" s="18">
        <f t="shared" si="12"/>
        <v>0.53817864085881917</v>
      </c>
      <c r="S139" s="18">
        <f t="shared" si="13"/>
        <v>0.46182147406474056</v>
      </c>
    </row>
    <row r="140" spans="1:19" x14ac:dyDescent="0.2">
      <c r="A140" s="13">
        <v>39508</v>
      </c>
      <c r="B140" s="14">
        <v>50050.71</v>
      </c>
      <c r="C140" s="14">
        <v>43104.04</v>
      </c>
      <c r="D140" s="14">
        <v>93154.75</v>
      </c>
      <c r="E140" s="14">
        <v>28030.45</v>
      </c>
      <c r="F140" s="14">
        <v>24699.07</v>
      </c>
      <c r="G140" s="14">
        <v>52729.52</v>
      </c>
      <c r="I140" s="14">
        <f t="shared" si="10"/>
        <v>3420.9799999999959</v>
      </c>
      <c r="J140" s="15">
        <f t="shared" si="9"/>
        <v>-1.1597573152848817E-2</v>
      </c>
      <c r="L140" s="15">
        <f t="shared" si="11"/>
        <v>0.56604220396705474</v>
      </c>
      <c r="M140" s="16">
        <v>80.918622887902686</v>
      </c>
      <c r="N140" s="16">
        <f>G140*$O$6/'[2]Used Cooking Oil Complex'!$AZ$26</f>
        <v>4.7343670554544789E-2</v>
      </c>
      <c r="O140" s="16"/>
      <c r="R140" s="18">
        <f t="shared" si="12"/>
        <v>0.53728564565950743</v>
      </c>
      <c r="S140" s="18">
        <f t="shared" si="13"/>
        <v>0.46271435434049257</v>
      </c>
    </row>
    <row r="141" spans="1:19" x14ac:dyDescent="0.2">
      <c r="A141" s="13">
        <v>39539</v>
      </c>
      <c r="B141" s="14">
        <v>48147.17</v>
      </c>
      <c r="C141" s="14">
        <v>42481.59</v>
      </c>
      <c r="D141" s="14">
        <v>90628.76</v>
      </c>
      <c r="E141" s="14">
        <v>26625.75</v>
      </c>
      <c r="F141" s="14">
        <v>24280.02</v>
      </c>
      <c r="G141" s="14">
        <v>50905.77</v>
      </c>
      <c r="I141" s="14">
        <f t="shared" si="10"/>
        <v>-1823.75</v>
      </c>
      <c r="J141" s="15">
        <f t="shared" si="9"/>
        <v>-6.6511703601136452E-3</v>
      </c>
      <c r="L141" s="15">
        <f t="shared" si="11"/>
        <v>0.56169553682517559</v>
      </c>
      <c r="M141" s="16">
        <v>78.119899544852856</v>
      </c>
      <c r="N141" s="16">
        <f>G141*$O$6/'[2]Used Cooking Oil Complex'!$AZ$26</f>
        <v>4.5706200325840808E-2</v>
      </c>
      <c r="O141" s="16"/>
      <c r="R141" s="18">
        <f t="shared" si="12"/>
        <v>0.5312570755685061</v>
      </c>
      <c r="S141" s="18">
        <f t="shared" si="13"/>
        <v>0.4687429244314939</v>
      </c>
    </row>
    <row r="142" spans="1:19" x14ac:dyDescent="0.2">
      <c r="A142" s="13">
        <v>39569</v>
      </c>
      <c r="B142" s="14">
        <v>52749.2</v>
      </c>
      <c r="C142" s="14">
        <v>45597.09</v>
      </c>
      <c r="D142" s="14">
        <v>98346.29</v>
      </c>
      <c r="E142" s="14">
        <v>29031.360000000001</v>
      </c>
      <c r="F142" s="14">
        <v>25952.99</v>
      </c>
      <c r="G142" s="14">
        <v>54984.36</v>
      </c>
      <c r="I142" s="14">
        <f t="shared" si="10"/>
        <v>4078.5900000000038</v>
      </c>
      <c r="J142" s="15">
        <f t="shared" si="9"/>
        <v>1.4609363928385966E-2</v>
      </c>
      <c r="L142" s="15">
        <f t="shared" si="11"/>
        <v>0.55908931592640665</v>
      </c>
      <c r="M142" s="16">
        <v>84.378896139632616</v>
      </c>
      <c r="N142" s="16">
        <f>G142*$O$6/'[2]Used Cooking Oil Complex'!$AZ$26</f>
        <v>4.9368198790591886E-2</v>
      </c>
      <c r="O142" s="16"/>
      <c r="R142" s="18">
        <f t="shared" si="12"/>
        <v>0.53636186987836554</v>
      </c>
      <c r="S142" s="18">
        <f t="shared" si="13"/>
        <v>0.46363813012163446</v>
      </c>
    </row>
    <row r="143" spans="1:19" x14ac:dyDescent="0.2">
      <c r="A143" s="13">
        <v>39600</v>
      </c>
      <c r="B143" s="14">
        <v>50562.02</v>
      </c>
      <c r="C143" s="14">
        <v>43843.43</v>
      </c>
      <c r="D143" s="14">
        <v>94405.45</v>
      </c>
      <c r="E143" s="14">
        <v>27656.87</v>
      </c>
      <c r="F143" s="14">
        <v>24833.21</v>
      </c>
      <c r="G143" s="14">
        <v>52490.080000000002</v>
      </c>
      <c r="I143" s="14">
        <f t="shared" si="10"/>
        <v>-2494.2799999999988</v>
      </c>
      <c r="J143" s="15">
        <f t="shared" si="9"/>
        <v>-2.1695258444272336E-2</v>
      </c>
      <c r="L143" s="15">
        <f t="shared" si="11"/>
        <v>0.55600688307719526</v>
      </c>
      <c r="M143" s="16">
        <v>80.551178711200919</v>
      </c>
      <c r="N143" s="16">
        <f>G143*$O$6/'[2]Used Cooking Oil Complex'!$AZ$26</f>
        <v>4.7128687211673854E-2</v>
      </c>
      <c r="O143" s="16"/>
      <c r="R143" s="18">
        <f t="shared" si="12"/>
        <v>0.5355836977632118</v>
      </c>
      <c r="S143" s="18">
        <f t="shared" si="13"/>
        <v>0.46441630223678826</v>
      </c>
    </row>
    <row r="144" spans="1:19" x14ac:dyDescent="0.2">
      <c r="A144" s="13">
        <v>39630</v>
      </c>
      <c r="B144" s="14">
        <v>51913.52</v>
      </c>
      <c r="C144" s="14">
        <v>44701.65</v>
      </c>
      <c r="D144" s="14">
        <v>96615.17</v>
      </c>
      <c r="E144" s="14">
        <v>28052.14</v>
      </c>
      <c r="F144" s="14">
        <v>25160.05</v>
      </c>
      <c r="G144" s="14">
        <v>53212.2</v>
      </c>
      <c r="I144" s="14">
        <f t="shared" si="10"/>
        <v>722.11999999999534</v>
      </c>
      <c r="J144" s="15">
        <f t="shared" si="9"/>
        <v>-5.0768710409689888E-3</v>
      </c>
      <c r="L144" s="15">
        <f t="shared" si="11"/>
        <v>0.55076443999425762</v>
      </c>
      <c r="M144" s="16">
        <v>81.659342714207426</v>
      </c>
      <c r="N144" s="16">
        <f>G144*$O$6/'[2]Used Cooking Oil Complex'!$AZ$26</f>
        <v>4.7777049104231334E-2</v>
      </c>
      <c r="O144" s="16"/>
      <c r="R144" s="18">
        <f t="shared" si="12"/>
        <v>0.53732265854316663</v>
      </c>
      <c r="S144" s="18">
        <f t="shared" si="13"/>
        <v>0.46267734145683337</v>
      </c>
    </row>
    <row r="145" spans="1:19" x14ac:dyDescent="0.2">
      <c r="A145" s="13">
        <v>39661</v>
      </c>
      <c r="B145" s="14">
        <v>51999.56</v>
      </c>
      <c r="C145" s="14">
        <v>45473.82</v>
      </c>
      <c r="D145" s="14">
        <v>97473.38</v>
      </c>
      <c r="E145" s="14">
        <v>27907.99</v>
      </c>
      <c r="F145" s="14">
        <v>25513.66</v>
      </c>
      <c r="G145" s="14">
        <v>53421.65</v>
      </c>
      <c r="I145" s="14">
        <f t="shared" si="10"/>
        <v>209.45000000000437</v>
      </c>
      <c r="J145" s="15">
        <f t="shared" si="9"/>
        <v>-1.02549024403078E-2</v>
      </c>
      <c r="L145" s="15">
        <f t="shared" si="11"/>
        <v>0.54806399449777976</v>
      </c>
      <c r="M145" s="16">
        <v>81.980764292933571</v>
      </c>
      <c r="N145" s="16">
        <f>G145*$O$6/'[2]Used Cooking Oil Complex'!$AZ$26</f>
        <v>4.7965105657707445E-2</v>
      </c>
      <c r="O145" s="16"/>
      <c r="R145" s="18">
        <f t="shared" si="12"/>
        <v>0.53347447272270643</v>
      </c>
      <c r="S145" s="18">
        <f t="shared" si="13"/>
        <v>0.46652552727729352</v>
      </c>
    </row>
    <row r="146" spans="1:19" x14ac:dyDescent="0.2">
      <c r="A146" s="13">
        <v>39692</v>
      </c>
      <c r="B146" s="14">
        <v>48405.48</v>
      </c>
      <c r="C146" s="14">
        <v>41744.29</v>
      </c>
      <c r="D146" s="14">
        <v>90149.77</v>
      </c>
      <c r="E146" s="14">
        <v>25816.27</v>
      </c>
      <c r="F146" s="14">
        <v>23296.44</v>
      </c>
      <c r="G146" s="14">
        <v>49112.71</v>
      </c>
      <c r="I146" s="14">
        <f t="shared" si="10"/>
        <v>-4308.9400000000023</v>
      </c>
      <c r="J146" s="15">
        <f t="shared" ref="J146:J209" si="14">G146/G134-1</f>
        <v>-3.1883400328325484E-2</v>
      </c>
      <c r="L146" s="15">
        <f t="shared" si="11"/>
        <v>0.5447901863754061</v>
      </c>
      <c r="M146" s="16">
        <v>75.368273018471001</v>
      </c>
      <c r="N146" s="16">
        <f>G146*$O$6/'[2]Used Cooking Oil Complex'!$AZ$26</f>
        <v>4.4096285387784637E-2</v>
      </c>
      <c r="O146" s="16"/>
      <c r="R146" s="18">
        <f t="shared" si="12"/>
        <v>0.53694513030926205</v>
      </c>
      <c r="S146" s="18">
        <f t="shared" si="13"/>
        <v>0.46305486969073795</v>
      </c>
    </row>
    <row r="147" spans="1:19" x14ac:dyDescent="0.2">
      <c r="A147" s="13">
        <v>39722</v>
      </c>
      <c r="B147" s="14">
        <v>50143.199999999997</v>
      </c>
      <c r="C147" s="14">
        <v>43045.61</v>
      </c>
      <c r="D147" s="14">
        <v>93188.81</v>
      </c>
      <c r="E147" s="14">
        <v>26617.53</v>
      </c>
      <c r="F147" s="14">
        <v>23906.01</v>
      </c>
      <c r="G147" s="14">
        <v>50523.55</v>
      </c>
      <c r="I147" s="14">
        <f t="shared" si="10"/>
        <v>1410.8400000000038</v>
      </c>
      <c r="J147" s="15">
        <f t="shared" si="14"/>
        <v>-2.6523632985119616E-2</v>
      </c>
      <c r="L147" s="15">
        <f t="shared" si="11"/>
        <v>0.5421632704613355</v>
      </c>
      <c r="M147" s="16">
        <v>77.533345446878641</v>
      </c>
      <c r="N147" s="16">
        <f>G147*$O$6/'[2]Used Cooking Oil Complex'!$AZ$26</f>
        <v>4.5363020684543912E-2</v>
      </c>
      <c r="O147" s="16"/>
      <c r="R147" s="18">
        <f t="shared" si="12"/>
        <v>0.5380817718350519</v>
      </c>
      <c r="S147" s="18">
        <f t="shared" si="13"/>
        <v>0.46191822816494815</v>
      </c>
    </row>
    <row r="148" spans="1:19" x14ac:dyDescent="0.2">
      <c r="A148" s="13">
        <v>39753</v>
      </c>
      <c r="B148" s="14">
        <v>50406.080000000002</v>
      </c>
      <c r="C148" s="14">
        <v>40784.959999999999</v>
      </c>
      <c r="D148" s="14">
        <v>91191.03</v>
      </c>
      <c r="E148" s="14">
        <v>26827.18</v>
      </c>
      <c r="F148" s="14">
        <v>22573.01</v>
      </c>
      <c r="G148" s="14">
        <v>49400.2</v>
      </c>
      <c r="I148" s="14">
        <f t="shared" si="10"/>
        <v>-1123.3500000000058</v>
      </c>
      <c r="J148" s="15">
        <f t="shared" si="14"/>
        <v>-5.459645115316758E-2</v>
      </c>
      <c r="L148" s="15">
        <f t="shared" si="11"/>
        <v>0.54172214087284676</v>
      </c>
      <c r="M148" s="16">
        <v>75.809454635410489</v>
      </c>
      <c r="N148" s="16">
        <f>G148*$O$6/'[2]Used Cooking Oil Complex'!$AZ$26</f>
        <v>4.4354410852376881E-2</v>
      </c>
      <c r="O148" s="16"/>
      <c r="R148" s="18">
        <f t="shared" si="12"/>
        <v>0.55275261174262424</v>
      </c>
      <c r="S148" s="18">
        <f t="shared" si="13"/>
        <v>0.44724749791728419</v>
      </c>
    </row>
    <row r="149" spans="1:19" x14ac:dyDescent="0.2">
      <c r="A149" s="13">
        <v>39783</v>
      </c>
      <c r="B149" s="14">
        <v>54726.71</v>
      </c>
      <c r="C149" s="14">
        <v>42220.46</v>
      </c>
      <c r="D149" s="14">
        <v>96947.17</v>
      </c>
      <c r="E149" s="14">
        <v>29180.39</v>
      </c>
      <c r="F149" s="14">
        <v>23299.64</v>
      </c>
      <c r="G149" s="14">
        <v>52480.03</v>
      </c>
      <c r="I149" s="14">
        <f t="shared" si="10"/>
        <v>3079.8300000000017</v>
      </c>
      <c r="J149" s="15">
        <f t="shared" si="14"/>
        <v>-8.2298121440147698E-2</v>
      </c>
      <c r="L149" s="15">
        <f t="shared" si="11"/>
        <v>0.54132606449471399</v>
      </c>
      <c r="M149" s="16">
        <v>80.535755999975336</v>
      </c>
      <c r="N149" s="16">
        <f>G149*$O$6/'[2]Used Cooking Oil Complex'!$AZ$26</f>
        <v>4.7119663729399151E-2</v>
      </c>
      <c r="O149" s="16"/>
      <c r="R149" s="18">
        <f t="shared" si="12"/>
        <v>0.56450033559514945</v>
      </c>
      <c r="S149" s="18">
        <f t="shared" si="13"/>
        <v>0.43549966440485061</v>
      </c>
    </row>
    <row r="150" spans="1:19" x14ac:dyDescent="0.2">
      <c r="A150" s="13">
        <v>39814</v>
      </c>
      <c r="B150" s="14">
        <v>48316.639999999999</v>
      </c>
      <c r="C150" s="14">
        <v>40361.54</v>
      </c>
      <c r="D150" s="14">
        <v>88678.19</v>
      </c>
      <c r="E150" s="14">
        <v>25627.53</v>
      </c>
      <c r="F150" s="14">
        <v>22212.720000000001</v>
      </c>
      <c r="G150" s="14">
        <v>47840.25</v>
      </c>
      <c r="I150" s="14">
        <f t="shared" si="10"/>
        <v>-4639.7799999999988</v>
      </c>
      <c r="J150" s="15">
        <f t="shared" si="14"/>
        <v>-3.8997533426500253E-2</v>
      </c>
      <c r="L150" s="15">
        <f t="shared" si="11"/>
        <v>0.53948157940526298</v>
      </c>
      <c r="M150" s="16">
        <v>73.415558279555484</v>
      </c>
      <c r="N150" s="16">
        <f>G150*$O$6/'[2]Used Cooking Oil Complex'!$AZ$26</f>
        <v>4.295379581014698E-2</v>
      </c>
      <c r="O150" s="16"/>
      <c r="R150" s="18">
        <f t="shared" si="12"/>
        <v>0.54485370078031581</v>
      </c>
      <c r="S150" s="18">
        <f t="shared" si="13"/>
        <v>0.45514618645238475</v>
      </c>
    </row>
    <row r="151" spans="1:19" x14ac:dyDescent="0.2">
      <c r="A151" s="13">
        <v>39845</v>
      </c>
      <c r="B151" s="14">
        <v>44712.04</v>
      </c>
      <c r="C151" s="14">
        <v>38922.22</v>
      </c>
      <c r="D151" s="14">
        <v>83634.259999999995</v>
      </c>
      <c r="E151" s="14">
        <v>23862.76</v>
      </c>
      <c r="F151" s="14">
        <v>21357.97</v>
      </c>
      <c r="G151" s="14">
        <v>45220.73</v>
      </c>
      <c r="I151" s="14">
        <f t="shared" si="10"/>
        <v>-2619.5199999999968</v>
      </c>
      <c r="J151" s="15">
        <f t="shared" si="14"/>
        <v>-8.2902677710595341E-2</v>
      </c>
      <c r="L151" s="15">
        <f t="shared" si="11"/>
        <v>0.54069624099023539</v>
      </c>
      <c r="M151" s="16">
        <v>69.395647781084833</v>
      </c>
      <c r="N151" s="16">
        <f>G151*$O$6/'[2]Used Cooking Oil Complex'!$AZ$26</f>
        <v>4.0601836378484399E-2</v>
      </c>
      <c r="O151" s="16"/>
      <c r="R151" s="18">
        <f t="shared" si="12"/>
        <v>0.53461392496328664</v>
      </c>
      <c r="S151" s="18">
        <f t="shared" si="13"/>
        <v>0.46538607503671348</v>
      </c>
    </row>
    <row r="152" spans="1:19" x14ac:dyDescent="0.2">
      <c r="A152" s="13">
        <v>39873</v>
      </c>
      <c r="B152" s="14">
        <v>47772.88</v>
      </c>
      <c r="C152" s="14">
        <v>42451.01</v>
      </c>
      <c r="D152" s="14">
        <v>90223.89</v>
      </c>
      <c r="E152" s="14">
        <v>25646.53</v>
      </c>
      <c r="F152" s="14">
        <v>23268.34</v>
      </c>
      <c r="G152" s="14">
        <v>48914.87</v>
      </c>
      <c r="I152" s="14">
        <f t="shared" si="10"/>
        <v>3694.1399999999994</v>
      </c>
      <c r="J152" s="15">
        <f t="shared" si="14"/>
        <v>-7.2343727005290237E-2</v>
      </c>
      <c r="L152" s="15">
        <f t="shared" si="11"/>
        <v>0.54214986740208171</v>
      </c>
      <c r="M152" s="16">
        <v>75.064668124056212</v>
      </c>
      <c r="N152" s="16">
        <f>G152*$O$6/'[2]Used Cooking Oil Complex'!$AZ$26</f>
        <v>4.3918652976518403E-2</v>
      </c>
      <c r="O152" s="16"/>
      <c r="R152" s="18">
        <f t="shared" si="12"/>
        <v>0.52949257674436334</v>
      </c>
      <c r="S152" s="18">
        <f t="shared" si="13"/>
        <v>0.47050742325563666</v>
      </c>
    </row>
    <row r="153" spans="1:19" x14ac:dyDescent="0.2">
      <c r="A153" s="13">
        <v>39904</v>
      </c>
      <c r="B153" s="14">
        <v>48003.07</v>
      </c>
      <c r="C153" s="14">
        <v>41936.400000000001</v>
      </c>
      <c r="D153" s="14">
        <v>89939.48</v>
      </c>
      <c r="E153" s="14">
        <v>25928.59</v>
      </c>
      <c r="F153" s="14">
        <v>22915.22</v>
      </c>
      <c r="G153" s="14">
        <v>48843.8</v>
      </c>
      <c r="I153" s="14">
        <f t="shared" si="10"/>
        <v>-71.069999999999709</v>
      </c>
      <c r="J153" s="15">
        <f t="shared" si="14"/>
        <v>-4.0505624411535157E-2</v>
      </c>
      <c r="L153" s="15">
        <f t="shared" si="11"/>
        <v>0.54307407603423996</v>
      </c>
      <c r="M153" s="16">
        <v>74.955604234822189</v>
      </c>
      <c r="N153" s="16">
        <f>G153*$O$6/'[2]Used Cooking Oil Complex'!$AZ$26</f>
        <v>4.3854842142163918E-2</v>
      </c>
      <c r="O153" s="16"/>
      <c r="R153" s="18">
        <f t="shared" si="12"/>
        <v>0.53372634576050471</v>
      </c>
      <c r="S153" s="18">
        <f t="shared" si="13"/>
        <v>0.46627354305361784</v>
      </c>
    </row>
    <row r="154" spans="1:19" x14ac:dyDescent="0.2">
      <c r="A154" s="13">
        <v>39934</v>
      </c>
      <c r="B154" s="14">
        <v>50824.38</v>
      </c>
      <c r="C154" s="14">
        <v>44670.96</v>
      </c>
      <c r="D154" s="14">
        <v>95495.34</v>
      </c>
      <c r="E154" s="14">
        <v>27541.21</v>
      </c>
      <c r="F154" s="14">
        <v>24396.54</v>
      </c>
      <c r="G154" s="14">
        <v>51937.75</v>
      </c>
      <c r="I154" s="14">
        <f t="shared" si="10"/>
        <v>3093.9499999999971</v>
      </c>
      <c r="J154" s="15">
        <f t="shared" si="14"/>
        <v>-5.5408665300459958E-2</v>
      </c>
      <c r="L154" s="15">
        <f t="shared" si="11"/>
        <v>0.54387732427571855</v>
      </c>
      <c r="M154" s="16">
        <v>79.703574125009453</v>
      </c>
      <c r="N154" s="16">
        <f>G154*$O$6/'[2]Used Cooking Oil Complex'!$AZ$26</f>
        <v>4.6632772787317409E-2</v>
      </c>
      <c r="O154" s="16"/>
      <c r="R154" s="18">
        <f t="shared" si="12"/>
        <v>0.5322184307632184</v>
      </c>
      <c r="S154" s="18">
        <f t="shared" si="13"/>
        <v>0.4677815692367816</v>
      </c>
    </row>
    <row r="155" spans="1:19" x14ac:dyDescent="0.2">
      <c r="A155" s="13">
        <v>39965</v>
      </c>
      <c r="B155" s="14">
        <v>48935.08</v>
      </c>
      <c r="C155" s="14">
        <v>42996.160000000003</v>
      </c>
      <c r="D155" s="14">
        <v>91931.25</v>
      </c>
      <c r="E155" s="14">
        <v>26550</v>
      </c>
      <c r="F155" s="14">
        <v>23467.14</v>
      </c>
      <c r="G155" s="14">
        <v>50017.14</v>
      </c>
      <c r="I155" s="14">
        <f t="shared" si="10"/>
        <v>-1920.6100000000006</v>
      </c>
      <c r="J155" s="15">
        <f t="shared" si="14"/>
        <v>-4.7112521070648006E-2</v>
      </c>
      <c r="L155" s="15">
        <f t="shared" si="11"/>
        <v>0.54407114011829494</v>
      </c>
      <c r="M155" s="16">
        <v>76.756209606903937</v>
      </c>
      <c r="N155" s="16">
        <f>G155*$O$6/'[2]Used Cooking Oil Complex'!$AZ$26</f>
        <v>4.4908335942381881E-2</v>
      </c>
      <c r="O155" s="16"/>
      <c r="R155" s="18">
        <f t="shared" si="12"/>
        <v>0.53230082262560341</v>
      </c>
      <c r="S155" s="18">
        <f t="shared" si="13"/>
        <v>0.46769906859745736</v>
      </c>
    </row>
    <row r="156" spans="1:19" x14ac:dyDescent="0.2">
      <c r="A156" s="13">
        <v>39995</v>
      </c>
      <c r="B156" s="14">
        <v>50226.29</v>
      </c>
      <c r="C156" s="14">
        <v>43961.34</v>
      </c>
      <c r="D156" s="14">
        <v>94187.63</v>
      </c>
      <c r="E156" s="14">
        <v>27379.15</v>
      </c>
      <c r="F156" s="14">
        <v>23974.38</v>
      </c>
      <c r="G156" s="14">
        <v>51353.53</v>
      </c>
      <c r="I156" s="14">
        <f t="shared" si="10"/>
        <v>1336.3899999999994</v>
      </c>
      <c r="J156" s="15">
        <f t="shared" si="14"/>
        <v>-3.4929395890416104E-2</v>
      </c>
      <c r="L156" s="15">
        <f t="shared" si="11"/>
        <v>0.54522584335119162</v>
      </c>
      <c r="M156" s="16">
        <v>78.80703120439172</v>
      </c>
      <c r="N156" s="16">
        <f>G156*$O$6/'[2]Used Cooking Oil Complex'!$AZ$26</f>
        <v>4.6108225641593788E-2</v>
      </c>
      <c r="O156" s="16"/>
      <c r="R156" s="18">
        <f t="shared" si="12"/>
        <v>0.53325781740128719</v>
      </c>
      <c r="S156" s="18">
        <f t="shared" si="13"/>
        <v>0.46674218259871275</v>
      </c>
    </row>
    <row r="157" spans="1:19" x14ac:dyDescent="0.2">
      <c r="A157" s="13">
        <v>40026</v>
      </c>
      <c r="B157" s="14">
        <v>49856.13</v>
      </c>
      <c r="C157" s="14">
        <v>43661.74</v>
      </c>
      <c r="D157" s="14">
        <v>93517.88</v>
      </c>
      <c r="E157" s="14">
        <v>27189.200000000001</v>
      </c>
      <c r="F157" s="14">
        <v>23775.86</v>
      </c>
      <c r="G157" s="14">
        <v>50965.06</v>
      </c>
      <c r="I157" s="14">
        <f t="shared" si="10"/>
        <v>-388.47000000000116</v>
      </c>
      <c r="J157" s="15">
        <f t="shared" si="14"/>
        <v>-4.5984914355883921E-2</v>
      </c>
      <c r="L157" s="15">
        <f t="shared" si="11"/>
        <v>0.54497663976129485</v>
      </c>
      <c r="M157" s="16">
        <v>78.210885868093115</v>
      </c>
      <c r="N157" s="16">
        <f>G157*$O$6/'[2]Used Cooking Oil Complex'!$AZ$26</f>
        <v>4.5759434381966856E-2</v>
      </c>
      <c r="O157" s="16"/>
      <c r="R157" s="18">
        <f t="shared" si="12"/>
        <v>0.53311869345199014</v>
      </c>
      <c r="S157" s="18">
        <f t="shared" si="13"/>
        <v>0.46688119961658664</v>
      </c>
    </row>
    <row r="158" spans="1:19" x14ac:dyDescent="0.2">
      <c r="A158" s="13">
        <v>40057</v>
      </c>
      <c r="B158" s="14">
        <v>47514.62</v>
      </c>
      <c r="C158" s="14">
        <v>40837.279999999999</v>
      </c>
      <c r="D158" s="14">
        <v>88351.89</v>
      </c>
      <c r="E158" s="14">
        <v>25972.400000000001</v>
      </c>
      <c r="F158" s="14">
        <v>22205.25</v>
      </c>
      <c r="G158" s="14">
        <v>48177.65</v>
      </c>
      <c r="I158" s="14">
        <f t="shared" si="10"/>
        <v>-2787.4099999999962</v>
      </c>
      <c r="J158" s="15">
        <f t="shared" si="14"/>
        <v>-1.9039063411487533E-2</v>
      </c>
      <c r="L158" s="15">
        <f t="shared" si="11"/>
        <v>0.54529280584716411</v>
      </c>
      <c r="M158" s="16">
        <v>73.933331689258026</v>
      </c>
      <c r="N158" s="16">
        <f>G158*$O$6/'[2]Used Cooking Oil Complex'!$AZ$26</f>
        <v>4.3256733414075557E-2</v>
      </c>
      <c r="O158" s="16"/>
      <c r="R158" s="18">
        <f t="shared" si="12"/>
        <v>0.53778838234247173</v>
      </c>
      <c r="S158" s="18">
        <f t="shared" si="13"/>
        <v>0.46221173084129835</v>
      </c>
    </row>
    <row r="159" spans="1:19" x14ac:dyDescent="0.2">
      <c r="A159" s="13">
        <v>40087</v>
      </c>
      <c r="B159" s="14">
        <v>49870.07</v>
      </c>
      <c r="C159" s="14">
        <v>42476.04</v>
      </c>
      <c r="D159" s="14">
        <v>92346.11</v>
      </c>
      <c r="E159" s="14">
        <v>27211.7</v>
      </c>
      <c r="F159" s="14">
        <v>23073.56</v>
      </c>
      <c r="G159" s="14">
        <v>50285.26</v>
      </c>
      <c r="I159" s="14">
        <f t="shared" si="10"/>
        <v>2107.6100000000006</v>
      </c>
      <c r="J159" s="15">
        <f t="shared" si="14"/>
        <v>-4.7164144245605E-3</v>
      </c>
      <c r="L159" s="15">
        <f t="shared" si="11"/>
        <v>0.54453035433761099</v>
      </c>
      <c r="M159" s="16">
        <v>77.167666058028558</v>
      </c>
      <c r="N159" s="16">
        <f>G159*$O$6/'[2]Used Cooking Oil Complex'!$AZ$26</f>
        <v>4.5149069879445697E-2</v>
      </c>
      <c r="O159" s="16"/>
      <c r="R159" s="18">
        <f t="shared" si="12"/>
        <v>0.54003433387719313</v>
      </c>
      <c r="S159" s="18">
        <f t="shared" si="13"/>
        <v>0.45996566612280693</v>
      </c>
    </row>
    <row r="160" spans="1:19" x14ac:dyDescent="0.2">
      <c r="A160" s="13">
        <v>40118</v>
      </c>
      <c r="B160" s="14">
        <v>50257.07</v>
      </c>
      <c r="C160" s="14">
        <v>39872.639999999999</v>
      </c>
      <c r="D160" s="14">
        <v>90129.72</v>
      </c>
      <c r="E160" s="14">
        <v>27524.54</v>
      </c>
      <c r="F160" s="14">
        <v>21619.919999999998</v>
      </c>
      <c r="G160" s="14">
        <v>49144.46</v>
      </c>
      <c r="I160" s="14">
        <f t="shared" si="10"/>
        <v>-1140.8000000000029</v>
      </c>
      <c r="J160" s="15">
        <f t="shared" si="14"/>
        <v>-5.1769021178051933E-3</v>
      </c>
      <c r="L160" s="15">
        <f t="shared" si="11"/>
        <v>0.54526364888296552</v>
      </c>
      <c r="M160" s="16">
        <v>75.416996509158778</v>
      </c>
      <c r="N160" s="16">
        <f>G160*$O$6/'[2]Used Cooking Oil Complex'!$AZ$26</f>
        <v>4.4124792408901214E-2</v>
      </c>
      <c r="O160" s="16"/>
      <c r="R160" s="18">
        <f t="shared" si="12"/>
        <v>0.55760818961825243</v>
      </c>
      <c r="S160" s="18">
        <f t="shared" si="13"/>
        <v>0.44239169943055406</v>
      </c>
    </row>
    <row r="161" spans="1:19" x14ac:dyDescent="0.2">
      <c r="A161" s="13">
        <v>40148</v>
      </c>
      <c r="B161" s="14">
        <v>56615.44</v>
      </c>
      <c r="C161" s="14">
        <v>42162.91</v>
      </c>
      <c r="D161" s="14">
        <v>98778.36</v>
      </c>
      <c r="E161" s="14">
        <v>30927.94</v>
      </c>
      <c r="F161" s="14">
        <v>22845.9</v>
      </c>
      <c r="G161" s="14">
        <v>53773.84</v>
      </c>
      <c r="I161" s="14">
        <f t="shared" si="10"/>
        <v>4629.3799999999974</v>
      </c>
      <c r="J161" s="15">
        <f t="shared" si="14"/>
        <v>2.4653377675279531E-2</v>
      </c>
      <c r="L161" s="15">
        <f t="shared" si="11"/>
        <v>0.54438887221857091</v>
      </c>
      <c r="M161" s="16">
        <v>82.521234409006894</v>
      </c>
      <c r="N161" s="16">
        <f>G161*$O$6/'[2]Used Cooking Oil Complex'!$AZ$26</f>
        <v>4.8281322595252196E-2</v>
      </c>
      <c r="O161" s="16"/>
      <c r="R161" s="18">
        <f t="shared" si="12"/>
        <v>0.57315630670523388</v>
      </c>
      <c r="S161" s="18">
        <f t="shared" si="13"/>
        <v>0.42684359205801758</v>
      </c>
    </row>
    <row r="162" spans="1:19" x14ac:dyDescent="0.2">
      <c r="A162" s="13">
        <v>40179</v>
      </c>
      <c r="B162" s="14">
        <v>48804.88</v>
      </c>
      <c r="C162" s="14">
        <v>39765.86</v>
      </c>
      <c r="D162" s="14">
        <v>88570.73</v>
      </c>
      <c r="E162" s="14">
        <v>26420.85</v>
      </c>
      <c r="F162" s="14">
        <v>21535.25</v>
      </c>
      <c r="G162" s="14">
        <v>47956.1</v>
      </c>
      <c r="I162" s="14">
        <f t="shared" si="10"/>
        <v>-5817.739999999998</v>
      </c>
      <c r="J162" s="15">
        <f t="shared" si="14"/>
        <v>2.4216010576867397E-3</v>
      </c>
      <c r="L162" s="15">
        <f t="shared" si="11"/>
        <v>0.541444109131764</v>
      </c>
      <c r="M162" s="16">
        <v>73.593341473135922</v>
      </c>
      <c r="N162" s="16">
        <f>G162*$O$6/'[2]Used Cooking Oil Complex'!$AZ$26</f>
        <v>4.3057812767512499E-2</v>
      </c>
      <c r="O162" s="16"/>
      <c r="R162" s="18">
        <f t="shared" si="12"/>
        <v>0.55102718471440848</v>
      </c>
      <c r="S162" s="18">
        <f t="shared" si="13"/>
        <v>0.44897292818970785</v>
      </c>
    </row>
    <row r="163" spans="1:19" x14ac:dyDescent="0.2">
      <c r="A163" s="13">
        <v>40210</v>
      </c>
      <c r="B163" s="14">
        <v>46614.12</v>
      </c>
      <c r="C163" s="14">
        <v>39391.18</v>
      </c>
      <c r="D163" s="14">
        <v>86005.3</v>
      </c>
      <c r="E163" s="14">
        <v>25268.42</v>
      </c>
      <c r="F163" s="14">
        <v>21316.71</v>
      </c>
      <c r="G163" s="14">
        <v>46585.13</v>
      </c>
      <c r="I163" s="14">
        <f t="shared" si="10"/>
        <v>-1370.9700000000012</v>
      </c>
      <c r="J163" s="15">
        <f t="shared" si="14"/>
        <v>3.0172002972972622E-2</v>
      </c>
      <c r="L163" s="15">
        <f t="shared" si="11"/>
        <v>0.54165417712629338</v>
      </c>
      <c r="M163" s="16">
        <v>71.489453472247078</v>
      </c>
      <c r="N163" s="16">
        <f>G163*$O$6/'[2]Used Cooking Oil Complex'!$AZ$26</f>
        <v>4.1826875106404177E-2</v>
      </c>
      <c r="O163" s="16"/>
      <c r="R163" s="18">
        <f t="shared" si="12"/>
        <v>0.5419912493764919</v>
      </c>
      <c r="S163" s="18">
        <f t="shared" si="13"/>
        <v>0.4580087506235081</v>
      </c>
    </row>
    <row r="164" spans="1:19" x14ac:dyDescent="0.2">
      <c r="A164" s="13">
        <v>40238</v>
      </c>
      <c r="B164" s="14">
        <v>50461.34</v>
      </c>
      <c r="C164" s="14">
        <v>43619.83</v>
      </c>
      <c r="D164" s="14">
        <v>94081.16</v>
      </c>
      <c r="E164" s="14">
        <v>27289.84</v>
      </c>
      <c r="F164" s="14">
        <v>23614.5</v>
      </c>
      <c r="G164" s="14">
        <v>50904.34</v>
      </c>
      <c r="I164" s="14">
        <f t="shared" si="10"/>
        <v>4319.2099999999991</v>
      </c>
      <c r="J164" s="15">
        <f t="shared" si="14"/>
        <v>4.0672090102661818E-2</v>
      </c>
      <c r="L164" s="15">
        <f t="shared" si="11"/>
        <v>0.54106837118079742</v>
      </c>
      <c r="M164" s="16">
        <v>78.117705069524249</v>
      </c>
      <c r="N164" s="16">
        <f>G164*$O$6/'[2]Used Cooking Oil Complex'!$AZ$26</f>
        <v>4.57049163875669E-2</v>
      </c>
      <c r="O164" s="16"/>
      <c r="R164" s="18">
        <f t="shared" si="12"/>
        <v>0.53635967073535229</v>
      </c>
      <c r="S164" s="18">
        <f t="shared" si="13"/>
        <v>0.4636404355558541</v>
      </c>
    </row>
    <row r="165" spans="1:19" x14ac:dyDescent="0.2">
      <c r="A165" s="13">
        <v>40269</v>
      </c>
      <c r="B165" s="14">
        <v>49234.41</v>
      </c>
      <c r="C165" s="14">
        <v>43619.69</v>
      </c>
      <c r="D165" s="14">
        <v>92854.09</v>
      </c>
      <c r="E165" s="14">
        <v>26612.240000000002</v>
      </c>
      <c r="F165" s="14">
        <v>23584.54</v>
      </c>
      <c r="G165" s="14">
        <v>50196.79</v>
      </c>
      <c r="I165" s="14">
        <f t="shared" si="10"/>
        <v>-707.54999999999563</v>
      </c>
      <c r="J165" s="15">
        <f t="shared" si="14"/>
        <v>2.7700342725176963E-2</v>
      </c>
      <c r="L165" s="15">
        <f t="shared" si="11"/>
        <v>0.54059858860282839</v>
      </c>
      <c r="M165" s="16">
        <v>77.03190016129949</v>
      </c>
      <c r="N165" s="16">
        <f>G165*$O$6/'[2]Used Cooking Oil Complex'!$AZ$26</f>
        <v>4.506963629966039E-2</v>
      </c>
      <c r="O165" s="16"/>
      <c r="R165" s="18">
        <f t="shared" si="12"/>
        <v>0.53023415554446773</v>
      </c>
      <c r="S165" s="18">
        <f t="shared" si="13"/>
        <v>0.46976595215138078</v>
      </c>
    </row>
    <row r="166" spans="1:19" x14ac:dyDescent="0.2">
      <c r="A166" s="13">
        <v>40299</v>
      </c>
      <c r="B166" s="14">
        <v>51718.05</v>
      </c>
      <c r="C166" s="14">
        <v>45259.38</v>
      </c>
      <c r="D166" s="14">
        <v>96977.42</v>
      </c>
      <c r="E166" s="14">
        <v>27947.45</v>
      </c>
      <c r="F166" s="14">
        <v>24438.880000000001</v>
      </c>
      <c r="G166" s="14">
        <v>52386.34</v>
      </c>
      <c r="I166" s="14">
        <f t="shared" si="10"/>
        <v>2189.5499999999956</v>
      </c>
      <c r="J166" s="15">
        <f t="shared" si="14"/>
        <v>8.63707033901151E-3</v>
      </c>
      <c r="L166" s="15">
        <f t="shared" si="11"/>
        <v>0.54019110840440998</v>
      </c>
      <c r="M166" s="16">
        <v>80.391979500997763</v>
      </c>
      <c r="N166" s="16">
        <f>G166*$O$6/'[2]Used Cooking Oil Complex'!$AZ$26</f>
        <v>4.7035543325984606E-2</v>
      </c>
      <c r="O166" s="16"/>
      <c r="R166" s="18">
        <f t="shared" si="12"/>
        <v>0.53329991661976572</v>
      </c>
      <c r="S166" s="18">
        <f t="shared" si="13"/>
        <v>0.46670018649702166</v>
      </c>
    </row>
    <row r="167" spans="1:19" x14ac:dyDescent="0.2">
      <c r="A167" s="13">
        <v>40330</v>
      </c>
      <c r="B167" s="14">
        <v>49860.47</v>
      </c>
      <c r="C167" s="14">
        <v>44101.64</v>
      </c>
      <c r="D167" s="14">
        <v>93962.11</v>
      </c>
      <c r="E167" s="14">
        <v>26997.7</v>
      </c>
      <c r="F167" s="14">
        <v>23790.11</v>
      </c>
      <c r="G167" s="14">
        <v>50787.81</v>
      </c>
      <c r="I167" s="14">
        <f t="shared" si="10"/>
        <v>-1598.5299999999988</v>
      </c>
      <c r="J167" s="15">
        <f t="shared" si="14"/>
        <v>1.5408118097116175E-2</v>
      </c>
      <c r="L167" s="15">
        <f t="shared" si="11"/>
        <v>0.54051372409580833</v>
      </c>
      <c r="M167" s="16">
        <v>77.938878349214121</v>
      </c>
      <c r="N167" s="16">
        <f>G167*$O$6/'[2]Used Cooking Oil Complex'!$AZ$26</f>
        <v>4.5600288886127077E-2</v>
      </c>
      <c r="O167" s="16"/>
      <c r="R167" s="18">
        <f t="shared" si="12"/>
        <v>0.53064442678011381</v>
      </c>
      <c r="S167" s="18">
        <f t="shared" si="13"/>
        <v>0.46935557321988619</v>
      </c>
    </row>
    <row r="168" spans="1:19" x14ac:dyDescent="0.2">
      <c r="A168" s="13">
        <v>40360</v>
      </c>
      <c r="B168" s="14">
        <v>51283.7</v>
      </c>
      <c r="C168" s="14">
        <v>45754.82</v>
      </c>
      <c r="D168" s="14">
        <v>97038.52</v>
      </c>
      <c r="E168" s="14">
        <v>27781.87</v>
      </c>
      <c r="F168" s="14">
        <v>24691.42</v>
      </c>
      <c r="G168" s="14">
        <v>52473.29</v>
      </c>
      <c r="I168" s="14">
        <f t="shared" si="10"/>
        <v>1685.4800000000032</v>
      </c>
      <c r="J168" s="15">
        <f t="shared" si="14"/>
        <v>2.1804927528837892E-2</v>
      </c>
      <c r="L168" s="15">
        <f t="shared" si="11"/>
        <v>0.540747014690661</v>
      </c>
      <c r="M168" s="16">
        <v>80.525412808566344</v>
      </c>
      <c r="N168" s="16">
        <f>G168*$O$6/'[2]Used Cooking Oil Complex'!$AZ$26</f>
        <v>4.7113612160192053E-2</v>
      </c>
      <c r="O168" s="16"/>
      <c r="R168" s="18">
        <f t="shared" si="12"/>
        <v>0.52848806844951879</v>
      </c>
      <c r="S168" s="18">
        <f t="shared" si="13"/>
        <v>0.47151193155048116</v>
      </c>
    </row>
    <row r="169" spans="1:19" x14ac:dyDescent="0.2">
      <c r="A169" s="13">
        <v>40391</v>
      </c>
      <c r="B169" s="14">
        <v>50499.040000000001</v>
      </c>
      <c r="C169" s="14">
        <v>44995.25</v>
      </c>
      <c r="D169" s="14">
        <v>95494.29</v>
      </c>
      <c r="E169" s="14">
        <v>27340.79</v>
      </c>
      <c r="F169" s="14">
        <v>24205.16</v>
      </c>
      <c r="G169" s="14">
        <v>51545.95</v>
      </c>
      <c r="I169" s="14">
        <f t="shared" si="10"/>
        <v>-927.34000000000378</v>
      </c>
      <c r="J169" s="15">
        <f t="shared" si="14"/>
        <v>1.1397808616334437E-2</v>
      </c>
      <c r="L169" s="15">
        <f t="shared" si="11"/>
        <v>0.53978044132272207</v>
      </c>
      <c r="M169" s="16">
        <v>79.102318576931623</v>
      </c>
      <c r="N169" s="16">
        <f>G169*$O$6/'[2]Used Cooking Oil Complex'!$AZ$26</f>
        <v>4.6280991657444218E-2</v>
      </c>
      <c r="O169" s="16"/>
      <c r="R169" s="18">
        <f t="shared" si="12"/>
        <v>0.5288173774578564</v>
      </c>
      <c r="S169" s="18">
        <f t="shared" si="13"/>
        <v>0.47118262254214366</v>
      </c>
    </row>
    <row r="170" spans="1:19" x14ac:dyDescent="0.2">
      <c r="A170" s="13">
        <v>40422</v>
      </c>
      <c r="B170" s="14">
        <v>48924.76</v>
      </c>
      <c r="C170" s="14">
        <v>42482.82</v>
      </c>
      <c r="D170" s="14">
        <v>91407.59</v>
      </c>
      <c r="E170" s="14">
        <v>26393</v>
      </c>
      <c r="F170" s="14">
        <v>22787.88</v>
      </c>
      <c r="G170" s="14">
        <v>49180.89</v>
      </c>
      <c r="I170" s="14">
        <f t="shared" si="10"/>
        <v>-2365.0599999999977</v>
      </c>
      <c r="J170" s="15">
        <f t="shared" si="14"/>
        <v>2.0823763716163013E-2</v>
      </c>
      <c r="L170" s="15">
        <f t="shared" si="11"/>
        <v>0.53803945602329084</v>
      </c>
      <c r="M170" s="16">
        <v>75.472901919103847</v>
      </c>
      <c r="N170" s="16">
        <f>G170*$O$6/'[2]Used Cooking Oil Complex'!$AZ$26</f>
        <v>4.4157501409823316E-2</v>
      </c>
      <c r="O170" s="16"/>
      <c r="R170" s="18">
        <f t="shared" si="12"/>
        <v>0.53523739111817747</v>
      </c>
      <c r="S170" s="18">
        <f t="shared" si="13"/>
        <v>0.464762499481717</v>
      </c>
    </row>
    <row r="171" spans="1:19" x14ac:dyDescent="0.2">
      <c r="A171" s="13">
        <v>40452</v>
      </c>
      <c r="B171" s="14">
        <v>50682.61</v>
      </c>
      <c r="C171" s="14">
        <v>44332.12</v>
      </c>
      <c r="D171" s="14">
        <v>95014.73</v>
      </c>
      <c r="E171" s="14">
        <v>27273.54</v>
      </c>
      <c r="F171" s="14">
        <v>23757.67</v>
      </c>
      <c r="G171" s="14">
        <v>51031.199999999997</v>
      </c>
      <c r="I171" s="14">
        <f t="shared" si="10"/>
        <v>1850.3099999999977</v>
      </c>
      <c r="J171" s="15">
        <f t="shared" si="14"/>
        <v>1.4834168104132184E-2</v>
      </c>
      <c r="L171" s="15">
        <f t="shared" si="11"/>
        <v>0.53708724952436326</v>
      </c>
      <c r="M171" s="16">
        <v>78.312384188536882</v>
      </c>
      <c r="N171" s="16">
        <f>G171*$O$6/'[2]Used Cooking Oil Complex'!$AZ$26</f>
        <v>4.5818818771782607E-2</v>
      </c>
      <c r="O171" s="16"/>
      <c r="R171" s="18">
        <f t="shared" si="12"/>
        <v>0.53341844996033771</v>
      </c>
      <c r="S171" s="18">
        <f t="shared" si="13"/>
        <v>0.46658155003966234</v>
      </c>
    </row>
    <row r="172" spans="1:19" x14ac:dyDescent="0.2">
      <c r="A172" s="13">
        <v>40483</v>
      </c>
      <c r="B172" s="14">
        <v>52011.22</v>
      </c>
      <c r="C172" s="14">
        <v>41771.79</v>
      </c>
      <c r="D172" s="14">
        <v>93783.02</v>
      </c>
      <c r="E172" s="14">
        <v>28009.18</v>
      </c>
      <c r="F172" s="14">
        <v>22363.45</v>
      </c>
      <c r="G172" s="14">
        <v>50372.63</v>
      </c>
      <c r="I172" s="14">
        <f t="shared" si="10"/>
        <v>-658.56999999999971</v>
      </c>
      <c r="J172" s="15">
        <f t="shared" si="14"/>
        <v>2.4991016281387557E-2</v>
      </c>
      <c r="L172" s="15">
        <f t="shared" si="11"/>
        <v>0.53711887290471128</v>
      </c>
      <c r="M172" s="16">
        <v>77.301743896812511</v>
      </c>
      <c r="N172" s="16">
        <f>G172*$O$6/'[2]Used Cooking Oil Complex'!$AZ$26</f>
        <v>4.5227515814404901E-2</v>
      </c>
      <c r="O172" s="16"/>
      <c r="R172" s="18">
        <f t="shared" si="12"/>
        <v>0.55459101231758157</v>
      </c>
      <c r="S172" s="18">
        <f t="shared" si="13"/>
        <v>0.44540888105330795</v>
      </c>
    </row>
    <row r="173" spans="1:19" x14ac:dyDescent="0.2">
      <c r="A173" s="13">
        <v>40513</v>
      </c>
      <c r="B173" s="14">
        <v>58440.2</v>
      </c>
      <c r="C173" s="14">
        <v>44413.98</v>
      </c>
      <c r="D173" s="14">
        <v>102854.17</v>
      </c>
      <c r="E173" s="14">
        <v>31410.83</v>
      </c>
      <c r="F173" s="14">
        <v>23756.07</v>
      </c>
      <c r="G173" s="14">
        <v>55166.9</v>
      </c>
      <c r="I173" s="14">
        <f t="shared" si="10"/>
        <v>4794.2700000000041</v>
      </c>
      <c r="J173" s="15">
        <f t="shared" si="14"/>
        <v>2.5905905176197397E-2</v>
      </c>
      <c r="L173" s="15">
        <f t="shared" si="11"/>
        <v>0.53636036341550375</v>
      </c>
      <c r="M173" s="16">
        <v>84.659021682629358</v>
      </c>
      <c r="N173" s="16">
        <f>G173*$O$6/'[2]Used Cooking Oil Complex'!$AZ$26</f>
        <v>4.9532093960186201E-2</v>
      </c>
      <c r="O173" s="16"/>
      <c r="R173" s="18">
        <f t="shared" si="12"/>
        <v>0.56818503323686342</v>
      </c>
      <c r="S173" s="18">
        <f t="shared" si="13"/>
        <v>0.43181506398816893</v>
      </c>
    </row>
    <row r="174" spans="1:19" x14ac:dyDescent="0.2">
      <c r="A174" s="13">
        <v>40544</v>
      </c>
      <c r="B174" s="14">
        <v>50294.93</v>
      </c>
      <c r="C174" s="14">
        <v>41467.339999999997</v>
      </c>
      <c r="D174" s="14">
        <v>91762.27</v>
      </c>
      <c r="E174" s="14">
        <v>26662.959999999999</v>
      </c>
      <c r="F174" s="14">
        <v>22137.93</v>
      </c>
      <c r="G174" s="14">
        <v>48800.89</v>
      </c>
      <c r="I174" s="14">
        <f t="shared" si="10"/>
        <v>-6366.010000000002</v>
      </c>
      <c r="J174" s="15">
        <f t="shared" si="14"/>
        <v>1.7615902877840428E-2</v>
      </c>
      <c r="L174" s="15">
        <f t="shared" si="11"/>
        <v>0.53181868757170014</v>
      </c>
      <c r="M174" s="16">
        <v>74.889754628982416</v>
      </c>
      <c r="N174" s="16">
        <f>G174*$O$6/'[2]Used Cooking Oil Complex'!$AZ$26</f>
        <v>4.3816315015357231E-2</v>
      </c>
      <c r="O174" s="16"/>
      <c r="R174" s="18">
        <f t="shared" si="12"/>
        <v>0.54810032489388061</v>
      </c>
      <c r="S174" s="18">
        <f t="shared" si="13"/>
        <v>0.45189967510611928</v>
      </c>
    </row>
    <row r="175" spans="1:19" x14ac:dyDescent="0.2">
      <c r="A175" s="13">
        <v>40575</v>
      </c>
      <c r="B175" s="14">
        <v>48123.74</v>
      </c>
      <c r="C175" s="14">
        <v>41742.230000000003</v>
      </c>
      <c r="D175" s="14">
        <v>89865.97</v>
      </c>
      <c r="E175" s="14">
        <v>25370.68</v>
      </c>
      <c r="F175" s="14">
        <v>22243.25</v>
      </c>
      <c r="G175" s="14">
        <v>47613.93</v>
      </c>
      <c r="I175" s="14">
        <f t="shared" si="10"/>
        <v>-1186.9599999999991</v>
      </c>
      <c r="J175" s="15">
        <f t="shared" si="14"/>
        <v>2.2084300290672321E-2</v>
      </c>
      <c r="L175" s="15">
        <f t="shared" si="11"/>
        <v>0.52983270530546767</v>
      </c>
      <c r="M175" s="16">
        <v>73.068248030344222</v>
      </c>
      <c r="N175" s="16">
        <f>G175*$O$6/'[2]Used Cooking Oil Complex'!$AZ$26</f>
        <v>4.2750592376474446E-2</v>
      </c>
      <c r="O175" s="16"/>
      <c r="R175" s="18">
        <f t="shared" si="12"/>
        <v>0.53550570922452623</v>
      </c>
      <c r="S175" s="18">
        <f t="shared" si="13"/>
        <v>0.46449429077547377</v>
      </c>
    </row>
    <row r="176" spans="1:19" x14ac:dyDescent="0.2">
      <c r="A176" s="13">
        <v>40603</v>
      </c>
      <c r="B176" s="14">
        <v>52509.66</v>
      </c>
      <c r="C176" s="14">
        <v>46622.31</v>
      </c>
      <c r="D176" s="14">
        <v>99131.97</v>
      </c>
      <c r="E176" s="14">
        <v>27411.71</v>
      </c>
      <c r="F176" s="14">
        <v>24770.46</v>
      </c>
      <c r="G176" s="14">
        <v>52182.17</v>
      </c>
      <c r="I176" s="14">
        <f t="shared" si="10"/>
        <v>4568.239999999998</v>
      </c>
      <c r="J176" s="15">
        <f t="shared" si="14"/>
        <v>2.5102574750993867E-2</v>
      </c>
      <c r="L176" s="15">
        <f t="shared" si="11"/>
        <v>0.52639093120009617</v>
      </c>
      <c r="M176" s="16">
        <v>80.078660600408071</v>
      </c>
      <c r="N176" s="16">
        <f>G176*$O$6/'[2]Used Cooking Oil Complex'!$AZ$26</f>
        <v>4.6852227467673715E-2</v>
      </c>
      <c r="O176" s="16"/>
      <c r="R176" s="18">
        <f t="shared" si="12"/>
        <v>0.52969450723111833</v>
      </c>
      <c r="S176" s="18">
        <f t="shared" si="13"/>
        <v>0.47030549276888167</v>
      </c>
    </row>
    <row r="177" spans="1:19" x14ac:dyDescent="0.2">
      <c r="A177" s="13">
        <v>40634</v>
      </c>
      <c r="B177" s="14">
        <v>52989.120000000003</v>
      </c>
      <c r="C177" s="14">
        <v>46445.39</v>
      </c>
      <c r="D177" s="14">
        <v>99434.52</v>
      </c>
      <c r="E177" s="14">
        <v>27562.94</v>
      </c>
      <c r="F177" s="14">
        <v>24590.66</v>
      </c>
      <c r="G177" s="14">
        <v>52153.61</v>
      </c>
      <c r="I177" s="14">
        <f t="shared" si="10"/>
        <v>-28.559999999997672</v>
      </c>
      <c r="J177" s="15">
        <f t="shared" si="14"/>
        <v>3.898297082343305E-2</v>
      </c>
      <c r="L177" s="15">
        <f t="shared" si="11"/>
        <v>0.52450205421618168</v>
      </c>
      <c r="M177" s="16">
        <v>80.034832477761043</v>
      </c>
      <c r="N177" s="16">
        <f>G177*$O$6/'[2]Used Cooking Oil Complex'!$AZ$26</f>
        <v>4.6826584616552792E-2</v>
      </c>
      <c r="O177" s="16"/>
      <c r="R177" s="18">
        <f t="shared" si="12"/>
        <v>0.53290466932409386</v>
      </c>
      <c r="S177" s="18">
        <f t="shared" si="13"/>
        <v>0.46709523010721021</v>
      </c>
    </row>
    <row r="178" spans="1:19" x14ac:dyDescent="0.2">
      <c r="A178" s="13">
        <v>40664</v>
      </c>
      <c r="B178" s="14">
        <v>53985.59</v>
      </c>
      <c r="C178" s="14">
        <v>47958.21</v>
      </c>
      <c r="D178" s="14">
        <v>101943.8</v>
      </c>
      <c r="E178" s="14">
        <v>27941.33</v>
      </c>
      <c r="F178" s="14">
        <v>25345.47</v>
      </c>
      <c r="G178" s="14">
        <v>53286.8</v>
      </c>
      <c r="I178" s="14">
        <f t="shared" si="10"/>
        <v>1133.1900000000023</v>
      </c>
      <c r="J178" s="15">
        <f t="shared" si="14"/>
        <v>1.7188832050492708E-2</v>
      </c>
      <c r="L178" s="15">
        <f t="shared" si="11"/>
        <v>0.52270760948679573</v>
      </c>
      <c r="M178" s="16">
        <v>81.773823734847056</v>
      </c>
      <c r="N178" s="16">
        <f>G178*$O$6/'[2]Used Cooking Oil Complex'!$AZ$26</f>
        <v>4.784402938061863E-2</v>
      </c>
      <c r="O178" s="16"/>
      <c r="R178" s="18">
        <f t="shared" si="12"/>
        <v>0.52956226862251554</v>
      </c>
      <c r="S178" s="18">
        <f t="shared" si="13"/>
        <v>0.47043773137748446</v>
      </c>
    </row>
    <row r="179" spans="1:19" x14ac:dyDescent="0.2">
      <c r="A179" s="13">
        <v>40695</v>
      </c>
      <c r="B179" s="14">
        <v>53350.04</v>
      </c>
      <c r="C179" s="14">
        <v>47246.28</v>
      </c>
      <c r="D179" s="14">
        <v>100596.32</v>
      </c>
      <c r="E179" s="14">
        <v>27583.99</v>
      </c>
      <c r="F179" s="14">
        <v>24904.82</v>
      </c>
      <c r="G179" s="14">
        <v>52488.82</v>
      </c>
      <c r="I179" s="14">
        <f t="shared" si="10"/>
        <v>-797.9800000000032</v>
      </c>
      <c r="J179" s="15">
        <f t="shared" si="14"/>
        <v>3.3492485696863028E-2</v>
      </c>
      <c r="L179" s="15">
        <f t="shared" si="11"/>
        <v>0.52177674093843585</v>
      </c>
      <c r="M179" s="16">
        <v>80.549245117554733</v>
      </c>
      <c r="N179" s="16">
        <f>G179*$O$6/'[2]Used Cooking Oil Complex'!$AZ$26</f>
        <v>4.7127555909418514E-2</v>
      </c>
      <c r="O179" s="16"/>
      <c r="R179" s="18">
        <f t="shared" si="12"/>
        <v>0.53033788909972057</v>
      </c>
      <c r="S179" s="18">
        <f t="shared" si="13"/>
        <v>0.46966211090027943</v>
      </c>
    </row>
    <row r="180" spans="1:19" x14ac:dyDescent="0.2">
      <c r="A180" s="13">
        <v>40725</v>
      </c>
      <c r="B180" s="14">
        <v>54356.04</v>
      </c>
      <c r="C180" s="14">
        <v>48577.97</v>
      </c>
      <c r="D180" s="14">
        <v>102934</v>
      </c>
      <c r="E180" s="14">
        <v>27942.73</v>
      </c>
      <c r="F180" s="14">
        <v>25553.39</v>
      </c>
      <c r="G180" s="14">
        <v>53496.13</v>
      </c>
      <c r="I180" s="14">
        <f t="shared" si="10"/>
        <v>1007.3099999999977</v>
      </c>
      <c r="J180" s="15">
        <f t="shared" si="14"/>
        <v>1.9492583750704284E-2</v>
      </c>
      <c r="L180" s="15">
        <f t="shared" si="11"/>
        <v>0.51971292284376391</v>
      </c>
      <c r="M180" s="16">
        <v>82.095061161797361</v>
      </c>
      <c r="N180" s="16">
        <f>G180*$O$6/'[2]Used Cooking Oil Complex'!$AZ$26</f>
        <v>4.8031978191022791E-2</v>
      </c>
      <c r="O180" s="16"/>
      <c r="R180" s="18">
        <f t="shared" si="12"/>
        <v>0.52806691666504757</v>
      </c>
      <c r="S180" s="18">
        <f t="shared" si="13"/>
        <v>0.47193318048458238</v>
      </c>
    </row>
    <row r="181" spans="1:19" x14ac:dyDescent="0.2">
      <c r="A181" s="13">
        <v>40756</v>
      </c>
      <c r="B181" s="14">
        <v>54037.14</v>
      </c>
      <c r="C181" s="14">
        <v>47686.68</v>
      </c>
      <c r="D181" s="14">
        <v>101723.83</v>
      </c>
      <c r="E181" s="14">
        <v>27600.83</v>
      </c>
      <c r="F181" s="14">
        <v>24983.9</v>
      </c>
      <c r="G181" s="14">
        <v>52584.73</v>
      </c>
      <c r="I181" s="14">
        <f t="shared" si="10"/>
        <v>-911.39999999999418</v>
      </c>
      <c r="J181" s="15">
        <f t="shared" si="14"/>
        <v>2.0152504706965502E-2</v>
      </c>
      <c r="L181" s="15">
        <f t="shared" si="11"/>
        <v>0.51693619872551011</v>
      </c>
      <c r="M181" s="16">
        <v>80.696428424385118</v>
      </c>
      <c r="N181" s="16">
        <f>G181*$O$6/'[2]Used Cooking Oil Complex'!$AZ$26</f>
        <v>4.7213669559663898E-2</v>
      </c>
      <c r="O181" s="16"/>
      <c r="R181" s="18">
        <f t="shared" si="12"/>
        <v>0.53121417076018473</v>
      </c>
      <c r="S181" s="18">
        <f t="shared" si="13"/>
        <v>0.46878573093443293</v>
      </c>
    </row>
    <row r="182" spans="1:19" x14ac:dyDescent="0.2">
      <c r="A182" s="13">
        <v>40787</v>
      </c>
      <c r="B182" s="14">
        <v>51913.54</v>
      </c>
      <c r="C182" s="14">
        <v>45953.94</v>
      </c>
      <c r="D182" s="14">
        <v>97867.48</v>
      </c>
      <c r="E182" s="14">
        <v>26356.29</v>
      </c>
      <c r="F182" s="14">
        <v>24022.46</v>
      </c>
      <c r="G182" s="14">
        <v>50378.75</v>
      </c>
      <c r="I182" s="14">
        <f t="shared" si="10"/>
        <v>-2205.9800000000032</v>
      </c>
      <c r="J182" s="15">
        <f t="shared" si="14"/>
        <v>2.4356208275206015E-2</v>
      </c>
      <c r="L182" s="15">
        <f t="shared" si="11"/>
        <v>0.51476496584973885</v>
      </c>
      <c r="M182" s="16">
        <v>77.311135637379735</v>
      </c>
      <c r="N182" s="16">
        <f>G182*$O$6/'[2]Used Cooking Oil Complex'!$AZ$26</f>
        <v>4.5233010711073676E-2</v>
      </c>
      <c r="O182" s="16"/>
      <c r="R182" s="18">
        <f t="shared" si="12"/>
        <v>0.53044729464782381</v>
      </c>
      <c r="S182" s="18">
        <f t="shared" si="13"/>
        <v>0.46955270535217625</v>
      </c>
    </row>
    <row r="183" spans="1:19" x14ac:dyDescent="0.2">
      <c r="A183" s="13">
        <v>40817</v>
      </c>
      <c r="B183" s="14">
        <v>53421.18</v>
      </c>
      <c r="C183" s="14">
        <v>46953.96</v>
      </c>
      <c r="D183" s="14">
        <v>100375.15</v>
      </c>
      <c r="E183" s="14">
        <v>27067.87</v>
      </c>
      <c r="F183" s="14">
        <v>24500.33</v>
      </c>
      <c r="G183" s="14">
        <v>51568.2</v>
      </c>
      <c r="I183" s="14">
        <f t="shared" si="10"/>
        <v>1189.4499999999971</v>
      </c>
      <c r="J183" s="15">
        <f t="shared" si="14"/>
        <v>1.0522974180501299E-2</v>
      </c>
      <c r="L183" s="15">
        <f t="shared" si="11"/>
        <v>0.51375464943265337</v>
      </c>
      <c r="M183" s="16">
        <v>79.136463385366355</v>
      </c>
      <c r="N183" s="16">
        <f>G183*$O$6/'[2]Used Cooking Oil Complex'!$AZ$26</f>
        <v>4.6300969018699144E-2</v>
      </c>
      <c r="O183" s="16"/>
      <c r="R183" s="18">
        <f t="shared" si="12"/>
        <v>0.53221519469709389</v>
      </c>
      <c r="S183" s="18">
        <f t="shared" si="13"/>
        <v>0.46778470567665403</v>
      </c>
    </row>
    <row r="184" spans="1:19" x14ac:dyDescent="0.2">
      <c r="A184" s="13">
        <v>40848</v>
      </c>
      <c r="B184" s="14">
        <v>54764.13</v>
      </c>
      <c r="C184" s="14">
        <v>44371.71</v>
      </c>
      <c r="D184" s="14">
        <v>99135.84</v>
      </c>
      <c r="E184" s="14">
        <v>27847.040000000001</v>
      </c>
      <c r="F184" s="14">
        <v>23094.85</v>
      </c>
      <c r="G184" s="14">
        <v>50941.89</v>
      </c>
      <c r="I184" s="14">
        <f t="shared" si="10"/>
        <v>-626.30999999999767</v>
      </c>
      <c r="J184" s="15">
        <f t="shared" si="14"/>
        <v>1.1300978328905975E-2</v>
      </c>
      <c r="L184" s="15">
        <f t="shared" si="11"/>
        <v>0.51385946797848292</v>
      </c>
      <c r="M184" s="16">
        <v>78.175329229377041</v>
      </c>
      <c r="N184" s="16">
        <f>G184*$O$6/'[2]Used Cooking Oil Complex'!$AZ$26</f>
        <v>4.5738630990493752E-2</v>
      </c>
      <c r="O184" s="16"/>
      <c r="R184" s="18">
        <f t="shared" si="12"/>
        <v>0.55241504989517409</v>
      </c>
      <c r="S184" s="18">
        <f t="shared" si="13"/>
        <v>0.44758495010482585</v>
      </c>
    </row>
    <row r="185" spans="1:19" x14ac:dyDescent="0.2">
      <c r="A185" s="13">
        <v>40878</v>
      </c>
      <c r="B185" s="14">
        <v>60969.98</v>
      </c>
      <c r="C185" s="14">
        <v>47875.32</v>
      </c>
      <c r="D185" s="14">
        <v>108845.3</v>
      </c>
      <c r="E185" s="14">
        <v>30921.5</v>
      </c>
      <c r="F185" s="14">
        <v>24877.09</v>
      </c>
      <c r="G185" s="14">
        <v>55798.59</v>
      </c>
      <c r="I185" s="14">
        <f t="shared" si="10"/>
        <v>4856.6999999999971</v>
      </c>
      <c r="J185" s="15">
        <f t="shared" si="14"/>
        <v>1.145052558690085E-2</v>
      </c>
      <c r="L185" s="15">
        <f t="shared" si="11"/>
        <v>0.51264124404085432</v>
      </c>
      <c r="M185" s="16">
        <v>85.628411976568302</v>
      </c>
      <c r="N185" s="16">
        <f>G185*$O$6/'[2]Used Cooking Oil Complex'!$AZ$26</f>
        <v>5.0099262469450082E-2</v>
      </c>
      <c r="O185" s="16"/>
      <c r="R185" s="18">
        <f t="shared" si="12"/>
        <v>0.56015262027850543</v>
      </c>
      <c r="S185" s="18">
        <f t="shared" si="13"/>
        <v>0.43984737972149462</v>
      </c>
    </row>
    <row r="186" spans="1:19" x14ac:dyDescent="0.2">
      <c r="A186" s="13">
        <v>40909</v>
      </c>
      <c r="B186" s="14">
        <v>53531.81</v>
      </c>
      <c r="C186" s="14">
        <v>44638.38</v>
      </c>
      <c r="D186" s="14">
        <v>98170.19</v>
      </c>
      <c r="E186" s="14">
        <v>26941.52</v>
      </c>
      <c r="F186" s="14">
        <v>23111.24</v>
      </c>
      <c r="G186" s="14">
        <v>50052.77</v>
      </c>
      <c r="I186" s="14">
        <f t="shared" si="10"/>
        <v>-5745.82</v>
      </c>
      <c r="J186" s="15">
        <f t="shared" si="14"/>
        <v>2.5652810840130158E-2</v>
      </c>
      <c r="L186" s="15">
        <f t="shared" si="11"/>
        <v>0.50985711650349252</v>
      </c>
      <c r="M186" s="16">
        <v>76.810887338343463</v>
      </c>
      <c r="N186" s="16">
        <f>G186*$O$6/'[2]Used Cooking Oil Complex'!$AZ$26</f>
        <v>4.4940326656157749E-2</v>
      </c>
      <c r="O186" s="16"/>
      <c r="R186" s="18">
        <f t="shared" si="12"/>
        <v>0.54529598037856497</v>
      </c>
      <c r="S186" s="18">
        <f t="shared" si="13"/>
        <v>0.45470401962143492</v>
      </c>
    </row>
    <row r="187" spans="1:19" x14ac:dyDescent="0.2">
      <c r="A187" s="13">
        <v>40940</v>
      </c>
      <c r="B187" s="14">
        <v>53543.8</v>
      </c>
      <c r="C187" s="14">
        <v>45901.84</v>
      </c>
      <c r="D187" s="14">
        <v>99445.65</v>
      </c>
      <c r="E187" s="14">
        <v>27007.47</v>
      </c>
      <c r="F187" s="14">
        <v>23731.61</v>
      </c>
      <c r="G187" s="14">
        <v>50739.08</v>
      </c>
      <c r="I187" s="14">
        <f t="shared" si="10"/>
        <v>686.31000000000495</v>
      </c>
      <c r="J187" s="15">
        <f t="shared" si="14"/>
        <v>6.5635203815354037E-2</v>
      </c>
      <c r="L187" s="15">
        <f t="shared" si="11"/>
        <v>0.51021920013595368</v>
      </c>
      <c r="M187" s="16">
        <v>77.864097382246726</v>
      </c>
      <c r="N187" s="16">
        <f>G187*$O$6/'[2]Used Cooking Oil Complex'!$AZ$26</f>
        <v>4.555653622033147E-2</v>
      </c>
      <c r="O187" s="16"/>
      <c r="R187" s="18">
        <f t="shared" si="12"/>
        <v>0.53842274649519617</v>
      </c>
      <c r="S187" s="18">
        <f t="shared" si="13"/>
        <v>0.46157715294736368</v>
      </c>
    </row>
    <row r="188" spans="1:19" x14ac:dyDescent="0.2">
      <c r="A188" s="13">
        <v>40969</v>
      </c>
      <c r="B188" s="14">
        <v>57299.78</v>
      </c>
      <c r="C188" s="14">
        <v>50723.55</v>
      </c>
      <c r="D188" s="14">
        <v>108023.33</v>
      </c>
      <c r="E188" s="14">
        <v>28876.63</v>
      </c>
      <c r="F188" s="14">
        <v>26172.26</v>
      </c>
      <c r="G188" s="14">
        <v>55048.88</v>
      </c>
      <c r="I188" s="14">
        <f t="shared" si="10"/>
        <v>4309.7999999999956</v>
      </c>
      <c r="J188" s="15">
        <f t="shared" si="14"/>
        <v>5.4936580828279125E-2</v>
      </c>
      <c r="L188" s="15">
        <f t="shared" si="11"/>
        <v>0.50960176843280058</v>
      </c>
      <c r="M188" s="16">
        <v>84.477908411102717</v>
      </c>
      <c r="N188" s="16">
        <f>G188*$O$6/'[2]Used Cooking Oil Complex'!$AZ$26</f>
        <v>4.9426128648936488E-2</v>
      </c>
      <c r="O188" s="16"/>
      <c r="R188" s="18">
        <f t="shared" si="12"/>
        <v>0.53043893388585595</v>
      </c>
      <c r="S188" s="18">
        <f t="shared" si="13"/>
        <v>0.46956106611414405</v>
      </c>
    </row>
    <row r="189" spans="1:19" x14ac:dyDescent="0.2">
      <c r="A189" s="13">
        <v>41000</v>
      </c>
      <c r="B189" s="14">
        <v>55226.5</v>
      </c>
      <c r="C189" s="14">
        <v>48846.31</v>
      </c>
      <c r="D189" s="14">
        <v>104072.81</v>
      </c>
      <c r="E189" s="14">
        <v>27792.38</v>
      </c>
      <c r="F189" s="14">
        <v>25137.41</v>
      </c>
      <c r="G189" s="14">
        <v>52929.79</v>
      </c>
      <c r="I189" s="14">
        <f t="shared" si="10"/>
        <v>-2119.0899999999965</v>
      </c>
      <c r="J189" s="15">
        <f t="shared" si="14"/>
        <v>1.4882574763281031E-2</v>
      </c>
      <c r="L189" s="15">
        <f t="shared" si="11"/>
        <v>0.50858423059779012</v>
      </c>
      <c r="M189" s="16">
        <v>81.225956855777994</v>
      </c>
      <c r="N189" s="16">
        <f>G189*$O$6/'[2]Used Cooking Oil Complex'!$AZ$26</f>
        <v>4.7523484763017751E-2</v>
      </c>
      <c r="O189" s="16"/>
      <c r="R189" s="18">
        <f t="shared" si="12"/>
        <v>0.53065253066579066</v>
      </c>
      <c r="S189" s="18">
        <f t="shared" si="13"/>
        <v>0.4693474693342094</v>
      </c>
    </row>
    <row r="190" spans="1:19" x14ac:dyDescent="0.2">
      <c r="A190" s="13">
        <v>41030</v>
      </c>
      <c r="B190" s="14">
        <v>58159.79</v>
      </c>
      <c r="C190" s="14">
        <v>50811.12</v>
      </c>
      <c r="D190" s="14">
        <v>108970.91</v>
      </c>
      <c r="E190" s="14">
        <v>29292.94</v>
      </c>
      <c r="F190" s="14">
        <v>26086.06</v>
      </c>
      <c r="G190" s="14">
        <v>55379</v>
      </c>
      <c r="I190" s="14">
        <f t="shared" si="10"/>
        <v>2449.2099999999991</v>
      </c>
      <c r="J190" s="15">
        <f t="shared" si="14"/>
        <v>3.9263006973584424E-2</v>
      </c>
      <c r="L190" s="15">
        <f t="shared" si="11"/>
        <v>0.50819984893215997</v>
      </c>
      <c r="M190" s="16">
        <v>84.984509946405041</v>
      </c>
      <c r="N190" s="16">
        <f>G190*$O$6/'[2]Used Cooking Oil Complex'!$AZ$26</f>
        <v>4.9722529839834238E-2</v>
      </c>
      <c r="O190" s="16"/>
      <c r="R190" s="18">
        <f t="shared" si="12"/>
        <v>0.53371849422933149</v>
      </c>
      <c r="S190" s="18">
        <f t="shared" si="13"/>
        <v>0.46628150577066851</v>
      </c>
    </row>
    <row r="191" spans="1:19" x14ac:dyDescent="0.2">
      <c r="A191" s="13">
        <v>41061</v>
      </c>
      <c r="B191" s="14">
        <v>56663.18</v>
      </c>
      <c r="C191" s="14">
        <v>50428.959999999999</v>
      </c>
      <c r="D191" s="14">
        <v>107092.14</v>
      </c>
      <c r="E191" s="14">
        <v>28539.52</v>
      </c>
      <c r="F191" s="14">
        <v>25827.05</v>
      </c>
      <c r="G191" s="14">
        <v>54366.58</v>
      </c>
      <c r="I191" s="14">
        <f t="shared" si="10"/>
        <v>-1012.4199999999983</v>
      </c>
      <c r="J191" s="15">
        <f t="shared" si="14"/>
        <v>3.5774475402571504E-2</v>
      </c>
      <c r="L191" s="15">
        <f t="shared" si="11"/>
        <v>0.50766172008515287</v>
      </c>
      <c r="M191" s="16">
        <v>83.430852105708382</v>
      </c>
      <c r="N191" s="16">
        <f>G191*$O$6/'[2]Used Cooking Oil Complex'!$AZ$26</f>
        <v>4.8813519499083316E-2</v>
      </c>
      <c r="O191" s="16"/>
      <c r="R191" s="18">
        <f t="shared" si="12"/>
        <v>0.52910680466372229</v>
      </c>
      <c r="S191" s="18">
        <f t="shared" si="13"/>
        <v>0.47089319533627771</v>
      </c>
    </row>
    <row r="192" spans="1:19" x14ac:dyDescent="0.2">
      <c r="A192" s="13">
        <v>41091</v>
      </c>
      <c r="B192" s="14">
        <v>56545.7</v>
      </c>
      <c r="C192" s="14">
        <v>50258.39</v>
      </c>
      <c r="D192" s="14">
        <v>106804.09</v>
      </c>
      <c r="E192" s="14">
        <v>28506.09</v>
      </c>
      <c r="F192" s="14">
        <v>25685.91</v>
      </c>
      <c r="G192" s="14">
        <v>54192</v>
      </c>
      <c r="I192" s="14">
        <f t="shared" si="10"/>
        <v>-174.58000000000175</v>
      </c>
      <c r="J192" s="15">
        <f t="shared" si="14"/>
        <v>1.3007856830017372E-2</v>
      </c>
      <c r="L192" s="15">
        <f t="shared" si="11"/>
        <v>0.50739629914921802</v>
      </c>
      <c r="M192" s="16">
        <v>83.162941963841561</v>
      </c>
      <c r="N192" s="16">
        <f>G192*$O$6/'[2]Used Cooking Oil Complex'!$AZ$26</f>
        <v>4.8656771286594139E-2</v>
      </c>
      <c r="O192" s="16"/>
      <c r="R192" s="18">
        <f t="shared" si="12"/>
        <v>0.52943384471512278</v>
      </c>
      <c r="S192" s="18">
        <f t="shared" si="13"/>
        <v>0.47056615528487722</v>
      </c>
    </row>
    <row r="193" spans="1:19" x14ac:dyDescent="0.2">
      <c r="A193" s="13">
        <v>41122</v>
      </c>
      <c r="B193" s="14">
        <v>57932.78</v>
      </c>
      <c r="C193" s="14">
        <v>50665.15</v>
      </c>
      <c r="D193" s="14">
        <v>108597.94</v>
      </c>
      <c r="E193" s="14">
        <v>29154.68</v>
      </c>
      <c r="F193" s="14">
        <v>25815.81</v>
      </c>
      <c r="G193" s="14">
        <v>54970.48</v>
      </c>
      <c r="I193" s="14">
        <f t="shared" si="10"/>
        <v>778.4800000000032</v>
      </c>
      <c r="J193" s="15">
        <f t="shared" si="14"/>
        <v>4.5369634873089648E-2</v>
      </c>
      <c r="L193" s="15">
        <f t="shared" si="11"/>
        <v>0.50618345062530656</v>
      </c>
      <c r="M193" s="16">
        <v>84.357595917561881</v>
      </c>
      <c r="N193" s="16">
        <f>G193*$O$6/'[2]Used Cooking Oil Complex'!$AZ$26</f>
        <v>4.9355736508604545E-2</v>
      </c>
      <c r="O193" s="16"/>
      <c r="R193" s="18">
        <f t="shared" si="12"/>
        <v>0.53346113195149003</v>
      </c>
      <c r="S193" s="18">
        <f t="shared" si="13"/>
        <v>0.46653877596573196</v>
      </c>
    </row>
    <row r="194" spans="1:19" x14ac:dyDescent="0.2">
      <c r="A194" s="13">
        <v>41153</v>
      </c>
      <c r="B194" s="14">
        <v>54933.66</v>
      </c>
      <c r="C194" s="14">
        <v>48097.48</v>
      </c>
      <c r="D194" s="14">
        <v>103031.14</v>
      </c>
      <c r="E194" s="14">
        <v>27656.48</v>
      </c>
      <c r="F194" s="14">
        <v>24455.52</v>
      </c>
      <c r="G194" s="14">
        <v>52111.99</v>
      </c>
      <c r="I194" s="14">
        <f t="shared" si="10"/>
        <v>-2858.4900000000052</v>
      </c>
      <c r="J194" s="15">
        <f t="shared" si="14"/>
        <v>3.4404188273825742E-2</v>
      </c>
      <c r="L194" s="15">
        <f t="shared" si="11"/>
        <v>0.50578873532797941</v>
      </c>
      <c r="M194" s="16">
        <v>79.970962503511416</v>
      </c>
      <c r="N194" s="16">
        <f>G194*$O$6/'[2]Used Cooking Oil Complex'!$AZ$26</f>
        <v>4.6789215727769423E-2</v>
      </c>
      <c r="O194" s="16"/>
      <c r="R194" s="18">
        <f t="shared" si="12"/>
        <v>0.53317530991115891</v>
      </c>
      <c r="S194" s="18">
        <f t="shared" si="13"/>
        <v>0.46682469008884114</v>
      </c>
    </row>
    <row r="195" spans="1:19" x14ac:dyDescent="0.2">
      <c r="A195" s="13">
        <v>41183</v>
      </c>
      <c r="B195" s="14">
        <v>56700.02</v>
      </c>
      <c r="C195" s="14">
        <v>48818.9</v>
      </c>
      <c r="D195" s="14">
        <v>105518.92</v>
      </c>
      <c r="E195" s="14">
        <v>28442.48</v>
      </c>
      <c r="F195" s="14">
        <v>24804</v>
      </c>
      <c r="G195" s="14">
        <v>53246.48</v>
      </c>
      <c r="I195" s="14">
        <f t="shared" si="10"/>
        <v>1134.4900000000052</v>
      </c>
      <c r="J195" s="15">
        <f t="shared" si="14"/>
        <v>3.2544862919396289E-2</v>
      </c>
      <c r="L195" s="15">
        <f t="shared" si="11"/>
        <v>0.50461547559432951</v>
      </c>
      <c r="M195" s="16">
        <v>81.711948738168928</v>
      </c>
      <c r="N195" s="16">
        <f>G195*$O$6/'[2]Used Cooking Oil Complex'!$AZ$26</f>
        <v>4.7807827708447916E-2</v>
      </c>
      <c r="O195" s="16"/>
      <c r="R195" s="18">
        <f t="shared" si="12"/>
        <v>0.53734458237442151</v>
      </c>
      <c r="S195" s="18">
        <f t="shared" si="13"/>
        <v>0.46265541762557844</v>
      </c>
    </row>
    <row r="196" spans="1:19" x14ac:dyDescent="0.2">
      <c r="A196" s="13">
        <v>41214</v>
      </c>
      <c r="B196" s="14">
        <v>58348.94</v>
      </c>
      <c r="C196" s="14">
        <v>47747.74</v>
      </c>
      <c r="D196" s="14">
        <v>106096.68</v>
      </c>
      <c r="E196" s="14">
        <v>29289.91</v>
      </c>
      <c r="F196" s="14">
        <v>24229.85</v>
      </c>
      <c r="G196" s="14">
        <v>53519.76</v>
      </c>
      <c r="I196" s="14">
        <f t="shared" si="10"/>
        <v>273.27999999999884</v>
      </c>
      <c r="J196" s="15">
        <f t="shared" si="14"/>
        <v>5.0604129528763142E-2</v>
      </c>
      <c r="L196" s="15">
        <f t="shared" si="11"/>
        <v>0.50444330586027764</v>
      </c>
      <c r="M196" s="16">
        <v>82.131323715654133</v>
      </c>
      <c r="N196" s="16">
        <f>G196*$O$6/'[2]Used Cooking Oil Complex'!$AZ$26</f>
        <v>4.8053194597604994E-2</v>
      </c>
      <c r="O196" s="16"/>
      <c r="R196" s="18">
        <f t="shared" si="12"/>
        <v>0.54996009300196769</v>
      </c>
      <c r="S196" s="18">
        <f t="shared" si="13"/>
        <v>0.45003990699803237</v>
      </c>
    </row>
    <row r="197" spans="1:19" x14ac:dyDescent="0.2">
      <c r="A197" s="13">
        <v>41244</v>
      </c>
      <c r="B197" s="14">
        <v>63761.23</v>
      </c>
      <c r="C197" s="14">
        <v>50759.41</v>
      </c>
      <c r="D197" s="14">
        <v>114520.63</v>
      </c>
      <c r="E197" s="14">
        <v>31923.48</v>
      </c>
      <c r="F197" s="14">
        <v>25723.73</v>
      </c>
      <c r="G197" s="14">
        <v>57647.21</v>
      </c>
      <c r="I197" s="14">
        <f t="shared" si="10"/>
        <v>4127.4499999999971</v>
      </c>
      <c r="J197" s="15">
        <f t="shared" si="14"/>
        <v>3.3130227842674831E-2</v>
      </c>
      <c r="L197" s="15">
        <f t="shared" si="11"/>
        <v>0.50337838693342851</v>
      </c>
      <c r="M197" s="16">
        <v>88.46530077515844</v>
      </c>
      <c r="N197" s="16">
        <f>G197*$O$6/'[2]Used Cooking Oil Complex'!$AZ$26</f>
        <v>5.1759062449812931E-2</v>
      </c>
      <c r="O197" s="16"/>
      <c r="R197" s="18">
        <f t="shared" si="12"/>
        <v>0.55676632236480017</v>
      </c>
      <c r="S197" s="18">
        <f t="shared" si="13"/>
        <v>0.44323376495571148</v>
      </c>
    </row>
    <row r="198" spans="1:19" x14ac:dyDescent="0.2">
      <c r="A198" s="13">
        <v>41275</v>
      </c>
      <c r="B198" s="14">
        <v>55276.72</v>
      </c>
      <c r="C198" s="14">
        <v>48279.25</v>
      </c>
      <c r="D198" s="14">
        <v>103555.97</v>
      </c>
      <c r="E198" s="14">
        <v>27514.83</v>
      </c>
      <c r="F198" s="14">
        <v>24431.23</v>
      </c>
      <c r="G198" s="14">
        <v>51946.06</v>
      </c>
      <c r="I198" s="14">
        <f t="shared" si="10"/>
        <v>-5701.1500000000015</v>
      </c>
      <c r="J198" s="15">
        <f t="shared" si="14"/>
        <v>3.7825878567759652E-2</v>
      </c>
      <c r="L198" s="15">
        <f t="shared" si="11"/>
        <v>0.50162303534986918</v>
      </c>
      <c r="M198" s="16">
        <v>79.716326635485501</v>
      </c>
      <c r="N198" s="16">
        <f>G198*$O$6/'[2]Used Cooking Oil Complex'!$AZ$26</f>
        <v>4.6640233995049012E-2</v>
      </c>
      <c r="O198" s="16"/>
      <c r="R198" s="18">
        <f t="shared" si="12"/>
        <v>0.533785932380335</v>
      </c>
      <c r="S198" s="18">
        <f t="shared" si="13"/>
        <v>0.466214067619665</v>
      </c>
    </row>
    <row r="199" spans="1:19" x14ac:dyDescent="0.2">
      <c r="A199" s="13">
        <v>41306</v>
      </c>
      <c r="B199" s="14">
        <v>53208.31</v>
      </c>
      <c r="C199" s="14">
        <v>47898.89</v>
      </c>
      <c r="D199" s="14">
        <v>101107.2</v>
      </c>
      <c r="E199" s="14">
        <v>26508.67</v>
      </c>
      <c r="F199" s="14">
        <v>24216.93</v>
      </c>
      <c r="G199" s="14">
        <v>50725.599999999999</v>
      </c>
      <c r="I199" s="14">
        <f t="shared" ref="I199:I262" si="15">G199-G198</f>
        <v>-1220.4599999999991</v>
      </c>
      <c r="J199" s="15">
        <f t="shared" si="14"/>
        <v>-2.6567292903223461E-4</v>
      </c>
      <c r="L199" s="15">
        <f t="shared" ref="L199:L262" si="16">G199/D199</f>
        <v>0.50170116470439297</v>
      </c>
      <c r="M199" s="16">
        <v>77.843410999428713</v>
      </c>
      <c r="N199" s="16">
        <f>G199*$O$6/'[2]Used Cooking Oil Complex'!$AZ$26</f>
        <v>4.5544433081917246E-2</v>
      </c>
      <c r="O199" s="16"/>
      <c r="R199" s="18">
        <f t="shared" ref="R199:R262" si="17">B199/D199</f>
        <v>0.52625638925813389</v>
      </c>
      <c r="S199" s="18">
        <f t="shared" ref="S199:S262" si="18">C199/D199</f>
        <v>0.47374361074186605</v>
      </c>
    </row>
    <row r="200" spans="1:19" x14ac:dyDescent="0.2">
      <c r="A200" s="13">
        <v>41334</v>
      </c>
      <c r="B200" s="14">
        <v>59125.32</v>
      </c>
      <c r="C200" s="14">
        <v>54316.38</v>
      </c>
      <c r="D200" s="14">
        <v>113441.7</v>
      </c>
      <c r="E200" s="14">
        <v>29488.82</v>
      </c>
      <c r="F200" s="14">
        <v>27407.02</v>
      </c>
      <c r="G200" s="14">
        <v>56895.839999999997</v>
      </c>
      <c r="I200" s="14">
        <f t="shared" si="15"/>
        <v>6170.239999999998</v>
      </c>
      <c r="J200" s="15">
        <f t="shared" si="14"/>
        <v>3.3551272977760949E-2</v>
      </c>
      <c r="L200" s="15">
        <f t="shared" si="16"/>
        <v>0.50154255445748785</v>
      </c>
      <c r="M200" s="16">
        <v>87.312249776793891</v>
      </c>
      <c r="N200" s="16">
        <f>G200*$O$6/'[2]Used Cooking Oil Complex'!$AZ$26</f>
        <v>5.1084438183470887E-2</v>
      </c>
      <c r="O200" s="16"/>
      <c r="R200" s="18">
        <f t="shared" si="17"/>
        <v>0.52119564498768978</v>
      </c>
      <c r="S200" s="18">
        <f t="shared" si="18"/>
        <v>0.47880435501231028</v>
      </c>
    </row>
    <row r="201" spans="1:19" x14ac:dyDescent="0.2">
      <c r="A201" s="13">
        <v>41365</v>
      </c>
      <c r="B201" s="14">
        <v>54857.02</v>
      </c>
      <c r="C201" s="14">
        <v>52159.47</v>
      </c>
      <c r="D201" s="14">
        <v>107016.49</v>
      </c>
      <c r="E201" s="14">
        <v>27324.35</v>
      </c>
      <c r="F201" s="14">
        <v>26228.83</v>
      </c>
      <c r="G201" s="14">
        <v>53553.18</v>
      </c>
      <c r="I201" s="14">
        <f t="shared" si="15"/>
        <v>-3342.6599999999962</v>
      </c>
      <c r="J201" s="15">
        <f t="shared" si="14"/>
        <v>1.177767756116177E-2</v>
      </c>
      <c r="L201" s="15">
        <f t="shared" si="16"/>
        <v>0.50041988856109931</v>
      </c>
      <c r="M201" s="16">
        <v>82.182609985222172</v>
      </c>
      <c r="N201" s="16">
        <f>G201*$O$6/'[2]Used Cooking Oil Complex'!$AZ$26</f>
        <v>4.8083201043139345E-2</v>
      </c>
      <c r="O201" s="16"/>
      <c r="R201" s="18">
        <f t="shared" si="17"/>
        <v>0.51260343148985721</v>
      </c>
      <c r="S201" s="18">
        <f t="shared" si="18"/>
        <v>0.48739656851014268</v>
      </c>
    </row>
    <row r="202" spans="1:19" x14ac:dyDescent="0.2">
      <c r="A202" s="13">
        <v>41395</v>
      </c>
      <c r="B202" s="14">
        <v>59515.63</v>
      </c>
      <c r="C202" s="14">
        <v>54559.73</v>
      </c>
      <c r="D202" s="14">
        <v>114075.36</v>
      </c>
      <c r="E202" s="14">
        <v>29743.919999999998</v>
      </c>
      <c r="F202" s="14">
        <v>27389.919999999998</v>
      </c>
      <c r="G202" s="14">
        <v>57133.84</v>
      </c>
      <c r="I202" s="14">
        <f t="shared" si="15"/>
        <v>3580.6599999999962</v>
      </c>
      <c r="J202" s="15">
        <f t="shared" si="14"/>
        <v>3.1687823904368084E-2</v>
      </c>
      <c r="L202" s="15">
        <f t="shared" si="16"/>
        <v>0.50084295153659819</v>
      </c>
      <c r="M202" s="16">
        <v>87.677484132185725</v>
      </c>
      <c r="N202" s="16">
        <f>G202*$O$6/'[2]Used Cooking Oil Complex'!$AZ$26</f>
        <v>5.1298128609478591E-2</v>
      </c>
      <c r="O202" s="16"/>
      <c r="R202" s="18">
        <f t="shared" si="17"/>
        <v>0.52172204409436007</v>
      </c>
      <c r="S202" s="18">
        <f t="shared" si="18"/>
        <v>0.47827795590563993</v>
      </c>
    </row>
    <row r="203" spans="1:19" x14ac:dyDescent="0.2">
      <c r="A203" s="13">
        <v>41426</v>
      </c>
      <c r="B203" s="14">
        <v>57543.68</v>
      </c>
      <c r="C203" s="14">
        <v>52898.63</v>
      </c>
      <c r="D203" s="14">
        <v>110442.3</v>
      </c>
      <c r="E203" s="14">
        <v>28734.14</v>
      </c>
      <c r="F203" s="14">
        <v>26515.14</v>
      </c>
      <c r="G203" s="14">
        <v>55249.279999999999</v>
      </c>
      <c r="I203" s="14">
        <f t="shared" si="15"/>
        <v>-1884.5599999999977</v>
      </c>
      <c r="J203" s="15">
        <f t="shared" si="14"/>
        <v>1.6236077384304881E-2</v>
      </c>
      <c r="L203" s="15">
        <f t="shared" si="16"/>
        <v>0.50025470313457798</v>
      </c>
      <c r="M203" s="16">
        <v>84.785441876735163</v>
      </c>
      <c r="N203" s="16">
        <f>G203*$O$6/'[2]Used Cooking Oil Complex'!$AZ$26</f>
        <v>4.9606059579070709E-2</v>
      </c>
      <c r="O203" s="16"/>
      <c r="R203" s="18">
        <f t="shared" si="17"/>
        <v>0.52102935197836331</v>
      </c>
      <c r="S203" s="18">
        <f t="shared" si="18"/>
        <v>0.47897073856665423</v>
      </c>
    </row>
    <row r="204" spans="1:19" x14ac:dyDescent="0.2">
      <c r="A204" s="13">
        <v>41456</v>
      </c>
      <c r="B204" s="14">
        <v>58298.19</v>
      </c>
      <c r="C204" s="14">
        <v>53141.5</v>
      </c>
      <c r="D204" s="14">
        <v>111439.7</v>
      </c>
      <c r="E204" s="14">
        <v>29099.43</v>
      </c>
      <c r="F204" s="14">
        <v>26593.88</v>
      </c>
      <c r="G204" s="14">
        <v>55693.31</v>
      </c>
      <c r="I204" s="14">
        <f t="shared" si="15"/>
        <v>444.02999999999884</v>
      </c>
      <c r="J204" s="15">
        <f t="shared" si="14"/>
        <v>2.7703535577206839E-2</v>
      </c>
      <c r="L204" s="15">
        <f t="shared" si="16"/>
        <v>0.49976184429785792</v>
      </c>
      <c r="M204" s="16">
        <v>85.466849485242037</v>
      </c>
      <c r="N204" s="16">
        <f>G204*$O$6/'[2]Used Cooking Oil Complex'!$AZ$26</f>
        <v>5.0004735881004327E-2</v>
      </c>
      <c r="O204" s="16"/>
      <c r="R204" s="18">
        <f t="shared" si="17"/>
        <v>0.52313663802038235</v>
      </c>
      <c r="S204" s="18">
        <f t="shared" si="18"/>
        <v>0.47686327224498992</v>
      </c>
    </row>
    <row r="205" spans="1:19" x14ac:dyDescent="0.2">
      <c r="A205" s="13">
        <v>41487</v>
      </c>
      <c r="B205" s="14">
        <v>59443.22</v>
      </c>
      <c r="C205" s="14">
        <v>54383.79</v>
      </c>
      <c r="D205" s="14">
        <v>113827.01</v>
      </c>
      <c r="E205" s="14">
        <v>29619.24</v>
      </c>
      <c r="F205" s="14">
        <v>27170.68</v>
      </c>
      <c r="G205" s="14">
        <v>56789.93</v>
      </c>
      <c r="I205" s="14">
        <f t="shared" si="15"/>
        <v>1096.6200000000026</v>
      </c>
      <c r="J205" s="15">
        <f t="shared" si="14"/>
        <v>3.3098674051963872E-2</v>
      </c>
      <c r="L205" s="15">
        <f t="shared" si="16"/>
        <v>0.49891436136291378</v>
      </c>
      <c r="M205" s="16">
        <v>87.149720488644533</v>
      </c>
      <c r="N205" s="16">
        <f>G205*$O$6/'[2]Used Cooking Oil Complex'!$AZ$26</f>
        <v>5.0989345943897459E-2</v>
      </c>
      <c r="O205" s="16"/>
      <c r="R205" s="18">
        <f t="shared" si="17"/>
        <v>0.52222420671508463</v>
      </c>
      <c r="S205" s="18">
        <f t="shared" si="18"/>
        <v>0.47777579328491543</v>
      </c>
    </row>
    <row r="206" spans="1:19" x14ac:dyDescent="0.2">
      <c r="A206" s="13">
        <v>41518</v>
      </c>
      <c r="B206" s="14">
        <v>55517.21</v>
      </c>
      <c r="C206" s="14">
        <v>50383.22</v>
      </c>
      <c r="D206" s="14">
        <v>105900.44</v>
      </c>
      <c r="E206" s="14">
        <v>27657.56</v>
      </c>
      <c r="F206" s="14">
        <v>25148.76</v>
      </c>
      <c r="G206" s="14">
        <v>52806.32</v>
      </c>
      <c r="I206" s="14">
        <f t="shared" si="15"/>
        <v>-3983.6100000000006</v>
      </c>
      <c r="J206" s="15">
        <f t="shared" si="14"/>
        <v>1.3323805135823763E-2</v>
      </c>
      <c r="L206" s="15">
        <f t="shared" si="16"/>
        <v>0.49864117656168377</v>
      </c>
      <c r="M206" s="16">
        <v>81.036480024432478</v>
      </c>
      <c r="N206" s="16">
        <f>G206*$O$6/'[2]Used Cooking Oil Complex'!$AZ$26</f>
        <v>4.741262612058425E-2</v>
      </c>
      <c r="O206" s="16"/>
      <c r="R206" s="18">
        <f t="shared" si="17"/>
        <v>0.52423965377292103</v>
      </c>
      <c r="S206" s="18">
        <f t="shared" si="18"/>
        <v>0.47576025179876497</v>
      </c>
    </row>
    <row r="207" spans="1:19" x14ac:dyDescent="0.2">
      <c r="A207" s="13">
        <v>41548</v>
      </c>
      <c r="B207" s="14">
        <v>58019.92</v>
      </c>
      <c r="C207" s="14">
        <v>52743.92</v>
      </c>
      <c r="D207" s="14">
        <v>110763.84</v>
      </c>
      <c r="E207" s="14">
        <v>28858.36</v>
      </c>
      <c r="F207" s="14">
        <v>26293.26</v>
      </c>
      <c r="G207" s="14">
        <v>55151.63</v>
      </c>
      <c r="I207" s="14">
        <f t="shared" si="15"/>
        <v>2345.3099999999977</v>
      </c>
      <c r="J207" s="15">
        <f t="shared" si="14"/>
        <v>3.577982995307849E-2</v>
      </c>
      <c r="L207" s="15">
        <f t="shared" si="16"/>
        <v>0.49792089187229333</v>
      </c>
      <c r="M207" s="16">
        <v>84.635588369155286</v>
      </c>
      <c r="N207" s="16">
        <f>G207*$O$6/'[2]Used Cooking Oil Complex'!$AZ$26</f>
        <v>4.9518383654282253E-2</v>
      </c>
      <c r="O207" s="16"/>
      <c r="R207" s="18">
        <f t="shared" si="17"/>
        <v>0.52381643684437085</v>
      </c>
      <c r="S207" s="18">
        <f t="shared" si="18"/>
        <v>0.47618356315562915</v>
      </c>
    </row>
    <row r="208" spans="1:19" x14ac:dyDescent="0.2">
      <c r="A208" s="13">
        <v>41579</v>
      </c>
      <c r="B208" s="14">
        <v>60026</v>
      </c>
      <c r="C208" s="14">
        <v>52059.82</v>
      </c>
      <c r="D208" s="14">
        <v>112085.81</v>
      </c>
      <c r="E208" s="14">
        <v>29955.71</v>
      </c>
      <c r="F208" s="14">
        <v>25886.55</v>
      </c>
      <c r="G208" s="14">
        <v>55842.26</v>
      </c>
      <c r="I208" s="14">
        <f t="shared" si="15"/>
        <v>690.63000000000466</v>
      </c>
      <c r="J208" s="15">
        <f t="shared" si="14"/>
        <v>4.3395187123410173E-2</v>
      </c>
      <c r="L208" s="15">
        <f t="shared" si="16"/>
        <v>0.49820989829131807</v>
      </c>
      <c r="M208" s="16">
        <v>85.695427876988319</v>
      </c>
      <c r="N208" s="16">
        <f>G208*$O$6/'[2]Used Cooking Oil Complex'!$AZ$26</f>
        <v>5.0138471969045695E-2</v>
      </c>
      <c r="O208" s="16"/>
      <c r="R208" s="18">
        <f t="shared" si="17"/>
        <v>0.53553612183379862</v>
      </c>
      <c r="S208" s="18">
        <f t="shared" si="18"/>
        <v>0.46446396738356088</v>
      </c>
    </row>
    <row r="209" spans="1:19" x14ac:dyDescent="0.2">
      <c r="A209" s="13">
        <v>41609</v>
      </c>
      <c r="B209" s="14">
        <v>65073.26</v>
      </c>
      <c r="C209" s="14">
        <v>53808.93</v>
      </c>
      <c r="D209" s="14">
        <v>118882.19</v>
      </c>
      <c r="E209" s="14">
        <v>32451.88</v>
      </c>
      <c r="F209" s="14">
        <v>26720.3</v>
      </c>
      <c r="G209" s="14">
        <v>59172.18</v>
      </c>
      <c r="I209" s="14">
        <f t="shared" si="15"/>
        <v>3329.9199999999983</v>
      </c>
      <c r="J209" s="15">
        <f t="shared" si="14"/>
        <v>2.6453491851557098E-2</v>
      </c>
      <c r="L209" s="15">
        <f t="shared" si="16"/>
        <v>0.49773797067500186</v>
      </c>
      <c r="M209" s="16">
        <v>90.805516888359648</v>
      </c>
      <c r="N209" s="16">
        <f>G209*$O$6/'[2]Used Cooking Oil Complex'!$AZ$26</f>
        <v>5.3128270386573299E-2</v>
      </c>
      <c r="O209" s="16"/>
      <c r="R209" s="18">
        <f t="shared" si="17"/>
        <v>0.54737601990676654</v>
      </c>
      <c r="S209" s="18">
        <f t="shared" si="18"/>
        <v>0.45262398009323346</v>
      </c>
    </row>
    <row r="210" spans="1:19" x14ac:dyDescent="0.2">
      <c r="A210" s="13">
        <v>41640</v>
      </c>
      <c r="B210" s="14">
        <v>57589.19</v>
      </c>
      <c r="C210" s="14">
        <v>50934.43</v>
      </c>
      <c r="D210" s="14">
        <v>108523.62</v>
      </c>
      <c r="E210" s="14">
        <v>28538.01</v>
      </c>
      <c r="F210" s="14">
        <v>25276.89</v>
      </c>
      <c r="G210" s="14">
        <v>53814.89</v>
      </c>
      <c r="I210" s="14">
        <f t="shared" si="15"/>
        <v>-5357.2900000000009</v>
      </c>
      <c r="J210" s="15">
        <f t="shared" ref="J210:J273" si="19">G210/G198-1</f>
        <v>3.5976357013409732E-2</v>
      </c>
      <c r="L210" s="15">
        <f t="shared" si="16"/>
        <v>0.49588181817009053</v>
      </c>
      <c r="M210" s="16">
        <v>82.58422966232132</v>
      </c>
      <c r="N210" s="16">
        <f>G210*$O$6/'[2]Used Cooking Oil Complex'!$AZ$26</f>
        <v>4.8318179704443867E-2</v>
      </c>
      <c r="O210" s="16"/>
      <c r="R210" s="18">
        <f t="shared" si="17"/>
        <v>0.53066042212745945</v>
      </c>
      <c r="S210" s="18">
        <f t="shared" si="18"/>
        <v>0.4693395778725406</v>
      </c>
    </row>
    <row r="211" spans="1:19" x14ac:dyDescent="0.2">
      <c r="A211" s="13">
        <v>41671</v>
      </c>
      <c r="B211" s="14">
        <v>54436.18</v>
      </c>
      <c r="C211" s="14">
        <v>50686.99</v>
      </c>
      <c r="D211" s="14">
        <v>105123.17</v>
      </c>
      <c r="E211" s="14">
        <v>26888.95</v>
      </c>
      <c r="F211" s="14">
        <v>25081.96</v>
      </c>
      <c r="G211" s="14">
        <v>51970.91</v>
      </c>
      <c r="I211" s="14">
        <f t="shared" si="15"/>
        <v>-1843.9799999999959</v>
      </c>
      <c r="J211" s="15">
        <f t="shared" si="19"/>
        <v>2.4549931395587254E-2</v>
      </c>
      <c r="L211" s="15">
        <f t="shared" si="16"/>
        <v>0.4943811150291606</v>
      </c>
      <c r="M211" s="16">
        <v>79.754461399063203</v>
      </c>
      <c r="N211" s="16">
        <f>G211*$O$6/'[2]Used Cooking Oil Complex'!$AZ$26</f>
        <v>4.666254578952924E-2</v>
      </c>
      <c r="O211" s="16"/>
      <c r="R211" s="18">
        <f t="shared" si="17"/>
        <v>0.51783236749805017</v>
      </c>
      <c r="S211" s="18">
        <f t="shared" si="18"/>
        <v>0.48216763250194983</v>
      </c>
    </row>
    <row r="212" spans="1:19" x14ac:dyDescent="0.2">
      <c r="A212" s="13">
        <v>41699</v>
      </c>
      <c r="B212" s="14">
        <v>59176.77</v>
      </c>
      <c r="C212" s="14">
        <v>57774.91</v>
      </c>
      <c r="D212" s="14">
        <v>116951.67</v>
      </c>
      <c r="E212" s="14">
        <v>29124.62</v>
      </c>
      <c r="F212" s="14">
        <v>28509.32</v>
      </c>
      <c r="G212" s="14">
        <v>57633.95</v>
      </c>
      <c r="I212" s="14">
        <f t="shared" si="15"/>
        <v>5663.0399999999936</v>
      </c>
      <c r="J212" s="15">
        <f t="shared" si="19"/>
        <v>1.2973004704737612E-2</v>
      </c>
      <c r="L212" s="15">
        <f t="shared" si="16"/>
        <v>0.4928014281454895</v>
      </c>
      <c r="M212" s="16">
        <v>88.444952003929473</v>
      </c>
      <c r="N212" s="16">
        <f>G212*$O$6/'[2]Used Cooking Oil Complex'!$AZ$26</f>
        <v>5.1747156840363934E-2</v>
      </c>
      <c r="O212" s="16"/>
      <c r="R212" s="18">
        <f t="shared" si="17"/>
        <v>0.50599337316004123</v>
      </c>
      <c r="S212" s="18">
        <f t="shared" si="18"/>
        <v>0.49400671234536458</v>
      </c>
    </row>
    <row r="213" spans="1:19" x14ac:dyDescent="0.2">
      <c r="A213" s="13">
        <v>41730</v>
      </c>
      <c r="B213" s="14">
        <v>58511.64</v>
      </c>
      <c r="C213" s="14">
        <v>56100.02</v>
      </c>
      <c r="D213" s="14">
        <v>114611.66</v>
      </c>
      <c r="E213" s="14">
        <v>28660.61</v>
      </c>
      <c r="F213" s="14">
        <v>27609.47</v>
      </c>
      <c r="G213" s="14">
        <v>56270.080000000002</v>
      </c>
      <c r="I213" s="14">
        <f t="shared" si="15"/>
        <v>-1363.8699999999953</v>
      </c>
      <c r="J213" s="15">
        <f t="shared" si="19"/>
        <v>5.0732748270037487E-2</v>
      </c>
      <c r="L213" s="15">
        <f t="shared" si="16"/>
        <v>0.4909629613601269</v>
      </c>
      <c r="M213" s="16">
        <v>86.351959649777115</v>
      </c>
      <c r="N213" s="16">
        <f>G213*$O$6/'[2]Used Cooking Oil Complex'!$AZ$26</f>
        <v>5.052259397767854E-2</v>
      </c>
      <c r="O213" s="16"/>
      <c r="R213" s="18">
        <f t="shared" si="17"/>
        <v>0.51052083182461538</v>
      </c>
      <c r="S213" s="18">
        <f t="shared" si="18"/>
        <v>0.48947916817538456</v>
      </c>
    </row>
    <row r="214" spans="1:19" x14ac:dyDescent="0.2">
      <c r="A214" s="13">
        <v>41760</v>
      </c>
      <c r="B214" s="14">
        <v>62166.04</v>
      </c>
      <c r="C214" s="14">
        <v>59879.86</v>
      </c>
      <c r="D214" s="14">
        <v>122045.89</v>
      </c>
      <c r="E214" s="14">
        <v>30272.5</v>
      </c>
      <c r="F214" s="14">
        <v>29420.03</v>
      </c>
      <c r="G214" s="14">
        <v>59692.54</v>
      </c>
      <c r="I214" s="14">
        <f t="shared" si="15"/>
        <v>3422.4599999999991</v>
      </c>
      <c r="J214" s="15">
        <f t="shared" si="19"/>
        <v>4.4784316965217119E-2</v>
      </c>
      <c r="L214" s="15">
        <f t="shared" si="16"/>
        <v>0.48909914131479559</v>
      </c>
      <c r="M214" s="16">
        <v>91.604060372274333</v>
      </c>
      <c r="N214" s="16">
        <f>G214*$O$6/'[2]Used Cooking Oil Complex'!$AZ$26</f>
        <v>5.3595480260847955E-2</v>
      </c>
      <c r="O214" s="16"/>
      <c r="R214" s="18">
        <f t="shared" si="17"/>
        <v>0.50936610810900718</v>
      </c>
      <c r="S214" s="18">
        <f t="shared" si="18"/>
        <v>0.49063397382738577</v>
      </c>
    </row>
    <row r="215" spans="1:19" x14ac:dyDescent="0.2">
      <c r="A215" s="13">
        <v>41791</v>
      </c>
      <c r="B215" s="14">
        <v>59395.49</v>
      </c>
      <c r="C215" s="14">
        <v>56971.07</v>
      </c>
      <c r="D215" s="14">
        <v>116366.56</v>
      </c>
      <c r="E215" s="14">
        <v>28966.53</v>
      </c>
      <c r="F215" s="14">
        <v>27935.35</v>
      </c>
      <c r="G215" s="14">
        <v>56901.88</v>
      </c>
      <c r="I215" s="14">
        <f t="shared" si="15"/>
        <v>-2790.6600000000035</v>
      </c>
      <c r="J215" s="15">
        <f t="shared" si="19"/>
        <v>2.9911702016750308E-2</v>
      </c>
      <c r="L215" s="15">
        <f t="shared" si="16"/>
        <v>0.48898824542033381</v>
      </c>
      <c r="M215" s="16">
        <v>87.32151874951056</v>
      </c>
      <c r="N215" s="16">
        <f>G215*$O$6/'[2]Used Cooking Oil Complex'!$AZ$26</f>
        <v>5.1089861251425034E-2</v>
      </c>
      <c r="O215" s="16"/>
      <c r="R215" s="18">
        <f t="shared" si="17"/>
        <v>0.5104171679561551</v>
      </c>
      <c r="S215" s="18">
        <f t="shared" si="18"/>
        <v>0.4895828320438449</v>
      </c>
    </row>
    <row r="216" spans="1:19" x14ac:dyDescent="0.2">
      <c r="A216" s="13">
        <v>41821</v>
      </c>
      <c r="B216" s="14">
        <v>60980.639999999999</v>
      </c>
      <c r="C216" s="14">
        <v>58025.8</v>
      </c>
      <c r="D216" s="14">
        <v>119006.44</v>
      </c>
      <c r="E216" s="14">
        <v>29656.13</v>
      </c>
      <c r="F216" s="14">
        <v>28365.19</v>
      </c>
      <c r="G216" s="14">
        <v>58021.32</v>
      </c>
      <c r="I216" s="14">
        <f t="shared" si="15"/>
        <v>1119.4400000000023</v>
      </c>
      <c r="J216" s="15">
        <f t="shared" si="19"/>
        <v>4.1800532236277554E-2</v>
      </c>
      <c r="L216" s="15">
        <f t="shared" si="16"/>
        <v>0.48754773271093566</v>
      </c>
      <c r="M216" s="16">
        <v>89.039409282282975</v>
      </c>
      <c r="N216" s="16">
        <f>G216*$O$6/'[2]Used Cooking Oil Complex'!$AZ$26</f>
        <v>5.209496045516479E-2</v>
      </c>
      <c r="O216" s="16"/>
      <c r="R216" s="18">
        <f t="shared" si="17"/>
        <v>0.51241462226750079</v>
      </c>
      <c r="S216" s="18">
        <f t="shared" si="18"/>
        <v>0.48758537773249921</v>
      </c>
    </row>
    <row r="217" spans="1:19" x14ac:dyDescent="0.2">
      <c r="A217" s="13">
        <v>41852</v>
      </c>
      <c r="B217" s="14">
        <v>61697.66</v>
      </c>
      <c r="C217" s="14">
        <v>59367.58</v>
      </c>
      <c r="D217" s="14">
        <v>121065.23</v>
      </c>
      <c r="E217" s="14">
        <v>29892.28</v>
      </c>
      <c r="F217" s="14">
        <v>28952.44</v>
      </c>
      <c r="G217" s="14">
        <v>58844.72</v>
      </c>
      <c r="I217" s="14">
        <f t="shared" si="15"/>
        <v>823.40000000000146</v>
      </c>
      <c r="J217" s="15">
        <f t="shared" si="19"/>
        <v>3.6182294994904884E-2</v>
      </c>
      <c r="L217" s="15">
        <f t="shared" si="16"/>
        <v>0.4860579705667763</v>
      </c>
      <c r="M217" s="16">
        <v>90.302997384088187</v>
      </c>
      <c r="N217" s="16">
        <f>G217*$O$6/'[2]Used Cooking Oil Complex'!$AZ$26</f>
        <v>5.283425750043682E-2</v>
      </c>
      <c r="O217" s="16"/>
      <c r="R217" s="18">
        <f t="shared" si="17"/>
        <v>0.50962328324986461</v>
      </c>
      <c r="S217" s="18">
        <f t="shared" si="18"/>
        <v>0.49037679935023459</v>
      </c>
    </row>
    <row r="218" spans="1:19" x14ac:dyDescent="0.2">
      <c r="A218" s="13">
        <v>41883</v>
      </c>
      <c r="B218" s="14">
        <v>57909.64</v>
      </c>
      <c r="C218" s="14">
        <v>55407.71</v>
      </c>
      <c r="D218" s="14">
        <v>113317.36</v>
      </c>
      <c r="E218" s="14">
        <v>27957.7</v>
      </c>
      <c r="F218" s="14">
        <v>26938.36</v>
      </c>
      <c r="G218" s="14">
        <v>54896.06</v>
      </c>
      <c r="I218" s="14">
        <f t="shared" si="15"/>
        <v>-3948.6600000000035</v>
      </c>
      <c r="J218" s="15">
        <f t="shared" si="19"/>
        <v>3.9573672242261937E-2</v>
      </c>
      <c r="L218" s="15">
        <f t="shared" si="16"/>
        <v>0.48444527828745743</v>
      </c>
      <c r="M218" s="16">
        <v>84.243391124585983</v>
      </c>
      <c r="N218" s="16">
        <f>G218*$O$6/'[2]Used Cooking Oil Complex'!$AZ$26</f>
        <v>4.928891784682516E-2</v>
      </c>
      <c r="O218" s="16"/>
      <c r="R218" s="18">
        <f t="shared" si="17"/>
        <v>0.51103943826435771</v>
      </c>
      <c r="S218" s="18">
        <f t="shared" si="18"/>
        <v>0.48896047348791039</v>
      </c>
    </row>
    <row r="219" spans="1:19" x14ac:dyDescent="0.2">
      <c r="A219" s="13">
        <v>41913</v>
      </c>
      <c r="B219" s="14">
        <v>60853.83</v>
      </c>
      <c r="C219" s="14">
        <v>58541.21</v>
      </c>
      <c r="D219" s="14">
        <v>119395.05</v>
      </c>
      <c r="E219" s="14">
        <v>29313.21</v>
      </c>
      <c r="F219" s="14">
        <v>28401.75</v>
      </c>
      <c r="G219" s="14">
        <v>57714.96</v>
      </c>
      <c r="I219" s="14">
        <f t="shared" si="15"/>
        <v>2818.9000000000015</v>
      </c>
      <c r="J219" s="15">
        <f t="shared" si="19"/>
        <v>4.6477864752138887E-2</v>
      </c>
      <c r="L219" s="15">
        <f t="shared" si="16"/>
        <v>0.48339491461329426</v>
      </c>
      <c r="M219" s="16">
        <v>88.569269798594576</v>
      </c>
      <c r="N219" s="16">
        <f>G219*$O$6/'[2]Used Cooking Oil Complex'!$AZ$26</f>
        <v>5.1819892392510503E-2</v>
      </c>
      <c r="O219" s="16"/>
      <c r="R219" s="18">
        <f t="shared" si="17"/>
        <v>0.50968469798371041</v>
      </c>
      <c r="S219" s="18">
        <f t="shared" si="18"/>
        <v>0.4903152182607235</v>
      </c>
    </row>
    <row r="220" spans="1:19" x14ac:dyDescent="0.2">
      <c r="A220" s="13">
        <v>41944</v>
      </c>
      <c r="B220" s="14">
        <v>62026.61</v>
      </c>
      <c r="C220" s="14">
        <v>56027.73</v>
      </c>
      <c r="D220" s="14">
        <v>118054.34</v>
      </c>
      <c r="E220" s="14">
        <v>29945.54</v>
      </c>
      <c r="F220" s="14">
        <v>27086.63</v>
      </c>
      <c r="G220" s="14">
        <v>57032.17</v>
      </c>
      <c r="I220" s="14">
        <f t="shared" si="15"/>
        <v>-682.79000000000087</v>
      </c>
      <c r="J220" s="15">
        <f t="shared" si="19"/>
        <v>2.130841409355555E-2</v>
      </c>
      <c r="L220" s="15">
        <f t="shared" si="16"/>
        <v>0.48310100247055721</v>
      </c>
      <c r="M220" s="16">
        <v>87.52146154011561</v>
      </c>
      <c r="N220" s="16">
        <f>G220*$O$6/'[2]Used Cooking Oil Complex'!$AZ$26</f>
        <v>5.1206843291780255E-2</v>
      </c>
      <c r="O220" s="16"/>
      <c r="R220" s="18">
        <f t="shared" si="17"/>
        <v>0.52540728278181048</v>
      </c>
      <c r="S220" s="18">
        <f t="shared" si="18"/>
        <v>0.47459271721818957</v>
      </c>
    </row>
    <row r="221" spans="1:19" x14ac:dyDescent="0.2">
      <c r="A221" s="13">
        <v>41974</v>
      </c>
      <c r="B221" s="14">
        <v>67235.259999999995</v>
      </c>
      <c r="C221" s="14">
        <v>59602.61</v>
      </c>
      <c r="D221" s="14">
        <v>126837.87</v>
      </c>
      <c r="E221" s="14">
        <v>32342.25</v>
      </c>
      <c r="F221" s="14">
        <v>28741.79</v>
      </c>
      <c r="G221" s="14">
        <v>61084.04</v>
      </c>
      <c r="I221" s="14">
        <f t="shared" si="15"/>
        <v>4051.8700000000026</v>
      </c>
      <c r="J221" s="15">
        <f t="shared" si="19"/>
        <v>3.2310116003838374E-2</v>
      </c>
      <c r="L221" s="15">
        <f t="shared" si="16"/>
        <v>0.48159149944728658</v>
      </c>
      <c r="M221" s="16">
        <v>93.739453672811038</v>
      </c>
      <c r="N221" s="16">
        <f>G221*$O$6/'[2]Used Cooking Oil Complex'!$AZ$26</f>
        <v>5.4844850965846764E-2</v>
      </c>
      <c r="O221" s="16"/>
      <c r="R221" s="18">
        <f t="shared" si="17"/>
        <v>0.53008821419028873</v>
      </c>
      <c r="S221" s="18">
        <f t="shared" si="18"/>
        <v>0.46991178580971127</v>
      </c>
    </row>
    <row r="222" spans="1:19" x14ac:dyDescent="0.2">
      <c r="A222" s="13">
        <v>42005</v>
      </c>
      <c r="B222" s="14">
        <v>59277.5</v>
      </c>
      <c r="C222" s="14">
        <v>57333.36</v>
      </c>
      <c r="D222" s="14">
        <v>116610.86</v>
      </c>
      <c r="E222" s="14">
        <v>28426.57</v>
      </c>
      <c r="F222" s="14">
        <v>27600.26</v>
      </c>
      <c r="G222" s="14">
        <v>56026.83</v>
      </c>
      <c r="I222" s="14">
        <f t="shared" si="15"/>
        <v>-5057.2099999999991</v>
      </c>
      <c r="J222" s="15">
        <f t="shared" si="19"/>
        <v>4.1102750558442036E-2</v>
      </c>
      <c r="L222" s="15">
        <f t="shared" si="16"/>
        <v>0.48045979594010368</v>
      </c>
      <c r="M222" s="16">
        <v>85.978668654192816</v>
      </c>
      <c r="N222" s="16">
        <f>G222*$O$6/'[2]Used Cooking Oil Complex'!$AZ$26</f>
        <v>5.0304189792273607E-2</v>
      </c>
      <c r="O222" s="16"/>
      <c r="R222" s="18">
        <f t="shared" si="17"/>
        <v>0.50833601604516077</v>
      </c>
      <c r="S222" s="18">
        <f t="shared" si="18"/>
        <v>0.49166398395483918</v>
      </c>
    </row>
    <row r="223" spans="1:19" x14ac:dyDescent="0.2">
      <c r="A223" s="13">
        <v>42036</v>
      </c>
      <c r="B223" s="14">
        <v>55514.6</v>
      </c>
      <c r="C223" s="14">
        <v>55716.75</v>
      </c>
      <c r="D223" s="14">
        <v>111231.35</v>
      </c>
      <c r="E223" s="14">
        <v>26645.85</v>
      </c>
      <c r="F223" s="14">
        <v>26749.93</v>
      </c>
      <c r="G223" s="14">
        <v>53395.79</v>
      </c>
      <c r="I223" s="14">
        <f t="shared" si="15"/>
        <v>-2631.0400000000009</v>
      </c>
      <c r="J223" s="15">
        <f t="shared" si="19"/>
        <v>2.7416876094722875E-2</v>
      </c>
      <c r="L223" s="15">
        <f t="shared" si="16"/>
        <v>0.48004263186592627</v>
      </c>
      <c r="M223" s="16">
        <v>81.941079585242676</v>
      </c>
      <c r="N223" s="16">
        <f>G223*$O$6/'[2]Used Cooking Oil Complex'!$AZ$26</f>
        <v>4.79418870257051E-2</v>
      </c>
      <c r="O223" s="16"/>
      <c r="R223" s="18">
        <f t="shared" si="17"/>
        <v>0.49909130834067911</v>
      </c>
      <c r="S223" s="18">
        <f t="shared" si="18"/>
        <v>0.50090869165932084</v>
      </c>
    </row>
    <row r="224" spans="1:19" x14ac:dyDescent="0.2">
      <c r="A224" s="13">
        <v>42064</v>
      </c>
      <c r="B224" s="14">
        <v>60499.68</v>
      </c>
      <c r="C224" s="14">
        <v>63002.16</v>
      </c>
      <c r="D224" s="14">
        <v>123501.84</v>
      </c>
      <c r="E224" s="14">
        <v>29197</v>
      </c>
      <c r="F224" s="14">
        <v>30201.39</v>
      </c>
      <c r="G224" s="14">
        <v>59398.39</v>
      </c>
      <c r="I224" s="14">
        <f t="shared" si="15"/>
        <v>6002.5999999999985</v>
      </c>
      <c r="J224" s="15">
        <f t="shared" si="19"/>
        <v>3.0614594349337443E-2</v>
      </c>
      <c r="L224" s="15">
        <f t="shared" si="16"/>
        <v>0.4809514578892104</v>
      </c>
      <c r="M224" s="16">
        <v>91.152658331776394</v>
      </c>
      <c r="N224" s="16">
        <f>G224*$O$6/'[2]Used Cooking Oil Complex'!$AZ$26</f>
        <v>5.3331375055763221E-2</v>
      </c>
      <c r="O224" s="16"/>
      <c r="R224" s="18">
        <f t="shared" si="17"/>
        <v>0.48986865296905702</v>
      </c>
      <c r="S224" s="18">
        <f t="shared" si="18"/>
        <v>0.51013134703094309</v>
      </c>
    </row>
    <row r="225" spans="1:19" x14ac:dyDescent="0.2">
      <c r="A225" s="13">
        <v>42095</v>
      </c>
      <c r="B225" s="14">
        <v>58926.63</v>
      </c>
      <c r="C225" s="14">
        <v>62049.74</v>
      </c>
      <c r="D225" s="14">
        <v>120976.38</v>
      </c>
      <c r="E225" s="14">
        <v>28471.21</v>
      </c>
      <c r="F225" s="14">
        <v>29672.55</v>
      </c>
      <c r="G225" s="14">
        <v>58143.76</v>
      </c>
      <c r="I225" s="14">
        <f t="shared" si="15"/>
        <v>-1254.6299999999974</v>
      </c>
      <c r="J225" s="15">
        <f t="shared" si="19"/>
        <v>3.3297980027751972E-2</v>
      </c>
      <c r="L225" s="15">
        <f t="shared" si="16"/>
        <v>0.48062076249925811</v>
      </c>
      <c r="M225" s="16">
        <v>89.227305477552633</v>
      </c>
      <c r="N225" s="16">
        <f>G225*$O$6/'[2]Used Cooking Oil Complex'!$AZ$26</f>
        <v>5.2204894302897493E-2</v>
      </c>
      <c r="O225" s="16"/>
      <c r="R225" s="18">
        <f t="shared" si="17"/>
        <v>0.48709202573262644</v>
      </c>
      <c r="S225" s="18">
        <f t="shared" si="18"/>
        <v>0.51290789160660943</v>
      </c>
    </row>
    <row r="226" spans="1:19" x14ac:dyDescent="0.2">
      <c r="A226" s="13">
        <v>42125</v>
      </c>
      <c r="B226" s="14">
        <v>62750.74</v>
      </c>
      <c r="C226" s="14">
        <v>65814.710000000006</v>
      </c>
      <c r="D226" s="14">
        <v>128565.45</v>
      </c>
      <c r="E226" s="14">
        <v>30354.85</v>
      </c>
      <c r="F226" s="14">
        <v>31399.63</v>
      </c>
      <c r="G226" s="14">
        <v>61754.48</v>
      </c>
      <c r="I226" s="14">
        <f t="shared" si="15"/>
        <v>3610.7200000000012</v>
      </c>
      <c r="J226" s="15">
        <f t="shared" si="19"/>
        <v>3.4542674846806731E-2</v>
      </c>
      <c r="L226" s="15">
        <f t="shared" si="16"/>
        <v>0.48033495779775987</v>
      </c>
      <c r="M226" s="16">
        <v>94.768309644361054</v>
      </c>
      <c r="N226" s="16">
        <f>G226*$O$6/'[2]Used Cooking Oil Complex'!$AZ$26</f>
        <v>5.5446811508756869E-2</v>
      </c>
      <c r="O226" s="16"/>
      <c r="R226" s="18">
        <f t="shared" si="17"/>
        <v>0.48808400701743743</v>
      </c>
      <c r="S226" s="18">
        <f t="shared" si="18"/>
        <v>0.51191599298256263</v>
      </c>
    </row>
    <row r="227" spans="1:19" x14ac:dyDescent="0.2">
      <c r="A227" s="13">
        <v>42156</v>
      </c>
      <c r="B227" s="14">
        <v>60308.11</v>
      </c>
      <c r="C227" s="14">
        <v>62650.25</v>
      </c>
      <c r="D227" s="14">
        <v>122958.36</v>
      </c>
      <c r="E227" s="14">
        <v>29115.88</v>
      </c>
      <c r="F227" s="14">
        <v>29828.68</v>
      </c>
      <c r="G227" s="14">
        <v>58944.56</v>
      </c>
      <c r="I227" s="14">
        <f t="shared" si="15"/>
        <v>-2809.9200000000055</v>
      </c>
      <c r="J227" s="15">
        <f t="shared" si="19"/>
        <v>3.5898286664693746E-2</v>
      </c>
      <c r="L227" s="15">
        <f t="shared" si="16"/>
        <v>0.47938635486029579</v>
      </c>
      <c r="M227" s="16">
        <v>90.456211661576916</v>
      </c>
      <c r="N227" s="16">
        <f>G227*$O$6/'[2]Used Cooking Oil Complex'!$AZ$26</f>
        <v>5.2923899736288117E-2</v>
      </c>
      <c r="O227" s="16"/>
      <c r="R227" s="18">
        <f t="shared" si="17"/>
        <v>0.49047588142847709</v>
      </c>
      <c r="S227" s="18">
        <f t="shared" si="18"/>
        <v>0.50952411857152291</v>
      </c>
    </row>
    <row r="228" spans="1:19" x14ac:dyDescent="0.2">
      <c r="A228" s="13">
        <v>42186</v>
      </c>
      <c r="B228" s="14">
        <v>62269.64</v>
      </c>
      <c r="C228" s="14">
        <v>63947.839999999997</v>
      </c>
      <c r="D228" s="14">
        <v>126217.47</v>
      </c>
      <c r="E228" s="14">
        <v>30000.89</v>
      </c>
      <c r="F228" s="14">
        <v>30439.46</v>
      </c>
      <c r="G228" s="14">
        <v>60440.35</v>
      </c>
      <c r="I228" s="14">
        <f t="shared" si="15"/>
        <v>1495.7900000000009</v>
      </c>
      <c r="J228" s="15">
        <f t="shared" si="19"/>
        <v>4.1692088356486856E-2</v>
      </c>
      <c r="L228" s="15">
        <f t="shared" si="16"/>
        <v>0.47885882992267231</v>
      </c>
      <c r="M228" s="16">
        <v>92.751648201289328</v>
      </c>
      <c r="N228" s="16">
        <f>G228*$O$6/'[2]Used Cooking Oil Complex'!$AZ$26</f>
        <v>5.4266908149389212E-2</v>
      </c>
      <c r="O228" s="16"/>
      <c r="R228" s="18">
        <f t="shared" si="17"/>
        <v>0.49335199002166658</v>
      </c>
      <c r="S228" s="18">
        <f t="shared" si="18"/>
        <v>0.50664808920666837</v>
      </c>
    </row>
    <row r="229" spans="1:19" x14ac:dyDescent="0.2">
      <c r="A229" s="13">
        <v>42217</v>
      </c>
      <c r="B229" s="14">
        <v>61688.2</v>
      </c>
      <c r="C229" s="14">
        <v>63810.63</v>
      </c>
      <c r="D229" s="14">
        <v>125498.83</v>
      </c>
      <c r="E229" s="14">
        <v>29628.57</v>
      </c>
      <c r="F229" s="14">
        <v>30309.71</v>
      </c>
      <c r="G229" s="14">
        <v>59938.29</v>
      </c>
      <c r="I229" s="14">
        <f t="shared" si="15"/>
        <v>-502.05999999999767</v>
      </c>
      <c r="J229" s="15">
        <f t="shared" si="19"/>
        <v>1.8583995301532541E-2</v>
      </c>
      <c r="L229" s="15">
        <f t="shared" si="16"/>
        <v>0.47760038878450101</v>
      </c>
      <c r="M229" s="16">
        <v>91.981187863188367</v>
      </c>
      <c r="N229" s="16">
        <f>G229*$O$6/'[2]Used Cooking Oil Complex'!$AZ$26</f>
        <v>5.3816129093584901E-2</v>
      </c>
      <c r="O229" s="16"/>
      <c r="R229" s="18">
        <f t="shared" si="17"/>
        <v>0.49154402475305942</v>
      </c>
      <c r="S229" s="18">
        <f t="shared" si="18"/>
        <v>0.50845597524694053</v>
      </c>
    </row>
    <row r="230" spans="1:19" x14ac:dyDescent="0.2">
      <c r="A230" s="13">
        <v>42248</v>
      </c>
      <c r="B230" s="14">
        <v>58667.54</v>
      </c>
      <c r="C230" s="14">
        <v>60426.21</v>
      </c>
      <c r="D230" s="14">
        <v>119093.74</v>
      </c>
      <c r="E230" s="14">
        <v>28098.35</v>
      </c>
      <c r="F230" s="14">
        <v>28548.400000000001</v>
      </c>
      <c r="G230" s="14">
        <v>56646.75</v>
      </c>
      <c r="I230" s="14">
        <f t="shared" si="15"/>
        <v>-3291.5400000000009</v>
      </c>
      <c r="J230" s="15">
        <f t="shared" si="19"/>
        <v>3.1890995455776006E-2</v>
      </c>
      <c r="L230" s="15">
        <f t="shared" si="16"/>
        <v>0.47564842618931941</v>
      </c>
      <c r="M230" s="16">
        <v>86.92999672811932</v>
      </c>
      <c r="N230" s="16">
        <f>G230*$O$6/'[2]Used Cooking Oil Complex'!$AZ$26</f>
        <v>5.0860790501898373E-2</v>
      </c>
      <c r="O230" s="16"/>
      <c r="R230" s="18">
        <f t="shared" si="17"/>
        <v>0.49261648849049494</v>
      </c>
      <c r="S230" s="18">
        <f t="shared" si="18"/>
        <v>0.50738359547697465</v>
      </c>
    </row>
    <row r="231" spans="1:19" x14ac:dyDescent="0.2">
      <c r="A231" s="13">
        <v>42278</v>
      </c>
      <c r="B231" s="14">
        <v>61253.45</v>
      </c>
      <c r="C231" s="14">
        <v>63879.05</v>
      </c>
      <c r="D231" s="14">
        <v>125132.5</v>
      </c>
      <c r="E231" s="14">
        <v>29295.09</v>
      </c>
      <c r="F231" s="14">
        <v>30117.439999999999</v>
      </c>
      <c r="G231" s="14">
        <v>59412.53</v>
      </c>
      <c r="I231" s="14">
        <f t="shared" si="15"/>
        <v>2765.7799999999988</v>
      </c>
      <c r="J231" s="15">
        <f t="shared" si="19"/>
        <v>2.9412997947152686E-2</v>
      </c>
      <c r="L231" s="15">
        <f t="shared" si="16"/>
        <v>0.47479695522745891</v>
      </c>
      <c r="M231" s="16">
        <v>91.174357549361446</v>
      </c>
      <c r="N231" s="16">
        <f>G231*$O$6/'[2]Used Cooking Oil Complex'!$AZ$26</f>
        <v>5.3344070781073089E-2</v>
      </c>
      <c r="O231" s="16"/>
      <c r="R231" s="18">
        <f t="shared" si="17"/>
        <v>0.48950872075599861</v>
      </c>
      <c r="S231" s="18">
        <f t="shared" si="18"/>
        <v>0.51049127924400139</v>
      </c>
    </row>
    <row r="232" spans="1:19" x14ac:dyDescent="0.2">
      <c r="A232" s="13">
        <v>42309</v>
      </c>
      <c r="B232" s="14">
        <v>61707.09</v>
      </c>
      <c r="C232" s="14">
        <v>60059.74</v>
      </c>
      <c r="D232" s="14">
        <v>121766.83</v>
      </c>
      <c r="E232" s="14">
        <v>29699.54</v>
      </c>
      <c r="F232" s="14">
        <v>28268.37</v>
      </c>
      <c r="G232" s="14">
        <v>57967.91</v>
      </c>
      <c r="I232" s="14">
        <f t="shared" si="15"/>
        <v>-1444.6199999999953</v>
      </c>
      <c r="J232" s="15">
        <f t="shared" si="19"/>
        <v>1.6407231217048235E-2</v>
      </c>
      <c r="L232" s="15">
        <f t="shared" si="16"/>
        <v>0.47605665680875492</v>
      </c>
      <c r="M232" s="16">
        <v>88.957446396058288</v>
      </c>
      <c r="N232" s="16">
        <f>G232*$O$6/'[2]Used Cooking Oil Complex'!$AZ$26</f>
        <v>5.2047005809563653E-2</v>
      </c>
      <c r="O232" s="16"/>
      <c r="R232" s="18">
        <f t="shared" si="17"/>
        <v>0.50676436267577951</v>
      </c>
      <c r="S232" s="18">
        <f t="shared" si="18"/>
        <v>0.49323563732422038</v>
      </c>
    </row>
    <row r="233" spans="1:19" x14ac:dyDescent="0.2">
      <c r="A233" s="13">
        <v>42339</v>
      </c>
      <c r="B233" s="14">
        <v>68196.91</v>
      </c>
      <c r="C233" s="14">
        <v>65100.38</v>
      </c>
      <c r="D233" s="14">
        <v>133297.28</v>
      </c>
      <c r="E233" s="14">
        <v>32940.71</v>
      </c>
      <c r="F233" s="14">
        <v>30606.31</v>
      </c>
      <c r="G233" s="14">
        <v>63547.02</v>
      </c>
      <c r="I233" s="14">
        <f t="shared" si="15"/>
        <v>5579.1099999999933</v>
      </c>
      <c r="J233" s="15">
        <f t="shared" si="19"/>
        <v>4.0321170636388848E-2</v>
      </c>
      <c r="L233" s="15">
        <f t="shared" si="16"/>
        <v>0.47673155821334084</v>
      </c>
      <c r="M233" s="16">
        <v>97.519138179714318</v>
      </c>
      <c r="N233" s="16">
        <f>G233*$O$6/'[2]Used Cooking Oil Complex'!$AZ$26</f>
        <v>5.7056259560167986E-2</v>
      </c>
      <c r="O233" s="16"/>
      <c r="R233" s="18">
        <f t="shared" si="17"/>
        <v>0.51161516574081634</v>
      </c>
      <c r="S233" s="18">
        <f t="shared" si="18"/>
        <v>0.48838490927946915</v>
      </c>
    </row>
    <row r="234" spans="1:19" x14ac:dyDescent="0.2">
      <c r="A234" s="13">
        <v>42370</v>
      </c>
      <c r="B234" s="14">
        <v>59247.32</v>
      </c>
      <c r="C234" s="14">
        <v>60660.45</v>
      </c>
      <c r="D234" s="14">
        <v>119907.77</v>
      </c>
      <c r="E234" s="14">
        <v>28535.08</v>
      </c>
      <c r="F234" s="14">
        <v>28423.69</v>
      </c>
      <c r="G234" s="14">
        <v>56958.76</v>
      </c>
      <c r="I234" s="14">
        <f t="shared" si="15"/>
        <v>-6588.2599999999948</v>
      </c>
      <c r="J234" s="15">
        <f t="shared" si="19"/>
        <v>1.6633637848152416E-2</v>
      </c>
      <c r="L234" s="15">
        <f t="shared" si="16"/>
        <v>0.47502142688501336</v>
      </c>
      <c r="M234" s="16">
        <v>87.408806691252948</v>
      </c>
      <c r="N234" s="16">
        <f>G234*$O$6/'[2]Used Cooking Oil Complex'!$AZ$26</f>
        <v>5.1140931467523014E-2</v>
      </c>
      <c r="O234" s="16"/>
      <c r="R234" s="18">
        <f t="shared" si="17"/>
        <v>0.49410742940178104</v>
      </c>
      <c r="S234" s="18">
        <f t="shared" si="18"/>
        <v>0.5058925705982189</v>
      </c>
    </row>
    <row r="235" spans="1:19" x14ac:dyDescent="0.2">
      <c r="A235" s="13">
        <v>42401</v>
      </c>
      <c r="B235" s="14">
        <v>57336.21</v>
      </c>
      <c r="C235" s="14">
        <v>62183.46</v>
      </c>
      <c r="D235" s="14">
        <v>119519.67</v>
      </c>
      <c r="E235" s="14">
        <v>27609.5</v>
      </c>
      <c r="F235" s="14">
        <v>29096.92</v>
      </c>
      <c r="G235" s="14">
        <v>56706.42</v>
      </c>
      <c r="I235" s="14">
        <f t="shared" si="15"/>
        <v>-252.34000000000378</v>
      </c>
      <c r="J235" s="15">
        <f t="shared" si="19"/>
        <v>6.200170462877308E-2</v>
      </c>
      <c r="L235" s="15">
        <f t="shared" si="16"/>
        <v>0.47445261520551385</v>
      </c>
      <c r="M235" s="16">
        <v>87.02156619864968</v>
      </c>
      <c r="N235" s="16">
        <f>G235*$O$6/'[2]Used Cooking Oil Complex'!$AZ$26</f>
        <v>5.091436574441887E-2</v>
      </c>
      <c r="O235" s="16"/>
      <c r="R235" s="18">
        <f t="shared" si="17"/>
        <v>0.47972195706363646</v>
      </c>
      <c r="S235" s="18">
        <f t="shared" si="18"/>
        <v>0.52027804293636348</v>
      </c>
    </row>
    <row r="236" spans="1:19" x14ac:dyDescent="0.2">
      <c r="A236" s="13">
        <v>42430</v>
      </c>
      <c r="B236" s="14">
        <v>61662.94</v>
      </c>
      <c r="C236" s="14">
        <v>67289.350000000006</v>
      </c>
      <c r="D236" s="14">
        <v>128952.29</v>
      </c>
      <c r="E236" s="14">
        <v>29907.1</v>
      </c>
      <c r="F236" s="14">
        <v>31418</v>
      </c>
      <c r="G236" s="14">
        <v>61325.1</v>
      </c>
      <c r="I236" s="14">
        <f t="shared" si="15"/>
        <v>4618.68</v>
      </c>
      <c r="J236" s="15">
        <f t="shared" si="19"/>
        <v>3.2437074472893901E-2</v>
      </c>
      <c r="L236" s="15">
        <f t="shared" si="16"/>
        <v>0.47556425713727146</v>
      </c>
      <c r="M236" s="16">
        <v>94.109383898486485</v>
      </c>
      <c r="N236" s="16">
        <f>G236*$O$6/'[2]Used Cooking Oil Complex'!$AZ$26</f>
        <v>5.5061288840188849E-2</v>
      </c>
      <c r="O236" s="16"/>
      <c r="R236" s="18">
        <f t="shared" si="17"/>
        <v>0.47818414081673155</v>
      </c>
      <c r="S236" s="18">
        <f t="shared" si="18"/>
        <v>0.52181585918326856</v>
      </c>
    </row>
    <row r="237" spans="1:19" x14ac:dyDescent="0.2">
      <c r="A237" s="13">
        <v>42461</v>
      </c>
      <c r="B237" s="14">
        <v>59595.32</v>
      </c>
      <c r="C237" s="14">
        <v>67716.09</v>
      </c>
      <c r="D237" s="14">
        <v>127311.42</v>
      </c>
      <c r="E237" s="14">
        <v>28867.53</v>
      </c>
      <c r="F237" s="14">
        <v>31540.6</v>
      </c>
      <c r="G237" s="14">
        <v>60408.13</v>
      </c>
      <c r="I237" s="14">
        <f t="shared" si="15"/>
        <v>-916.97000000000116</v>
      </c>
      <c r="J237" s="15">
        <f t="shared" si="19"/>
        <v>3.8944333837371392E-2</v>
      </c>
      <c r="L237" s="15">
        <f t="shared" si="16"/>
        <v>0.47449105508366807</v>
      </c>
      <c r="M237" s="16">
        <v>92.702203449479541</v>
      </c>
      <c r="N237" s="16">
        <f>G237*$O$6/'[2]Used Cooking Oil Complex'!$AZ$26</f>
        <v>5.4237979134574218E-2</v>
      </c>
      <c r="O237" s="16"/>
      <c r="R237" s="18">
        <f t="shared" si="17"/>
        <v>0.46810663175385209</v>
      </c>
      <c r="S237" s="18">
        <f t="shared" si="18"/>
        <v>0.53189328969859895</v>
      </c>
    </row>
    <row r="238" spans="1:19" x14ac:dyDescent="0.2">
      <c r="A238" s="13">
        <v>42491</v>
      </c>
      <c r="B238" s="14">
        <v>62690.64</v>
      </c>
      <c r="C238" s="14">
        <v>68922.52</v>
      </c>
      <c r="D238" s="14">
        <v>131613.16</v>
      </c>
      <c r="E238" s="14">
        <v>30529.39</v>
      </c>
      <c r="F238" s="14">
        <v>32034.29</v>
      </c>
      <c r="G238" s="14">
        <v>62563.68</v>
      </c>
      <c r="I238" s="14">
        <f t="shared" si="15"/>
        <v>2155.5500000000029</v>
      </c>
      <c r="J238" s="15">
        <f t="shared" si="19"/>
        <v>1.3103502774211684E-2</v>
      </c>
      <c r="L238" s="15">
        <f t="shared" si="16"/>
        <v>0.47536036669889242</v>
      </c>
      <c r="M238" s="16">
        <v>96.010106452693279</v>
      </c>
      <c r="N238" s="16">
        <f>G238*$O$6/'[2]Used Cooking Oil Complex'!$AZ$26</f>
        <v>5.6173358957183055E-2</v>
      </c>
      <c r="O238" s="16"/>
      <c r="R238" s="18">
        <f t="shared" si="17"/>
        <v>0.47632501187571213</v>
      </c>
      <c r="S238" s="18">
        <f t="shared" si="18"/>
        <v>0.52367498812428792</v>
      </c>
    </row>
    <row r="239" spans="1:19" x14ac:dyDescent="0.2">
      <c r="A239" s="13">
        <v>42522</v>
      </c>
      <c r="B239" s="14">
        <v>61795.56</v>
      </c>
      <c r="C239" s="14">
        <v>66829.56</v>
      </c>
      <c r="D239" s="14">
        <v>128625.13</v>
      </c>
      <c r="E239" s="14">
        <v>30210.13</v>
      </c>
      <c r="F239" s="14">
        <v>31007.68</v>
      </c>
      <c r="G239" s="14">
        <v>61217.81</v>
      </c>
      <c r="I239" s="14">
        <f t="shared" si="15"/>
        <v>-1345.8700000000026</v>
      </c>
      <c r="J239" s="15">
        <f t="shared" si="19"/>
        <v>3.8565899889658972E-2</v>
      </c>
      <c r="L239" s="15">
        <f t="shared" si="16"/>
        <v>0.47593973277228169</v>
      </c>
      <c r="M239" s="16">
        <v>93.9447368649151</v>
      </c>
      <c r="N239" s="16">
        <f>G239*$O$6/'[2]Used Cooking Oil Complex'!$AZ$26</f>
        <v>5.4964957555288151E-2</v>
      </c>
      <c r="O239" s="16"/>
      <c r="R239" s="18">
        <f t="shared" si="17"/>
        <v>0.48043146778549412</v>
      </c>
      <c r="S239" s="18">
        <f t="shared" si="18"/>
        <v>0.51956845446920052</v>
      </c>
    </row>
    <row r="240" spans="1:19" x14ac:dyDescent="0.2">
      <c r="A240" s="13">
        <v>42552</v>
      </c>
      <c r="B240" s="14">
        <v>62595.57</v>
      </c>
      <c r="C240" s="14">
        <v>68431.98</v>
      </c>
      <c r="D240" s="14">
        <v>131027.55</v>
      </c>
      <c r="E240" s="14">
        <v>30629.88</v>
      </c>
      <c r="F240" s="14">
        <v>31688.17</v>
      </c>
      <c r="G240" s="14">
        <v>62318.05</v>
      </c>
      <c r="I240" s="14">
        <f t="shared" si="15"/>
        <v>1100.2400000000052</v>
      </c>
      <c r="J240" s="15">
        <f t="shared" si="19"/>
        <v>3.1066994152085581E-2</v>
      </c>
      <c r="L240" s="15">
        <f t="shared" si="16"/>
        <v>0.47561028195978633</v>
      </c>
      <c r="M240" s="16">
        <v>95.633163113555071</v>
      </c>
      <c r="N240" s="16">
        <f>G240*$O$6/'[2]Used Cooking Oil Complex'!$AZ$26</f>
        <v>5.5952817867518045E-2</v>
      </c>
      <c r="O240" s="16"/>
      <c r="R240" s="18">
        <f t="shared" si="17"/>
        <v>0.47772830980965453</v>
      </c>
      <c r="S240" s="18">
        <f t="shared" si="18"/>
        <v>0.52227169019034547</v>
      </c>
    </row>
    <row r="241" spans="1:19" x14ac:dyDescent="0.2">
      <c r="A241" s="13">
        <v>42583</v>
      </c>
      <c r="B241" s="14">
        <v>61959.48</v>
      </c>
      <c r="C241" s="14">
        <v>67318.100000000006</v>
      </c>
      <c r="D241" s="14">
        <v>129277.59</v>
      </c>
      <c r="E241" s="14">
        <v>30333.77</v>
      </c>
      <c r="F241" s="14">
        <v>31101.67</v>
      </c>
      <c r="G241" s="14">
        <v>61435.45</v>
      </c>
      <c r="I241" s="14">
        <f t="shared" si="15"/>
        <v>-882.60000000000582</v>
      </c>
      <c r="J241" s="15">
        <f t="shared" si="19"/>
        <v>2.4978356906745214E-2</v>
      </c>
      <c r="L241" s="15">
        <f t="shared" si="16"/>
        <v>0.47522118876133135</v>
      </c>
      <c r="M241" s="16">
        <v>94.278726802341467</v>
      </c>
      <c r="N241" s="16">
        <f>G241*$O$6/'[2]Used Cooking Oil Complex'!$AZ$26</f>
        <v>5.5160367573423942E-2</v>
      </c>
      <c r="O241" s="16"/>
      <c r="R241" s="18">
        <f t="shared" si="17"/>
        <v>0.4792747142022063</v>
      </c>
      <c r="S241" s="18">
        <f t="shared" si="18"/>
        <v>0.52072520844486669</v>
      </c>
    </row>
    <row r="242" spans="1:19" x14ac:dyDescent="0.2">
      <c r="A242" s="13">
        <v>42614</v>
      </c>
      <c r="B242" s="14">
        <v>59799.199999999997</v>
      </c>
      <c r="C242" s="14">
        <v>65188.07</v>
      </c>
      <c r="D242" s="14">
        <v>124987.27</v>
      </c>
      <c r="E242" s="14">
        <v>29272.22</v>
      </c>
      <c r="F242" s="14">
        <v>30065.91</v>
      </c>
      <c r="G242" s="14">
        <v>59338.14</v>
      </c>
      <c r="I242" s="14">
        <f t="shared" si="15"/>
        <v>-2097.3099999999977</v>
      </c>
      <c r="J242" s="15">
        <f t="shared" si="19"/>
        <v>4.7511816653206029E-2</v>
      </c>
      <c r="L242" s="15">
        <f t="shared" si="16"/>
        <v>0.47475346889327208</v>
      </c>
      <c r="M242" s="16">
        <v>91.060198794329509</v>
      </c>
      <c r="N242" s="16">
        <f>G242*$O$6/'[2]Used Cooking Oil Complex'!$AZ$26</f>
        <v>5.3277279055061688E-2</v>
      </c>
      <c r="O242" s="16"/>
      <c r="R242" s="18">
        <f t="shared" si="17"/>
        <v>0.47844232456633379</v>
      </c>
      <c r="S242" s="18">
        <f t="shared" si="18"/>
        <v>0.52155767543366616</v>
      </c>
    </row>
    <row r="243" spans="1:19" x14ac:dyDescent="0.2">
      <c r="A243" s="13">
        <v>42644</v>
      </c>
      <c r="B243" s="14">
        <v>61910.78</v>
      </c>
      <c r="C243" s="14">
        <v>66759.100000000006</v>
      </c>
      <c r="D243" s="14">
        <v>128669.88</v>
      </c>
      <c r="E243" s="14">
        <v>30302.68</v>
      </c>
      <c r="F243" s="14">
        <v>30748.93</v>
      </c>
      <c r="G243" s="14">
        <v>61051.61</v>
      </c>
      <c r="I243" s="14">
        <f t="shared" si="15"/>
        <v>1713.4700000000012</v>
      </c>
      <c r="J243" s="15">
        <f t="shared" si="19"/>
        <v>2.7588119879762729E-2</v>
      </c>
      <c r="L243" s="15">
        <f t="shared" si="16"/>
        <v>0.47448252846742378</v>
      </c>
      <c r="M243" s="16">
        <v>93.689686655393572</v>
      </c>
      <c r="N243" s="16">
        <f>G243*$O$6/'[2]Used Cooking Oil Complex'!$AZ$26</f>
        <v>5.4815733400655882E-2</v>
      </c>
      <c r="O243" s="16"/>
      <c r="R243" s="18">
        <f t="shared" si="17"/>
        <v>0.48115984875403628</v>
      </c>
      <c r="S243" s="18">
        <f t="shared" si="18"/>
        <v>0.51884015124596372</v>
      </c>
    </row>
    <row r="244" spans="1:19" x14ac:dyDescent="0.2">
      <c r="A244" s="13">
        <v>42675</v>
      </c>
      <c r="B244" s="14">
        <v>63173.58</v>
      </c>
      <c r="C244" s="14">
        <v>64155.519999999997</v>
      </c>
      <c r="D244" s="14">
        <v>127329.11</v>
      </c>
      <c r="E244" s="14">
        <v>31079.33</v>
      </c>
      <c r="F244" s="14">
        <v>29522.95</v>
      </c>
      <c r="G244" s="14">
        <v>60602.27</v>
      </c>
      <c r="I244" s="14">
        <f t="shared" si="15"/>
        <v>-449.34000000000378</v>
      </c>
      <c r="J244" s="15">
        <f t="shared" si="19"/>
        <v>4.54451437010579E-2</v>
      </c>
      <c r="L244" s="15">
        <f t="shared" si="16"/>
        <v>0.4759498436767523</v>
      </c>
      <c r="M244" s="16">
        <v>93.000130330806314</v>
      </c>
      <c r="N244" s="16">
        <f>G244*$O$6/'[2]Used Cooking Oil Complex'!$AZ$26</f>
        <v>5.4412289467789067E-2</v>
      </c>
      <c r="O244" s="16"/>
      <c r="R244" s="18">
        <f t="shared" si="17"/>
        <v>0.49614404750021424</v>
      </c>
      <c r="S244" s="18">
        <f t="shared" si="18"/>
        <v>0.50385587396314946</v>
      </c>
    </row>
    <row r="245" spans="1:19" x14ac:dyDescent="0.2">
      <c r="A245" s="13">
        <v>42705</v>
      </c>
      <c r="B245" s="14">
        <v>70428.47</v>
      </c>
      <c r="C245" s="14">
        <v>68868.37</v>
      </c>
      <c r="D245" s="14">
        <v>139296.84</v>
      </c>
      <c r="E245" s="14">
        <v>34716.769999999997</v>
      </c>
      <c r="F245" s="14">
        <v>31643.279999999999</v>
      </c>
      <c r="G245" s="14">
        <v>66360.05</v>
      </c>
      <c r="I245" s="14">
        <f t="shared" si="15"/>
        <v>5757.7800000000061</v>
      </c>
      <c r="J245" s="15">
        <f t="shared" si="19"/>
        <v>4.4266906614975898E-2</v>
      </c>
      <c r="L245" s="15">
        <f t="shared" si="16"/>
        <v>0.47639307539209075</v>
      </c>
      <c r="M245" s="16">
        <v>101.83600876268866</v>
      </c>
      <c r="N245" s="16">
        <f>G245*$O$6/'[2]Used Cooking Oil Complex'!$AZ$26</f>
        <v>5.9581963673917764E-2</v>
      </c>
      <c r="O245" s="16"/>
      <c r="R245" s="18">
        <f t="shared" si="17"/>
        <v>0.50559991167064522</v>
      </c>
      <c r="S245" s="18">
        <f t="shared" si="18"/>
        <v>0.49440008832935478</v>
      </c>
    </row>
    <row r="246" spans="1:19" x14ac:dyDescent="0.2">
      <c r="A246" s="13">
        <v>42736</v>
      </c>
      <c r="B246" s="14">
        <v>60599.96</v>
      </c>
      <c r="C246" s="14">
        <v>65878.679999999993</v>
      </c>
      <c r="D246" s="14">
        <v>126478.64</v>
      </c>
      <c r="E246" s="14">
        <v>29769.43</v>
      </c>
      <c r="F246" s="14">
        <v>30157.86</v>
      </c>
      <c r="G246" s="14">
        <v>59927.29</v>
      </c>
      <c r="I246" s="14">
        <f t="shared" si="15"/>
        <v>-6432.760000000002</v>
      </c>
      <c r="J246" s="15">
        <f t="shared" si="19"/>
        <v>5.2117180921775752E-2</v>
      </c>
      <c r="L246" s="15">
        <f t="shared" si="16"/>
        <v>0.47381352297905799</v>
      </c>
      <c r="M246" s="16">
        <v>91.964307283737497</v>
      </c>
      <c r="N246" s="16">
        <f>G246*$O$6/'[2]Used Cooking Oil Complex'!$AZ$26</f>
        <v>5.3806252645324036E-2</v>
      </c>
      <c r="O246" s="16"/>
      <c r="R246" s="18">
        <f t="shared" si="17"/>
        <v>0.47913197042599448</v>
      </c>
      <c r="S246" s="18">
        <f t="shared" si="18"/>
        <v>0.52086802957400546</v>
      </c>
    </row>
    <row r="247" spans="1:19" x14ac:dyDescent="0.2">
      <c r="A247" s="13">
        <v>42767</v>
      </c>
      <c r="B247" s="14">
        <v>57775.86</v>
      </c>
      <c r="C247" s="14">
        <v>65269.599999999999</v>
      </c>
      <c r="D247" s="14">
        <v>123045.45</v>
      </c>
      <c r="E247" s="14">
        <v>28316.13</v>
      </c>
      <c r="F247" s="14">
        <v>29817.73</v>
      </c>
      <c r="G247" s="14">
        <v>58133.87</v>
      </c>
      <c r="I247" s="14">
        <f t="shared" si="15"/>
        <v>-1793.4199999999983</v>
      </c>
      <c r="J247" s="15">
        <f t="shared" si="19"/>
        <v>2.5172634773981573E-2</v>
      </c>
      <c r="L247" s="15">
        <f t="shared" si="16"/>
        <v>0.47245851024966795</v>
      </c>
      <c r="M247" s="16">
        <v>89.212128302028162</v>
      </c>
      <c r="N247" s="16">
        <f>G247*$O$6/'[2]Used Cooking Oil Complex'!$AZ$26</f>
        <v>5.2196014478052048E-2</v>
      </c>
      <c r="O247" s="16"/>
      <c r="R247" s="18">
        <f t="shared" si="17"/>
        <v>0.46954893496671352</v>
      </c>
      <c r="S247" s="18">
        <f t="shared" si="18"/>
        <v>0.53045114630406898</v>
      </c>
    </row>
    <row r="248" spans="1:19" x14ac:dyDescent="0.2">
      <c r="A248" s="13">
        <v>42795</v>
      </c>
      <c r="B248" s="14">
        <v>63544.79</v>
      </c>
      <c r="C248" s="14">
        <v>73583.05</v>
      </c>
      <c r="D248" s="14">
        <v>137127.84</v>
      </c>
      <c r="E248" s="14">
        <v>31099.33</v>
      </c>
      <c r="F248" s="14">
        <v>33561.64</v>
      </c>
      <c r="G248" s="14">
        <v>64660.97</v>
      </c>
      <c r="I248" s="14">
        <f t="shared" si="15"/>
        <v>6527.0999999999985</v>
      </c>
      <c r="J248" s="15">
        <f t="shared" si="19"/>
        <v>5.4396486919711551E-2</v>
      </c>
      <c r="L248" s="15">
        <f t="shared" si="16"/>
        <v>0.47153787298042471</v>
      </c>
      <c r="M248" s="16">
        <v>99.228603768742616</v>
      </c>
      <c r="N248" s="16">
        <f>G248*$O$6/'[2]Used Cooking Oil Complex'!$AZ$26</f>
        <v>5.8056429518366641E-2</v>
      </c>
      <c r="O248" s="16"/>
      <c r="R248" s="18">
        <f t="shared" si="17"/>
        <v>0.46339816918285887</v>
      </c>
      <c r="S248" s="18">
        <f t="shared" si="18"/>
        <v>0.53660183081714119</v>
      </c>
    </row>
    <row r="249" spans="1:19" x14ac:dyDescent="0.2">
      <c r="A249" s="13">
        <v>42826</v>
      </c>
      <c r="B249" s="14">
        <v>62660.47</v>
      </c>
      <c r="C249" s="14">
        <v>71811.66</v>
      </c>
      <c r="D249" s="14">
        <v>134472.13</v>
      </c>
      <c r="E249" s="14">
        <v>30594.49</v>
      </c>
      <c r="F249" s="14">
        <v>32680.65</v>
      </c>
      <c r="G249" s="14">
        <v>63275.14</v>
      </c>
      <c r="I249" s="14">
        <f t="shared" si="15"/>
        <v>-1385.8300000000017</v>
      </c>
      <c r="J249" s="15">
        <f t="shared" si="19"/>
        <v>4.7460664648947049E-2</v>
      </c>
      <c r="L249" s="15">
        <f t="shared" si="16"/>
        <v>0.4705446399934321</v>
      </c>
      <c r="M249" s="16">
        <v>97.10191163961376</v>
      </c>
      <c r="N249" s="16">
        <f>G249*$O$6/'[2]Used Cooking Oil Complex'!$AZ$26</f>
        <v>5.6812149673516839E-2</v>
      </c>
      <c r="O249" s="16"/>
      <c r="R249" s="18">
        <f t="shared" si="17"/>
        <v>0.46597365565638021</v>
      </c>
      <c r="S249" s="18">
        <f t="shared" si="18"/>
        <v>0.53402634434361973</v>
      </c>
    </row>
    <row r="250" spans="1:19" x14ac:dyDescent="0.2">
      <c r="A250" s="13">
        <v>42856</v>
      </c>
      <c r="B250" s="14">
        <v>65007.360000000001</v>
      </c>
      <c r="C250" s="14">
        <v>73825.38</v>
      </c>
      <c r="D250" s="14">
        <v>138832.73000000001</v>
      </c>
      <c r="E250" s="14">
        <v>31720.86</v>
      </c>
      <c r="F250" s="14">
        <v>33537.43</v>
      </c>
      <c r="G250" s="14">
        <v>65258.29</v>
      </c>
      <c r="I250" s="14">
        <f t="shared" si="15"/>
        <v>1983.1500000000015</v>
      </c>
      <c r="J250" s="15">
        <f t="shared" si="19"/>
        <v>4.3069876963759191E-2</v>
      </c>
      <c r="L250" s="15">
        <f t="shared" si="16"/>
        <v>0.47004974979603148</v>
      </c>
      <c r="M250" s="16">
        <v>100.14524992488822</v>
      </c>
      <c r="N250" s="16">
        <f>G250*$O$6/'[2]Used Cooking Oil Complex'!$AZ$26</f>
        <v>5.8592738616110009E-2</v>
      </c>
      <c r="O250" s="16"/>
      <c r="R250" s="18">
        <f t="shared" si="17"/>
        <v>0.4682423229738405</v>
      </c>
      <c r="S250" s="18">
        <f t="shared" si="18"/>
        <v>0.53175774905528406</v>
      </c>
    </row>
    <row r="251" spans="1:19" x14ac:dyDescent="0.2">
      <c r="A251" s="13">
        <v>42887</v>
      </c>
      <c r="B251" s="14">
        <v>63554.6</v>
      </c>
      <c r="C251" s="14">
        <v>72556.490000000005</v>
      </c>
      <c r="D251" s="14">
        <v>136111.09</v>
      </c>
      <c r="E251" s="14">
        <v>31098.38</v>
      </c>
      <c r="F251" s="14">
        <v>32949.07</v>
      </c>
      <c r="G251" s="14">
        <v>64047.46</v>
      </c>
      <c r="I251" s="14">
        <f t="shared" si="15"/>
        <v>-1210.8300000000017</v>
      </c>
      <c r="J251" s="15">
        <f t="shared" si="19"/>
        <v>4.6222659712916947E-2</v>
      </c>
      <c r="L251" s="15">
        <f t="shared" si="16"/>
        <v>0.47055284033064465</v>
      </c>
      <c r="M251" s="16">
        <v>98.287112468841599</v>
      </c>
      <c r="N251" s="16">
        <f>G251*$O$6/'[2]Used Cooking Oil Complex'!$AZ$26</f>
        <v>5.7505584084501161E-2</v>
      </c>
      <c r="O251" s="16"/>
      <c r="R251" s="18">
        <f t="shared" si="17"/>
        <v>0.46693182752412021</v>
      </c>
      <c r="S251" s="18">
        <f t="shared" si="18"/>
        <v>0.5330681724758799</v>
      </c>
    </row>
    <row r="252" spans="1:19" x14ac:dyDescent="0.2">
      <c r="A252" s="13">
        <v>42917</v>
      </c>
      <c r="B252" s="14">
        <v>64063.23</v>
      </c>
      <c r="C252" s="14">
        <v>72464.58</v>
      </c>
      <c r="D252" s="14">
        <v>136527.81</v>
      </c>
      <c r="E252" s="14">
        <v>31261.599999999999</v>
      </c>
      <c r="F252" s="14">
        <v>32855.4</v>
      </c>
      <c r="G252" s="14">
        <v>64117</v>
      </c>
      <c r="I252" s="14">
        <f t="shared" si="15"/>
        <v>69.540000000000873</v>
      </c>
      <c r="J252" s="15">
        <f t="shared" si="19"/>
        <v>2.8867238304151055E-2</v>
      </c>
      <c r="L252" s="15">
        <f t="shared" si="16"/>
        <v>0.46962593188889501</v>
      </c>
      <c r="M252" s="16">
        <v>98.393828422933808</v>
      </c>
      <c r="N252" s="16">
        <f>G252*$O$6/'[2]Used Cooking Oil Complex'!$AZ$26</f>
        <v>5.756802119468845E-2</v>
      </c>
      <c r="O252" s="16"/>
      <c r="R252" s="18">
        <f t="shared" si="17"/>
        <v>0.46923209271429756</v>
      </c>
      <c r="S252" s="18">
        <f t="shared" si="18"/>
        <v>0.53076790728570244</v>
      </c>
    </row>
    <row r="253" spans="1:19" x14ac:dyDescent="0.2">
      <c r="A253" s="13">
        <v>42948</v>
      </c>
      <c r="B253" s="14">
        <v>64677.03</v>
      </c>
      <c r="C253" s="14">
        <v>72280.02</v>
      </c>
      <c r="D253" s="14">
        <v>136957.04999999999</v>
      </c>
      <c r="E253" s="14">
        <v>31575.66</v>
      </c>
      <c r="F253" s="14">
        <v>32665.57</v>
      </c>
      <c r="G253" s="14">
        <v>64241.23</v>
      </c>
      <c r="I253" s="14">
        <f t="shared" si="15"/>
        <v>124.2300000000032</v>
      </c>
      <c r="J253" s="15">
        <f t="shared" si="19"/>
        <v>4.5670374352267507E-2</v>
      </c>
      <c r="L253" s="15">
        <f t="shared" si="16"/>
        <v>0.46906113997052368</v>
      </c>
      <c r="M253" s="16">
        <v>98.584471548859554</v>
      </c>
      <c r="N253" s="16">
        <f>G253*$O$6/'[2]Used Cooking Oil Complex'!$AZ$26</f>
        <v>5.767956220991087E-2</v>
      </c>
      <c r="O253" s="16"/>
      <c r="R253" s="18">
        <f t="shared" si="17"/>
        <v>0.47224315944305173</v>
      </c>
      <c r="S253" s="18">
        <f t="shared" si="18"/>
        <v>0.52775684055694838</v>
      </c>
    </row>
    <row r="254" spans="1:19" x14ac:dyDescent="0.2">
      <c r="A254" s="13">
        <v>42979</v>
      </c>
      <c r="B254" s="14">
        <v>62962.15</v>
      </c>
      <c r="C254" s="14">
        <v>69590.960000000006</v>
      </c>
      <c r="D254" s="14">
        <v>132553.10999999999</v>
      </c>
      <c r="E254" s="14">
        <v>30701.81</v>
      </c>
      <c r="F254" s="14">
        <v>31353.63</v>
      </c>
      <c r="G254" s="14">
        <v>62055.44</v>
      </c>
      <c r="I254" s="14">
        <f t="shared" si="15"/>
        <v>-2185.7900000000009</v>
      </c>
      <c r="J254" s="15">
        <f t="shared" si="19"/>
        <v>4.5793481224723376E-2</v>
      </c>
      <c r="L254" s="15">
        <f t="shared" si="16"/>
        <v>0.46815529262195366</v>
      </c>
      <c r="M254" s="16">
        <v>95.230162298137216</v>
      </c>
      <c r="N254" s="16">
        <f>G254*$O$6/'[2]Used Cooking Oil Complex'!$AZ$26</f>
        <v>5.5717031133174E-2</v>
      </c>
      <c r="O254" s="16"/>
      <c r="R254" s="18">
        <f t="shared" si="17"/>
        <v>0.47499564514178511</v>
      </c>
      <c r="S254" s="18">
        <f t="shared" si="18"/>
        <v>0.52500435485821506</v>
      </c>
    </row>
    <row r="255" spans="1:19" x14ac:dyDescent="0.2">
      <c r="A255" s="13">
        <v>43009</v>
      </c>
      <c r="B255" s="14">
        <v>64126.66</v>
      </c>
      <c r="C255" s="14">
        <v>70636.22</v>
      </c>
      <c r="D255" s="14">
        <v>134762.88</v>
      </c>
      <c r="E255" s="14">
        <v>31215.48</v>
      </c>
      <c r="F255" s="14">
        <v>31788.7</v>
      </c>
      <c r="G255" s="14">
        <v>63004.18</v>
      </c>
      <c r="I255" s="14">
        <f t="shared" si="15"/>
        <v>948.73999999999796</v>
      </c>
      <c r="J255" s="15">
        <f t="shared" si="19"/>
        <v>3.1982285151857637E-2</v>
      </c>
      <c r="L255" s="15">
        <f t="shared" si="16"/>
        <v>0.46751880042931704</v>
      </c>
      <c r="M255" s="16">
        <v>96.686096929794559</v>
      </c>
      <c r="N255" s="16">
        <f>G255*$O$6/'[2]Used Cooking Oil Complex'!$AZ$26</f>
        <v>5.6568865817083869E-2</v>
      </c>
      <c r="O255" s="16"/>
      <c r="R255" s="18">
        <f t="shared" si="17"/>
        <v>0.4758480970427465</v>
      </c>
      <c r="S255" s="18">
        <f t="shared" si="18"/>
        <v>0.52415190295725345</v>
      </c>
    </row>
    <row r="256" spans="1:19" x14ac:dyDescent="0.2">
      <c r="A256" s="13">
        <v>43040</v>
      </c>
      <c r="B256" s="14">
        <v>66767.44</v>
      </c>
      <c r="C256" s="14">
        <v>68112.59</v>
      </c>
      <c r="D256" s="14">
        <v>134880.03</v>
      </c>
      <c r="E256" s="14">
        <v>32656.37</v>
      </c>
      <c r="F256" s="14">
        <v>30597.14</v>
      </c>
      <c r="G256" s="14">
        <v>63253.51</v>
      </c>
      <c r="I256" s="14">
        <f t="shared" si="15"/>
        <v>249.33000000000175</v>
      </c>
      <c r="J256" s="15">
        <f t="shared" si="19"/>
        <v>4.37481962309334E-2</v>
      </c>
      <c r="L256" s="15">
        <f t="shared" si="16"/>
        <v>0.46896126876602862</v>
      </c>
      <c r="M256" s="16">
        <v>97.068718282020811</v>
      </c>
      <c r="N256" s="16">
        <f>G256*$O$6/'[2]Used Cooking Oil Complex'!$AZ$26</f>
        <v>5.6792728984800249E-2</v>
      </c>
      <c r="O256" s="16"/>
      <c r="R256" s="18">
        <f t="shared" si="17"/>
        <v>0.4950135316547602</v>
      </c>
      <c r="S256" s="18">
        <f t="shared" si="18"/>
        <v>0.50498646834523986</v>
      </c>
    </row>
    <row r="257" spans="1:19" x14ac:dyDescent="0.2">
      <c r="A257" s="13">
        <v>43070</v>
      </c>
      <c r="B257" s="14">
        <v>74097.399999999994</v>
      </c>
      <c r="C257" s="14">
        <v>74582.37</v>
      </c>
      <c r="D257" s="14">
        <v>148679.76999999999</v>
      </c>
      <c r="E257" s="14">
        <v>36214.76</v>
      </c>
      <c r="F257" s="14">
        <v>33422.22</v>
      </c>
      <c r="G257" s="14">
        <v>69636.98</v>
      </c>
      <c r="I257" s="14">
        <f t="shared" si="15"/>
        <v>6383.4699999999939</v>
      </c>
      <c r="J257" s="15">
        <f t="shared" si="19"/>
        <v>4.93810658671896E-2</v>
      </c>
      <c r="L257" s="15">
        <f t="shared" si="16"/>
        <v>0.46836889779961322</v>
      </c>
      <c r="M257" s="16">
        <v>106.86477941905069</v>
      </c>
      <c r="N257" s="16">
        <f>G257*$O$6/'[2]Used Cooking Oil Complex'!$AZ$26</f>
        <v>6.2524184546596001E-2</v>
      </c>
      <c r="O257" s="16"/>
      <c r="R257" s="18">
        <f t="shared" si="17"/>
        <v>0.49836907872537062</v>
      </c>
      <c r="S257" s="18">
        <f t="shared" si="18"/>
        <v>0.50163092127462938</v>
      </c>
    </row>
    <row r="258" spans="1:19" x14ac:dyDescent="0.2">
      <c r="A258" s="13">
        <v>43101</v>
      </c>
      <c r="B258" s="14">
        <v>62937.86</v>
      </c>
      <c r="C258" s="14">
        <v>66709.289999999994</v>
      </c>
      <c r="D258" s="14">
        <v>129647.14</v>
      </c>
      <c r="E258" s="14">
        <v>30599.38</v>
      </c>
      <c r="F258" s="14">
        <v>29791.68</v>
      </c>
      <c r="G258" s="14">
        <v>60391.05</v>
      </c>
      <c r="I258" s="14">
        <f t="shared" si="15"/>
        <v>-9245.929999999993</v>
      </c>
      <c r="J258" s="15">
        <f t="shared" si="19"/>
        <v>7.7387113617184422E-3</v>
      </c>
      <c r="L258" s="15">
        <f t="shared" si="16"/>
        <v>0.46581089255034863</v>
      </c>
      <c r="M258" s="16">
        <v>92.675992513386731</v>
      </c>
      <c r="N258" s="16">
        <f>G258*$O$6/'[2]Used Cooking Oil Complex'!$AZ$26</f>
        <v>5.4222643704001906E-2</v>
      </c>
      <c r="O258" s="16"/>
      <c r="R258" s="18">
        <f t="shared" si="17"/>
        <v>0.48545505901634234</v>
      </c>
      <c r="S258" s="18">
        <f t="shared" si="18"/>
        <v>0.51454501811609565</v>
      </c>
    </row>
    <row r="259" spans="1:19" x14ac:dyDescent="0.2">
      <c r="A259" s="13">
        <v>43132</v>
      </c>
      <c r="B259" s="14">
        <v>59646.94</v>
      </c>
      <c r="C259" s="14">
        <v>66663.05</v>
      </c>
      <c r="D259" s="14">
        <v>126309.98</v>
      </c>
      <c r="E259" s="14">
        <v>29076.74</v>
      </c>
      <c r="F259" s="14">
        <v>29698.84</v>
      </c>
      <c r="G259" s="14">
        <v>58775.58</v>
      </c>
      <c r="I259" s="14">
        <f t="shared" si="15"/>
        <v>-1615.4700000000012</v>
      </c>
      <c r="J259" s="15">
        <f t="shared" si="19"/>
        <v>1.1038487546072506E-2</v>
      </c>
      <c r="L259" s="15">
        <f t="shared" si="16"/>
        <v>0.46532807621377187</v>
      </c>
      <c r="M259" s="16">
        <v>90.196895269248714</v>
      </c>
      <c r="N259" s="16">
        <f>G259*$O$6/'[2]Used Cooking Oil Complex'!$AZ$26</f>
        <v>5.2772179533822648E-2</v>
      </c>
      <c r="O259" s="16"/>
      <c r="R259" s="18">
        <f t="shared" si="17"/>
        <v>0.47222666015781178</v>
      </c>
      <c r="S259" s="18">
        <f t="shared" si="18"/>
        <v>0.52777341901249608</v>
      </c>
    </row>
    <row r="260" spans="1:19" x14ac:dyDescent="0.2">
      <c r="A260" s="13">
        <v>43160</v>
      </c>
      <c r="B260" s="14">
        <v>67607.81</v>
      </c>
      <c r="C260" s="14">
        <v>76631.039999999994</v>
      </c>
      <c r="D260" s="14">
        <v>144238.84</v>
      </c>
      <c r="E260" s="14">
        <v>32961.919999999998</v>
      </c>
      <c r="F260" s="14">
        <v>34102.480000000003</v>
      </c>
      <c r="G260" s="14">
        <v>67064.41</v>
      </c>
      <c r="I260" s="14">
        <f t="shared" si="15"/>
        <v>8288.8300000000017</v>
      </c>
      <c r="J260" s="15">
        <f t="shared" si="19"/>
        <v>3.7169872335661047E-2</v>
      </c>
      <c r="L260" s="15">
        <f t="shared" si="16"/>
        <v>0.46495389175342788</v>
      </c>
      <c r="M260" s="16">
        <v>102.91691830287266</v>
      </c>
      <c r="N260" s="16">
        <f>G260*$O$6/'[2]Used Cooking Oil Complex'!$AZ$26</f>
        <v>6.0214379591828626E-2</v>
      </c>
      <c r="O260" s="16"/>
      <c r="R260" s="18">
        <f t="shared" si="17"/>
        <v>0.46872125427520078</v>
      </c>
      <c r="S260" s="18">
        <f t="shared" si="18"/>
        <v>0.53127881505425301</v>
      </c>
    </row>
    <row r="261" spans="1:19" x14ac:dyDescent="0.2">
      <c r="A261" s="13">
        <v>43191</v>
      </c>
      <c r="B261" s="14">
        <v>62928.73</v>
      </c>
      <c r="C261" s="14">
        <v>73495.199999999997</v>
      </c>
      <c r="D261" s="14">
        <v>136423.92000000001</v>
      </c>
      <c r="E261" s="14">
        <v>30556.59</v>
      </c>
      <c r="F261" s="14">
        <v>32628.29</v>
      </c>
      <c r="G261" s="14">
        <v>63184.88</v>
      </c>
      <c r="I261" s="14">
        <f t="shared" si="15"/>
        <v>-3879.5300000000061</v>
      </c>
      <c r="J261" s="15">
        <f t="shared" si="19"/>
        <v>-1.4264685941429711E-3</v>
      </c>
      <c r="L261" s="15">
        <f t="shared" si="16"/>
        <v>0.46315103685629316</v>
      </c>
      <c r="M261" s="16">
        <v>96.963398812228604</v>
      </c>
      <c r="N261" s="16">
        <f>G261*$O$6/'[2]Used Cooking Oil Complex'!$AZ$26</f>
        <v>5.6731108926241815E-2</v>
      </c>
      <c r="O261" s="16"/>
      <c r="R261" s="18">
        <f t="shared" si="17"/>
        <v>0.461273433573819</v>
      </c>
      <c r="S261" s="18">
        <f t="shared" si="18"/>
        <v>0.53872663972710932</v>
      </c>
    </row>
    <row r="262" spans="1:19" x14ac:dyDescent="0.2">
      <c r="A262" s="13">
        <v>43221</v>
      </c>
      <c r="B262" s="14">
        <v>68179.039999999994</v>
      </c>
      <c r="C262" s="14">
        <v>78598.73</v>
      </c>
      <c r="D262" s="14">
        <v>146777.78</v>
      </c>
      <c r="E262" s="14">
        <v>33222.5</v>
      </c>
      <c r="F262" s="14">
        <v>34778.160000000003</v>
      </c>
      <c r="G262" s="14">
        <v>68000.66</v>
      </c>
      <c r="I262" s="14">
        <f t="shared" si="15"/>
        <v>4815.7800000000061</v>
      </c>
      <c r="J262" s="15">
        <f t="shared" si="19"/>
        <v>4.2023319949082261E-2</v>
      </c>
      <c r="L262" s="15">
        <f t="shared" si="16"/>
        <v>0.46328987943542954</v>
      </c>
      <c r="M262" s="16">
        <v>104.35368580386259</v>
      </c>
      <c r="N262" s="16">
        <f>G262*$O$6/'[2]Used Cooking Oil Complex'!$AZ$26</f>
        <v>6.1055000017667754E-2</v>
      </c>
      <c r="O262" s="16"/>
      <c r="R262" s="18">
        <f t="shared" si="17"/>
        <v>0.46450518600294943</v>
      </c>
      <c r="S262" s="18">
        <f t="shared" si="18"/>
        <v>0.53549474586684709</v>
      </c>
    </row>
    <row r="263" spans="1:19" x14ac:dyDescent="0.2">
      <c r="A263" s="13">
        <v>43252</v>
      </c>
      <c r="B263" s="14">
        <v>66461.81</v>
      </c>
      <c r="C263" s="14">
        <v>78490.36</v>
      </c>
      <c r="D263" s="14">
        <v>144952.17000000001</v>
      </c>
      <c r="E263" s="14">
        <v>32403.19</v>
      </c>
      <c r="F263" s="14">
        <v>34667.120000000003</v>
      </c>
      <c r="G263" s="14">
        <v>67070.31</v>
      </c>
      <c r="I263" s="14">
        <f t="shared" ref="I263:I326" si="20">G263-G262</f>
        <v>-930.35000000000582</v>
      </c>
      <c r="J263" s="15">
        <f t="shared" si="19"/>
        <v>4.7197031701179171E-2</v>
      </c>
      <c r="L263" s="15">
        <f t="shared" ref="L263:L325" si="21">G263/D263</f>
        <v>0.46270649138953901</v>
      </c>
      <c r="M263" s="16">
        <v>102.92597243185087</v>
      </c>
      <c r="N263" s="16">
        <f>G263*$O$6/'[2]Used Cooking Oil Complex'!$AZ$26</f>
        <v>6.0219676959532176E-2</v>
      </c>
      <c r="O263" s="16"/>
      <c r="R263" s="18">
        <f t="shared" ref="R263:R314" si="22">B263/D263</f>
        <v>0.45850855492539361</v>
      </c>
      <c r="S263" s="18">
        <f t="shared" ref="S263:S326" si="23">C263/D263</f>
        <v>0.54149144507460634</v>
      </c>
    </row>
    <row r="264" spans="1:19" x14ac:dyDescent="0.2">
      <c r="A264" s="13">
        <v>43282</v>
      </c>
      <c r="B264" s="14">
        <v>66790.399999999994</v>
      </c>
      <c r="C264" s="14">
        <v>78526.990000000005</v>
      </c>
      <c r="D264" s="14">
        <v>145317.39000000001</v>
      </c>
      <c r="E264" s="14">
        <v>32473.5</v>
      </c>
      <c r="F264" s="14">
        <v>34643.480000000003</v>
      </c>
      <c r="G264" s="14">
        <v>67116.98</v>
      </c>
      <c r="I264" s="14">
        <f t="shared" si="20"/>
        <v>46.669999999998254</v>
      </c>
      <c r="J264" s="15">
        <f t="shared" si="19"/>
        <v>4.6789151083175939E-2</v>
      </c>
      <c r="L264" s="15">
        <f t="shared" si="21"/>
        <v>0.46186474997933824</v>
      </c>
      <c r="M264" s="16">
        <v>102.99759212666656</v>
      </c>
      <c r="N264" s="16">
        <f>G264*$O$6/'[2]Used Cooking Oil Complex'!$AZ$26</f>
        <v>6.0261580035926209E-2</v>
      </c>
      <c r="O264" s="16"/>
      <c r="R264" s="18">
        <f t="shared" si="22"/>
        <v>0.45961739334844914</v>
      </c>
      <c r="S264" s="18">
        <f t="shared" si="23"/>
        <v>0.5403826066515508</v>
      </c>
    </row>
    <row r="265" spans="1:19" x14ac:dyDescent="0.2">
      <c r="A265" s="13">
        <v>43313</v>
      </c>
      <c r="B265" s="14">
        <v>67890.12</v>
      </c>
      <c r="C265" s="14">
        <v>79199.89</v>
      </c>
      <c r="D265" s="14">
        <v>147090</v>
      </c>
      <c r="E265" s="14">
        <v>32981.379999999997</v>
      </c>
      <c r="F265" s="14">
        <v>34874.29</v>
      </c>
      <c r="G265" s="14">
        <v>67855.67</v>
      </c>
      <c r="I265" s="14">
        <f t="shared" si="20"/>
        <v>738.69000000000233</v>
      </c>
      <c r="J265" s="15">
        <f t="shared" si="19"/>
        <v>5.6263555352224603E-2</v>
      </c>
      <c r="L265" s="15">
        <f t="shared" si="21"/>
        <v>0.46132075599972805</v>
      </c>
      <c r="M265" s="16">
        <v>104.13118442071863</v>
      </c>
      <c r="N265" s="16">
        <f>G265*$O$6/'[2]Used Cooking Oil Complex'!$AZ$26</f>
        <v>6.0924819451000284E-2</v>
      </c>
      <c r="O265" s="16"/>
      <c r="R265" s="18">
        <f t="shared" si="22"/>
        <v>0.46155496634713439</v>
      </c>
      <c r="S265" s="18">
        <f t="shared" si="23"/>
        <v>0.53844510163845261</v>
      </c>
    </row>
    <row r="266" spans="1:19" x14ac:dyDescent="0.2">
      <c r="A266" s="13">
        <v>43344</v>
      </c>
      <c r="B266" s="14">
        <v>64531.78</v>
      </c>
      <c r="C266" s="14">
        <v>73341.89</v>
      </c>
      <c r="D266" s="14">
        <v>137873.67000000001</v>
      </c>
      <c r="E266" s="14">
        <v>31335.51</v>
      </c>
      <c r="F266" s="14">
        <v>32223.77</v>
      </c>
      <c r="G266" s="14">
        <v>63559.29</v>
      </c>
      <c r="I266" s="14">
        <f t="shared" si="20"/>
        <v>-4296.3799999999974</v>
      </c>
      <c r="J266" s="15">
        <f t="shared" si="19"/>
        <v>2.4233975296928056E-2</v>
      </c>
      <c r="L266" s="15">
        <f t="shared" si="21"/>
        <v>0.46099657751911582</v>
      </c>
      <c r="M266" s="16">
        <v>97.537967698792713</v>
      </c>
      <c r="N266" s="16">
        <f>G266*$O$6/'[2]Used Cooking Oil Complex'!$AZ$26</f>
        <v>5.7067276289273508E-2</v>
      </c>
      <c r="O266" s="16"/>
      <c r="R266" s="18">
        <f t="shared" si="22"/>
        <v>0.46805006351103873</v>
      </c>
      <c r="S266" s="18">
        <f t="shared" si="23"/>
        <v>0.53194993648896116</v>
      </c>
    </row>
    <row r="267" spans="1:19" x14ac:dyDescent="0.2">
      <c r="A267" s="13">
        <v>43374</v>
      </c>
      <c r="B267" s="14">
        <v>66839.210000000006</v>
      </c>
      <c r="C267" s="14">
        <v>75319.710000000006</v>
      </c>
      <c r="D267" s="14">
        <v>142158.92000000001</v>
      </c>
      <c r="E267" s="14">
        <v>32488.84</v>
      </c>
      <c r="F267" s="14">
        <v>33062.35</v>
      </c>
      <c r="G267" s="14">
        <v>65551.19</v>
      </c>
      <c r="I267" s="14">
        <f t="shared" si="20"/>
        <v>1991.9000000000015</v>
      </c>
      <c r="J267" s="15">
        <f t="shared" si="19"/>
        <v>4.042604792253468E-2</v>
      </c>
      <c r="L267" s="15">
        <f t="shared" si="21"/>
        <v>0.46111204277578921</v>
      </c>
      <c r="M267" s="16">
        <v>100.59473371772127</v>
      </c>
      <c r="N267" s="16">
        <f>G267*$O$6/'[2]Used Cooking Oil Complex'!$AZ$26</f>
        <v>5.8855721497528733E-2</v>
      </c>
      <c r="O267" s="16"/>
      <c r="R267" s="18">
        <f t="shared" si="22"/>
        <v>0.47017246613860036</v>
      </c>
      <c r="S267" s="18">
        <f t="shared" si="23"/>
        <v>0.52982753386139958</v>
      </c>
    </row>
    <row r="268" spans="1:19" x14ac:dyDescent="0.2">
      <c r="A268" s="13">
        <v>43405</v>
      </c>
      <c r="B268" s="14">
        <v>69216</v>
      </c>
      <c r="C268" s="14">
        <v>72488.95</v>
      </c>
      <c r="D268" s="14">
        <v>141704.95000000001</v>
      </c>
      <c r="E268" s="14">
        <v>33718.629999999997</v>
      </c>
      <c r="F268" s="14">
        <v>31729.09</v>
      </c>
      <c r="G268" s="14">
        <v>65447.73</v>
      </c>
      <c r="I268" s="14">
        <f t="shared" si="20"/>
        <v>-103.45999999999913</v>
      </c>
      <c r="J268" s="15">
        <f t="shared" si="19"/>
        <v>3.4689300245946741E-2</v>
      </c>
      <c r="L268" s="15">
        <f t="shared" si="21"/>
        <v>0.46185916582307107</v>
      </c>
      <c r="M268" s="16">
        <v>100.43596419499505</v>
      </c>
      <c r="N268" s="16">
        <f>G268*$O$6/'[2]Used Cooking Oil Complex'!$AZ$26</f>
        <v>5.876282901234068E-2</v>
      </c>
      <c r="O268" s="16"/>
      <c r="R268" s="18">
        <f t="shared" si="22"/>
        <v>0.4884515325681989</v>
      </c>
      <c r="S268" s="18">
        <f t="shared" si="23"/>
        <v>0.51154846743180105</v>
      </c>
    </row>
    <row r="269" spans="1:19" x14ac:dyDescent="0.2">
      <c r="A269" s="13">
        <v>43435</v>
      </c>
      <c r="B269" s="14">
        <v>74483.48</v>
      </c>
      <c r="C269" s="14">
        <v>77278.09</v>
      </c>
      <c r="D269" s="14">
        <v>151761.56</v>
      </c>
      <c r="E269" s="14">
        <v>36188.379999999997</v>
      </c>
      <c r="F269" s="14">
        <v>33690.6</v>
      </c>
      <c r="G269" s="14">
        <v>69878.98</v>
      </c>
      <c r="I269" s="14">
        <f t="shared" si="20"/>
        <v>4431.2499999999927</v>
      </c>
      <c r="J269" s="15">
        <f t="shared" si="19"/>
        <v>3.4751650631603681E-3</v>
      </c>
      <c r="L269" s="15">
        <f t="shared" si="21"/>
        <v>0.46045243604506964</v>
      </c>
      <c r="M269" s="16">
        <v>107.2361521669701</v>
      </c>
      <c r="N269" s="16">
        <f>G269*$O$6/'[2]Used Cooking Oil Complex'!$AZ$26</f>
        <v>6.2741466408334917E-2</v>
      </c>
      <c r="O269" s="16"/>
      <c r="R269" s="18">
        <f t="shared" si="22"/>
        <v>0.49079279364286976</v>
      </c>
      <c r="S269" s="18">
        <f t="shared" si="23"/>
        <v>0.50920727224996898</v>
      </c>
    </row>
    <row r="270" spans="1:19" x14ac:dyDescent="0.2">
      <c r="A270" s="13">
        <v>43466</v>
      </c>
      <c r="B270" s="14">
        <v>65672.92</v>
      </c>
      <c r="C270" s="14">
        <v>70216.17</v>
      </c>
      <c r="D270" s="14">
        <v>135889.09</v>
      </c>
      <c r="E270" s="14">
        <v>31723</v>
      </c>
      <c r="F270" s="14">
        <v>30507.1</v>
      </c>
      <c r="G270" s="14">
        <v>62230.11</v>
      </c>
      <c r="I270" s="14">
        <f t="shared" si="20"/>
        <v>-7648.8699999999953</v>
      </c>
      <c r="J270" s="15">
        <f t="shared" si="19"/>
        <v>3.0452525663984931E-2</v>
      </c>
      <c r="L270" s="15">
        <f t="shared" si="21"/>
        <v>0.45794780140186386</v>
      </c>
      <c r="M270" s="16">
        <v>95.498210553835918</v>
      </c>
      <c r="N270" s="16">
        <f>G270*$O$6/'[2]Used Cooking Oil Complex'!$AZ$26</f>
        <v>5.5873860152967136E-2</v>
      </c>
      <c r="O270" s="16"/>
      <c r="R270" s="18">
        <f t="shared" si="22"/>
        <v>0.48328324223821056</v>
      </c>
      <c r="S270" s="18">
        <f t="shared" si="23"/>
        <v>0.51671675776178938</v>
      </c>
    </row>
    <row r="271" spans="1:19" x14ac:dyDescent="0.2">
      <c r="A271" s="13">
        <v>43497</v>
      </c>
      <c r="B271" s="14">
        <v>60374.37</v>
      </c>
      <c r="C271" s="14">
        <v>69948.960000000006</v>
      </c>
      <c r="D271" s="14">
        <v>130323.33</v>
      </c>
      <c r="E271" s="14">
        <v>29082.12</v>
      </c>
      <c r="F271" s="14">
        <v>30283.75</v>
      </c>
      <c r="G271" s="14">
        <v>59365.87</v>
      </c>
      <c r="I271" s="14">
        <f t="shared" si="20"/>
        <v>-2864.239999999998</v>
      </c>
      <c r="J271" s="15">
        <f t="shared" si="19"/>
        <v>1.0043116546021302E-2</v>
      </c>
      <c r="L271" s="15">
        <f t="shared" si="21"/>
        <v>0.4555275713105244</v>
      </c>
      <c r="M271" s="16">
        <v>91.102753200527076</v>
      </c>
      <c r="N271" s="16">
        <f>G271*$O$6/'[2]Used Cooking Oil Complex'!$AZ$26</f>
        <v>5.3302176683268393E-2</v>
      </c>
      <c r="O271" s="16"/>
      <c r="R271" s="18">
        <f t="shared" si="22"/>
        <v>0.46326601691347208</v>
      </c>
      <c r="S271" s="18">
        <f t="shared" si="23"/>
        <v>0.53673398308652798</v>
      </c>
    </row>
    <row r="272" spans="1:19" x14ac:dyDescent="0.2">
      <c r="A272" s="13">
        <v>43525</v>
      </c>
      <c r="B272" s="14">
        <v>67861.91</v>
      </c>
      <c r="C272" s="14">
        <v>80589.179999999993</v>
      </c>
      <c r="D272" s="14">
        <v>148451.09</v>
      </c>
      <c r="E272" s="14">
        <v>32621.73</v>
      </c>
      <c r="F272" s="14">
        <v>34826.71</v>
      </c>
      <c r="G272" s="14">
        <v>67448.45</v>
      </c>
      <c r="I272" s="14">
        <f t="shared" si="20"/>
        <v>8082.5799999999945</v>
      </c>
      <c r="J272" s="15">
        <f t="shared" si="19"/>
        <v>5.7264352284616127E-3</v>
      </c>
      <c r="L272" s="15">
        <f t="shared" si="21"/>
        <v>0.45434796066502442</v>
      </c>
      <c r="M272" s="16">
        <v>103.50626536944694</v>
      </c>
      <c r="N272" s="16">
        <f>G272*$O$6/'[2]Used Cooking Oil Complex'!$AZ$26</f>
        <v>6.0559193336383238E-2</v>
      </c>
      <c r="O272" s="16"/>
      <c r="R272" s="18">
        <f t="shared" si="22"/>
        <v>0.4571331204102308</v>
      </c>
      <c r="S272" s="18">
        <f t="shared" si="23"/>
        <v>0.5428668795897692</v>
      </c>
    </row>
    <row r="273" spans="1:21" x14ac:dyDescent="0.2">
      <c r="A273" s="13">
        <v>43556</v>
      </c>
      <c r="B273" s="14">
        <v>66523.759999999995</v>
      </c>
      <c r="C273" s="14">
        <v>77884.12</v>
      </c>
      <c r="D273" s="14">
        <v>144407.88</v>
      </c>
      <c r="E273" s="14">
        <v>32067.96</v>
      </c>
      <c r="F273" s="14">
        <v>33549.300000000003</v>
      </c>
      <c r="G273" s="14">
        <v>65617.27</v>
      </c>
      <c r="I273" s="14">
        <f t="shared" si="20"/>
        <v>-1831.179999999993</v>
      </c>
      <c r="J273" s="15">
        <f t="shared" si="19"/>
        <v>3.8496393440962562E-2</v>
      </c>
      <c r="L273" s="15">
        <f t="shared" si="21"/>
        <v>0.45438843088064168</v>
      </c>
      <c r="M273" s="16">
        <v>100.69613996227712</v>
      </c>
      <c r="N273" s="16">
        <f>G273*$O$6/'[2]Used Cooking Oil Complex'!$AZ$26</f>
        <v>5.8915052015808517E-2</v>
      </c>
      <c r="O273" s="16"/>
      <c r="R273" s="18">
        <f t="shared" si="22"/>
        <v>0.46066571990392763</v>
      </c>
      <c r="S273" s="18">
        <f t="shared" si="23"/>
        <v>0.53933428009607232</v>
      </c>
    </row>
    <row r="274" spans="1:21" x14ac:dyDescent="0.2">
      <c r="A274" s="13">
        <v>43586</v>
      </c>
      <c r="B274" s="14">
        <v>70657.63</v>
      </c>
      <c r="C274" s="14">
        <v>83091.39</v>
      </c>
      <c r="D274" s="14">
        <v>153749.01999999999</v>
      </c>
      <c r="E274" s="14">
        <v>34023.160000000003</v>
      </c>
      <c r="F274" s="14">
        <v>35717.1</v>
      </c>
      <c r="G274" s="14">
        <v>69740.25</v>
      </c>
      <c r="I274" s="14">
        <f t="shared" si="20"/>
        <v>4122.9799999999959</v>
      </c>
      <c r="J274" s="15">
        <f t="shared" ref="J274:J333" si="24">G274/G262-1</f>
        <v>2.5581957586882087E-2</v>
      </c>
      <c r="L274" s="15">
        <f t="shared" si="21"/>
        <v>0.45359801317757997</v>
      </c>
      <c r="M274" s="16">
        <v>107.02325736813185</v>
      </c>
      <c r="N274" s="16">
        <f>G274*$O$6/'[2]Used Cooking Oil Complex'!$AZ$26</f>
        <v>6.261690643858682E-2</v>
      </c>
      <c r="O274" s="16"/>
      <c r="R274" s="18">
        <f t="shared" si="22"/>
        <v>0.45956475039645789</v>
      </c>
      <c r="S274" s="18">
        <f t="shared" si="23"/>
        <v>0.54043524960354217</v>
      </c>
    </row>
    <row r="275" spans="1:21" x14ac:dyDescent="0.2">
      <c r="A275" s="13">
        <v>43617</v>
      </c>
      <c r="B275" s="14">
        <v>68334.13</v>
      </c>
      <c r="C275" s="14">
        <v>81858.13</v>
      </c>
      <c r="D275" s="14">
        <v>150192.26999999999</v>
      </c>
      <c r="E275" s="14">
        <v>33004.93</v>
      </c>
      <c r="F275" s="14">
        <v>35072.879999999997</v>
      </c>
      <c r="G275" s="14">
        <v>68077.81</v>
      </c>
      <c r="I275" s="14">
        <f t="shared" si="20"/>
        <v>-1662.4400000000023</v>
      </c>
      <c r="J275" s="15">
        <f t="shared" si="24"/>
        <v>1.502154977366299E-2</v>
      </c>
      <c r="L275" s="15">
        <f t="shared" si="21"/>
        <v>0.45327106381706594</v>
      </c>
      <c r="M275" s="16">
        <v>104.47208004973855</v>
      </c>
      <c r="N275" s="16">
        <f>G275*$O$6/'[2]Used Cooking Oil Complex'!$AZ$26</f>
        <v>6.1124269834333694E-2</v>
      </c>
      <c r="O275" s="16"/>
      <c r="R275" s="18">
        <f t="shared" si="22"/>
        <v>0.4549776762812095</v>
      </c>
      <c r="S275" s="18">
        <f t="shared" si="23"/>
        <v>0.54502225713746788</v>
      </c>
    </row>
    <row r="276" spans="1:21" x14ac:dyDescent="0.2">
      <c r="A276" s="13">
        <v>43647</v>
      </c>
      <c r="B276" s="14">
        <v>69756.05</v>
      </c>
      <c r="C276" s="14">
        <v>82140.03</v>
      </c>
      <c r="D276" s="14">
        <v>151896.07999999999</v>
      </c>
      <c r="E276" s="14">
        <v>33698.410000000003</v>
      </c>
      <c r="F276" s="14">
        <v>35122.629999999997</v>
      </c>
      <c r="G276" s="14">
        <v>68821.03</v>
      </c>
      <c r="I276" s="14">
        <f t="shared" si="20"/>
        <v>743.22000000000116</v>
      </c>
      <c r="J276" s="15">
        <f t="shared" si="24"/>
        <v>2.538925321133334E-2</v>
      </c>
      <c r="L276" s="15">
        <f t="shared" si="21"/>
        <v>0.45307969764591688</v>
      </c>
      <c r="M276" s="16">
        <v>105.61262407332813</v>
      </c>
      <c r="N276" s="16">
        <f>G276*$O$6/'[2]Used Cooking Oil Complex'!$AZ$26</f>
        <v>6.1791576550373373E-2</v>
      </c>
      <c r="O276" s="16"/>
      <c r="R276" s="18">
        <f t="shared" si="22"/>
        <v>0.45923535353907757</v>
      </c>
      <c r="S276" s="18">
        <f t="shared" si="23"/>
        <v>0.54076464646092248</v>
      </c>
    </row>
    <row r="277" spans="1:21" x14ac:dyDescent="0.2">
      <c r="A277" s="13">
        <v>43678</v>
      </c>
      <c r="B277" s="14">
        <v>70955.199999999997</v>
      </c>
      <c r="C277" s="14">
        <v>83493.91</v>
      </c>
      <c r="D277" s="14">
        <v>154449.13</v>
      </c>
      <c r="E277" s="14">
        <v>34306.99</v>
      </c>
      <c r="F277" s="14">
        <v>35624.51</v>
      </c>
      <c r="G277" s="14">
        <v>69931.5</v>
      </c>
      <c r="I277" s="14">
        <f t="shared" si="20"/>
        <v>1110.4700000000012</v>
      </c>
      <c r="J277" s="15">
        <f t="shared" si="24"/>
        <v>3.0591842951370296E-2</v>
      </c>
      <c r="L277" s="15">
        <f t="shared" si="21"/>
        <v>0.45278014838931108</v>
      </c>
      <c r="M277" s="16">
        <v>107.31674926085742</v>
      </c>
      <c r="N277" s="16">
        <f>G277*$O$6/'[2]Used Cooking Oil Complex'!$AZ$26</f>
        <v>6.2788621959485869E-2</v>
      </c>
      <c r="O277" s="16"/>
      <c r="R277" s="18">
        <f t="shared" si="22"/>
        <v>0.45940822068729031</v>
      </c>
      <c r="S277" s="18">
        <f t="shared" si="23"/>
        <v>0.54059164982023533</v>
      </c>
    </row>
    <row r="278" spans="1:21" x14ac:dyDescent="0.2">
      <c r="A278" s="13">
        <v>43709</v>
      </c>
      <c r="B278" s="14">
        <v>65714.179999999993</v>
      </c>
      <c r="C278" s="14">
        <v>77048.77</v>
      </c>
      <c r="D278" s="14">
        <v>142762.95000000001</v>
      </c>
      <c r="E278" s="14">
        <v>31721.64</v>
      </c>
      <c r="F278" s="14">
        <v>32789.67</v>
      </c>
      <c r="G278" s="14">
        <v>64511.32</v>
      </c>
      <c r="I278" s="14">
        <f t="shared" si="20"/>
        <v>-5420.18</v>
      </c>
      <c r="J278" s="15">
        <f t="shared" si="24"/>
        <v>1.4978612882554199E-2</v>
      </c>
      <c r="L278" s="15">
        <f t="shared" si="21"/>
        <v>0.45187718522207615</v>
      </c>
      <c r="M278" s="16">
        <v>98.99895115830401</v>
      </c>
      <c r="N278" s="16">
        <f>G278*$O$6/'[2]Used Cooking Oil Complex'!$AZ$26</f>
        <v>5.7922064929072307E-2</v>
      </c>
      <c r="O278" s="16"/>
      <c r="R278" s="18">
        <f t="shared" si="22"/>
        <v>0.46030276062521813</v>
      </c>
      <c r="S278" s="18">
        <f t="shared" si="23"/>
        <v>0.53969723937478176</v>
      </c>
    </row>
    <row r="279" spans="1:21" x14ac:dyDescent="0.2">
      <c r="A279" s="13">
        <v>43739</v>
      </c>
      <c r="B279" s="14">
        <v>69042.179999999993</v>
      </c>
      <c r="C279" s="14">
        <v>79382.399999999994</v>
      </c>
      <c r="D279" s="14">
        <v>148424.57999999999</v>
      </c>
      <c r="E279" s="14">
        <v>33218.54</v>
      </c>
      <c r="F279" s="14">
        <v>33718.61</v>
      </c>
      <c r="G279" s="14">
        <v>66937.14</v>
      </c>
      <c r="I279" s="14">
        <f t="shared" si="20"/>
        <v>2425.8199999999997</v>
      </c>
      <c r="J279" s="15">
        <f t="shared" si="24"/>
        <v>2.1143018151157822E-2</v>
      </c>
      <c r="L279" s="15">
        <f t="shared" si="21"/>
        <v>0.45098419682238622</v>
      </c>
      <c r="M279" s="16">
        <v>102.72160999862594</v>
      </c>
      <c r="N279" s="16">
        <f>G279*$O$6/'[2]Used Cooking Oil Complex'!$AZ$26</f>
        <v>6.0100109085450479E-2</v>
      </c>
      <c r="O279" s="16"/>
      <c r="R279" s="18">
        <f t="shared" si="22"/>
        <v>0.46516675337737184</v>
      </c>
      <c r="S279" s="18">
        <f t="shared" si="23"/>
        <v>0.5348332466226281</v>
      </c>
    </row>
    <row r="280" spans="1:21" x14ac:dyDescent="0.2">
      <c r="A280" s="13">
        <v>43770</v>
      </c>
      <c r="B280" s="14">
        <v>71434.13</v>
      </c>
      <c r="C280" s="14">
        <v>76664.179999999993</v>
      </c>
      <c r="D280" s="14">
        <v>148098.31</v>
      </c>
      <c r="E280" s="14">
        <v>34456.68</v>
      </c>
      <c r="F280" s="14">
        <v>32511.4</v>
      </c>
      <c r="G280" s="14">
        <v>66968.09</v>
      </c>
      <c r="I280" s="14">
        <f t="shared" si="20"/>
        <v>30.94999999999709</v>
      </c>
      <c r="J280" s="15">
        <f t="shared" si="24"/>
        <v>2.3230141060660126E-2</v>
      </c>
      <c r="L280" s="15">
        <f t="shared" si="21"/>
        <v>0.45218672650619712</v>
      </c>
      <c r="M280" s="16">
        <v>102.7691058108082</v>
      </c>
      <c r="N280" s="16">
        <f>G280*$O$6/'[2]Used Cooking Oil Complex'!$AZ$26</f>
        <v>6.0127897819420802E-2</v>
      </c>
      <c r="O280" s="16"/>
      <c r="R280" s="18">
        <f t="shared" si="22"/>
        <v>0.48234264118206349</v>
      </c>
      <c r="S280" s="18">
        <f t="shared" si="23"/>
        <v>0.51765735881793651</v>
      </c>
    </row>
    <row r="281" spans="1:21" x14ac:dyDescent="0.2">
      <c r="A281" s="13">
        <v>43800</v>
      </c>
      <c r="B281" s="14">
        <v>76391.16</v>
      </c>
      <c r="C281" s="14">
        <v>80137.73</v>
      </c>
      <c r="D281" s="14">
        <v>156528.91</v>
      </c>
      <c r="E281" s="14">
        <v>36844.080000000002</v>
      </c>
      <c r="F281" s="14">
        <v>33887.360000000001</v>
      </c>
      <c r="G281" s="14">
        <v>70731.45</v>
      </c>
      <c r="I281" s="14">
        <f t="shared" si="20"/>
        <v>3763.3600000000006</v>
      </c>
      <c r="J281" s="15">
        <f t="shared" si="24"/>
        <v>1.2199233589271108E-2</v>
      </c>
      <c r="L281" s="15">
        <f t="shared" si="21"/>
        <v>0.45187467286394567</v>
      </c>
      <c r="M281" s="16">
        <v>108.54435103646959</v>
      </c>
      <c r="N281" s="16">
        <f>G281*$O$6/'[2]Used Cooking Oil Complex'!$AZ$26</f>
        <v>6.3506864212783606E-2</v>
      </c>
      <c r="O281" s="16"/>
      <c r="R281" s="18">
        <f t="shared" si="22"/>
        <v>0.48803227467692711</v>
      </c>
      <c r="S281" s="18">
        <f t="shared" si="23"/>
        <v>0.51196759755114885</v>
      </c>
    </row>
    <row r="282" spans="1:21" x14ac:dyDescent="0.2">
      <c r="A282" s="13">
        <v>43831</v>
      </c>
      <c r="B282" s="20">
        <v>66694.53</v>
      </c>
      <c r="C282" s="14">
        <v>78630</v>
      </c>
      <c r="D282" s="14">
        <v>145324.53</v>
      </c>
      <c r="E282" s="14">
        <v>31993.040000000001</v>
      </c>
      <c r="F282" s="14">
        <v>33131</v>
      </c>
      <c r="G282" s="14">
        <v>65124.04</v>
      </c>
      <c r="I282" s="14">
        <f t="shared" si="20"/>
        <v>-5607.4099999999962</v>
      </c>
      <c r="J282" s="15">
        <f t="shared" si="24"/>
        <v>4.6503694112062455E-2</v>
      </c>
      <c r="L282" s="15">
        <f t="shared" si="21"/>
        <v>0.4481283373151112</v>
      </c>
      <c r="M282" s="16">
        <v>108.54435103646959</v>
      </c>
      <c r="N282" s="16">
        <f>G282*$O$6/'[2]Used Cooking Oil Complex'!$AZ$26</f>
        <v>5.8472201054380876E-2</v>
      </c>
      <c r="O282" s="16"/>
      <c r="R282" s="18">
        <f t="shared" si="22"/>
        <v>0.45893511577157692</v>
      </c>
      <c r="S282" s="18">
        <f t="shared" si="23"/>
        <v>0.54106488422842314</v>
      </c>
      <c r="U282" s="4">
        <v>-4.5999999999999999E-2</v>
      </c>
    </row>
    <row r="283" spans="1:21" x14ac:dyDescent="0.2">
      <c r="A283" s="13">
        <v>43862</v>
      </c>
      <c r="B283" s="20">
        <v>64407.57</v>
      </c>
      <c r="C283" s="14">
        <v>79336.55</v>
      </c>
      <c r="D283" s="14">
        <v>143744.13</v>
      </c>
      <c r="E283" s="14">
        <v>30776.5</v>
      </c>
      <c r="F283" s="14">
        <v>33354.410000000003</v>
      </c>
      <c r="G283" s="14">
        <v>64130.91</v>
      </c>
      <c r="I283" s="14">
        <f t="shared" si="20"/>
        <v>-993.12999999999738</v>
      </c>
      <c r="J283" s="15">
        <f t="shared" si="24"/>
        <v>8.0265647585051836E-2</v>
      </c>
      <c r="L283" s="15">
        <f t="shared" si="21"/>
        <v>0.44614628785189353</v>
      </c>
      <c r="M283" s="16">
        <v>108.54435103646959</v>
      </c>
      <c r="N283" s="16">
        <f>G283*$O$6/'[2]Used Cooking Oil Complex'!$AZ$26</f>
        <v>5.7580510412443775E-2</v>
      </c>
      <c r="O283" s="16"/>
      <c r="R283" s="18">
        <f t="shared" si="22"/>
        <v>0.44807095774971817</v>
      </c>
      <c r="S283" s="18">
        <f t="shared" si="23"/>
        <v>0.55192897268222363</v>
      </c>
    </row>
    <row r="284" spans="1:21" x14ac:dyDescent="0.2">
      <c r="A284" s="13">
        <v>43891</v>
      </c>
      <c r="B284" s="20">
        <v>81128.83</v>
      </c>
      <c r="C284" s="14">
        <v>63041.38</v>
      </c>
      <c r="D284" s="14">
        <v>144170.22</v>
      </c>
      <c r="E284" s="14">
        <v>38591.22</v>
      </c>
      <c r="F284" s="14">
        <v>26463.93</v>
      </c>
      <c r="G284" s="14">
        <v>65055.16</v>
      </c>
      <c r="I284" s="14">
        <f t="shared" si="20"/>
        <v>924.25</v>
      </c>
      <c r="J284" s="15">
        <f t="shared" si="24"/>
        <v>-3.5483246835175564E-2</v>
      </c>
      <c r="L284" s="15">
        <f t="shared" si="21"/>
        <v>0.4512385428835442</v>
      </c>
      <c r="M284" s="16">
        <v>108.54435103646959</v>
      </c>
      <c r="N284" s="16">
        <f>G284*$O$6/'[2]Used Cooking Oil Complex'!$AZ$26</f>
        <v>5.8410356531089232E-2</v>
      </c>
      <c r="O284" s="16"/>
      <c r="R284" s="18">
        <f t="shared" si="22"/>
        <v>0.56272945966233523</v>
      </c>
      <c r="S284" s="18">
        <f t="shared" si="23"/>
        <v>0.43727047097521249</v>
      </c>
    </row>
    <row r="285" spans="1:21" x14ac:dyDescent="0.2">
      <c r="A285" s="13">
        <v>43922</v>
      </c>
      <c r="B285" s="20">
        <v>70762.89</v>
      </c>
      <c r="C285" s="14">
        <v>41459.1</v>
      </c>
      <c r="D285" s="14">
        <v>112221.98</v>
      </c>
      <c r="E285" s="14">
        <v>32783.949999999997</v>
      </c>
      <c r="F285" s="14">
        <v>17378.64</v>
      </c>
      <c r="G285" s="14">
        <v>50162.59</v>
      </c>
      <c r="I285" s="14">
        <f t="shared" si="20"/>
        <v>-14892.570000000007</v>
      </c>
      <c r="J285" s="15">
        <f t="shared" si="24"/>
        <v>-0.23552762862581766</v>
      </c>
      <c r="L285" s="15">
        <f t="shared" si="21"/>
        <v>0.44699434103729052</v>
      </c>
      <c r="M285" s="16">
        <v>108.54435103646959</v>
      </c>
      <c r="N285" s="16">
        <f>G285*$O$6/'[2]Used Cooking Oil Complex'!$AZ$26</f>
        <v>4.5038929524158437E-2</v>
      </c>
      <c r="O285" s="16"/>
      <c r="R285" s="18">
        <f t="shared" si="22"/>
        <v>0.63056176695510102</v>
      </c>
      <c r="S285" s="18">
        <f t="shared" si="23"/>
        <v>0.3694383221540023</v>
      </c>
      <c r="U285" s="4">
        <v>-0.29899999999999999</v>
      </c>
    </row>
    <row r="286" spans="1:21" x14ac:dyDescent="0.2">
      <c r="A286" s="13">
        <v>43952</v>
      </c>
      <c r="B286" s="20">
        <v>76341.509999999995</v>
      </c>
      <c r="C286" s="14">
        <v>56462.11</v>
      </c>
      <c r="D286" s="14">
        <v>132803.63</v>
      </c>
      <c r="E286" s="14">
        <v>35074.47</v>
      </c>
      <c r="F286" s="14">
        <v>23580.720000000001</v>
      </c>
      <c r="G286" s="14">
        <v>58655.199999999997</v>
      </c>
      <c r="I286" s="14">
        <f t="shared" si="20"/>
        <v>8492.61</v>
      </c>
      <c r="J286" s="15">
        <f t="shared" si="24"/>
        <v>-0.15894766651969272</v>
      </c>
      <c r="L286" s="15">
        <f t="shared" si="21"/>
        <v>0.44166865017168577</v>
      </c>
      <c r="M286" s="16">
        <v>90.01216034613077</v>
      </c>
      <c r="N286" s="16">
        <f>G286*$O$6/'[2]Used Cooking Oil Complex'!$AZ$26</f>
        <v>5.2664095275491526E-2</v>
      </c>
      <c r="O286" s="16"/>
      <c r="R286" s="18">
        <f t="shared" si="22"/>
        <v>0.57484505506363037</v>
      </c>
      <c r="S286" s="18">
        <f t="shared" si="23"/>
        <v>0.42515486963722299</v>
      </c>
    </row>
    <row r="287" spans="1:21" x14ac:dyDescent="0.2">
      <c r="A287" s="13">
        <v>43983</v>
      </c>
      <c r="B287" s="20">
        <v>72909.72</v>
      </c>
      <c r="C287" s="14">
        <v>67401.960000000006</v>
      </c>
      <c r="D287" s="14">
        <v>140311.69</v>
      </c>
      <c r="E287" s="14">
        <v>33338.18</v>
      </c>
      <c r="F287" s="14">
        <v>28004.66</v>
      </c>
      <c r="G287" s="14">
        <v>61342.84</v>
      </c>
      <c r="I287" s="14">
        <f t="shared" si="20"/>
        <v>2687.6399999999994</v>
      </c>
      <c r="J287" s="15">
        <f t="shared" si="24"/>
        <v>-9.8930473821058573E-2</v>
      </c>
      <c r="L287" s="15">
        <f t="shared" si="21"/>
        <v>0.43718980221819004</v>
      </c>
      <c r="M287" s="16">
        <v>94.136607669346361</v>
      </c>
      <c r="N287" s="16">
        <f>G287*$O$6/'[2]Used Cooking Oil Complex'!$AZ$26</f>
        <v>5.5077216857656826E-2</v>
      </c>
      <c r="O287" s="16"/>
      <c r="R287" s="18">
        <f t="shared" si="22"/>
        <v>0.5196268393602842</v>
      </c>
      <c r="S287" s="18">
        <f t="shared" si="23"/>
        <v>0.4803730893698166</v>
      </c>
    </row>
    <row r="288" spans="1:21" x14ac:dyDescent="0.2">
      <c r="A288" s="13">
        <v>44013</v>
      </c>
      <c r="B288" s="20">
        <v>75781.509999999995</v>
      </c>
      <c r="C288" s="14">
        <v>71869.09</v>
      </c>
      <c r="D288" s="14">
        <v>147650.59</v>
      </c>
      <c r="E288" s="14">
        <v>34991.43</v>
      </c>
      <c r="F288" s="14">
        <v>29720.82</v>
      </c>
      <c r="G288" s="14">
        <v>64712.25</v>
      </c>
      <c r="I288" s="14">
        <f t="shared" si="20"/>
        <v>3369.4100000000035</v>
      </c>
      <c r="J288" s="15">
        <f t="shared" si="24"/>
        <v>-5.9702390388519322E-2</v>
      </c>
      <c r="L288" s="15">
        <f t="shared" si="21"/>
        <v>0.43827965739926944</v>
      </c>
      <c r="M288" s="16">
        <v>99.307297960946357</v>
      </c>
      <c r="N288" s="16">
        <f>G288*$O$6/'[2]Used Cooking Oil Complex'!$AZ$26</f>
        <v>5.8102471724440913E-2</v>
      </c>
      <c r="O288" s="16"/>
      <c r="R288" s="18">
        <f t="shared" si="22"/>
        <v>0.51324894807396293</v>
      </c>
      <c r="S288" s="18">
        <f t="shared" si="23"/>
        <v>0.48675111965350087</v>
      </c>
      <c r="U288" s="4">
        <v>0.35299999999999998</v>
      </c>
    </row>
    <row r="289" spans="1:31" x14ac:dyDescent="0.2">
      <c r="A289" s="13">
        <v>44044</v>
      </c>
      <c r="B289" s="20">
        <v>74259.73</v>
      </c>
      <c r="C289" s="14">
        <v>74060.899999999994</v>
      </c>
      <c r="D289" s="14">
        <v>148320.63</v>
      </c>
      <c r="E289" s="14">
        <v>34317.43</v>
      </c>
      <c r="F289" s="14">
        <v>30540.35</v>
      </c>
      <c r="G289" s="14">
        <v>64857.78</v>
      </c>
      <c r="I289" s="14">
        <f t="shared" si="20"/>
        <v>145.52999999999884</v>
      </c>
      <c r="J289" s="15">
        <f t="shared" si="24"/>
        <v>-7.2552712297033528E-2</v>
      </c>
      <c r="L289" s="15">
        <f t="shared" si="21"/>
        <v>0.43728090960778682</v>
      </c>
      <c r="M289" s="16">
        <v>99.530628027081562</v>
      </c>
      <c r="N289" s="16">
        <f>G289*$O$6/'[2]Used Cooking Oil Complex'!$AZ$26</f>
        <v>5.8233137134932091E-2</v>
      </c>
      <c r="O289" s="16"/>
      <c r="R289" s="18">
        <f t="shared" si="22"/>
        <v>0.50067027088544591</v>
      </c>
      <c r="S289" s="18">
        <f t="shared" si="23"/>
        <v>0.49932972911455398</v>
      </c>
    </row>
    <row r="290" spans="1:31" x14ac:dyDescent="0.2">
      <c r="A290" s="13">
        <v>44075</v>
      </c>
      <c r="B290" s="20">
        <v>71205.23</v>
      </c>
      <c r="C290" s="14">
        <v>71986.12</v>
      </c>
      <c r="D290" s="14">
        <v>143191.34</v>
      </c>
      <c r="E290" s="14">
        <v>33034.550000000003</v>
      </c>
      <c r="F290" s="14">
        <v>29520.61</v>
      </c>
      <c r="G290" s="14">
        <v>62555.16</v>
      </c>
      <c r="I290" s="14">
        <f t="shared" si="20"/>
        <v>-2302.6199999999953</v>
      </c>
      <c r="J290" s="15">
        <f t="shared" si="24"/>
        <v>-3.0322740257058722E-2</v>
      </c>
      <c r="L290" s="15">
        <f t="shared" si="21"/>
        <v>0.43686412879438102</v>
      </c>
      <c r="M290" s="16">
        <v>95.997031676609524</v>
      </c>
      <c r="N290" s="16">
        <f>G290*$O$6/'[2]Used Cooking Oil Complex'!$AZ$26</f>
        <v>5.6165709199075556E-2</v>
      </c>
      <c r="O290" s="16"/>
      <c r="R290" s="18">
        <f t="shared" si="22"/>
        <v>0.49727329879027599</v>
      </c>
      <c r="S290" s="18">
        <f t="shared" si="23"/>
        <v>0.50272677104634955</v>
      </c>
    </row>
    <row r="291" spans="1:31" x14ac:dyDescent="0.2">
      <c r="A291" s="13">
        <v>44105</v>
      </c>
      <c r="B291" s="20">
        <v>74573.17</v>
      </c>
      <c r="C291" s="14">
        <v>75178.05</v>
      </c>
      <c r="D291" s="14">
        <v>149751.22</v>
      </c>
      <c r="E291" s="14">
        <v>34519.050000000003</v>
      </c>
      <c r="F291" s="14">
        <v>30745.439999999999</v>
      </c>
      <c r="G291" s="14">
        <v>65264.5</v>
      </c>
      <c r="I291" s="14">
        <f t="shared" si="20"/>
        <v>2709.3399999999965</v>
      </c>
      <c r="J291" s="15">
        <f t="shared" si="24"/>
        <v>-2.4988220291455532E-2</v>
      </c>
      <c r="L291" s="15">
        <f t="shared" si="21"/>
        <v>0.43581948781452329</v>
      </c>
      <c r="M291" s="16">
        <v>134.36808823529412</v>
      </c>
      <c r="N291" s="16">
        <f>G291*$O$7/'[2]Used Cooking Oil Complex'!$AZ$26</f>
        <v>7.8560835903932077E-2</v>
      </c>
      <c r="O291" s="16"/>
      <c r="R291" s="18">
        <f t="shared" si="22"/>
        <v>0.49798038373243303</v>
      </c>
      <c r="S291" s="18">
        <f t="shared" si="23"/>
        <v>0.50201961626756697</v>
      </c>
      <c r="U291" s="4">
        <v>3.9E-2</v>
      </c>
    </row>
    <row r="292" spans="1:31" x14ac:dyDescent="0.2">
      <c r="A292" s="13">
        <v>44136</v>
      </c>
      <c r="B292" s="20">
        <v>75228.639999999999</v>
      </c>
      <c r="C292" s="14">
        <v>67697.91</v>
      </c>
      <c r="D292" s="14">
        <v>142926.56</v>
      </c>
      <c r="E292" s="14">
        <v>35035.230000000003</v>
      </c>
      <c r="F292" s="14">
        <v>27652.880000000001</v>
      </c>
      <c r="G292" s="14">
        <v>62688.11</v>
      </c>
      <c r="I292" s="14">
        <f t="shared" si="20"/>
        <v>-2576.3899999999994</v>
      </c>
      <c r="J292" s="15">
        <f t="shared" si="24"/>
        <v>-6.3910737188413114E-2</v>
      </c>
      <c r="L292" s="15">
        <f t="shared" si="21"/>
        <v>0.43860364371744481</v>
      </c>
      <c r="M292" s="16">
        <v>129.06375588235295</v>
      </c>
      <c r="N292" s="16">
        <f>G292*$O$7/'[2]Used Cooking Oil Complex'!$AZ$26</f>
        <v>7.5459557996118004E-2</v>
      </c>
      <c r="O292" s="16"/>
      <c r="R292" s="18">
        <f t="shared" si="22"/>
        <v>0.52634471857435039</v>
      </c>
      <c r="S292" s="18">
        <f t="shared" si="23"/>
        <v>0.47365521145964756</v>
      </c>
    </row>
    <row r="293" spans="1:31" x14ac:dyDescent="0.2">
      <c r="A293" s="13">
        <v>44166</v>
      </c>
      <c r="B293" s="20">
        <v>81375.17</v>
      </c>
      <c r="C293" s="14">
        <v>69075.59</v>
      </c>
      <c r="D293" s="14">
        <v>150450.76999999999</v>
      </c>
      <c r="E293" s="14">
        <v>37770.160000000003</v>
      </c>
      <c r="F293" s="14">
        <v>28110.44</v>
      </c>
      <c r="G293" s="14">
        <v>65880.600000000006</v>
      </c>
      <c r="I293" s="14">
        <f t="shared" si="20"/>
        <v>3192.4900000000052</v>
      </c>
      <c r="J293" s="15">
        <f t="shared" si="24"/>
        <v>-6.8581232252413749E-2</v>
      </c>
      <c r="L293" s="15">
        <f t="shared" si="21"/>
        <v>0.4378880879107499</v>
      </c>
      <c r="M293" s="16">
        <v>135.63652941176471</v>
      </c>
      <c r="N293" s="16">
        <f>G293*$O$7/'[2]Used Cooking Oil Complex'!$AZ$26</f>
        <v>7.9302453950502769E-2</v>
      </c>
      <c r="O293" s="16"/>
      <c r="R293" s="18">
        <f t="shared" si="22"/>
        <v>0.54087572964897423</v>
      </c>
      <c r="S293" s="18">
        <f t="shared" si="23"/>
        <v>0.45912420388410108</v>
      </c>
    </row>
    <row r="294" spans="1:31" x14ac:dyDescent="0.2">
      <c r="A294" s="13">
        <v>44197</v>
      </c>
      <c r="B294" s="20">
        <v>73674.02</v>
      </c>
      <c r="C294" s="14">
        <v>67843.37</v>
      </c>
      <c r="D294" s="14">
        <v>141517.39000000001</v>
      </c>
      <c r="E294" s="14">
        <v>34100.54</v>
      </c>
      <c r="F294" s="14">
        <v>27539.94</v>
      </c>
      <c r="G294" s="14">
        <v>61640.47</v>
      </c>
      <c r="I294" s="14">
        <f t="shared" si="20"/>
        <v>-4240.1300000000047</v>
      </c>
      <c r="J294" s="15">
        <f t="shared" si="24"/>
        <v>-5.3491306743254863E-2</v>
      </c>
      <c r="L294" s="15">
        <f t="shared" si="21"/>
        <v>0.43556816586286673</v>
      </c>
      <c r="M294" s="16">
        <v>126.90685000000001</v>
      </c>
      <c r="N294" s="16">
        <f>G294*$O$7/'[2]Used Cooking Oil Complex'!$AZ$26</f>
        <v>7.4198482309850655E-2</v>
      </c>
      <c r="O294" s="16"/>
      <c r="R294" s="18">
        <f t="shared" si="22"/>
        <v>0.52060047178654156</v>
      </c>
      <c r="S294" s="18">
        <f t="shared" si="23"/>
        <v>0.47939952821345833</v>
      </c>
      <c r="U294" s="4">
        <v>6.3E-2</v>
      </c>
      <c r="Z294" s="3">
        <v>70487.295930471664</v>
      </c>
      <c r="AA294" s="14">
        <f>B294-Z294</f>
        <v>3186.7240695283399</v>
      </c>
      <c r="AB294" s="3">
        <v>69012.704069528336</v>
      </c>
      <c r="AC294" s="14">
        <f>C294-AB294</f>
        <v>-1169.3340695283405</v>
      </c>
      <c r="AD294" s="3">
        <v>139500</v>
      </c>
      <c r="AE294" s="14">
        <f>D294-AD294</f>
        <v>2017.390000000014</v>
      </c>
    </row>
    <row r="295" spans="1:31" x14ac:dyDescent="0.2">
      <c r="A295" s="13">
        <v>44228</v>
      </c>
      <c r="B295" s="20">
        <v>67539.78</v>
      </c>
      <c r="C295" s="14">
        <v>64905.599999999999</v>
      </c>
      <c r="D295" s="14">
        <v>132445.38</v>
      </c>
      <c r="E295" s="14">
        <v>31185.93</v>
      </c>
      <c r="F295" s="14">
        <v>26333.55</v>
      </c>
      <c r="G295" s="14">
        <v>57519.48</v>
      </c>
      <c r="I295" s="14">
        <f t="shared" si="20"/>
        <v>-4120.989999999998</v>
      </c>
      <c r="J295" s="15">
        <f t="shared" si="24"/>
        <v>-0.10309272081122811</v>
      </c>
      <c r="L295" s="15">
        <f t="shared" si="21"/>
        <v>0.43428830813124625</v>
      </c>
      <c r="M295" s="16">
        <v>118.42245882352942</v>
      </c>
      <c r="N295" s="16">
        <f>G295*$O$7/'[2]Used Cooking Oil Complex'!$AZ$26</f>
        <v>6.9237923060155263E-2</v>
      </c>
      <c r="O295" s="16"/>
      <c r="R295" s="18">
        <f t="shared" si="22"/>
        <v>0.5099444012316624</v>
      </c>
      <c r="S295" s="18">
        <f t="shared" si="23"/>
        <v>0.49005559876833754</v>
      </c>
      <c r="Z295" s="3">
        <v>69817.82704904319</v>
      </c>
      <c r="AA295" s="14">
        <f t="shared" ref="AA295:AA299" si="25">B295-Z295</f>
        <v>-2278.0470490431908</v>
      </c>
      <c r="AB295" s="3">
        <v>70932.17295095681</v>
      </c>
      <c r="AC295" s="14">
        <f t="shared" ref="AC295:AC299" si="26">C295-AB295</f>
        <v>-6026.5729509568118</v>
      </c>
      <c r="AD295" s="3">
        <v>140750</v>
      </c>
      <c r="AE295" s="14">
        <f t="shared" ref="AE295:AE299" si="27">D295-AD295</f>
        <v>-8304.6199999999953</v>
      </c>
    </row>
    <row r="296" spans="1:31" x14ac:dyDescent="0.2">
      <c r="A296" s="13">
        <v>44256</v>
      </c>
      <c r="B296" s="20">
        <v>78380.17</v>
      </c>
      <c r="C296" s="14">
        <v>81722.2</v>
      </c>
      <c r="D296" s="14">
        <v>160102.38</v>
      </c>
      <c r="E296" s="14">
        <v>36117.78</v>
      </c>
      <c r="F296" s="14">
        <v>33117.050000000003</v>
      </c>
      <c r="G296" s="14">
        <v>69234.83</v>
      </c>
      <c r="I296" s="14">
        <f t="shared" si="20"/>
        <v>11715.349999999999</v>
      </c>
      <c r="J296" s="15">
        <f t="shared" si="24"/>
        <v>6.4248093464069456E-2</v>
      </c>
      <c r="L296" s="15">
        <f t="shared" si="21"/>
        <v>0.43244097932835229</v>
      </c>
      <c r="M296" s="16">
        <v>142.54229705882355</v>
      </c>
      <c r="N296" s="16">
        <f>G296*$O$7/'[2]Used Cooking Oil Complex'!$AZ$26</f>
        <v>8.3340041193399689E-2</v>
      </c>
      <c r="O296" s="16"/>
      <c r="R296" s="18">
        <f t="shared" si="22"/>
        <v>0.4895628035011097</v>
      </c>
      <c r="S296" s="18">
        <f t="shared" si="23"/>
        <v>0.51043713403885682</v>
      </c>
      <c r="Z296" s="3">
        <v>71816.48823522609</v>
      </c>
      <c r="AA296" s="14">
        <f t="shared" si="25"/>
        <v>6563.6817647739081</v>
      </c>
      <c r="AB296" s="3">
        <v>70183.51176477391</v>
      </c>
      <c r="AC296" s="14">
        <f t="shared" si="26"/>
        <v>11538.688235226087</v>
      </c>
      <c r="AD296" s="3">
        <v>142000</v>
      </c>
      <c r="AE296" s="14">
        <f t="shared" si="27"/>
        <v>18102.380000000005</v>
      </c>
    </row>
    <row r="297" spans="1:31" x14ac:dyDescent="0.2">
      <c r="A297" s="13">
        <v>44287</v>
      </c>
      <c r="B297" s="20">
        <v>76150.92</v>
      </c>
      <c r="C297" s="14">
        <v>84285.16</v>
      </c>
      <c r="D297" s="14">
        <v>160436.09</v>
      </c>
      <c r="E297" s="14">
        <v>34879.93</v>
      </c>
      <c r="F297" s="14">
        <v>34051.33</v>
      </c>
      <c r="G297" s="14">
        <v>68931.27</v>
      </c>
      <c r="I297" s="14">
        <f t="shared" si="20"/>
        <v>-303.55999999999767</v>
      </c>
      <c r="J297" s="15">
        <f t="shared" si="24"/>
        <v>0.37415691653879923</v>
      </c>
      <c r="L297" s="15">
        <f t="shared" si="21"/>
        <v>0.42964940120393114</v>
      </c>
      <c r="M297" s="16">
        <v>141.91732058823533</v>
      </c>
      <c r="N297" s="16">
        <f>G297*$O$7/'[2]Used Cooking Oil Complex'!$AZ$26</f>
        <v>8.2974636917767505E-2</v>
      </c>
      <c r="O297" s="16"/>
      <c r="R297" s="18">
        <f t="shared" si="22"/>
        <v>0.47464956295058053</v>
      </c>
      <c r="S297" s="18">
        <f t="shared" si="23"/>
        <v>0.52535037471930413</v>
      </c>
      <c r="U297" s="4">
        <v>7.0000000000000007E-2</v>
      </c>
      <c r="Z297" s="3">
        <v>73649.054986338844</v>
      </c>
      <c r="AA297" s="14">
        <f t="shared" si="25"/>
        <v>2501.8650136611541</v>
      </c>
      <c r="AB297" s="3">
        <v>70350.945013661156</v>
      </c>
      <c r="AC297" s="14">
        <f t="shared" si="26"/>
        <v>13934.214986338848</v>
      </c>
      <c r="AD297" s="3">
        <v>144000</v>
      </c>
      <c r="AE297" s="14">
        <f t="shared" si="27"/>
        <v>16436.089999999997</v>
      </c>
    </row>
    <row r="298" spans="1:31" x14ac:dyDescent="0.2">
      <c r="A298" s="13">
        <v>44317</v>
      </c>
      <c r="B298" s="20">
        <v>80074.320000000007</v>
      </c>
      <c r="C298" s="14">
        <v>90803.3</v>
      </c>
      <c r="D298" s="14">
        <v>170877.63</v>
      </c>
      <c r="E298" s="14">
        <v>36568.480000000003</v>
      </c>
      <c r="F298" s="14">
        <v>36483.760000000002</v>
      </c>
      <c r="G298" s="14">
        <v>73052.23</v>
      </c>
      <c r="I298" s="14">
        <f t="shared" si="20"/>
        <v>4120.9599999999919</v>
      </c>
      <c r="J298" s="15">
        <f t="shared" si="24"/>
        <v>0.2454518951431417</v>
      </c>
      <c r="L298" s="15">
        <f t="shared" si="21"/>
        <v>0.42751195694837291</v>
      </c>
      <c r="M298" s="16">
        <v>150.40165000000002</v>
      </c>
      <c r="N298" s="16">
        <f>G298*$O$7/'[2]Used Cooking Oil Complex'!$AZ$26</f>
        <v>8.7935160055563191E-2</v>
      </c>
      <c r="O298" s="16"/>
      <c r="R298" s="18">
        <f t="shared" si="22"/>
        <v>0.46860621837978444</v>
      </c>
      <c r="S298" s="18">
        <f t="shared" si="23"/>
        <v>0.53139372309880473</v>
      </c>
      <c r="Z298" s="3">
        <v>74033.167871049998</v>
      </c>
      <c r="AA298" s="14">
        <f t="shared" si="25"/>
        <v>6041.1521289500088</v>
      </c>
      <c r="AB298" s="3">
        <v>71966.832128950002</v>
      </c>
      <c r="AC298" s="14">
        <f t="shared" si="26"/>
        <v>18836.467871050001</v>
      </c>
      <c r="AD298" s="3">
        <v>146000</v>
      </c>
      <c r="AE298" s="14">
        <f t="shared" si="27"/>
        <v>24877.630000000005</v>
      </c>
    </row>
    <row r="299" spans="1:31" x14ac:dyDescent="0.2">
      <c r="A299" s="13">
        <v>44348</v>
      </c>
      <c r="B299" s="20">
        <v>78684.92</v>
      </c>
      <c r="C299" s="14">
        <v>91389.16</v>
      </c>
      <c r="D299" s="14">
        <v>170074.09</v>
      </c>
      <c r="E299" s="14">
        <v>35669.29</v>
      </c>
      <c r="F299" s="14">
        <v>36460.49</v>
      </c>
      <c r="G299" s="14">
        <v>72129.78</v>
      </c>
      <c r="I299" s="14">
        <f t="shared" si="20"/>
        <v>-922.44999999999709</v>
      </c>
      <c r="J299" s="15">
        <f t="shared" si="24"/>
        <v>0.1758467654904794</v>
      </c>
      <c r="L299" s="15">
        <f t="shared" si="21"/>
        <v>0.42410798728953952</v>
      </c>
      <c r="M299" s="16">
        <v>148.50248823529412</v>
      </c>
      <c r="N299" s="16">
        <f>G299*$O$7/'[2]Used Cooking Oil Complex'!$AZ$26</f>
        <v>8.682477932668943E-2</v>
      </c>
      <c r="O299" s="16"/>
      <c r="R299" s="18">
        <f t="shared" si="22"/>
        <v>0.46265083646780059</v>
      </c>
      <c r="S299" s="18">
        <f t="shared" si="23"/>
        <v>0.53734910473429554</v>
      </c>
      <c r="Z299" s="3">
        <v>74715.785272111083</v>
      </c>
      <c r="AA299" s="14">
        <f t="shared" si="25"/>
        <v>3969.1347278889152</v>
      </c>
      <c r="AB299" s="3">
        <v>73284.214727888917</v>
      </c>
      <c r="AC299" s="14">
        <f t="shared" si="26"/>
        <v>18104.945272111087</v>
      </c>
      <c r="AD299" s="3">
        <v>148000</v>
      </c>
      <c r="AE299" s="14">
        <f t="shared" si="27"/>
        <v>22074.089999999997</v>
      </c>
    </row>
    <row r="300" spans="1:31" x14ac:dyDescent="0.2">
      <c r="A300" s="13">
        <v>44378</v>
      </c>
      <c r="B300" s="20">
        <v>80514.59</v>
      </c>
      <c r="C300" s="14">
        <v>96014.84</v>
      </c>
      <c r="D300" s="14">
        <v>176529.42</v>
      </c>
      <c r="E300" s="14">
        <v>36271.85</v>
      </c>
      <c r="F300" s="14">
        <v>38008.839999999997</v>
      </c>
      <c r="G300" s="14">
        <v>74280.69</v>
      </c>
      <c r="I300" s="14">
        <f t="shared" si="20"/>
        <v>2150.9100000000035</v>
      </c>
      <c r="J300" s="15">
        <f t="shared" si="24"/>
        <v>0.14786134000904005</v>
      </c>
      <c r="L300" s="15">
        <f t="shared" si="21"/>
        <v>0.4207836291537127</v>
      </c>
      <c r="M300" s="16">
        <v>152.9308323529412</v>
      </c>
      <c r="N300" s="16">
        <f>G300*$O$7/'[2]Used Cooking Oil Complex'!$AZ$26</f>
        <v>8.9413894198543592E-2</v>
      </c>
      <c r="O300" s="16"/>
      <c r="R300" s="18">
        <f t="shared" si="22"/>
        <v>0.4560972896189201</v>
      </c>
      <c r="S300" s="18">
        <f t="shared" si="23"/>
        <v>0.5439027670288612</v>
      </c>
      <c r="U300" s="4">
        <v>2.7E-2</v>
      </c>
    </row>
    <row r="301" spans="1:31" x14ac:dyDescent="0.2">
      <c r="A301" s="13">
        <v>44409</v>
      </c>
      <c r="B301" s="20">
        <v>80682.880000000005</v>
      </c>
      <c r="C301" s="14">
        <v>93558.080000000002</v>
      </c>
      <c r="D301" s="14">
        <v>174240.97</v>
      </c>
      <c r="E301" s="14">
        <v>36235.32</v>
      </c>
      <c r="F301" s="14">
        <v>36879.089999999997</v>
      </c>
      <c r="G301" s="14">
        <v>73114.42</v>
      </c>
      <c r="I301" s="14">
        <f t="shared" si="20"/>
        <v>-1166.2700000000041</v>
      </c>
      <c r="J301" s="15">
        <f t="shared" si="24"/>
        <v>0.12730377142110005</v>
      </c>
      <c r="L301" s="15">
        <f t="shared" si="21"/>
        <v>0.41961669520090478</v>
      </c>
      <c r="M301" s="16">
        <v>150.52968823529412</v>
      </c>
      <c r="N301" s="16">
        <f>G301*$O$7/'[2]Used Cooking Oil Complex'!$AZ$26</f>
        <v>8.8010020023614216E-2</v>
      </c>
      <c r="O301" s="16"/>
      <c r="R301" s="18">
        <f t="shared" si="22"/>
        <v>0.46305343685816258</v>
      </c>
      <c r="S301" s="18">
        <f t="shared" si="23"/>
        <v>0.53694650575005409</v>
      </c>
    </row>
    <row r="302" spans="1:31" x14ac:dyDescent="0.2">
      <c r="A302" s="13">
        <v>44440</v>
      </c>
      <c r="B302" s="20">
        <v>77963.789999999994</v>
      </c>
      <c r="C302" s="14">
        <v>89692.89</v>
      </c>
      <c r="D302" s="14">
        <v>167656.69</v>
      </c>
      <c r="E302" s="14">
        <v>34631.620000000003</v>
      </c>
      <c r="F302" s="14">
        <v>35166.79</v>
      </c>
      <c r="G302" s="14">
        <v>69798.41</v>
      </c>
      <c r="I302" s="14">
        <f t="shared" si="20"/>
        <v>-3316.0099999999948</v>
      </c>
      <c r="J302" s="15">
        <f t="shared" si="24"/>
        <v>0.11578980854656917</v>
      </c>
      <c r="L302" s="15">
        <f t="shared" si="21"/>
        <v>0.41631747590865598</v>
      </c>
      <c r="M302" s="16">
        <v>143.70260882352943</v>
      </c>
      <c r="N302" s="16">
        <f>G302*$O$7/'[2]Used Cooking Oil Complex'!$AZ$26</f>
        <v>8.401843934091846E-2</v>
      </c>
      <c r="O302" s="16"/>
      <c r="R302" s="18">
        <f t="shared" si="22"/>
        <v>0.46502045340391723</v>
      </c>
      <c r="S302" s="18">
        <f t="shared" si="23"/>
        <v>0.53497948695038655</v>
      </c>
    </row>
    <row r="303" spans="1:31" x14ac:dyDescent="0.2">
      <c r="A303" s="13">
        <v>44470</v>
      </c>
      <c r="B303" s="20">
        <v>82538.63</v>
      </c>
      <c r="C303" s="14">
        <v>93755.59</v>
      </c>
      <c r="D303" s="14">
        <v>176294.22</v>
      </c>
      <c r="E303" s="14">
        <v>36279.43</v>
      </c>
      <c r="F303" s="14">
        <v>36455.379999999997</v>
      </c>
      <c r="G303" s="14">
        <v>72734.81</v>
      </c>
      <c r="I303" s="14">
        <f t="shared" si="20"/>
        <v>2936.3999999999942</v>
      </c>
      <c r="J303" s="15">
        <f t="shared" si="24"/>
        <v>0.11446207356219684</v>
      </c>
      <c r="L303" s="15">
        <f t="shared" si="21"/>
        <v>0.41257626029940175</v>
      </c>
      <c r="M303" s="16">
        <v>171.14072941176471</v>
      </c>
      <c r="N303" s="16">
        <f>G303*$O$8/'[2]Used Cooking Oil Complex'!$AZ$26</f>
        <v>0.100060653808315</v>
      </c>
      <c r="O303" s="16"/>
      <c r="R303" s="18">
        <f t="shared" si="22"/>
        <v>0.46818681860358213</v>
      </c>
      <c r="S303" s="18">
        <f t="shared" si="23"/>
        <v>0.53181318139641787</v>
      </c>
      <c r="U303" s="4">
        <v>7.0000000000000007E-2</v>
      </c>
    </row>
    <row r="304" spans="1:31" x14ac:dyDescent="0.2">
      <c r="A304" s="13">
        <v>44501</v>
      </c>
      <c r="B304" s="20">
        <v>84605.19</v>
      </c>
      <c r="C304" s="14">
        <v>88694.48</v>
      </c>
      <c r="D304" s="14">
        <v>173299.66</v>
      </c>
      <c r="E304" s="14">
        <v>37061.29</v>
      </c>
      <c r="F304" s="14">
        <v>34280.949999999997</v>
      </c>
      <c r="G304" s="14">
        <v>71342.23</v>
      </c>
      <c r="I304" s="14">
        <f t="shared" si="20"/>
        <v>-1392.5800000000017</v>
      </c>
      <c r="J304" s="15">
        <f t="shared" si="24"/>
        <v>0.13805042136379608</v>
      </c>
      <c r="L304" s="15">
        <f t="shared" si="21"/>
        <v>0.41166976322977206</v>
      </c>
      <c r="M304" s="16">
        <v>167.86407058823531</v>
      </c>
      <c r="N304" s="16">
        <f>G304*$O$8/'[2]Used Cooking Oil Complex'!$AZ$26</f>
        <v>9.8144893455323318E-2</v>
      </c>
      <c r="O304" s="16"/>
      <c r="R304" s="18">
        <f t="shared" si="22"/>
        <v>0.48820170795487999</v>
      </c>
      <c r="S304" s="18">
        <f t="shared" si="23"/>
        <v>0.51179834974863769</v>
      </c>
    </row>
    <row r="305" spans="1:21" x14ac:dyDescent="0.2">
      <c r="A305" s="13">
        <v>44531</v>
      </c>
      <c r="B305" s="20">
        <v>91905.23</v>
      </c>
      <c r="C305" s="14">
        <v>93937.600000000006</v>
      </c>
      <c r="D305" s="14">
        <v>185842.84</v>
      </c>
      <c r="E305" s="14">
        <v>40082.89</v>
      </c>
      <c r="F305" s="14">
        <v>36091.120000000003</v>
      </c>
      <c r="G305" s="14">
        <v>76174</v>
      </c>
      <c r="I305" s="14">
        <f t="shared" si="20"/>
        <v>4831.7700000000041</v>
      </c>
      <c r="J305" s="15">
        <f t="shared" si="24"/>
        <v>0.15624326432971158</v>
      </c>
      <c r="L305" s="15">
        <f t="shared" si="21"/>
        <v>0.40988396432168173</v>
      </c>
      <c r="M305" s="16">
        <v>179.2329411764706</v>
      </c>
      <c r="N305" s="16">
        <f>G305*$O$8/'[2]Used Cooking Oil Complex'!$AZ$26</f>
        <v>0.10479191797152682</v>
      </c>
      <c r="O305" s="16"/>
      <c r="R305" s="18">
        <f t="shared" si="22"/>
        <v>0.49453199273106241</v>
      </c>
      <c r="S305" s="18">
        <f t="shared" si="23"/>
        <v>0.50546795346003115</v>
      </c>
    </row>
    <row r="306" spans="1:21" x14ac:dyDescent="0.2">
      <c r="A306" s="13">
        <v>44562</v>
      </c>
      <c r="B306" s="20">
        <v>80653.91</v>
      </c>
      <c r="C306" s="14">
        <v>83571.13</v>
      </c>
      <c r="D306" s="14">
        <v>164225.03</v>
      </c>
      <c r="E306" s="14">
        <v>34762.480000000003</v>
      </c>
      <c r="F306" s="14">
        <v>31875.3</v>
      </c>
      <c r="G306" s="14">
        <v>66637.789999999994</v>
      </c>
      <c r="I306" s="14">
        <f t="shared" si="20"/>
        <v>-9536.2100000000064</v>
      </c>
      <c r="J306" s="15">
        <f t="shared" si="24"/>
        <v>8.1072061909975623E-2</v>
      </c>
      <c r="L306" s="15">
        <f t="shared" si="21"/>
        <v>0.40577121526481069</v>
      </c>
      <c r="M306" s="16">
        <v>156.79479999999998</v>
      </c>
      <c r="N306" s="16">
        <f>G306*$O$8/'[2]Used Cooking Oil Complex'!$AZ$26</f>
        <v>9.1673035727201257E-2</v>
      </c>
      <c r="O306" s="16"/>
      <c r="R306" s="18">
        <f t="shared" si="22"/>
        <v>0.49111825402010889</v>
      </c>
      <c r="S306" s="18">
        <f t="shared" si="23"/>
        <v>0.50888180687194884</v>
      </c>
      <c r="U306" s="4">
        <v>-0.02</v>
      </c>
    </row>
    <row r="307" spans="1:21" x14ac:dyDescent="0.2">
      <c r="A307" s="13">
        <v>44593</v>
      </c>
      <c r="B307" s="20">
        <v>74657.759999999995</v>
      </c>
      <c r="C307" s="14">
        <v>85803.3</v>
      </c>
      <c r="D307" s="14">
        <v>160461.06</v>
      </c>
      <c r="E307" s="14">
        <v>31726.07</v>
      </c>
      <c r="F307" s="14">
        <v>32582.98</v>
      </c>
      <c r="G307" s="14">
        <v>64309.05</v>
      </c>
      <c r="I307" s="14">
        <f t="shared" si="20"/>
        <v>-2328.7399999999907</v>
      </c>
      <c r="J307" s="15">
        <f t="shared" si="24"/>
        <v>0.11803948853501467</v>
      </c>
      <c r="L307" s="15">
        <f t="shared" si="21"/>
        <v>0.40077667441558723</v>
      </c>
      <c r="M307" s="16">
        <v>151.31541176470589</v>
      </c>
      <c r="N307" s="16">
        <f>G307*$O$8/'[2]Used Cooking Oil Complex'!$AZ$26</f>
        <v>8.8469408097603064E-2</v>
      </c>
      <c r="O307" s="16"/>
      <c r="R307" s="18">
        <f t="shared" si="22"/>
        <v>0.46527026557097401</v>
      </c>
      <c r="S307" s="18">
        <f t="shared" si="23"/>
        <v>0.53472973442902594</v>
      </c>
    </row>
    <row r="308" spans="1:21" x14ac:dyDescent="0.2">
      <c r="A308" s="13">
        <v>44621</v>
      </c>
      <c r="B308" s="20">
        <v>84560.6</v>
      </c>
      <c r="C308" s="14">
        <v>99254.84</v>
      </c>
      <c r="D308" s="14">
        <v>183815.44</v>
      </c>
      <c r="E308" s="14">
        <v>35412.730000000003</v>
      </c>
      <c r="F308" s="14">
        <v>37596.29</v>
      </c>
      <c r="G308" s="14">
        <v>73009.03</v>
      </c>
      <c r="I308" s="14">
        <f t="shared" si="20"/>
        <v>8699.9799999999959</v>
      </c>
      <c r="J308" s="15">
        <f t="shared" si="24"/>
        <v>5.4513024730471704E-2</v>
      </c>
      <c r="L308" s="15">
        <f t="shared" si="21"/>
        <v>0.39718660195248012</v>
      </c>
      <c r="M308" s="16">
        <v>171.78595294117648</v>
      </c>
      <c r="N308" s="16">
        <f>G308*$O$8/'[2]Used Cooking Oil Complex'!$AZ$26</f>
        <v>0.10043789590858744</v>
      </c>
      <c r="O308" s="16"/>
      <c r="R308" s="18">
        <f t="shared" si="22"/>
        <v>0.46002990826015489</v>
      </c>
      <c r="S308" s="18">
        <f t="shared" si="23"/>
        <v>0.53997009173984511</v>
      </c>
    </row>
    <row r="309" spans="1:21" x14ac:dyDescent="0.2">
      <c r="A309" s="13">
        <v>44652</v>
      </c>
      <c r="B309" s="20">
        <v>83614.06</v>
      </c>
      <c r="C309" s="14">
        <v>101353.27</v>
      </c>
      <c r="D309" s="14">
        <v>184967.34</v>
      </c>
      <c r="E309" s="14">
        <v>34575.910000000003</v>
      </c>
      <c r="F309" s="14">
        <v>38169.269999999997</v>
      </c>
      <c r="G309" s="14">
        <v>72745.179999999993</v>
      </c>
      <c r="I309" s="14">
        <f t="shared" si="20"/>
        <v>-263.85000000000582</v>
      </c>
      <c r="J309" s="15">
        <f t="shared" si="24"/>
        <v>5.5329170636200242E-2</v>
      </c>
      <c r="L309" s="15">
        <f t="shared" si="21"/>
        <v>0.39328662022171046</v>
      </c>
      <c r="M309" s="16">
        <v>171.1651294117647</v>
      </c>
      <c r="N309" s="16">
        <f>G309*$O$8/'[2]Used Cooking Oil Complex'!$AZ$26</f>
        <v>0.10007491972830561</v>
      </c>
      <c r="O309" s="16"/>
      <c r="R309" s="18">
        <f t="shared" si="22"/>
        <v>0.45204769663660621</v>
      </c>
      <c r="S309" s="18">
        <f t="shared" si="23"/>
        <v>0.54795224929979536</v>
      </c>
      <c r="U309" s="4">
        <v>-0.01</v>
      </c>
    </row>
    <row r="310" spans="1:21" x14ac:dyDescent="0.2">
      <c r="A310" s="13">
        <v>44682</v>
      </c>
      <c r="B310" s="20">
        <v>87698.59</v>
      </c>
      <c r="C310" s="14">
        <v>105795.77</v>
      </c>
      <c r="D310" s="14">
        <v>193494.36</v>
      </c>
      <c r="E310" s="14">
        <v>35784.019999999997</v>
      </c>
      <c r="F310" s="14">
        <v>39549.79</v>
      </c>
      <c r="G310" s="14">
        <v>75333.81</v>
      </c>
      <c r="I310" s="14">
        <f t="shared" si="20"/>
        <v>2588.6300000000047</v>
      </c>
      <c r="J310" s="15">
        <f t="shared" si="24"/>
        <v>3.1232174568798232E-2</v>
      </c>
      <c r="L310" s="15">
        <f t="shared" si="21"/>
        <v>0.38933336351509162</v>
      </c>
      <c r="M310" s="16">
        <v>177.25602352941178</v>
      </c>
      <c r="N310" s="16">
        <f>G310*$O$8/'[2]Used Cooking Oil Complex'!$AZ$26</f>
        <v>0.10363607580017573</v>
      </c>
      <c r="O310" s="16"/>
      <c r="R310" s="18">
        <f t="shared" si="22"/>
        <v>0.45323589793521629</v>
      </c>
      <c r="S310" s="18">
        <f t="shared" si="23"/>
        <v>0.54676410206478376</v>
      </c>
    </row>
    <row r="311" spans="1:21" x14ac:dyDescent="0.2">
      <c r="A311" s="13">
        <v>44713</v>
      </c>
      <c r="B311" s="20">
        <v>87669.95</v>
      </c>
      <c r="C311" s="14">
        <v>103862.52</v>
      </c>
      <c r="D311" s="14">
        <v>191532.47</v>
      </c>
      <c r="E311" s="14">
        <v>35409.39</v>
      </c>
      <c r="F311" s="14">
        <v>38463.51</v>
      </c>
      <c r="G311" s="14">
        <v>73872.91</v>
      </c>
      <c r="I311" s="14">
        <f t="shared" si="20"/>
        <v>-1460.8999999999942</v>
      </c>
      <c r="J311" s="15">
        <f t="shared" si="24"/>
        <v>2.4166578630906654E-2</v>
      </c>
      <c r="L311" s="15">
        <f t="shared" si="21"/>
        <v>0.38569392437741756</v>
      </c>
      <c r="M311" s="16">
        <v>173.81861176470591</v>
      </c>
      <c r="N311" s="16">
        <f>G311*$O$8/'[2]Used Cooking Oil Complex'!$AZ$26</f>
        <v>0.10162632820959885</v>
      </c>
      <c r="O311" s="16"/>
      <c r="R311" s="18">
        <f t="shared" si="22"/>
        <v>0.45772891666880294</v>
      </c>
      <c r="S311" s="18">
        <f t="shared" si="23"/>
        <v>0.54227108333119711</v>
      </c>
    </row>
    <row r="312" spans="1:21" x14ac:dyDescent="0.2">
      <c r="A312" s="13">
        <v>44743</v>
      </c>
      <c r="B312" s="20">
        <v>88896.27</v>
      </c>
      <c r="C312" s="14">
        <v>105655.08</v>
      </c>
      <c r="D312" s="14">
        <v>194551.34</v>
      </c>
      <c r="E312" s="14">
        <v>35403.699999999997</v>
      </c>
      <c r="F312" s="14">
        <v>38854.68</v>
      </c>
      <c r="G312" s="14">
        <v>74258.39</v>
      </c>
      <c r="I312" s="14">
        <f t="shared" si="20"/>
        <v>385.47999999999593</v>
      </c>
      <c r="J312" s="15">
        <f t="shared" si="24"/>
        <v>-3.0021261245694042E-4</v>
      </c>
      <c r="L312" s="15">
        <f t="shared" si="21"/>
        <v>0.38169045764475329</v>
      </c>
      <c r="M312" s="16">
        <v>174.72562352941179</v>
      </c>
      <c r="N312" s="16">
        <f>G312*$O$8/'[2]Used Cooking Oil Complex'!$AZ$26</f>
        <v>0.10215662973688722</v>
      </c>
      <c r="O312" s="16"/>
      <c r="R312" s="18">
        <f t="shared" si="22"/>
        <v>0.45692962073661381</v>
      </c>
      <c r="S312" s="18">
        <f t="shared" si="23"/>
        <v>0.54307043066370042</v>
      </c>
      <c r="U312" s="4">
        <v>3.0000000000000001E-3</v>
      </c>
    </row>
    <row r="313" spans="1:21" x14ac:dyDescent="0.2">
      <c r="A313" s="13">
        <v>44774</v>
      </c>
      <c r="B313" s="20">
        <v>88245.3</v>
      </c>
      <c r="C313" s="14">
        <v>104805.67</v>
      </c>
      <c r="D313" s="14">
        <v>193050.97</v>
      </c>
      <c r="E313" s="14">
        <v>34902.019999999997</v>
      </c>
      <c r="F313" s="14">
        <v>38211.339999999997</v>
      </c>
      <c r="G313" s="14">
        <v>73113.36</v>
      </c>
      <c r="I313" s="14">
        <f t="shared" si="20"/>
        <v>-1145.0299999999988</v>
      </c>
      <c r="J313" s="15">
        <f t="shared" si="24"/>
        <v>-1.4497824095460743E-5</v>
      </c>
      <c r="L313" s="15">
        <f t="shared" si="21"/>
        <v>0.37872568058062595</v>
      </c>
      <c r="M313" s="16">
        <v>172.03143529411764</v>
      </c>
      <c r="N313" s="16">
        <f>G313*$O$8/'[2]Used Cooking Oil Complex'!$AZ$26</f>
        <v>0.10058142179408602</v>
      </c>
      <c r="O313" s="16"/>
      <c r="R313" s="18">
        <f t="shared" si="22"/>
        <v>0.45710881431986589</v>
      </c>
      <c r="S313" s="18">
        <f t="shared" si="23"/>
        <v>0.54289118568013406</v>
      </c>
    </row>
    <row r="314" spans="1:21" x14ac:dyDescent="0.2">
      <c r="A314" s="13">
        <v>44805</v>
      </c>
      <c r="B314" s="20">
        <v>85113.600000000006</v>
      </c>
      <c r="C314" s="14">
        <v>101175.03999999999</v>
      </c>
      <c r="D314" s="14">
        <v>186288.64000000001</v>
      </c>
      <c r="E314" s="14">
        <v>33463.300000000003</v>
      </c>
      <c r="F314" s="14">
        <v>36542.46</v>
      </c>
      <c r="G314" s="14">
        <v>70005.759999999995</v>
      </c>
      <c r="I314" s="14">
        <f t="shared" si="20"/>
        <v>-3107.6000000000058</v>
      </c>
      <c r="J314" s="15">
        <f t="shared" si="24"/>
        <v>2.9706980431214447E-3</v>
      </c>
      <c r="L314" s="15">
        <f t="shared" si="21"/>
        <v>0.3757918894034547</v>
      </c>
      <c r="M314" s="16">
        <v>164.71943529411763</v>
      </c>
      <c r="N314" s="16">
        <f>G314*$O$8/'[2]Used Cooking Oil Complex'!$AZ$26</f>
        <v>9.6306323147719586E-2</v>
      </c>
      <c r="O314" s="16"/>
      <c r="R314" s="18">
        <f t="shared" si="22"/>
        <v>0.45689098379804588</v>
      </c>
      <c r="S314" s="18">
        <f t="shared" si="23"/>
        <v>0.54310901620195406</v>
      </c>
    </row>
    <row r="315" spans="1:21" x14ac:dyDescent="0.2">
      <c r="A315" s="13">
        <v>44835</v>
      </c>
      <c r="B315" s="20">
        <v>89017.04</v>
      </c>
      <c r="C315" s="14">
        <v>104701.08</v>
      </c>
      <c r="D315" s="14">
        <v>193718.13</v>
      </c>
      <c r="E315" s="14">
        <v>34806.800000000003</v>
      </c>
      <c r="F315" s="14">
        <v>37464.74</v>
      </c>
      <c r="G315" s="14">
        <v>72271.55</v>
      </c>
      <c r="I315" s="14">
        <f t="shared" si="20"/>
        <v>2265.7900000000081</v>
      </c>
      <c r="J315" s="15">
        <f t="shared" si="24"/>
        <v>-6.3691649156709662E-3</v>
      </c>
      <c r="L315" s="15">
        <f t="shared" si="21"/>
        <v>0.37307581897471342</v>
      </c>
      <c r="M315" s="16">
        <v>212.56338235294118</v>
      </c>
      <c r="N315" s="16">
        <f>G315*$O$9/'[2]Used Cooking Oil Complex'!$AZ$26</f>
        <v>0.12427918875329998</v>
      </c>
      <c r="O315" s="16"/>
      <c r="R315" s="18">
        <f>B315/D315</f>
        <v>0.4595183734222501</v>
      </c>
      <c r="S315" s="18">
        <f t="shared" si="23"/>
        <v>0.5404815749563554</v>
      </c>
      <c r="U315" s="4">
        <v>2.7E-2</v>
      </c>
    </row>
    <row r="316" spans="1:21" x14ac:dyDescent="0.2">
      <c r="A316" s="13">
        <v>44866</v>
      </c>
      <c r="B316" s="20">
        <v>92002.51</v>
      </c>
      <c r="C316" s="14">
        <v>98143.88</v>
      </c>
      <c r="D316" s="14">
        <v>190146.38</v>
      </c>
      <c r="E316" s="14">
        <v>35988.269999999997</v>
      </c>
      <c r="F316" s="14">
        <v>34940.49</v>
      </c>
      <c r="G316" s="14">
        <v>70928.77</v>
      </c>
      <c r="I316" s="14">
        <f t="shared" si="20"/>
        <v>-1342.7799999999988</v>
      </c>
      <c r="J316" s="15">
        <f t="shared" si="24"/>
        <v>-5.7954454185128457E-3</v>
      </c>
      <c r="L316" s="15">
        <f t="shared" si="21"/>
        <v>0.3730219318400908</v>
      </c>
      <c r="M316" s="16">
        <v>208.61402941176473</v>
      </c>
      <c r="N316" s="16">
        <f>G316*$O$9/'[2]Used Cooking Oil Complex'!$AZ$26</f>
        <v>0.12197012510274655</v>
      </c>
      <c r="O316" s="16"/>
      <c r="R316" s="18">
        <f t="shared" ref="R316:R329" si="28">B316/D316</f>
        <v>0.48385096787012194</v>
      </c>
      <c r="S316" s="18">
        <f t="shared" si="23"/>
        <v>0.51614908472093979</v>
      </c>
    </row>
    <row r="317" spans="1:21" x14ac:dyDescent="0.2">
      <c r="A317" s="13">
        <v>44896</v>
      </c>
      <c r="B317" s="20">
        <v>99145.64</v>
      </c>
      <c r="C317" s="14">
        <v>105474.91</v>
      </c>
      <c r="D317" s="14">
        <v>204620.55</v>
      </c>
      <c r="E317" s="14">
        <v>38678.04</v>
      </c>
      <c r="F317" s="14">
        <v>37409.11</v>
      </c>
      <c r="G317" s="14">
        <v>76087.149999999994</v>
      </c>
      <c r="I317" s="14">
        <f t="shared" si="20"/>
        <v>5158.3799999999901</v>
      </c>
      <c r="J317" s="15">
        <f t="shared" si="24"/>
        <v>-1.1401528080448031E-3</v>
      </c>
      <c r="L317" s="15">
        <f t="shared" si="21"/>
        <v>0.37184510548916028</v>
      </c>
      <c r="M317" s="16">
        <v>223.78573529411764</v>
      </c>
      <c r="N317" s="16">
        <f>G317*$O$9/'[2]Used Cooking Oil Complex'!$AZ$26</f>
        <v>0.13084054896498895</v>
      </c>
      <c r="O317" s="16"/>
      <c r="R317" s="18">
        <f t="shared" si="28"/>
        <v>0.48453412914783001</v>
      </c>
      <c r="S317" s="18">
        <f t="shared" si="23"/>
        <v>0.5154658708521701</v>
      </c>
    </row>
    <row r="318" spans="1:21" x14ac:dyDescent="0.2">
      <c r="A318" s="13">
        <v>44927</v>
      </c>
      <c r="B318" s="21">
        <v>84500.28</v>
      </c>
      <c r="C318" s="22">
        <v>100769.74</v>
      </c>
      <c r="D318" s="22">
        <v>185270.03</v>
      </c>
      <c r="E318" s="22">
        <v>32687.5</v>
      </c>
      <c r="F318" s="22">
        <v>35514.730000000003</v>
      </c>
      <c r="G318" s="22">
        <v>68202.23</v>
      </c>
      <c r="I318" s="14">
        <f t="shared" si="20"/>
        <v>-7884.9199999999983</v>
      </c>
      <c r="J318" s="15">
        <f t="shared" si="24"/>
        <v>2.3476768962476191E-2</v>
      </c>
      <c r="L318" s="15">
        <f t="shared" si="21"/>
        <v>0.3681233818551225</v>
      </c>
      <c r="M318" s="16">
        <v>200.59479411764707</v>
      </c>
      <c r="N318" s="16">
        <f>G318*$O$9/'[2]Used Cooking Oil Complex'!$AZ$26</f>
        <v>0.11728152800882198</v>
      </c>
      <c r="O318" s="16"/>
      <c r="R318" s="18">
        <f t="shared" si="28"/>
        <v>0.45609254772614871</v>
      </c>
      <c r="S318" s="18">
        <f t="shared" si="23"/>
        <v>0.5439073982985807</v>
      </c>
      <c r="U318" s="4">
        <v>3.4000000000000002E-2</v>
      </c>
    </row>
    <row r="319" spans="1:21" x14ac:dyDescent="0.2">
      <c r="A319" s="13">
        <v>44958</v>
      </c>
      <c r="B319" s="21">
        <v>79632.28</v>
      </c>
      <c r="C319" s="22">
        <v>98558.15</v>
      </c>
      <c r="D319" s="22">
        <v>178190.44</v>
      </c>
      <c r="E319" s="22">
        <v>30697.67</v>
      </c>
      <c r="F319" s="22">
        <v>34516.410000000003</v>
      </c>
      <c r="G319" s="22">
        <v>65214.09</v>
      </c>
      <c r="I319" s="14">
        <f t="shared" si="20"/>
        <v>-2988.1399999999994</v>
      </c>
      <c r="J319" s="15">
        <f t="shared" si="24"/>
        <v>1.4073291395223508E-2</v>
      </c>
      <c r="L319" s="15">
        <f t="shared" si="21"/>
        <v>0.36597973493976443</v>
      </c>
      <c r="M319" s="16">
        <v>191.80614705882354</v>
      </c>
      <c r="N319" s="16">
        <f>G319*$O$9/'[2]Used Cooking Oil Complex'!$AZ$26</f>
        <v>0.11214307982165447</v>
      </c>
      <c r="O319" s="16"/>
      <c r="R319" s="18">
        <f t="shared" si="28"/>
        <v>0.44689423293415742</v>
      </c>
      <c r="S319" s="18">
        <f t="shared" si="23"/>
        <v>0.55310571094610905</v>
      </c>
    </row>
    <row r="320" spans="1:21" x14ac:dyDescent="0.2">
      <c r="A320" s="13">
        <v>44986</v>
      </c>
      <c r="B320" s="21">
        <v>87007.13</v>
      </c>
      <c r="C320" s="22">
        <v>111494.99</v>
      </c>
      <c r="D320" s="22">
        <v>198502.13</v>
      </c>
      <c r="E320" s="22">
        <v>33603.39</v>
      </c>
      <c r="F320" s="22">
        <v>38815.550000000003</v>
      </c>
      <c r="G320" s="22">
        <v>72418.94</v>
      </c>
      <c r="I320" s="14">
        <f t="shared" si="20"/>
        <v>7204.8500000000058</v>
      </c>
      <c r="J320" s="15">
        <f t="shared" si="24"/>
        <v>-8.0824248726493186E-3</v>
      </c>
      <c r="L320" s="15">
        <f t="shared" si="21"/>
        <v>0.3648270172214273</v>
      </c>
      <c r="M320" s="16">
        <v>212.99688235294121</v>
      </c>
      <c r="N320" s="16">
        <f>G320*$O$9/'[2]Used Cooking Oil Complex'!$AZ$26</f>
        <v>0.12453264270067416</v>
      </c>
      <c r="O320" s="16"/>
      <c r="R320" s="18">
        <f t="shared" si="28"/>
        <v>0.43831836968197774</v>
      </c>
      <c r="S320" s="18">
        <f t="shared" si="23"/>
        <v>0.56168157994072909</v>
      </c>
    </row>
    <row r="321" spans="1:21" x14ac:dyDescent="0.2">
      <c r="A321" s="13">
        <v>45017</v>
      </c>
      <c r="B321" s="21">
        <v>86381.06</v>
      </c>
      <c r="C321" s="22">
        <v>108851.66</v>
      </c>
      <c r="D321" s="22">
        <v>195232.72</v>
      </c>
      <c r="E321" s="22">
        <v>33316.35</v>
      </c>
      <c r="F321" s="22">
        <v>37755.800000000003</v>
      </c>
      <c r="G321" s="22">
        <v>71072.160000000003</v>
      </c>
      <c r="I321" s="14">
        <f t="shared" si="20"/>
        <v>-1346.7799999999988</v>
      </c>
      <c r="J321" s="15">
        <f t="shared" si="24"/>
        <v>-2.2998362228260238E-2</v>
      </c>
      <c r="L321" s="15">
        <f t="shared" si="21"/>
        <v>0.36403815917741661</v>
      </c>
      <c r="M321" s="16">
        <v>209.03576470588237</v>
      </c>
      <c r="N321" s="16">
        <f>G321*$O$9/'[2]Used Cooking Oil Complex'!$AZ$26</f>
        <v>0.12221670059303748</v>
      </c>
      <c r="O321" s="16"/>
      <c r="R321" s="18">
        <f t="shared" si="28"/>
        <v>0.44245175706203344</v>
      </c>
      <c r="S321" s="18">
        <f t="shared" si="23"/>
        <v>0.55754824293796656</v>
      </c>
      <c r="U321" s="4">
        <v>2.8000000000000001E-2</v>
      </c>
    </row>
    <row r="322" spans="1:21" x14ac:dyDescent="0.2">
      <c r="A322" s="13">
        <v>45047</v>
      </c>
      <c r="B322" s="21">
        <v>90478.080000000002</v>
      </c>
      <c r="C322" s="22">
        <v>114286.88</v>
      </c>
      <c r="D322" s="22">
        <v>204764.95</v>
      </c>
      <c r="E322" s="22">
        <v>34872.65</v>
      </c>
      <c r="F322" s="22">
        <v>39455.129999999997</v>
      </c>
      <c r="G322" s="22">
        <v>74327.78</v>
      </c>
      <c r="I322" s="14">
        <f t="shared" si="20"/>
        <v>3255.6199999999953</v>
      </c>
      <c r="J322" s="15">
        <f t="shared" si="24"/>
        <v>-1.3354296032551671E-2</v>
      </c>
      <c r="L322" s="15">
        <f t="shared" si="21"/>
        <v>0.36299073645172181</v>
      </c>
      <c r="M322" s="16">
        <v>218.61111764705882</v>
      </c>
      <c r="N322" s="16">
        <f>G322*$O$9/'[2]Used Cooking Oil Complex'!$AZ$26</f>
        <v>0.12781511120536027</v>
      </c>
      <c r="O322" s="16"/>
      <c r="R322" s="18">
        <f t="shared" si="28"/>
        <v>0.44186312159380792</v>
      </c>
      <c r="S322" s="18">
        <f t="shared" si="23"/>
        <v>0.55813692724267505</v>
      </c>
    </row>
    <row r="323" spans="1:21" x14ac:dyDescent="0.2">
      <c r="A323" s="13">
        <v>45078</v>
      </c>
      <c r="B323" s="21">
        <v>88124.33</v>
      </c>
      <c r="C323" s="22">
        <v>113449.48</v>
      </c>
      <c r="D323" s="22">
        <v>201573.81</v>
      </c>
      <c r="E323" s="22">
        <v>33987.919999999998</v>
      </c>
      <c r="F323" s="22">
        <v>39016.449999999997</v>
      </c>
      <c r="G323" s="22">
        <v>73004.37</v>
      </c>
      <c r="I323" s="14">
        <f t="shared" si="20"/>
        <v>-1323.4100000000035</v>
      </c>
      <c r="J323" s="15">
        <f t="shared" si="24"/>
        <v>-1.1757219256693818E-2</v>
      </c>
      <c r="L323" s="15">
        <f t="shared" si="21"/>
        <v>0.36217190120085541</v>
      </c>
      <c r="M323" s="16">
        <v>214.71873529411764</v>
      </c>
      <c r="N323" s="16">
        <f>G323*$O$9/'[2]Used Cooking Oil Complex'!$AZ$26</f>
        <v>0.12553935648323233</v>
      </c>
      <c r="O323" s="16"/>
      <c r="R323" s="18">
        <f t="shared" si="28"/>
        <v>0.43718144733187314</v>
      </c>
      <c r="S323" s="18">
        <f t="shared" si="23"/>
        <v>0.56281855266812686</v>
      </c>
    </row>
    <row r="324" spans="1:21" x14ac:dyDescent="0.2">
      <c r="A324" s="13">
        <v>45108</v>
      </c>
      <c r="B324" s="21">
        <v>89600.3</v>
      </c>
      <c r="C324" s="22">
        <v>114571.88</v>
      </c>
      <c r="D324" s="22">
        <v>204172.19</v>
      </c>
      <c r="E324" s="22">
        <v>34429.64</v>
      </c>
      <c r="F324" s="22">
        <v>39333.93</v>
      </c>
      <c r="G324" s="22">
        <v>73763.58</v>
      </c>
      <c r="I324" s="14">
        <f t="shared" si="20"/>
        <v>759.2100000000064</v>
      </c>
      <c r="J324" s="15">
        <f t="shared" si="24"/>
        <v>-6.6633548074500615E-3</v>
      </c>
      <c r="L324" s="15">
        <f t="shared" si="21"/>
        <v>0.3612812303183896</v>
      </c>
      <c r="M324" s="16">
        <v>216.95170588235294</v>
      </c>
      <c r="N324" s="16">
        <f>G324*$O$9/'[2]Used Cooking Oil Complex'!$AZ$26</f>
        <v>0.12684490483377128</v>
      </c>
      <c r="O324" s="16"/>
      <c r="R324" s="18">
        <f t="shared" si="28"/>
        <v>0.43884674009716995</v>
      </c>
      <c r="S324" s="18">
        <f t="shared" si="23"/>
        <v>0.56115321092456327</v>
      </c>
      <c r="U324" s="4">
        <v>2.4E-2</v>
      </c>
    </row>
    <row r="325" spans="1:21" x14ac:dyDescent="0.2">
      <c r="A325" s="13">
        <v>45139</v>
      </c>
      <c r="B325" s="21">
        <v>90775.52</v>
      </c>
      <c r="C325" s="22">
        <v>113539.74</v>
      </c>
      <c r="D325" s="22">
        <v>204315.27</v>
      </c>
      <c r="E325" s="22">
        <v>34851.25</v>
      </c>
      <c r="F325" s="22">
        <v>38845.93</v>
      </c>
      <c r="G325" s="22">
        <v>73697.17</v>
      </c>
      <c r="I325" s="14">
        <f t="shared" si="20"/>
        <v>-66.410000000003492</v>
      </c>
      <c r="J325" s="15">
        <f t="shared" si="24"/>
        <v>7.9849975435406506E-3</v>
      </c>
      <c r="L325" s="15">
        <f t="shared" si="21"/>
        <v>0.36070319168997989</v>
      </c>
      <c r="M325" s="16">
        <v>216.75638235294116</v>
      </c>
      <c r="N325" s="16">
        <f>G325*$O$9/'[2]Used Cooking Oil Complex'!$AZ$26</f>
        <v>0.12673070525004701</v>
      </c>
      <c r="O325" s="16"/>
      <c r="R325" s="18">
        <f t="shared" si="28"/>
        <v>0.44429141297172753</v>
      </c>
      <c r="S325" s="18">
        <f t="shared" si="23"/>
        <v>0.55570853808430476</v>
      </c>
    </row>
    <row r="326" spans="1:21" x14ac:dyDescent="0.2">
      <c r="A326" s="13">
        <v>45170</v>
      </c>
      <c r="B326" s="21">
        <v>87172.37</v>
      </c>
      <c r="C326" s="22">
        <v>110354.03</v>
      </c>
      <c r="D326" s="22">
        <v>197526.41</v>
      </c>
      <c r="E326" s="22">
        <v>33444.879999999997</v>
      </c>
      <c r="F326" s="22">
        <v>37607.599999999999</v>
      </c>
      <c r="G326" s="22">
        <v>71052.479999999996</v>
      </c>
      <c r="I326" s="14">
        <f t="shared" si="20"/>
        <v>-2644.6900000000023</v>
      </c>
      <c r="J326" s="15">
        <f t="shared" si="24"/>
        <v>1.4951912528340605E-2</v>
      </c>
      <c r="L326" s="15">
        <f>G326/D326</f>
        <v>0.35971129126479845</v>
      </c>
      <c r="M326" s="16">
        <v>208.97788235294118</v>
      </c>
      <c r="N326" s="16">
        <f>G326*$O$9/'[2]Used Cooking Oil Complex'!$AZ$26</f>
        <v>0.12218285858418799</v>
      </c>
      <c r="O326" s="16"/>
      <c r="R326" s="18">
        <f t="shared" si="28"/>
        <v>0.44132007461685752</v>
      </c>
      <c r="S326" s="18">
        <f t="shared" si="23"/>
        <v>0.55867987475700087</v>
      </c>
    </row>
    <row r="327" spans="1:21" x14ac:dyDescent="0.2">
      <c r="A327" s="13">
        <v>45200</v>
      </c>
      <c r="B327" s="21">
        <v>89396.82</v>
      </c>
      <c r="C327" s="22">
        <v>111500.33</v>
      </c>
      <c r="D327" s="22">
        <v>200897.16</v>
      </c>
      <c r="E327" s="22">
        <v>34201.21</v>
      </c>
      <c r="F327" s="22">
        <v>37856.769999999997</v>
      </c>
      <c r="G327" s="22">
        <v>72057.98</v>
      </c>
      <c r="I327" s="14">
        <f t="shared" ref="I327:I328" si="29">G327-G326</f>
        <v>1005.5</v>
      </c>
      <c r="J327" s="15">
        <f t="shared" si="24"/>
        <v>-2.9551047403855168E-3</v>
      </c>
      <c r="L327" s="15">
        <f t="shared" ref="L327:L329" si="30">G327/D327</f>
        <v>0.35868092908829569</v>
      </c>
      <c r="M327" s="16">
        <v>233.12875882352938</v>
      </c>
      <c r="N327" s="16">
        <f>G327*$O$10/'[2]Used Cooking Oil Complex'!$AZ$26</f>
        <v>0.13630312380683221</v>
      </c>
      <c r="O327" s="16"/>
      <c r="R327" s="18">
        <f t="shared" si="28"/>
        <v>0.44498797295093673</v>
      </c>
      <c r="S327" s="18">
        <f t="shared" ref="S327:S335" si="31">C327/D327</f>
        <v>0.55501197727235163</v>
      </c>
      <c r="U327" s="4">
        <v>4.3999999999999997E-2</v>
      </c>
    </row>
    <row r="328" spans="1:21" x14ac:dyDescent="0.2">
      <c r="A328" s="13">
        <v>45231</v>
      </c>
      <c r="B328" s="22">
        <v>92102.15</v>
      </c>
      <c r="C328" s="22">
        <v>107247.69</v>
      </c>
      <c r="D328" s="22">
        <v>199349.84</v>
      </c>
      <c r="E328" s="22">
        <v>35417.949999999997</v>
      </c>
      <c r="F328" s="22">
        <v>36255.379999999997</v>
      </c>
      <c r="G328" s="22">
        <v>71673.33</v>
      </c>
      <c r="I328" s="14">
        <f t="shared" si="29"/>
        <v>-384.64999999999418</v>
      </c>
      <c r="J328" s="15">
        <f t="shared" si="24"/>
        <v>1.0497291860552371E-2</v>
      </c>
      <c r="L328" s="15">
        <f t="shared" si="30"/>
        <v>0.35953542776859015</v>
      </c>
      <c r="M328" s="16">
        <v>231.88430294117646</v>
      </c>
      <c r="N328" s="16">
        <f>G328*$O$10/'[2]Used Cooking Oil Complex'!$AZ$26</f>
        <v>0.13557552921463997</v>
      </c>
      <c r="O328" s="16"/>
      <c r="R328" s="18">
        <f t="shared" si="28"/>
        <v>0.46201266075759073</v>
      </c>
      <c r="S328" s="18">
        <f t="shared" si="31"/>
        <v>0.53798733924240927</v>
      </c>
    </row>
    <row r="329" spans="1:21" x14ac:dyDescent="0.2">
      <c r="A329" s="13">
        <v>45261</v>
      </c>
      <c r="B329" s="22">
        <v>99928.52</v>
      </c>
      <c r="C329" s="22">
        <v>116537.31</v>
      </c>
      <c r="D329" s="22">
        <v>216465.83</v>
      </c>
      <c r="E329" s="22">
        <v>38455.360000000001</v>
      </c>
      <c r="F329" s="22">
        <v>39267.089999999997</v>
      </c>
      <c r="G329" s="22">
        <v>77722.45</v>
      </c>
      <c r="I329" s="14">
        <f>G329-G328</f>
        <v>6049.1199999999953</v>
      </c>
      <c r="J329" s="15">
        <f>G329/G317-1</f>
        <v>2.1492459633459804E-2</v>
      </c>
      <c r="L329" s="15">
        <f t="shared" si="30"/>
        <v>0.35905181894066146</v>
      </c>
      <c r="M329" s="16">
        <v>251.45498529411762</v>
      </c>
      <c r="N329" s="16">
        <f>G329*$O$10/'[2]Used Cooking Oil Complex'!$AZ$26</f>
        <v>0.14701789760024256</v>
      </c>
      <c r="O329" s="16"/>
      <c r="R329" s="18">
        <f t="shared" si="28"/>
        <v>0.46163646243843665</v>
      </c>
      <c r="S329" s="18">
        <f t="shared" si="31"/>
        <v>0.53836353756156341</v>
      </c>
    </row>
    <row r="330" spans="1:21" x14ac:dyDescent="0.2">
      <c r="A330" s="13">
        <v>45292</v>
      </c>
      <c r="B330" s="22">
        <v>86141.119999999995</v>
      </c>
      <c r="C330" s="22">
        <v>103609.29</v>
      </c>
      <c r="D330" s="22">
        <v>189750.41</v>
      </c>
      <c r="E330" s="22">
        <v>32928.76</v>
      </c>
      <c r="F330" s="22">
        <v>34749.07</v>
      </c>
      <c r="G330" s="22">
        <v>67677.83</v>
      </c>
      <c r="I330" s="14">
        <f t="shared" ref="I330:I347" si="32">G330-G329</f>
        <v>-10044.619999999995</v>
      </c>
      <c r="J330" s="15">
        <f t="shared" ref="J330:J347" si="33">G330/G318-1</f>
        <v>-7.6888981489313668E-3</v>
      </c>
      <c r="L330" s="15">
        <f>G330/D330</f>
        <v>0.35666763513185556</v>
      </c>
      <c r="M330" s="16">
        <v>218.93458529411762</v>
      </c>
      <c r="N330" s="16">
        <f>G330*$O$10/'[2]Used Cooking Oil Complex'!$AZ$26</f>
        <v>0.12801773851373222</v>
      </c>
      <c r="O330" s="16"/>
      <c r="R330" s="18">
        <f t="shared" ref="R330:R393" si="34">AVERAGE(R327:R329,R318,R306,R294,R282,R270)</f>
        <v>0.47233334096119384</v>
      </c>
      <c r="S330" s="23">
        <f t="shared" ref="S330:S393" si="35">1-R330</f>
        <v>0.52766665903880616</v>
      </c>
      <c r="U330" s="4">
        <v>3.2000000000000001E-2</v>
      </c>
    </row>
    <row r="331" spans="1:21" x14ac:dyDescent="0.2">
      <c r="A331" s="13">
        <v>45323</v>
      </c>
      <c r="B331" s="22">
        <v>83675.88</v>
      </c>
      <c r="C331" s="22">
        <v>107880.95</v>
      </c>
      <c r="D331" s="22">
        <v>191556.83</v>
      </c>
      <c r="E331" s="22">
        <v>31941.15</v>
      </c>
      <c r="F331" s="22">
        <v>36147.18</v>
      </c>
      <c r="G331" s="22">
        <v>68088.33</v>
      </c>
      <c r="I331" s="14">
        <f t="shared" si="32"/>
        <v>410.5</v>
      </c>
      <c r="J331" s="15">
        <f t="shared" si="33"/>
        <v>4.4073911021375922E-2</v>
      </c>
      <c r="L331" s="15">
        <f t="shared" ref="L331:L340" si="36">G331/D331</f>
        <v>0.35544715372456315</v>
      </c>
      <c r="M331" s="16">
        <v>220.28176176470586</v>
      </c>
      <c r="N331" s="16">
        <f>G331*$O$10/'[2]Used Cooking Oil Complex'!$AZ$26</f>
        <v>0.12879423033771484</v>
      </c>
      <c r="O331" s="16"/>
      <c r="R331" s="18">
        <f t="shared" si="34"/>
        <v>0.46617854231965067</v>
      </c>
      <c r="S331" s="23">
        <f t="shared" si="35"/>
        <v>0.53382145768034928</v>
      </c>
    </row>
    <row r="332" spans="1:21" x14ac:dyDescent="0.2">
      <c r="A332" s="13">
        <v>45352</v>
      </c>
      <c r="B332" s="22">
        <v>91163.12</v>
      </c>
      <c r="C332" s="22">
        <v>118016.26</v>
      </c>
      <c r="D332" s="22">
        <v>209179.38</v>
      </c>
      <c r="E332" s="22">
        <v>34804.11</v>
      </c>
      <c r="F332" s="22">
        <v>39440.14</v>
      </c>
      <c r="G332" s="22">
        <v>74244.25</v>
      </c>
      <c r="I332" s="14">
        <f t="shared" si="32"/>
        <v>6155.9199999999983</v>
      </c>
      <c r="J332" s="15">
        <f t="shared" si="33"/>
        <v>2.5204870438589655E-2</v>
      </c>
      <c r="L332" s="15">
        <f t="shared" si="36"/>
        <v>0.35493101662314896</v>
      </c>
      <c r="M332" s="16">
        <v>240.26326176470587</v>
      </c>
      <c r="N332" s="16">
        <f>G332*$O$10/'[2]Used Cooking Oil Complex'!$AZ$26</f>
        <v>0.14043861900785179</v>
      </c>
      <c r="O332" s="16"/>
      <c r="R332" s="18">
        <f t="shared" si="34"/>
        <v>0.47599025090438624</v>
      </c>
      <c r="S332" s="23">
        <f t="shared" si="35"/>
        <v>0.52400974909561371</v>
      </c>
    </row>
    <row r="333" spans="1:21" x14ac:dyDescent="0.2">
      <c r="A333" s="13">
        <v>45383</v>
      </c>
      <c r="B333" s="22">
        <v>86846.89</v>
      </c>
      <c r="C333" s="22">
        <v>114105.16</v>
      </c>
      <c r="D333" s="22">
        <v>200952.05</v>
      </c>
      <c r="E333" s="22">
        <v>33125.79</v>
      </c>
      <c r="F333" s="22">
        <v>38001</v>
      </c>
      <c r="G333" s="22">
        <v>71126.8</v>
      </c>
      <c r="I333" s="14">
        <f t="shared" si="32"/>
        <v>-3117.4499999999971</v>
      </c>
      <c r="J333" s="15">
        <f t="shared" si="33"/>
        <v>7.6879610806823706E-4</v>
      </c>
      <c r="L333" s="15">
        <f t="shared" si="36"/>
        <v>0.35394911373136034</v>
      </c>
      <c r="M333" s="16">
        <v>230.27914411764706</v>
      </c>
      <c r="N333" s="16">
        <f>G333*$O$10/'[2]Used Cooking Oil Complex'!$AZ$26</f>
        <v>0.13454172634847375</v>
      </c>
      <c r="O333" s="16"/>
      <c r="R333" s="18">
        <f t="shared" si="34"/>
        <v>0.48435982971168495</v>
      </c>
      <c r="S333" s="23">
        <f t="shared" si="35"/>
        <v>0.5156401702883151</v>
      </c>
      <c r="U333" s="4">
        <v>1.6E-2</v>
      </c>
    </row>
    <row r="334" spans="1:21" x14ac:dyDescent="0.2">
      <c r="A334" s="13">
        <v>45413</v>
      </c>
      <c r="B334" s="22">
        <v>93801</v>
      </c>
      <c r="C334" s="22">
        <v>121211.6</v>
      </c>
      <c r="D334" s="22">
        <v>215012.59</v>
      </c>
      <c r="E334" s="22">
        <v>35781.56</v>
      </c>
      <c r="F334" s="22">
        <v>40226.29</v>
      </c>
      <c r="G334" s="22">
        <v>76007.839999999997</v>
      </c>
      <c r="I334" s="14">
        <f t="shared" si="32"/>
        <v>4881.0399999999936</v>
      </c>
      <c r="J334" s="15">
        <f t="shared" si="33"/>
        <v>2.2603392701894265E-2</v>
      </c>
      <c r="L334" s="15">
        <f t="shared" si="36"/>
        <v>0.35350413666474134</v>
      </c>
      <c r="M334" s="16">
        <v>246.2260705882353</v>
      </c>
      <c r="N334" s="16">
        <f>G334*$O$10/'[2]Used Cooking Oil Complex'!$AZ$26</f>
        <v>0.14377458299288842</v>
      </c>
      <c r="O334" s="16"/>
      <c r="R334" s="18">
        <f t="shared" si="34"/>
        <v>0.47808045828807733</v>
      </c>
      <c r="S334" s="23">
        <f t="shared" si="35"/>
        <v>0.52191954171192267</v>
      </c>
    </row>
    <row r="335" spans="1:21" x14ac:dyDescent="0.2">
      <c r="A335" s="13">
        <v>45444</v>
      </c>
      <c r="B335" s="22">
        <v>90289.73</v>
      </c>
      <c r="C335" s="22">
        <v>117619.86</v>
      </c>
      <c r="D335" s="22">
        <v>207909.59</v>
      </c>
      <c r="E335" s="22">
        <v>34433.910000000003</v>
      </c>
      <c r="F335" s="22">
        <v>38873.660000000003</v>
      </c>
      <c r="G335" s="22">
        <v>73307.56</v>
      </c>
      <c r="I335" s="14">
        <f t="shared" si="32"/>
        <v>-2700.2799999999988</v>
      </c>
      <c r="J335" s="15">
        <f t="shared" si="33"/>
        <v>4.1530390577988463E-3</v>
      </c>
      <c r="L335" s="15">
        <f t="shared" si="36"/>
        <v>0.35259345179796658</v>
      </c>
      <c r="M335" s="16">
        <v>237.72142058823528</v>
      </c>
      <c r="N335" s="16">
        <f>G335*$O$10/'[2]Used Cooking Oil Complex'!$AZ$26</f>
        <v>0.13866679896739795</v>
      </c>
      <c r="O335" s="16"/>
      <c r="R335" s="18">
        <f t="shared" si="34"/>
        <v>0.47132453187676487</v>
      </c>
      <c r="S335" s="23">
        <f t="shared" si="35"/>
        <v>0.52867546812323507</v>
      </c>
    </row>
    <row r="336" spans="1:21" x14ac:dyDescent="0.2">
      <c r="A336" s="13">
        <v>45474</v>
      </c>
      <c r="B336" s="22">
        <v>92691.59</v>
      </c>
      <c r="C336" s="22">
        <v>117653.91</v>
      </c>
      <c r="D336" s="22">
        <v>210345.5</v>
      </c>
      <c r="E336" s="22">
        <v>35247.199999999997</v>
      </c>
      <c r="F336" s="22">
        <v>38804.17</v>
      </c>
      <c r="G336" s="22">
        <v>74051.38</v>
      </c>
      <c r="I336" s="14">
        <f t="shared" si="32"/>
        <v>743.82000000000698</v>
      </c>
      <c r="J336" s="15">
        <f t="shared" si="33"/>
        <v>3.9016544478995829E-3</v>
      </c>
      <c r="L336" s="15">
        <f t="shared" si="36"/>
        <v>0.35204641886800531</v>
      </c>
      <c r="M336" s="16">
        <v>240.39053823529412</v>
      </c>
      <c r="N336" s="16">
        <f>G336*$O$10/'[2]Used Cooking Oil Complex'!$AZ$26</f>
        <v>0.14007379080300031</v>
      </c>
      <c r="O336" s="16"/>
      <c r="R336" s="18">
        <f t="shared" si="34"/>
        <v>0.46976534649278395</v>
      </c>
      <c r="S336" s="23">
        <f t="shared" si="35"/>
        <v>0.53023465350721599</v>
      </c>
      <c r="U336" s="4">
        <v>0.03</v>
      </c>
    </row>
    <row r="337" spans="1:21" x14ac:dyDescent="0.2">
      <c r="A337" s="13">
        <v>45505</v>
      </c>
      <c r="B337" s="22">
        <v>93538.240000000005</v>
      </c>
      <c r="C337" s="22">
        <v>120076.09</v>
      </c>
      <c r="D337" s="22">
        <v>213614.34</v>
      </c>
      <c r="E337" s="22">
        <v>35597.129999999997</v>
      </c>
      <c r="F337" s="22">
        <v>39499.86</v>
      </c>
      <c r="G337" s="22">
        <v>75096.98</v>
      </c>
      <c r="I337" s="14">
        <f t="shared" si="32"/>
        <v>1045.5999999999913</v>
      </c>
      <c r="J337" s="15">
        <f t="shared" si="33"/>
        <v>1.8994080776778777E-2</v>
      </c>
      <c r="L337" s="15">
        <f t="shared" si="36"/>
        <v>0.35155402020295079</v>
      </c>
      <c r="M337" s="16">
        <v>243.93289411764707</v>
      </c>
      <c r="N337" s="16">
        <f>G337*$O$10/'[2]Used Cooking Oil Complex'!$AZ$26</f>
        <v>0.14205162235271102</v>
      </c>
      <c r="O337" s="16"/>
      <c r="R337" s="18">
        <f t="shared" si="34"/>
        <v>0.46796281154751485</v>
      </c>
      <c r="S337" s="23">
        <f t="shared" si="35"/>
        <v>0.53203718845248515</v>
      </c>
    </row>
    <row r="338" spans="1:21" x14ac:dyDescent="0.2">
      <c r="A338" s="13">
        <v>45536</v>
      </c>
      <c r="B338" s="22">
        <v>88314.86</v>
      </c>
      <c r="C338" s="22">
        <v>112263.64</v>
      </c>
      <c r="D338" s="22">
        <v>200578.5</v>
      </c>
      <c r="E338" s="22">
        <v>33460.239999999998</v>
      </c>
      <c r="F338" s="22">
        <v>36805.07</v>
      </c>
      <c r="G338" s="22">
        <v>70265.31</v>
      </c>
      <c r="I338" s="14">
        <f t="shared" si="32"/>
        <v>-4831.6699999999983</v>
      </c>
      <c r="J338" s="15">
        <f t="shared" si="33"/>
        <v>-1.1078712523475587E-2</v>
      </c>
      <c r="L338" s="15">
        <f t="shared" si="36"/>
        <v>0.35031326886979414</v>
      </c>
      <c r="M338" s="16">
        <v>228.34388823529414</v>
      </c>
      <c r="N338" s="16">
        <f>G338*$O$10/'[2]Used Cooking Oil Complex'!$AZ$26</f>
        <v>0.132912152800501</v>
      </c>
      <c r="O338" s="16"/>
      <c r="R338" s="18">
        <f t="shared" si="34"/>
        <v>0.46623253264392228</v>
      </c>
      <c r="S338" s="23">
        <f t="shared" si="35"/>
        <v>0.53376746735607772</v>
      </c>
    </row>
    <row r="339" spans="1:21" x14ac:dyDescent="0.2">
      <c r="A339" s="13">
        <v>45566</v>
      </c>
      <c r="B339" s="22">
        <v>93233.73</v>
      </c>
      <c r="C339" s="22">
        <v>116677.03</v>
      </c>
      <c r="D339" s="22">
        <v>209910.75</v>
      </c>
      <c r="E339" s="22">
        <v>35274.239999999998</v>
      </c>
      <c r="F339" s="22">
        <v>38161.4</v>
      </c>
      <c r="G339" s="22">
        <v>73435.64</v>
      </c>
      <c r="I339" s="14">
        <f t="shared" si="32"/>
        <v>3170.3300000000017</v>
      </c>
      <c r="J339" s="15">
        <f t="shared" si="33"/>
        <v>1.9118770745446989E-2</v>
      </c>
      <c r="L339" s="15">
        <f t="shared" si="36"/>
        <v>0.34984220674739147</v>
      </c>
      <c r="M339" s="16">
        <v>260.30509411764706</v>
      </c>
      <c r="N339" s="16">
        <f>G339*$O$11/'[2]Used Cooking Oil Complex'!$AZ$26</f>
        <v>0.15153716943576362</v>
      </c>
      <c r="O339" s="16"/>
      <c r="R339" s="18">
        <f t="shared" si="34"/>
        <v>0.46747512409634939</v>
      </c>
      <c r="S339" s="23">
        <f t="shared" si="35"/>
        <v>0.53252487590365061</v>
      </c>
      <c r="U339" s="4">
        <v>3.1E-2</v>
      </c>
    </row>
    <row r="340" spans="1:21" x14ac:dyDescent="0.2">
      <c r="A340" s="13">
        <v>45597</v>
      </c>
      <c r="B340" s="22">
        <v>95478.53</v>
      </c>
      <c r="C340" s="22">
        <v>113558.88</v>
      </c>
      <c r="D340" s="22">
        <v>209037.41</v>
      </c>
      <c r="E340" s="22">
        <v>36150.29</v>
      </c>
      <c r="F340" s="22">
        <v>37037.75</v>
      </c>
      <c r="G340" s="22">
        <v>73188.03</v>
      </c>
      <c r="I340" s="14">
        <f t="shared" si="32"/>
        <v>-247.61000000000058</v>
      </c>
      <c r="J340" s="15">
        <f t="shared" si="33"/>
        <v>2.1133383923978455E-2</v>
      </c>
      <c r="L340" s="15">
        <f t="shared" si="36"/>
        <v>0.35011929204442399</v>
      </c>
      <c r="M340" s="16">
        <v>259.55742352941178</v>
      </c>
      <c r="N340" s="16">
        <f>G340*$O$11/'[2]Used Cooking Oil Complex'!$AZ$26</f>
        <v>0.15102621700825036</v>
      </c>
      <c r="O340" s="16"/>
      <c r="R340" s="18">
        <f t="shared" si="34"/>
        <v>0.48055289557834918</v>
      </c>
      <c r="S340" s="23">
        <f t="shared" si="35"/>
        <v>0.51944710442165087</v>
      </c>
    </row>
    <row r="341" spans="1:21" x14ac:dyDescent="0.2">
      <c r="A341" s="24">
        <v>45627</v>
      </c>
      <c r="B341" s="25">
        <v>102300.77</v>
      </c>
      <c r="C341" s="25">
        <v>117329.59</v>
      </c>
      <c r="D341" s="25">
        <v>219630.34</v>
      </c>
      <c r="E341" s="25">
        <v>38682.089999999997</v>
      </c>
      <c r="F341" s="25">
        <v>38153.78</v>
      </c>
      <c r="G341" s="25">
        <v>76835.88</v>
      </c>
      <c r="I341" s="26">
        <f t="shared" si="32"/>
        <v>3647.8500000000058</v>
      </c>
      <c r="J341" s="27">
        <f t="shared" si="33"/>
        <v>-1.1406871502377958E-2</v>
      </c>
      <c r="L341" s="27">
        <f>G341/D341</f>
        <v>0.34984182968527938</v>
      </c>
      <c r="M341" s="28">
        <v>259.55742352941178</v>
      </c>
      <c r="N341" s="16">
        <f>G341*$O$11/'[2]Used Cooking Oil Complex'!$AZ$26</f>
        <v>0.15855369090956384</v>
      </c>
      <c r="O341" s="26">
        <f>AVERAGE(B317-B316,B305-B304,B293-B292,B281-B280,B269-B268)</f>
        <v>6162.8419999999987</v>
      </c>
      <c r="P341" s="26">
        <f t="shared" ref="P341:Q353" si="37">AVERAGE(C317-C316,C305-C304,C293-C292,C281-C280,C269-C268)</f>
        <v>4442.9040000000005</v>
      </c>
      <c r="Q341" s="26">
        <f t="shared" si="37"/>
        <v>10605.753999999992</v>
      </c>
      <c r="R341" s="29">
        <f t="shared" si="34"/>
        <v>0.48548389262023139</v>
      </c>
      <c r="S341" s="30">
        <f t="shared" si="35"/>
        <v>0.51451610737976861</v>
      </c>
      <c r="U341" s="31"/>
    </row>
    <row r="342" spans="1:21" x14ac:dyDescent="0.2">
      <c r="A342" s="24">
        <v>45658</v>
      </c>
      <c r="B342" s="32">
        <f t="shared" ref="B342:B405" si="38">D342*R342</f>
        <v>105755.5756369038</v>
      </c>
      <c r="C342" s="32">
        <f t="shared" ref="C342:C405" si="39">D342*S342</f>
        <v>114994.42436309622</v>
      </c>
      <c r="D342" s="32">
        <f>MROUND((($D$338*$U$339)/3*0.5)+D341,250)</f>
        <v>220750</v>
      </c>
      <c r="E342" s="32">
        <f t="shared" ref="E342:G365" si="40">FORECAST(B342,E$6:E$299,B$6:B$299)</f>
        <v>41933.454016643867</v>
      </c>
      <c r="F342" s="32">
        <f t="shared" si="40"/>
        <v>43095.209173021751</v>
      </c>
      <c r="G342" s="32">
        <f t="shared" si="40"/>
        <v>84624.501949116559</v>
      </c>
      <c r="I342" s="26">
        <f t="shared" si="32"/>
        <v>7788.6219491165539</v>
      </c>
      <c r="J342" s="27">
        <f t="shared" si="33"/>
        <v>0.25040211763758613</v>
      </c>
      <c r="L342" s="27">
        <f t="shared" ref="L342:L405" si="41">G342/D342</f>
        <v>0.38334995220437851</v>
      </c>
      <c r="M342" s="28">
        <v>259.55742352941178</v>
      </c>
      <c r="N342" s="16">
        <f>G342*$O$11/'[2]Used Cooking Oil Complex'!$AZ$26</f>
        <v>0.17462580145390422</v>
      </c>
      <c r="O342" s="26">
        <f t="shared" ref="O342:O353" si="42">AVERAGE(B318-B317,B306-B305,B294-B293,B282-B281,B270-B269)</f>
        <v>-10421.003999999997</v>
      </c>
      <c r="P342" s="26">
        <f t="shared" si="37"/>
        <v>-4974.7019999999993</v>
      </c>
      <c r="Q342" s="26">
        <f t="shared" si="37"/>
        <v>-15395.711999999994</v>
      </c>
      <c r="R342" s="29">
        <f t="shared" si="34"/>
        <v>0.47907395532006253</v>
      </c>
      <c r="S342" s="30">
        <f t="shared" si="35"/>
        <v>0.52092604467993753</v>
      </c>
      <c r="U342" s="4">
        <v>2.3E-2</v>
      </c>
    </row>
    <row r="343" spans="1:21" x14ac:dyDescent="0.2">
      <c r="A343" s="24">
        <v>45689</v>
      </c>
      <c r="B343" s="32">
        <f t="shared" si="38"/>
        <v>104699.42690580557</v>
      </c>
      <c r="C343" s="32">
        <f t="shared" si="39"/>
        <v>116800.57309419443</v>
      </c>
      <c r="D343" s="32">
        <f>MROUND((($D$342*$U$342)/3*0.5)+D342,250)</f>
        <v>221500</v>
      </c>
      <c r="E343" s="32">
        <f t="shared" si="40"/>
        <v>41663.948488636699</v>
      </c>
      <c r="F343" s="32">
        <f t="shared" si="40"/>
        <v>43573.230021571857</v>
      </c>
      <c r="G343" s="32">
        <f t="shared" si="40"/>
        <v>84817.36772208527</v>
      </c>
      <c r="I343" s="26">
        <f t="shared" si="32"/>
        <v>192.8657729687111</v>
      </c>
      <c r="J343" s="27">
        <f t="shared" si="33"/>
        <v>0.24569610860018543</v>
      </c>
      <c r="L343" s="27">
        <f t="shared" si="41"/>
        <v>0.38292265337284548</v>
      </c>
      <c r="M343" s="28"/>
      <c r="N343" s="28">
        <f>G343*$O$11/'[2]Used Cooking Oil Complex'!$AZ$26</f>
        <v>0.17502378713656075</v>
      </c>
      <c r="O343" s="26">
        <f t="shared" si="42"/>
        <v>-4916.7800000000016</v>
      </c>
      <c r="P343" s="26">
        <f t="shared" si="37"/>
        <v>-495.56999999999971</v>
      </c>
      <c r="Q343" s="26">
        <f t="shared" si="37"/>
        <v>-5412.3459999999995</v>
      </c>
      <c r="R343" s="29">
        <f t="shared" si="34"/>
        <v>0.47268364291560072</v>
      </c>
      <c r="S343" s="30">
        <f t="shared" si="35"/>
        <v>0.52731635708439928</v>
      </c>
    </row>
    <row r="344" spans="1:21" x14ac:dyDescent="0.2">
      <c r="A344" s="24">
        <v>45717</v>
      </c>
      <c r="B344" s="32">
        <f t="shared" si="38"/>
        <v>107343.20185836712</v>
      </c>
      <c r="C344" s="32">
        <f t="shared" si="39"/>
        <v>114906.7981416329</v>
      </c>
      <c r="D344" s="32">
        <f>MROUND((($D$342*$U$342)/3*0.5)+D343,250)</f>
        <v>222250</v>
      </c>
      <c r="E344" s="32">
        <f t="shared" si="40"/>
        <v>42338.580709972921</v>
      </c>
      <c r="F344" s="32">
        <f t="shared" si="40"/>
        <v>43072.017749182771</v>
      </c>
      <c r="G344" s="32">
        <f t="shared" si="40"/>
        <v>85010.233495053981</v>
      </c>
      <c r="I344" s="26">
        <f t="shared" si="32"/>
        <v>192.8657729687111</v>
      </c>
      <c r="J344" s="27">
        <f t="shared" si="33"/>
        <v>0.14500764025569635</v>
      </c>
      <c r="L344" s="27">
        <f t="shared" si="41"/>
        <v>0.3824982384479369</v>
      </c>
      <c r="M344" s="28"/>
      <c r="N344" s="28">
        <f>G344*$O$11/'[2]Used Cooking Oil Complex'!$AZ$26</f>
        <v>0.17542177281921728</v>
      </c>
      <c r="O344" s="26">
        <f t="shared" si="42"/>
        <v>10465.376000000004</v>
      </c>
      <c r="P344" s="26">
        <f t="shared" si="37"/>
        <v>7510.0059999999967</v>
      </c>
      <c r="Q344" s="26">
        <f t="shared" si="37"/>
        <v>17975.383999999998</v>
      </c>
      <c r="R344" s="29">
        <f t="shared" si="34"/>
        <v>0.48298403535823226</v>
      </c>
      <c r="S344" s="30">
        <f t="shared" si="35"/>
        <v>0.5170159646417678</v>
      </c>
    </row>
    <row r="345" spans="1:21" x14ac:dyDescent="0.2">
      <c r="A345" s="24">
        <v>45748</v>
      </c>
      <c r="B345" s="32">
        <f t="shared" si="38"/>
        <v>109236.8913826135</v>
      </c>
      <c r="C345" s="32">
        <f t="shared" si="39"/>
        <v>113763.1086173865</v>
      </c>
      <c r="D345" s="32">
        <f>MROUND((($D$344*$U$345)/3*0.5)+D344,250)</f>
        <v>223000</v>
      </c>
      <c r="E345" s="32">
        <f t="shared" si="40"/>
        <v>42821.80791092119</v>
      </c>
      <c r="F345" s="32">
        <f t="shared" si="40"/>
        <v>42769.325380916001</v>
      </c>
      <c r="G345" s="32">
        <f t="shared" si="40"/>
        <v>85203.099268022692</v>
      </c>
      <c r="I345" s="26">
        <f t="shared" si="32"/>
        <v>192.8657729687111</v>
      </c>
      <c r="J345" s="27">
        <f t="shared" si="33"/>
        <v>0.19790429582130353</v>
      </c>
      <c r="L345" s="27">
        <f t="shared" si="41"/>
        <v>0.38207667833194031</v>
      </c>
      <c r="M345" s="28"/>
      <c r="N345" s="28">
        <f>G345*$O$11/'[2]Used Cooking Oil Complex'!$AZ$26</f>
        <v>0.17581975850187381</v>
      </c>
      <c r="O345" s="26">
        <f t="shared" si="42"/>
        <v>-3101.1900000000051</v>
      </c>
      <c r="P345" s="26">
        <f t="shared" si="37"/>
        <v>-4453.855999999997</v>
      </c>
      <c r="Q345" s="26">
        <f t="shared" si="37"/>
        <v>-7555.0500000000029</v>
      </c>
      <c r="R345" s="29">
        <f t="shared" si="34"/>
        <v>0.48985153086373767</v>
      </c>
      <c r="S345" s="30">
        <f t="shared" si="35"/>
        <v>0.51014846913626233</v>
      </c>
      <c r="U345" s="33">
        <v>1.7999999999999999E-2</v>
      </c>
    </row>
    <row r="346" spans="1:21" x14ac:dyDescent="0.2">
      <c r="A346" s="24">
        <v>45778</v>
      </c>
      <c r="B346" s="32">
        <f t="shared" si="38"/>
        <v>108019.506704884</v>
      </c>
      <c r="C346" s="32">
        <f t="shared" si="39"/>
        <v>115730.493295116</v>
      </c>
      <c r="D346" s="32">
        <f t="shared" ref="D346" si="43">MROUND((($D$344*$U$345)/3*0.5)+D345,250)</f>
        <v>223750</v>
      </c>
      <c r="E346" s="32">
        <f t="shared" si="40"/>
        <v>42511.158576505804</v>
      </c>
      <c r="F346" s="32">
        <f t="shared" si="40"/>
        <v>43290.019428355219</v>
      </c>
      <c r="G346" s="32">
        <f t="shared" si="40"/>
        <v>85395.965040991403</v>
      </c>
      <c r="I346" s="26">
        <f t="shared" si="32"/>
        <v>192.8657729687111</v>
      </c>
      <c r="J346" s="27">
        <f t="shared" si="33"/>
        <v>0.12351521949566524</v>
      </c>
      <c r="L346" s="27">
        <f t="shared" si="41"/>
        <v>0.38165794431728001</v>
      </c>
      <c r="M346" s="28"/>
      <c r="N346" s="28">
        <f>G346*$O$11/'[2]Used Cooking Oil Complex'!$AZ$26</f>
        <v>0.17621774418453034</v>
      </c>
      <c r="O346" s="26">
        <f t="shared" si="42"/>
        <v>4363.488000000003</v>
      </c>
      <c r="P346" s="26">
        <f t="shared" si="37"/>
        <v>7321.228000000001</v>
      </c>
      <c r="Q346" s="26">
        <f t="shared" si="37"/>
        <v>11684.716</v>
      </c>
      <c r="R346" s="29">
        <f t="shared" si="34"/>
        <v>0.48276874504976086</v>
      </c>
      <c r="S346" s="30">
        <f t="shared" si="35"/>
        <v>0.51723125495023914</v>
      </c>
      <c r="U346" s="33"/>
    </row>
    <row r="347" spans="1:21" x14ac:dyDescent="0.2">
      <c r="A347" s="24">
        <v>45809</v>
      </c>
      <c r="B347" s="32">
        <f t="shared" si="38"/>
        <v>106753.03002854926</v>
      </c>
      <c r="C347" s="32">
        <f t="shared" si="39"/>
        <v>117746.96997145074</v>
      </c>
      <c r="D347" s="32">
        <f>MROUND((($D$344*$U$345)/3*0.5)+D346,250)</f>
        <v>224500</v>
      </c>
      <c r="E347" s="32">
        <f t="shared" si="40"/>
        <v>42187.982062332994</v>
      </c>
      <c r="F347" s="32">
        <f t="shared" si="40"/>
        <v>43823.706314327748</v>
      </c>
      <c r="G347" s="32">
        <f t="shared" si="40"/>
        <v>85588.830813960129</v>
      </c>
      <c r="I347" s="26">
        <f t="shared" si="32"/>
        <v>192.86577296872565</v>
      </c>
      <c r="J347" s="27">
        <f t="shared" si="33"/>
        <v>0.16753075418088037</v>
      </c>
      <c r="L347" s="27">
        <f t="shared" si="41"/>
        <v>0.38124200808000058</v>
      </c>
      <c r="M347" s="28"/>
      <c r="N347" s="28">
        <f>G347*$O$11/'[2]Used Cooking Oil Complex'!$AZ$26</f>
        <v>0.1766157298671869</v>
      </c>
      <c r="O347" s="26">
        <f t="shared" si="42"/>
        <v>-1905.4160000000004</v>
      </c>
      <c r="P347" s="26">
        <f t="shared" si="37"/>
        <v>1504.3600000000006</v>
      </c>
      <c r="Q347" s="26">
        <f t="shared" si="37"/>
        <v>-401.05200000000184</v>
      </c>
      <c r="R347" s="29">
        <f t="shared" si="34"/>
        <v>0.47551461037215703</v>
      </c>
      <c r="S347" s="30">
        <f t="shared" si="35"/>
        <v>0.52448538962784297</v>
      </c>
      <c r="U347" s="33"/>
    </row>
    <row r="348" spans="1:21" x14ac:dyDescent="0.2">
      <c r="A348" s="24">
        <v>45839</v>
      </c>
      <c r="B348" s="32">
        <f t="shared" si="38"/>
        <v>106397.51713045612</v>
      </c>
      <c r="C348" s="32">
        <f t="shared" si="39"/>
        <v>118602.48286954388</v>
      </c>
      <c r="D348" s="32">
        <f>MROUND((($D$347*$U$348)/3*0.5)+D347,250)</f>
        <v>225000</v>
      </c>
      <c r="E348" s="32">
        <f t="shared" si="40"/>
        <v>42097.263124277444</v>
      </c>
      <c r="F348" s="32">
        <f t="shared" si="40"/>
        <v>44050.12897512567</v>
      </c>
      <c r="G348" s="32">
        <f t="shared" si="40"/>
        <v>85717.407995939269</v>
      </c>
      <c r="L348" s="27">
        <f t="shared" si="41"/>
        <v>0.38096625775973009</v>
      </c>
      <c r="M348" s="28"/>
      <c r="N348" s="28">
        <f>G348*$O$11/'[2]Used Cooking Oil Complex'!$AZ$26</f>
        <v>0.17688105365562456</v>
      </c>
      <c r="O348" s="26">
        <f t="shared" si="42"/>
        <v>1765.1339999999996</v>
      </c>
      <c r="P348" s="26">
        <f t="shared" si="37"/>
        <v>2457.9339999999966</v>
      </c>
      <c r="Q348" s="26">
        <f t="shared" si="37"/>
        <v>4223.0580000000018</v>
      </c>
      <c r="R348" s="29">
        <f t="shared" si="34"/>
        <v>0.4728778539131383</v>
      </c>
      <c r="S348" s="30">
        <f t="shared" si="35"/>
        <v>0.5271221460868617</v>
      </c>
      <c r="U348" s="33">
        <v>1.4999999999999999E-2</v>
      </c>
    </row>
    <row r="349" spans="1:21" x14ac:dyDescent="0.2">
      <c r="A349" s="24">
        <v>45870</v>
      </c>
      <c r="B349" s="32">
        <f t="shared" si="38"/>
        <v>106104.73925743224</v>
      </c>
      <c r="C349" s="32">
        <f t="shared" si="39"/>
        <v>119395.26074256776</v>
      </c>
      <c r="D349" s="32">
        <f>MROUND((($D$347*$U$348)/3*0.5)+D348,250)</f>
        <v>225500</v>
      </c>
      <c r="E349" s="32">
        <f t="shared" si="40"/>
        <v>42022.552761111008</v>
      </c>
      <c r="F349" s="32">
        <f t="shared" si="40"/>
        <v>44259.94799226951</v>
      </c>
      <c r="G349" s="32">
        <f t="shared" si="40"/>
        <v>85845.98517791841</v>
      </c>
      <c r="L349" s="27">
        <f t="shared" si="41"/>
        <v>0.38069173027901732</v>
      </c>
      <c r="M349" s="28"/>
      <c r="N349" s="28">
        <f>G349*$O$11/'[2]Used Cooking Oil Complex'!$AZ$26</f>
        <v>0.17714637744406225</v>
      </c>
      <c r="O349" s="26">
        <f t="shared" si="42"/>
        <v>73.982000000000696</v>
      </c>
      <c r="P349" s="26">
        <f t="shared" si="37"/>
        <v>-158.52399999999906</v>
      </c>
      <c r="Q349" s="26">
        <f t="shared" si="37"/>
        <v>-84.529999999998836</v>
      </c>
      <c r="R349" s="29">
        <f t="shared" si="34"/>
        <v>0.47053099448972169</v>
      </c>
      <c r="S349" s="30">
        <f t="shared" si="35"/>
        <v>0.52946900551027831</v>
      </c>
      <c r="U349" s="33"/>
    </row>
    <row r="350" spans="1:21" x14ac:dyDescent="0.2">
      <c r="A350" s="24">
        <v>45901</v>
      </c>
      <c r="B350" s="32">
        <f t="shared" si="38"/>
        <v>105931.96955735538</v>
      </c>
      <c r="C350" s="32">
        <f t="shared" si="39"/>
        <v>120318.03044264461</v>
      </c>
      <c r="D350" s="32">
        <f>MROUND((($D$344*$U$345)/3*0.5)+D349,250)</f>
        <v>226250</v>
      </c>
      <c r="E350" s="32">
        <f t="shared" si="40"/>
        <v>41978.465798856705</v>
      </c>
      <c r="F350" s="32">
        <f t="shared" si="40"/>
        <v>44504.17104403273</v>
      </c>
      <c r="G350" s="32">
        <f t="shared" si="40"/>
        <v>86038.850950887136</v>
      </c>
      <c r="L350" s="27">
        <f t="shared" si="41"/>
        <v>0.38028221414756747</v>
      </c>
      <c r="M350" s="28"/>
      <c r="N350" s="28">
        <f>G350*$O$11/'[2]Used Cooking Oil Complex'!$AZ$26</f>
        <v>0.17754436312671881</v>
      </c>
      <c r="O350" s="26">
        <f t="shared" si="42"/>
        <v>-3549.8920000000044</v>
      </c>
      <c r="P350" s="26">
        <f t="shared" si="37"/>
        <v>-3840.2900000000022</v>
      </c>
      <c r="Q350" s="26">
        <f t="shared" si="37"/>
        <v>-7390.1879999999946</v>
      </c>
      <c r="R350" s="29">
        <f t="shared" si="34"/>
        <v>0.46820760025350444</v>
      </c>
      <c r="S350" s="30">
        <f t="shared" si="35"/>
        <v>0.5317923997464955</v>
      </c>
      <c r="U350" s="33"/>
    </row>
    <row r="351" spans="1:21" x14ac:dyDescent="0.2">
      <c r="A351" s="24">
        <v>45931</v>
      </c>
      <c r="B351" s="32">
        <f t="shared" si="38"/>
        <v>106516.76548152755</v>
      </c>
      <c r="C351" s="32">
        <f t="shared" si="39"/>
        <v>120733.23451847244</v>
      </c>
      <c r="D351" s="32">
        <f t="shared" ref="D351:D413" si="44">MROUND((($D$338*$U$339)/3*0.5)+D350,250)</f>
        <v>227250</v>
      </c>
      <c r="E351" s="32">
        <f t="shared" si="40"/>
        <v>42127.692635645668</v>
      </c>
      <c r="F351" s="32">
        <f t="shared" si="40"/>
        <v>44614.060224935347</v>
      </c>
      <c r="G351" s="32">
        <f t="shared" si="40"/>
        <v>86296.005314845417</v>
      </c>
      <c r="L351" s="27">
        <f t="shared" si="41"/>
        <v>0.37974039742506233</v>
      </c>
      <c r="M351" s="28"/>
      <c r="N351" s="28">
        <f>G351*$O$11/'[2]Used Cooking Oil Complex'!$AZ$26</f>
        <v>0.17807501070359419</v>
      </c>
      <c r="O351" s="26">
        <f t="shared" si="42"/>
        <v>3479.7340000000027</v>
      </c>
      <c r="P351" s="26">
        <f t="shared" si="37"/>
        <v>2852.1200000000013</v>
      </c>
      <c r="Q351" s="26">
        <f t="shared" si="37"/>
        <v>6331.8559999999943</v>
      </c>
      <c r="R351" s="29">
        <f t="shared" si="34"/>
        <v>0.46872064018273946</v>
      </c>
      <c r="S351" s="30">
        <f t="shared" si="35"/>
        <v>0.53127935981726049</v>
      </c>
      <c r="U351" s="33">
        <v>1.2999999999999999E-2</v>
      </c>
    </row>
    <row r="352" spans="1:21" x14ac:dyDescent="0.2">
      <c r="A352" s="24">
        <v>45962</v>
      </c>
      <c r="B352" s="32">
        <f t="shared" si="38"/>
        <v>109800.29548464777</v>
      </c>
      <c r="C352" s="32">
        <f t="shared" si="39"/>
        <v>118449.70451535223</v>
      </c>
      <c r="D352" s="32">
        <f t="shared" si="44"/>
        <v>228250</v>
      </c>
      <c r="E352" s="32">
        <f t="shared" si="40"/>
        <v>42965.576033278601</v>
      </c>
      <c r="F352" s="32">
        <f t="shared" si="40"/>
        <v>44009.694188525136</v>
      </c>
      <c r="G352" s="32">
        <f t="shared" si="40"/>
        <v>86553.159678803699</v>
      </c>
      <c r="L352" s="27">
        <f t="shared" si="41"/>
        <v>0.37920332827515313</v>
      </c>
      <c r="M352" s="28"/>
      <c r="N352" s="28">
        <f>G352*$O$11/'[2]Used Cooking Oil Complex'!$AZ$26</f>
        <v>0.17860565828046954</v>
      </c>
      <c r="O352" s="26">
        <f t="shared" si="42"/>
        <v>2160.9559999999997</v>
      </c>
      <c r="P352" s="26">
        <f t="shared" si="37"/>
        <v>-5213.8619999999992</v>
      </c>
      <c r="Q352" s="26">
        <f t="shared" si="37"/>
        <v>-3052.9119999999994</v>
      </c>
      <c r="R352" s="29">
        <f t="shared" si="34"/>
        <v>0.48105277320765727</v>
      </c>
      <c r="S352" s="30">
        <f t="shared" si="35"/>
        <v>0.51894722679234273</v>
      </c>
      <c r="U352" s="33"/>
    </row>
    <row r="353" spans="1:21" x14ac:dyDescent="0.2">
      <c r="A353" s="24">
        <v>45992</v>
      </c>
      <c r="B353" s="32">
        <f t="shared" si="38"/>
        <v>111330.76977972843</v>
      </c>
      <c r="C353" s="32">
        <f t="shared" si="39"/>
        <v>117919.23022027157</v>
      </c>
      <c r="D353" s="32">
        <f t="shared" si="44"/>
        <v>229250</v>
      </c>
      <c r="E353" s="32">
        <f t="shared" si="40"/>
        <v>43356.118833598222</v>
      </c>
      <c r="F353" s="32">
        <f t="shared" si="40"/>
        <v>43869.297238759929</v>
      </c>
      <c r="G353" s="32">
        <f t="shared" si="40"/>
        <v>86810.31404276198</v>
      </c>
      <c r="L353" s="27">
        <f t="shared" si="41"/>
        <v>0.3786709445703903</v>
      </c>
      <c r="M353" s="28"/>
      <c r="N353" s="28">
        <f>G353*$O$11/'[2]Used Cooking Oil Complex'!$AZ$26</f>
        <v>0.17913630585734494</v>
      </c>
      <c r="O353" s="26">
        <f t="shared" si="42"/>
        <v>6674.6200000000008</v>
      </c>
      <c r="P353" s="26">
        <f t="shared" si="37"/>
        <v>5343</v>
      </c>
      <c r="Q353" s="26">
        <f t="shared" si="37"/>
        <v>12017.629999999994</v>
      </c>
      <c r="R353" s="29">
        <f t="shared" si="34"/>
        <v>0.48563040252880452</v>
      </c>
      <c r="S353" s="30">
        <f t="shared" si="35"/>
        <v>0.51436959747119548</v>
      </c>
      <c r="U353" s="33"/>
    </row>
    <row r="354" spans="1:21" x14ac:dyDescent="0.2">
      <c r="A354" s="24">
        <v>46023</v>
      </c>
      <c r="B354" s="32">
        <f t="shared" si="38"/>
        <v>110940.8505393853</v>
      </c>
      <c r="C354" s="32">
        <f>D354*S354</f>
        <v>119309.1494606147</v>
      </c>
      <c r="D354" s="32">
        <f t="shared" si="44"/>
        <v>230250</v>
      </c>
      <c r="E354" s="32">
        <f t="shared" si="40"/>
        <v>43256.620166739471</v>
      </c>
      <c r="F354" s="32">
        <f t="shared" si="40"/>
        <v>44237.157516955827</v>
      </c>
      <c r="G354" s="32">
        <f t="shared" si="40"/>
        <v>87067.468406720276</v>
      </c>
      <c r="L354" s="27">
        <f t="shared" si="41"/>
        <v>0.3781431852626288</v>
      </c>
      <c r="M354" s="28"/>
      <c r="N354" s="28">
        <f>G354*$O$11/'[2]Used Cooking Oil Complex'!$AZ$26</f>
        <v>0.17966695343422032</v>
      </c>
      <c r="O354" s="28"/>
      <c r="P354" s="34"/>
      <c r="Q354" s="34"/>
      <c r="R354" s="29">
        <f t="shared" si="34"/>
        <v>0.48182779821665711</v>
      </c>
      <c r="S354" s="30">
        <f t="shared" si="35"/>
        <v>0.51817220178334289</v>
      </c>
      <c r="U354" s="33">
        <v>1.4E-2</v>
      </c>
    </row>
    <row r="355" spans="1:21" x14ac:dyDescent="0.2">
      <c r="A355" s="24">
        <v>46054</v>
      </c>
      <c r="B355" s="32">
        <f t="shared" si="38"/>
        <v>110117.84076580554</v>
      </c>
      <c r="C355" s="32">
        <f t="shared" si="39"/>
        <v>121132.15923419446</v>
      </c>
      <c r="D355" s="32">
        <f t="shared" si="44"/>
        <v>231250</v>
      </c>
      <c r="E355" s="32">
        <f t="shared" si="40"/>
        <v>43046.606484904121</v>
      </c>
      <c r="F355" s="32">
        <f t="shared" si="40"/>
        <v>44719.640860590473</v>
      </c>
      <c r="G355" s="32">
        <f t="shared" si="40"/>
        <v>87324.622770678558</v>
      </c>
      <c r="L355" s="27">
        <f t="shared" si="41"/>
        <v>0.37761999035969107</v>
      </c>
      <c r="M355" s="28"/>
      <c r="N355" s="28">
        <f>G355*$O$11/'[2]Used Cooking Oil Complex'!$AZ$26</f>
        <v>0.18019760101109569</v>
      </c>
      <c r="O355" s="28"/>
      <c r="P355" s="34"/>
      <c r="Q355" s="34"/>
      <c r="R355" s="29">
        <f t="shared" si="34"/>
        <v>0.47618525736564554</v>
      </c>
      <c r="S355" s="30">
        <f t="shared" si="35"/>
        <v>0.52381474263435446</v>
      </c>
      <c r="U355" s="33"/>
    </row>
    <row r="356" spans="1:21" x14ac:dyDescent="0.2">
      <c r="A356" s="24">
        <v>46082</v>
      </c>
      <c r="B356" s="32">
        <f t="shared" si="38"/>
        <v>110043.78997449885</v>
      </c>
      <c r="C356" s="32">
        <f>D356*S356</f>
        <v>122206.21002550115</v>
      </c>
      <c r="D356" s="32">
        <f t="shared" si="44"/>
        <v>232250</v>
      </c>
      <c r="E356" s="32">
        <f t="shared" si="40"/>
        <v>43027.710379627635</v>
      </c>
      <c r="F356" s="32">
        <f t="shared" si="40"/>
        <v>45003.902428758316</v>
      </c>
      <c r="G356" s="32">
        <f t="shared" si="40"/>
        <v>87581.777134636854</v>
      </c>
      <c r="L356" s="27">
        <f t="shared" si="41"/>
        <v>0.37710130090263444</v>
      </c>
      <c r="M356" s="28"/>
      <c r="N356" s="28">
        <f>G356*$O$11/'[2]Used Cooking Oil Complex'!$AZ$26</f>
        <v>0.1807282485879711</v>
      </c>
      <c r="O356" s="28"/>
      <c r="P356" s="34"/>
      <c r="Q356" s="34"/>
      <c r="R356" s="29">
        <f t="shared" si="34"/>
        <v>0.47381610322712098</v>
      </c>
      <c r="S356" s="30">
        <f t="shared" si="35"/>
        <v>0.52618389677287902</v>
      </c>
      <c r="U356" s="33"/>
    </row>
    <row r="357" spans="1:21" x14ac:dyDescent="0.2">
      <c r="A357" s="24">
        <v>46113</v>
      </c>
      <c r="B357" s="32">
        <f t="shared" si="38"/>
        <v>110070.36990999326</v>
      </c>
      <c r="C357" s="32">
        <f t="shared" si="39"/>
        <v>123179.63009000676</v>
      </c>
      <c r="D357" s="32">
        <f t="shared" si="44"/>
        <v>233250</v>
      </c>
      <c r="E357" s="32">
        <f t="shared" si="40"/>
        <v>43034.492984519253</v>
      </c>
      <c r="F357" s="32">
        <f t="shared" si="40"/>
        <v>45261.53076092105</v>
      </c>
      <c r="G357" s="32">
        <f t="shared" si="40"/>
        <v>87838.931498595135</v>
      </c>
      <c r="L357" s="27">
        <f t="shared" si="41"/>
        <v>0.37658705894360184</v>
      </c>
      <c r="M357" s="28"/>
      <c r="N357" s="28">
        <f>G357*$O$11/'[2]Used Cooking Oil Complex'!$AZ$26</f>
        <v>0.18125889616484647</v>
      </c>
      <c r="O357" s="28"/>
      <c r="P357" s="34"/>
      <c r="Q357" s="34"/>
      <c r="R357" s="29">
        <f t="shared" si="34"/>
        <v>0.47189869200425832</v>
      </c>
      <c r="S357" s="30">
        <f t="shared" si="35"/>
        <v>0.52810130799574173</v>
      </c>
      <c r="U357" s="33">
        <v>1.7000000000000001E-2</v>
      </c>
    </row>
    <row r="358" spans="1:21" x14ac:dyDescent="0.2">
      <c r="A358" s="24">
        <v>46143</v>
      </c>
      <c r="B358" s="32">
        <f t="shared" si="38"/>
        <v>109700.87064786001</v>
      </c>
      <c r="C358" s="32">
        <f t="shared" si="39"/>
        <v>124549.12935213999</v>
      </c>
      <c r="D358" s="32">
        <f t="shared" si="44"/>
        <v>234250</v>
      </c>
      <c r="E358" s="32">
        <f t="shared" si="40"/>
        <v>42940.205039263725</v>
      </c>
      <c r="F358" s="32">
        <f t="shared" si="40"/>
        <v>45623.986625215031</v>
      </c>
      <c r="G358" s="32">
        <f t="shared" si="40"/>
        <v>88096.085862553417</v>
      </c>
      <c r="L358" s="27">
        <f t="shared" si="41"/>
        <v>0.37607720752424084</v>
      </c>
      <c r="M358" s="28"/>
      <c r="N358" s="28">
        <f>G358*$O$11/'[2]Used Cooking Oil Complex'!$AZ$26</f>
        <v>0.18178954374172185</v>
      </c>
      <c r="O358" s="28"/>
      <c r="P358" s="34"/>
      <c r="Q358" s="34"/>
      <c r="R358" s="29">
        <f t="shared" si="34"/>
        <v>0.46830681173045896</v>
      </c>
      <c r="S358" s="30">
        <f t="shared" si="35"/>
        <v>0.53169318826954104</v>
      </c>
      <c r="U358" s="33"/>
    </row>
    <row r="359" spans="1:21" x14ac:dyDescent="0.2">
      <c r="A359" s="24">
        <v>46174</v>
      </c>
      <c r="B359" s="32">
        <f t="shared" si="38"/>
        <v>109344.84545775506</v>
      </c>
      <c r="C359" s="32">
        <f t="shared" si="39"/>
        <v>125905.15454224494</v>
      </c>
      <c r="D359" s="32">
        <f t="shared" si="44"/>
        <v>235250</v>
      </c>
      <c r="E359" s="32">
        <f t="shared" si="40"/>
        <v>42849.355375747764</v>
      </c>
      <c r="F359" s="32">
        <f t="shared" si="40"/>
        <v>45982.876400386063</v>
      </c>
      <c r="G359" s="32">
        <f t="shared" si="40"/>
        <v>88353.240226511698</v>
      </c>
      <c r="L359" s="27">
        <f t="shared" si="41"/>
        <v>0.37557169065467244</v>
      </c>
      <c r="M359" s="28"/>
      <c r="N359" s="28">
        <f>G359*$O$11/'[2]Used Cooking Oil Complex'!$AZ$26</f>
        <v>0.1823201913185972</v>
      </c>
      <c r="O359" s="28"/>
      <c r="P359" s="34"/>
      <c r="Q359" s="34"/>
      <c r="R359" s="29">
        <f t="shared" si="34"/>
        <v>0.4648027437099046</v>
      </c>
      <c r="S359" s="30">
        <f t="shared" si="35"/>
        <v>0.5351972562900954</v>
      </c>
      <c r="U359" s="33"/>
    </row>
    <row r="360" spans="1:21" x14ac:dyDescent="0.2">
      <c r="A360" s="24">
        <v>46204</v>
      </c>
      <c r="B360" s="32">
        <f t="shared" si="38"/>
        <v>109251.6005592678</v>
      </c>
      <c r="C360" s="32">
        <f t="shared" si="39"/>
        <v>126998.39944073222</v>
      </c>
      <c r="D360" s="32">
        <f t="shared" si="44"/>
        <v>236250</v>
      </c>
      <c r="E360" s="32">
        <f t="shared" si="40"/>
        <v>42825.561363729539</v>
      </c>
      <c r="F360" s="32">
        <f t="shared" si="40"/>
        <v>46272.217939679016</v>
      </c>
      <c r="G360" s="32">
        <f t="shared" si="40"/>
        <v>88610.394590469994</v>
      </c>
      <c r="L360" s="27">
        <f t="shared" si="41"/>
        <v>0.37507045329299471</v>
      </c>
      <c r="M360" s="28"/>
      <c r="N360" s="28">
        <f>G360*$O$11/'[2]Used Cooking Oil Complex'!$AZ$26</f>
        <v>0.18285083889547263</v>
      </c>
      <c r="O360" s="28"/>
      <c r="P360" s="34"/>
      <c r="Q360" s="34"/>
      <c r="R360" s="29">
        <f t="shared" si="34"/>
        <v>0.46244063728790602</v>
      </c>
      <c r="S360" s="30">
        <f t="shared" si="35"/>
        <v>0.53755936271209404</v>
      </c>
      <c r="U360" s="33">
        <v>1.6E-2</v>
      </c>
    </row>
    <row r="361" spans="1:21" x14ac:dyDescent="0.2">
      <c r="A361" s="24">
        <v>46235</v>
      </c>
      <c r="B361" s="32">
        <f t="shared" si="38"/>
        <v>109683.57131583075</v>
      </c>
      <c r="C361" s="32">
        <f t="shared" si="39"/>
        <v>127566.42868416927</v>
      </c>
      <c r="D361" s="32">
        <f t="shared" si="44"/>
        <v>237250</v>
      </c>
      <c r="E361" s="32">
        <f t="shared" si="40"/>
        <v>42935.790636750673</v>
      </c>
      <c r="F361" s="32">
        <f t="shared" si="40"/>
        <v>46422.554296964474</v>
      </c>
      <c r="G361" s="32">
        <f t="shared" si="40"/>
        <v>88867.548954428275</v>
      </c>
      <c r="L361" s="27">
        <f t="shared" si="41"/>
        <v>0.37457344132530357</v>
      </c>
      <c r="M361" s="28"/>
      <c r="N361" s="28">
        <f>G361*$O$11/'[2]Used Cooking Oil Complex'!$AZ$26</f>
        <v>0.18338148647234798</v>
      </c>
      <c r="O361" s="28"/>
      <c r="P361" s="34"/>
      <c r="Q361" s="34"/>
      <c r="R361" s="29">
        <f t="shared" si="34"/>
        <v>0.4623122078644078</v>
      </c>
      <c r="S361" s="30">
        <f t="shared" si="35"/>
        <v>0.53768779213559226</v>
      </c>
      <c r="U361" s="33"/>
    </row>
    <row r="362" spans="1:21" x14ac:dyDescent="0.2">
      <c r="A362" s="24">
        <v>46266</v>
      </c>
      <c r="B362" s="32">
        <f t="shared" si="38"/>
        <v>109810.23605000868</v>
      </c>
      <c r="C362" s="32">
        <f t="shared" si="39"/>
        <v>128439.76394999133</v>
      </c>
      <c r="D362" s="32">
        <f t="shared" si="44"/>
        <v>238250</v>
      </c>
      <c r="E362" s="32">
        <f t="shared" si="40"/>
        <v>42968.112643168286</v>
      </c>
      <c r="F362" s="32">
        <f t="shared" si="40"/>
        <v>46653.693880127794</v>
      </c>
      <c r="G362" s="32">
        <f t="shared" si="40"/>
        <v>89124.703318386571</v>
      </c>
      <c r="L362" s="27">
        <f t="shared" si="41"/>
        <v>0.37408060154621858</v>
      </c>
      <c r="M362" s="28"/>
      <c r="N362" s="28">
        <f>G362*$O$11/'[2]Used Cooking Oil Complex'!$AZ$26</f>
        <v>0.18391213404922341</v>
      </c>
      <c r="O362" s="28"/>
      <c r="P362" s="34"/>
      <c r="Q362" s="34"/>
      <c r="R362" s="29">
        <f t="shared" si="34"/>
        <v>0.46090340419730819</v>
      </c>
      <c r="S362" s="30">
        <f t="shared" si="35"/>
        <v>0.53909659580269187</v>
      </c>
      <c r="U362" s="33"/>
    </row>
    <row r="363" spans="1:21" x14ac:dyDescent="0.2">
      <c r="A363" s="24">
        <v>46296</v>
      </c>
      <c r="B363" s="32">
        <f t="shared" si="38"/>
        <v>110489.99174767012</v>
      </c>
      <c r="C363" s="32">
        <f t="shared" si="39"/>
        <v>128760.00825232988</v>
      </c>
      <c r="D363" s="32">
        <f t="shared" si="44"/>
        <v>239250</v>
      </c>
      <c r="E363" s="32">
        <f t="shared" si="40"/>
        <v>43141.571089710786</v>
      </c>
      <c r="F363" s="32">
        <f t="shared" si="40"/>
        <v>46738.4507168774</v>
      </c>
      <c r="G363" s="32">
        <f t="shared" si="40"/>
        <v>89381.857682344853</v>
      </c>
      <c r="L363" s="27">
        <f t="shared" si="41"/>
        <v>0.37359188163989487</v>
      </c>
      <c r="M363" s="28"/>
      <c r="N363" s="28">
        <f>G363*$O$11/'[2]Used Cooking Oil Complex'!$AZ$26</f>
        <v>0.18444278162609878</v>
      </c>
      <c r="O363" s="28"/>
      <c r="P363" s="34"/>
      <c r="Q363" s="34"/>
      <c r="R363" s="29">
        <f t="shared" si="34"/>
        <v>0.46181814732568494</v>
      </c>
      <c r="S363" s="30">
        <f t="shared" si="35"/>
        <v>0.53818185267431506</v>
      </c>
      <c r="U363" s="33">
        <v>1.7999999999999999E-2</v>
      </c>
    </row>
    <row r="364" spans="1:21" x14ac:dyDescent="0.2">
      <c r="A364" s="24">
        <v>46327</v>
      </c>
      <c r="B364" s="32">
        <f t="shared" si="38"/>
        <v>113539.28996657864</v>
      </c>
      <c r="C364" s="32">
        <f t="shared" si="39"/>
        <v>126710.71003342135</v>
      </c>
      <c r="D364" s="32">
        <f t="shared" si="44"/>
        <v>240250</v>
      </c>
      <c r="E364" s="32">
        <f t="shared" si="40"/>
        <v>43919.683776248516</v>
      </c>
      <c r="F364" s="32">
        <f t="shared" si="40"/>
        <v>46196.077181039494</v>
      </c>
      <c r="G364" s="32">
        <f t="shared" si="40"/>
        <v>89639.012046303134</v>
      </c>
      <c r="L364" s="27">
        <f t="shared" si="41"/>
        <v>0.37310723016151148</v>
      </c>
      <c r="M364" s="28"/>
      <c r="N364" s="28">
        <f>G364*$O$11/'[2]Used Cooking Oil Complex'!$AZ$26</f>
        <v>0.18497342920297413</v>
      </c>
      <c r="O364" s="28"/>
      <c r="P364" s="34"/>
      <c r="Q364" s="34"/>
      <c r="R364" s="29">
        <f t="shared" si="34"/>
        <v>0.47258809559450005</v>
      </c>
      <c r="S364" s="30">
        <f t="shared" si="35"/>
        <v>0.5274119044054999</v>
      </c>
      <c r="U364" s="33"/>
    </row>
    <row r="365" spans="1:21" x14ac:dyDescent="0.2">
      <c r="A365" s="24">
        <v>46357</v>
      </c>
      <c r="B365" s="32">
        <f t="shared" si="38"/>
        <v>114808.65931729447</v>
      </c>
      <c r="C365" s="32">
        <f t="shared" si="39"/>
        <v>126441.34068270554</v>
      </c>
      <c r="D365" s="32">
        <f t="shared" si="44"/>
        <v>241250</v>
      </c>
      <c r="E365" s="32">
        <f t="shared" si="40"/>
        <v>44243.598436208442</v>
      </c>
      <c r="F365" s="32">
        <f t="shared" si="40"/>
        <v>46124.785064623225</v>
      </c>
      <c r="G365" s="32">
        <f t="shared" si="40"/>
        <v>89896.166410261416</v>
      </c>
      <c r="L365" s="27">
        <f t="shared" si="41"/>
        <v>0.37262659651921831</v>
      </c>
      <c r="M365" s="28"/>
      <c r="N365" s="28">
        <f>G365*$O$11/'[2]Used Cooking Oil Complex'!$AZ$26</f>
        <v>0.18550407677984951</v>
      </c>
      <c r="O365" s="28"/>
      <c r="P365" s="34"/>
      <c r="Q365" s="34"/>
      <c r="R365" s="29">
        <f t="shared" si="34"/>
        <v>0.47589081582298226</v>
      </c>
      <c r="S365" s="30">
        <f t="shared" si="35"/>
        <v>0.5241091841770178</v>
      </c>
      <c r="U365" s="33"/>
    </row>
    <row r="366" spans="1:21" x14ac:dyDescent="0.2">
      <c r="A366" s="24">
        <v>46388</v>
      </c>
      <c r="B366" s="32">
        <f t="shared" si="38"/>
        <v>114788.43510571035</v>
      </c>
      <c r="C366" s="32">
        <f t="shared" si="39"/>
        <v>127461.56489428965</v>
      </c>
      <c r="D366" s="32">
        <f t="shared" si="44"/>
        <v>242250</v>
      </c>
      <c r="E366" s="32">
        <f t="shared" ref="E366:G413" si="45">FORECAST(B366,E$6:E$299,B$6:B$299)</f>
        <v>44238.437669868421</v>
      </c>
      <c r="F366" s="32">
        <f t="shared" si="45"/>
        <v>46394.800725535191</v>
      </c>
      <c r="G366" s="32">
        <f t="shared" si="45"/>
        <v>90153.320774219712</v>
      </c>
      <c r="L366" s="27">
        <f t="shared" si="41"/>
        <v>0.37214993095653132</v>
      </c>
      <c r="M366" s="28"/>
      <c r="N366" s="28">
        <f>G366*$O$11/'[2]Used Cooking Oil Complex'!$AZ$26</f>
        <v>0.18603472435672491</v>
      </c>
      <c r="O366" s="34"/>
      <c r="P366" s="34"/>
      <c r="Q366" s="34"/>
      <c r="R366" s="29">
        <f t="shared" si="34"/>
        <v>0.47384286937341735</v>
      </c>
      <c r="S366" s="30">
        <f t="shared" si="35"/>
        <v>0.52615713062658265</v>
      </c>
      <c r="U366" s="33">
        <v>1.9E-2</v>
      </c>
    </row>
    <row r="367" spans="1:21" x14ac:dyDescent="0.2">
      <c r="A367" s="24">
        <v>46419</v>
      </c>
      <c r="B367" s="32">
        <f t="shared" si="38"/>
        <v>114009.25973142846</v>
      </c>
      <c r="C367" s="32">
        <f t="shared" si="39"/>
        <v>129240.74026857155</v>
      </c>
      <c r="D367" s="32">
        <f t="shared" si="44"/>
        <v>243250</v>
      </c>
      <c r="E367" s="32">
        <f t="shared" si="45"/>
        <v>44039.609546070307</v>
      </c>
      <c r="F367" s="32">
        <f t="shared" si="45"/>
        <v>46865.682722953294</v>
      </c>
      <c r="G367" s="32">
        <f t="shared" si="45"/>
        <v>90410.475138178008</v>
      </c>
      <c r="L367" s="27">
        <f t="shared" si="41"/>
        <v>0.37167718453516141</v>
      </c>
      <c r="M367" s="28"/>
      <c r="N367" s="28">
        <f>G367*$O$11/'[2]Used Cooking Oil Complex'!$AZ$26</f>
        <v>0.18656537193360032</v>
      </c>
      <c r="O367" s="34"/>
      <c r="P367" s="34"/>
      <c r="Q367" s="34"/>
      <c r="R367" s="29">
        <f t="shared" si="34"/>
        <v>0.468691715237116</v>
      </c>
      <c r="S367" s="30">
        <f t="shared" si="35"/>
        <v>0.53130828476288405</v>
      </c>
      <c r="U367" s="33"/>
    </row>
    <row r="368" spans="1:21" x14ac:dyDescent="0.2">
      <c r="A368" s="24">
        <v>46447</v>
      </c>
      <c r="B368" s="32">
        <f t="shared" si="38"/>
        <v>114478.87794701511</v>
      </c>
      <c r="C368" s="32">
        <f t="shared" si="39"/>
        <v>129771.12205298489</v>
      </c>
      <c r="D368" s="32">
        <f t="shared" si="44"/>
        <v>244250</v>
      </c>
      <c r="E368" s="32">
        <f t="shared" si="45"/>
        <v>44159.445608384987</v>
      </c>
      <c r="F368" s="32">
        <f t="shared" si="45"/>
        <v>47006.05518856227</v>
      </c>
      <c r="G368" s="32">
        <f t="shared" si="45"/>
        <v>90667.629502136289</v>
      </c>
      <c r="L368" s="27">
        <f t="shared" si="41"/>
        <v>0.37120830911826525</v>
      </c>
      <c r="M368" s="28"/>
      <c r="N368" s="28">
        <f>G368*$O$11/'[2]Used Cooking Oil Complex'!$AZ$26</f>
        <v>0.18709601951047566</v>
      </c>
      <c r="O368" s="34"/>
      <c r="P368" s="34"/>
      <c r="Q368" s="34"/>
      <c r="R368" s="29">
        <f t="shared" si="34"/>
        <v>0.46869550848317343</v>
      </c>
      <c r="S368" s="30">
        <f t="shared" si="35"/>
        <v>0.53130449151682657</v>
      </c>
      <c r="U368" s="33"/>
    </row>
    <row r="369" spans="1:21" x14ac:dyDescent="0.2">
      <c r="A369" s="24">
        <v>46478</v>
      </c>
      <c r="B369" s="32">
        <f t="shared" si="38"/>
        <v>115017.33271824871</v>
      </c>
      <c r="C369" s="32">
        <f t="shared" si="39"/>
        <v>130232.66728175127</v>
      </c>
      <c r="D369" s="32">
        <f t="shared" si="44"/>
        <v>245250</v>
      </c>
      <c r="E369" s="32">
        <f t="shared" si="45"/>
        <v>44296.847219688723</v>
      </c>
      <c r="F369" s="32">
        <f t="shared" si="45"/>
        <v>47128.209160768653</v>
      </c>
      <c r="G369" s="32">
        <f t="shared" si="45"/>
        <v>90924.783866094571</v>
      </c>
      <c r="L369" s="27">
        <f t="shared" si="41"/>
        <v>0.37074325735410629</v>
      </c>
      <c r="M369" s="28"/>
      <c r="N369" s="28">
        <f>G369*$O$11/'[2]Used Cooking Oil Complex'!$AZ$26</f>
        <v>0.18762666708735107</v>
      </c>
      <c r="O369" s="34"/>
      <c r="P369" s="34"/>
      <c r="Q369" s="34"/>
      <c r="R369" s="29">
        <f t="shared" si="34"/>
        <v>0.46897994992150344</v>
      </c>
      <c r="S369" s="30">
        <f t="shared" si="35"/>
        <v>0.53102005007849651</v>
      </c>
      <c r="U369" s="33">
        <v>1.9485714285714301E-2</v>
      </c>
    </row>
    <row r="370" spans="1:21" x14ac:dyDescent="0.2">
      <c r="A370" s="24">
        <v>46508</v>
      </c>
      <c r="B370" s="32">
        <f t="shared" si="38"/>
        <v>114833.21484736023</v>
      </c>
      <c r="C370" s="32">
        <f t="shared" si="39"/>
        <v>131416.78515263979</v>
      </c>
      <c r="D370" s="32">
        <f t="shared" si="44"/>
        <v>246250</v>
      </c>
      <c r="E370" s="32">
        <f t="shared" si="45"/>
        <v>44249.864458124677</v>
      </c>
      <c r="F370" s="32">
        <f t="shared" si="45"/>
        <v>47441.601418936283</v>
      </c>
      <c r="G370" s="32">
        <f t="shared" si="45"/>
        <v>91181.938230052852</v>
      </c>
      <c r="L370" s="27">
        <f t="shared" si="41"/>
        <v>0.37028198266011308</v>
      </c>
      <c r="M370" s="28"/>
      <c r="N370" s="28">
        <f>G370*$O$11/'[2]Used Cooking Oil Complex'!$AZ$26</f>
        <v>0.18815731466422644</v>
      </c>
      <c r="O370" s="34"/>
      <c r="P370" s="34"/>
      <c r="Q370" s="34"/>
      <c r="R370" s="29">
        <f t="shared" si="34"/>
        <v>0.46632777602988923</v>
      </c>
      <c r="S370" s="30">
        <f t="shared" si="35"/>
        <v>0.53367222397011083</v>
      </c>
      <c r="U370" s="33"/>
    </row>
    <row r="371" spans="1:21" x14ac:dyDescent="0.2">
      <c r="A371" s="24">
        <v>46539</v>
      </c>
      <c r="B371" s="32">
        <f t="shared" si="38"/>
        <v>114679.3554395542</v>
      </c>
      <c r="C371" s="32">
        <f t="shared" si="39"/>
        <v>132570.6445604458</v>
      </c>
      <c r="D371" s="32">
        <f t="shared" si="44"/>
        <v>247250</v>
      </c>
      <c r="E371" s="32">
        <f t="shared" si="45"/>
        <v>44210.602979396666</v>
      </c>
      <c r="F371" s="32">
        <f t="shared" si="45"/>
        <v>47746.985379697689</v>
      </c>
      <c r="G371" s="32">
        <f t="shared" si="45"/>
        <v>91439.092594011134</v>
      </c>
      <c r="L371" s="27">
        <f t="shared" si="41"/>
        <v>0.36982443920732511</v>
      </c>
      <c r="M371" s="28"/>
      <c r="N371" s="28">
        <f>G371*$O$11/'[2]Used Cooking Oil Complex'!$AZ$26</f>
        <v>0.18868796224110179</v>
      </c>
      <c r="O371" s="34"/>
      <c r="P371" s="34"/>
      <c r="Q371" s="34"/>
      <c r="R371" s="29">
        <f t="shared" si="34"/>
        <v>0.46381943554925864</v>
      </c>
      <c r="S371" s="30">
        <f t="shared" si="35"/>
        <v>0.53618056445074136</v>
      </c>
      <c r="U371" s="33"/>
    </row>
    <row r="372" spans="1:21" x14ac:dyDescent="0.2">
      <c r="A372" s="24">
        <v>46569</v>
      </c>
      <c r="B372" s="32">
        <f t="shared" si="38"/>
        <v>114815.23276587705</v>
      </c>
      <c r="C372" s="32">
        <f t="shared" si="39"/>
        <v>133434.76723412296</v>
      </c>
      <c r="D372" s="32">
        <f t="shared" si="44"/>
        <v>248250</v>
      </c>
      <c r="E372" s="32">
        <f t="shared" si="45"/>
        <v>44245.275833225467</v>
      </c>
      <c r="F372" s="32">
        <f t="shared" si="45"/>
        <v>47975.686730040739</v>
      </c>
      <c r="G372" s="32">
        <f t="shared" si="45"/>
        <v>91696.24695796943</v>
      </c>
      <c r="L372" s="27">
        <f t="shared" si="41"/>
        <v>0.36937058190521421</v>
      </c>
      <c r="M372" s="28"/>
      <c r="N372" s="28">
        <f>G372*$O$11/'[2]Used Cooking Oil Complex'!$AZ$26</f>
        <v>0.18921860981797722</v>
      </c>
      <c r="O372" s="34"/>
      <c r="P372" s="34"/>
      <c r="Q372" s="34"/>
      <c r="R372" s="29">
        <f t="shared" si="34"/>
        <v>0.46249842000353292</v>
      </c>
      <c r="S372" s="30">
        <f t="shared" si="35"/>
        <v>0.53750157999646708</v>
      </c>
      <c r="U372" s="33">
        <v>1.9876190476190499E-2</v>
      </c>
    </row>
    <row r="373" spans="1:21" x14ac:dyDescent="0.2">
      <c r="A373" s="24">
        <v>46600</v>
      </c>
      <c r="B373" s="32">
        <f t="shared" si="38"/>
        <v>115117.72866117473</v>
      </c>
      <c r="C373" s="32">
        <f t="shared" si="39"/>
        <v>134132.27133882529</v>
      </c>
      <c r="D373" s="32">
        <f t="shared" si="44"/>
        <v>249250</v>
      </c>
      <c r="E373" s="32">
        <f t="shared" si="45"/>
        <v>44322.466018264488</v>
      </c>
      <c r="F373" s="32">
        <f t="shared" si="45"/>
        <v>48160.290300198692</v>
      </c>
      <c r="G373" s="32">
        <f t="shared" si="45"/>
        <v>91953.401321927726</v>
      </c>
      <c r="L373" s="27">
        <f t="shared" si="41"/>
        <v>0.36892036638687153</v>
      </c>
      <c r="M373" s="28"/>
      <c r="N373" s="28">
        <f>G373*$O$11/'[2]Used Cooking Oil Complex'!$AZ$26</f>
        <v>0.1897492573948526</v>
      </c>
      <c r="O373" s="34"/>
      <c r="P373" s="34"/>
      <c r="Q373" s="34"/>
      <c r="R373" s="29">
        <f t="shared" si="34"/>
        <v>0.46185648409698987</v>
      </c>
      <c r="S373" s="30">
        <f t="shared" si="35"/>
        <v>0.53814351590301013</v>
      </c>
      <c r="U373" s="33"/>
    </row>
    <row r="374" spans="1:21" x14ac:dyDescent="0.2">
      <c r="A374" s="24">
        <v>46631</v>
      </c>
      <c r="B374" s="32">
        <f t="shared" si="38"/>
        <v>115169.08325295559</v>
      </c>
      <c r="C374" s="32">
        <f t="shared" si="39"/>
        <v>135080.91674704439</v>
      </c>
      <c r="D374" s="32">
        <f t="shared" si="44"/>
        <v>250250</v>
      </c>
      <c r="E374" s="32">
        <f t="shared" si="45"/>
        <v>44335.570561181565</v>
      </c>
      <c r="F374" s="32">
        <f t="shared" si="45"/>
        <v>48411.361696037915</v>
      </c>
      <c r="G374" s="32">
        <f t="shared" si="45"/>
        <v>92210.555685886007</v>
      </c>
      <c r="L374" s="27">
        <f t="shared" si="41"/>
        <v>0.36847374899454949</v>
      </c>
      <c r="M374" s="28"/>
      <c r="N374" s="28">
        <f>G374*$O$11/'[2]Used Cooking Oil Complex'!$AZ$26</f>
        <v>0.19027990497172798</v>
      </c>
      <c r="O374" s="34"/>
      <c r="P374" s="34"/>
      <c r="Q374" s="34"/>
      <c r="R374" s="29">
        <f t="shared" si="34"/>
        <v>0.46021611689492742</v>
      </c>
      <c r="S374" s="30">
        <f t="shared" si="35"/>
        <v>0.53978388310507253</v>
      </c>
      <c r="U374" s="33"/>
    </row>
    <row r="375" spans="1:21" x14ac:dyDescent="0.2">
      <c r="A375" s="24">
        <v>46661</v>
      </c>
      <c r="B375" s="32">
        <f t="shared" si="38"/>
        <v>115797.71048025868</v>
      </c>
      <c r="C375" s="32">
        <f t="shared" si="39"/>
        <v>135452.28951974135</v>
      </c>
      <c r="D375" s="32">
        <f t="shared" si="44"/>
        <v>251250</v>
      </c>
      <c r="E375" s="32">
        <f t="shared" si="45"/>
        <v>44495.982165935224</v>
      </c>
      <c r="F375" s="32">
        <f t="shared" si="45"/>
        <v>48509.650350165008</v>
      </c>
      <c r="G375" s="32">
        <f t="shared" si="45"/>
        <v>92467.710049844289</v>
      </c>
      <c r="L375" s="27">
        <f t="shared" si="41"/>
        <v>0.3680306867655494</v>
      </c>
      <c r="M375" s="28"/>
      <c r="N375" s="28">
        <f>G375*$O$11/'[2]Used Cooking Oil Complex'!$AZ$26</f>
        <v>0.19081055254860338</v>
      </c>
      <c r="O375" s="34"/>
      <c r="P375" s="34"/>
      <c r="Q375" s="34"/>
      <c r="R375" s="29">
        <f t="shared" si="34"/>
        <v>0.46088640987167634</v>
      </c>
      <c r="S375" s="30">
        <f t="shared" si="35"/>
        <v>0.53911359012832372</v>
      </c>
      <c r="U375" s="33">
        <v>2.02666666666667E-2</v>
      </c>
    </row>
    <row r="376" spans="1:21" x14ac:dyDescent="0.2">
      <c r="A376" s="24">
        <v>46692</v>
      </c>
      <c r="B376" s="32">
        <f t="shared" si="38"/>
        <v>118652.61098458309</v>
      </c>
      <c r="C376" s="32">
        <f t="shared" si="39"/>
        <v>133597.38901541691</v>
      </c>
      <c r="D376" s="32">
        <f t="shared" si="44"/>
        <v>252250</v>
      </c>
      <c r="E376" s="32">
        <f t="shared" si="45"/>
        <v>45224.48890477854</v>
      </c>
      <c r="F376" s="32">
        <f t="shared" si="45"/>
        <v>48018.72670817122</v>
      </c>
      <c r="G376" s="32">
        <f t="shared" si="45"/>
        <v>92724.86441380257</v>
      </c>
      <c r="L376" s="27">
        <f t="shared" si="41"/>
        <v>0.36759113741844429</v>
      </c>
      <c r="M376" s="28"/>
      <c r="N376" s="28">
        <f>G376*$O$11/'[2]Used Cooking Oil Complex'!$AZ$26</f>
        <v>0.19134120012547873</v>
      </c>
      <c r="O376" s="34"/>
      <c r="P376" s="34"/>
      <c r="Q376" s="34"/>
      <c r="R376" s="29">
        <f t="shared" si="34"/>
        <v>0.4703770504839766</v>
      </c>
      <c r="S376" s="30">
        <f t="shared" si="35"/>
        <v>0.5296229495160234</v>
      </c>
      <c r="U376" s="33"/>
    </row>
    <row r="377" spans="1:21" x14ac:dyDescent="0.2">
      <c r="A377" s="24">
        <v>46722</v>
      </c>
      <c r="B377" s="32">
        <f t="shared" si="38"/>
        <v>119807.99370144938</v>
      </c>
      <c r="C377" s="32">
        <f t="shared" si="39"/>
        <v>133442.00629855061</v>
      </c>
      <c r="D377" s="32">
        <f t="shared" si="44"/>
        <v>253250</v>
      </c>
      <c r="E377" s="32">
        <f t="shared" si="45"/>
        <v>45519.316725890079</v>
      </c>
      <c r="F377" s="32">
        <f t="shared" si="45"/>
        <v>47977.602642977938</v>
      </c>
      <c r="G377" s="32">
        <f t="shared" si="45"/>
        <v>92982.018777760852</v>
      </c>
      <c r="L377" s="27">
        <f t="shared" si="41"/>
        <v>0.36715505933962822</v>
      </c>
      <c r="M377" s="28"/>
      <c r="N377" s="28">
        <f>G377*$O$11/'[2]Used Cooking Oil Complex'!$AZ$26</f>
        <v>0.1918718477023541</v>
      </c>
      <c r="O377" s="34"/>
      <c r="P377" s="34"/>
      <c r="Q377" s="34"/>
      <c r="R377" s="29">
        <f t="shared" si="34"/>
        <v>0.47308190997610811</v>
      </c>
      <c r="S377" s="30">
        <f t="shared" si="35"/>
        <v>0.52691809002389189</v>
      </c>
      <c r="U377" s="33"/>
    </row>
    <row r="378" spans="1:21" x14ac:dyDescent="0.2">
      <c r="A378" s="24">
        <v>46753</v>
      </c>
      <c r="B378" s="32">
        <f t="shared" si="38"/>
        <v>119736.36412256368</v>
      </c>
      <c r="C378" s="32">
        <f t="shared" si="39"/>
        <v>134513.63587743635</v>
      </c>
      <c r="D378" s="32">
        <f t="shared" si="44"/>
        <v>254250</v>
      </c>
      <c r="E378" s="32">
        <f t="shared" si="45"/>
        <v>45501.038459856049</v>
      </c>
      <c r="F378" s="32">
        <f t="shared" si="45"/>
        <v>48261.223405659468</v>
      </c>
      <c r="G378" s="32">
        <f t="shared" si="45"/>
        <v>93239.173141719148</v>
      </c>
      <c r="L378" s="27">
        <f t="shared" si="41"/>
        <v>0.36672241157018348</v>
      </c>
      <c r="M378" s="28"/>
      <c r="N378" s="28">
        <f>G378*$O$11/'[2]Used Cooking Oil Complex'!$AZ$26</f>
        <v>0.19240249527922948</v>
      </c>
      <c r="O378" s="34"/>
      <c r="P378" s="34"/>
      <c r="Q378" s="34"/>
      <c r="R378" s="29">
        <f t="shared" si="34"/>
        <v>0.47093948524115509</v>
      </c>
      <c r="S378" s="30">
        <f t="shared" si="35"/>
        <v>0.52906051475884497</v>
      </c>
      <c r="U378" s="33">
        <v>2.0657142857142902E-2</v>
      </c>
    </row>
    <row r="379" spans="1:21" x14ac:dyDescent="0.2">
      <c r="A379" s="24">
        <v>46784</v>
      </c>
      <c r="B379" s="32">
        <f t="shared" si="38"/>
        <v>119489.92203247975</v>
      </c>
      <c r="C379" s="32">
        <f t="shared" si="39"/>
        <v>135760.07796752025</v>
      </c>
      <c r="D379" s="32">
        <f t="shared" si="44"/>
        <v>255250</v>
      </c>
      <c r="E379" s="32">
        <f t="shared" si="45"/>
        <v>45438.151951871325</v>
      </c>
      <c r="F379" s="32">
        <f t="shared" si="45"/>
        <v>48591.110582341862</v>
      </c>
      <c r="G379" s="32">
        <f t="shared" si="45"/>
        <v>93496.327505677429</v>
      </c>
      <c r="L379" s="27">
        <f t="shared" si="41"/>
        <v>0.36629315379305555</v>
      </c>
      <c r="M379" s="28"/>
      <c r="N379" s="28">
        <f>G379*$O$11/'[2]Used Cooking Oil Complex'!$AZ$26</f>
        <v>0.19293314285610488</v>
      </c>
      <c r="O379" s="34"/>
      <c r="P379" s="34"/>
      <c r="Q379" s="34"/>
      <c r="R379" s="29">
        <f t="shared" si="34"/>
        <v>0.46812897955917632</v>
      </c>
      <c r="S379" s="30">
        <f t="shared" si="35"/>
        <v>0.53187102044082368</v>
      </c>
      <c r="U379" s="33"/>
    </row>
    <row r="380" spans="1:21" x14ac:dyDescent="0.2">
      <c r="A380" s="24">
        <v>46813</v>
      </c>
      <c r="B380" s="32">
        <f t="shared" si="38"/>
        <v>120179.79714037853</v>
      </c>
      <c r="C380" s="32">
        <f t="shared" si="39"/>
        <v>136070.20285962147</v>
      </c>
      <c r="D380" s="32">
        <f t="shared" si="44"/>
        <v>256250</v>
      </c>
      <c r="E380" s="32">
        <f t="shared" si="45"/>
        <v>45614.192645514857</v>
      </c>
      <c r="F380" s="32">
        <f t="shared" si="45"/>
        <v>48673.189185020718</v>
      </c>
      <c r="G380" s="32">
        <f t="shared" si="45"/>
        <v>93753.481869635725</v>
      </c>
      <c r="L380" s="27">
        <f t="shared" si="41"/>
        <v>0.36586724632052964</v>
      </c>
      <c r="M380" s="28"/>
      <c r="N380" s="28">
        <f>G380*$O$11/'[2]Used Cooking Oil Complex'!$AZ$26</f>
        <v>0.19346379043298026</v>
      </c>
      <c r="O380" s="34"/>
      <c r="P380" s="34"/>
      <c r="Q380" s="34"/>
      <c r="R380" s="29">
        <f t="shared" si="34"/>
        <v>0.46899433030391624</v>
      </c>
      <c r="S380" s="30">
        <f t="shared" si="35"/>
        <v>0.53100566969608376</v>
      </c>
      <c r="U380" s="33"/>
    </row>
    <row r="381" spans="1:21" x14ac:dyDescent="0.2">
      <c r="A381" s="24">
        <v>46844</v>
      </c>
      <c r="B381" s="32">
        <f t="shared" si="38"/>
        <v>121087.72146102569</v>
      </c>
      <c r="C381" s="32">
        <f t="shared" si="39"/>
        <v>136162.27853897432</v>
      </c>
      <c r="D381" s="32">
        <f t="shared" si="44"/>
        <v>257250</v>
      </c>
      <c r="E381" s="32">
        <f t="shared" si="45"/>
        <v>45845.874620052782</v>
      </c>
      <c r="F381" s="32">
        <f t="shared" si="45"/>
        <v>48697.558215996549</v>
      </c>
      <c r="G381" s="32">
        <f t="shared" si="45"/>
        <v>94010.636233594007</v>
      </c>
      <c r="L381" s="27">
        <f t="shared" si="41"/>
        <v>0.36544465008199806</v>
      </c>
      <c r="M381" s="28"/>
      <c r="N381" s="28">
        <f>G381*$O$11/'[2]Used Cooking Oil Complex'!$AZ$26</f>
        <v>0.19399443800985564</v>
      </c>
      <c r="O381" s="34"/>
      <c r="P381" s="34"/>
      <c r="Q381" s="34"/>
      <c r="R381" s="29">
        <f t="shared" si="34"/>
        <v>0.47070056933343318</v>
      </c>
      <c r="S381" s="30">
        <f t="shared" si="35"/>
        <v>0.52929943066656682</v>
      </c>
      <c r="U381" s="33">
        <v>2.1047619047618999E-2</v>
      </c>
    </row>
    <row r="382" spans="1:21" x14ac:dyDescent="0.2">
      <c r="A382" s="24">
        <v>46874</v>
      </c>
      <c r="B382" s="32">
        <f t="shared" si="38"/>
        <v>120898.79462565127</v>
      </c>
      <c r="C382" s="32">
        <f t="shared" si="39"/>
        <v>137351.20537434873</v>
      </c>
      <c r="D382" s="32">
        <f t="shared" si="44"/>
        <v>258250</v>
      </c>
      <c r="E382" s="32">
        <f t="shared" si="45"/>
        <v>45797.664718338121</v>
      </c>
      <c r="F382" s="32">
        <f t="shared" si="45"/>
        <v>49012.223229416624</v>
      </c>
      <c r="G382" s="32">
        <f t="shared" si="45"/>
        <v>94267.790597552288</v>
      </c>
      <c r="L382" s="27">
        <f t="shared" si="41"/>
        <v>0.36502532661201276</v>
      </c>
      <c r="M382" s="28"/>
      <c r="N382" s="28">
        <f>G382*$O$11/'[2]Used Cooking Oil Complex'!$AZ$26</f>
        <v>0.19452508558673104</v>
      </c>
      <c r="O382" s="34"/>
      <c r="P382" s="34"/>
      <c r="Q382" s="34"/>
      <c r="R382" s="29">
        <f t="shared" si="34"/>
        <v>0.46814634898606494</v>
      </c>
      <c r="S382" s="30">
        <f t="shared" si="35"/>
        <v>0.53185365101393511</v>
      </c>
      <c r="U382" s="33"/>
    </row>
    <row r="383" spans="1:21" x14ac:dyDescent="0.2">
      <c r="A383" s="24">
        <v>46905</v>
      </c>
      <c r="B383" s="32">
        <f t="shared" si="38"/>
        <v>120566.93519092241</v>
      </c>
      <c r="C383" s="32">
        <f t="shared" si="39"/>
        <v>138683.06480907759</v>
      </c>
      <c r="D383" s="32">
        <f t="shared" si="44"/>
        <v>259250</v>
      </c>
      <c r="E383" s="32">
        <f t="shared" si="45"/>
        <v>45712.981614957636</v>
      </c>
      <c r="F383" s="32">
        <f t="shared" si="45"/>
        <v>49364.717221841842</v>
      </c>
      <c r="G383" s="32">
        <f t="shared" si="45"/>
        <v>94524.944961510584</v>
      </c>
      <c r="L383" s="27">
        <f t="shared" si="41"/>
        <v>0.36460923803861361</v>
      </c>
      <c r="M383" s="28"/>
      <c r="N383" s="28">
        <f>G383*$O$11/'[2]Used Cooking Oil Complex'!$AZ$26</f>
        <v>0.19505573316360642</v>
      </c>
      <c r="O383" s="34"/>
      <c r="P383" s="34"/>
      <c r="Q383" s="34"/>
      <c r="R383" s="29">
        <f t="shared" si="34"/>
        <v>0.46506050218292155</v>
      </c>
      <c r="S383" s="30">
        <f t="shared" si="35"/>
        <v>0.5349394978170785</v>
      </c>
      <c r="U383" s="33"/>
    </row>
    <row r="384" spans="1:21" x14ac:dyDescent="0.2">
      <c r="A384" s="24">
        <v>46935</v>
      </c>
      <c r="B384" s="32">
        <f t="shared" si="38"/>
        <v>120701.88160772269</v>
      </c>
      <c r="C384" s="32">
        <f t="shared" si="39"/>
        <v>139548.11839227733</v>
      </c>
      <c r="D384" s="32">
        <f t="shared" si="44"/>
        <v>260250</v>
      </c>
      <c r="E384" s="32">
        <f t="shared" si="45"/>
        <v>45747.41692150259</v>
      </c>
      <c r="F384" s="32">
        <f t="shared" si="45"/>
        <v>49593.664949546983</v>
      </c>
      <c r="G384" s="32">
        <f t="shared" si="45"/>
        <v>94782.099325468866</v>
      </c>
      <c r="L384" s="27">
        <f t="shared" si="41"/>
        <v>0.3641963470719265</v>
      </c>
      <c r="M384" s="28"/>
      <c r="N384" s="28">
        <f>G384*$O$11/'[2]Used Cooking Oil Complex'!$AZ$26</f>
        <v>0.19558638074048179</v>
      </c>
      <c r="O384" s="34"/>
      <c r="P384" s="34"/>
      <c r="Q384" s="34"/>
      <c r="R384" s="29">
        <f t="shared" si="34"/>
        <v>0.46379205228711889</v>
      </c>
      <c r="S384" s="30">
        <f t="shared" si="35"/>
        <v>0.53620794771288116</v>
      </c>
      <c r="U384" s="33">
        <v>2.1438095238095201E-2</v>
      </c>
    </row>
    <row r="385" spans="1:21" x14ac:dyDescent="0.2">
      <c r="A385" s="24">
        <v>46966</v>
      </c>
      <c r="B385" s="32">
        <f t="shared" si="38"/>
        <v>120957.20909611434</v>
      </c>
      <c r="C385" s="32">
        <f t="shared" si="39"/>
        <v>140292.79090388567</v>
      </c>
      <c r="D385" s="32">
        <f t="shared" si="44"/>
        <v>261250</v>
      </c>
      <c r="E385" s="32">
        <f t="shared" si="45"/>
        <v>45812.570784351228</v>
      </c>
      <c r="F385" s="32">
        <f t="shared" si="45"/>
        <v>49790.752254574465</v>
      </c>
      <c r="G385" s="32">
        <f t="shared" si="45"/>
        <v>95039.253689427147</v>
      </c>
      <c r="L385" s="27">
        <f t="shared" si="41"/>
        <v>0.36378661699302256</v>
      </c>
      <c r="M385" s="28"/>
      <c r="N385" s="28">
        <f>G385*$O$11/'[2]Used Cooking Oil Complex'!$AZ$26</f>
        <v>0.19611702831735714</v>
      </c>
      <c r="O385" s="34"/>
      <c r="P385" s="34"/>
      <c r="Q385" s="34"/>
      <c r="R385" s="29">
        <f t="shared" si="34"/>
        <v>0.46299410180330847</v>
      </c>
      <c r="S385" s="30">
        <f t="shared" si="35"/>
        <v>0.53700589819669153</v>
      </c>
      <c r="U385" s="33"/>
    </row>
    <row r="386" spans="1:21" x14ac:dyDescent="0.2">
      <c r="A386" s="24">
        <v>46997</v>
      </c>
      <c r="B386" s="32">
        <f t="shared" si="38"/>
        <v>120921.06180434322</v>
      </c>
      <c r="C386" s="32">
        <f t="shared" si="39"/>
        <v>141328.93819565678</v>
      </c>
      <c r="D386" s="32">
        <f t="shared" si="44"/>
        <v>262250</v>
      </c>
      <c r="E386" s="32">
        <f t="shared" si="45"/>
        <v>45803.346804178786</v>
      </c>
      <c r="F386" s="32">
        <f t="shared" si="45"/>
        <v>50064.982166600683</v>
      </c>
      <c r="G386" s="32">
        <f t="shared" si="45"/>
        <v>95296.408053385443</v>
      </c>
      <c r="L386" s="27">
        <f t="shared" si="41"/>
        <v>0.36338001164303313</v>
      </c>
      <c r="M386" s="28"/>
      <c r="N386" s="28">
        <f>G386*$O$11/'[2]Used Cooking Oil Complex'!$AZ$26</f>
        <v>0.19664767589423257</v>
      </c>
      <c r="O386" s="34"/>
      <c r="P386" s="34"/>
      <c r="Q386" s="34"/>
      <c r="R386" s="29">
        <f t="shared" si="34"/>
        <v>0.46109079810998366</v>
      </c>
      <c r="S386" s="30">
        <f t="shared" si="35"/>
        <v>0.53890920189001634</v>
      </c>
      <c r="U386" s="33"/>
    </row>
    <row r="387" spans="1:21" x14ac:dyDescent="0.2">
      <c r="A387" s="24">
        <v>47027</v>
      </c>
      <c r="B387" s="32">
        <f t="shared" si="38"/>
        <v>121482.15014684599</v>
      </c>
      <c r="C387" s="32">
        <f t="shared" si="39"/>
        <v>141767.84985315401</v>
      </c>
      <c r="D387" s="32">
        <f t="shared" si="44"/>
        <v>263250</v>
      </c>
      <c r="E387" s="32">
        <f t="shared" si="45"/>
        <v>45946.523996511947</v>
      </c>
      <c r="F387" s="32">
        <f t="shared" si="45"/>
        <v>50181.145868594249</v>
      </c>
      <c r="G387" s="32">
        <f t="shared" si="45"/>
        <v>95553.562417343725</v>
      </c>
      <c r="L387" s="27">
        <f t="shared" si="41"/>
        <v>0.36297649541251176</v>
      </c>
      <c r="M387" s="28"/>
      <c r="N387" s="28">
        <f>G387*$O$11/'[2]Used Cooking Oil Complex'!$AZ$26</f>
        <v>0.19717832347110792</v>
      </c>
      <c r="O387" s="34"/>
      <c r="P387" s="34"/>
      <c r="Q387" s="34"/>
      <c r="R387" s="29">
        <f t="shared" si="34"/>
        <v>0.4614706558284748</v>
      </c>
      <c r="S387" s="30">
        <f t="shared" si="35"/>
        <v>0.5385293441715252</v>
      </c>
      <c r="U387" s="33">
        <v>2.1828571428571399E-2</v>
      </c>
    </row>
    <row r="388" spans="1:21" x14ac:dyDescent="0.2">
      <c r="A388" s="24">
        <v>47058</v>
      </c>
      <c r="B388" s="32">
        <f t="shared" si="38"/>
        <v>123937.84237973687</v>
      </c>
      <c r="C388" s="32">
        <f t="shared" si="39"/>
        <v>140312.15762026314</v>
      </c>
      <c r="D388" s="32">
        <f t="shared" si="44"/>
        <v>264250</v>
      </c>
      <c r="E388" s="32">
        <f t="shared" si="45"/>
        <v>46573.161715576542</v>
      </c>
      <c r="F388" s="32">
        <f t="shared" si="45"/>
        <v>49795.877908977665</v>
      </c>
      <c r="G388" s="32">
        <f t="shared" si="45"/>
        <v>95810.716781302006</v>
      </c>
      <c r="L388" s="27">
        <f t="shared" si="41"/>
        <v>0.36257603323103882</v>
      </c>
      <c r="M388" s="28"/>
      <c r="N388" s="28">
        <f>G388*$O$11/'[2]Used Cooking Oil Complex'!$AZ$26</f>
        <v>0.1977089710479833</v>
      </c>
      <c r="O388" s="34"/>
      <c r="P388" s="34"/>
      <c r="Q388" s="34"/>
      <c r="R388" s="29">
        <f t="shared" si="34"/>
        <v>0.46901737892048012</v>
      </c>
      <c r="S388" s="30">
        <f t="shared" si="35"/>
        <v>0.53098262107951988</v>
      </c>
      <c r="U388" s="33"/>
    </row>
    <row r="389" spans="1:21" x14ac:dyDescent="0.2">
      <c r="A389" s="24">
        <v>47088</v>
      </c>
      <c r="B389" s="32">
        <f t="shared" si="38"/>
        <v>125108.55492301492</v>
      </c>
      <c r="C389" s="32">
        <f t="shared" si="39"/>
        <v>140141.44507698508</v>
      </c>
      <c r="D389" s="32">
        <f t="shared" si="44"/>
        <v>265250</v>
      </c>
      <c r="E389" s="32">
        <f>FORECAST(B389,E$6:E$299,B$6:B$299)</f>
        <v>46871.901365429345</v>
      </c>
      <c r="F389" s="32">
        <f t="shared" si="45"/>
        <v>49750.696605029174</v>
      </c>
      <c r="G389" s="32">
        <f t="shared" si="45"/>
        <v>96067.871145260302</v>
      </c>
      <c r="L389" s="27">
        <f t="shared" si="41"/>
        <v>0.36217859055706053</v>
      </c>
      <c r="M389" s="28"/>
      <c r="N389" s="28">
        <f>G389*$O$11/'[2]Used Cooking Oil Complex'!$AZ$26</f>
        <v>0.19823961862485873</v>
      </c>
      <c r="O389" s="34"/>
      <c r="P389" s="34"/>
      <c r="Q389" s="34"/>
      <c r="R389" s="29">
        <f t="shared" si="34"/>
        <v>0.47166278953068774</v>
      </c>
      <c r="S389" s="30">
        <f t="shared" si="35"/>
        <v>0.52833721046931226</v>
      </c>
      <c r="U389" s="33"/>
    </row>
    <row r="390" spans="1:21" x14ac:dyDescent="0.2">
      <c r="A390" s="24">
        <v>47119</v>
      </c>
      <c r="B390" s="32">
        <f t="shared" si="38"/>
        <v>125808.72534883178</v>
      </c>
      <c r="C390" s="32">
        <f t="shared" si="39"/>
        <v>140441.27465116823</v>
      </c>
      <c r="D390" s="32">
        <f t="shared" si="44"/>
        <v>266250</v>
      </c>
      <c r="E390" s="32">
        <f t="shared" si="45"/>
        <v>47050.569193878619</v>
      </c>
      <c r="F390" s="32">
        <f t="shared" si="45"/>
        <v>49830.05041737236</v>
      </c>
      <c r="G390" s="32">
        <f t="shared" si="45"/>
        <v>96325.025509218583</v>
      </c>
      <c r="L390" s="27">
        <f t="shared" si="41"/>
        <v>0.36178413336795712</v>
      </c>
      <c r="M390" s="28"/>
      <c r="N390" s="28">
        <f>G390*$O$11/'[2]Used Cooking Oil Complex'!$AZ$26</f>
        <v>0.19877026620173407</v>
      </c>
      <c r="O390" s="34"/>
      <c r="P390" s="34"/>
      <c r="Q390" s="34"/>
      <c r="R390" s="29">
        <f t="shared" si="34"/>
        <v>0.47252103417401609</v>
      </c>
      <c r="S390" s="30">
        <f t="shared" si="35"/>
        <v>0.52747896582598397</v>
      </c>
      <c r="U390" s="33">
        <v>2.22190476190476E-2</v>
      </c>
    </row>
    <row r="391" spans="1:21" x14ac:dyDescent="0.2">
      <c r="A391" s="24">
        <v>47150</v>
      </c>
      <c r="B391" s="32">
        <f t="shared" si="38"/>
        <v>125776.8476401224</v>
      </c>
      <c r="C391" s="32">
        <f t="shared" si="39"/>
        <v>141473.1523598776</v>
      </c>
      <c r="D391" s="32">
        <f t="shared" si="44"/>
        <v>267250</v>
      </c>
      <c r="E391" s="32">
        <f t="shared" si="45"/>
        <v>47042.43471578438</v>
      </c>
      <c r="F391" s="32">
        <f t="shared" si="45"/>
        <v>50103.150328483927</v>
      </c>
      <c r="G391" s="32">
        <f t="shared" si="45"/>
        <v>96582.179873176879</v>
      </c>
      <c r="L391" s="27">
        <f t="shared" si="41"/>
        <v>0.36139262815033446</v>
      </c>
      <c r="M391" s="28"/>
      <c r="N391" s="28">
        <f>G391*$O$11/'[2]Used Cooking Oil Complex'!$AZ$26</f>
        <v>0.19930091377860948</v>
      </c>
      <c r="O391" s="34"/>
      <c r="P391" s="34"/>
      <c r="Q391" s="34"/>
      <c r="R391" s="29">
        <f t="shared" si="34"/>
        <v>0.47063366750279667</v>
      </c>
      <c r="S391" s="30">
        <f t="shared" si="35"/>
        <v>0.52936633249720333</v>
      </c>
      <c r="U391" s="33"/>
    </row>
    <row r="392" spans="1:21" x14ac:dyDescent="0.2">
      <c r="A392" s="24">
        <v>47178</v>
      </c>
      <c r="B392" s="32">
        <f t="shared" si="38"/>
        <v>126925.76415645891</v>
      </c>
      <c r="C392" s="32">
        <f t="shared" si="39"/>
        <v>141324.23584354107</v>
      </c>
      <c r="D392" s="32">
        <f t="shared" si="44"/>
        <v>268250</v>
      </c>
      <c r="E392" s="32">
        <f t="shared" si="45"/>
        <v>47335.612507182617</v>
      </c>
      <c r="F392" s="32">
        <f t="shared" si="45"/>
        <v>50063.737627704279</v>
      </c>
      <c r="G392" s="32">
        <f t="shared" si="45"/>
        <v>96839.334237135161</v>
      </c>
      <c r="L392" s="27">
        <f t="shared" si="41"/>
        <v>0.36100404189053181</v>
      </c>
      <c r="M392" s="28"/>
      <c r="N392" s="28">
        <f>G392*$O$11/'[2]Used Cooking Oil Complex'!$AZ$26</f>
        <v>0.19983156135548483</v>
      </c>
      <c r="O392" s="34"/>
      <c r="P392" s="34"/>
      <c r="Q392" s="34"/>
      <c r="R392" s="29">
        <f t="shared" si="34"/>
        <v>0.47316221493554117</v>
      </c>
      <c r="S392" s="30">
        <f t="shared" si="35"/>
        <v>0.52683778506445877</v>
      </c>
      <c r="U392" s="33"/>
    </row>
    <row r="393" spans="1:21" x14ac:dyDescent="0.2">
      <c r="A393" s="24">
        <v>47209</v>
      </c>
      <c r="B393" s="32">
        <f t="shared" si="38"/>
        <v>127964.6801580434</v>
      </c>
      <c r="C393" s="32">
        <f t="shared" si="39"/>
        <v>141285.31984195663</v>
      </c>
      <c r="D393" s="32">
        <f t="shared" si="44"/>
        <v>269250</v>
      </c>
      <c r="E393" s="32">
        <f t="shared" si="45"/>
        <v>47600.720628148658</v>
      </c>
      <c r="F393" s="32">
        <f t="shared" si="45"/>
        <v>50053.437999672955</v>
      </c>
      <c r="G393" s="32">
        <f t="shared" si="45"/>
        <v>97096.488601093442</v>
      </c>
      <c r="L393" s="27">
        <f t="shared" si="41"/>
        <v>0.36061834206534238</v>
      </c>
      <c r="M393" s="28"/>
      <c r="N393" s="28">
        <f>G393*$O$11/'[2]Used Cooking Oil Complex'!$AZ$26</f>
        <v>0.20036220893236023</v>
      </c>
      <c r="O393" s="34"/>
      <c r="P393" s="34"/>
      <c r="Q393" s="34"/>
      <c r="R393" s="29">
        <f t="shared" si="34"/>
        <v>0.47526343605587146</v>
      </c>
      <c r="S393" s="30">
        <f t="shared" si="35"/>
        <v>0.5247365639441286</v>
      </c>
      <c r="U393" s="33">
        <v>2.2609523809523802E-2</v>
      </c>
    </row>
    <row r="394" spans="1:21" x14ac:dyDescent="0.2">
      <c r="A394" s="24">
        <v>47239</v>
      </c>
      <c r="B394" s="32">
        <f t="shared" si="38"/>
        <v>127783.97827260361</v>
      </c>
      <c r="C394" s="32">
        <f t="shared" si="39"/>
        <v>142466.02172739641</v>
      </c>
      <c r="D394" s="32">
        <f t="shared" si="44"/>
        <v>270250</v>
      </c>
      <c r="E394" s="32">
        <f t="shared" si="45"/>
        <v>47554.60954964866</v>
      </c>
      <c r="F394" s="32">
        <f t="shared" si="45"/>
        <v>50365.926172681524</v>
      </c>
      <c r="G394" s="32">
        <f t="shared" si="45"/>
        <v>97353.642965051738</v>
      </c>
      <c r="L394" s="27">
        <f t="shared" si="41"/>
        <v>0.36023549663293891</v>
      </c>
      <c r="M394" s="28"/>
      <c r="N394" s="28">
        <f>G394*$O$11/'[2]Used Cooking Oil Complex'!$AZ$26</f>
        <v>0.20089285650923561</v>
      </c>
      <c r="O394" s="34"/>
      <c r="P394" s="34"/>
      <c r="Q394" s="34"/>
      <c r="R394" s="29">
        <f t="shared" ref="R394:R413" si="46">AVERAGE(R391:R393,R382,R370,R358,R346,R334)</f>
        <v>0.47283618232230751</v>
      </c>
      <c r="S394" s="30">
        <f t="shared" ref="S394:S441" si="47">1-R394</f>
        <v>0.52716381767769249</v>
      </c>
      <c r="U394" s="33"/>
    </row>
    <row r="395" spans="1:21" x14ac:dyDescent="0.2">
      <c r="A395" s="24">
        <v>47270</v>
      </c>
      <c r="B395" s="32">
        <f t="shared" si="38"/>
        <v>127547.97712031651</v>
      </c>
      <c r="C395" s="32">
        <f t="shared" si="39"/>
        <v>143702.0228796835</v>
      </c>
      <c r="D395" s="32">
        <f t="shared" si="44"/>
        <v>271250</v>
      </c>
      <c r="E395" s="32">
        <f t="shared" si="45"/>
        <v>47494.387335404943</v>
      </c>
      <c r="F395" s="32">
        <f t="shared" si="45"/>
        <v>50693.050018825656</v>
      </c>
      <c r="G395" s="32">
        <f t="shared" si="45"/>
        <v>97610.79732901002</v>
      </c>
      <c r="L395" s="27">
        <f t="shared" si="41"/>
        <v>0.35985547402400009</v>
      </c>
      <c r="M395" s="28"/>
      <c r="N395" s="28">
        <f>G395*$O$11/'[2]Used Cooking Oil Complex'!$AZ$26</f>
        <v>0.20142350408611098</v>
      </c>
      <c r="O395" s="34"/>
      <c r="P395" s="34"/>
      <c r="Q395" s="34"/>
      <c r="R395" s="29">
        <f t="shared" si="46"/>
        <v>0.47022295712559081</v>
      </c>
      <c r="S395" s="30">
        <f t="shared" si="47"/>
        <v>0.52977704287440919</v>
      </c>
      <c r="U395" s="33"/>
    </row>
    <row r="396" spans="1:21" x14ac:dyDescent="0.2">
      <c r="A396" s="24">
        <v>47300</v>
      </c>
      <c r="B396" s="32">
        <f t="shared" si="38"/>
        <v>127606.87213427201</v>
      </c>
      <c r="C396" s="32">
        <f t="shared" si="39"/>
        <v>144643.12786572799</v>
      </c>
      <c r="D396" s="32">
        <f t="shared" si="44"/>
        <v>272250</v>
      </c>
      <c r="E396" s="32">
        <f t="shared" si="45"/>
        <v>47509.41602536659</v>
      </c>
      <c r="F396" s="32">
        <f t="shared" si="45"/>
        <v>50942.12574346445</v>
      </c>
      <c r="G396" s="32">
        <f t="shared" si="45"/>
        <v>97867.951692968301</v>
      </c>
      <c r="L396" s="27">
        <f t="shared" si="41"/>
        <v>0.35947824313303323</v>
      </c>
      <c r="M396" s="28"/>
      <c r="N396" s="28">
        <f>G396*$O$11/'[2]Used Cooking Oil Complex'!$AZ$26</f>
        <v>0.20195415166298639</v>
      </c>
      <c r="O396" s="34"/>
      <c r="P396" s="34"/>
      <c r="Q396" s="34"/>
      <c r="R396" s="29">
        <f t="shared" si="46"/>
        <v>0.46871211068603125</v>
      </c>
      <c r="S396" s="30">
        <f t="shared" si="47"/>
        <v>0.53128788931396875</v>
      </c>
      <c r="U396" s="33">
        <v>2.3E-2</v>
      </c>
    </row>
    <row r="397" spans="1:21" x14ac:dyDescent="0.2">
      <c r="A397" s="24">
        <v>47331</v>
      </c>
      <c r="B397" s="32">
        <f t="shared" si="38"/>
        <v>127656.51999937213</v>
      </c>
      <c r="C397" s="32">
        <f t="shared" si="39"/>
        <v>145593.48000062787</v>
      </c>
      <c r="D397" s="32">
        <f t="shared" si="44"/>
        <v>273250</v>
      </c>
      <c r="E397" s="32">
        <f t="shared" si="45"/>
        <v>47522.085049817651</v>
      </c>
      <c r="F397" s="32">
        <f t="shared" si="45"/>
        <v>51193.648846808224</v>
      </c>
      <c r="G397" s="32">
        <f t="shared" si="45"/>
        <v>98125.106056926597</v>
      </c>
      <c r="L397" s="27">
        <f t="shared" si="41"/>
        <v>0.35910377330988691</v>
      </c>
      <c r="M397" s="28"/>
      <c r="N397" s="28">
        <f>G397*$O$11/'[2]Used Cooking Oil Complex'!$AZ$26</f>
        <v>0.20248479923986176</v>
      </c>
      <c r="O397" s="34"/>
      <c r="P397" s="34"/>
      <c r="Q397" s="34"/>
      <c r="R397" s="29">
        <f t="shared" si="46"/>
        <v>0.46717848124198402</v>
      </c>
      <c r="S397" s="30">
        <f t="shared" si="47"/>
        <v>0.53282151875801598</v>
      </c>
      <c r="U397" s="33"/>
    </row>
    <row r="398" spans="1:21" x14ac:dyDescent="0.2">
      <c r="A398" s="24">
        <v>47362</v>
      </c>
      <c r="B398" s="32">
        <f t="shared" si="38"/>
        <v>127621.00341453491</v>
      </c>
      <c r="C398" s="32">
        <f t="shared" si="39"/>
        <v>146628.99658546509</v>
      </c>
      <c r="D398" s="32">
        <f t="shared" si="44"/>
        <v>274250</v>
      </c>
      <c r="E398" s="32">
        <f t="shared" si="45"/>
        <v>47513.022011944551</v>
      </c>
      <c r="F398" s="32">
        <f t="shared" si="45"/>
        <v>51467.71183400786</v>
      </c>
      <c r="G398" s="32">
        <f t="shared" si="45"/>
        <v>98382.260420884879</v>
      </c>
      <c r="L398" s="27">
        <f t="shared" si="41"/>
        <v>0.35873203435144896</v>
      </c>
      <c r="M398" s="28"/>
      <c r="N398" s="28">
        <f>G398*$O$11/'[2]Used Cooking Oil Complex'!$AZ$26</f>
        <v>0.20301544681673714</v>
      </c>
      <c r="O398" s="34"/>
      <c r="P398" s="34"/>
      <c r="Q398" s="34"/>
      <c r="R398" s="29">
        <f t="shared" si="46"/>
        <v>0.46534550014415643</v>
      </c>
      <c r="S398" s="30">
        <f t="shared" si="47"/>
        <v>0.53465449985584357</v>
      </c>
      <c r="U398" s="33"/>
    </row>
    <row r="399" spans="1:21" x14ac:dyDescent="0.2">
      <c r="A399" s="24">
        <v>47392</v>
      </c>
      <c r="B399" s="32">
        <f t="shared" si="38"/>
        <v>128046.54323075575</v>
      </c>
      <c r="C399" s="32">
        <f t="shared" si="39"/>
        <v>147203.45676924428</v>
      </c>
      <c r="D399" s="32">
        <f t="shared" si="44"/>
        <v>275250</v>
      </c>
      <c r="E399" s="32">
        <f t="shared" si="45"/>
        <v>47621.610252863436</v>
      </c>
      <c r="F399" s="32">
        <f t="shared" si="45"/>
        <v>51619.750223637828</v>
      </c>
      <c r="G399" s="32">
        <f t="shared" si="45"/>
        <v>98639.41478484316</v>
      </c>
      <c r="L399" s="27">
        <f t="shared" si="41"/>
        <v>0.35836299649352649</v>
      </c>
      <c r="M399" s="28"/>
      <c r="N399" s="28">
        <f>G399*$O$11/'[2]Used Cooking Oil Complex'!$AZ$26</f>
        <v>0.20354609439361249</v>
      </c>
      <c r="O399" s="34"/>
      <c r="P399" s="34"/>
      <c r="Q399" s="34"/>
      <c r="R399" s="29">
        <f t="shared" si="46"/>
        <v>0.46520088367213713</v>
      </c>
      <c r="S399" s="30">
        <f t="shared" si="47"/>
        <v>0.53479911632786292</v>
      </c>
      <c r="U399" s="33">
        <v>2.3390476190476201E-2</v>
      </c>
    </row>
    <row r="400" spans="1:21" x14ac:dyDescent="0.2">
      <c r="A400" s="24">
        <v>47423</v>
      </c>
      <c r="B400" s="32">
        <f t="shared" si="38"/>
        <v>130228.15406318067</v>
      </c>
      <c r="C400" s="32">
        <f t="shared" si="39"/>
        <v>146021.84593681936</v>
      </c>
      <c r="D400" s="32">
        <f t="shared" si="44"/>
        <v>276250</v>
      </c>
      <c r="E400" s="32">
        <f t="shared" si="45"/>
        <v>48178.308530280723</v>
      </c>
      <c r="F400" s="32">
        <f t="shared" si="45"/>
        <v>51307.021485939506</v>
      </c>
      <c r="G400" s="32">
        <f t="shared" si="45"/>
        <v>98896.569148801456</v>
      </c>
      <c r="L400" s="27">
        <f t="shared" si="41"/>
        <v>0.35799663040290119</v>
      </c>
      <c r="M400" s="28"/>
      <c r="N400" s="28">
        <f>G400*$O$11/'[2]Used Cooking Oil Complex'!$AZ$26</f>
        <v>0.20407674197048792</v>
      </c>
      <c r="O400" s="34"/>
      <c r="P400" s="34"/>
      <c r="Q400" s="34"/>
      <c r="R400" s="29">
        <f t="shared" si="46"/>
        <v>0.47141413235540514</v>
      </c>
      <c r="S400" s="30">
        <f t="shared" si="47"/>
        <v>0.52858586764459492</v>
      </c>
      <c r="U400" s="33"/>
    </row>
    <row r="401" spans="1:21" x14ac:dyDescent="0.2">
      <c r="A401" s="24">
        <v>47453</v>
      </c>
      <c r="B401" s="32">
        <f t="shared" si="38"/>
        <v>131475.77350798182</v>
      </c>
      <c r="C401" s="32">
        <f t="shared" si="39"/>
        <v>145774.22649201818</v>
      </c>
      <c r="D401" s="32">
        <f t="shared" si="44"/>
        <v>277250</v>
      </c>
      <c r="E401" s="32">
        <f t="shared" si="45"/>
        <v>48496.673100840315</v>
      </c>
      <c r="F401" s="32">
        <f t="shared" si="45"/>
        <v>51241.485766159996</v>
      </c>
      <c r="G401" s="32">
        <f t="shared" si="45"/>
        <v>99153.723512759738</v>
      </c>
      <c r="L401" s="27">
        <f t="shared" si="41"/>
        <v>0.3576329071695572</v>
      </c>
      <c r="M401" s="28"/>
      <c r="N401" s="28">
        <f>G401*$O$11/'[2]Used Cooking Oil Complex'!$AZ$26</f>
        <v>0.20460738954736329</v>
      </c>
      <c r="O401" s="34"/>
      <c r="P401" s="34"/>
      <c r="Q401" s="34"/>
      <c r="R401" s="29">
        <f t="shared" si="46"/>
        <v>0.4742137908313141</v>
      </c>
      <c r="S401" s="30">
        <f t="shared" si="47"/>
        <v>0.5257862091686859</v>
      </c>
      <c r="U401" s="33"/>
    </row>
    <row r="402" spans="1:21" x14ac:dyDescent="0.2">
      <c r="A402" s="24">
        <v>47484</v>
      </c>
      <c r="B402" s="32">
        <f t="shared" si="38"/>
        <v>131787.33704506172</v>
      </c>
      <c r="C402" s="32">
        <f t="shared" si="39"/>
        <v>146462.66295493828</v>
      </c>
      <c r="D402" s="32">
        <f t="shared" si="44"/>
        <v>278250</v>
      </c>
      <c r="E402" s="32">
        <f t="shared" si="45"/>
        <v>48576.177145200796</v>
      </c>
      <c r="F402" s="32">
        <f t="shared" si="45"/>
        <v>51423.689466504104</v>
      </c>
      <c r="G402" s="32">
        <f t="shared" si="45"/>
        <v>99410.877876718019</v>
      </c>
      <c r="L402" s="27">
        <f t="shared" si="41"/>
        <v>0.35727179829907646</v>
      </c>
      <c r="M402" s="28"/>
      <c r="N402" s="28">
        <f>G402*$O$11/'[2]Used Cooking Oil Complex'!$AZ$26</f>
        <v>0.20513803712423864</v>
      </c>
      <c r="O402" s="34"/>
      <c r="P402" s="34"/>
      <c r="Q402" s="34"/>
      <c r="R402" s="29">
        <f t="shared" si="46"/>
        <v>0.47362924364802061</v>
      </c>
      <c r="S402" s="30">
        <f t="shared" si="47"/>
        <v>0.52637075635197939</v>
      </c>
      <c r="U402" s="33">
        <v>2.3780952380952299E-2</v>
      </c>
    </row>
    <row r="403" spans="1:21" x14ac:dyDescent="0.2">
      <c r="A403" s="24">
        <v>47515</v>
      </c>
      <c r="B403" s="32">
        <f t="shared" si="38"/>
        <v>131791.35436426997</v>
      </c>
      <c r="C403" s="32">
        <f t="shared" si="39"/>
        <v>147458.64563573003</v>
      </c>
      <c r="D403" s="32">
        <f t="shared" si="44"/>
        <v>279250</v>
      </c>
      <c r="E403" s="32">
        <f t="shared" si="45"/>
        <v>48577.202275187243</v>
      </c>
      <c r="F403" s="32">
        <f t="shared" si="45"/>
        <v>51687.289289716777</v>
      </c>
      <c r="G403" s="32">
        <f t="shared" si="45"/>
        <v>99668.032240676315</v>
      </c>
      <c r="L403" s="27">
        <f t="shared" si="41"/>
        <v>0.35691327570519721</v>
      </c>
      <c r="M403" s="28"/>
      <c r="N403" s="28">
        <f>G403*$O$11/'[2]Used Cooking Oil Complex'!$AZ$26</f>
        <v>0.20566868470111407</v>
      </c>
      <c r="O403" s="34"/>
      <c r="P403" s="34"/>
      <c r="Q403" s="34"/>
      <c r="R403" s="29">
        <f t="shared" si="46"/>
        <v>0.47194755367688435</v>
      </c>
      <c r="S403" s="30">
        <f t="shared" si="47"/>
        <v>0.52805244632311565</v>
      </c>
      <c r="U403" s="33"/>
    </row>
    <row r="404" spans="1:21" x14ac:dyDescent="0.2">
      <c r="A404" s="24">
        <v>47543</v>
      </c>
      <c r="B404" s="32">
        <f t="shared" si="38"/>
        <v>132678.85490313661</v>
      </c>
      <c r="C404" s="32">
        <f t="shared" si="39"/>
        <v>147571.14509686339</v>
      </c>
      <c r="D404" s="32">
        <f t="shared" si="44"/>
        <v>280250</v>
      </c>
      <c r="E404" s="32">
        <f t="shared" si="45"/>
        <v>48803.672557535814</v>
      </c>
      <c r="F404" s="32">
        <f t="shared" si="45"/>
        <v>51717.063741259146</v>
      </c>
      <c r="G404" s="32">
        <f t="shared" si="45"/>
        <v>99925.186604634597</v>
      </c>
      <c r="L404" s="27">
        <f t="shared" si="41"/>
        <v>0.35655731170253202</v>
      </c>
      <c r="M404" s="28"/>
      <c r="N404" s="28">
        <f>G404*$O$11/'[2]Used Cooking Oil Complex'!$AZ$26</f>
        <v>0.20619933227798942</v>
      </c>
      <c r="O404" s="34"/>
      <c r="P404" s="34"/>
      <c r="Q404" s="34"/>
      <c r="R404" s="29">
        <f t="shared" si="46"/>
        <v>0.47343034755802538</v>
      </c>
      <c r="S404" s="30">
        <f t="shared" si="47"/>
        <v>0.52656965244197462</v>
      </c>
      <c r="U404" s="33"/>
    </row>
    <row r="405" spans="1:21" x14ac:dyDescent="0.2">
      <c r="A405" s="24">
        <v>47574</v>
      </c>
      <c r="B405" s="32">
        <f t="shared" si="38"/>
        <v>133442.62463888907</v>
      </c>
      <c r="C405" s="32">
        <f t="shared" si="39"/>
        <v>147807.37536111093</v>
      </c>
      <c r="D405" s="32">
        <f t="shared" si="44"/>
        <v>281250</v>
      </c>
      <c r="E405" s="32">
        <f t="shared" si="45"/>
        <v>48998.569507036307</v>
      </c>
      <c r="F405" s="32">
        <f t="shared" si="45"/>
        <v>51779.585165671502</v>
      </c>
      <c r="G405" s="32">
        <f t="shared" si="45"/>
        <v>100182.34096859288</v>
      </c>
      <c r="L405" s="27">
        <f t="shared" si="41"/>
        <v>0.35620387899944134</v>
      </c>
      <c r="M405" s="28"/>
      <c r="N405" s="28">
        <f>G405*$O$11/'[2]Used Cooking Oil Complex'!$AZ$26</f>
        <v>0.2067299798548648</v>
      </c>
      <c r="O405" s="34"/>
      <c r="P405" s="34"/>
      <c r="Q405" s="34"/>
      <c r="R405" s="29">
        <f t="shared" si="46"/>
        <v>0.47446266538271675</v>
      </c>
      <c r="S405" s="30">
        <f t="shared" si="47"/>
        <v>0.52553733461728325</v>
      </c>
      <c r="U405" s="33">
        <v>2.41714285714285E-2</v>
      </c>
    </row>
    <row r="406" spans="1:21" x14ac:dyDescent="0.2">
      <c r="A406" s="24">
        <v>47604</v>
      </c>
      <c r="B406" s="32">
        <f t="shared" ref="B406:B453" si="48">D406*R406</f>
        <v>133300.55125940833</v>
      </c>
      <c r="C406" s="32">
        <f t="shared" ref="C406:C453" si="49">D406*S406</f>
        <v>148949.44874059167</v>
      </c>
      <c r="D406" s="32">
        <f t="shared" si="44"/>
        <v>282250</v>
      </c>
      <c r="E406" s="32">
        <f t="shared" si="45"/>
        <v>48962.315559059767</v>
      </c>
      <c r="F406" s="32">
        <f t="shared" si="45"/>
        <v>52081.849800120472</v>
      </c>
      <c r="G406" s="32">
        <f t="shared" si="45"/>
        <v>100439.49533255117</v>
      </c>
      <c r="L406" s="27">
        <f t="shared" ref="L406:L453" si="50">G406/D406</f>
        <v>0.35585295069105821</v>
      </c>
      <c r="M406" s="28"/>
      <c r="N406" s="28">
        <f>G406*$O$11/'[2]Used Cooking Oil Complex'!$AZ$26</f>
        <v>0.2072606274317402</v>
      </c>
      <c r="O406" s="34"/>
      <c r="P406" s="34"/>
      <c r="Q406" s="34"/>
      <c r="R406" s="29">
        <f t="shared" si="46"/>
        <v>0.47227830384201352</v>
      </c>
      <c r="S406" s="30">
        <f t="shared" si="47"/>
        <v>0.52772169615798648</v>
      </c>
      <c r="U406" s="33"/>
    </row>
    <row r="407" spans="1:21" x14ac:dyDescent="0.2">
      <c r="A407" s="24">
        <v>47635</v>
      </c>
      <c r="B407" s="32">
        <f t="shared" si="48"/>
        <v>133113.03887386539</v>
      </c>
      <c r="C407" s="32">
        <f t="shared" si="49"/>
        <v>150136.96112613461</v>
      </c>
      <c r="D407" s="32">
        <f t="shared" si="44"/>
        <v>283250</v>
      </c>
      <c r="E407" s="32">
        <f t="shared" si="45"/>
        <v>48914.466593298021</v>
      </c>
      <c r="F407" s="32">
        <f t="shared" si="45"/>
        <v>52396.140460921066</v>
      </c>
      <c r="G407" s="32">
        <f t="shared" si="45"/>
        <v>100696.64969650946</v>
      </c>
      <c r="L407" s="27">
        <f t="shared" si="50"/>
        <v>0.35550450025246055</v>
      </c>
      <c r="M407" s="28"/>
      <c r="N407" s="28">
        <f>G407*$O$11/'[2]Used Cooking Oil Complex'!$AZ$26</f>
        <v>0.20779127500861558</v>
      </c>
      <c r="O407" s="34"/>
      <c r="P407" s="34"/>
      <c r="Q407" s="34"/>
      <c r="R407" s="29">
        <f t="shared" si="46"/>
        <v>0.46994894571532353</v>
      </c>
      <c r="S407" s="30">
        <f t="shared" si="47"/>
        <v>0.53005105428467647</v>
      </c>
      <c r="U407" s="33"/>
    </row>
    <row r="408" spans="1:21" x14ac:dyDescent="0.2">
      <c r="A408" s="24">
        <v>47665</v>
      </c>
      <c r="B408" s="32">
        <f t="shared" si="48"/>
        <v>133135.98420709118</v>
      </c>
      <c r="C408" s="32">
        <f t="shared" si="49"/>
        <v>151114.01579290885</v>
      </c>
      <c r="D408" s="32">
        <f t="shared" si="44"/>
        <v>284250</v>
      </c>
      <c r="E408" s="32">
        <f t="shared" si="45"/>
        <v>48920.321729004041</v>
      </c>
      <c r="F408" s="32">
        <f t="shared" si="45"/>
        <v>52654.730738039201</v>
      </c>
      <c r="G408" s="32">
        <f t="shared" si="45"/>
        <v>100953.80406046774</v>
      </c>
      <c r="L408" s="27">
        <f t="shared" si="50"/>
        <v>0.35515850153198852</v>
      </c>
      <c r="M408" s="28"/>
      <c r="N408" s="28">
        <f>G408*$O$11/'[2]Used Cooking Oil Complex'!$AZ$26</f>
        <v>0.20832192258549095</v>
      </c>
      <c r="O408" s="34"/>
      <c r="P408" s="34"/>
      <c r="Q408" s="34"/>
      <c r="R408" s="29">
        <f t="shared" si="46"/>
        <v>0.46837637363972268</v>
      </c>
      <c r="S408" s="30">
        <f t="shared" si="47"/>
        <v>0.53162362636027738</v>
      </c>
      <c r="U408" s="33">
        <v>2.41714285714285E-2</v>
      </c>
    </row>
    <row r="409" spans="1:21" x14ac:dyDescent="0.2">
      <c r="A409" s="24">
        <v>47696</v>
      </c>
      <c r="B409" s="32">
        <f t="shared" si="48"/>
        <v>133193.06229885161</v>
      </c>
      <c r="C409" s="32">
        <f t="shared" si="49"/>
        <v>152056.93770114839</v>
      </c>
      <c r="D409" s="32">
        <f t="shared" si="44"/>
        <v>285250</v>
      </c>
      <c r="E409" s="32">
        <f t="shared" si="45"/>
        <v>48934.886781069705</v>
      </c>
      <c r="F409" s="32">
        <f t="shared" si="45"/>
        <v>52904.287334864472</v>
      </c>
      <c r="G409" s="32">
        <f t="shared" si="45"/>
        <v>101210.95842442603</v>
      </c>
      <c r="L409" s="27">
        <f t="shared" si="50"/>
        <v>0.35481492874470127</v>
      </c>
      <c r="M409" s="28"/>
      <c r="N409" s="28">
        <f>G409*$O$11/'[2]Used Cooking Oil Complex'!$AZ$26</f>
        <v>0.20885257016236636</v>
      </c>
      <c r="O409" s="34"/>
      <c r="P409" s="34"/>
      <c r="Q409" s="34"/>
      <c r="R409" s="29">
        <f t="shared" si="46"/>
        <v>0.46693448658668396</v>
      </c>
      <c r="S409" s="30">
        <f t="shared" si="47"/>
        <v>0.53306551341331598</v>
      </c>
      <c r="U409" s="33"/>
    </row>
    <row r="410" spans="1:21" x14ac:dyDescent="0.2">
      <c r="A410" s="24">
        <v>47727</v>
      </c>
      <c r="B410" s="32">
        <f t="shared" si="48"/>
        <v>133142.86228891075</v>
      </c>
      <c r="C410" s="32">
        <f t="shared" si="49"/>
        <v>153107.13771108922</v>
      </c>
      <c r="D410" s="32">
        <f t="shared" si="44"/>
        <v>286250</v>
      </c>
      <c r="E410" s="32">
        <f t="shared" si="45"/>
        <v>48922.076861607886</v>
      </c>
      <c r="F410" s="32">
        <f t="shared" si="45"/>
        <v>53182.236482271619</v>
      </c>
      <c r="G410" s="32">
        <f t="shared" si="45"/>
        <v>101468.11278838431</v>
      </c>
      <c r="L410" s="27">
        <f t="shared" si="50"/>
        <v>0.3544737564659714</v>
      </c>
      <c r="M410" s="28"/>
      <c r="N410" s="28">
        <f>G410*$O$11/'[2]Used Cooking Oil Complex'!$AZ$26</f>
        <v>0.20938321773924173</v>
      </c>
      <c r="O410" s="34"/>
      <c r="P410" s="34"/>
      <c r="Q410" s="34"/>
      <c r="R410" s="29">
        <f t="shared" si="46"/>
        <v>0.46512790319270131</v>
      </c>
      <c r="S410" s="30">
        <f t="shared" si="47"/>
        <v>0.53487209680729864</v>
      </c>
      <c r="U410" s="33"/>
    </row>
    <row r="411" spans="1:21" x14ac:dyDescent="0.2">
      <c r="A411" s="24">
        <v>47757</v>
      </c>
      <c r="B411" s="32">
        <f t="shared" si="48"/>
        <v>133518.66530764045</v>
      </c>
      <c r="C411" s="32">
        <f t="shared" si="49"/>
        <v>153731.33469235958</v>
      </c>
      <c r="D411" s="32">
        <f t="shared" si="44"/>
        <v>287250</v>
      </c>
      <c r="E411" s="32">
        <f t="shared" si="45"/>
        <v>49017.973384519122</v>
      </c>
      <c r="F411" s="32">
        <f t="shared" si="45"/>
        <v>53347.438364880618</v>
      </c>
      <c r="G411" s="32">
        <f t="shared" si="45"/>
        <v>101725.2671523426</v>
      </c>
      <c r="L411" s="27">
        <f t="shared" si="50"/>
        <v>0.35413495962521357</v>
      </c>
      <c r="M411" s="28"/>
      <c r="N411" s="28">
        <f>G411*$O$11/'[2]Used Cooking Oil Complex'!$AZ$26</f>
        <v>0.20991386531611708</v>
      </c>
      <c r="O411" s="34"/>
      <c r="P411" s="34"/>
      <c r="Q411" s="34"/>
      <c r="R411" s="29">
        <f t="shared" si="46"/>
        <v>0.4648169375374776</v>
      </c>
      <c r="S411" s="30">
        <f t="shared" si="47"/>
        <v>0.53518306246252245</v>
      </c>
      <c r="U411" s="33">
        <v>2.41714285714285E-2</v>
      </c>
    </row>
    <row r="412" spans="1:21" x14ac:dyDescent="0.2">
      <c r="A412" s="24">
        <v>47788</v>
      </c>
      <c r="B412" s="32">
        <f t="shared" si="48"/>
        <v>135525.37680732348</v>
      </c>
      <c r="C412" s="32">
        <f t="shared" si="49"/>
        <v>152724.62319267652</v>
      </c>
      <c r="D412" s="32">
        <f t="shared" si="44"/>
        <v>288250</v>
      </c>
      <c r="E412" s="32">
        <f t="shared" si="45"/>
        <v>49530.041265070155</v>
      </c>
      <c r="F412" s="32">
        <f t="shared" si="45"/>
        <v>53080.999019638519</v>
      </c>
      <c r="G412" s="32">
        <f t="shared" si="45"/>
        <v>101982.42151630089</v>
      </c>
      <c r="L412" s="27">
        <f t="shared" si="50"/>
        <v>0.35379851349974289</v>
      </c>
      <c r="M412" s="28"/>
      <c r="N412" s="28">
        <f>G412*$O$11/'[2]Used Cooking Oil Complex'!$AZ$26</f>
        <v>0.21044451289299251</v>
      </c>
      <c r="O412" s="34"/>
      <c r="P412" s="34"/>
      <c r="Q412" s="34"/>
      <c r="R412" s="29">
        <f t="shared" si="46"/>
        <v>0.47016609473486026</v>
      </c>
      <c r="S412" s="30">
        <f t="shared" si="47"/>
        <v>0.52983390526513974</v>
      </c>
      <c r="U412" s="33"/>
    </row>
    <row r="413" spans="1:21" x14ac:dyDescent="0.2">
      <c r="A413" s="24">
        <v>47818</v>
      </c>
      <c r="B413" s="32">
        <f t="shared" si="48"/>
        <v>136691.9804777269</v>
      </c>
      <c r="C413" s="32">
        <f t="shared" si="49"/>
        <v>152558.0195222731</v>
      </c>
      <c r="D413" s="32">
        <f t="shared" si="44"/>
        <v>289250</v>
      </c>
      <c r="E413" s="32">
        <f t="shared" si="45"/>
        <v>49827.732422489091</v>
      </c>
      <c r="F413" s="32">
        <f t="shared" si="45"/>
        <v>53036.905182554918</v>
      </c>
      <c r="G413" s="32">
        <f t="shared" si="45"/>
        <v>102239.57588025917</v>
      </c>
      <c r="L413" s="27">
        <f t="shared" si="50"/>
        <v>0.3534643937087612</v>
      </c>
      <c r="M413" s="28"/>
      <c r="N413" s="28">
        <f>G413*$O$11/'[2]Used Cooking Oil Complex'!$AZ$26</f>
        <v>0.21097516046986786</v>
      </c>
      <c r="O413" s="34"/>
      <c r="P413" s="34"/>
      <c r="Q413" s="34"/>
      <c r="R413" s="29">
        <f t="shared" si="46"/>
        <v>0.47257383051936697</v>
      </c>
      <c r="S413" s="30">
        <f t="shared" si="47"/>
        <v>0.52742616948063303</v>
      </c>
      <c r="U413" s="33"/>
    </row>
  </sheetData>
  <mergeCells count="9">
    <mergeCell ref="S3:S5"/>
    <mergeCell ref="U3:U5"/>
    <mergeCell ref="G4:G5"/>
    <mergeCell ref="A1:G1"/>
    <mergeCell ref="A2:G2"/>
    <mergeCell ref="I2:I5"/>
    <mergeCell ref="J2:J5"/>
    <mergeCell ref="N2:N5"/>
    <mergeCell ref="R3:R5"/>
  </mergeCells>
  <hyperlinks>
    <hyperlink ref="A3" r:id="rId1" xr:uid="{218DB484-31AD-4658-8A08-FCE93CCAB2A8}"/>
    <hyperlink ref="U3" r:id="rId2" xr:uid="{38E2441E-85C2-4818-95FD-9747B9C69057}"/>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179D6-21A4-4503-A960-35F78F2E8614}">
  <dimension ref="A1:P155"/>
  <sheetViews>
    <sheetView workbookViewId="0">
      <pane xSplit="1" ySplit="2" topLeftCell="B49" activePane="bottomRight" state="frozen"/>
      <selection activeCell="A5" sqref="A5:M29"/>
      <selection pane="topRight" activeCell="A5" sqref="A5:M29"/>
      <selection pane="bottomLeft" activeCell="A5" sqref="A5:M29"/>
      <selection pane="bottomRight" activeCell="A5" sqref="A5:M29"/>
    </sheetView>
  </sheetViews>
  <sheetFormatPr defaultColWidth="8.85546875" defaultRowHeight="15" x14ac:dyDescent="0.25"/>
  <cols>
    <col min="1" max="1" width="34.140625" bestFit="1" customWidth="1"/>
    <col min="2" max="13" width="12.85546875" customWidth="1"/>
  </cols>
  <sheetData>
    <row r="1" spans="1:13" x14ac:dyDescent="0.25">
      <c r="A1" t="s">
        <v>41</v>
      </c>
    </row>
    <row r="2" spans="1:13" x14ac:dyDescent="0.25">
      <c r="B2" s="35" t="s">
        <v>42</v>
      </c>
      <c r="C2" s="35" t="s">
        <v>43</v>
      </c>
      <c r="D2" s="35" t="s">
        <v>44</v>
      </c>
      <c r="E2" s="35" t="s">
        <v>45</v>
      </c>
      <c r="F2" s="35" t="s">
        <v>7</v>
      </c>
      <c r="G2" s="35" t="s">
        <v>46</v>
      </c>
      <c r="H2" s="35" t="s">
        <v>47</v>
      </c>
      <c r="I2" s="35" t="s">
        <v>48</v>
      </c>
      <c r="J2" s="35" t="s">
        <v>49</v>
      </c>
      <c r="K2" s="35" t="s">
        <v>50</v>
      </c>
      <c r="L2" s="35" t="s">
        <v>51</v>
      </c>
      <c r="M2" s="35" t="s">
        <v>52</v>
      </c>
    </row>
    <row r="3" spans="1:13" x14ac:dyDescent="0.25">
      <c r="A3">
        <v>1997</v>
      </c>
      <c r="B3" s="36">
        <v>22407.043576200729</v>
      </c>
      <c r="C3" s="36">
        <v>20823.224839654547</v>
      </c>
      <c r="D3" s="36">
        <v>23360.066308398022</v>
      </c>
      <c r="E3" s="36">
        <v>22225.235594302023</v>
      </c>
      <c r="F3" s="36">
        <v>24051.39522613414</v>
      </c>
      <c r="G3" s="36">
        <v>22898.897314328846</v>
      </c>
      <c r="H3" s="36">
        <v>23889.250339522267</v>
      </c>
      <c r="I3" s="36">
        <v>23714.649917308139</v>
      </c>
      <c r="J3" s="36">
        <v>22355.335867352085</v>
      </c>
      <c r="K3" s="36">
        <v>23361.335039109887</v>
      </c>
      <c r="L3" s="36">
        <v>23314.793467246833</v>
      </c>
      <c r="M3" s="36">
        <v>25681.366260442432</v>
      </c>
    </row>
    <row r="4" spans="1:13" x14ac:dyDescent="0.25">
      <c r="A4">
        <v>1998</v>
      </c>
      <c r="B4" s="36">
        <v>22056.769465842826</v>
      </c>
      <c r="C4" s="36">
        <v>20533.076718215631</v>
      </c>
      <c r="D4" s="36">
        <v>22417.43485653622</v>
      </c>
      <c r="E4" s="36">
        <v>22747.234291356024</v>
      </c>
      <c r="F4" s="36">
        <v>23800.558761011689</v>
      </c>
      <c r="G4" s="36">
        <v>23126.400704659591</v>
      </c>
      <c r="H4" s="36">
        <v>24140.889664896909</v>
      </c>
      <c r="I4" s="36">
        <v>23560.868241009288</v>
      </c>
      <c r="J4" s="36">
        <v>22709.111716438194</v>
      </c>
      <c r="K4" s="36">
        <v>23601.397688933983</v>
      </c>
      <c r="L4" s="36">
        <v>23349.212063065825</v>
      </c>
      <c r="M4" s="36">
        <v>26512.420828033853</v>
      </c>
    </row>
    <row r="5" spans="1:13" x14ac:dyDescent="0.25">
      <c r="A5">
        <v>1999</v>
      </c>
      <c r="B5" s="36">
        <v>22389.008986934539</v>
      </c>
      <c r="C5" s="36">
        <v>21182.697446353246</v>
      </c>
      <c r="D5" s="36">
        <v>23626.459827579027</v>
      </c>
      <c r="E5" s="36">
        <v>23264.541000363388</v>
      </c>
      <c r="F5" s="36">
        <v>24476.836058713383</v>
      </c>
      <c r="G5" s="36">
        <v>23860.385730408136</v>
      </c>
      <c r="H5" s="36">
        <v>24956.359146007871</v>
      </c>
      <c r="I5" s="36">
        <v>24110.75583613343</v>
      </c>
      <c r="J5" s="36">
        <v>23707.904069777931</v>
      </c>
      <c r="K5" s="36">
        <v>24071.900859981361</v>
      </c>
      <c r="L5" s="36">
        <v>24211.883205292506</v>
      </c>
      <c r="M5" s="36">
        <v>28464.017832455174</v>
      </c>
    </row>
    <row r="6" spans="1:13" x14ac:dyDescent="0.25">
      <c r="A6">
        <v>2000</v>
      </c>
      <c r="B6" s="36">
        <v>22494.397248056383</v>
      </c>
      <c r="C6" s="36">
        <v>22325.656281986001</v>
      </c>
      <c r="D6" s="36">
        <v>24322.16928274394</v>
      </c>
      <c r="E6" s="36">
        <v>23938.015578615963</v>
      </c>
      <c r="F6" s="36">
        <v>24796.487504390021</v>
      </c>
      <c r="G6" s="36">
        <v>24814.534034241049</v>
      </c>
      <c r="H6" s="36">
        <v>24862.126256614993</v>
      </c>
      <c r="I6" s="36">
        <v>24808.30925940055</v>
      </c>
      <c r="J6" s="36">
        <v>24099.806323593184</v>
      </c>
      <c r="K6" s="36">
        <v>24309.184493471679</v>
      </c>
      <c r="L6" s="36">
        <v>25202.427740046402</v>
      </c>
      <c r="M6" s="36">
        <v>28325.760996839883</v>
      </c>
    </row>
    <row r="7" spans="1:13" x14ac:dyDescent="0.25">
      <c r="A7">
        <v>2001</v>
      </c>
      <c r="B7" s="36">
        <v>23663.860578543939</v>
      </c>
      <c r="C7" s="36">
        <v>22424.296149643291</v>
      </c>
      <c r="D7" s="36">
        <v>24756.646382822099</v>
      </c>
      <c r="E7" s="36">
        <v>24121.097003738309</v>
      </c>
      <c r="F7" s="36">
        <v>25597.627291777888</v>
      </c>
      <c r="G7" s="36">
        <v>24978.551915922686</v>
      </c>
      <c r="H7" s="36">
        <v>24829.758608120756</v>
      </c>
      <c r="I7" s="36">
        <v>25358.775900121538</v>
      </c>
      <c r="J7" s="36">
        <v>24086.17108283762</v>
      </c>
      <c r="K7" s="36">
        <v>24559.61688240679</v>
      </c>
      <c r="L7" s="36">
        <v>25342.3687204991</v>
      </c>
      <c r="M7" s="36">
        <v>28200.01073356604</v>
      </c>
    </row>
    <row r="8" spans="1:13" x14ac:dyDescent="0.25">
      <c r="A8">
        <v>2002</v>
      </c>
      <c r="B8" s="36">
        <v>23593.558156740532</v>
      </c>
      <c r="C8" s="36">
        <v>22340.641664761908</v>
      </c>
      <c r="D8" s="36">
        <v>25101.694042818297</v>
      </c>
      <c r="E8" s="36">
        <v>23516.051373345726</v>
      </c>
      <c r="F8" s="36">
        <v>25846.664453624773</v>
      </c>
      <c r="G8" s="36">
        <v>24907.686383978253</v>
      </c>
      <c r="H8" s="36">
        <v>25362.399157947442</v>
      </c>
      <c r="I8" s="36">
        <v>25751.154535554862</v>
      </c>
      <c r="J8" s="36">
        <v>23846.497677506537</v>
      </c>
      <c r="K8" s="36">
        <v>25089.866169364628</v>
      </c>
      <c r="L8" s="36">
        <v>25989.79159932887</v>
      </c>
      <c r="M8" s="36">
        <v>28147.276035028161</v>
      </c>
    </row>
    <row r="9" spans="1:13" x14ac:dyDescent="0.25">
      <c r="A9">
        <v>2003</v>
      </c>
      <c r="B9" s="36">
        <v>24789.86361586424</v>
      </c>
      <c r="C9" s="36">
        <v>23230.790128683315</v>
      </c>
      <c r="D9" s="36">
        <v>25271.692597860536</v>
      </c>
      <c r="E9" s="36">
        <v>24890.965590695898</v>
      </c>
      <c r="F9" s="36">
        <v>26326.46137763666</v>
      </c>
      <c r="G9" s="36">
        <v>24996.652428823192</v>
      </c>
      <c r="H9" s="36">
        <v>26028.592036731676</v>
      </c>
      <c r="I9" s="36">
        <v>26122.375486487654</v>
      </c>
      <c r="J9" s="36">
        <v>24471.972940127955</v>
      </c>
      <c r="K9" s="36">
        <v>25453.576765271315</v>
      </c>
      <c r="L9" s="36">
        <v>25751.320222638598</v>
      </c>
      <c r="M9" s="36">
        <v>28273.705559179001</v>
      </c>
    </row>
    <row r="10" spans="1:13" x14ac:dyDescent="0.25">
      <c r="A10">
        <v>2004</v>
      </c>
      <c r="B10" s="36">
        <v>25088.937424118707</v>
      </c>
      <c r="C10" s="36">
        <v>23857.366313909839</v>
      </c>
      <c r="D10" s="36">
        <v>25258.692426311485</v>
      </c>
      <c r="E10" s="36">
        <v>25343.67993721582</v>
      </c>
      <c r="F10" s="36">
        <v>26273.770604101479</v>
      </c>
      <c r="G10" s="36">
        <v>25337.62644505631</v>
      </c>
      <c r="H10" s="36">
        <v>26301.910700011598</v>
      </c>
      <c r="I10" s="36">
        <v>25644.557658647445</v>
      </c>
      <c r="J10" s="36">
        <v>25206.218679233625</v>
      </c>
      <c r="K10" s="36">
        <v>25948.934351358155</v>
      </c>
      <c r="L10" s="36">
        <v>26323.596762442605</v>
      </c>
      <c r="M10" s="36">
        <v>29901.646197592934</v>
      </c>
    </row>
    <row r="11" spans="1:13" x14ac:dyDescent="0.25">
      <c r="A11">
        <v>2005</v>
      </c>
      <c r="B11" s="36">
        <v>25306.858875331527</v>
      </c>
      <c r="C11" s="36">
        <v>24056.211907779892</v>
      </c>
      <c r="D11" s="36">
        <v>26798.783486882312</v>
      </c>
      <c r="E11" s="36">
        <v>25756.687285552838</v>
      </c>
      <c r="F11" s="36">
        <v>26894.728301297728</v>
      </c>
      <c r="G11" s="36">
        <v>26768.960496381897</v>
      </c>
      <c r="H11" s="36">
        <v>27280.005647884951</v>
      </c>
      <c r="I11" s="36">
        <v>27237.494562037351</v>
      </c>
      <c r="J11" s="36">
        <v>26532.971469643457</v>
      </c>
      <c r="K11" s="36">
        <v>27160.903164892923</v>
      </c>
      <c r="L11" s="36">
        <v>27515.957856779609</v>
      </c>
      <c r="M11" s="36">
        <v>31229.530695535545</v>
      </c>
    </row>
    <row r="12" spans="1:13" x14ac:dyDescent="0.25">
      <c r="A12">
        <v>2006</v>
      </c>
      <c r="B12" s="36">
        <v>25717.197985078234</v>
      </c>
      <c r="C12" s="36">
        <v>24860.254971323433</v>
      </c>
      <c r="D12" s="36">
        <v>27221.805309427506</v>
      </c>
      <c r="E12" s="36">
        <v>27086.980611869159</v>
      </c>
      <c r="F12" s="36">
        <v>28418.298048247132</v>
      </c>
      <c r="G12" s="36">
        <v>27873.327565297775</v>
      </c>
      <c r="H12" s="36">
        <v>28136.697890703348</v>
      </c>
      <c r="I12" s="36">
        <v>28283.170546338944</v>
      </c>
      <c r="J12" s="36">
        <v>26797.210393089739</v>
      </c>
      <c r="K12" s="36">
        <v>27271.674856453661</v>
      </c>
      <c r="L12" s="36">
        <v>28332.907926344436</v>
      </c>
      <c r="M12" s="36">
        <v>32125.348895826621</v>
      </c>
    </row>
    <row r="13" spans="1:13" x14ac:dyDescent="0.25">
      <c r="A13">
        <v>2007</v>
      </c>
      <c r="B13" s="36">
        <v>26834.400993653784</v>
      </c>
      <c r="C13" s="36">
        <v>25428.987816067936</v>
      </c>
      <c r="D13" s="36">
        <v>27982.701403057814</v>
      </c>
      <c r="E13" s="36">
        <v>26932.786940229249</v>
      </c>
      <c r="F13" s="36">
        <v>28703.294036597006</v>
      </c>
      <c r="G13" s="36">
        <v>28077.34560775532</v>
      </c>
      <c r="H13" s="36">
        <v>28006.418126243338</v>
      </c>
      <c r="I13" s="36">
        <v>28341.083052564991</v>
      </c>
      <c r="J13" s="36">
        <v>26757.482855990849</v>
      </c>
      <c r="K13" s="36">
        <v>27447.836582382501</v>
      </c>
      <c r="L13" s="36">
        <v>28732.711521934751</v>
      </c>
      <c r="M13" s="36">
        <v>32048.263563522516</v>
      </c>
    </row>
    <row r="14" spans="1:13" x14ac:dyDescent="0.25">
      <c r="A14">
        <v>2008</v>
      </c>
      <c r="B14" s="36">
        <v>26954.828735366678</v>
      </c>
      <c r="C14" s="36">
        <v>26253.074858237931</v>
      </c>
      <c r="D14" s="36">
        <v>28072.501550567566</v>
      </c>
      <c r="E14" s="36">
        <v>26662.682901745229</v>
      </c>
      <c r="F14" s="36">
        <v>29068.689902425471</v>
      </c>
      <c r="G14" s="36">
        <v>27689.999418735904</v>
      </c>
      <c r="H14" s="36">
        <v>28083.62496726419</v>
      </c>
      <c r="I14" s="36">
        <v>27937.574865106963</v>
      </c>
      <c r="J14" s="36">
        <v>25842.350344573311</v>
      </c>
      <c r="K14" s="36">
        <v>26643.408123975198</v>
      </c>
      <c r="L14" s="36">
        <v>26852.565080257547</v>
      </c>
      <c r="M14" s="36">
        <v>29207.605501744023</v>
      </c>
    </row>
    <row r="15" spans="1:13" x14ac:dyDescent="0.25">
      <c r="A15">
        <v>2009</v>
      </c>
      <c r="B15" s="36">
        <v>25652.675915988744</v>
      </c>
      <c r="C15" s="36">
        <v>23886.338272718127</v>
      </c>
      <c r="D15" s="36">
        <v>25672.210482285369</v>
      </c>
      <c r="E15" s="36">
        <v>25955.080448059754</v>
      </c>
      <c r="F15" s="36">
        <v>27570.109294004196</v>
      </c>
      <c r="G15" s="36">
        <v>26578.796676245191</v>
      </c>
      <c r="H15" s="36">
        <v>27410.005990187001</v>
      </c>
      <c r="I15" s="36">
        <v>27221.202123877927</v>
      </c>
      <c r="J15" s="36">
        <v>26004.465919739701</v>
      </c>
      <c r="K15" s="36">
        <v>27247.057955402826</v>
      </c>
      <c r="L15" s="36">
        <v>27562.288407898479</v>
      </c>
      <c r="M15" s="36">
        <v>30972.83101359264</v>
      </c>
    </row>
    <row r="16" spans="1:13" x14ac:dyDescent="0.25">
      <c r="A16">
        <v>2010</v>
      </c>
      <c r="B16" s="36">
        <v>26448.195566852482</v>
      </c>
      <c r="C16" s="36">
        <v>25296.299096721184</v>
      </c>
      <c r="D16" s="36">
        <v>27321.292945603353</v>
      </c>
      <c r="E16" s="36">
        <v>26643.671943304045</v>
      </c>
      <c r="F16" s="36">
        <v>27980.692662831749</v>
      </c>
      <c r="G16" s="36">
        <v>27029.469023984992</v>
      </c>
      <c r="H16" s="36">
        <v>27813.645767079161</v>
      </c>
      <c r="I16" s="36">
        <v>27370.584773998056</v>
      </c>
      <c r="J16" s="36">
        <v>26419.787077291789</v>
      </c>
      <c r="K16" s="36">
        <v>27298.63486159149</v>
      </c>
      <c r="L16" s="36">
        <v>28031.719019467222</v>
      </c>
      <c r="M16" s="36">
        <v>31431.819761274484</v>
      </c>
    </row>
    <row r="17" spans="1:13" x14ac:dyDescent="0.25">
      <c r="A17">
        <v>2011</v>
      </c>
      <c r="B17" s="36">
        <v>26672.819280405169</v>
      </c>
      <c r="C17" s="36">
        <v>25377.47086464426</v>
      </c>
      <c r="D17" s="36">
        <v>27417.750639801157</v>
      </c>
      <c r="E17" s="36">
        <v>27569.36548665748</v>
      </c>
      <c r="F17" s="36">
        <v>27949.868892956441</v>
      </c>
      <c r="G17" s="36">
        <v>27596.097745428</v>
      </c>
      <c r="H17" s="36">
        <v>27960.393339945025</v>
      </c>
      <c r="I17" s="36">
        <v>27625.286842960966</v>
      </c>
      <c r="J17" s="36">
        <v>26387.921892338007</v>
      </c>
      <c r="K17" s="36">
        <v>27110.411675987405</v>
      </c>
      <c r="L17" s="36">
        <v>27902.783083938921</v>
      </c>
      <c r="M17" s="36">
        <v>30998.580254937206</v>
      </c>
    </row>
    <row r="18" spans="1:13" x14ac:dyDescent="0.25">
      <c r="A18">
        <v>2012</v>
      </c>
      <c r="B18" s="36">
        <v>26125.981247393855</v>
      </c>
      <c r="C18" s="36">
        <v>26202.782982716686</v>
      </c>
      <c r="D18" s="36">
        <v>28028.134442350292</v>
      </c>
      <c r="E18" s="36">
        <v>26985.288203885182</v>
      </c>
      <c r="F18" s="36">
        <v>28450.386643269154</v>
      </c>
      <c r="G18" s="36">
        <v>27724.571482162322</v>
      </c>
      <c r="H18" s="36">
        <v>27696.087523109942</v>
      </c>
      <c r="I18" s="36">
        <v>28328.360740864184</v>
      </c>
      <c r="J18" s="36">
        <v>26872.71246828157</v>
      </c>
      <c r="K18" s="36">
        <v>27634.671527352199</v>
      </c>
      <c r="L18" s="36">
        <v>28454.239316255731</v>
      </c>
      <c r="M18" s="36">
        <v>31006.314672358945</v>
      </c>
    </row>
    <row r="19" spans="1:13" x14ac:dyDescent="0.25">
      <c r="A19">
        <v>2013</v>
      </c>
      <c r="B19" s="36">
        <v>26769.556920792918</v>
      </c>
      <c r="C19" s="36">
        <v>25784.548665441587</v>
      </c>
      <c r="D19" s="36">
        <v>28677.770990347773</v>
      </c>
      <c r="E19" s="36">
        <v>26569.03446434435</v>
      </c>
      <c r="F19" s="36">
        <v>28918.917524173612</v>
      </c>
      <c r="G19" s="36">
        <v>27935.832431420476</v>
      </c>
      <c r="H19" s="36">
        <v>28291.015148121554</v>
      </c>
      <c r="I19" s="36">
        <v>28797.827013526992</v>
      </c>
      <c r="J19" s="36">
        <v>26893.237538626847</v>
      </c>
      <c r="K19" s="36">
        <v>28064.963638489633</v>
      </c>
      <c r="L19" s="36">
        <v>29137.817437149486</v>
      </c>
      <c r="M19" s="36">
        <v>31573.571977564774</v>
      </c>
    </row>
    <row r="20" spans="1:13" x14ac:dyDescent="0.25">
      <c r="A20">
        <v>2014</v>
      </c>
      <c r="B20" s="36">
        <v>27793.412268088607</v>
      </c>
      <c r="C20" s="36">
        <v>26195.904369637534</v>
      </c>
      <c r="D20" s="36">
        <v>28383.874214822044</v>
      </c>
      <c r="E20" s="36">
        <v>27942.165727552736</v>
      </c>
      <c r="F20" s="36">
        <v>29525.520392292303</v>
      </c>
      <c r="G20" s="36">
        <v>28263.899238348513</v>
      </c>
      <c r="H20" s="36">
        <v>28949.950480761065</v>
      </c>
      <c r="I20" s="36">
        <v>29194.541505150602</v>
      </c>
      <c r="J20" s="36">
        <v>27319.014407477091</v>
      </c>
      <c r="K20" s="36">
        <v>28658.858884287405</v>
      </c>
      <c r="L20" s="36">
        <v>29293.476046604585</v>
      </c>
      <c r="M20" s="36">
        <v>31656.569964977509</v>
      </c>
    </row>
    <row r="21" spans="1:13" x14ac:dyDescent="0.25">
      <c r="A21">
        <v>2015</v>
      </c>
      <c r="B21" s="36">
        <v>28439.265375394261</v>
      </c>
      <c r="C21" s="36">
        <v>26663.287206874604</v>
      </c>
      <c r="D21" s="36">
        <v>29219.771709845965</v>
      </c>
      <c r="E21" s="36">
        <v>28494.422173524701</v>
      </c>
      <c r="F21" s="36">
        <v>30378.011503710757</v>
      </c>
      <c r="G21" s="36">
        <v>29133.846187218965</v>
      </c>
      <c r="H21" s="36">
        <v>30012.324648817063</v>
      </c>
      <c r="I21" s="36">
        <v>29630.136227653489</v>
      </c>
      <c r="J21" s="36">
        <v>28088.041286312389</v>
      </c>
      <c r="K21" s="36">
        <v>29269.519480821171</v>
      </c>
      <c r="L21" s="36">
        <v>29655.897849257653</v>
      </c>
      <c r="M21" s="36">
        <v>32869.632600568963</v>
      </c>
    </row>
    <row r="22" spans="1:13" x14ac:dyDescent="0.25">
      <c r="A22">
        <v>2016</v>
      </c>
      <c r="B22" s="36">
        <v>28529.505092090942</v>
      </c>
      <c r="C22" s="36">
        <v>27587.262517690251</v>
      </c>
      <c r="D22" s="36">
        <v>29870.023431447127</v>
      </c>
      <c r="E22" s="36">
        <v>28824.711827640302</v>
      </c>
      <c r="F22" s="36">
        <v>30482.28948396441</v>
      </c>
      <c r="G22" s="36">
        <v>30167.597053858455</v>
      </c>
      <c r="H22" s="36">
        <v>30596.78283351057</v>
      </c>
      <c r="I22" s="36">
        <v>30316.84958384126</v>
      </c>
      <c r="J22" s="36">
        <v>29276.845787446404</v>
      </c>
      <c r="K22" s="36">
        <v>30334.806989713343</v>
      </c>
      <c r="L22" s="36">
        <v>31146.329851240396</v>
      </c>
      <c r="M22" s="36">
        <v>34836.526797556522</v>
      </c>
    </row>
    <row r="23" spans="1:13" x14ac:dyDescent="0.25">
      <c r="A23">
        <v>2017</v>
      </c>
      <c r="B23" s="36">
        <v>29672.306336335292</v>
      </c>
      <c r="C23" s="36">
        <v>28260.937787882547</v>
      </c>
      <c r="D23" s="36">
        <v>31073.955920298649</v>
      </c>
      <c r="E23" s="36">
        <v>30598.172713382955</v>
      </c>
      <c r="F23" s="36">
        <v>31748.196458684848</v>
      </c>
      <c r="G23" s="36">
        <v>31141.990453973998</v>
      </c>
      <c r="H23" s="36">
        <v>31316.155043134691</v>
      </c>
      <c r="I23" s="36">
        <v>31635.316582932672</v>
      </c>
      <c r="J23" s="36">
        <v>30758.086551062919</v>
      </c>
      <c r="K23" s="36">
        <v>31264.857496177665</v>
      </c>
      <c r="L23" s="36">
        <v>32693.349435479649</v>
      </c>
      <c r="M23" s="36">
        <v>36231.987720654048</v>
      </c>
    </row>
    <row r="24" spans="1:13" x14ac:dyDescent="0.25">
      <c r="A24">
        <v>2018</v>
      </c>
      <c r="B24" s="36">
        <v>30671.076134309456</v>
      </c>
      <c r="C24" s="36">
        <v>29122.62968954067</v>
      </c>
      <c r="D24" s="36">
        <v>32992.628835545926</v>
      </c>
      <c r="E24" s="36">
        <v>30569.385435911398</v>
      </c>
      <c r="F24" s="36">
        <v>33223.503240901431</v>
      </c>
      <c r="G24" s="36">
        <v>32395.95732463375</v>
      </c>
      <c r="H24" s="36">
        <v>32462.294163873135</v>
      </c>
      <c r="I24" s="36">
        <v>32970.320980581178</v>
      </c>
      <c r="J24" s="36">
        <v>31329.528297989254</v>
      </c>
      <c r="K24" s="36">
        <v>32491.453411457649</v>
      </c>
      <c r="L24" s="36">
        <v>33734.953089293223</v>
      </c>
      <c r="M24" s="36">
        <v>36225.456895962918</v>
      </c>
    </row>
    <row r="25" spans="1:13" x14ac:dyDescent="0.25">
      <c r="A25">
        <v>2019</v>
      </c>
      <c r="B25" s="36">
        <v>31699.132228939954</v>
      </c>
      <c r="C25" s="36">
        <v>29077.775738610384</v>
      </c>
      <c r="D25" s="36">
        <v>32634.073525918924</v>
      </c>
      <c r="E25" s="36">
        <v>32094.291425471478</v>
      </c>
      <c r="F25" s="36">
        <v>34063.304952439699</v>
      </c>
      <c r="G25" s="36">
        <v>33052.805841248548</v>
      </c>
      <c r="H25" s="36">
        <v>33753.505220486666</v>
      </c>
      <c r="I25" s="36">
        <v>34366.396841675487</v>
      </c>
      <c r="J25" s="36">
        <v>31776.805487807756</v>
      </c>
      <c r="K25" s="36">
        <v>33273.802194374039</v>
      </c>
      <c r="L25" s="36">
        <v>34508.428884562039</v>
      </c>
      <c r="M25" s="36">
        <v>36890.146408464985</v>
      </c>
    </row>
    <row r="26" spans="1:13" x14ac:dyDescent="0.25">
      <c r="A26">
        <v>2020</v>
      </c>
      <c r="B26" s="36">
        <v>32287.806065023695</v>
      </c>
      <c r="C26" s="36">
        <v>31042.186973104042</v>
      </c>
      <c r="D26" s="36">
        <v>38893.415058175633</v>
      </c>
      <c r="E26" s="36">
        <v>33005.261943485486</v>
      </c>
      <c r="F26" s="36">
        <v>35265.100615128773</v>
      </c>
      <c r="G26" s="36">
        <v>33467.089602865897</v>
      </c>
      <c r="H26" s="36">
        <v>35063.466538395849</v>
      </c>
      <c r="I26" s="36">
        <v>34317.388173426982</v>
      </c>
      <c r="J26" s="36">
        <v>32958.29534293725</v>
      </c>
      <c r="K26" s="36">
        <v>34351.53729498895</v>
      </c>
      <c r="L26" s="36">
        <v>34767.349163631661</v>
      </c>
      <c r="M26" s="36">
        <v>37366.353228835804</v>
      </c>
    </row>
    <row r="27" spans="1:13" x14ac:dyDescent="0.25">
      <c r="A27">
        <v>2021</v>
      </c>
      <c r="B27" s="37">
        <v>34525.217334974761</v>
      </c>
      <c r="C27" s="37">
        <v>31476.529700093048</v>
      </c>
      <c r="D27" s="37">
        <v>36350.036360784572</v>
      </c>
      <c r="E27" s="37">
        <v>35013.505834331307</v>
      </c>
      <c r="F27" s="37">
        <v>36623.521825841308</v>
      </c>
      <c r="G27" s="37">
        <v>35650.433253832431</v>
      </c>
      <c r="H27" s="37">
        <v>36189.164514571385</v>
      </c>
      <c r="I27" s="37">
        <v>36099.718696993004</v>
      </c>
      <c r="J27" s="37">
        <v>34461.315444463951</v>
      </c>
      <c r="K27" s="37">
        <v>36068.358927840163</v>
      </c>
      <c r="L27" s="37">
        <v>36822.972338564323</v>
      </c>
      <c r="M27" s="37">
        <v>39812.382017709693</v>
      </c>
    </row>
    <row r="28" spans="1:13" x14ac:dyDescent="0.25">
      <c r="A28">
        <v>2022</v>
      </c>
      <c r="B28" s="37">
        <v>34200.037974763181</v>
      </c>
      <c r="C28" s="37">
        <v>31212.768248385521</v>
      </c>
      <c r="D28" s="37">
        <v>34839.787732273398</v>
      </c>
      <c r="E28" s="37">
        <v>34016.794783078731</v>
      </c>
      <c r="F28" s="37">
        <v>35206.213591087057</v>
      </c>
      <c r="G28" s="37">
        <v>34839.848729453253</v>
      </c>
      <c r="H28" s="37">
        <v>34836.335093814872</v>
      </c>
      <c r="I28" s="37">
        <v>34342.474057272622</v>
      </c>
      <c r="J28" s="37">
        <v>32925.102232493533</v>
      </c>
      <c r="K28" s="37">
        <v>34248.102432253851</v>
      </c>
      <c r="L28" s="37">
        <v>35402.98167219646</v>
      </c>
      <c r="M28" s="37">
        <v>38528.52539330993</v>
      </c>
    </row>
    <row r="29" spans="1:13" x14ac:dyDescent="0.25">
      <c r="A29">
        <v>2023</v>
      </c>
      <c r="B29" s="38">
        <v>38080.766556755727</v>
      </c>
      <c r="C29" s="38">
        <v>37720.272291469242</v>
      </c>
      <c r="D29" s="38">
        <v>38144.426696064023</v>
      </c>
      <c r="E29" s="38">
        <v>38314.021772141881</v>
      </c>
      <c r="F29" s="38">
        <v>37965.513175172266</v>
      </c>
      <c r="G29" s="38">
        <v>37568.560333576272</v>
      </c>
      <c r="H29" s="38">
        <v>37453.553328187874</v>
      </c>
      <c r="I29" s="38">
        <v>37329.53848425371</v>
      </c>
      <c r="J29" s="38">
        <v>37283.930747681938</v>
      </c>
      <c r="K29" s="38">
        <v>37384.733817254411</v>
      </c>
      <c r="L29" s="38">
        <v>38062.740911225847</v>
      </c>
      <c r="M29" s="38">
        <v>38419.983519010013</v>
      </c>
    </row>
    <row r="30" spans="1:13" x14ac:dyDescent="0.25">
      <c r="A30" t="s">
        <v>53</v>
      </c>
      <c r="B30" s="36">
        <f>AVERAGE(B24:B28)</f>
        <v>32676.653947602212</v>
      </c>
      <c r="C30" s="36">
        <f t="shared" ref="C30:M30" si="0">AVERAGE(C24:C28)</f>
        <v>30386.378069946735</v>
      </c>
      <c r="D30" s="36">
        <f t="shared" si="0"/>
        <v>35141.988302539692</v>
      </c>
      <c r="E30" s="36">
        <f t="shared" si="0"/>
        <v>32939.847884455681</v>
      </c>
      <c r="F30" s="36">
        <f t="shared" si="0"/>
        <v>34876.328845079654</v>
      </c>
      <c r="G30" s="36">
        <f t="shared" si="0"/>
        <v>33881.226950406774</v>
      </c>
      <c r="H30" s="36">
        <f t="shared" si="0"/>
        <v>34460.953106228379</v>
      </c>
      <c r="I30" s="36">
        <f t="shared" si="0"/>
        <v>34419.259749989855</v>
      </c>
      <c r="J30" s="36">
        <f t="shared" si="0"/>
        <v>32690.209361138346</v>
      </c>
      <c r="K30" s="36">
        <f t="shared" si="0"/>
        <v>34086.650852182931</v>
      </c>
      <c r="L30" s="36">
        <f t="shared" si="0"/>
        <v>35047.337029649541</v>
      </c>
      <c r="M30" s="36">
        <f t="shared" si="0"/>
        <v>37764.572788856669</v>
      </c>
    </row>
    <row r="31" spans="1:13" x14ac:dyDescent="0.25">
      <c r="A31" t="s">
        <v>54</v>
      </c>
      <c r="B31" s="36">
        <f>MAX(B24:B28)</f>
        <v>34525.217334974761</v>
      </c>
      <c r="C31" s="36">
        <f t="shared" ref="C31:M31" si="1">MAX(C24:C28)</f>
        <v>31476.529700093048</v>
      </c>
      <c r="D31" s="36">
        <f t="shared" si="1"/>
        <v>38893.415058175633</v>
      </c>
      <c r="E31" s="36">
        <f t="shared" si="1"/>
        <v>35013.505834331307</v>
      </c>
      <c r="F31" s="36">
        <f t="shared" si="1"/>
        <v>36623.521825841308</v>
      </c>
      <c r="G31" s="36">
        <f t="shared" si="1"/>
        <v>35650.433253832431</v>
      </c>
      <c r="H31" s="36">
        <f t="shared" si="1"/>
        <v>36189.164514571385</v>
      </c>
      <c r="I31" s="36">
        <f t="shared" si="1"/>
        <v>36099.718696993004</v>
      </c>
      <c r="J31" s="36">
        <f t="shared" si="1"/>
        <v>34461.315444463951</v>
      </c>
      <c r="K31" s="36">
        <f t="shared" si="1"/>
        <v>36068.358927840163</v>
      </c>
      <c r="L31" s="36">
        <f t="shared" si="1"/>
        <v>36822.972338564323</v>
      </c>
      <c r="M31" s="36">
        <f t="shared" si="1"/>
        <v>39812.382017709693</v>
      </c>
    </row>
    <row r="32" spans="1:13" x14ac:dyDescent="0.25">
      <c r="A32" t="s">
        <v>55</v>
      </c>
      <c r="B32" s="36">
        <f>MIN(B24:B28)</f>
        <v>30671.076134309456</v>
      </c>
      <c r="C32" s="36">
        <f t="shared" ref="C32:M32" si="2">MIN(C24:C28)</f>
        <v>29077.775738610384</v>
      </c>
      <c r="D32" s="36">
        <f t="shared" si="2"/>
        <v>32634.073525918924</v>
      </c>
      <c r="E32" s="36">
        <f t="shared" si="2"/>
        <v>30569.385435911398</v>
      </c>
      <c r="F32" s="36">
        <f t="shared" si="2"/>
        <v>33223.503240901431</v>
      </c>
      <c r="G32" s="36">
        <f t="shared" si="2"/>
        <v>32395.95732463375</v>
      </c>
      <c r="H32" s="36">
        <f t="shared" si="2"/>
        <v>32462.294163873135</v>
      </c>
      <c r="I32" s="36">
        <f t="shared" si="2"/>
        <v>32970.320980581178</v>
      </c>
      <c r="J32" s="36">
        <f t="shared" si="2"/>
        <v>31329.528297989254</v>
      </c>
      <c r="K32" s="36">
        <f t="shared" si="2"/>
        <v>32491.453411457649</v>
      </c>
      <c r="L32" s="36">
        <f t="shared" si="2"/>
        <v>33734.953089293223</v>
      </c>
      <c r="M32" s="36">
        <f t="shared" si="2"/>
        <v>36225.456895962918</v>
      </c>
    </row>
    <row r="33" spans="1:13" x14ac:dyDescent="0.25">
      <c r="A33" t="s">
        <v>56</v>
      </c>
      <c r="B33" s="39">
        <f>(B29-B30)/B30</f>
        <v>0.16538145606398799</v>
      </c>
      <c r="C33" s="39">
        <f t="shared" ref="C33:M33" si="3">(C29-C30)/C30</f>
        <v>0.24135466901124364</v>
      </c>
      <c r="D33" s="39">
        <f t="shared" si="3"/>
        <v>8.5437351116167404E-2</v>
      </c>
      <c r="E33" s="39">
        <f t="shared" si="3"/>
        <v>0.16315114467247657</v>
      </c>
      <c r="F33" s="39">
        <f t="shared" si="3"/>
        <v>8.8575387157712085E-2</v>
      </c>
      <c r="G33" s="39">
        <f t="shared" si="3"/>
        <v>0.10883116448429647</v>
      </c>
      <c r="H33" s="39">
        <f t="shared" si="3"/>
        <v>8.6840320775069368E-2</v>
      </c>
      <c r="I33" s="39">
        <f t="shared" si="3"/>
        <v>8.4553786322052224E-2</v>
      </c>
      <c r="J33" s="39">
        <f t="shared" si="3"/>
        <v>0.14052285000060422</v>
      </c>
      <c r="K33" s="39">
        <f t="shared" si="3"/>
        <v>9.6755852587971966E-2</v>
      </c>
      <c r="L33" s="39">
        <f t="shared" si="3"/>
        <v>8.6038031335314208E-2</v>
      </c>
      <c r="M33" s="39">
        <f t="shared" si="3"/>
        <v>1.7355173956760301E-2</v>
      </c>
    </row>
    <row r="35" spans="1:13" x14ac:dyDescent="0.25">
      <c r="A35" t="s">
        <v>57</v>
      </c>
    </row>
    <row r="36" spans="1:13" x14ac:dyDescent="0.25">
      <c r="B36" s="35" t="str">
        <f>B2</f>
        <v>Jan</v>
      </c>
      <c r="C36" s="35" t="str">
        <f t="shared" ref="C36:M36" si="4">C2</f>
        <v>Feb</v>
      </c>
      <c r="D36" s="35" t="str">
        <f t="shared" si="4"/>
        <v>Mar</v>
      </c>
      <c r="E36" s="35" t="str">
        <f t="shared" si="4"/>
        <v>Apr</v>
      </c>
      <c r="F36" s="35" t="str">
        <f t="shared" si="4"/>
        <v>May</v>
      </c>
      <c r="G36" s="35" t="str">
        <f t="shared" si="4"/>
        <v>Jun</v>
      </c>
      <c r="H36" s="35" t="str">
        <f t="shared" si="4"/>
        <v>Jul</v>
      </c>
      <c r="I36" s="35" t="str">
        <f t="shared" si="4"/>
        <v>Aug</v>
      </c>
      <c r="J36" s="35" t="str">
        <f t="shared" si="4"/>
        <v>Sep</v>
      </c>
      <c r="K36" s="35" t="str">
        <f t="shared" si="4"/>
        <v>Oct</v>
      </c>
      <c r="L36" s="35" t="str">
        <f t="shared" si="4"/>
        <v>Nov</v>
      </c>
      <c r="M36" s="35" t="str">
        <f t="shared" si="4"/>
        <v>Dec</v>
      </c>
    </row>
    <row r="37" spans="1:13" x14ac:dyDescent="0.25">
      <c r="A37">
        <v>1997</v>
      </c>
      <c r="B37" s="36">
        <v>16833.029049847908</v>
      </c>
      <c r="C37" s="36">
        <v>16687.748558269937</v>
      </c>
      <c r="D37" s="36">
        <v>18461.604204612984</v>
      </c>
      <c r="E37" s="36">
        <v>18262.775491753</v>
      </c>
      <c r="F37" s="36">
        <v>19579.348954754209</v>
      </c>
      <c r="G37" s="36">
        <v>18995.714667509619</v>
      </c>
      <c r="H37" s="36">
        <v>19564.802926291359</v>
      </c>
      <c r="I37" s="36">
        <v>19978.138534957892</v>
      </c>
      <c r="J37" s="36">
        <v>18328.004814357453</v>
      </c>
      <c r="K37" s="36">
        <v>18804.233466150235</v>
      </c>
      <c r="L37" s="36">
        <v>17708.805239064335</v>
      </c>
      <c r="M37" s="36">
        <v>18465.044092431057</v>
      </c>
    </row>
    <row r="38" spans="1:13" x14ac:dyDescent="0.25">
      <c r="A38">
        <v>1998</v>
      </c>
      <c r="B38" s="36">
        <v>17349.566557228438</v>
      </c>
      <c r="C38" s="36">
        <v>17047.882539538081</v>
      </c>
      <c r="D38" s="36">
        <v>18764.336061364305</v>
      </c>
      <c r="E38" s="36">
        <v>18785.699987046944</v>
      </c>
      <c r="F38" s="36">
        <v>20055.174811982684</v>
      </c>
      <c r="G38" s="36">
        <v>19615.105907065779</v>
      </c>
      <c r="H38" s="36">
        <v>20013.269219183239</v>
      </c>
      <c r="I38" s="36">
        <v>20024.483098583667</v>
      </c>
      <c r="J38" s="36">
        <v>18681.762113029978</v>
      </c>
      <c r="K38" s="36">
        <v>19644.222171313966</v>
      </c>
      <c r="L38" s="36">
        <v>18339.136279822407</v>
      </c>
      <c r="M38" s="36">
        <v>19385.50187884047</v>
      </c>
    </row>
    <row r="39" spans="1:13" x14ac:dyDescent="0.25">
      <c r="A39">
        <v>1999</v>
      </c>
      <c r="B39" s="36">
        <v>17750.248249237036</v>
      </c>
      <c r="C39" s="36">
        <v>17603.994780142137</v>
      </c>
      <c r="D39" s="36">
        <v>19180.641094431867</v>
      </c>
      <c r="E39" s="36">
        <v>19492.80772899646</v>
      </c>
      <c r="F39" s="36">
        <v>20315.231521958729</v>
      </c>
      <c r="G39" s="36">
        <v>19983.958007863766</v>
      </c>
      <c r="H39" s="36">
        <v>20689.083197263342</v>
      </c>
      <c r="I39" s="36">
        <v>20285.117688139719</v>
      </c>
      <c r="J39" s="36">
        <v>19131.384444344952</v>
      </c>
      <c r="K39" s="36">
        <v>20173.92354030054</v>
      </c>
      <c r="L39" s="36">
        <v>18976.398940909705</v>
      </c>
      <c r="M39" s="36">
        <v>20087.585806411753</v>
      </c>
    </row>
    <row r="40" spans="1:13" x14ac:dyDescent="0.25">
      <c r="A40">
        <v>2000</v>
      </c>
      <c r="B40" s="36">
        <v>18590.579211273023</v>
      </c>
      <c r="C40" s="36">
        <v>19136.003730960772</v>
      </c>
      <c r="D40" s="36">
        <v>20807.107548641186</v>
      </c>
      <c r="E40" s="36">
        <v>20573.872540228804</v>
      </c>
      <c r="F40" s="36">
        <v>21187.726823390949</v>
      </c>
      <c r="G40" s="36">
        <v>21358.505247548524</v>
      </c>
      <c r="H40" s="36">
        <v>21643.635623775102</v>
      </c>
      <c r="I40" s="36">
        <v>21406.812009992336</v>
      </c>
      <c r="J40" s="36">
        <v>20554.566108912688</v>
      </c>
      <c r="K40" s="36">
        <v>20686.670356866671</v>
      </c>
      <c r="L40" s="36">
        <v>19705.954569963404</v>
      </c>
      <c r="M40" s="36">
        <v>20685.722478446562</v>
      </c>
    </row>
    <row r="41" spans="1:13" x14ac:dyDescent="0.25">
      <c r="A41">
        <v>2001</v>
      </c>
      <c r="B41" s="36">
        <v>19134.881741089746</v>
      </c>
      <c r="C41" s="36">
        <v>18926.32733497064</v>
      </c>
      <c r="D41" s="36">
        <v>21154.409466920242</v>
      </c>
      <c r="E41" s="36">
        <v>20425.431260522157</v>
      </c>
      <c r="F41" s="36">
        <v>21557.322694997085</v>
      </c>
      <c r="G41" s="36">
        <v>21715.633173246053</v>
      </c>
      <c r="H41" s="36">
        <v>21710.143197989641</v>
      </c>
      <c r="I41" s="36">
        <v>22085.64725826354</v>
      </c>
      <c r="J41" s="36">
        <v>20048.037177523231</v>
      </c>
      <c r="K41" s="36">
        <v>20443.331435887896</v>
      </c>
      <c r="L41" s="36">
        <v>19791.326194428861</v>
      </c>
      <c r="M41" s="36">
        <v>21224.134064160859</v>
      </c>
    </row>
    <row r="42" spans="1:13" x14ac:dyDescent="0.25">
      <c r="A42">
        <v>2002</v>
      </c>
      <c r="B42" s="36">
        <v>19381.390342502043</v>
      </c>
      <c r="C42" s="36">
        <v>19222.496709415176</v>
      </c>
      <c r="D42" s="36">
        <v>21459.608869141928</v>
      </c>
      <c r="E42" s="36">
        <v>21015.188291858722</v>
      </c>
      <c r="F42" s="36">
        <v>22039.508221380329</v>
      </c>
      <c r="G42" s="36">
        <v>21874.283999990374</v>
      </c>
      <c r="H42" s="36">
        <v>22032.994020076523</v>
      </c>
      <c r="I42" s="36">
        <v>22585.620026655677</v>
      </c>
      <c r="J42" s="36">
        <v>20507.432526573855</v>
      </c>
      <c r="K42" s="36">
        <v>20962.633706350152</v>
      </c>
      <c r="L42" s="36">
        <v>20498.380363438013</v>
      </c>
      <c r="M42" s="36">
        <v>21412.572297617182</v>
      </c>
    </row>
    <row r="43" spans="1:13" x14ac:dyDescent="0.25">
      <c r="A43">
        <v>2003</v>
      </c>
      <c r="B43" s="36">
        <v>19858.907212718583</v>
      </c>
      <c r="C43" s="36">
        <v>19411.259482011847</v>
      </c>
      <c r="D43" s="36">
        <v>21847.216087272478</v>
      </c>
      <c r="E43" s="36">
        <v>21293.369532350931</v>
      </c>
      <c r="F43" s="36">
        <v>23106.222607282802</v>
      </c>
      <c r="G43" s="36">
        <v>22434.852130479565</v>
      </c>
      <c r="H43" s="36">
        <v>23003.464833782262</v>
      </c>
      <c r="I43" s="36">
        <v>23683.267321488751</v>
      </c>
      <c r="J43" s="36">
        <v>21262.151854751231</v>
      </c>
      <c r="K43" s="36">
        <v>22255.106877260987</v>
      </c>
      <c r="L43" s="36">
        <v>21295.500263605256</v>
      </c>
      <c r="M43" s="36">
        <v>22157.478671995264</v>
      </c>
    </row>
    <row r="44" spans="1:13" x14ac:dyDescent="0.25">
      <c r="A44">
        <v>2004</v>
      </c>
      <c r="B44" s="36">
        <v>21172.744437865673</v>
      </c>
      <c r="C44" s="36">
        <v>21217.011617828299</v>
      </c>
      <c r="D44" s="36">
        <v>22840.623873527042</v>
      </c>
      <c r="E44" s="36">
        <v>22657.87452640527</v>
      </c>
      <c r="F44" s="36">
        <v>23524.898992502425</v>
      </c>
      <c r="G44" s="36">
        <v>23088.830728542096</v>
      </c>
      <c r="H44" s="36">
        <v>24165.00889230362</v>
      </c>
      <c r="I44" s="36">
        <v>23426.797351197452</v>
      </c>
      <c r="J44" s="36">
        <v>22117.368697862406</v>
      </c>
      <c r="K44" s="36">
        <v>23123.52682171917</v>
      </c>
      <c r="L44" s="36">
        <v>21719.249627610989</v>
      </c>
      <c r="M44" s="36">
        <v>23479.564432635521</v>
      </c>
    </row>
    <row r="45" spans="1:13" x14ac:dyDescent="0.25">
      <c r="A45">
        <v>2005</v>
      </c>
      <c r="B45" s="36">
        <v>21371.236762149132</v>
      </c>
      <c r="C45" s="36">
        <v>21260.516363256382</v>
      </c>
      <c r="D45" s="36">
        <v>23266.218013689449</v>
      </c>
      <c r="E45" s="36">
        <v>23701.851525687118</v>
      </c>
      <c r="F45" s="36">
        <v>24101.740118513531</v>
      </c>
      <c r="G45" s="36">
        <v>23864.961536187606</v>
      </c>
      <c r="H45" s="36">
        <v>24727.278728130139</v>
      </c>
      <c r="I45" s="36">
        <v>24250.459606002016</v>
      </c>
      <c r="J45" s="36">
        <v>23033.32849095884</v>
      </c>
      <c r="K45" s="36">
        <v>23632.257919458782</v>
      </c>
      <c r="L45" s="36">
        <v>22461.533865087051</v>
      </c>
      <c r="M45" s="36">
        <v>24275.89832087998</v>
      </c>
    </row>
    <row r="46" spans="1:13" x14ac:dyDescent="0.25">
      <c r="A46">
        <v>2006</v>
      </c>
      <c r="B46" s="36">
        <v>22524.394547944732</v>
      </c>
      <c r="C46" s="36">
        <v>21917.016744067332</v>
      </c>
      <c r="D46" s="36">
        <v>24546.312089780688</v>
      </c>
      <c r="E46" s="36">
        <v>24112.977773811595</v>
      </c>
      <c r="F46" s="36">
        <v>24807.663761409425</v>
      </c>
      <c r="G46" s="36">
        <v>24639.606646986918</v>
      </c>
      <c r="H46" s="36">
        <v>24939.076692928116</v>
      </c>
      <c r="I46" s="36">
        <v>25057.197529493144</v>
      </c>
      <c r="J46" s="36">
        <v>23983.889980131997</v>
      </c>
      <c r="K46" s="36">
        <v>24117.460014628221</v>
      </c>
      <c r="L46" s="36">
        <v>22943.031399078238</v>
      </c>
      <c r="M46" s="36">
        <v>25381.091569739598</v>
      </c>
    </row>
    <row r="47" spans="1:13" x14ac:dyDescent="0.25">
      <c r="A47">
        <v>2007</v>
      </c>
      <c r="B47" s="36">
        <v>22710.497146210717</v>
      </c>
      <c r="C47" s="36">
        <v>22284.18474252673</v>
      </c>
      <c r="D47" s="36">
        <v>25410.326491689317</v>
      </c>
      <c r="E47" s="36">
        <v>24357.687185023096</v>
      </c>
      <c r="F47" s="36">
        <v>25536.089987177129</v>
      </c>
      <c r="G47" s="36">
        <v>25621.784478515659</v>
      </c>
      <c r="H47" s="36">
        <v>25520.674119486062</v>
      </c>
      <c r="I47" s="36">
        <v>25675.616303459559</v>
      </c>
      <c r="J47" s="36">
        <v>24008.940639584594</v>
      </c>
      <c r="K47" s="36">
        <v>24485.737073756176</v>
      </c>
      <c r="L47" s="36">
        <v>23550.863221096686</v>
      </c>
      <c r="M47" s="36">
        <v>25166.411111474281</v>
      </c>
    </row>
    <row r="48" spans="1:13" x14ac:dyDescent="0.25">
      <c r="A48">
        <v>2008</v>
      </c>
      <c r="B48" s="36">
        <v>22871.835853204077</v>
      </c>
      <c r="C48" s="36">
        <v>23094.330464154104</v>
      </c>
      <c r="D48" s="36">
        <v>24694.16695840063</v>
      </c>
      <c r="E48" s="36">
        <v>24274.91914165004</v>
      </c>
      <c r="F48" s="36">
        <v>25947.841345676483</v>
      </c>
      <c r="G48" s="36">
        <v>24829.175793530361</v>
      </c>
      <c r="H48" s="36">
        <v>25157.473265068125</v>
      </c>
      <c r="I48" s="36">
        <v>25513.177273771642</v>
      </c>
      <c r="J48" s="36">
        <v>23298.518714255923</v>
      </c>
      <c r="K48" s="36">
        <v>23911.258975424389</v>
      </c>
      <c r="L48" s="36">
        <v>22581.420296275592</v>
      </c>
      <c r="M48" s="36">
        <v>23312.381918588631</v>
      </c>
    </row>
    <row r="49" spans="1:13" x14ac:dyDescent="0.25">
      <c r="A49">
        <v>2009</v>
      </c>
      <c r="B49" s="36">
        <v>22204.39409424318</v>
      </c>
      <c r="C49" s="36">
        <v>21353.536674639075</v>
      </c>
      <c r="D49" s="36">
        <v>23266.754489578718</v>
      </c>
      <c r="E49" s="36">
        <v>22916.153952028726</v>
      </c>
      <c r="F49" s="36">
        <v>24399.461810092824</v>
      </c>
      <c r="G49" s="36">
        <v>23471.048135393819</v>
      </c>
      <c r="H49" s="36">
        <v>23978.753849837125</v>
      </c>
      <c r="I49" s="36">
        <v>23779.835239144762</v>
      </c>
      <c r="J49" s="36">
        <v>22207.924571722157</v>
      </c>
      <c r="K49" s="36">
        <v>23074.595686717781</v>
      </c>
      <c r="L49" s="36">
        <v>21618.604450925457</v>
      </c>
      <c r="M49" s="36">
        <v>22841.43704567639</v>
      </c>
    </row>
    <row r="50" spans="1:13" x14ac:dyDescent="0.25">
      <c r="A50">
        <v>2010</v>
      </c>
      <c r="B50" s="36">
        <v>21546.378599362593</v>
      </c>
      <c r="C50" s="36">
        <v>21324.551666510619</v>
      </c>
      <c r="D50" s="36">
        <v>23620.036362949188</v>
      </c>
      <c r="E50" s="36">
        <v>23587.332721034829</v>
      </c>
      <c r="F50" s="36">
        <v>24439.342621854175</v>
      </c>
      <c r="G50" s="36">
        <v>23788.612171756868</v>
      </c>
      <c r="H50" s="36">
        <v>24688.26481041946</v>
      </c>
      <c r="I50" s="36">
        <v>24200.939332438786</v>
      </c>
      <c r="J50" s="36">
        <v>22783.243860731807</v>
      </c>
      <c r="K50" s="36">
        <v>23752.522526072633</v>
      </c>
      <c r="L50" s="36">
        <v>22358.699712539186</v>
      </c>
      <c r="M50" s="36">
        <v>23751.513114329839</v>
      </c>
    </row>
    <row r="51" spans="1:13" x14ac:dyDescent="0.25">
      <c r="A51">
        <v>2011</v>
      </c>
      <c r="B51" s="36">
        <v>22146.215534140178</v>
      </c>
      <c r="C51" s="36">
        <v>22251.907802335998</v>
      </c>
      <c r="D51" s="36">
        <v>24779.906192529401</v>
      </c>
      <c r="E51" s="36">
        <v>24599.223389016948</v>
      </c>
      <c r="F51" s="36">
        <v>25352.816407623359</v>
      </c>
      <c r="G51" s="36">
        <v>24909.938724205284</v>
      </c>
      <c r="H51" s="36">
        <v>25555.834892877614</v>
      </c>
      <c r="I51" s="36">
        <v>24982.885649457374</v>
      </c>
      <c r="J51" s="36">
        <v>24017.608583834597</v>
      </c>
      <c r="K51" s="36">
        <v>24490.819072711867</v>
      </c>
      <c r="L51" s="36">
        <v>23081.01060381133</v>
      </c>
      <c r="M51" s="36">
        <v>24856.333147456055</v>
      </c>
    </row>
    <row r="52" spans="1:13" x14ac:dyDescent="0.25">
      <c r="A52">
        <v>2012</v>
      </c>
      <c r="B52" s="36">
        <v>23029.749980753102</v>
      </c>
      <c r="C52" s="36">
        <v>23643.973361886055</v>
      </c>
      <c r="D52" s="36">
        <v>26073.75682435057</v>
      </c>
      <c r="E52" s="36">
        <v>25043.67289372929</v>
      </c>
      <c r="F52" s="36">
        <v>25992.335007007488</v>
      </c>
      <c r="G52" s="36">
        <v>25740.486495175919</v>
      </c>
      <c r="H52" s="36">
        <v>25608.683255111959</v>
      </c>
      <c r="I52" s="36">
        <v>25749.779431713047</v>
      </c>
      <c r="J52" s="36">
        <v>24406.487804555723</v>
      </c>
      <c r="K52" s="36">
        <v>24770.434060316682</v>
      </c>
      <c r="L52" s="36">
        <v>24215.263354895873</v>
      </c>
      <c r="M52" s="36">
        <v>25730.096280504287</v>
      </c>
    </row>
    <row r="53" spans="1:13" x14ac:dyDescent="0.25">
      <c r="A53">
        <v>2013</v>
      </c>
      <c r="B53" s="36">
        <v>23794.092253329043</v>
      </c>
      <c r="C53" s="36">
        <v>23605.619558666425</v>
      </c>
      <c r="D53" s="36">
        <v>26735.625929228445</v>
      </c>
      <c r="E53" s="36">
        <v>25603.182847673081</v>
      </c>
      <c r="F53" s="36">
        <v>26751.526739202574</v>
      </c>
      <c r="G53" s="36">
        <v>25908.91567860232</v>
      </c>
      <c r="H53" s="36">
        <v>25995.036936029817</v>
      </c>
      <c r="I53" s="36">
        <v>26565.546920039087</v>
      </c>
      <c r="J53" s="36">
        <v>24592.304003052541</v>
      </c>
      <c r="K53" s="36">
        <v>25712.841921627027</v>
      </c>
      <c r="L53" s="36">
        <v>25313.907745382334</v>
      </c>
      <c r="M53" s="36">
        <v>26125.399467167324</v>
      </c>
    </row>
    <row r="54" spans="1:13" x14ac:dyDescent="0.25">
      <c r="A54">
        <v>2014</v>
      </c>
      <c r="B54" s="36">
        <v>24155.335471899376</v>
      </c>
      <c r="C54" s="36">
        <v>23964.809350662079</v>
      </c>
      <c r="D54" s="36">
        <v>27236.604284853733</v>
      </c>
      <c r="E54" s="36">
        <v>26376.204978755512</v>
      </c>
      <c r="F54" s="36">
        <v>28107.286440675744</v>
      </c>
      <c r="G54" s="36">
        <v>26692.374574768623</v>
      </c>
      <c r="H54" s="36">
        <v>27108.783108007789</v>
      </c>
      <c r="I54" s="36">
        <v>27678.025290938087</v>
      </c>
      <c r="J54" s="36">
        <v>25762.130948248174</v>
      </c>
      <c r="K54" s="36">
        <v>27173.705491698322</v>
      </c>
      <c r="L54" s="36">
        <v>25929.037169251063</v>
      </c>
      <c r="M54" s="36">
        <v>27529.952890241497</v>
      </c>
    </row>
    <row r="55" spans="1:13" x14ac:dyDescent="0.25">
      <c r="A55">
        <v>2015</v>
      </c>
      <c r="B55" s="36">
        <v>27380.902870354563</v>
      </c>
      <c r="C55" s="36">
        <v>26587.496397379575</v>
      </c>
      <c r="D55" s="36">
        <v>30069.352268096296</v>
      </c>
      <c r="E55" s="36">
        <v>29587.410641075428</v>
      </c>
      <c r="F55" s="36">
        <v>31350.631674806362</v>
      </c>
      <c r="G55" s="36">
        <v>29815.038724877973</v>
      </c>
      <c r="H55" s="36">
        <v>30453.18396274386</v>
      </c>
      <c r="I55" s="36">
        <v>30344.864575792857</v>
      </c>
      <c r="J55" s="36">
        <v>28596.087597657712</v>
      </c>
      <c r="K55" s="36">
        <v>30177.5003884529</v>
      </c>
      <c r="L55" s="36">
        <v>28328.326195574751</v>
      </c>
      <c r="M55" s="36">
        <v>30669.454703187701</v>
      </c>
    </row>
    <row r="56" spans="1:13" x14ac:dyDescent="0.25">
      <c r="A56">
        <v>2016</v>
      </c>
      <c r="B56" s="36">
        <v>28174.21820131833</v>
      </c>
      <c r="C56" s="36">
        <v>28845.302687476797</v>
      </c>
      <c r="D56" s="36">
        <v>31162.743808077226</v>
      </c>
      <c r="E56" s="36">
        <v>31314.249463314321</v>
      </c>
      <c r="F56" s="36">
        <v>31848.454262248582</v>
      </c>
      <c r="G56" s="36">
        <v>30883.87970345539</v>
      </c>
      <c r="H56" s="36">
        <v>31632.267445997761</v>
      </c>
      <c r="I56" s="36">
        <v>31129.450116133325</v>
      </c>
      <c r="J56" s="36">
        <v>30185.31804865642</v>
      </c>
      <c r="K56" s="36">
        <v>30978.218030544536</v>
      </c>
      <c r="L56" s="36">
        <v>29858.270228709938</v>
      </c>
      <c r="M56" s="36">
        <v>32138.784254067334</v>
      </c>
    </row>
    <row r="57" spans="1:13" x14ac:dyDescent="0.25">
      <c r="A57">
        <v>2017</v>
      </c>
      <c r="B57" s="36">
        <v>29614.005898451571</v>
      </c>
      <c r="C57" s="36">
        <v>29406.747888827715</v>
      </c>
      <c r="D57" s="36">
        <v>33231.717368723374</v>
      </c>
      <c r="E57" s="36">
        <v>32477.614692738822</v>
      </c>
      <c r="F57" s="36">
        <v>33439.461936288535</v>
      </c>
      <c r="G57" s="36">
        <v>32950.25708172204</v>
      </c>
      <c r="H57" s="36">
        <v>32942.925456769168</v>
      </c>
      <c r="I57" s="36">
        <v>32827.726568986509</v>
      </c>
      <c r="J57" s="36">
        <v>31571.178009976422</v>
      </c>
      <c r="K57" s="36">
        <v>32062.082461287442</v>
      </c>
      <c r="L57" s="36">
        <v>30901.396280160749</v>
      </c>
      <c r="M57" s="36">
        <v>33789.292606067604</v>
      </c>
    </row>
    <row r="58" spans="1:13" x14ac:dyDescent="0.25">
      <c r="A58">
        <v>2018</v>
      </c>
      <c r="B58" s="36">
        <v>30034.351464461932</v>
      </c>
      <c r="C58" s="36">
        <v>29948.35229983271</v>
      </c>
      <c r="D58" s="36">
        <v>34382.509750457655</v>
      </c>
      <c r="E58" s="36">
        <v>32873.311221073003</v>
      </c>
      <c r="F58" s="36">
        <v>34997.891222725753</v>
      </c>
      <c r="G58" s="36">
        <v>34826.749104472037</v>
      </c>
      <c r="H58" s="36">
        <v>34725.618662763438</v>
      </c>
      <c r="I58" s="36">
        <v>34860.940729025402</v>
      </c>
      <c r="J58" s="36">
        <v>32105.840160055792</v>
      </c>
      <c r="K58" s="36">
        <v>32817.006931343451</v>
      </c>
      <c r="L58" s="36">
        <v>31358.58011642786</v>
      </c>
      <c r="M58" s="36">
        <v>33137.723337360963</v>
      </c>
    </row>
    <row r="59" spans="1:13" x14ac:dyDescent="0.25">
      <c r="A59">
        <v>2019</v>
      </c>
      <c r="B59" s="36">
        <v>30328.57515233742</v>
      </c>
      <c r="C59" s="36">
        <v>29987.017394795366</v>
      </c>
      <c r="D59" s="36">
        <v>34395.616760249737</v>
      </c>
      <c r="E59" s="36">
        <v>33100.179666058466</v>
      </c>
      <c r="F59" s="36">
        <v>35257.025243925047</v>
      </c>
      <c r="G59" s="36">
        <v>34695.364398032529</v>
      </c>
      <c r="H59" s="36">
        <v>34874.542133757684</v>
      </c>
      <c r="I59" s="36">
        <v>35561.164849683169</v>
      </c>
      <c r="J59" s="36">
        <v>32957.380984421114</v>
      </c>
      <c r="K59" s="36">
        <v>34173.371145209167</v>
      </c>
      <c r="L59" s="36">
        <v>33271.563585860953</v>
      </c>
      <c r="M59" s="36">
        <v>35064.698685669355</v>
      </c>
    </row>
    <row r="60" spans="1:13" x14ac:dyDescent="0.25">
      <c r="A60">
        <v>2020</v>
      </c>
      <c r="B60" s="36">
        <v>32835.509677293085</v>
      </c>
      <c r="C60" s="36">
        <v>33357.152986448098</v>
      </c>
      <c r="D60" s="36">
        <v>26619.217095756943</v>
      </c>
      <c r="E60" s="36">
        <v>17536.834405433619</v>
      </c>
      <c r="F60" s="36">
        <v>23832.145305755301</v>
      </c>
      <c r="G60" s="36">
        <v>28283.26624576317</v>
      </c>
      <c r="H60" s="36">
        <v>29915.05799242873</v>
      </c>
      <c r="I60" s="36">
        <v>30548.207572056239</v>
      </c>
      <c r="J60" s="36">
        <v>29255.962620697941</v>
      </c>
      <c r="K60" s="36">
        <v>30098.784021864798</v>
      </c>
      <c r="L60" s="36">
        <v>26655.606156700534</v>
      </c>
      <c r="M60" s="36">
        <v>26599.193419801515</v>
      </c>
    </row>
    <row r="61" spans="1:13" x14ac:dyDescent="0.25">
      <c r="A61">
        <v>2021</v>
      </c>
      <c r="B61" s="36">
        <v>30727.913392974871</v>
      </c>
      <c r="C61" s="36">
        <v>28777.65859460556</v>
      </c>
      <c r="D61" s="36">
        <v>35483.098281306782</v>
      </c>
      <c r="E61" s="36">
        <v>35824.002782650045</v>
      </c>
      <c r="F61" s="36">
        <v>37750.144991882371</v>
      </c>
      <c r="G61" s="36">
        <v>37173.170773164347</v>
      </c>
      <c r="H61" s="37">
        <v>38258.365871573675</v>
      </c>
      <c r="I61" s="37">
        <v>36726.350213718099</v>
      </c>
      <c r="J61" s="37">
        <v>34722.239013309838</v>
      </c>
      <c r="K61" s="37">
        <v>35761.440004662058</v>
      </c>
      <c r="L61" s="37">
        <v>33483.999234200986</v>
      </c>
      <c r="M61" s="37">
        <v>35174.116845951357</v>
      </c>
    </row>
    <row r="62" spans="1:13" x14ac:dyDescent="0.25">
      <c r="A62">
        <v>2022</v>
      </c>
      <c r="B62" s="36">
        <v>31430.837699209249</v>
      </c>
      <c r="C62" s="36">
        <v>32119.422153250671</v>
      </c>
      <c r="D62" s="36">
        <v>37027.839211488747</v>
      </c>
      <c r="E62" s="36">
        <v>37540.810645877471</v>
      </c>
      <c r="F62" s="36">
        <v>38887.626108452052</v>
      </c>
      <c r="G62" s="36">
        <v>37849.847243671451</v>
      </c>
      <c r="H62" s="37">
        <v>38310.099250689862</v>
      </c>
      <c r="I62" s="37">
        <v>37734.171855899731</v>
      </c>
      <c r="J62" s="37">
        <v>36126.80499642143</v>
      </c>
      <c r="K62" s="37">
        <v>37079.853889073587</v>
      </c>
      <c r="L62" s="37">
        <v>34741.373401966928</v>
      </c>
      <c r="M62" s="38">
        <v>38170.452604778766</v>
      </c>
    </row>
    <row r="63" spans="1:13" x14ac:dyDescent="0.25">
      <c r="A63">
        <v>2023</v>
      </c>
      <c r="B63" s="38">
        <v>38568.82952694931</v>
      </c>
      <c r="C63" s="38">
        <v>38876.630841845203</v>
      </c>
      <c r="D63" s="38">
        <v>38370.011954598427</v>
      </c>
      <c r="E63" s="38">
        <v>38061.240009125504</v>
      </c>
      <c r="F63" s="38">
        <v>38290.229885383611</v>
      </c>
      <c r="G63" s="38">
        <v>38569.502102026265</v>
      </c>
      <c r="H63" s="38">
        <v>38622.501756632708</v>
      </c>
      <c r="I63" s="38">
        <v>38684.851029700156</v>
      </c>
      <c r="J63" s="38">
        <v>38665.81823372365</v>
      </c>
      <c r="K63" s="38">
        <v>38627.561447769724</v>
      </c>
      <c r="L63" s="38">
        <v>37990.200073644257</v>
      </c>
      <c r="M63" s="38">
        <v>37685.773792265893</v>
      </c>
    </row>
    <row r="64" spans="1:13" x14ac:dyDescent="0.25">
      <c r="A64" t="s">
        <v>53</v>
      </c>
      <c r="B64" s="36">
        <f>AVERAGE(B58:B62)</f>
        <v>31071.437477255309</v>
      </c>
      <c r="C64" s="36">
        <f t="shared" ref="C64:M64" si="5">AVERAGE(C58:C62)</f>
        <v>30837.920685786481</v>
      </c>
      <c r="D64" s="36">
        <f t="shared" si="5"/>
        <v>33581.656219851975</v>
      </c>
      <c r="E64" s="36">
        <f t="shared" si="5"/>
        <v>31375.027744218522</v>
      </c>
      <c r="F64" s="36">
        <f t="shared" si="5"/>
        <v>34144.966574548103</v>
      </c>
      <c r="G64" s="36">
        <f t="shared" si="5"/>
        <v>34565.679553020702</v>
      </c>
      <c r="H64" s="36">
        <f t="shared" si="5"/>
        <v>35216.736782242675</v>
      </c>
      <c r="I64" s="36">
        <f t="shared" si="5"/>
        <v>35086.16704407653</v>
      </c>
      <c r="J64" s="36">
        <f t="shared" si="5"/>
        <v>33033.645554981224</v>
      </c>
      <c r="K64" s="36">
        <f t="shared" si="5"/>
        <v>33986.091198430615</v>
      </c>
      <c r="L64" s="36">
        <f t="shared" si="5"/>
        <v>31902.224499031454</v>
      </c>
      <c r="M64" s="36">
        <f t="shared" si="5"/>
        <v>33629.23697871239</v>
      </c>
    </row>
    <row r="65" spans="1:13" x14ac:dyDescent="0.25">
      <c r="A65" t="s">
        <v>54</v>
      </c>
      <c r="B65" s="36">
        <f>MAX(B58:B62)</f>
        <v>32835.509677293085</v>
      </c>
      <c r="C65" s="36">
        <f t="shared" ref="C65:M65" si="6">MAX(C58:C62)</f>
        <v>33357.152986448098</v>
      </c>
      <c r="D65" s="36">
        <f t="shared" si="6"/>
        <v>37027.839211488747</v>
      </c>
      <c r="E65" s="36">
        <f t="shared" si="6"/>
        <v>37540.810645877471</v>
      </c>
      <c r="F65" s="36">
        <f t="shared" si="6"/>
        <v>38887.626108452052</v>
      </c>
      <c r="G65" s="36">
        <f t="shared" si="6"/>
        <v>37849.847243671451</v>
      </c>
      <c r="H65" s="36">
        <f t="shared" si="6"/>
        <v>38310.099250689862</v>
      </c>
      <c r="I65" s="36">
        <f t="shared" si="6"/>
        <v>37734.171855899731</v>
      </c>
      <c r="J65" s="36">
        <f t="shared" si="6"/>
        <v>36126.80499642143</v>
      </c>
      <c r="K65" s="36">
        <f t="shared" si="6"/>
        <v>37079.853889073587</v>
      </c>
      <c r="L65" s="36">
        <f t="shared" si="6"/>
        <v>34741.373401966928</v>
      </c>
      <c r="M65" s="36">
        <f t="shared" si="6"/>
        <v>38170.452604778766</v>
      </c>
    </row>
    <row r="66" spans="1:13" x14ac:dyDescent="0.25">
      <c r="A66" t="s">
        <v>55</v>
      </c>
      <c r="B66" s="36">
        <f>MIN(B58:B62)</f>
        <v>30034.351464461932</v>
      </c>
      <c r="C66" s="36">
        <f t="shared" ref="C66:M66" si="7">MIN(C58:C62)</f>
        <v>28777.65859460556</v>
      </c>
      <c r="D66" s="36">
        <f t="shared" si="7"/>
        <v>26619.217095756943</v>
      </c>
      <c r="E66" s="36">
        <f t="shared" si="7"/>
        <v>17536.834405433619</v>
      </c>
      <c r="F66" s="36">
        <f t="shared" si="7"/>
        <v>23832.145305755301</v>
      </c>
      <c r="G66" s="36">
        <f t="shared" si="7"/>
        <v>28283.26624576317</v>
      </c>
      <c r="H66" s="36">
        <f t="shared" si="7"/>
        <v>29915.05799242873</v>
      </c>
      <c r="I66" s="36">
        <f t="shared" si="7"/>
        <v>30548.207572056239</v>
      </c>
      <c r="J66" s="36">
        <f t="shared" si="7"/>
        <v>29255.962620697941</v>
      </c>
      <c r="K66" s="36">
        <f t="shared" si="7"/>
        <v>30098.784021864798</v>
      </c>
      <c r="L66" s="36">
        <f t="shared" si="7"/>
        <v>26655.606156700534</v>
      </c>
      <c r="M66" s="36">
        <f t="shared" si="7"/>
        <v>26599.193419801515</v>
      </c>
    </row>
    <row r="67" spans="1:13" x14ac:dyDescent="0.25">
      <c r="A67" t="s">
        <v>56</v>
      </c>
      <c r="B67" s="39">
        <f>(B63-B64)/B64</f>
        <v>0.2412953071508902</v>
      </c>
      <c r="C67" s="39">
        <f t="shared" ref="C67:M67" si="8">(C63-C64)/C64</f>
        <v>0.2606761408451202</v>
      </c>
      <c r="D67" s="39">
        <f t="shared" si="8"/>
        <v>0.14258843290509865</v>
      </c>
      <c r="E67" s="39">
        <f t="shared" si="8"/>
        <v>0.21310617856390746</v>
      </c>
      <c r="F67" s="39">
        <f t="shared" si="8"/>
        <v>0.12140188515883379</v>
      </c>
      <c r="G67" s="39">
        <f t="shared" si="8"/>
        <v>0.11583231114736374</v>
      </c>
      <c r="H67" s="39">
        <f t="shared" si="8"/>
        <v>9.670870403038935E-2</v>
      </c>
      <c r="I67" s="39">
        <f t="shared" si="8"/>
        <v>0.10256703107816897</v>
      </c>
      <c r="J67" s="39">
        <f t="shared" si="8"/>
        <v>0.17049806596030204</v>
      </c>
      <c r="K67" s="39">
        <f t="shared" si="8"/>
        <v>0.13656969912307654</v>
      </c>
      <c r="L67" s="39">
        <f t="shared" si="8"/>
        <v>0.19083232189020652</v>
      </c>
      <c r="M67" s="39">
        <f t="shared" si="8"/>
        <v>0.12062530042300178</v>
      </c>
    </row>
    <row r="69" spans="1:13" x14ac:dyDescent="0.25">
      <c r="A69" t="s">
        <v>58</v>
      </c>
    </row>
    <row r="70" spans="1:13" x14ac:dyDescent="0.25">
      <c r="B70" s="35" t="str">
        <f>B2</f>
        <v>Jan</v>
      </c>
      <c r="C70" s="35" t="str">
        <f t="shared" ref="C70:M70" si="9">C2</f>
        <v>Feb</v>
      </c>
      <c r="D70" s="35" t="str">
        <f t="shared" si="9"/>
        <v>Mar</v>
      </c>
      <c r="E70" s="35" t="str">
        <f t="shared" si="9"/>
        <v>Apr</v>
      </c>
      <c r="F70" s="35" t="str">
        <f t="shared" si="9"/>
        <v>May</v>
      </c>
      <c r="G70" s="35" t="str">
        <f t="shared" si="9"/>
        <v>Jun</v>
      </c>
      <c r="H70" s="35" t="str">
        <f t="shared" si="9"/>
        <v>Jul</v>
      </c>
      <c r="I70" s="35" t="str">
        <f t="shared" si="9"/>
        <v>Aug</v>
      </c>
      <c r="J70" s="35" t="str">
        <f t="shared" si="9"/>
        <v>Sep</v>
      </c>
      <c r="K70" s="35" t="str">
        <f t="shared" si="9"/>
        <v>Oct</v>
      </c>
      <c r="L70" s="35" t="str">
        <f t="shared" si="9"/>
        <v>Nov</v>
      </c>
      <c r="M70" s="35" t="str">
        <f t="shared" si="9"/>
        <v>Dec</v>
      </c>
    </row>
    <row r="71" spans="1:13" x14ac:dyDescent="0.25">
      <c r="A71">
        <v>1997</v>
      </c>
      <c r="B71" s="36">
        <v>30334.111427562133</v>
      </c>
      <c r="C71" s="36">
        <v>28154.22952826622</v>
      </c>
      <c r="D71" s="36">
        <v>31584.100241117052</v>
      </c>
      <c r="E71" s="36">
        <v>30011.505529046113</v>
      </c>
      <c r="F71" s="36">
        <v>32477.243634261198</v>
      </c>
      <c r="G71" s="36">
        <v>30881.498850848518</v>
      </c>
      <c r="H71" s="36">
        <v>32298.722213018005</v>
      </c>
      <c r="I71" s="36">
        <v>32224.972153763498</v>
      </c>
      <c r="J71" s="36">
        <v>30396.650017699987</v>
      </c>
      <c r="K71" s="36">
        <v>31844.197116070729</v>
      </c>
      <c r="L71" s="36">
        <v>31800.275105889934</v>
      </c>
      <c r="M71" s="36">
        <v>35049.619182456583</v>
      </c>
    </row>
    <row r="72" spans="1:13" x14ac:dyDescent="0.25">
      <c r="A72">
        <v>1998</v>
      </c>
      <c r="B72" s="36">
        <v>30442.638440663435</v>
      </c>
      <c r="C72" s="36">
        <v>28163.25347327007</v>
      </c>
      <c r="D72" s="36">
        <v>30786.004686319349</v>
      </c>
      <c r="E72" s="36">
        <v>31238.78371470196</v>
      </c>
      <c r="F72" s="36">
        <v>32787.33691502588</v>
      </c>
      <c r="G72" s="36">
        <v>31819.137614791674</v>
      </c>
      <c r="H72" s="36">
        <v>33277.357178759004</v>
      </c>
      <c r="I72" s="36">
        <v>32599.474232173958</v>
      </c>
      <c r="J72" s="36">
        <v>31382.628030718875</v>
      </c>
      <c r="K72" s="36">
        <v>32879.518198259007</v>
      </c>
      <c r="L72" s="36">
        <v>32529.106693363254</v>
      </c>
      <c r="M72" s="36">
        <v>36959.885821953525</v>
      </c>
    </row>
    <row r="73" spans="1:13" x14ac:dyDescent="0.25">
      <c r="A73">
        <v>1999</v>
      </c>
      <c r="B73" s="36">
        <v>31539.112191596592</v>
      </c>
      <c r="C73" s="36">
        <v>29749.963894823268</v>
      </c>
      <c r="D73" s="36">
        <v>33102.007167432777</v>
      </c>
      <c r="E73" s="36">
        <v>32615.657683871766</v>
      </c>
      <c r="F73" s="36">
        <v>34399.825137094507</v>
      </c>
      <c r="G73" s="36">
        <v>33493.000430106586</v>
      </c>
      <c r="H73" s="36">
        <v>35031.731107998094</v>
      </c>
      <c r="I73" s="36">
        <v>33927.560500323547</v>
      </c>
      <c r="J73" s="36">
        <v>33441.947834920706</v>
      </c>
      <c r="K73" s="36">
        <v>34079.020126347532</v>
      </c>
      <c r="L73" s="36">
        <v>34276.788826453827</v>
      </c>
      <c r="M73" s="36">
        <v>40369.072599030857</v>
      </c>
    </row>
    <row r="74" spans="1:13" x14ac:dyDescent="0.25">
      <c r="A74">
        <v>2000</v>
      </c>
      <c r="B74" s="36">
        <v>32075.509680490977</v>
      </c>
      <c r="C74" s="36">
        <v>31834.288144615704</v>
      </c>
      <c r="D74" s="36">
        <v>34701.465054406683</v>
      </c>
      <c r="E74" s="36">
        <v>34173.548742322339</v>
      </c>
      <c r="F74" s="36">
        <v>35611.489395617173</v>
      </c>
      <c r="G74" s="36">
        <v>35594.818859741303</v>
      </c>
      <c r="H74" s="36">
        <v>35876.391763387343</v>
      </c>
      <c r="I74" s="36">
        <v>35926.671225781349</v>
      </c>
      <c r="J74" s="36">
        <v>34921.780271316253</v>
      </c>
      <c r="K74" s="36">
        <v>35246.676421248092</v>
      </c>
      <c r="L74" s="36">
        <v>36477.848978069727</v>
      </c>
      <c r="M74" s="36">
        <v>41339.761463002986</v>
      </c>
    </row>
    <row r="75" spans="1:13" x14ac:dyDescent="0.25">
      <c r="A75">
        <v>2001</v>
      </c>
      <c r="B75" s="36">
        <v>34760.399020984449</v>
      </c>
      <c r="C75" s="36">
        <v>33036.752525609001</v>
      </c>
      <c r="D75" s="36">
        <v>36516.396510780665</v>
      </c>
      <c r="E75" s="36">
        <v>35621.211050958424</v>
      </c>
      <c r="F75" s="36">
        <v>37934.237552010833</v>
      </c>
      <c r="G75" s="36">
        <v>37124.591032728858</v>
      </c>
      <c r="H75" s="36">
        <v>37031.767789347643</v>
      </c>
      <c r="I75" s="36">
        <v>37886.449140492099</v>
      </c>
      <c r="J75" s="36">
        <v>36006.119563335167</v>
      </c>
      <c r="K75" s="36">
        <v>36903.633065869501</v>
      </c>
      <c r="L75" s="36">
        <v>37971.214505588796</v>
      </c>
      <c r="M75" s="36">
        <v>42252.853242294565</v>
      </c>
    </row>
    <row r="76" spans="1:13" x14ac:dyDescent="0.25">
      <c r="A76">
        <v>2002</v>
      </c>
      <c r="B76" s="36">
        <v>35654.234576086099</v>
      </c>
      <c r="C76" s="36">
        <v>33722.286055207456</v>
      </c>
      <c r="D76" s="36">
        <v>37954.217075207729</v>
      </c>
      <c r="E76" s="36">
        <v>35576.447350966693</v>
      </c>
      <c r="F76" s="36">
        <v>38902.290496609879</v>
      </c>
      <c r="G76" s="36">
        <v>37381.600990304491</v>
      </c>
      <c r="H76" s="36">
        <v>38106.823728473231</v>
      </c>
      <c r="I76" s="36">
        <v>38623.860243040886</v>
      </c>
      <c r="J76" s="36">
        <v>35827.598922184145</v>
      </c>
      <c r="K76" s="36">
        <v>37673.188307674325</v>
      </c>
      <c r="L76" s="36">
        <v>39112.512389318901</v>
      </c>
      <c r="M76" s="36">
        <v>42502.877364926098</v>
      </c>
    </row>
    <row r="77" spans="1:13" x14ac:dyDescent="0.25">
      <c r="A77">
        <v>2003</v>
      </c>
      <c r="B77" s="36">
        <v>37559.421414665165</v>
      </c>
      <c r="C77" s="36">
        <v>35375.480985730377</v>
      </c>
      <c r="D77" s="36">
        <v>38503.99906910069</v>
      </c>
      <c r="E77" s="36">
        <v>37837.715481748834</v>
      </c>
      <c r="F77" s="36">
        <v>40131.981626238819</v>
      </c>
      <c r="G77" s="36">
        <v>38340.008458514152</v>
      </c>
      <c r="H77" s="36">
        <v>39922.374639919282</v>
      </c>
      <c r="I77" s="36">
        <v>40245.120505748324</v>
      </c>
      <c r="J77" s="36">
        <v>37786.278588814312</v>
      </c>
      <c r="K77" s="36">
        <v>39607.507049771477</v>
      </c>
      <c r="L77" s="36">
        <v>40269.743823173703</v>
      </c>
      <c r="M77" s="36">
        <v>44626.774606574807</v>
      </c>
    </row>
    <row r="78" spans="1:13" x14ac:dyDescent="0.25">
      <c r="A78">
        <v>2004</v>
      </c>
      <c r="B78" s="36">
        <v>39579.078116778735</v>
      </c>
      <c r="C78" s="36">
        <v>37636.776821076513</v>
      </c>
      <c r="D78" s="36">
        <v>39913.027820331197</v>
      </c>
      <c r="E78" s="36">
        <v>40004.433578041491</v>
      </c>
      <c r="F78" s="36">
        <v>42036.328205942031</v>
      </c>
      <c r="G78" s="36">
        <v>40582.548322479342</v>
      </c>
      <c r="H78" s="36">
        <v>42195.206143650576</v>
      </c>
      <c r="I78" s="36">
        <v>41053.175695412319</v>
      </c>
      <c r="J78" s="36">
        <v>40222.244465396157</v>
      </c>
      <c r="K78" s="36">
        <v>41808.371172127241</v>
      </c>
      <c r="L78" s="36">
        <v>42457.596583923587</v>
      </c>
      <c r="M78" s="36">
        <v>48331.681824840824</v>
      </c>
    </row>
    <row r="79" spans="1:13" x14ac:dyDescent="0.25">
      <c r="A79">
        <v>2005</v>
      </c>
      <c r="B79" s="36">
        <v>40992.021291754885</v>
      </c>
      <c r="C79" s="36">
        <v>38780.890225851661</v>
      </c>
      <c r="D79" s="36">
        <v>43225.494468889461</v>
      </c>
      <c r="E79" s="36">
        <v>41920.408248840191</v>
      </c>
      <c r="F79" s="36">
        <v>43888.254565546958</v>
      </c>
      <c r="G79" s="36">
        <v>43476.718930679337</v>
      </c>
      <c r="H79" s="36">
        <v>44400.597317538151</v>
      </c>
      <c r="I79" s="36">
        <v>44261.60570691777</v>
      </c>
      <c r="J79" s="36">
        <v>43230.755553344003</v>
      </c>
      <c r="K79" s="36">
        <v>44440.44299392659</v>
      </c>
      <c r="L79" s="36">
        <v>45068.812674264991</v>
      </c>
      <c r="M79" s="36">
        <v>51339.060522445965</v>
      </c>
    </row>
    <row r="80" spans="1:13" x14ac:dyDescent="0.25">
      <c r="A80">
        <v>2006</v>
      </c>
      <c r="B80" s="36">
        <v>42652.31442921589</v>
      </c>
      <c r="C80" s="36">
        <v>41060.543407513433</v>
      </c>
      <c r="D80" s="36">
        <v>44890.832176427786</v>
      </c>
      <c r="E80" s="36">
        <v>44482.326988970184</v>
      </c>
      <c r="F80" s="36">
        <v>46765.539274347153</v>
      </c>
      <c r="G80" s="36">
        <v>45939.680516169974</v>
      </c>
      <c r="H80" s="36">
        <v>46469.295913116417</v>
      </c>
      <c r="I80" s="36">
        <v>46831.276766860239</v>
      </c>
      <c r="J80" s="36">
        <v>44599.265696589981</v>
      </c>
      <c r="K80" s="36">
        <v>45621.204485537171</v>
      </c>
      <c r="L80" s="36">
        <v>47200.294751408503</v>
      </c>
      <c r="M80" s="36">
        <v>53515.863093843232</v>
      </c>
    </row>
    <row r="81" spans="1:13" x14ac:dyDescent="0.25">
      <c r="A81">
        <v>2007</v>
      </c>
      <c r="B81" s="36">
        <v>45245.249934012019</v>
      </c>
      <c r="C81" s="36">
        <v>43205.647877984804</v>
      </c>
      <c r="D81" s="36">
        <v>47680.490020121091</v>
      </c>
      <c r="E81" s="36">
        <v>45949.047530186217</v>
      </c>
      <c r="F81" s="36">
        <v>49292.169998921505</v>
      </c>
      <c r="G81" s="36">
        <v>48365.138780039109</v>
      </c>
      <c r="H81" s="36">
        <v>48351.291307309672</v>
      </c>
      <c r="I81" s="36">
        <v>49105.678980763259</v>
      </c>
      <c r="J81" s="36">
        <v>46607.400710086484</v>
      </c>
      <c r="K81" s="36">
        <v>48079.375567341885</v>
      </c>
      <c r="L81" s="36">
        <v>50433.25339335866</v>
      </c>
      <c r="M81" s="36">
        <v>56382.505899875352</v>
      </c>
    </row>
    <row r="82" spans="1:13" x14ac:dyDescent="0.25">
      <c r="A82">
        <v>2008</v>
      </c>
      <c r="B82" s="36">
        <v>48065.407743163458</v>
      </c>
      <c r="C82" s="36">
        <v>46894.37161048501</v>
      </c>
      <c r="D82" s="36">
        <v>50116.590608196086</v>
      </c>
      <c r="E82" s="36">
        <v>48207.596882338774</v>
      </c>
      <c r="F82" s="36">
        <v>52812.802645477299</v>
      </c>
      <c r="G82" s="36">
        <v>50621.195505004056</v>
      </c>
      <c r="H82" s="36">
        <v>51973.0912548333</v>
      </c>
      <c r="I82" s="36">
        <v>52058.732904118675</v>
      </c>
      <c r="J82" s="36">
        <v>48460.739871576632</v>
      </c>
      <c r="K82" s="36">
        <v>50201.24411963595</v>
      </c>
      <c r="L82" s="36">
        <v>50465.875929468617</v>
      </c>
      <c r="M82" s="36">
        <v>54793.913425702071</v>
      </c>
    </row>
    <row r="83" spans="1:13" x14ac:dyDescent="0.25">
      <c r="A83">
        <v>2009</v>
      </c>
      <c r="B83" s="36">
        <v>48360.997656494103</v>
      </c>
      <c r="C83" s="36">
        <v>44755.428092338458</v>
      </c>
      <c r="D83" s="36">
        <v>47821.612727184176</v>
      </c>
      <c r="E83" s="36">
        <v>48054.282939184959</v>
      </c>
      <c r="F83" s="36">
        <v>50880.821570606036</v>
      </c>
      <c r="G83" s="36">
        <v>48991.404871858533</v>
      </c>
      <c r="H83" s="36">
        <v>50285.973382534059</v>
      </c>
      <c r="I83" s="36">
        <v>49917.086392306745</v>
      </c>
      <c r="J83" s="36">
        <v>47574.191530345124</v>
      </c>
      <c r="K83" s="36">
        <v>49934.007806857138</v>
      </c>
      <c r="L83" s="36">
        <v>50322.762327790624</v>
      </c>
      <c r="M83" s="36">
        <v>56690.680702500162</v>
      </c>
    </row>
    <row r="84" spans="1:13" x14ac:dyDescent="0.25">
      <c r="A84">
        <v>2010</v>
      </c>
      <c r="B84" s="36">
        <v>48869.661286969262</v>
      </c>
      <c r="C84" s="36">
        <v>46676.107830554298</v>
      </c>
      <c r="D84" s="36">
        <v>50527.799361271456</v>
      </c>
      <c r="E84" s="36">
        <v>49297.821518867982</v>
      </c>
      <c r="F84" s="36">
        <v>51782.32310718501</v>
      </c>
      <c r="G84" s="36">
        <v>49919.342755995596</v>
      </c>
      <c r="H84" s="36">
        <v>51340.236149489741</v>
      </c>
      <c r="I84" s="36">
        <v>50549.910956637956</v>
      </c>
      <c r="J84" s="36">
        <v>48968.596971976476</v>
      </c>
      <c r="K84" s="36">
        <v>50721.565077899599</v>
      </c>
      <c r="L84" s="36">
        <v>52043.710768491801</v>
      </c>
      <c r="M84" s="36">
        <v>58467.299214660728</v>
      </c>
    </row>
    <row r="85" spans="1:13" x14ac:dyDescent="0.25">
      <c r="A85">
        <v>2011</v>
      </c>
      <c r="B85" s="36">
        <v>50313.956086956809</v>
      </c>
      <c r="C85" s="36">
        <v>48136.214411102279</v>
      </c>
      <c r="D85" s="36">
        <v>52520.067591438456</v>
      </c>
      <c r="E85" s="36">
        <v>52999.768771420255</v>
      </c>
      <c r="F85" s="36">
        <v>54000.036332741292</v>
      </c>
      <c r="G85" s="36">
        <v>53371.362842128263</v>
      </c>
      <c r="H85" s="36">
        <v>54388.439544148896</v>
      </c>
      <c r="I85" s="36">
        <v>54083.529443783045</v>
      </c>
      <c r="J85" s="36">
        <v>51975.106571357574</v>
      </c>
      <c r="K85" s="36">
        <v>53505.400579199588</v>
      </c>
      <c r="L85" s="36">
        <v>54875.376308952269</v>
      </c>
      <c r="M85" s="36">
        <v>61125.616516771232</v>
      </c>
    </row>
    <row r="86" spans="1:13" x14ac:dyDescent="0.25">
      <c r="A86">
        <v>2012</v>
      </c>
      <c r="B86" s="36">
        <v>51902.818215452193</v>
      </c>
      <c r="C86" s="36">
        <v>51941.731967451014</v>
      </c>
      <c r="D86" s="36">
        <v>55610.772240345046</v>
      </c>
      <c r="E86" s="36">
        <v>53619.255388274243</v>
      </c>
      <c r="F86" s="36">
        <v>56484.983061683604</v>
      </c>
      <c r="G86" s="36">
        <v>55044.797659199336</v>
      </c>
      <c r="H86" s="36">
        <v>54940.056709306737</v>
      </c>
      <c r="I86" s="36">
        <v>56293.339455130794</v>
      </c>
      <c r="J86" s="36">
        <v>53380.511050039408</v>
      </c>
      <c r="K86" s="36">
        <v>55094.571692849757</v>
      </c>
      <c r="L86" s="36">
        <v>56690.331754542625</v>
      </c>
      <c r="M86" s="36">
        <v>61937.143305725127</v>
      </c>
    </row>
    <row r="87" spans="1:13" x14ac:dyDescent="0.25">
      <c r="A87">
        <v>2013</v>
      </c>
      <c r="B87" s="36">
        <v>53782.182439264376</v>
      </c>
      <c r="C87" s="36">
        <v>51757.938019413261</v>
      </c>
      <c r="D87" s="36">
        <v>57502.861154973158</v>
      </c>
      <c r="E87" s="36">
        <v>53343.998811646423</v>
      </c>
      <c r="F87" s="36">
        <v>57868.131364491128</v>
      </c>
      <c r="G87" s="36">
        <v>55947.445503905932</v>
      </c>
      <c r="H87" s="36">
        <v>56680.077369394217</v>
      </c>
      <c r="I87" s="36">
        <v>57794.857092571787</v>
      </c>
      <c r="J87" s="36">
        <v>53981.528615363633</v>
      </c>
      <c r="K87" s="36">
        <v>56421.298127604627</v>
      </c>
      <c r="L87" s="36">
        <v>58381.128990650723</v>
      </c>
      <c r="M87" s="36">
        <v>63302.677510720721</v>
      </c>
    </row>
    <row r="88" spans="1:13" x14ac:dyDescent="0.25">
      <c r="A88">
        <v>2014</v>
      </c>
      <c r="B88" s="36">
        <v>56091.177500950122</v>
      </c>
      <c r="C88" s="36">
        <v>53035.069816739793</v>
      </c>
      <c r="D88" s="36">
        <v>57671.663645310851</v>
      </c>
      <c r="E88" s="36">
        <v>57043.245801121906</v>
      </c>
      <c r="F88" s="36">
        <v>60629.02022639435</v>
      </c>
      <c r="G88" s="36">
        <v>57951.144061617772</v>
      </c>
      <c r="H88" s="36">
        <v>59524.620410423777</v>
      </c>
      <c r="I88" s="36">
        <v>60253.851452421615</v>
      </c>
      <c r="J88" s="36">
        <v>56584.047830949079</v>
      </c>
      <c r="K88" s="36">
        <v>59493.927252050926</v>
      </c>
      <c r="L88" s="36">
        <v>60676.359624066507</v>
      </c>
      <c r="M88" s="36">
        <v>65812.872377953376</v>
      </c>
    </row>
    <row r="89" spans="1:13" x14ac:dyDescent="0.25">
      <c r="A89">
        <v>2015</v>
      </c>
      <c r="B89" s="36">
        <v>57969.844171608689</v>
      </c>
      <c r="C89" s="36">
        <v>54321.119824065361</v>
      </c>
      <c r="D89" s="36">
        <v>59227.906599963164</v>
      </c>
      <c r="E89" s="36">
        <v>57710.686700047787</v>
      </c>
      <c r="F89" s="36">
        <v>61474.524895898867</v>
      </c>
      <c r="G89" s="36">
        <v>59093.785210985028</v>
      </c>
      <c r="H89" s="36">
        <v>61022.750337463403</v>
      </c>
      <c r="I89" s="36">
        <v>60454.029835577749</v>
      </c>
      <c r="J89" s="36">
        <v>57489.345775417409</v>
      </c>
      <c r="K89" s="36">
        <v>60013.264344827716</v>
      </c>
      <c r="L89" s="36">
        <v>60441.867903954349</v>
      </c>
      <c r="M89" s="36">
        <v>66774.749400190602</v>
      </c>
    </row>
    <row r="90" spans="1:13" x14ac:dyDescent="0.25">
      <c r="A90">
        <v>2016</v>
      </c>
      <c r="B90" s="36">
        <v>58131.039853302333</v>
      </c>
      <c r="C90" s="36">
        <v>56238.727295711091</v>
      </c>
      <c r="D90" s="36">
        <v>60473.324251288643</v>
      </c>
      <c r="E90" s="36">
        <v>58446.146379191297</v>
      </c>
      <c r="F90" s="36">
        <v>61492.059018621767</v>
      </c>
      <c r="G90" s="36">
        <v>60634.309791378924</v>
      </c>
      <c r="H90" s="36">
        <v>61449.812048575732</v>
      </c>
      <c r="I90" s="36">
        <v>60865.669813388224</v>
      </c>
      <c r="J90" s="36">
        <v>58792.046544192599</v>
      </c>
      <c r="K90" s="36">
        <v>60927.92631486318</v>
      </c>
      <c r="L90" s="36">
        <v>62241.929950401689</v>
      </c>
      <c r="M90" s="36">
        <v>69480.821239084427</v>
      </c>
    </row>
    <row r="91" spans="1:13" x14ac:dyDescent="0.25">
      <c r="A91">
        <v>2017</v>
      </c>
      <c r="B91" s="36">
        <v>59405.524817635654</v>
      </c>
      <c r="C91" s="36">
        <v>56710.32865873741</v>
      </c>
      <c r="D91" s="36">
        <v>62441.56457817131</v>
      </c>
      <c r="E91" s="36">
        <v>61627.47385918966</v>
      </c>
      <c r="F91" s="36">
        <v>63979.429373234147</v>
      </c>
      <c r="G91" s="36">
        <v>62579.08182399394</v>
      </c>
      <c r="H91" s="36">
        <v>63096.42585137413</v>
      </c>
      <c r="I91" s="36">
        <v>63704.242587614441</v>
      </c>
      <c r="J91" s="36">
        <v>62005.19062608439</v>
      </c>
      <c r="K91" s="36">
        <v>63128.806439019339</v>
      </c>
      <c r="L91" s="36">
        <v>65690.514666922274</v>
      </c>
      <c r="M91" s="36">
        <v>72844.104218023436</v>
      </c>
    </row>
    <row r="92" spans="1:13" x14ac:dyDescent="0.25">
      <c r="A92">
        <v>2018</v>
      </c>
      <c r="B92" s="36">
        <v>61977.128602162644</v>
      </c>
      <c r="C92" s="36">
        <v>58681.431867698782</v>
      </c>
      <c r="D92" s="36">
        <v>66457.786967831489</v>
      </c>
      <c r="E92" s="36">
        <v>61813.554749751522</v>
      </c>
      <c r="F92" s="36">
        <v>66929.482926800003</v>
      </c>
      <c r="G92" s="36">
        <v>65210.955787269406</v>
      </c>
      <c r="H92" s="36">
        <v>65507.79901170262</v>
      </c>
      <c r="I92" s="36">
        <v>66567.950814918237</v>
      </c>
      <c r="J92" s="36">
        <v>63264.764266301056</v>
      </c>
      <c r="K92" s="36">
        <v>65523.430172153734</v>
      </c>
      <c r="L92" s="36">
        <v>67857.535798856465</v>
      </c>
      <c r="M92" s="36">
        <v>73034.616534554152</v>
      </c>
    </row>
    <row r="93" spans="1:13" x14ac:dyDescent="0.25">
      <c r="A93">
        <v>2019</v>
      </c>
      <c r="B93" s="36">
        <v>64255.123638068253</v>
      </c>
      <c r="C93" s="36">
        <v>59087.548791896319</v>
      </c>
      <c r="D93" s="36">
        <v>66432.755825791668</v>
      </c>
      <c r="E93" s="36">
        <v>65138.127850039265</v>
      </c>
      <c r="F93" s="36">
        <v>69200.599381743596</v>
      </c>
      <c r="G93" s="36">
        <v>66937.568731356456</v>
      </c>
      <c r="H93" s="36">
        <v>68341.614085041321</v>
      </c>
      <c r="I93" s="36">
        <v>69526.132634377936</v>
      </c>
      <c r="J93" s="36">
        <v>64398.034240998255</v>
      </c>
      <c r="K93" s="36">
        <v>67665.568125999285</v>
      </c>
      <c r="L93" s="36">
        <v>70014.523668207752</v>
      </c>
      <c r="M93" s="36">
        <v>74876.215526479937</v>
      </c>
    </row>
    <row r="94" spans="1:13" x14ac:dyDescent="0.25">
      <c r="A94">
        <v>2020</v>
      </c>
      <c r="B94" s="36">
        <v>65927.395459708816</v>
      </c>
      <c r="C94" s="36">
        <v>63667.66352413065</v>
      </c>
      <c r="D94" s="36">
        <v>80197.886870824179</v>
      </c>
      <c r="E94" s="36">
        <v>69951.718812051258</v>
      </c>
      <c r="F94" s="36">
        <v>75467.183872466732</v>
      </c>
      <c r="G94" s="36">
        <v>72075.356256089872</v>
      </c>
      <c r="H94" s="36">
        <v>74914.882980684255</v>
      </c>
      <c r="I94" s="36">
        <v>73410.989589996781</v>
      </c>
      <c r="J94" s="36">
        <v>70391.773858081608</v>
      </c>
      <c r="K94" s="36">
        <v>73721.540388498121</v>
      </c>
      <c r="L94" s="36">
        <v>74369.724479477387</v>
      </c>
      <c r="M94" s="36">
        <v>80446.196407990385</v>
      </c>
    </row>
    <row r="95" spans="1:13" x14ac:dyDescent="0.25">
      <c r="A95">
        <v>2021</v>
      </c>
      <c r="B95" s="36">
        <v>73214.925914834384</v>
      </c>
      <c r="C95" s="36">
        <v>67069.075249911359</v>
      </c>
      <c r="D95" s="36">
        <v>77283.231698370204</v>
      </c>
      <c r="E95" s="36">
        <v>75021.359313734967</v>
      </c>
      <c r="F95" s="36">
        <v>79189.625985505249</v>
      </c>
      <c r="G95" s="36">
        <v>77442.997297613634</v>
      </c>
      <c r="H95" s="36"/>
      <c r="I95" s="36"/>
      <c r="J95" s="36"/>
      <c r="K95" s="36"/>
      <c r="L95" s="36"/>
      <c r="M95" s="36"/>
    </row>
    <row r="96" spans="1:13" x14ac:dyDescent="0.25">
      <c r="A96" t="s">
        <v>59</v>
      </c>
    </row>
    <row r="97" spans="1:13" x14ac:dyDescent="0.25">
      <c r="B97" s="35" t="str">
        <f>B2</f>
        <v>Jan</v>
      </c>
      <c r="C97" s="35" t="str">
        <f t="shared" ref="C97:M97" si="10">C2</f>
        <v>Feb</v>
      </c>
      <c r="D97" s="35" t="str">
        <f t="shared" si="10"/>
        <v>Mar</v>
      </c>
      <c r="E97" s="35" t="str">
        <f t="shared" si="10"/>
        <v>Apr</v>
      </c>
      <c r="F97" s="35" t="str">
        <f t="shared" si="10"/>
        <v>May</v>
      </c>
      <c r="G97" s="35" t="str">
        <f t="shared" si="10"/>
        <v>Jun</v>
      </c>
      <c r="H97" s="35" t="str">
        <f t="shared" si="10"/>
        <v>Jul</v>
      </c>
      <c r="I97" s="35" t="str">
        <f t="shared" si="10"/>
        <v>Aug</v>
      </c>
      <c r="J97" s="35" t="str">
        <f t="shared" si="10"/>
        <v>Sep</v>
      </c>
      <c r="K97" s="35" t="str">
        <f t="shared" si="10"/>
        <v>Oct</v>
      </c>
      <c r="L97" s="35" t="str">
        <f t="shared" si="10"/>
        <v>Nov</v>
      </c>
      <c r="M97" s="35" t="str">
        <f t="shared" si="10"/>
        <v>Dec</v>
      </c>
    </row>
    <row r="98" spans="1:13" x14ac:dyDescent="0.25">
      <c r="A98">
        <v>1997</v>
      </c>
      <c r="B98" s="36">
        <v>21457.621212601814</v>
      </c>
      <c r="C98" s="36">
        <v>21313.571611525338</v>
      </c>
      <c r="D98" s="36">
        <v>23639.872735217206</v>
      </c>
      <c r="E98" s="36">
        <v>23415.440226037448</v>
      </c>
      <c r="F98" s="36">
        <v>25119.81512898489</v>
      </c>
      <c r="G98" s="36">
        <v>24418.137505705108</v>
      </c>
      <c r="H98" s="36">
        <v>25230.396306952447</v>
      </c>
      <c r="I98" s="36">
        <v>25813.133167535907</v>
      </c>
      <c r="J98" s="36">
        <v>23741.773228545786</v>
      </c>
      <c r="K98" s="36">
        <v>24421.046693896795</v>
      </c>
      <c r="L98" s="36">
        <v>23057.232281048386</v>
      </c>
      <c r="M98" s="36">
        <v>24103.272401948874</v>
      </c>
    </row>
    <row r="99" spans="1:13" x14ac:dyDescent="0.25">
      <c r="A99">
        <v>1998</v>
      </c>
      <c r="B99" s="36">
        <v>22676.464142143202</v>
      </c>
      <c r="C99" s="36">
        <v>22338.795511205386</v>
      </c>
      <c r="D99" s="36">
        <v>24634.768683545855</v>
      </c>
      <c r="E99" s="36">
        <v>24709.540246398687</v>
      </c>
      <c r="F99" s="36">
        <v>26445.519574058464</v>
      </c>
      <c r="G99" s="36">
        <v>25881.485897678824</v>
      </c>
      <c r="H99" s="36">
        <v>26472.573027568735</v>
      </c>
      <c r="I99" s="36">
        <v>26552.996146794256</v>
      </c>
      <c r="J99" s="36">
        <v>24864.221495597605</v>
      </c>
      <c r="K99" s="36">
        <v>26176.950169130141</v>
      </c>
      <c r="L99" s="36">
        <v>24482.402931332548</v>
      </c>
      <c r="M99" s="36">
        <v>25942.125924546322</v>
      </c>
    </row>
    <row r="100" spans="1:13" x14ac:dyDescent="0.25">
      <c r="A100">
        <v>1999</v>
      </c>
      <c r="B100" s="36">
        <v>23825.753588607189</v>
      </c>
      <c r="C100" s="36">
        <v>23672.014182322426</v>
      </c>
      <c r="D100" s="36">
        <v>25854.369310167083</v>
      </c>
      <c r="E100" s="36">
        <v>26322.536517129734</v>
      </c>
      <c r="F100" s="36">
        <v>27449.28800446033</v>
      </c>
      <c r="G100" s="36">
        <v>27001.327700934737</v>
      </c>
      <c r="H100" s="36">
        <v>28038.750790379894</v>
      </c>
      <c r="I100" s="36">
        <v>27574.470612650483</v>
      </c>
      <c r="J100" s="36">
        <v>26037.630735577623</v>
      </c>
      <c r="K100" s="36">
        <v>27522.972710000453</v>
      </c>
      <c r="L100" s="36">
        <v>25936.280744012631</v>
      </c>
      <c r="M100" s="36">
        <v>27504.98010375748</v>
      </c>
    </row>
    <row r="101" spans="1:13" x14ac:dyDescent="0.25">
      <c r="A101">
        <v>2000</v>
      </c>
      <c r="B101" s="36">
        <v>25516.838448307124</v>
      </c>
      <c r="C101" s="36">
        <v>26328.918053388279</v>
      </c>
      <c r="D101" s="36">
        <v>28680.060442379407</v>
      </c>
      <c r="E101" s="36">
        <v>28392.995066184318</v>
      </c>
      <c r="F101" s="36">
        <v>29275.587935157342</v>
      </c>
      <c r="G101" s="36">
        <v>29564.81126674659</v>
      </c>
      <c r="H101" s="36">
        <v>30048.994973696597</v>
      </c>
      <c r="I101" s="36">
        <v>29791.143348161113</v>
      </c>
      <c r="J101" s="36">
        <v>28690.091958480702</v>
      </c>
      <c r="K101" s="36">
        <v>28926.046200987894</v>
      </c>
      <c r="L101" s="36">
        <v>27571.47213129127</v>
      </c>
      <c r="M101" s="36">
        <v>29010.852675219317</v>
      </c>
    </row>
    <row r="102" spans="1:13" x14ac:dyDescent="0.25">
      <c r="A102">
        <v>2001</v>
      </c>
      <c r="B102" s="36">
        <v>26930.686769283369</v>
      </c>
      <c r="C102" s="36">
        <v>26699.782518632586</v>
      </c>
      <c r="D102" s="36">
        <v>29930.239609976888</v>
      </c>
      <c r="E102" s="36">
        <v>28966.207094460042</v>
      </c>
      <c r="F102" s="36">
        <v>30642.367847038175</v>
      </c>
      <c r="G102" s="36">
        <v>30956.595906075287</v>
      </c>
      <c r="H102" s="36">
        <v>31037.82260243487</v>
      </c>
      <c r="I102" s="36">
        <v>31683.248973642872</v>
      </c>
      <c r="J102" s="36">
        <v>28825.692706185564</v>
      </c>
      <c r="K102" s="36">
        <v>29477.544146679091</v>
      </c>
      <c r="L102" s="36">
        <v>28569.356302723754</v>
      </c>
      <c r="M102" s="36">
        <v>30671.799272867494</v>
      </c>
    </row>
    <row r="103" spans="1:13" x14ac:dyDescent="0.25">
      <c r="A103">
        <v>2002</v>
      </c>
      <c r="B103" s="36">
        <v>28071.665372101001</v>
      </c>
      <c r="C103" s="36">
        <v>27935.482646372711</v>
      </c>
      <c r="D103" s="36">
        <v>31203.434392598232</v>
      </c>
      <c r="E103" s="36">
        <v>30573.726989877247</v>
      </c>
      <c r="F103" s="36">
        <v>32135.578570020589</v>
      </c>
      <c r="G103" s="36">
        <v>32001.706619932695</v>
      </c>
      <c r="H103" s="36">
        <v>32287.489283859988</v>
      </c>
      <c r="I103" s="36">
        <v>33152.29776954632</v>
      </c>
      <c r="J103" s="36">
        <v>30168.625447355509</v>
      </c>
      <c r="K103" s="36">
        <v>30906.599987790745</v>
      </c>
      <c r="L103" s="36">
        <v>30255.315434719632</v>
      </c>
      <c r="M103" s="36">
        <v>31656.952485825332</v>
      </c>
    </row>
    <row r="104" spans="1:13" x14ac:dyDescent="0.25">
      <c r="A104">
        <v>2003</v>
      </c>
      <c r="B104" s="36">
        <v>29327.010229176489</v>
      </c>
      <c r="C104" s="36">
        <v>28793.146192753538</v>
      </c>
      <c r="D104" s="36">
        <v>32460.027753079023</v>
      </c>
      <c r="E104" s="36">
        <v>31654.471565451564</v>
      </c>
      <c r="F104" s="36">
        <v>34425.219147204014</v>
      </c>
      <c r="G104" s="36">
        <v>33498.621984095364</v>
      </c>
      <c r="H104" s="36">
        <v>34423.233959397068</v>
      </c>
      <c r="I104" s="36">
        <v>35498.953734639021</v>
      </c>
      <c r="J104" s="36">
        <v>31904.99343939696</v>
      </c>
      <c r="K104" s="36">
        <v>33486.519534793762</v>
      </c>
      <c r="L104" s="36">
        <v>32130.26646164776</v>
      </c>
      <c r="M104" s="36">
        <v>33522.00474836542</v>
      </c>
    </row>
    <row r="105" spans="1:13" x14ac:dyDescent="0.25">
      <c r="A105">
        <v>2004</v>
      </c>
      <c r="B105" s="36">
        <v>32136.745489045476</v>
      </c>
      <c r="C105" s="36">
        <v>32308.589044369943</v>
      </c>
      <c r="D105" s="36">
        <v>34837.272815089404</v>
      </c>
      <c r="E105" s="36">
        <v>34632.872204991079</v>
      </c>
      <c r="F105" s="36">
        <v>36054.513931304784</v>
      </c>
      <c r="G105" s="36">
        <v>35442.775339812208</v>
      </c>
      <c r="H105" s="36">
        <v>37253.081549655813</v>
      </c>
      <c r="I105" s="36">
        <v>36229.966265547948</v>
      </c>
      <c r="J105" s="36">
        <v>34295.185355220157</v>
      </c>
      <c r="K105" s="36">
        <v>35949.662467006252</v>
      </c>
      <c r="L105" s="36">
        <v>33801.533574908448</v>
      </c>
      <c r="M105" s="36">
        <v>36598.239463048463</v>
      </c>
    </row>
    <row r="106" spans="1:13" x14ac:dyDescent="0.25">
      <c r="A106">
        <v>2005</v>
      </c>
      <c r="B106" s="36">
        <v>33469.157985651051</v>
      </c>
      <c r="C106" s="36">
        <v>33399.954334170834</v>
      </c>
      <c r="D106" s="36">
        <v>36607.768566931896</v>
      </c>
      <c r="E106" s="36">
        <v>37370.787392543461</v>
      </c>
      <c r="F106" s="36">
        <v>38100.130923449549</v>
      </c>
      <c r="G106" s="36">
        <v>37843.461051514336</v>
      </c>
      <c r="H106" s="36">
        <v>39292.334615789638</v>
      </c>
      <c r="I106" s="36">
        <v>38654.538435412236</v>
      </c>
      <c r="J106" s="36">
        <v>36790.690347825301</v>
      </c>
      <c r="K106" s="36">
        <v>37864.508714954492</v>
      </c>
      <c r="L106" s="36">
        <v>36063.369622723971</v>
      </c>
      <c r="M106" s="36">
        <v>39057.266759033235</v>
      </c>
    </row>
    <row r="107" spans="1:13" x14ac:dyDescent="0.25">
      <c r="A107">
        <v>2006</v>
      </c>
      <c r="B107" s="36">
        <v>36351.426269572155</v>
      </c>
      <c r="C107" s="36">
        <v>35480.151710280086</v>
      </c>
      <c r="D107" s="36">
        <v>39818.125152627581</v>
      </c>
      <c r="E107" s="36">
        <v>39195.112615450322</v>
      </c>
      <c r="F107" s="36">
        <v>40467.455848957048</v>
      </c>
      <c r="G107" s="36">
        <v>40294.836770338421</v>
      </c>
      <c r="H107" s="36">
        <v>40887.142328535134</v>
      </c>
      <c r="I107" s="36">
        <v>41183.645953438681</v>
      </c>
      <c r="J107" s="36">
        <v>39478.441341392798</v>
      </c>
      <c r="K107" s="36">
        <v>39816.711891457089</v>
      </c>
      <c r="L107" s="36">
        <v>37971.413776402842</v>
      </c>
      <c r="M107" s="36">
        <v>42130.692591547791</v>
      </c>
    </row>
    <row r="108" spans="1:13" x14ac:dyDescent="0.25">
      <c r="A108">
        <v>2007</v>
      </c>
      <c r="B108" s="36">
        <v>37877.836134982768</v>
      </c>
      <c r="C108" s="36">
        <v>37301.114942465501</v>
      </c>
      <c r="D108" s="36">
        <v>42569.425334979591</v>
      </c>
      <c r="E108" s="36">
        <v>40934.216537222768</v>
      </c>
      <c r="F108" s="36">
        <v>43020.974477633557</v>
      </c>
      <c r="G108" s="36">
        <v>43312.947376456366</v>
      </c>
      <c r="H108" s="36">
        <v>43351.309732292473</v>
      </c>
      <c r="I108" s="36">
        <v>43789.066004926914</v>
      </c>
      <c r="J108" s="36">
        <v>41154.220337453546</v>
      </c>
      <c r="K108" s="36">
        <v>42067.101011744795</v>
      </c>
      <c r="L108" s="36">
        <v>40574.221085972858</v>
      </c>
      <c r="M108" s="36">
        <v>43437.473273868825</v>
      </c>
    </row>
    <row r="109" spans="1:13" x14ac:dyDescent="0.25">
      <c r="A109">
        <v>2008</v>
      </c>
      <c r="B109" s="36">
        <v>39635.893454335674</v>
      </c>
      <c r="C109" s="36">
        <v>40176.171828479448</v>
      </c>
      <c r="D109" s="36">
        <v>43094.294823823708</v>
      </c>
      <c r="E109" s="36">
        <v>42472.544565512988</v>
      </c>
      <c r="F109" s="36">
        <v>45588.769663961306</v>
      </c>
      <c r="G109" s="36">
        <v>43837.544115718119</v>
      </c>
      <c r="H109" s="36">
        <v>44698.600188913042</v>
      </c>
      <c r="I109" s="36">
        <v>45474.523050200776</v>
      </c>
      <c r="J109" s="36">
        <v>41749.181693062856</v>
      </c>
      <c r="K109" s="36">
        <v>43055.765297953723</v>
      </c>
      <c r="L109" s="36">
        <v>40800.112766152008</v>
      </c>
      <c r="M109" s="36">
        <v>42242.56730188644</v>
      </c>
    </row>
    <row r="110" spans="1:13" x14ac:dyDescent="0.25">
      <c r="A110">
        <v>2009</v>
      </c>
      <c r="B110" s="36">
        <v>40349.519305613285</v>
      </c>
      <c r="C110" s="36">
        <v>38916.182985215928</v>
      </c>
      <c r="D110" s="36">
        <v>42449.431768276838</v>
      </c>
      <c r="E110" s="36">
        <v>41938.644379659323</v>
      </c>
      <c r="F110" s="36">
        <v>44676.19532930525</v>
      </c>
      <c r="G110" s="36">
        <v>43002.710814075166</v>
      </c>
      <c r="H110" s="36">
        <v>43968.365794917874</v>
      </c>
      <c r="I110" s="36">
        <v>43667.817879110968</v>
      </c>
      <c r="J110" s="36">
        <v>40840.972907902207</v>
      </c>
      <c r="K110" s="36">
        <v>42476.70331473495</v>
      </c>
      <c r="L110" s="36">
        <v>39869.196102071219</v>
      </c>
      <c r="M110" s="36">
        <v>42153.884419117028</v>
      </c>
    </row>
    <row r="111" spans="1:13" x14ac:dyDescent="0.25">
      <c r="A111">
        <v>2010</v>
      </c>
      <c r="B111" s="36">
        <v>39786.69692939199</v>
      </c>
      <c r="C111" s="36">
        <v>39406.247717898455</v>
      </c>
      <c r="D111" s="36">
        <v>43630.898316532315</v>
      </c>
      <c r="E111" s="36">
        <v>43625.778961926488</v>
      </c>
      <c r="F111" s="36">
        <v>45261.186045496157</v>
      </c>
      <c r="G111" s="36">
        <v>44099.665254294137</v>
      </c>
      <c r="H111" s="36">
        <v>45749.572723128978</v>
      </c>
      <c r="I111" s="36">
        <v>44987.617511414704</v>
      </c>
      <c r="J111" s="36">
        <v>42473.921846452475</v>
      </c>
      <c r="K111" s="36">
        <v>44321.681469524992</v>
      </c>
      <c r="L111" s="36">
        <v>41761.494047741202</v>
      </c>
      <c r="M111" s="36">
        <v>44403.145426198163</v>
      </c>
    </row>
    <row r="112" spans="1:13" x14ac:dyDescent="0.25">
      <c r="A112">
        <v>2011</v>
      </c>
      <c r="B112" s="36">
        <v>41484.678002838897</v>
      </c>
      <c r="C112" s="36">
        <v>41759.580667697715</v>
      </c>
      <c r="D112" s="36">
        <v>46640.655912854709</v>
      </c>
      <c r="E112" s="36">
        <v>46461.60304803327</v>
      </c>
      <c r="F112" s="36">
        <v>47971.756431845672</v>
      </c>
      <c r="G112" s="36">
        <v>47255.394267137075</v>
      </c>
      <c r="H112" s="36">
        <v>48581.913179783245</v>
      </c>
      <c r="I112" s="36">
        <v>47684.116285939861</v>
      </c>
      <c r="J112" s="36">
        <v>45944.217866584921</v>
      </c>
      <c r="K112" s="36">
        <v>46935.593388552588</v>
      </c>
      <c r="L112" s="36">
        <v>44345.385053132755</v>
      </c>
      <c r="M112" s="36">
        <v>47836.230895599314</v>
      </c>
    </row>
    <row r="113" spans="1:13" x14ac:dyDescent="0.25">
      <c r="A113">
        <v>2012</v>
      </c>
      <c r="B113" s="36">
        <v>44479.079741007634</v>
      </c>
      <c r="C113" s="36">
        <v>45730.952231151095</v>
      </c>
      <c r="D113" s="36">
        <v>50531.617625535015</v>
      </c>
      <c r="E113" s="36">
        <v>48663.552374209619</v>
      </c>
      <c r="F113" s="36">
        <v>50628.225231363125</v>
      </c>
      <c r="G113" s="36">
        <v>50259.819193615665</v>
      </c>
      <c r="H113" s="36">
        <v>50107.311543430878</v>
      </c>
      <c r="I113" s="36">
        <v>50535.674131084284</v>
      </c>
      <c r="J113" s="36">
        <v>48001.199331872034</v>
      </c>
      <c r="K113" s="36">
        <v>48752.99397362068</v>
      </c>
      <c r="L113" s="36">
        <v>47719.135278455113</v>
      </c>
      <c r="M113" s="36">
        <v>50772.064344654886</v>
      </c>
    </row>
    <row r="114" spans="1:13" x14ac:dyDescent="0.25">
      <c r="A114">
        <v>2013</v>
      </c>
      <c r="B114" s="36">
        <v>47020.93507680123</v>
      </c>
      <c r="C114" s="36">
        <v>46690.475779779415</v>
      </c>
      <c r="D114" s="36">
        <v>52986.482928558144</v>
      </c>
      <c r="E114" s="36">
        <v>50915.841133466827</v>
      </c>
      <c r="F114" s="36">
        <v>53288.494293423922</v>
      </c>
      <c r="G114" s="36">
        <v>51689.356473338994</v>
      </c>
      <c r="H114" s="36">
        <v>51944.747099240398</v>
      </c>
      <c r="I114" s="36">
        <v>53172.077247902198</v>
      </c>
      <c r="J114" s="36">
        <v>49267.536449912033</v>
      </c>
      <c r="K114" s="36">
        <v>51578.14884354212</v>
      </c>
      <c r="L114" s="36">
        <v>50906.140423300967</v>
      </c>
      <c r="M114" s="36">
        <v>52608.07675073373</v>
      </c>
    </row>
    <row r="115" spans="1:13" x14ac:dyDescent="0.25">
      <c r="A115">
        <v>2014</v>
      </c>
      <c r="B115" s="36">
        <v>48676.098268001013</v>
      </c>
      <c r="C115" s="36">
        <v>48430.331058424352</v>
      </c>
      <c r="D115" s="36">
        <v>55196.045252103817</v>
      </c>
      <c r="E115" s="36">
        <v>53593.847082151064</v>
      </c>
      <c r="F115" s="36">
        <v>57207.169401109895</v>
      </c>
      <c r="G115" s="36">
        <v>54435.058124152602</v>
      </c>
      <c r="H115" s="36">
        <v>55454.279205132196</v>
      </c>
      <c r="I115" s="36">
        <v>56752.959737566234</v>
      </c>
      <c r="J115" s="36">
        <v>52987.219338910785</v>
      </c>
      <c r="K115" s="36">
        <v>56009.056668613775</v>
      </c>
      <c r="L115" s="36">
        <v>53632.878360352406</v>
      </c>
      <c r="M115" s="36">
        <v>57089.870003481861</v>
      </c>
    </row>
    <row r="116" spans="1:13" x14ac:dyDescent="0.25">
      <c r="A116">
        <v>2015</v>
      </c>
      <c r="B116" s="36">
        <v>56871.350168773221</v>
      </c>
      <c r="C116" s="36">
        <v>55373.272620064003</v>
      </c>
      <c r="D116" s="36">
        <v>62722.05380286368</v>
      </c>
      <c r="E116" s="36">
        <v>61868.241445373445</v>
      </c>
      <c r="F116" s="36">
        <v>65709.482041760552</v>
      </c>
      <c r="G116" s="36">
        <v>62620.224702715997</v>
      </c>
      <c r="H116" s="36">
        <v>63976.210244530856</v>
      </c>
      <c r="I116" s="36">
        <v>63885.019829945217</v>
      </c>
      <c r="J116" s="36">
        <v>60528.193454258078</v>
      </c>
      <c r="K116" s="36">
        <v>64008.091417725002</v>
      </c>
      <c r="L116" s="36">
        <v>60188.975960626012</v>
      </c>
      <c r="M116" s="36">
        <v>65236.759311364032</v>
      </c>
    </row>
    <row r="117" spans="1:13" x14ac:dyDescent="0.25">
      <c r="A117">
        <v>2016</v>
      </c>
      <c r="B117" s="36">
        <v>60128.142560989007</v>
      </c>
      <c r="C117" s="36">
        <v>61645.448445016074</v>
      </c>
      <c r="D117" s="36">
        <v>66741.767395944073</v>
      </c>
      <c r="E117" s="36">
        <v>67228.511708034363</v>
      </c>
      <c r="F117" s="36">
        <v>68520.218856228996</v>
      </c>
      <c r="G117" s="36">
        <v>66559.562982995587</v>
      </c>
      <c r="H117" s="36">
        <v>68307.240579567078</v>
      </c>
      <c r="I117" s="36">
        <v>67373.621092658112</v>
      </c>
      <c r="J117" s="36">
        <v>65442.020602207682</v>
      </c>
      <c r="K117" s="36">
        <v>67251.563623484151</v>
      </c>
      <c r="L117" s="36">
        <v>64879.046845171863</v>
      </c>
      <c r="M117" s="36">
        <v>69941.480307703139</v>
      </c>
    </row>
    <row r="118" spans="1:13" x14ac:dyDescent="0.25">
      <c r="A118">
        <v>2017</v>
      </c>
      <c r="B118" s="36">
        <v>64684.54298540212</v>
      </c>
      <c r="C118" s="36">
        <v>64364.493311497987</v>
      </c>
      <c r="D118" s="36">
        <v>72854.202786491194</v>
      </c>
      <c r="E118" s="36">
        <v>71360.832872463579</v>
      </c>
      <c r="F118" s="36">
        <v>73605.541711459722</v>
      </c>
      <c r="G118" s="36">
        <v>72555.503750874763</v>
      </c>
      <c r="H118" s="36">
        <v>72654.442964891452</v>
      </c>
      <c r="I118" s="36">
        <v>72635.932609870331</v>
      </c>
      <c r="J118" s="36">
        <v>70071.073576753144</v>
      </c>
      <c r="K118" s="36">
        <v>71240.669748324523</v>
      </c>
      <c r="L118" s="36">
        <v>68786.490581525417</v>
      </c>
      <c r="M118" s="36">
        <v>75396.835600445731</v>
      </c>
    </row>
    <row r="119" spans="1:13" x14ac:dyDescent="0.25">
      <c r="A119">
        <v>2018</v>
      </c>
      <c r="B119" s="36">
        <v>67253.861614567475</v>
      </c>
      <c r="C119" s="36">
        <v>67223.591349303097</v>
      </c>
      <c r="D119" s="36">
        <v>77260.544011637554</v>
      </c>
      <c r="E119" s="36">
        <v>74047.583073350354</v>
      </c>
      <c r="F119" s="36">
        <v>79096.509073749825</v>
      </c>
      <c r="G119" s="36">
        <v>78853.968794771179</v>
      </c>
      <c r="H119" s="36">
        <v>78716.62237148876</v>
      </c>
      <c r="I119" s="36">
        <v>79174.539851525056</v>
      </c>
      <c r="J119" s="36">
        <v>73079.567849506129</v>
      </c>
      <c r="K119" s="36">
        <v>74768.626936200671</v>
      </c>
      <c r="L119" s="36">
        <v>71651.519365249274</v>
      </c>
      <c r="M119" s="36">
        <v>76021.065708650567</v>
      </c>
    </row>
    <row r="120" spans="1:13" x14ac:dyDescent="0.25">
      <c r="A120">
        <v>2019</v>
      </c>
      <c r="B120" s="36">
        <v>69817.107165148496</v>
      </c>
      <c r="C120" s="36">
        <v>69274.845640675514</v>
      </c>
      <c r="D120" s="36">
        <v>79602.512791876346</v>
      </c>
      <c r="E120" s="36">
        <v>76848.554399868401</v>
      </c>
      <c r="F120" s="36">
        <v>82023.80116993816</v>
      </c>
      <c r="G120" s="36">
        <v>80974.11636315097</v>
      </c>
      <c r="H120" s="36">
        <v>81550.843958988422</v>
      </c>
      <c r="I120" s="36">
        <v>83329.955225091515</v>
      </c>
      <c r="J120" s="36">
        <v>77422.802296219583</v>
      </c>
      <c r="K120" s="36">
        <v>80426.869837165679</v>
      </c>
      <c r="L120" s="36">
        <v>78426.694253326932</v>
      </c>
      <c r="M120" s="36">
        <v>82886.459398549967</v>
      </c>
    </row>
    <row r="121" spans="1:13" x14ac:dyDescent="0.25">
      <c r="A121">
        <v>2020</v>
      </c>
      <c r="B121" s="36">
        <v>77900.100329112043</v>
      </c>
      <c r="C121" s="36">
        <v>79315.78142306424</v>
      </c>
      <c r="D121" s="36">
        <v>63393.813479300909</v>
      </c>
      <c r="E121" s="36">
        <v>41829.113444744944</v>
      </c>
      <c r="F121" s="36">
        <v>57060.790091386356</v>
      </c>
      <c r="G121" s="36">
        <v>68077.775699081583</v>
      </c>
      <c r="H121" s="36">
        <v>72354.775659943843</v>
      </c>
      <c r="I121" s="36">
        <v>74106.730383981616</v>
      </c>
      <c r="J121" s="36">
        <v>71375.800344456511</v>
      </c>
      <c r="K121" s="36">
        <v>73640.623045338056</v>
      </c>
      <c r="L121" s="36">
        <v>65299.683480658932</v>
      </c>
      <c r="M121" s="36">
        <v>65407.387618930894</v>
      </c>
    </row>
    <row r="122" spans="1:13" x14ac:dyDescent="0.25">
      <c r="A122">
        <v>2021</v>
      </c>
      <c r="B122" s="36">
        <v>75814.221375215682</v>
      </c>
      <c r="C122" s="36">
        <v>71035.988984103577</v>
      </c>
      <c r="D122" s="36">
        <v>87684.310218697938</v>
      </c>
      <c r="E122" s="36">
        <v>88786.376774542034</v>
      </c>
      <c r="F122" s="36">
        <v>94059.2895223706</v>
      </c>
      <c r="G122" s="36">
        <v>93259.911221962175</v>
      </c>
      <c r="H122" s="36">
        <v>96711.513585468405</v>
      </c>
      <c r="I122" s="36">
        <v>93214.26841157231</v>
      </c>
      <c r="J122" s="36">
        <v>88582.424471939783</v>
      </c>
      <c r="K122" s="36">
        <v>91978.590693986727</v>
      </c>
      <c r="L122" s="36">
        <v>86628.177328341029</v>
      </c>
      <c r="M122" s="36">
        <v>91539.302411799814</v>
      </c>
    </row>
    <row r="123" spans="1:13" x14ac:dyDescent="0.25">
      <c r="A123">
        <v>2022</v>
      </c>
      <c r="B123" s="36">
        <v>82338.545157781758</v>
      </c>
      <c r="C123" s="36">
        <v>84513.517039742044</v>
      </c>
      <c r="D123" s="36">
        <v>97674.314150617691</v>
      </c>
      <c r="E123" s="36">
        <v>99603.113957174166</v>
      </c>
      <c r="F123" s="36">
        <v>103939.5605368805</v>
      </c>
      <c r="G123" s="36">
        <v>102122.00150973391</v>
      </c>
      <c r="H123" s="36">
        <v>104089.16842252279</v>
      </c>
      <c r="I123" s="36">
        <v>103412.408310434</v>
      </c>
      <c r="J123" s="36">
        <v>99942.56202247864</v>
      </c>
      <c r="K123" s="36">
        <v>103540.84109803769</v>
      </c>
      <c r="L123" s="36">
        <v>97504.914230367009</v>
      </c>
      <c r="M123" s="38">
        <v>96200.444908215344</v>
      </c>
    </row>
    <row r="124" spans="1:13" x14ac:dyDescent="0.25">
      <c r="A124">
        <v>2023</v>
      </c>
      <c r="B124" s="38">
        <v>97701.013294882665</v>
      </c>
      <c r="C124" s="38">
        <v>98860.410079191555</v>
      </c>
      <c r="D124" s="38">
        <v>96952.126130038407</v>
      </c>
      <c r="E124" s="38">
        <v>95789.07326657942</v>
      </c>
      <c r="F124" s="38">
        <v>96651.61060259676</v>
      </c>
      <c r="G124" s="38">
        <v>97703.546686858885</v>
      </c>
      <c r="H124" s="38">
        <v>97903.180756456597</v>
      </c>
      <c r="I124" s="38">
        <v>98138.032081646161</v>
      </c>
      <c r="J124" s="38">
        <v>98066.341151868852</v>
      </c>
      <c r="K124" s="38">
        <v>97922.239120894825</v>
      </c>
      <c r="L124" s="38">
        <v>95521.486778905281</v>
      </c>
      <c r="M124" s="38">
        <v>94374.802750578208</v>
      </c>
    </row>
    <row r="125" spans="1:13" x14ac:dyDescent="0.25">
      <c r="A125" t="s">
        <v>60</v>
      </c>
    </row>
    <row r="126" spans="1:13" x14ac:dyDescent="0.25">
      <c r="B126" s="35" t="str">
        <f>B97</f>
        <v>Jan</v>
      </c>
      <c r="C126" s="35" t="str">
        <f t="shared" ref="C126:M126" si="11">C97</f>
        <v>Feb</v>
      </c>
      <c r="D126" s="35" t="str">
        <f t="shared" si="11"/>
        <v>Mar</v>
      </c>
      <c r="E126" s="35" t="str">
        <f t="shared" si="11"/>
        <v>Apr</v>
      </c>
      <c r="F126" s="35" t="str">
        <f t="shared" si="11"/>
        <v>May</v>
      </c>
      <c r="G126" s="35" t="str">
        <f t="shared" si="11"/>
        <v>Jun</v>
      </c>
      <c r="H126" s="35" t="str">
        <f t="shared" si="11"/>
        <v>Jul</v>
      </c>
      <c r="I126" s="35" t="str">
        <f t="shared" si="11"/>
        <v>Aug</v>
      </c>
      <c r="J126" s="35" t="str">
        <f t="shared" si="11"/>
        <v>Sep</v>
      </c>
      <c r="K126" s="35" t="str">
        <f t="shared" si="11"/>
        <v>Oct</v>
      </c>
      <c r="L126" s="35" t="str">
        <f t="shared" si="11"/>
        <v>Nov</v>
      </c>
      <c r="M126" s="35" t="str">
        <f t="shared" si="11"/>
        <v>Dec</v>
      </c>
    </row>
    <row r="127" spans="1:13" x14ac:dyDescent="0.25">
      <c r="A127">
        <v>1997</v>
      </c>
      <c r="B127" s="40">
        <v>51791.734375</v>
      </c>
      <c r="C127" s="40">
        <v>49467.80078125</v>
      </c>
      <c r="D127" s="40">
        <v>55223.97265625</v>
      </c>
      <c r="E127" s="40">
        <v>53426.9453125</v>
      </c>
      <c r="F127" s="40">
        <v>57597.05859375</v>
      </c>
      <c r="G127" s="40">
        <v>55299.63671875</v>
      </c>
      <c r="H127" s="40">
        <v>57529.1171875</v>
      </c>
      <c r="I127" s="40">
        <v>58038.10546875</v>
      </c>
      <c r="J127" s="40">
        <v>54138.421875</v>
      </c>
      <c r="K127" s="40">
        <v>56265.2421875</v>
      </c>
      <c r="L127" s="40">
        <v>54857.5078125</v>
      </c>
      <c r="M127" s="40">
        <v>59152.890625</v>
      </c>
    </row>
    <row r="128" spans="1:13" x14ac:dyDescent="0.25">
      <c r="A128">
        <v>1998</v>
      </c>
      <c r="B128" s="40">
        <v>53119.1015625</v>
      </c>
      <c r="C128" s="40">
        <v>50502.05078125</v>
      </c>
      <c r="D128" s="40">
        <v>55420.7734375</v>
      </c>
      <c r="E128" s="40">
        <v>55948.32421875</v>
      </c>
      <c r="F128" s="40">
        <v>59232.85546875</v>
      </c>
      <c r="G128" s="40">
        <v>57700.625</v>
      </c>
      <c r="H128" s="40">
        <v>59749.9296875</v>
      </c>
      <c r="I128" s="40">
        <v>59152.46875</v>
      </c>
      <c r="J128" s="40">
        <v>56246.84765625</v>
      </c>
      <c r="K128" s="40">
        <v>59056.46875</v>
      </c>
      <c r="L128" s="40">
        <v>57011.5078125</v>
      </c>
      <c r="M128" s="40">
        <v>62902.01171875</v>
      </c>
    </row>
    <row r="129" spans="1:16" x14ac:dyDescent="0.25">
      <c r="A129">
        <v>1999</v>
      </c>
      <c r="B129" s="40">
        <v>55364.8671875</v>
      </c>
      <c r="C129" s="40">
        <v>53421.9765625</v>
      </c>
      <c r="D129" s="40">
        <v>58956.375</v>
      </c>
      <c r="E129" s="40">
        <v>58938.1953125</v>
      </c>
      <c r="F129" s="40">
        <v>61849.11328125</v>
      </c>
      <c r="G129" s="40">
        <v>60494.328125</v>
      </c>
      <c r="H129" s="40">
        <v>63070.48046875</v>
      </c>
      <c r="I129" s="40">
        <v>61502.03125</v>
      </c>
      <c r="J129" s="40">
        <v>59479.578125</v>
      </c>
      <c r="K129" s="40">
        <v>61601.9921875</v>
      </c>
      <c r="L129" s="40">
        <v>60213.0703125</v>
      </c>
      <c r="M129" s="40">
        <v>67874.0546875</v>
      </c>
    </row>
    <row r="130" spans="1:16" x14ac:dyDescent="0.25">
      <c r="A130">
        <v>2000</v>
      </c>
      <c r="B130" s="40">
        <v>57592.34765625</v>
      </c>
      <c r="C130" s="40">
        <v>58163.20703125</v>
      </c>
      <c r="D130" s="40">
        <v>63381.52734375</v>
      </c>
      <c r="E130" s="40">
        <v>62566.54296875</v>
      </c>
      <c r="F130" s="40">
        <v>64887.078125</v>
      </c>
      <c r="G130" s="40">
        <v>65159.62890625</v>
      </c>
      <c r="H130" s="40">
        <v>65925.390625</v>
      </c>
      <c r="I130" s="40">
        <v>65717.8125</v>
      </c>
      <c r="J130" s="40">
        <v>63611.87109375</v>
      </c>
      <c r="K130" s="40">
        <v>64172.72265625</v>
      </c>
      <c r="L130" s="40">
        <v>64049.3203125</v>
      </c>
      <c r="M130" s="40">
        <v>70350.6171875</v>
      </c>
    </row>
    <row r="131" spans="1:16" x14ac:dyDescent="0.25">
      <c r="A131">
        <v>2001</v>
      </c>
      <c r="B131" s="40">
        <v>61691.0859375</v>
      </c>
      <c r="C131" s="40">
        <v>59736.53515625</v>
      </c>
      <c r="D131" s="40">
        <v>66446.6328125</v>
      </c>
      <c r="E131" s="40">
        <v>64587.41796875</v>
      </c>
      <c r="F131" s="40">
        <v>68576.6015625</v>
      </c>
      <c r="G131" s="40">
        <v>68081.1875</v>
      </c>
      <c r="H131" s="40">
        <v>68069.59375</v>
      </c>
      <c r="I131" s="40">
        <v>69569.6953125</v>
      </c>
      <c r="J131" s="40">
        <v>64831.8125</v>
      </c>
      <c r="K131" s="40">
        <v>66381.1796875</v>
      </c>
      <c r="L131" s="40">
        <v>66540.5703125</v>
      </c>
      <c r="M131" s="40">
        <v>72924.65625</v>
      </c>
    </row>
    <row r="132" spans="1:16" x14ac:dyDescent="0.25">
      <c r="A132">
        <v>2002</v>
      </c>
      <c r="B132" s="40">
        <v>63725.8984375</v>
      </c>
      <c r="C132" s="40">
        <v>61657.76953125</v>
      </c>
      <c r="D132" s="40">
        <v>69157.6484375</v>
      </c>
      <c r="E132" s="40">
        <v>66150.171875</v>
      </c>
      <c r="F132" s="40">
        <v>71037.8671875</v>
      </c>
      <c r="G132" s="40">
        <v>69383.3046875</v>
      </c>
      <c r="H132" s="40">
        <v>70394.3125</v>
      </c>
      <c r="I132" s="40">
        <v>71776.15625</v>
      </c>
      <c r="J132" s="40">
        <v>65996.2265625</v>
      </c>
      <c r="K132" s="40">
        <v>68579.7890625</v>
      </c>
      <c r="L132" s="40">
        <v>69367.828125</v>
      </c>
      <c r="M132" s="40">
        <v>74159.828125</v>
      </c>
    </row>
    <row r="133" spans="1:16" x14ac:dyDescent="0.25">
      <c r="A133">
        <v>2003</v>
      </c>
      <c r="B133" s="40">
        <v>66886.4296875</v>
      </c>
      <c r="C133" s="40">
        <v>64168.62890625</v>
      </c>
      <c r="D133" s="40">
        <v>70964.0234375</v>
      </c>
      <c r="E133" s="40">
        <v>69492.1875</v>
      </c>
      <c r="F133" s="40">
        <v>74557.203125</v>
      </c>
      <c r="G133" s="40">
        <v>71838.6328125</v>
      </c>
      <c r="H133" s="40">
        <v>74345.609375</v>
      </c>
      <c r="I133" s="40">
        <v>75744.078125</v>
      </c>
      <c r="J133" s="40">
        <v>69691.2734375</v>
      </c>
      <c r="K133" s="40">
        <v>73094.0234375</v>
      </c>
      <c r="L133" s="40">
        <v>72400.0078125</v>
      </c>
      <c r="M133" s="40">
        <v>78148.78125</v>
      </c>
    </row>
    <row r="134" spans="1:16" x14ac:dyDescent="0.25">
      <c r="A134">
        <v>2004</v>
      </c>
      <c r="B134" s="40">
        <v>71715.8203125</v>
      </c>
      <c r="C134" s="40">
        <v>69945.3671875</v>
      </c>
      <c r="D134" s="40">
        <v>74750.296875</v>
      </c>
      <c r="E134" s="40">
        <v>74637.3046875</v>
      </c>
      <c r="F134" s="40">
        <v>78090.84375</v>
      </c>
      <c r="G134" s="40">
        <v>76025.3203125</v>
      </c>
      <c r="H134" s="40">
        <v>79448.2890625</v>
      </c>
      <c r="I134" s="40">
        <v>77283.140625</v>
      </c>
      <c r="J134" s="40">
        <v>74517.4296875</v>
      </c>
      <c r="K134" s="40">
        <v>77758.03125</v>
      </c>
      <c r="L134" s="40">
        <v>76259.1328125</v>
      </c>
      <c r="M134" s="40">
        <v>84929.921875</v>
      </c>
    </row>
    <row r="135" spans="1:16" x14ac:dyDescent="0.25">
      <c r="A135">
        <v>2005</v>
      </c>
      <c r="B135" s="40">
        <v>74461.1796875</v>
      </c>
      <c r="C135" s="40">
        <v>72180.84375</v>
      </c>
      <c r="D135" s="40">
        <v>79833.265625</v>
      </c>
      <c r="E135" s="40">
        <v>79291.1953125</v>
      </c>
      <c r="F135" s="40">
        <v>81988.3828125</v>
      </c>
      <c r="G135" s="40">
        <v>81320.1796875</v>
      </c>
      <c r="H135" s="40">
        <v>83692.9296875</v>
      </c>
      <c r="I135" s="40">
        <v>82916.140625</v>
      </c>
      <c r="J135" s="40">
        <v>80021.4453125</v>
      </c>
      <c r="K135" s="40">
        <v>82304.953125</v>
      </c>
      <c r="L135" s="40">
        <v>81132.1796875</v>
      </c>
      <c r="M135" s="40">
        <v>90396.328125</v>
      </c>
      <c r="O135" s="41"/>
      <c r="P135" t="e" cm="1">
        <f t="array" ref="P135">- Need to update</f>
        <v>#NAME?</v>
      </c>
    </row>
    <row r="136" spans="1:16" x14ac:dyDescent="0.25">
      <c r="A136">
        <v>2006</v>
      </c>
      <c r="B136" s="40">
        <v>79003.7421875</v>
      </c>
      <c r="C136" s="40">
        <v>76540.6953125</v>
      </c>
      <c r="D136" s="40">
        <v>84708.9609375</v>
      </c>
      <c r="E136" s="40">
        <v>83677.4375</v>
      </c>
      <c r="F136" s="40">
        <v>87232.9921875</v>
      </c>
      <c r="G136" s="40">
        <v>86234.515625</v>
      </c>
      <c r="H136" s="40">
        <v>87356.4375</v>
      </c>
      <c r="I136" s="40">
        <v>88014.921875</v>
      </c>
      <c r="J136" s="40">
        <v>84077.7109375</v>
      </c>
      <c r="K136" s="40">
        <v>85437.9140625</v>
      </c>
      <c r="L136" s="40">
        <v>85171.7109375</v>
      </c>
      <c r="M136" s="40">
        <v>95646.5546875</v>
      </c>
    </row>
    <row r="137" spans="1:16" x14ac:dyDescent="0.25">
      <c r="A137">
        <v>2007</v>
      </c>
      <c r="B137" s="40">
        <v>83123.0859375</v>
      </c>
      <c r="C137" s="40">
        <v>80506.765625</v>
      </c>
      <c r="D137" s="40">
        <v>90249.9140625</v>
      </c>
      <c r="E137" s="40">
        <v>86883.265625</v>
      </c>
      <c r="F137" s="40">
        <v>92313.140625</v>
      </c>
      <c r="G137" s="40">
        <v>91678.0859375</v>
      </c>
      <c r="H137" s="40">
        <v>91702.6015625</v>
      </c>
      <c r="I137" s="40">
        <v>92894.7421875</v>
      </c>
      <c r="J137" s="40">
        <v>87761.6171875</v>
      </c>
      <c r="K137" s="40">
        <v>90146.4765625</v>
      </c>
      <c r="L137" s="40">
        <v>91007.4765625</v>
      </c>
      <c r="M137" s="40">
        <v>99819.9765625</v>
      </c>
    </row>
    <row r="138" spans="1:16" x14ac:dyDescent="0.25">
      <c r="A138">
        <v>2008</v>
      </c>
      <c r="B138" s="40">
        <v>87701.3046875</v>
      </c>
      <c r="C138" s="40">
        <v>87070.546875</v>
      </c>
      <c r="D138" s="40">
        <v>93210.8828125</v>
      </c>
      <c r="E138" s="40">
        <v>90680.140625</v>
      </c>
      <c r="F138" s="40">
        <v>98401.5703125</v>
      </c>
      <c r="G138" s="40">
        <v>94458.7421875</v>
      </c>
      <c r="H138" s="40">
        <v>96671.6953125</v>
      </c>
      <c r="I138" s="40">
        <v>97533.2578125</v>
      </c>
      <c r="J138" s="40">
        <v>90209.921875</v>
      </c>
      <c r="K138" s="40">
        <v>93257.0078125</v>
      </c>
      <c r="L138" s="40">
        <v>91265.9921875</v>
      </c>
      <c r="M138" s="40">
        <v>97036.484375</v>
      </c>
    </row>
    <row r="139" spans="1:16" x14ac:dyDescent="0.25">
      <c r="A139">
        <v>2009</v>
      </c>
      <c r="B139" s="40">
        <v>88710.515625</v>
      </c>
      <c r="C139" s="40">
        <v>83671.609375</v>
      </c>
      <c r="D139" s="40">
        <v>90271.046875</v>
      </c>
      <c r="E139" s="40">
        <v>89992.9296875</v>
      </c>
      <c r="F139" s="40">
        <v>95557.015625</v>
      </c>
      <c r="G139" s="40">
        <v>91994.1171875</v>
      </c>
      <c r="H139" s="40">
        <v>94254.3359375</v>
      </c>
      <c r="I139" s="40">
        <v>93584.90625</v>
      </c>
      <c r="J139" s="40">
        <v>88415.1640625</v>
      </c>
      <c r="K139" s="40">
        <v>92410.7109375</v>
      </c>
      <c r="L139" s="40">
        <v>90191.9609375</v>
      </c>
      <c r="M139" s="40">
        <v>98844.5625</v>
      </c>
    </row>
    <row r="140" spans="1:16" x14ac:dyDescent="0.25">
      <c r="A140">
        <v>2010</v>
      </c>
      <c r="B140" s="40">
        <v>88656.359375</v>
      </c>
      <c r="C140" s="40">
        <v>86082.359375</v>
      </c>
      <c r="D140" s="40">
        <v>94158.6953125</v>
      </c>
      <c r="E140" s="40">
        <v>92923.6015625</v>
      </c>
      <c r="F140" s="40">
        <v>97043.5078125</v>
      </c>
      <c r="G140" s="40">
        <v>94019.0078125</v>
      </c>
      <c r="H140" s="40">
        <v>97089.8125</v>
      </c>
      <c r="I140" s="40">
        <v>95537.53125</v>
      </c>
      <c r="J140" s="40">
        <v>91442.515625</v>
      </c>
      <c r="K140" s="40">
        <v>95043.25</v>
      </c>
      <c r="L140" s="40">
        <v>93805.203125</v>
      </c>
      <c r="M140" s="40">
        <v>102870.4453125</v>
      </c>
    </row>
    <row r="141" spans="1:16" x14ac:dyDescent="0.25">
      <c r="A141">
        <v>2011</v>
      </c>
      <c r="B141" s="40">
        <v>91798.6328125</v>
      </c>
      <c r="C141" s="40">
        <v>89895.796875</v>
      </c>
      <c r="D141" s="40">
        <v>99160.7265625</v>
      </c>
      <c r="E141" s="40">
        <v>99461.375</v>
      </c>
      <c r="F141" s="40">
        <v>101971.7890625</v>
      </c>
      <c r="G141" s="40">
        <v>100626.7578125</v>
      </c>
      <c r="H141" s="40">
        <v>102970.3515625</v>
      </c>
      <c r="I141" s="40">
        <v>101767.6484375</v>
      </c>
      <c r="J141" s="40">
        <v>97919.328125</v>
      </c>
      <c r="K141" s="40">
        <v>100440.9921875</v>
      </c>
      <c r="L141" s="40">
        <v>99220.7578125</v>
      </c>
      <c r="M141" s="40">
        <v>108961.84375</v>
      </c>
    </row>
    <row r="142" spans="1:16" x14ac:dyDescent="0.25">
      <c r="A142">
        <v>2012</v>
      </c>
      <c r="B142" s="40">
        <v>96381.8984375</v>
      </c>
      <c r="C142" s="40">
        <v>97672.6875</v>
      </c>
      <c r="D142" s="40">
        <v>106142.390625</v>
      </c>
      <c r="E142" s="40">
        <v>102282.8046875</v>
      </c>
      <c r="F142" s="40">
        <v>107113.2109375</v>
      </c>
      <c r="G142" s="40">
        <v>105304.6171875</v>
      </c>
      <c r="H142" s="40">
        <v>105047.3671875</v>
      </c>
      <c r="I142" s="40">
        <v>106829.015625</v>
      </c>
      <c r="J142" s="40">
        <v>101381.7109375</v>
      </c>
      <c r="K142" s="40">
        <v>103847.5625</v>
      </c>
      <c r="L142" s="40">
        <v>104409.46875</v>
      </c>
      <c r="M142" s="40">
        <v>112709.2109375</v>
      </c>
    </row>
    <row r="143" spans="1:16" x14ac:dyDescent="0.25">
      <c r="A143">
        <v>2013</v>
      </c>
      <c r="B143" s="40">
        <v>100803.1171875</v>
      </c>
      <c r="C143" s="40">
        <v>98448.4140625</v>
      </c>
      <c r="D143" s="40">
        <v>110489.34375</v>
      </c>
      <c r="E143" s="40">
        <v>104259.84375</v>
      </c>
      <c r="F143" s="40">
        <v>111156.625</v>
      </c>
      <c r="G143" s="40">
        <v>107636.8046875</v>
      </c>
      <c r="H143" s="40">
        <v>108624.828125</v>
      </c>
      <c r="I143" s="40">
        <v>110966.9375</v>
      </c>
      <c r="J143" s="40">
        <v>103249.0625</v>
      </c>
      <c r="K143" s="40">
        <v>107999.4453125</v>
      </c>
      <c r="L143" s="40">
        <v>109287.265625</v>
      </c>
      <c r="M143" s="40">
        <v>115910.7578125</v>
      </c>
    </row>
    <row r="144" spans="1:16" x14ac:dyDescent="0.25">
      <c r="A144">
        <v>2014</v>
      </c>
      <c r="B144" s="40">
        <v>104767.2734375</v>
      </c>
      <c r="C144" s="40">
        <v>101465.3984375</v>
      </c>
      <c r="D144" s="40">
        <v>112867.7109375</v>
      </c>
      <c r="E144" s="40">
        <v>110637.09375</v>
      </c>
      <c r="F144" s="40">
        <v>117836.1875</v>
      </c>
      <c r="G144" s="40">
        <v>112386.203125</v>
      </c>
      <c r="H144" s="40">
        <v>114978.8984375</v>
      </c>
      <c r="I144" s="40">
        <v>117006.8125</v>
      </c>
      <c r="J144" s="40">
        <v>109571.265625</v>
      </c>
      <c r="K144" s="40">
        <v>115502.984375</v>
      </c>
      <c r="L144" s="40">
        <v>114309.234375</v>
      </c>
      <c r="M144" s="40">
        <v>122902.7421875</v>
      </c>
    </row>
    <row r="145" spans="1:13" x14ac:dyDescent="0.25">
      <c r="A145">
        <v>2015</v>
      </c>
      <c r="B145" s="36">
        <v>116161.3828125</v>
      </c>
      <c r="C145" s="36">
        <v>110913.71875</v>
      </c>
      <c r="D145" s="36">
        <v>123260.203125</v>
      </c>
      <c r="E145" s="36">
        <v>120837.015625</v>
      </c>
      <c r="F145" s="36">
        <v>128504.4765625</v>
      </c>
      <c r="G145" s="36">
        <v>122964.578125</v>
      </c>
      <c r="H145" s="36">
        <v>126271.109375</v>
      </c>
      <c r="I145" s="36">
        <v>125580.40625</v>
      </c>
      <c r="J145" s="36">
        <v>119180.1328125</v>
      </c>
      <c r="K145" s="36">
        <v>125216.4296875</v>
      </c>
      <c r="L145" s="36">
        <v>121815.875</v>
      </c>
      <c r="M145" s="36">
        <v>133300.296875</v>
      </c>
    </row>
    <row r="146" spans="1:13" x14ac:dyDescent="0.25">
      <c r="A146">
        <v>2016</v>
      </c>
      <c r="B146" s="36">
        <v>119363.484375</v>
      </c>
      <c r="C146" s="36">
        <v>118936.5546875</v>
      </c>
      <c r="D146" s="36">
        <v>128330.7109375</v>
      </c>
      <c r="E146" s="36">
        <v>126738.625</v>
      </c>
      <c r="F146" s="36">
        <v>131117.953125</v>
      </c>
      <c r="G146" s="36">
        <v>128271.8671875</v>
      </c>
      <c r="H146" s="36">
        <v>130838.4296875</v>
      </c>
      <c r="I146" s="36">
        <v>129300.6953125</v>
      </c>
      <c r="J146" s="36">
        <v>125251.1953125</v>
      </c>
      <c r="K146" s="36">
        <v>129226.421875</v>
      </c>
      <c r="L146" s="36">
        <v>128184.515625</v>
      </c>
      <c r="M146" s="36">
        <v>140604.375</v>
      </c>
    </row>
    <row r="147" spans="1:13" x14ac:dyDescent="0.25">
      <c r="A147">
        <v>2017</v>
      </c>
      <c r="B147" s="36">
        <v>125097.7578125</v>
      </c>
      <c r="C147" s="36">
        <v>122034.9765625</v>
      </c>
      <c r="D147" s="36">
        <v>136352.03125</v>
      </c>
      <c r="E147" s="36">
        <v>134031.03125</v>
      </c>
      <c r="F147" s="36">
        <v>138668.921875</v>
      </c>
      <c r="G147" s="36">
        <v>136197.40625</v>
      </c>
      <c r="H147" s="36">
        <v>136826.265625</v>
      </c>
      <c r="I147" s="36">
        <v>137430.96875</v>
      </c>
      <c r="J147" s="36">
        <v>133144.046875</v>
      </c>
      <c r="K147" s="36">
        <v>135463.984375</v>
      </c>
      <c r="L147" s="36">
        <v>135624.84375</v>
      </c>
      <c r="M147" s="36">
        <v>149525.125</v>
      </c>
    </row>
    <row r="148" spans="1:13" x14ac:dyDescent="0.25">
      <c r="A148">
        <v>2018</v>
      </c>
      <c r="B148" s="36">
        <v>130334.6484375</v>
      </c>
      <c r="C148" s="36">
        <v>126961.453125</v>
      </c>
      <c r="D148" s="36">
        <v>144928.828125</v>
      </c>
      <c r="E148" s="36">
        <v>137001.25</v>
      </c>
      <c r="F148" s="36">
        <v>147277</v>
      </c>
      <c r="G148" s="36">
        <v>145301.140625</v>
      </c>
      <c r="H148" s="36">
        <v>145484.828125</v>
      </c>
      <c r="I148" s="36">
        <v>147043.359375</v>
      </c>
      <c r="J148" s="36">
        <v>137600.875</v>
      </c>
      <c r="K148" s="36">
        <v>141615.515625</v>
      </c>
      <c r="L148" s="36">
        <v>140903.703125</v>
      </c>
      <c r="M148" s="36">
        <v>150583.953125</v>
      </c>
    </row>
    <row r="149" spans="1:13" x14ac:dyDescent="0.25">
      <c r="A149">
        <v>2019</v>
      </c>
      <c r="B149" s="36">
        <v>135441.96875</v>
      </c>
      <c r="C149" s="36">
        <v>129641.4609375</v>
      </c>
      <c r="D149" s="36">
        <v>147491.46875</v>
      </c>
      <c r="E149" s="36">
        <v>143428.109375</v>
      </c>
      <c r="F149" s="36">
        <v>152765.828125</v>
      </c>
      <c r="G149" s="36">
        <v>149408.03125</v>
      </c>
      <c r="H149" s="36">
        <v>151421.234375</v>
      </c>
      <c r="I149" s="36">
        <v>154407.875</v>
      </c>
      <c r="J149" s="36">
        <v>143250.625</v>
      </c>
      <c r="K149" s="36">
        <v>149582.6875</v>
      </c>
      <c r="L149" s="36">
        <v>149966.140625</v>
      </c>
      <c r="M149" s="36">
        <v>159370.203125</v>
      </c>
    </row>
    <row r="150" spans="1:13" x14ac:dyDescent="0.25">
      <c r="A150">
        <v>2020</v>
      </c>
      <c r="B150" s="36">
        <v>145217.671875</v>
      </c>
      <c r="C150" s="36">
        <v>144287.109375</v>
      </c>
      <c r="D150" s="36">
        <v>145167.203125</v>
      </c>
      <c r="E150" s="36">
        <v>113077.5390625</v>
      </c>
      <c r="F150" s="36">
        <v>133825.046875</v>
      </c>
      <c r="G150" s="36">
        <v>141275.8125</v>
      </c>
      <c r="H150" s="36">
        <v>148297.21875</v>
      </c>
      <c r="I150" s="36">
        <v>148369.09375</v>
      </c>
      <c r="J150" s="36">
        <v>142416.90625</v>
      </c>
      <c r="K150" s="36">
        <v>147849.34375</v>
      </c>
      <c r="L150" s="36">
        <v>139947.34375</v>
      </c>
      <c r="M150" s="36">
        <v>145902.5625</v>
      </c>
    </row>
    <row r="151" spans="1:13" x14ac:dyDescent="0.25">
      <c r="A151">
        <v>2021</v>
      </c>
      <c r="B151" s="36">
        <v>150437.921875</v>
      </c>
      <c r="C151" s="36">
        <v>139230.75</v>
      </c>
      <c r="D151" s="36">
        <v>166593.59375</v>
      </c>
      <c r="E151" s="36">
        <v>165248.609375</v>
      </c>
      <c r="F151" s="36">
        <v>174269.90625</v>
      </c>
      <c r="G151" s="36">
        <v>171913.90625</v>
      </c>
      <c r="H151" s="37">
        <v>177048.78125</v>
      </c>
      <c r="I151" s="37">
        <v>173597.0625</v>
      </c>
      <c r="J151" s="37">
        <v>166160.8125</v>
      </c>
      <c r="K151" s="37">
        <v>174031.5625</v>
      </c>
      <c r="L151" s="37">
        <v>170681.296875</v>
      </c>
      <c r="M151" s="37">
        <v>182814.171875</v>
      </c>
    </row>
    <row r="152" spans="1:13" x14ac:dyDescent="0.25">
      <c r="A152">
        <v>2022</v>
      </c>
      <c r="B152" s="36">
        <v>161671.296875</v>
      </c>
      <c r="C152" s="36">
        <v>157948.359375</v>
      </c>
      <c r="D152" s="36">
        <v>180849.796875</v>
      </c>
      <c r="E152" s="36">
        <v>181848.296875</v>
      </c>
      <c r="F152" s="36">
        <v>190204.4375</v>
      </c>
      <c r="G152" s="36">
        <v>188364.1875</v>
      </c>
      <c r="H152" s="36">
        <v>191542.96875</v>
      </c>
      <c r="I152" s="36">
        <v>190225.25</v>
      </c>
      <c r="J152" s="36">
        <v>183670.171875</v>
      </c>
      <c r="K152" s="36">
        <v>191111.15625</v>
      </c>
      <c r="L152" s="36">
        <v>187992.703125</v>
      </c>
      <c r="M152" s="38">
        <v>188500</v>
      </c>
    </row>
    <row r="153" spans="1:13" x14ac:dyDescent="0.25">
      <c r="A153">
        <v>2023</v>
      </c>
      <c r="B153" s="38">
        <v>188250</v>
      </c>
      <c r="C153" s="38">
        <v>188000</v>
      </c>
      <c r="D153" s="38">
        <v>187750</v>
      </c>
      <c r="E153" s="38">
        <v>187250</v>
      </c>
      <c r="F153" s="38">
        <v>186750</v>
      </c>
      <c r="G153" s="38">
        <v>186250</v>
      </c>
      <c r="H153" s="38">
        <v>186000</v>
      </c>
      <c r="I153" s="38">
        <v>185750</v>
      </c>
      <c r="J153" s="38">
        <v>185500</v>
      </c>
      <c r="K153" s="38">
        <v>185750</v>
      </c>
      <c r="L153" s="38">
        <v>186000</v>
      </c>
      <c r="M153" s="38">
        <v>186250</v>
      </c>
    </row>
    <row r="154" spans="1:13" x14ac:dyDescent="0.25">
      <c r="A154" t="s">
        <v>61</v>
      </c>
      <c r="B154" s="36">
        <f>AVERAGE(B148:B152)</f>
        <v>144620.70156250001</v>
      </c>
      <c r="C154" s="36">
        <f t="shared" ref="C154:M154" si="12">AVERAGE(C148:C152)</f>
        <v>139613.82656250001</v>
      </c>
      <c r="D154" s="36">
        <f t="shared" si="12"/>
        <v>157006.17812500001</v>
      </c>
      <c r="E154" s="36">
        <f t="shared" si="12"/>
        <v>148120.76093749999</v>
      </c>
      <c r="F154" s="36">
        <f t="shared" si="12"/>
        <v>159668.44375000001</v>
      </c>
      <c r="G154" s="36">
        <f t="shared" si="12"/>
        <v>159252.61562500001</v>
      </c>
      <c r="H154" s="36">
        <f t="shared" si="12"/>
        <v>162759.00625000001</v>
      </c>
      <c r="I154" s="36">
        <f t="shared" si="12"/>
        <v>162728.52812500001</v>
      </c>
      <c r="J154" s="36">
        <f t="shared" si="12"/>
        <v>154619.87812499999</v>
      </c>
      <c r="K154" s="36">
        <f t="shared" si="12"/>
        <v>160838.05312500001</v>
      </c>
      <c r="L154" s="36">
        <f t="shared" si="12"/>
        <v>157898.23749999999</v>
      </c>
      <c r="M154" s="36">
        <f t="shared" si="12"/>
        <v>165434.17812500001</v>
      </c>
    </row>
    <row r="155" spans="1:13" x14ac:dyDescent="0.25">
      <c r="A155" t="s">
        <v>62</v>
      </c>
      <c r="B155" s="36">
        <f>B153-B154</f>
        <v>43629.298437499994</v>
      </c>
      <c r="C155" s="36">
        <f t="shared" ref="C155:M155" si="13">C153-C154</f>
        <v>48386.173437499994</v>
      </c>
      <c r="D155" s="36">
        <f t="shared" si="13"/>
        <v>30743.821874999994</v>
      </c>
      <c r="E155" s="36">
        <f t="shared" si="13"/>
        <v>39129.239062500012</v>
      </c>
      <c r="F155" s="36">
        <f t="shared" si="13"/>
        <v>27081.556249999994</v>
      </c>
      <c r="G155" s="36">
        <f t="shared" si="13"/>
        <v>26997.384374999994</v>
      </c>
      <c r="H155" s="36">
        <f t="shared" si="13"/>
        <v>23240.993749999994</v>
      </c>
      <c r="I155" s="36">
        <f t="shared" si="13"/>
        <v>23021.471874999988</v>
      </c>
      <c r="J155" s="36">
        <f t="shared" si="13"/>
        <v>30880.121875000012</v>
      </c>
      <c r="K155" s="36">
        <f t="shared" si="13"/>
        <v>24911.946874999994</v>
      </c>
      <c r="L155" s="36">
        <f t="shared" si="13"/>
        <v>28101.762500000012</v>
      </c>
      <c r="M155" s="36">
        <f t="shared" si="13"/>
        <v>20815.821874999994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B3E2B-BAE8-49CD-8E36-790355333A89}">
  <dimension ref="A1:FM141"/>
  <sheetViews>
    <sheetView zoomScaleNormal="100" workbookViewId="0">
      <pane xSplit="1" ySplit="5" topLeftCell="B6" activePane="bottomRight" state="frozen"/>
      <selection activeCell="A5" sqref="A5:M29"/>
      <selection pane="topRight" activeCell="A5" sqref="A5:M29"/>
      <selection pane="bottomLeft" activeCell="A5" sqref="A5:M29"/>
      <selection pane="bottomRight" activeCell="A5" sqref="A5:M29"/>
    </sheetView>
  </sheetViews>
  <sheetFormatPr defaultColWidth="9.140625" defaultRowHeight="13.5" x14ac:dyDescent="0.25"/>
  <cols>
    <col min="1" max="1" width="9.140625" style="43"/>
    <col min="2" max="2" width="11.5703125" style="43" bestFit="1" customWidth="1"/>
    <col min="3" max="3" width="9.28515625" style="43" bestFit="1" customWidth="1"/>
    <col min="4" max="8" width="8.85546875" style="43" bestFit="1" customWidth="1"/>
    <col min="9" max="9" width="8.5703125" style="43" bestFit="1" customWidth="1"/>
    <col min="10" max="16" width="8.85546875" style="43" bestFit="1" customWidth="1"/>
    <col min="17" max="17" width="8.5703125" style="43" bestFit="1" customWidth="1"/>
    <col min="18" max="24" width="8.85546875" style="43" bestFit="1" customWidth="1"/>
    <col min="25" max="25" width="8.5703125" style="43" bestFit="1" customWidth="1"/>
    <col min="26" max="37" width="8.85546875" style="43" bestFit="1" customWidth="1"/>
    <col min="38" max="38" width="8.85546875" style="43" customWidth="1"/>
    <col min="39" max="52" width="8.85546875" style="43" bestFit="1" customWidth="1"/>
    <col min="53" max="53" width="8.85546875" style="43" customWidth="1"/>
    <col min="54" max="61" width="8.85546875" style="43" bestFit="1" customWidth="1"/>
    <col min="62" max="62" width="8.5703125" style="43" bestFit="1" customWidth="1"/>
    <col min="63" max="63" width="8.85546875" style="43" bestFit="1" customWidth="1"/>
    <col min="64" max="16384" width="9.140625" style="43"/>
  </cols>
  <sheetData>
    <row r="1" spans="1:169" x14ac:dyDescent="0.25">
      <c r="A1" s="42" t="s">
        <v>63</v>
      </c>
      <c r="B1" s="43" t="s">
        <v>64</v>
      </c>
      <c r="C1" s="44" t="s">
        <v>65</v>
      </c>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row>
    <row r="2" spans="1:169" x14ac:dyDescent="0.25">
      <c r="A2" s="42" t="s">
        <v>66</v>
      </c>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row>
    <row r="3" spans="1:169" x14ac:dyDescent="0.2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row>
    <row r="4" spans="1:169" x14ac:dyDescent="0.25">
      <c r="B4" s="46" t="s">
        <v>67</v>
      </c>
      <c r="C4" s="43" t="s">
        <v>68</v>
      </c>
      <c r="D4" s="43" t="s">
        <v>69</v>
      </c>
      <c r="E4" s="43" t="s">
        <v>70</v>
      </c>
      <c r="F4" s="43" t="s">
        <v>71</v>
      </c>
      <c r="G4" s="43" t="s">
        <v>72</v>
      </c>
      <c r="H4" s="43" t="s">
        <v>73</v>
      </c>
      <c r="I4" s="43" t="s">
        <v>74</v>
      </c>
      <c r="J4" s="43" t="s">
        <v>75</v>
      </c>
      <c r="K4" s="43" t="s">
        <v>76</v>
      </c>
      <c r="L4" s="43" t="s">
        <v>77</v>
      </c>
      <c r="M4" s="43" t="s">
        <v>78</v>
      </c>
      <c r="N4" s="43" t="s">
        <v>79</v>
      </c>
      <c r="O4" s="43" t="s">
        <v>80</v>
      </c>
      <c r="P4" s="43" t="s">
        <v>81</v>
      </c>
      <c r="Q4" s="43" t="s">
        <v>82</v>
      </c>
      <c r="R4" s="43" t="s">
        <v>83</v>
      </c>
      <c r="S4" s="43" t="s">
        <v>84</v>
      </c>
      <c r="T4" s="43" t="s">
        <v>85</v>
      </c>
      <c r="U4" s="43" t="s">
        <v>86</v>
      </c>
      <c r="V4" s="43" t="s">
        <v>87</v>
      </c>
      <c r="W4" s="43" t="s">
        <v>88</v>
      </c>
      <c r="X4" s="43" t="s">
        <v>89</v>
      </c>
      <c r="Y4" s="43" t="s">
        <v>90</v>
      </c>
      <c r="Z4" s="43" t="s">
        <v>91</v>
      </c>
      <c r="AA4" s="43" t="s">
        <v>92</v>
      </c>
      <c r="AB4" s="43" t="s">
        <v>93</v>
      </c>
      <c r="AC4" s="43" t="s">
        <v>94</v>
      </c>
      <c r="AD4" s="43" t="s">
        <v>95</v>
      </c>
      <c r="AE4" s="43" t="s">
        <v>96</v>
      </c>
      <c r="AF4" s="43" t="s">
        <v>97</v>
      </c>
      <c r="AG4" s="43" t="s">
        <v>98</v>
      </c>
      <c r="AH4" s="43" t="s">
        <v>99</v>
      </c>
      <c r="AI4" s="43" t="s">
        <v>100</v>
      </c>
      <c r="AJ4" s="43" t="s">
        <v>101</v>
      </c>
      <c r="AK4" s="43" t="s">
        <v>102</v>
      </c>
      <c r="AM4" s="43" t="s">
        <v>103</v>
      </c>
      <c r="AN4" s="43" t="s">
        <v>104</v>
      </c>
      <c r="AO4" s="43" t="s">
        <v>105</v>
      </c>
      <c r="AP4" s="43" t="s">
        <v>106</v>
      </c>
      <c r="AQ4" s="43" t="s">
        <v>107</v>
      </c>
      <c r="AR4" s="43" t="s">
        <v>108</v>
      </c>
      <c r="AS4" s="43" t="s">
        <v>109</v>
      </c>
      <c r="AT4" s="43" t="s">
        <v>110</v>
      </c>
      <c r="AU4" s="43" t="s">
        <v>111</v>
      </c>
      <c r="AV4" s="43" t="s">
        <v>112</v>
      </c>
      <c r="AW4" s="43" t="s">
        <v>113</v>
      </c>
      <c r="AX4" s="43" t="s">
        <v>114</v>
      </c>
      <c r="AY4" s="43" t="s">
        <v>115</v>
      </c>
      <c r="AZ4" s="43" t="s">
        <v>116</v>
      </c>
      <c r="BA4" s="43" t="s">
        <v>117</v>
      </c>
      <c r="BB4" s="43" t="s">
        <v>118</v>
      </c>
      <c r="BC4" s="43" t="s">
        <v>119</v>
      </c>
      <c r="BD4" s="43" t="s">
        <v>120</v>
      </c>
      <c r="BE4" s="43" t="s">
        <v>121</v>
      </c>
      <c r="BF4" s="43" t="s">
        <v>122</v>
      </c>
      <c r="BG4" s="43" t="s">
        <v>123</v>
      </c>
      <c r="BH4" s="43" t="s">
        <v>124</v>
      </c>
      <c r="BI4" s="43" t="s">
        <v>125</v>
      </c>
      <c r="BJ4" s="43" t="s">
        <v>126</v>
      </c>
      <c r="BK4" s="43" t="s">
        <v>127</v>
      </c>
      <c r="BL4" s="43" t="s">
        <v>128</v>
      </c>
      <c r="BM4" s="43" t="s">
        <v>129</v>
      </c>
      <c r="BN4" s="43" t="s">
        <v>130</v>
      </c>
      <c r="BO4" s="43" t="s">
        <v>131</v>
      </c>
      <c r="BP4" s="43" t="s">
        <v>132</v>
      </c>
      <c r="BQ4" s="43" t="s">
        <v>133</v>
      </c>
      <c r="BR4" s="43" t="s">
        <v>134</v>
      </c>
      <c r="BS4" s="43" t="s">
        <v>135</v>
      </c>
      <c r="BT4" s="43" t="s">
        <v>136</v>
      </c>
      <c r="BU4" s="43" t="s">
        <v>137</v>
      </c>
      <c r="BV4" s="43" t="s">
        <v>138</v>
      </c>
      <c r="BW4" s="43" t="s">
        <v>139</v>
      </c>
      <c r="BX4" s="43" t="s">
        <v>140</v>
      </c>
      <c r="BY4" s="43" t="s">
        <v>141</v>
      </c>
      <c r="BZ4" s="43" t="s">
        <v>142</v>
      </c>
      <c r="CA4" s="43" t="s">
        <v>143</v>
      </c>
      <c r="CB4" s="43" t="s">
        <v>144</v>
      </c>
      <c r="CC4" s="43" t="s">
        <v>145</v>
      </c>
      <c r="CD4" s="43" t="s">
        <v>146</v>
      </c>
      <c r="CE4" s="43" t="s">
        <v>147</v>
      </c>
      <c r="CF4" s="43" t="s">
        <v>148</v>
      </c>
      <c r="CG4" s="43" t="s">
        <v>149</v>
      </c>
      <c r="CH4" s="43" t="s">
        <v>150</v>
      </c>
      <c r="CI4" s="43" t="s">
        <v>151</v>
      </c>
      <c r="CJ4" s="43" t="s">
        <v>152</v>
      </c>
      <c r="CK4" s="43" t="s">
        <v>153</v>
      </c>
      <c r="CL4" s="43" t="s">
        <v>154</v>
      </c>
      <c r="CM4" s="43" t="s">
        <v>155</v>
      </c>
      <c r="CN4" s="43" t="s">
        <v>156</v>
      </c>
      <c r="CO4" s="43" t="s">
        <v>157</v>
      </c>
      <c r="CP4" s="43" t="s">
        <v>158</v>
      </c>
      <c r="CQ4" s="43" t="s">
        <v>159</v>
      </c>
      <c r="CR4" s="43" t="s">
        <v>160</v>
      </c>
      <c r="CS4" s="43" t="s">
        <v>161</v>
      </c>
      <c r="CT4" s="43" t="s">
        <v>162</v>
      </c>
      <c r="CU4" s="43" t="s">
        <v>163</v>
      </c>
      <c r="CV4" s="43" t="s">
        <v>164</v>
      </c>
      <c r="CW4" s="43" t="s">
        <v>165</v>
      </c>
      <c r="CX4" s="43" t="s">
        <v>166</v>
      </c>
      <c r="CY4" s="43" t="s">
        <v>167</v>
      </c>
      <c r="CZ4" s="43" t="s">
        <v>168</v>
      </c>
      <c r="DA4" s="43" t="s">
        <v>169</v>
      </c>
      <c r="DB4" s="43" t="s">
        <v>170</v>
      </c>
      <c r="DC4" s="43" t="s">
        <v>171</v>
      </c>
      <c r="DD4" s="43" t="s">
        <v>172</v>
      </c>
      <c r="DE4" s="43" t="s">
        <v>173</v>
      </c>
      <c r="DF4" s="43" t="s">
        <v>174</v>
      </c>
      <c r="DG4" s="43" t="s">
        <v>175</v>
      </c>
      <c r="DH4" s="43" t="s">
        <v>176</v>
      </c>
      <c r="DI4" s="43" t="s">
        <v>177</v>
      </c>
      <c r="DJ4" s="43" t="s">
        <v>178</v>
      </c>
      <c r="DK4" s="43" t="s">
        <v>179</v>
      </c>
      <c r="DL4" s="43" t="s">
        <v>180</v>
      </c>
      <c r="DM4" s="43" t="s">
        <v>181</v>
      </c>
      <c r="DN4" s="43" t="s">
        <v>182</v>
      </c>
      <c r="DO4" s="43" t="s">
        <v>183</v>
      </c>
      <c r="DP4" s="43" t="s">
        <v>184</v>
      </c>
      <c r="DQ4" s="43" t="s">
        <v>185</v>
      </c>
      <c r="DR4" s="43" t="s">
        <v>186</v>
      </c>
      <c r="DS4" s="43" t="s">
        <v>187</v>
      </c>
      <c r="DT4" s="43" t="s">
        <v>188</v>
      </c>
      <c r="DU4" s="43" t="s">
        <v>189</v>
      </c>
      <c r="DV4" s="43" t="s">
        <v>190</v>
      </c>
      <c r="DW4" s="43" t="s">
        <v>191</v>
      </c>
      <c r="DX4" s="43" t="s">
        <v>192</v>
      </c>
      <c r="DY4" s="43" t="s">
        <v>193</v>
      </c>
      <c r="DZ4" s="43" t="s">
        <v>194</v>
      </c>
      <c r="EA4" s="43" t="s">
        <v>195</v>
      </c>
      <c r="EB4" s="43" t="s">
        <v>196</v>
      </c>
      <c r="EC4" s="43" t="s">
        <v>197</v>
      </c>
      <c r="ED4" s="43" t="s">
        <v>198</v>
      </c>
      <c r="EE4" s="43" t="s">
        <v>199</v>
      </c>
      <c r="EF4" s="43" t="s">
        <v>200</v>
      </c>
      <c r="EG4" s="43" t="s">
        <v>201</v>
      </c>
      <c r="EH4" s="43" t="s">
        <v>202</v>
      </c>
      <c r="EI4" s="43" t="s">
        <v>203</v>
      </c>
      <c r="EJ4" s="43" t="s">
        <v>204</v>
      </c>
      <c r="EK4" s="43" t="s">
        <v>205</v>
      </c>
      <c r="EL4" s="43" t="s">
        <v>206</v>
      </c>
      <c r="EM4" s="43" t="s">
        <v>207</v>
      </c>
      <c r="EN4" s="43" t="s">
        <v>208</v>
      </c>
      <c r="EO4" s="43" t="s">
        <v>209</v>
      </c>
      <c r="EP4" s="43" t="s">
        <v>210</v>
      </c>
      <c r="EQ4" s="43" t="s">
        <v>211</v>
      </c>
      <c r="ER4" s="43" t="s">
        <v>212</v>
      </c>
      <c r="ES4" s="43" t="s">
        <v>213</v>
      </c>
      <c r="ET4" s="43" t="s">
        <v>214</v>
      </c>
      <c r="EU4" s="43" t="s">
        <v>215</v>
      </c>
      <c r="EV4" s="43" t="s">
        <v>216</v>
      </c>
      <c r="EW4" s="43" t="s">
        <v>217</v>
      </c>
      <c r="EX4" s="43" t="s">
        <v>218</v>
      </c>
      <c r="EY4" s="43" t="s">
        <v>219</v>
      </c>
      <c r="EZ4" s="43" t="s">
        <v>220</v>
      </c>
      <c r="FA4" s="43" t="s">
        <v>221</v>
      </c>
      <c r="FB4" s="43" t="s">
        <v>222</v>
      </c>
      <c r="FC4" s="43" t="s">
        <v>223</v>
      </c>
      <c r="FD4" s="43" t="s">
        <v>224</v>
      </c>
      <c r="FE4" s="43" t="s">
        <v>225</v>
      </c>
      <c r="FF4" s="43" t="s">
        <v>226</v>
      </c>
      <c r="FG4" s="43" t="s">
        <v>227</v>
      </c>
      <c r="FH4" s="43" t="s">
        <v>228</v>
      </c>
      <c r="FI4" s="43" t="s">
        <v>229</v>
      </c>
      <c r="FJ4" s="43" t="s">
        <v>230</v>
      </c>
      <c r="FK4" s="43" t="s">
        <v>231</v>
      </c>
      <c r="FL4" s="43" t="s">
        <v>232</v>
      </c>
      <c r="FM4" s="43" t="s">
        <v>233</v>
      </c>
    </row>
    <row r="5" spans="1:169" x14ac:dyDescent="0.25">
      <c r="B5" s="43" t="str">
        <f t="shared" ref="B5:AK5" si="0">B$4&amp;$C$1</f>
        <v>GDPR2023_3</v>
      </c>
      <c r="C5" s="43" t="str">
        <f t="shared" si="0"/>
        <v>CR2023_3</v>
      </c>
      <c r="D5" s="43" t="str">
        <f t="shared" si="0"/>
        <v>CPIU2023_3</v>
      </c>
      <c r="E5" s="43" t="str">
        <f t="shared" si="0"/>
        <v>IRFF2023_3</v>
      </c>
      <c r="F5" s="43" t="str">
        <f t="shared" si="0"/>
        <v>IRG10Y2023_3</v>
      </c>
      <c r="G5" s="43" t="str">
        <f t="shared" si="0"/>
        <v>UR2023_3</v>
      </c>
      <c r="H5" s="43" t="str">
        <f t="shared" si="0"/>
        <v>IND2023_3</v>
      </c>
      <c r="I5" s="43" t="str">
        <f t="shared" si="0"/>
        <v>INDM2023_3</v>
      </c>
      <c r="J5" s="43" t="str">
        <f t="shared" si="0"/>
        <v>INDMD2023_3</v>
      </c>
      <c r="K5" s="43" t="str">
        <f t="shared" si="0"/>
        <v>INDMN2023_3</v>
      </c>
      <c r="L5" s="43" t="str">
        <f t="shared" si="0"/>
        <v>PPI2023_3</v>
      </c>
      <c r="M5" s="43" t="str">
        <f t="shared" si="0"/>
        <v>PWTI2023_3</v>
      </c>
      <c r="N5" s="43" t="str">
        <f t="shared" si="0"/>
        <v>PBRENT2023_3</v>
      </c>
      <c r="O5" s="43" t="str">
        <f t="shared" si="0"/>
        <v>PNGAS2023_3</v>
      </c>
      <c r="P5" s="43" t="str">
        <f t="shared" si="0"/>
        <v>HSTARTS2023_3</v>
      </c>
      <c r="Q5" s="43" t="str">
        <f t="shared" si="0"/>
        <v>NETEXM2023_3</v>
      </c>
      <c r="R5" s="43" t="str">
        <f t="shared" si="0"/>
        <v>IRPRIME2023_3</v>
      </c>
      <c r="S5" s="43" t="str">
        <f t="shared" si="0"/>
        <v>CNR2023_3</v>
      </c>
      <c r="T5" s="43" t="str">
        <f t="shared" si="0"/>
        <v>IRG3M2023_3</v>
      </c>
      <c r="U5" s="43" t="str">
        <f t="shared" si="0"/>
        <v>IRG30Y2023_3</v>
      </c>
      <c r="V5" s="43" t="str">
        <f t="shared" si="0"/>
        <v>ZAR2023_3</v>
      </c>
      <c r="W5" s="43" t="str">
        <f t="shared" si="0"/>
        <v>ECI2023_3</v>
      </c>
      <c r="X5" s="43" t="str">
        <f t="shared" si="0"/>
        <v>YDR2023_3</v>
      </c>
      <c r="Y5" s="43" t="str">
        <f t="shared" si="0"/>
        <v>KFRB2023_3</v>
      </c>
      <c r="Z5" s="43" t="str">
        <f t="shared" si="0"/>
        <v>UKFRB2023_3</v>
      </c>
      <c r="AA5" s="43" t="str">
        <f t="shared" si="0"/>
        <v>JQZMHNF2023_3</v>
      </c>
      <c r="AB5" s="43" t="str">
        <f t="shared" si="0"/>
        <v>JQZMHM2023_3</v>
      </c>
      <c r="AC5" s="43" t="str">
        <f t="shared" si="0"/>
        <v>PMOIL2023_3</v>
      </c>
      <c r="AD5" s="43" t="str">
        <f t="shared" si="0"/>
        <v>PGDP2023_3</v>
      </c>
      <c r="AE5" s="43" t="str">
        <f t="shared" si="0"/>
        <v>PICNR2023_3</v>
      </c>
      <c r="AF5" s="43" t="str">
        <f t="shared" si="0"/>
        <v>PICR2023_3</v>
      </c>
      <c r="AG5" s="43" t="str">
        <f t="shared" si="0"/>
        <v>POP2023_3</v>
      </c>
      <c r="AH5" s="43" t="str">
        <f t="shared" si="0"/>
        <v>HH2023_3</v>
      </c>
      <c r="AI5" s="43" t="str">
        <f t="shared" si="0"/>
        <v>PPIIG2023_3</v>
      </c>
      <c r="AJ5" s="43" t="str">
        <f t="shared" si="0"/>
        <v>PPIIND2023_3</v>
      </c>
      <c r="AK5" s="43" t="str">
        <f t="shared" si="0"/>
        <v>GDP2023_3</v>
      </c>
      <c r="AM5" s="43" t="str">
        <f t="shared" ref="AM5:CX5" si="1">AM$4&amp;$C$1</f>
        <v>PPI0512023_3</v>
      </c>
      <c r="AN5" s="43" t="str">
        <f t="shared" si="1"/>
        <v>PPI0532023_3</v>
      </c>
      <c r="AO5" s="43" t="str">
        <f t="shared" si="1"/>
        <v>PPI0542023_3</v>
      </c>
      <c r="AP5" s="43" t="str">
        <f t="shared" si="1"/>
        <v>PPI0572023_3</v>
      </c>
      <c r="AQ5" s="43" t="str">
        <f t="shared" si="1"/>
        <v>PPI062023_3</v>
      </c>
      <c r="AR5" s="43" t="str">
        <f t="shared" si="1"/>
        <v>PPI072023_3</v>
      </c>
      <c r="AS5" s="43" t="str">
        <f t="shared" si="1"/>
        <v>PPIENERGY2023_3</v>
      </c>
      <c r="AT5" s="43" t="str">
        <f t="shared" si="1"/>
        <v>PPI052023_3</v>
      </c>
      <c r="AU5" s="43" t="str">
        <f t="shared" si="1"/>
        <v>PPIFOOD2023_3</v>
      </c>
      <c r="AV5" s="43" t="str">
        <f t="shared" si="1"/>
        <v>GDPR_CA2023_3</v>
      </c>
      <c r="AW5" s="43" t="str">
        <f t="shared" si="1"/>
        <v>CR_CA2023_3</v>
      </c>
      <c r="AX5" s="43" t="str">
        <f t="shared" si="1"/>
        <v>IND_CA2023_3</v>
      </c>
      <c r="AY5" s="43" t="str">
        <f t="shared" si="1"/>
        <v>CPI_CA2023_3</v>
      </c>
      <c r="AZ5" s="43" t="str">
        <f t="shared" si="1"/>
        <v>HSTARTS_CA2023_3</v>
      </c>
      <c r="BA5" s="43" t="str">
        <f t="shared" si="1"/>
        <v>XRUSCA2023_3</v>
      </c>
      <c r="BB5" s="43" t="str">
        <f t="shared" si="1"/>
        <v>YPR_CA2023_3</v>
      </c>
      <c r="BC5" s="43" t="str">
        <f t="shared" si="1"/>
        <v>AHEM_CA2023_3</v>
      </c>
      <c r="BD5" s="43" t="str">
        <f t="shared" si="1"/>
        <v>UR_CA2023_3</v>
      </c>
      <c r="BE5" s="43" t="str">
        <f t="shared" si="1"/>
        <v>PPI_CA2023_3</v>
      </c>
      <c r="BF5" s="43" t="str">
        <f t="shared" si="1"/>
        <v>IRG3M_CA2023_3</v>
      </c>
      <c r="BG5" s="43" t="str">
        <f t="shared" si="1"/>
        <v>IRBANK_CA2023_3</v>
      </c>
      <c r="BH5" s="43" t="str">
        <f t="shared" si="1"/>
        <v>IRG10Y_CA2023_3</v>
      </c>
      <c r="BI5" s="43" t="str">
        <f t="shared" si="1"/>
        <v>PICNRR_CA2023_3</v>
      </c>
      <c r="BJ5" s="43" t="str">
        <f t="shared" si="1"/>
        <v>PGDPR_CA2023_3</v>
      </c>
      <c r="BK5" s="43" t="str">
        <f t="shared" si="1"/>
        <v>POIL_CA2023_3</v>
      </c>
      <c r="BL5" s="43" t="str">
        <f t="shared" si="1"/>
        <v>PWTI_CA2023_3</v>
      </c>
      <c r="BM5" s="43" t="str">
        <f t="shared" si="1"/>
        <v>INDMD_CA2023_3</v>
      </c>
      <c r="BN5" s="43" t="str">
        <f t="shared" si="1"/>
        <v>INDMN_CA2023_3</v>
      </c>
      <c r="BO5" s="43" t="str">
        <f t="shared" si="1"/>
        <v>N_CA2023_3</v>
      </c>
      <c r="BP5" s="43" t="str">
        <f t="shared" si="1"/>
        <v>XRCAUS2023_3</v>
      </c>
      <c r="BQ5" s="43" t="str">
        <f t="shared" si="1"/>
        <v>YP_CA2023_3</v>
      </c>
      <c r="BR5" s="43" t="str">
        <f t="shared" si="1"/>
        <v>TRANSP_CA2023_3</v>
      </c>
      <c r="BS5" s="43" t="str">
        <f t="shared" si="1"/>
        <v>GDPR_EMU2023_3</v>
      </c>
      <c r="BT5" s="43" t="str">
        <f t="shared" si="1"/>
        <v>CR_EMU2023_3</v>
      </c>
      <c r="BU5" s="43" t="str">
        <f t="shared" si="1"/>
        <v>IND_EMU2023_3</v>
      </c>
      <c r="BV5" s="43" t="str">
        <f t="shared" si="1"/>
        <v>CPI_EMU2023_3</v>
      </c>
      <c r="BW5" s="43" t="str">
        <f t="shared" si="1"/>
        <v>PPI_EMU2023_3</v>
      </c>
      <c r="BX5" s="43" t="str">
        <f t="shared" si="1"/>
        <v>XRUSEU2023_3</v>
      </c>
      <c r="BY5" s="43" t="str">
        <f t="shared" si="1"/>
        <v>IRG10Y_DE2023_3</v>
      </c>
      <c r="BZ5" s="43" t="str">
        <f t="shared" si="1"/>
        <v>IRG10Y_FI2023_3</v>
      </c>
      <c r="CA5" s="43" t="str">
        <f t="shared" si="1"/>
        <v>IRG10Y_SE2023_3</v>
      </c>
      <c r="CB5" s="43" t="str">
        <f t="shared" si="1"/>
        <v>XRGBUS2023_3</v>
      </c>
      <c r="CC5" s="43" t="str">
        <f t="shared" si="1"/>
        <v>XRSEUS2023_3</v>
      </c>
      <c r="CD5" s="43" t="str">
        <f t="shared" si="1"/>
        <v>IND_DE2023_3</v>
      </c>
      <c r="CE5" s="43" t="str">
        <f t="shared" si="1"/>
        <v>IND_FR2023_3</v>
      </c>
      <c r="CF5" s="43" t="str">
        <f t="shared" si="1"/>
        <v>IND_IT2023_3</v>
      </c>
      <c r="CG5" s="43" t="str">
        <f t="shared" si="1"/>
        <v>IND_GB2023_3</v>
      </c>
      <c r="CH5" s="43" t="str">
        <f t="shared" si="1"/>
        <v>INDCN_DE2023_3</v>
      </c>
      <c r="CI5" s="43" t="str">
        <f t="shared" si="1"/>
        <v>INDCN_FR2023_3</v>
      </c>
      <c r="CJ5" s="43" t="str">
        <f t="shared" si="1"/>
        <v>INDCN_IT2023_3</v>
      </c>
      <c r="CK5" s="43" t="str">
        <f t="shared" si="1"/>
        <v>INDCN_GB2023_3</v>
      </c>
      <c r="CL5" s="43" t="str">
        <f t="shared" si="1"/>
        <v>CPI_GY2023_3</v>
      </c>
      <c r="CM5" s="43" t="str">
        <f t="shared" si="1"/>
        <v>PPI_DE2023_3</v>
      </c>
      <c r="CN5" s="43" t="str">
        <f t="shared" si="1"/>
        <v>CPI_PT2023_3</v>
      </c>
      <c r="CO5" s="43" t="str">
        <f t="shared" si="1"/>
        <v>PPI_ES2023_3</v>
      </c>
      <c r="CP5" s="43" t="str">
        <f t="shared" si="1"/>
        <v>XREUUS2023_3</v>
      </c>
      <c r="CQ5" s="43" t="str">
        <f t="shared" si="1"/>
        <v>INDCN_EMU2023_3</v>
      </c>
      <c r="CR5" s="43" t="str">
        <f t="shared" si="1"/>
        <v>IRECR_DE2023_3</v>
      </c>
      <c r="CS5" s="43" t="str">
        <f t="shared" si="1"/>
        <v>PBRENT_EUR2023_3</v>
      </c>
      <c r="CT5" s="43" t="str">
        <f t="shared" si="1"/>
        <v>XRRUUS2023_3</v>
      </c>
      <c r="CU5" s="43" t="str">
        <f t="shared" si="1"/>
        <v>XRCZUS2023_3</v>
      </c>
      <c r="CV5" s="43" t="str">
        <f t="shared" si="1"/>
        <v>XRCZEU2023_3</v>
      </c>
      <c r="CW5" s="43" t="str">
        <f t="shared" si="1"/>
        <v xml:space="preserve"> PPIIND_FI2023_3</v>
      </c>
      <c r="CX5" s="43" t="str">
        <f t="shared" si="1"/>
        <v xml:space="preserve"> PPIIND_PT2023_3</v>
      </c>
      <c r="CY5" s="43" t="str">
        <f t="shared" ref="CY5:FJ5" si="2">CY$4&amp;$C$1</f>
        <v xml:space="preserve"> PPIIND_SE2023_3</v>
      </c>
      <c r="CZ5" s="43" t="str">
        <f t="shared" si="2"/>
        <v>PPIIND_AT2023_3</v>
      </c>
      <c r="DA5" s="43" t="str">
        <f t="shared" si="2"/>
        <v>PPIIND_CZ2023_3</v>
      </c>
      <c r="DB5" s="43" t="str">
        <f t="shared" si="2"/>
        <v>PPI_RU2023_3</v>
      </c>
      <c r="DC5" s="43" t="str">
        <f t="shared" si="2"/>
        <v>AHEM_RU_YY2023_3</v>
      </c>
      <c r="DD5" s="43" t="str">
        <f t="shared" si="2"/>
        <v>AHEM_DE2023_3</v>
      </c>
      <c r="DE5" s="43" t="str">
        <f t="shared" si="2"/>
        <v>AHEM_FI2023_3</v>
      </c>
      <c r="DF5" s="43" t="str">
        <f t="shared" si="2"/>
        <v>AHEM_SP2023_3</v>
      </c>
      <c r="DG5" s="43" t="str">
        <f t="shared" si="2"/>
        <v>AHEM_PT2023_3</v>
      </c>
      <c r="DH5" s="43" t="str">
        <f t="shared" si="2"/>
        <v>AHEM_SE2023_3</v>
      </c>
      <c r="DI5" s="43" t="str">
        <f t="shared" si="2"/>
        <v>AHEM_AT2023_3</v>
      </c>
      <c r="DJ5" s="43" t="str">
        <f t="shared" si="2"/>
        <v>AHEM_CZ2023_3</v>
      </c>
      <c r="DK5" s="43" t="str">
        <f t="shared" si="2"/>
        <v>PELEC_FN2023_3</v>
      </c>
      <c r="DL5" s="43" t="str">
        <f t="shared" si="2"/>
        <v>PPICHEM_FN2023_3</v>
      </c>
      <c r="DM5" s="43" t="str">
        <f t="shared" si="2"/>
        <v>PELEC_GY2023_3</v>
      </c>
      <c r="DN5" s="43" t="str">
        <f t="shared" si="2"/>
        <v>PPICHEM_GY2023_3</v>
      </c>
      <c r="DO5" s="43" t="str">
        <f t="shared" si="2"/>
        <v>PELEC_SP2023_3</v>
      </c>
      <c r="DP5" s="43" t="str">
        <f t="shared" si="2"/>
        <v>PPICHEM_SP2023_3</v>
      </c>
      <c r="DQ5" s="43" t="str">
        <f t="shared" si="2"/>
        <v>PELEC_SW2023_3</v>
      </c>
      <c r="DR5" s="43" t="str">
        <f t="shared" si="2"/>
        <v>PPICHEM_SW2023_3</v>
      </c>
      <c r="DS5" s="43" t="str">
        <f t="shared" si="2"/>
        <v>PELEC_PT2023_3</v>
      </c>
      <c r="DT5" s="43" t="str">
        <f t="shared" si="2"/>
        <v>PPICHEM_PT2023_3</v>
      </c>
      <c r="DU5" s="43" t="str">
        <f t="shared" si="2"/>
        <v>GDPR_JP2023_3</v>
      </c>
      <c r="DV5" s="43" t="str">
        <f t="shared" si="2"/>
        <v>CR_JP2023_3</v>
      </c>
      <c r="DW5" s="43" t="str">
        <f t="shared" si="2"/>
        <v>IND_JP2023_3</v>
      </c>
      <c r="DX5" s="43" t="str">
        <f t="shared" si="2"/>
        <v>CPI_JP2023_3</v>
      </c>
      <c r="DY5" s="43" t="str">
        <f t="shared" si="2"/>
        <v>PPI_JP2023_3</v>
      </c>
      <c r="DZ5" s="43" t="str">
        <f t="shared" si="2"/>
        <v>PGDP_JP2023_3</v>
      </c>
      <c r="EA5" s="43" t="str">
        <f t="shared" si="2"/>
        <v>HSTARTS_JP2023_3</v>
      </c>
      <c r="EB5" s="43" t="str">
        <f t="shared" si="2"/>
        <v>XRJPUS2023_3</v>
      </c>
      <c r="EC5" s="43" t="str">
        <f t="shared" si="2"/>
        <v>PPI_DE_OLD2023_3</v>
      </c>
      <c r="ED5" s="43" t="str">
        <f t="shared" si="2"/>
        <v>PPI_ES_OLD2023_3</v>
      </c>
      <c r="EE5" s="43" t="str">
        <f t="shared" si="2"/>
        <v xml:space="preserve"> PPIIND_PT_OLD2023_3</v>
      </c>
      <c r="EF5" s="43" t="str">
        <f t="shared" si="2"/>
        <v xml:space="preserve"> PPIIND_FI_OLD2023_3</v>
      </c>
      <c r="EG5" s="43" t="str">
        <f t="shared" si="2"/>
        <v xml:space="preserve"> PPIIND_SE_OLD2023_3</v>
      </c>
      <c r="EH5" s="43" t="str">
        <f t="shared" si="2"/>
        <v>PELEC_FN_OLD2023_3</v>
      </c>
      <c r="EI5" s="43" t="str">
        <f t="shared" si="2"/>
        <v>PELEC_GY_OLD2023_3</v>
      </c>
      <c r="EJ5" s="43" t="str">
        <f t="shared" si="2"/>
        <v>PELEC_PT_OLD2023_3</v>
      </c>
      <c r="EK5" s="43" t="str">
        <f t="shared" si="2"/>
        <v>PELEC_SP_OLD2023_3</v>
      </c>
      <c r="EL5" s="43" t="str">
        <f t="shared" si="2"/>
        <v>PELEC_SW_OLD2023_3</v>
      </c>
      <c r="EM5" s="43" t="str">
        <f t="shared" si="2"/>
        <v>PHFO_FN_OLD2023_3</v>
      </c>
      <c r="EN5" s="43" t="str">
        <f t="shared" si="2"/>
        <v>PHFO_GY_OLD2023_3</v>
      </c>
      <c r="EO5" s="43" t="str">
        <f t="shared" si="2"/>
        <v>PHFO_PT_OLD2023_3</v>
      </c>
      <c r="EP5" s="43" t="str">
        <f t="shared" si="2"/>
        <v>PHFO_SP_OLD2023_3</v>
      </c>
      <c r="EQ5" s="43" t="str">
        <f t="shared" si="2"/>
        <v>PHFO_SW_OLD2023_3</v>
      </c>
      <c r="ER5" s="43" t="str">
        <f t="shared" si="2"/>
        <v>PPICHEM_FN_OLD2023_3</v>
      </c>
      <c r="ES5" s="43" t="str">
        <f t="shared" si="2"/>
        <v>PPICHEM_SP_OLD2023_3</v>
      </c>
      <c r="ET5" s="43" t="str">
        <f t="shared" si="2"/>
        <v>PPICHEM_SW_OLD2023_3</v>
      </c>
      <c r="EU5" s="43" t="str">
        <f t="shared" si="2"/>
        <v>PPINS_BR2023_3</v>
      </c>
      <c r="EV5" s="43" t="str">
        <f t="shared" si="2"/>
        <v>PPINS_CL2023_3</v>
      </c>
      <c r="EW5" s="43" t="str">
        <f t="shared" si="2"/>
        <v>PPINS_ID2023_3</v>
      </c>
      <c r="EX5" s="43" t="str">
        <f t="shared" si="2"/>
        <v>PPI_BR2023_3</v>
      </c>
      <c r="EY5" s="43" t="str">
        <f t="shared" si="2"/>
        <v>PPI_CL2023_3</v>
      </c>
      <c r="EZ5" s="43" t="str">
        <f t="shared" si="2"/>
        <v>PPI_ID2023_3</v>
      </c>
      <c r="FA5" s="43" t="str">
        <f t="shared" si="2"/>
        <v>PPICHEM_BR2023_3</v>
      </c>
      <c r="FB5" s="43" t="str">
        <f t="shared" si="2"/>
        <v>PPIELECT_BR2023_3</v>
      </c>
      <c r="FC5" s="43" t="str">
        <f t="shared" si="2"/>
        <v>WAGES_BR2023_3</v>
      </c>
      <c r="FD5" s="43" t="str">
        <f t="shared" si="2"/>
        <v>WAGES_CL2023_3</v>
      </c>
      <c r="FE5" s="43" t="str">
        <f t="shared" si="2"/>
        <v>WAGES_ID2023_3</v>
      </c>
      <c r="FF5" s="43" t="str">
        <f t="shared" si="2"/>
        <v>PPI_CN2023_3</v>
      </c>
      <c r="FG5" s="43" t="str">
        <f t="shared" si="2"/>
        <v>XRBRUS2023_3</v>
      </c>
      <c r="FH5" s="43" t="str">
        <f t="shared" si="2"/>
        <v>XRCLUS2023_3</v>
      </c>
      <c r="FI5" s="43" t="str">
        <f t="shared" si="2"/>
        <v>XRIDUS2023_3</v>
      </c>
      <c r="FJ5" s="43" t="str">
        <f t="shared" si="2"/>
        <v>XRCNUS2023_3</v>
      </c>
      <c r="FK5" s="43" t="str">
        <f t="shared" ref="FK5:GS5" si="3">FK$4&amp;$C$1</f>
        <v>XRMXUS2023_3</v>
      </c>
      <c r="FL5" s="43" t="str">
        <f t="shared" si="3"/>
        <v>EXCH2023_3</v>
      </c>
      <c r="FM5" s="43" t="str">
        <f t="shared" si="3"/>
        <v>EXCHR2023_3</v>
      </c>
    </row>
    <row r="6" spans="1:169" x14ac:dyDescent="0.25">
      <c r="A6" s="45" t="s">
        <v>63</v>
      </c>
      <c r="B6" s="43" t="e">
        <v>#NAME?</v>
      </c>
      <c r="C6" s="43" t="e">
        <v>#NAME?</v>
      </c>
      <c r="D6" s="43" t="e">
        <v>#NAME?</v>
      </c>
      <c r="E6" s="43" t="e">
        <v>#NAME?</v>
      </c>
      <c r="F6" s="43" t="e">
        <v>#NAME?</v>
      </c>
      <c r="G6" s="43" t="e">
        <v>#NAME?</v>
      </c>
      <c r="H6" s="43" t="e">
        <v>#NAME?</v>
      </c>
      <c r="I6" s="43" t="e">
        <v>#NAME?</v>
      </c>
      <c r="J6" s="43" t="e">
        <v>#NAME?</v>
      </c>
      <c r="K6" s="43" t="e">
        <v>#NAME?</v>
      </c>
      <c r="L6" s="43" t="e">
        <v>#NAME?</v>
      </c>
      <c r="M6" s="43" t="e">
        <v>#NAME?</v>
      </c>
      <c r="N6" s="43" t="e">
        <v>#NAME?</v>
      </c>
      <c r="O6" s="43" t="e">
        <v>#NAME?</v>
      </c>
      <c r="P6" s="43" t="e">
        <v>#NAME?</v>
      </c>
      <c r="Q6" s="43" t="e">
        <v>#NAME?</v>
      </c>
      <c r="R6" s="43" t="e">
        <v>#NAME?</v>
      </c>
      <c r="S6" s="43" t="e">
        <v>#NAME?</v>
      </c>
      <c r="T6" s="43" t="e">
        <v>#NAME?</v>
      </c>
      <c r="U6" s="43" t="e">
        <v>#NAME?</v>
      </c>
      <c r="V6" s="43" t="e">
        <v>#NAME?</v>
      </c>
      <c r="W6" s="43" t="e">
        <v>#NAME?</v>
      </c>
      <c r="X6" s="43" t="e">
        <v>#NAME?</v>
      </c>
      <c r="Y6" s="43" t="e">
        <v>#NAME?</v>
      </c>
      <c r="Z6" s="43" t="e">
        <v>#NAME?</v>
      </c>
      <c r="AA6" s="43" t="e">
        <v>#NAME?</v>
      </c>
      <c r="AB6" s="43" t="e">
        <v>#NAME?</v>
      </c>
      <c r="AC6" s="43" t="e">
        <v>#NAME?</v>
      </c>
      <c r="AD6" s="43" t="e">
        <v>#NAME?</v>
      </c>
      <c r="AE6" s="43" t="e">
        <v>#NAME?</v>
      </c>
      <c r="AF6" s="43" t="e">
        <v>#NAME?</v>
      </c>
      <c r="AG6" s="43" t="e">
        <v>#NAME?</v>
      </c>
      <c r="AH6" s="43" t="e">
        <v>#NAME?</v>
      </c>
      <c r="AI6" s="43" t="e">
        <v>#NAME?</v>
      </c>
      <c r="AJ6" s="43" t="e">
        <v>#NAME?</v>
      </c>
      <c r="AK6" s="43" t="e">
        <v>#NAME?</v>
      </c>
      <c r="AM6" s="43" t="e">
        <v>#NAME?</v>
      </c>
      <c r="AN6" s="43" t="e">
        <v>#NAME?</v>
      </c>
      <c r="AO6" s="43" t="e">
        <v>#NAME?</v>
      </c>
      <c r="AP6" s="43" t="e">
        <v>#NAME?</v>
      </c>
      <c r="AQ6" s="43" t="e">
        <v>#NAME?</v>
      </c>
      <c r="AR6" s="43" t="e">
        <v>#NAME?</v>
      </c>
      <c r="AS6" s="43" t="e">
        <v>#NAME?</v>
      </c>
      <c r="AT6" s="43" t="e">
        <v>#NAME?</v>
      </c>
      <c r="AU6" s="43" t="e">
        <v>#NAME?</v>
      </c>
      <c r="AV6" s="43" t="e">
        <v>#NAME?</v>
      </c>
      <c r="AW6" s="43" t="e">
        <v>#NAME?</v>
      </c>
      <c r="AX6" s="43" t="e">
        <v>#NAME?</v>
      </c>
      <c r="AY6" s="43" t="e">
        <v>#NAME?</v>
      </c>
      <c r="AZ6" s="43" t="e">
        <v>#NAME?</v>
      </c>
      <c r="BA6" s="43" t="e">
        <v>#NAME?</v>
      </c>
      <c r="BB6" s="43" t="e">
        <v>#NAME?</v>
      </c>
      <c r="BC6" s="43" t="e">
        <v>#NAME?</v>
      </c>
      <c r="BD6" s="43" t="e">
        <v>#NAME?</v>
      </c>
      <c r="BE6" s="43" t="e">
        <v>#NAME?</v>
      </c>
      <c r="BF6" s="43" t="e">
        <v>#NAME?</v>
      </c>
      <c r="BG6" s="43" t="e">
        <v>#NAME?</v>
      </c>
      <c r="BH6" s="43" t="e">
        <v>#NAME?</v>
      </c>
      <c r="BI6" s="43" t="e">
        <v>#NAME?</v>
      </c>
      <c r="BJ6" s="43" t="e">
        <v>#NAME?</v>
      </c>
      <c r="BK6" s="43" t="e">
        <v>#NAME?</v>
      </c>
      <c r="BL6" s="43" t="e">
        <v>#NAME?</v>
      </c>
      <c r="BM6" s="43" t="e">
        <v>#NAME?</v>
      </c>
      <c r="BN6" s="43" t="e">
        <v>#NAME?</v>
      </c>
      <c r="BO6" s="43" t="e">
        <v>#NAME?</v>
      </c>
      <c r="BP6" s="43" t="e">
        <v>#NAME?</v>
      </c>
      <c r="BQ6" s="43" t="e">
        <v>#NAME?</v>
      </c>
      <c r="BR6" s="43" t="e">
        <v>#NAME?</v>
      </c>
      <c r="BS6" s="43" t="e">
        <v>#NAME?</v>
      </c>
      <c r="BT6" s="43" t="e">
        <v>#NAME?</v>
      </c>
      <c r="BU6" s="43" t="e">
        <v>#NAME?</v>
      </c>
      <c r="BV6" s="43" t="e">
        <v>#NAME?</v>
      </c>
      <c r="BW6" s="43" t="e">
        <v>#NAME?</v>
      </c>
      <c r="BX6" s="43" t="e">
        <v>#NAME?</v>
      </c>
      <c r="BY6" s="43" t="e">
        <v>#NAME?</v>
      </c>
      <c r="BZ6" s="43" t="e">
        <v>#NAME?</v>
      </c>
      <c r="CA6" s="43" t="e">
        <v>#NAME?</v>
      </c>
      <c r="CB6" s="43" t="e">
        <v>#NAME?</v>
      </c>
      <c r="CC6" s="43" t="e">
        <v>#NAME?</v>
      </c>
      <c r="CD6" s="43" t="e">
        <v>#NAME?</v>
      </c>
      <c r="CE6" s="43" t="e">
        <v>#NAME?</v>
      </c>
      <c r="CF6" s="43" t="e">
        <v>#NAME?</v>
      </c>
      <c r="CG6" s="43" t="e">
        <v>#NAME?</v>
      </c>
      <c r="CH6" s="43" t="e">
        <v>#NAME?</v>
      </c>
      <c r="CI6" s="43" t="e">
        <v>#NAME?</v>
      </c>
      <c r="CJ6" s="43" t="e">
        <v>#NAME?</v>
      </c>
      <c r="CK6" s="43" t="e">
        <v>#NAME?</v>
      </c>
      <c r="CL6" s="43" t="e">
        <v>#NAME?</v>
      </c>
      <c r="CM6" s="43" t="e">
        <v>#NAME?</v>
      </c>
      <c r="CN6" s="43" t="e">
        <v>#NAME?</v>
      </c>
      <c r="CO6" s="43" t="e">
        <v>#NAME?</v>
      </c>
      <c r="CP6" s="43" t="e">
        <v>#NAME?</v>
      </c>
      <c r="CQ6" s="43" t="e">
        <v>#NAME?</v>
      </c>
      <c r="CR6" s="43" t="e">
        <v>#NAME?</v>
      </c>
      <c r="CS6" s="43" t="e">
        <v>#NAME?</v>
      </c>
      <c r="CT6" s="43" t="e">
        <v>#NAME?</v>
      </c>
      <c r="CU6" s="43" t="e">
        <v>#NAME?</v>
      </c>
      <c r="CV6" s="43" t="e">
        <v>#NAME?</v>
      </c>
      <c r="CW6" s="43" t="e">
        <v>#NAME?</v>
      </c>
      <c r="CX6" s="43" t="e">
        <v>#NAME?</v>
      </c>
      <c r="CY6" s="43" t="e">
        <v>#NAME?</v>
      </c>
      <c r="CZ6" s="43" t="e">
        <v>#NAME?</v>
      </c>
      <c r="DA6" s="43" t="e">
        <v>#NAME?</v>
      </c>
      <c r="DB6" s="43" t="e">
        <v>#NAME?</v>
      </c>
      <c r="DC6" s="43" t="e">
        <v>#NAME?</v>
      </c>
      <c r="DD6" s="43" t="e">
        <v>#NAME?</v>
      </c>
      <c r="DE6" s="43" t="e">
        <v>#NAME?</v>
      </c>
      <c r="DF6" s="43" t="e">
        <v>#NAME?</v>
      </c>
      <c r="DG6" s="43" t="e">
        <v>#NAME?</v>
      </c>
      <c r="DH6" s="43" t="e">
        <v>#NAME?</v>
      </c>
      <c r="DI6" s="43" t="e">
        <v>#NAME?</v>
      </c>
      <c r="DJ6" s="43" t="e">
        <v>#NAME?</v>
      </c>
      <c r="DK6" s="43" t="e">
        <v>#NAME?</v>
      </c>
      <c r="DL6" s="43" t="e">
        <v>#NAME?</v>
      </c>
      <c r="DM6" s="43" t="e">
        <v>#NAME?</v>
      </c>
      <c r="DN6" s="43" t="e">
        <v>#NAME?</v>
      </c>
      <c r="DO6" s="43" t="e">
        <v>#NAME?</v>
      </c>
      <c r="DP6" s="43" t="e">
        <v>#NAME?</v>
      </c>
      <c r="DQ6" s="43" t="e">
        <v>#NAME?</v>
      </c>
      <c r="DR6" s="43" t="e">
        <v>#NAME?</v>
      </c>
      <c r="DS6" s="43" t="e">
        <v>#NAME?</v>
      </c>
      <c r="DT6" s="43" t="e">
        <v>#NAME?</v>
      </c>
      <c r="DU6" s="43" t="e">
        <v>#NAME?</v>
      </c>
      <c r="DV6" s="43" t="e">
        <v>#NAME?</v>
      </c>
      <c r="DW6" s="43" t="e">
        <v>#NAME?</v>
      </c>
      <c r="DX6" s="43" t="e">
        <v>#NAME?</v>
      </c>
      <c r="DY6" s="43" t="e">
        <v>#NAME?</v>
      </c>
      <c r="DZ6" s="43" t="e">
        <v>#NAME?</v>
      </c>
      <c r="EA6" s="43" t="e">
        <v>#NAME?</v>
      </c>
      <c r="EB6" s="43" t="e">
        <v>#NAME?</v>
      </c>
      <c r="EC6" s="43" t="e">
        <v>#NAME?</v>
      </c>
      <c r="ED6" s="43" t="e">
        <v>#NAME?</v>
      </c>
      <c r="EE6" s="43" t="e">
        <v>#NAME?</v>
      </c>
      <c r="EF6" s="43" t="e">
        <v>#NAME?</v>
      </c>
      <c r="EG6" s="43" t="e">
        <v>#NAME?</v>
      </c>
      <c r="EH6" s="43" t="e">
        <v>#NAME?</v>
      </c>
      <c r="EI6" s="43" t="e">
        <v>#NAME?</v>
      </c>
      <c r="EJ6" s="43" t="e">
        <v>#NAME?</v>
      </c>
      <c r="EK6" s="43" t="e">
        <v>#NAME?</v>
      </c>
      <c r="EL6" s="43" t="e">
        <v>#NAME?</v>
      </c>
      <c r="EM6" s="43" t="e">
        <v>#NAME?</v>
      </c>
      <c r="EN6" s="43" t="e">
        <v>#NAME?</v>
      </c>
      <c r="EO6" s="43" t="e">
        <v>#NAME?</v>
      </c>
      <c r="EP6" s="43" t="e">
        <v>#NAME?</v>
      </c>
      <c r="EQ6" s="43" t="e">
        <v>#NAME?</v>
      </c>
      <c r="ER6" s="43" t="e">
        <v>#NAME?</v>
      </c>
      <c r="ES6" s="43" t="e">
        <v>#NAME?</v>
      </c>
      <c r="ET6" s="43" t="e">
        <v>#NAME?</v>
      </c>
      <c r="EU6" s="43" t="e">
        <v>#NAME?</v>
      </c>
      <c r="EV6" s="43" t="e">
        <v>#NAME?</v>
      </c>
      <c r="EW6" s="43" t="e">
        <v>#NAME?</v>
      </c>
      <c r="EX6" s="43" t="e">
        <v>#NAME?</v>
      </c>
      <c r="EY6" s="43" t="e">
        <v>#NAME?</v>
      </c>
      <c r="EZ6" s="43" t="e">
        <v>#NAME?</v>
      </c>
      <c r="FA6" s="43" t="e">
        <v>#NAME?</v>
      </c>
      <c r="FB6" s="43" t="e">
        <v>#NAME?</v>
      </c>
      <c r="FC6" s="43" t="e">
        <v>#NAME?</v>
      </c>
      <c r="FD6" s="43" t="e">
        <v>#NAME?</v>
      </c>
      <c r="FE6" s="43" t="e">
        <v>#NAME?</v>
      </c>
      <c r="FF6" s="43" t="e">
        <v>#NAME?</v>
      </c>
      <c r="FG6" s="43" t="e">
        <v>#NAME?</v>
      </c>
      <c r="FH6" s="43" t="e">
        <v>#NAME?</v>
      </c>
      <c r="FI6" s="43" t="e">
        <v>#NAME?</v>
      </c>
      <c r="FJ6" s="43" t="e">
        <v>#NAME?</v>
      </c>
      <c r="FK6" s="43" t="e">
        <v>#NAME?</v>
      </c>
      <c r="FL6" s="43" t="e">
        <v>#NAME?</v>
      </c>
      <c r="FM6" s="43" t="e">
        <v>#NAME?</v>
      </c>
    </row>
    <row r="7" spans="1:169" x14ac:dyDescent="0.25">
      <c r="A7" s="43" t="s">
        <v>234</v>
      </c>
      <c r="B7" s="43">
        <v>14839.71</v>
      </c>
      <c r="C7" s="43">
        <v>10074.530000000001</v>
      </c>
      <c r="D7" s="43">
        <v>1.9366589999999999</v>
      </c>
      <c r="E7" s="43">
        <v>2.943956</v>
      </c>
      <c r="F7" s="43">
        <v>4.1597799999999996</v>
      </c>
      <c r="G7" s="43">
        <v>5.0999990000000004</v>
      </c>
      <c r="H7" s="43">
        <v>0.96834640000000005</v>
      </c>
      <c r="I7" s="43">
        <v>1.017963</v>
      </c>
      <c r="J7" s="43">
        <v>0.89083829999999997</v>
      </c>
      <c r="K7" s="43">
        <v>1.1129990000000001</v>
      </c>
      <c r="L7" s="43">
        <v>1.5399890000000001</v>
      </c>
      <c r="M7" s="43">
        <v>53.017910000000001</v>
      </c>
      <c r="N7" s="43">
        <v>51.593956043955998</v>
      </c>
      <c r="O7" s="43">
        <v>6.9315384615384597</v>
      </c>
      <c r="P7" s="43">
        <v>2.0513330000000001</v>
      </c>
      <c r="Q7" s="43">
        <v>-686.43880000000001</v>
      </c>
      <c r="R7" s="43">
        <v>5.914066</v>
      </c>
      <c r="S7" s="43">
        <v>2375.192</v>
      </c>
      <c r="T7" s="43">
        <v>2.8630770000000001</v>
      </c>
      <c r="U7" s="43">
        <v>4.4808789999999998</v>
      </c>
      <c r="V7" s="43">
        <v>1845.046</v>
      </c>
      <c r="W7" s="43">
        <v>0.98799999999999999</v>
      </c>
      <c r="X7" s="43">
        <v>11344.23</v>
      </c>
      <c r="Y7" s="43">
        <v>1.2027829999999999</v>
      </c>
      <c r="Z7" s="43">
        <v>0.80508769999999996</v>
      </c>
      <c r="AA7" s="43">
        <v>0.84416999999999998</v>
      </c>
      <c r="AB7" s="43">
        <v>0.91603999999999997</v>
      </c>
      <c r="AC7" s="43">
        <v>44.069009999999999</v>
      </c>
      <c r="AD7" s="43">
        <v>0.81137000000000004</v>
      </c>
      <c r="AE7" s="43">
        <v>0.67374000000000001</v>
      </c>
      <c r="AF7" s="43">
        <v>0.77263000000000004</v>
      </c>
      <c r="AG7" s="43">
        <v>295.5883</v>
      </c>
      <c r="AH7" s="43">
        <v>113.20059999999999</v>
      </c>
      <c r="AI7" s="43">
        <v>1.5099560000000001</v>
      </c>
      <c r="AJ7" s="43">
        <v>1.5669999999999999</v>
      </c>
      <c r="AK7" s="43">
        <v>12922.66</v>
      </c>
      <c r="AM7" s="43">
        <v>1.1463186813186801</v>
      </c>
      <c r="AN7" s="43">
        <v>2.6038130000000002</v>
      </c>
      <c r="AO7" s="43">
        <v>1.4773296703296701</v>
      </c>
      <c r="AP7" s="43">
        <v>1.48779120879121</v>
      </c>
      <c r="AQ7" s="43">
        <v>1.8820220000000001</v>
      </c>
      <c r="AR7" s="43">
        <v>1.4199889999999999</v>
      </c>
      <c r="AS7" s="43">
        <v>1.245528</v>
      </c>
      <c r="AT7" s="43">
        <v>1.453813</v>
      </c>
      <c r="AU7" s="43">
        <v>1.5613630000000001</v>
      </c>
      <c r="AV7" s="43">
        <v>1632.9380000000001</v>
      </c>
      <c r="AW7" s="43">
        <v>820.05799999999999</v>
      </c>
      <c r="AX7" s="43">
        <v>1.0702799999999999</v>
      </c>
      <c r="AY7" s="43">
        <v>1.0673299999999999</v>
      </c>
      <c r="AZ7" s="43">
        <v>232.63329999999999</v>
      </c>
      <c r="BA7" s="43">
        <v>0.80389900000000003</v>
      </c>
      <c r="BB7" s="43">
        <v>78.7</v>
      </c>
      <c r="BC7" s="43">
        <v>20.50451</v>
      </c>
      <c r="BD7" s="43">
        <v>6.8010989999999998</v>
      </c>
      <c r="BE7" s="43">
        <v>0.80166669999999995</v>
      </c>
      <c r="BF7" s="43">
        <v>2.4598900000000001</v>
      </c>
      <c r="BG7" s="43">
        <v>2.5</v>
      </c>
      <c r="BH7" s="43">
        <v>3.9903300000000002</v>
      </c>
      <c r="BI7" s="43">
        <v>0.73499999999999999</v>
      </c>
      <c r="BJ7" s="43">
        <v>0.85699999999999998</v>
      </c>
      <c r="BK7" s="43">
        <v>54.82161</v>
      </c>
      <c r="BL7" s="43">
        <v>65.953990000000005</v>
      </c>
      <c r="BM7" s="43">
        <v>1.059488</v>
      </c>
      <c r="BN7" s="43">
        <v>1.2695270000000001</v>
      </c>
      <c r="BO7" s="43">
        <v>32.141199999999998</v>
      </c>
      <c r="BP7" s="43">
        <v>1.2439945054945101</v>
      </c>
      <c r="BQ7" s="43">
        <v>1374.26</v>
      </c>
      <c r="BR7" s="43">
        <v>312.02615486930102</v>
      </c>
      <c r="BS7" s="43">
        <v>9488.2810000000009</v>
      </c>
      <c r="BT7" s="43">
        <v>5320.6890000000003</v>
      </c>
      <c r="BU7" s="43">
        <v>0.98825280000000004</v>
      </c>
      <c r="BV7" s="43">
        <v>0.84750329999999996</v>
      </c>
      <c r="BW7" s="43">
        <v>0.8656374</v>
      </c>
      <c r="BX7" s="43">
        <v>1.2599419999999999</v>
      </c>
      <c r="BY7" s="43">
        <v>3.348176</v>
      </c>
      <c r="BZ7" s="43">
        <v>3.3282639999999999</v>
      </c>
      <c r="CA7" s="43">
        <v>3.353011</v>
      </c>
      <c r="CB7" s="43">
        <v>0.53878910000000002</v>
      </c>
      <c r="CC7" s="43">
        <v>7.3133319999999999</v>
      </c>
      <c r="CD7" s="43">
        <v>0.86890109999999998</v>
      </c>
      <c r="CE7" s="43">
        <v>1.1022860000000001</v>
      </c>
      <c r="CF7" s="43">
        <v>1.2165600000000001</v>
      </c>
      <c r="CG7" s="43">
        <v>1.0076670000000001</v>
      </c>
      <c r="CH7" s="43">
        <v>0.93836260000000005</v>
      </c>
      <c r="CI7" s="43">
        <v>0.99396709999999999</v>
      </c>
      <c r="CJ7" s="43">
        <v>1.0371429999999999</v>
      </c>
      <c r="CK7" s="43">
        <v>0.93466660000000001</v>
      </c>
      <c r="CL7" s="43">
        <v>0.85133329999999996</v>
      </c>
      <c r="CM7" s="43">
        <v>0.88099989999999995</v>
      </c>
      <c r="CN7" s="43">
        <v>0.85436670000000003</v>
      </c>
      <c r="CO7" s="43">
        <v>0.80800000000000005</v>
      </c>
      <c r="CP7" s="43">
        <v>0.79423049999999995</v>
      </c>
      <c r="CQ7" s="43">
        <v>0.93994500000000003</v>
      </c>
      <c r="CR7" s="43">
        <v>2.108352</v>
      </c>
      <c r="CS7" s="43">
        <v>41.007987186898497</v>
      </c>
      <c r="CT7" s="43">
        <v>28.085529999999999</v>
      </c>
      <c r="CU7" s="43">
        <v>23.95646</v>
      </c>
      <c r="CV7" s="43">
        <v>30.183744333648399</v>
      </c>
      <c r="CW7" s="43">
        <v>0.88166670000000003</v>
      </c>
      <c r="CX7" s="43">
        <v>0.86933329999999998</v>
      </c>
      <c r="CY7" s="43">
        <v>0.87366659999999996</v>
      </c>
      <c r="CZ7" s="43">
        <v>0.90300000000000002</v>
      </c>
      <c r="DA7" s="43">
        <v>0.94199999999999995</v>
      </c>
      <c r="DB7" s="43">
        <v>0.61110100089999997</v>
      </c>
      <c r="DC7" s="43">
        <v>1.077</v>
      </c>
      <c r="DD7" s="43">
        <v>0.71499999999999997</v>
      </c>
      <c r="DE7" s="43">
        <v>0.73399999999999999</v>
      </c>
      <c r="DF7" s="43">
        <v>0.73499999999999999</v>
      </c>
      <c r="DG7" s="43">
        <v>0.80500000000000005</v>
      </c>
      <c r="DH7" s="43">
        <v>0.20200000000000001</v>
      </c>
      <c r="DI7" s="43">
        <v>0</v>
      </c>
      <c r="DJ7" s="43">
        <v>0.48599999999999999</v>
      </c>
      <c r="DK7" s="43">
        <v>0.68100000000000005</v>
      </c>
      <c r="DL7" s="43">
        <v>0.79433330000000002</v>
      </c>
      <c r="DM7" s="43">
        <v>0.79</v>
      </c>
      <c r="DN7" s="43">
        <v>0.83966666666666701</v>
      </c>
      <c r="DO7" s="43">
        <v>0.6076667</v>
      </c>
      <c r="DP7" s="43">
        <v>0.75733329999999999</v>
      </c>
      <c r="DQ7" s="43">
        <v>0.86366670000000001</v>
      </c>
      <c r="DR7" s="43">
        <v>0.73666670000000001</v>
      </c>
      <c r="DS7" s="43">
        <v>0.60799999999999998</v>
      </c>
      <c r="DT7" s="43">
        <v>0.829666666666667</v>
      </c>
      <c r="DU7" s="43">
        <v>510.34840000000003</v>
      </c>
      <c r="DV7" s="43">
        <v>285.02050000000003</v>
      </c>
      <c r="DW7" s="43">
        <v>120.1626</v>
      </c>
      <c r="DX7" s="43">
        <v>0.95335170000000002</v>
      </c>
      <c r="DY7" s="43">
        <v>0.94099999999999995</v>
      </c>
      <c r="DZ7" s="43">
        <v>1.0409999999999999</v>
      </c>
      <c r="EA7" s="43">
        <v>1200.789</v>
      </c>
      <c r="EB7" s="43">
        <v>107.5033</v>
      </c>
      <c r="EC7" s="43">
        <v>0.88099989999999995</v>
      </c>
      <c r="ED7" s="43">
        <v>0.80800000000000005</v>
      </c>
      <c r="EE7" s="43">
        <v>0.86933329999999998</v>
      </c>
      <c r="EF7" s="43">
        <v>0.87366659999999996</v>
      </c>
      <c r="EG7" s="43">
        <v>0.88166670000000003</v>
      </c>
      <c r="EH7" s="43">
        <v>0.33100000000000002</v>
      </c>
      <c r="EI7" s="43">
        <v>0.123</v>
      </c>
      <c r="EJ7" s="43">
        <v>15.597</v>
      </c>
      <c r="EK7" s="43">
        <v>8.2189999999999994</v>
      </c>
      <c r="EL7" s="43">
        <v>0.318</v>
      </c>
      <c r="EM7" s="43">
        <v>1797</v>
      </c>
      <c r="EN7" s="43">
        <v>429.4</v>
      </c>
      <c r="EO7" s="43">
        <v>55565</v>
      </c>
      <c r="EP7" s="43">
        <v>44298</v>
      </c>
      <c r="EQ7" s="43">
        <v>3257.6</v>
      </c>
      <c r="ER7" s="43">
        <v>1.1040000000000001</v>
      </c>
      <c r="ES7" s="43">
        <v>1.155</v>
      </c>
      <c r="ET7" s="43">
        <v>1.0840000000000001</v>
      </c>
      <c r="EU7" s="43">
        <v>0.48230479999999998</v>
      </c>
      <c r="EV7" s="43">
        <v>0.53964630000000002</v>
      </c>
      <c r="EW7" s="43">
        <v>0.5040135</v>
      </c>
      <c r="EX7" s="43">
        <v>0.48425940000000001</v>
      </c>
      <c r="EY7" s="43">
        <v>0.53797419999999996</v>
      </c>
      <c r="EZ7" s="43">
        <v>0.50495029999999996</v>
      </c>
      <c r="FA7" s="43">
        <v>3.5459999999999998</v>
      </c>
      <c r="FB7" s="43">
        <v>3.5779999999999998</v>
      </c>
      <c r="FC7" s="43">
        <v>15.237</v>
      </c>
      <c r="FD7" s="43">
        <v>6268.7709999999997</v>
      </c>
      <c r="FE7" s="43">
        <v>30841.27</v>
      </c>
      <c r="FF7" s="43">
        <v>0.99612500000000004</v>
      </c>
      <c r="FG7" s="43">
        <v>2.4817740000000001</v>
      </c>
      <c r="FH7" s="43">
        <v>581.37919999999997</v>
      </c>
      <c r="FI7" s="43">
        <v>9553.5550000000003</v>
      </c>
      <c r="FJ7" s="43">
        <v>8.2765000000000004</v>
      </c>
      <c r="FK7" s="43">
        <v>10.96941</v>
      </c>
      <c r="FL7" s="43">
        <v>1.0050889999999999</v>
      </c>
      <c r="FM7" s="43">
        <v>0.99627569999999999</v>
      </c>
    </row>
    <row r="8" spans="1:169" x14ac:dyDescent="0.25">
      <c r="A8" s="43" t="s">
        <v>235</v>
      </c>
      <c r="B8" s="43">
        <v>14956.29</v>
      </c>
      <c r="C8" s="43">
        <v>10158.950000000001</v>
      </c>
      <c r="D8" s="43">
        <v>1.9657610000000001</v>
      </c>
      <c r="E8" s="43">
        <v>3.4582609999999998</v>
      </c>
      <c r="F8" s="43">
        <v>4.2134780000000003</v>
      </c>
      <c r="G8" s="43">
        <v>4.9663040000000001</v>
      </c>
      <c r="H8" s="43">
        <v>0.96436350000000004</v>
      </c>
      <c r="I8" s="43">
        <v>1.016608</v>
      </c>
      <c r="J8" s="43">
        <v>0.89733450000000003</v>
      </c>
      <c r="K8" s="43">
        <v>1.1016079999999999</v>
      </c>
      <c r="L8" s="43">
        <v>1.5667720000000001</v>
      </c>
      <c r="M8" s="43">
        <v>63.167279999999998</v>
      </c>
      <c r="N8" s="43">
        <v>61.454347826087002</v>
      </c>
      <c r="O8" s="43">
        <v>9.6136956521739094</v>
      </c>
      <c r="P8" s="43">
        <v>2.1</v>
      </c>
      <c r="Q8" s="43">
        <v>-724.91750000000002</v>
      </c>
      <c r="R8" s="43">
        <v>6.4248909999999997</v>
      </c>
      <c r="S8" s="43">
        <v>2384.2440000000001</v>
      </c>
      <c r="T8" s="43">
        <v>3.3593479999999998</v>
      </c>
      <c r="U8" s="43">
        <v>4.4454779999999996</v>
      </c>
      <c r="V8" s="43">
        <v>1862.914</v>
      </c>
      <c r="W8" s="43">
        <v>0.995</v>
      </c>
      <c r="X8" s="43">
        <v>11386.09</v>
      </c>
      <c r="Y8" s="43">
        <v>1.2075290000000001</v>
      </c>
      <c r="Z8" s="43">
        <v>0.79863229999999996</v>
      </c>
      <c r="AA8" s="43">
        <v>0.84940000000000004</v>
      </c>
      <c r="AB8" s="43">
        <v>0.91547000000000001</v>
      </c>
      <c r="AC8" s="43">
        <v>52.953040000000001</v>
      </c>
      <c r="AD8" s="43">
        <v>0.81904999999999994</v>
      </c>
      <c r="AE8" s="43">
        <v>0.69786000000000004</v>
      </c>
      <c r="AF8" s="43">
        <v>0.79293999999999998</v>
      </c>
      <c r="AG8" s="43">
        <v>296.3374</v>
      </c>
      <c r="AH8" s="43">
        <v>113.49809999999999</v>
      </c>
      <c r="AI8" s="43">
        <v>1.542011</v>
      </c>
      <c r="AJ8" s="43">
        <v>1.6196666666666699</v>
      </c>
      <c r="AK8" s="43">
        <v>13142.64</v>
      </c>
      <c r="AM8" s="43">
        <v>1.16495652173913</v>
      </c>
      <c r="AN8" s="43">
        <v>3.1842060000000001</v>
      </c>
      <c r="AO8" s="43">
        <v>1.5002717391304301</v>
      </c>
      <c r="AP8" s="43">
        <v>1.76359782608696</v>
      </c>
      <c r="AQ8" s="43">
        <v>1.9132830000000001</v>
      </c>
      <c r="AR8" s="43">
        <v>1.428239</v>
      </c>
      <c r="AS8" s="43">
        <v>1.3611519999999999</v>
      </c>
      <c r="AT8" s="43">
        <v>1.642228</v>
      </c>
      <c r="AU8" s="43">
        <v>1.5445439999999999</v>
      </c>
      <c r="AV8" s="43">
        <v>1652.7190000000001</v>
      </c>
      <c r="AW8" s="43">
        <v>825.51700000000005</v>
      </c>
      <c r="AX8" s="43">
        <v>1.078371</v>
      </c>
      <c r="AY8" s="43">
        <v>1.076587</v>
      </c>
      <c r="AZ8" s="43">
        <v>229.4333</v>
      </c>
      <c r="BA8" s="43">
        <v>0.83221800000000001</v>
      </c>
      <c r="BB8" s="43">
        <v>78.900000000000006</v>
      </c>
      <c r="BC8" s="43">
        <v>20.745439999999999</v>
      </c>
      <c r="BD8" s="43">
        <v>6.6663040000000002</v>
      </c>
      <c r="BE8" s="43">
        <v>0.80200000000000005</v>
      </c>
      <c r="BF8" s="43">
        <v>2.715652</v>
      </c>
      <c r="BG8" s="43">
        <v>2.5681820000000002</v>
      </c>
      <c r="BH8" s="43">
        <v>3.8759779999999999</v>
      </c>
      <c r="BI8" s="43">
        <v>0.748</v>
      </c>
      <c r="BJ8" s="43">
        <v>0.86899999999999999</v>
      </c>
      <c r="BK8" s="43">
        <v>63.643920000000001</v>
      </c>
      <c r="BL8" s="43">
        <v>75.920339999999996</v>
      </c>
      <c r="BM8" s="43">
        <v>1.0589569999999999</v>
      </c>
      <c r="BN8" s="43">
        <v>1.2692969999999999</v>
      </c>
      <c r="BO8" s="43">
        <v>32.242359999999998</v>
      </c>
      <c r="BP8" s="43">
        <v>1.2018934782608699</v>
      </c>
      <c r="BQ8" s="43">
        <v>1411.38</v>
      </c>
      <c r="BR8" s="43">
        <v>312.478950223016</v>
      </c>
      <c r="BS8" s="43">
        <v>9560.7379999999994</v>
      </c>
      <c r="BT8" s="43">
        <v>5347.576</v>
      </c>
      <c r="BU8" s="43">
        <v>0.99260870000000001</v>
      </c>
      <c r="BV8" s="43">
        <v>0.85056080000000001</v>
      </c>
      <c r="BW8" s="43">
        <v>0.87695650000000003</v>
      </c>
      <c r="BX8" s="43">
        <v>1.218952</v>
      </c>
      <c r="BY8" s="43">
        <v>3.1920109999999999</v>
      </c>
      <c r="BZ8" s="43">
        <v>3.1440109999999999</v>
      </c>
      <c r="CA8" s="43">
        <v>3.0635110000000001</v>
      </c>
      <c r="CB8" s="43">
        <v>0.56076939999999997</v>
      </c>
      <c r="CC8" s="43">
        <v>7.6843849999999998</v>
      </c>
      <c r="CD8" s="43">
        <v>0.87993480000000002</v>
      </c>
      <c r="CE8" s="43">
        <v>1.0984670000000001</v>
      </c>
      <c r="CF8" s="43">
        <v>1.2189890000000001</v>
      </c>
      <c r="CG8" s="43">
        <v>0.98299999999999998</v>
      </c>
      <c r="CH8" s="43">
        <v>0.95599990000000001</v>
      </c>
      <c r="CI8" s="43">
        <v>1.0002500000000001</v>
      </c>
      <c r="CJ8" s="43">
        <v>1.062837</v>
      </c>
      <c r="CK8" s="43">
        <v>0.94099999999999995</v>
      </c>
      <c r="CL8" s="43">
        <v>0.85933329999999997</v>
      </c>
      <c r="CM8" s="43">
        <v>0.88899989999999995</v>
      </c>
      <c r="CN8" s="43">
        <v>0.86126670000000005</v>
      </c>
      <c r="CO8" s="43">
        <v>0.81899999999999995</v>
      </c>
      <c r="CP8" s="43">
        <v>0.82044240000000002</v>
      </c>
      <c r="CQ8" s="43">
        <v>0.9492391</v>
      </c>
      <c r="CR8" s="43">
        <v>2.1131519999999999</v>
      </c>
      <c r="CS8" s="43">
        <v>50.398929099463899</v>
      </c>
      <c r="CT8" s="43">
        <v>28.517510000000001</v>
      </c>
      <c r="CU8" s="43">
        <v>24.38355</v>
      </c>
      <c r="CV8" s="43">
        <v>29.722381280217402</v>
      </c>
      <c r="CW8" s="43">
        <v>0.8973333</v>
      </c>
      <c r="CX8" s="43">
        <v>0.9156666</v>
      </c>
      <c r="CY8" s="43">
        <v>0.88833329999999999</v>
      </c>
      <c r="CZ8" s="43">
        <v>0.89833333333333298</v>
      </c>
      <c r="DA8" s="43">
        <v>0.93533333333333302</v>
      </c>
      <c r="DB8" s="43">
        <v>0.63403093720000003</v>
      </c>
      <c r="DC8" s="43">
        <v>1.1023333333333301</v>
      </c>
      <c r="DD8" s="43">
        <v>0.71199999999999997</v>
      </c>
      <c r="DE8" s="43">
        <v>0.73799999999999999</v>
      </c>
      <c r="DF8" s="43">
        <v>0.73899999999999999</v>
      </c>
      <c r="DG8" s="43">
        <v>0.83599999999999997</v>
      </c>
      <c r="DH8" s="43">
        <v>0.21099999999999999</v>
      </c>
      <c r="DI8" s="43">
        <v>0</v>
      </c>
      <c r="DJ8" s="43">
        <v>0.49299999999999999</v>
      </c>
      <c r="DK8" s="43">
        <v>0.68966669999999997</v>
      </c>
      <c r="DL8" s="43">
        <v>0.77200000000000002</v>
      </c>
      <c r="DM8" s="43">
        <v>0.82166669999999997</v>
      </c>
      <c r="DN8" s="43">
        <v>0.83933333333333304</v>
      </c>
      <c r="DO8" s="43">
        <v>0.61299999999999999</v>
      </c>
      <c r="DP8" s="43">
        <v>0.75766659999999997</v>
      </c>
      <c r="DQ8" s="43">
        <v>0.84699999999999998</v>
      </c>
      <c r="DR8" s="43">
        <v>0.74299999999999999</v>
      </c>
      <c r="DS8" s="43">
        <v>0.61</v>
      </c>
      <c r="DT8" s="43">
        <v>0.88766666666666605</v>
      </c>
      <c r="DU8" s="43">
        <v>515.48540000000003</v>
      </c>
      <c r="DV8" s="43">
        <v>287.69310000000002</v>
      </c>
      <c r="DW8" s="43">
        <v>119.625</v>
      </c>
      <c r="DX8" s="43">
        <v>0.95164130000000002</v>
      </c>
      <c r="DY8" s="43">
        <v>0.94665220000000005</v>
      </c>
      <c r="DZ8" s="43">
        <v>1.0369999999999999</v>
      </c>
      <c r="EA8" s="43">
        <v>1290.5930000000001</v>
      </c>
      <c r="EB8" s="43">
        <v>111.267</v>
      </c>
      <c r="EC8" s="43">
        <v>0.88899989999999995</v>
      </c>
      <c r="ED8" s="43">
        <v>0.81899999999999995</v>
      </c>
      <c r="EE8" s="43">
        <v>0.9156666</v>
      </c>
      <c r="EF8" s="43">
        <v>0.88833329999999999</v>
      </c>
      <c r="EG8" s="43">
        <v>0.8973333</v>
      </c>
      <c r="EH8" s="43">
        <v>0.33600000000000002</v>
      </c>
      <c r="EI8" s="43">
        <v>0.123</v>
      </c>
      <c r="EJ8" s="43">
        <v>16.018999999999998</v>
      </c>
      <c r="EK8" s="43">
        <v>8.2189999999999994</v>
      </c>
      <c r="EL8" s="43">
        <v>0.32300000000000001</v>
      </c>
      <c r="EM8" s="43">
        <v>2064.3000000000002</v>
      </c>
      <c r="EN8" s="43">
        <v>517.4</v>
      </c>
      <c r="EO8" s="43">
        <v>63610</v>
      </c>
      <c r="EP8" s="43">
        <v>50250</v>
      </c>
      <c r="EQ8" s="43">
        <v>3875.7</v>
      </c>
      <c r="ER8" s="43">
        <v>1.121</v>
      </c>
      <c r="ES8" s="43">
        <v>1.1599999999999999</v>
      </c>
      <c r="ET8" s="43">
        <v>1.1040000000000001</v>
      </c>
      <c r="EU8" s="43">
        <v>0.47116999999999998</v>
      </c>
      <c r="EV8" s="43">
        <v>0.55159630000000004</v>
      </c>
      <c r="EW8" s="43">
        <v>0.50960119999999998</v>
      </c>
      <c r="EX8" s="43">
        <v>0.47263440000000001</v>
      </c>
      <c r="EY8" s="43">
        <v>0.53685079999999996</v>
      </c>
      <c r="EZ8" s="43">
        <v>0.50968530000000001</v>
      </c>
      <c r="FA8" s="43">
        <v>3.5960000000000001</v>
      </c>
      <c r="FB8" s="43">
        <v>3.6179999999999999</v>
      </c>
      <c r="FC8" s="43">
        <v>14.882</v>
      </c>
      <c r="FD8" s="43">
        <v>6407.78</v>
      </c>
      <c r="FE8" s="43">
        <v>31910.03</v>
      </c>
      <c r="FF8" s="43">
        <v>1.0038750000000001</v>
      </c>
      <c r="FG8" s="43">
        <v>2.3425120000000001</v>
      </c>
      <c r="FH8" s="43">
        <v>553.09299999999996</v>
      </c>
      <c r="FI8" s="43">
        <v>10009.68</v>
      </c>
      <c r="FJ8" s="43">
        <v>8.140523</v>
      </c>
      <c r="FK8" s="43">
        <v>10.713889999999999</v>
      </c>
      <c r="FL8" s="43">
        <v>0.97162219999999999</v>
      </c>
      <c r="FM8" s="43">
        <v>1.0070779999999999</v>
      </c>
    </row>
    <row r="9" spans="1:169" x14ac:dyDescent="0.25">
      <c r="A9" s="43" t="s">
        <v>236</v>
      </c>
      <c r="B9" s="43">
        <v>15041.23</v>
      </c>
      <c r="C9" s="43">
        <v>10177.27</v>
      </c>
      <c r="D9" s="43">
        <v>1.98437</v>
      </c>
      <c r="E9" s="43">
        <v>3.9797820000000002</v>
      </c>
      <c r="F9" s="43">
        <v>4.4894569999999998</v>
      </c>
      <c r="G9" s="43">
        <v>4.9663040000000001</v>
      </c>
      <c r="H9" s="43">
        <v>0.97302</v>
      </c>
      <c r="I9" s="43">
        <v>1.0317449999999999</v>
      </c>
      <c r="J9" s="43">
        <v>0.92607799999999996</v>
      </c>
      <c r="K9" s="43">
        <v>1.0991379999999999</v>
      </c>
      <c r="L9" s="43">
        <v>1.596098</v>
      </c>
      <c r="M9" s="43">
        <v>60.014890000000001</v>
      </c>
      <c r="N9" s="43">
        <v>56.897826086956499</v>
      </c>
      <c r="O9" s="43">
        <v>12.2779347826087</v>
      </c>
      <c r="P9" s="43">
        <v>2.068667</v>
      </c>
      <c r="Q9" s="43">
        <v>-782.52859999999998</v>
      </c>
      <c r="R9" s="43">
        <v>6.9663040000000001</v>
      </c>
      <c r="S9" s="43">
        <v>2417.5239999999999</v>
      </c>
      <c r="T9" s="43">
        <v>3.8260869999999998</v>
      </c>
      <c r="U9" s="43">
        <v>4.6790219999999998</v>
      </c>
      <c r="V9" s="43">
        <v>1958.866</v>
      </c>
      <c r="W9" s="43">
        <v>1.002</v>
      </c>
      <c r="X9" s="43">
        <v>11487.87</v>
      </c>
      <c r="Y9" s="43">
        <v>1.212658</v>
      </c>
      <c r="Z9" s="43">
        <v>0.80238120000000002</v>
      </c>
      <c r="AA9" s="43">
        <v>0.84982999999999997</v>
      </c>
      <c r="AB9" s="43">
        <v>0.91600999999999999</v>
      </c>
      <c r="AC9" s="43">
        <v>52.742939999999997</v>
      </c>
      <c r="AD9" s="43">
        <v>0.82557000000000003</v>
      </c>
      <c r="AE9" s="43">
        <v>0.72545999999999999</v>
      </c>
      <c r="AF9" s="43">
        <v>0.80759999999999998</v>
      </c>
      <c r="AG9" s="43">
        <v>297.0856</v>
      </c>
      <c r="AH9" s="43">
        <v>113.7769</v>
      </c>
      <c r="AI9" s="43">
        <v>1.609402</v>
      </c>
      <c r="AJ9" s="43">
        <v>1.6823333333333299</v>
      </c>
      <c r="AK9" s="43">
        <v>13324.2</v>
      </c>
      <c r="AM9" s="43">
        <v>1.2192065217391299</v>
      </c>
      <c r="AN9" s="43">
        <v>4.2225979999999996</v>
      </c>
      <c r="AO9" s="43">
        <v>1.5589347826087001</v>
      </c>
      <c r="AP9" s="43">
        <v>1.9060652173913</v>
      </c>
      <c r="AQ9" s="43">
        <v>2.0166949999999999</v>
      </c>
      <c r="AR9" s="43">
        <v>1.4988809999999999</v>
      </c>
      <c r="AS9" s="43">
        <v>1.4730760000000001</v>
      </c>
      <c r="AT9" s="43">
        <v>1.8009569999999999</v>
      </c>
      <c r="AU9" s="43">
        <v>1.567685</v>
      </c>
      <c r="AV9" s="43">
        <v>1669.06</v>
      </c>
      <c r="AW9" s="43">
        <v>833.35199999999998</v>
      </c>
      <c r="AX9" s="43">
        <v>1.0916870000000001</v>
      </c>
      <c r="AY9" s="43">
        <v>1.077337</v>
      </c>
      <c r="AZ9" s="43">
        <v>224.7</v>
      </c>
      <c r="BA9" s="43">
        <v>0.85228559999999998</v>
      </c>
      <c r="BB9" s="43">
        <v>80.2</v>
      </c>
      <c r="BC9" s="43">
        <v>20.53707</v>
      </c>
      <c r="BD9" s="43">
        <v>6.5358700000000001</v>
      </c>
      <c r="BE9" s="43">
        <v>0.80333330000000003</v>
      </c>
      <c r="BF9" s="43">
        <v>3.242718</v>
      </c>
      <c r="BG9" s="43">
        <v>3.0307689999999998</v>
      </c>
      <c r="BH9" s="43">
        <v>4.0498909999999997</v>
      </c>
      <c r="BI9" s="43">
        <v>0.76200000000000001</v>
      </c>
      <c r="BJ9" s="43">
        <v>0.88</v>
      </c>
      <c r="BK9" s="43">
        <v>61.88747</v>
      </c>
      <c r="BL9" s="43">
        <v>70.420230000000004</v>
      </c>
      <c r="BM9" s="43">
        <v>1.0651790000000001</v>
      </c>
      <c r="BN9" s="43">
        <v>1.272521</v>
      </c>
      <c r="BO9" s="43">
        <v>32.352229999999999</v>
      </c>
      <c r="BP9" s="43">
        <v>1.1733793478260901</v>
      </c>
      <c r="BQ9" s="43">
        <v>1433.624</v>
      </c>
      <c r="BR9" s="43">
        <v>311.08111341102199</v>
      </c>
      <c r="BS9" s="43">
        <v>9617.77</v>
      </c>
      <c r="BT9" s="43">
        <v>5371.4080000000004</v>
      </c>
      <c r="BU9" s="43">
        <v>1.006902</v>
      </c>
      <c r="BV9" s="43">
        <v>0.85611740000000003</v>
      </c>
      <c r="BW9" s="43">
        <v>0.88534780000000002</v>
      </c>
      <c r="BX9" s="43">
        <v>1.1876610000000001</v>
      </c>
      <c r="BY9" s="43">
        <v>3.3463699999999998</v>
      </c>
      <c r="BZ9" s="43">
        <v>3.2803909999999998</v>
      </c>
      <c r="CA9" s="43">
        <v>3.2967170000000001</v>
      </c>
      <c r="CB9" s="43">
        <v>0.5718664</v>
      </c>
      <c r="CC9" s="43">
        <v>7.9686859999999999</v>
      </c>
      <c r="CD9" s="43">
        <v>0.89669569999999998</v>
      </c>
      <c r="CE9" s="43">
        <v>1.1074569999999999</v>
      </c>
      <c r="CF9" s="43">
        <v>1.2245539999999999</v>
      </c>
      <c r="CG9" s="43">
        <v>1.034667</v>
      </c>
      <c r="CH9" s="43">
        <v>0.96066309999999999</v>
      </c>
      <c r="CI9" s="43">
        <v>1.003587</v>
      </c>
      <c r="CJ9" s="43">
        <v>1.0730980000000001</v>
      </c>
      <c r="CK9" s="43">
        <v>1.0369999999999999</v>
      </c>
      <c r="CL9" s="43">
        <v>0.86166670000000001</v>
      </c>
      <c r="CM9" s="43">
        <v>0.89600000000000002</v>
      </c>
      <c r="CN9" s="43">
        <v>0.86699999999999999</v>
      </c>
      <c r="CO9" s="43">
        <v>0.82599999999999996</v>
      </c>
      <c r="CP9" s="43">
        <v>0.84205560000000002</v>
      </c>
      <c r="CQ9" s="43">
        <v>0.95855429999999997</v>
      </c>
      <c r="CR9" s="43">
        <v>2.336522</v>
      </c>
      <c r="CS9" s="43">
        <v>47.902065448659101</v>
      </c>
      <c r="CT9" s="43">
        <v>28.707429999999999</v>
      </c>
      <c r="CU9" s="43">
        <v>24.68422</v>
      </c>
      <c r="CV9" s="43">
        <v>29.316482189739101</v>
      </c>
      <c r="CW9" s="43">
        <v>0.9003333</v>
      </c>
      <c r="CX9" s="43">
        <v>0.93</v>
      </c>
      <c r="CY9" s="43">
        <v>0.90066670000000004</v>
      </c>
      <c r="CZ9" s="43">
        <v>0.90033333333333299</v>
      </c>
      <c r="DA9" s="43">
        <v>0.93233333333333301</v>
      </c>
      <c r="DB9" s="43">
        <v>0.64758871699999998</v>
      </c>
      <c r="DC9" s="43">
        <v>1.13266666666667</v>
      </c>
      <c r="DD9" s="43">
        <v>0.71199999999999997</v>
      </c>
      <c r="DE9" s="43">
        <v>0.745</v>
      </c>
      <c r="DF9" s="43">
        <v>0.749</v>
      </c>
      <c r="DG9" s="43">
        <v>0.81499999999999995</v>
      </c>
      <c r="DH9" s="43">
        <v>0.217</v>
      </c>
      <c r="DI9" s="43">
        <v>0</v>
      </c>
      <c r="DJ9" s="43">
        <v>0.5</v>
      </c>
      <c r="DK9" s="43">
        <v>0.70499999999999996</v>
      </c>
      <c r="DL9" s="43">
        <v>0.81299999999999994</v>
      </c>
      <c r="DM9" s="43">
        <v>0.84466669999999999</v>
      </c>
      <c r="DN9" s="43">
        <v>0.85433333333333294</v>
      </c>
      <c r="DO9" s="43">
        <v>0.624</v>
      </c>
      <c r="DP9" s="43">
        <v>0.77833330000000001</v>
      </c>
      <c r="DQ9" s="43">
        <v>0.94</v>
      </c>
      <c r="DR9" s="43">
        <v>0.77466670000000004</v>
      </c>
      <c r="DS9" s="43">
        <v>0.6026667</v>
      </c>
      <c r="DT9" s="43">
        <v>0.90333333333333299</v>
      </c>
      <c r="DU9" s="43">
        <v>516.42830000000004</v>
      </c>
      <c r="DV9" s="43">
        <v>287.80759999999998</v>
      </c>
      <c r="DW9" s="43">
        <v>121.1272</v>
      </c>
      <c r="DX9" s="43">
        <v>0.9516848</v>
      </c>
      <c r="DY9" s="43">
        <v>0.95067389999999996</v>
      </c>
      <c r="DZ9" s="43">
        <v>1.036</v>
      </c>
      <c r="EA9" s="43">
        <v>1245.681</v>
      </c>
      <c r="EB9" s="43">
        <v>116.2362</v>
      </c>
      <c r="EC9" s="43">
        <v>0.89600000000000002</v>
      </c>
      <c r="ED9" s="43">
        <v>0.82599999999999996</v>
      </c>
      <c r="EE9" s="43">
        <v>0.93</v>
      </c>
      <c r="EF9" s="43">
        <v>0.90066670000000004</v>
      </c>
      <c r="EG9" s="43">
        <v>0.9003333</v>
      </c>
      <c r="EH9" s="43">
        <v>0.34200000000000003</v>
      </c>
      <c r="EI9" s="43">
        <v>0.123</v>
      </c>
      <c r="EJ9" s="43">
        <v>16.018999999999998</v>
      </c>
      <c r="EK9" s="43">
        <v>8.2750000000000004</v>
      </c>
      <c r="EL9" s="43">
        <v>0.33900000000000002</v>
      </c>
      <c r="EM9" s="43">
        <v>2147.1999999999998</v>
      </c>
      <c r="EN9" s="43">
        <v>587.1</v>
      </c>
      <c r="EO9" s="43">
        <v>71315</v>
      </c>
      <c r="EP9" s="43">
        <v>54654</v>
      </c>
      <c r="EQ9" s="43">
        <v>3975.8</v>
      </c>
      <c r="ER9" s="43">
        <v>1.1279999999999999</v>
      </c>
      <c r="ES9" s="43">
        <v>1.1719999999999999</v>
      </c>
      <c r="ET9" s="43">
        <v>1.135</v>
      </c>
      <c r="EU9" s="43">
        <v>0.47289110000000001</v>
      </c>
      <c r="EV9" s="43">
        <v>0.54269979999999995</v>
      </c>
      <c r="EW9" s="43">
        <v>0.62247350000000001</v>
      </c>
      <c r="EX9" s="43">
        <v>0.4705722</v>
      </c>
      <c r="EY9" s="43">
        <v>0.54495479999999996</v>
      </c>
      <c r="EZ9" s="43">
        <v>0.62572139999999998</v>
      </c>
      <c r="FA9" s="43">
        <v>3.601</v>
      </c>
      <c r="FB9" s="43">
        <v>3.649</v>
      </c>
      <c r="FC9" s="43">
        <v>14.840999999999999</v>
      </c>
      <c r="FD9" s="43">
        <v>6304.31</v>
      </c>
      <c r="FE9" s="43">
        <v>35354.86</v>
      </c>
      <c r="FF9" s="43">
        <v>1.011625</v>
      </c>
      <c r="FG9" s="43">
        <v>2.248875</v>
      </c>
      <c r="FH9" s="43">
        <v>526.46669999999995</v>
      </c>
      <c r="FI9" s="43">
        <v>9995.0679999999993</v>
      </c>
      <c r="FJ9" s="43">
        <v>8.0829550000000001</v>
      </c>
      <c r="FK9" s="43">
        <v>10.71176</v>
      </c>
      <c r="FL9" s="43">
        <v>0.96570339999999999</v>
      </c>
      <c r="FM9" s="43">
        <v>1.017431</v>
      </c>
    </row>
    <row r="10" spans="1:169" x14ac:dyDescent="0.25">
      <c r="A10" s="43" t="s">
        <v>237</v>
      </c>
      <c r="B10" s="43">
        <v>15244.09</v>
      </c>
      <c r="C10" s="43">
        <v>10288.200000000001</v>
      </c>
      <c r="D10" s="43">
        <v>1.9946889999999999</v>
      </c>
      <c r="E10" s="43">
        <v>4.4555550000000004</v>
      </c>
      <c r="F10" s="43">
        <v>4.57</v>
      </c>
      <c r="G10" s="43">
        <v>4.7311110000000003</v>
      </c>
      <c r="H10" s="43">
        <v>0.98234560000000004</v>
      </c>
      <c r="I10" s="43">
        <v>1.0417110000000001</v>
      </c>
      <c r="J10" s="43">
        <v>0.93436710000000001</v>
      </c>
      <c r="K10" s="43">
        <v>1.110733</v>
      </c>
      <c r="L10" s="43">
        <v>1.595267</v>
      </c>
      <c r="M10" s="43">
        <v>63.324669999999998</v>
      </c>
      <c r="N10" s="43">
        <v>61.804777777777801</v>
      </c>
      <c r="O10" s="43">
        <v>7.7122222222222199</v>
      </c>
      <c r="P10" s="43">
        <v>2.120333</v>
      </c>
      <c r="Q10" s="43">
        <v>-768.8895</v>
      </c>
      <c r="R10" s="43">
        <v>7.4276669999999996</v>
      </c>
      <c r="S10" s="43">
        <v>2441.9369999999999</v>
      </c>
      <c r="T10" s="43">
        <v>4.3921109999999999</v>
      </c>
      <c r="U10" s="43">
        <v>4.6171559999999996</v>
      </c>
      <c r="V10" s="43">
        <v>2015.7850000000001</v>
      </c>
      <c r="W10" s="43">
        <v>1.008</v>
      </c>
      <c r="X10" s="43">
        <v>11700.63</v>
      </c>
      <c r="Y10" s="43">
        <v>1.2179150000000001</v>
      </c>
      <c r="Z10" s="43">
        <v>0.80657999999999996</v>
      </c>
      <c r="AA10" s="43">
        <v>0.85653000000000001</v>
      </c>
      <c r="AB10" s="43">
        <v>0.91491</v>
      </c>
      <c r="AC10" s="43">
        <v>52.600560000000002</v>
      </c>
      <c r="AD10" s="43">
        <v>0.83135000000000003</v>
      </c>
      <c r="AE10" s="43">
        <v>0.74436999999999998</v>
      </c>
      <c r="AF10" s="43">
        <v>0.82050999999999996</v>
      </c>
      <c r="AG10" s="43">
        <v>297.73680000000002</v>
      </c>
      <c r="AH10" s="43">
        <v>113.8978</v>
      </c>
      <c r="AI10" s="43">
        <v>1.618411</v>
      </c>
      <c r="AJ10" s="43">
        <v>1.66766666666667</v>
      </c>
      <c r="AK10" s="43">
        <v>13599.16</v>
      </c>
      <c r="AM10" s="43">
        <v>1.23596666666667</v>
      </c>
      <c r="AN10" s="43">
        <v>3.1252330000000001</v>
      </c>
      <c r="AO10" s="43">
        <v>1.61252222222222</v>
      </c>
      <c r="AP10" s="43">
        <v>1.86046666666667</v>
      </c>
      <c r="AQ10" s="43">
        <v>2.0350329999999999</v>
      </c>
      <c r="AR10" s="43">
        <v>1.5306219999999999</v>
      </c>
      <c r="AS10" s="43">
        <v>1.4519</v>
      </c>
      <c r="AT10" s="43">
        <v>1.677711</v>
      </c>
      <c r="AU10" s="43">
        <v>1.5540890000000001</v>
      </c>
      <c r="AV10" s="43">
        <v>1682.596</v>
      </c>
      <c r="AW10" s="43">
        <v>845.03599999999994</v>
      </c>
      <c r="AX10" s="43">
        <v>1.093648</v>
      </c>
      <c r="AY10" s="43">
        <v>1.0827560000000001</v>
      </c>
      <c r="AZ10" s="43">
        <v>244.1</v>
      </c>
      <c r="BA10" s="43">
        <v>0.86607140000000005</v>
      </c>
      <c r="BB10" s="43">
        <v>82.3</v>
      </c>
      <c r="BC10" s="43">
        <v>20.416219999999999</v>
      </c>
      <c r="BD10" s="43">
        <v>6.4344440000000001</v>
      </c>
      <c r="BE10" s="43">
        <v>0.80600000000000005</v>
      </c>
      <c r="BF10" s="43">
        <v>3.6617769999999998</v>
      </c>
      <c r="BG10" s="43">
        <v>3.511539</v>
      </c>
      <c r="BH10" s="43">
        <v>4.1482219999999996</v>
      </c>
      <c r="BI10" s="43">
        <v>0.77600000000000002</v>
      </c>
      <c r="BJ10" s="43">
        <v>0.877</v>
      </c>
      <c r="BK10" s="43">
        <v>60.735349999999997</v>
      </c>
      <c r="BL10" s="43">
        <v>73.11797</v>
      </c>
      <c r="BM10" s="43">
        <v>1.085545</v>
      </c>
      <c r="BN10" s="43">
        <v>1.273182</v>
      </c>
      <c r="BO10" s="43">
        <v>32.394550000000002</v>
      </c>
      <c r="BP10" s="43">
        <v>1.15465222222222</v>
      </c>
      <c r="BQ10" s="43">
        <v>1446.9880000000001</v>
      </c>
      <c r="BR10" s="43">
        <v>312.76265580007703</v>
      </c>
      <c r="BS10" s="43">
        <v>9698.8209999999999</v>
      </c>
      <c r="BT10" s="43">
        <v>5397.9790000000003</v>
      </c>
      <c r="BU10" s="43">
        <v>1.0154110000000001</v>
      </c>
      <c r="BV10" s="43">
        <v>0.85679550000000004</v>
      </c>
      <c r="BW10" s="43">
        <v>0.89900000000000002</v>
      </c>
      <c r="BX10" s="43">
        <v>1.203438</v>
      </c>
      <c r="BY10" s="43">
        <v>3.4887890000000001</v>
      </c>
      <c r="BZ10" s="43">
        <v>3.4390329999999998</v>
      </c>
      <c r="CA10" s="43">
        <v>3.4275669999999998</v>
      </c>
      <c r="CB10" s="43">
        <v>0.57021650000000002</v>
      </c>
      <c r="CC10" s="43">
        <v>7.7659039999999999</v>
      </c>
      <c r="CD10" s="43">
        <v>0.90155549999999995</v>
      </c>
      <c r="CE10" s="43">
        <v>1.1079889999999999</v>
      </c>
      <c r="CF10" s="43">
        <v>1.238456</v>
      </c>
      <c r="CG10" s="43">
        <v>1.0516669999999999</v>
      </c>
      <c r="CH10" s="43">
        <v>0.95093329999999998</v>
      </c>
      <c r="CI10" s="43">
        <v>0.98854450000000005</v>
      </c>
      <c r="CJ10" s="43">
        <v>1.0599000000000001</v>
      </c>
      <c r="CK10" s="43">
        <v>0.96399999999999997</v>
      </c>
      <c r="CL10" s="43">
        <v>0.86333329999999997</v>
      </c>
      <c r="CM10" s="43">
        <v>0.91</v>
      </c>
      <c r="CN10" s="43">
        <v>0.86970000000000003</v>
      </c>
      <c r="CO10" s="43">
        <v>0.84299990000000002</v>
      </c>
      <c r="CP10" s="43">
        <v>0.83098539999999999</v>
      </c>
      <c r="CQ10" s="43">
        <v>0.94920000000000004</v>
      </c>
      <c r="CR10" s="43">
        <v>2.5934439999999999</v>
      </c>
      <c r="CS10" s="43">
        <v>51.353083371954803</v>
      </c>
      <c r="CT10" s="43">
        <v>28.1584</v>
      </c>
      <c r="CU10" s="43">
        <v>23.82358</v>
      </c>
      <c r="CV10" s="43">
        <v>28.670196173911101</v>
      </c>
      <c r="CW10" s="43">
        <v>0.91033330000000001</v>
      </c>
      <c r="CX10" s="43">
        <v>0.90966670000000005</v>
      </c>
      <c r="CY10" s="43">
        <v>0.91333339999999996</v>
      </c>
      <c r="CZ10" s="43">
        <v>0.90533333333333299</v>
      </c>
      <c r="DA10" s="43">
        <v>0.93</v>
      </c>
      <c r="DB10" s="43">
        <v>0.65841674250000004</v>
      </c>
      <c r="DC10" s="43">
        <v>1.10266666666667</v>
      </c>
      <c r="DD10" s="43">
        <v>0.71899999999999997</v>
      </c>
      <c r="DE10" s="43">
        <v>0.746</v>
      </c>
      <c r="DF10" s="43">
        <v>0.751</v>
      </c>
      <c r="DG10" s="43">
        <v>0.81799999999999995</v>
      </c>
      <c r="DH10" s="43">
        <v>0.23200000000000001</v>
      </c>
      <c r="DI10" s="43">
        <v>0</v>
      </c>
      <c r="DJ10" s="43">
        <v>0.50800000000000001</v>
      </c>
      <c r="DK10" s="43">
        <v>0.75733329999999999</v>
      </c>
      <c r="DL10" s="43">
        <v>0.80800000000000005</v>
      </c>
      <c r="DM10" s="43">
        <v>0.91733330000000002</v>
      </c>
      <c r="DN10" s="43">
        <v>0.86266666666666703</v>
      </c>
      <c r="DO10" s="43">
        <v>0.66</v>
      </c>
      <c r="DP10" s="43">
        <v>0.78833339999999996</v>
      </c>
      <c r="DQ10" s="43">
        <v>1.0449999999999999</v>
      </c>
      <c r="DR10" s="43">
        <v>0.77666659999999998</v>
      </c>
      <c r="DS10" s="43">
        <v>0.63300000000000001</v>
      </c>
      <c r="DT10" s="43">
        <v>0.90833333333333299</v>
      </c>
      <c r="DU10" s="43">
        <v>517.21990000000005</v>
      </c>
      <c r="DV10" s="43">
        <v>288.8</v>
      </c>
      <c r="DW10" s="43">
        <v>122.64109999999999</v>
      </c>
      <c r="DX10" s="43">
        <v>0.95072219999999996</v>
      </c>
      <c r="DY10" s="43">
        <v>0.95496669999999995</v>
      </c>
      <c r="DZ10" s="43">
        <v>1.0329999999999999</v>
      </c>
      <c r="EA10" s="43">
        <v>1257.078</v>
      </c>
      <c r="EB10" s="43">
        <v>116.8404</v>
      </c>
      <c r="EC10" s="43">
        <v>0.91</v>
      </c>
      <c r="ED10" s="43">
        <v>0.84299990000000002</v>
      </c>
      <c r="EE10" s="43">
        <v>0.90966670000000005</v>
      </c>
      <c r="EF10" s="43">
        <v>0.91333339999999996</v>
      </c>
      <c r="EG10" s="43">
        <v>0.91033330000000001</v>
      </c>
      <c r="EH10" s="43">
        <v>0.38400000000000001</v>
      </c>
      <c r="EI10" s="43">
        <v>0.129</v>
      </c>
      <c r="EJ10" s="43">
        <v>16.739999999999998</v>
      </c>
      <c r="EK10" s="43">
        <v>8.4410000000000007</v>
      </c>
      <c r="EL10" s="43">
        <v>0.40100000000000002</v>
      </c>
      <c r="EM10" s="43">
        <v>2250</v>
      </c>
      <c r="EN10" s="43">
        <v>621</v>
      </c>
      <c r="EO10" s="43">
        <v>74800</v>
      </c>
      <c r="EP10" s="43">
        <v>55034</v>
      </c>
      <c r="EQ10" s="43">
        <v>4220</v>
      </c>
      <c r="ER10" s="43">
        <v>1.1459999999999999</v>
      </c>
      <c r="ES10" s="43">
        <v>1.1970000000000001</v>
      </c>
      <c r="ET10" s="43">
        <v>1.131</v>
      </c>
      <c r="EU10" s="43">
        <v>0.47496909999999998</v>
      </c>
      <c r="EV10" s="43">
        <v>0.54709960000000002</v>
      </c>
      <c r="EW10" s="43">
        <v>0.63476650000000001</v>
      </c>
      <c r="EX10" s="43">
        <v>0.47405760000000002</v>
      </c>
      <c r="EY10" s="43">
        <v>0.5612028</v>
      </c>
      <c r="EZ10" s="43">
        <v>0.63052010000000003</v>
      </c>
      <c r="FA10" s="43">
        <v>3.617</v>
      </c>
      <c r="FB10" s="43">
        <v>3.6440000000000001</v>
      </c>
      <c r="FC10" s="43">
        <v>14.968</v>
      </c>
      <c r="FD10" s="43">
        <v>6500.86</v>
      </c>
      <c r="FE10" s="43">
        <v>37088.42</v>
      </c>
      <c r="FF10" s="43">
        <v>1.0192187500000001</v>
      </c>
      <c r="FG10" s="43">
        <v>2.1938330000000001</v>
      </c>
      <c r="FH10" s="43">
        <v>526.33780000000002</v>
      </c>
      <c r="FI10" s="43">
        <v>9212.6450000000004</v>
      </c>
      <c r="FJ10" s="43">
        <v>8.0505110000000002</v>
      </c>
      <c r="FK10" s="43">
        <v>10.59525</v>
      </c>
      <c r="FL10" s="43">
        <v>1.005066</v>
      </c>
      <c r="FM10" s="43">
        <v>1.0026790000000001</v>
      </c>
    </row>
    <row r="11" spans="1:169" x14ac:dyDescent="0.25">
      <c r="A11" s="43" t="s">
        <v>238</v>
      </c>
      <c r="B11" s="43">
        <v>15281.53</v>
      </c>
      <c r="C11" s="43">
        <v>10341.58</v>
      </c>
      <c r="D11" s="43">
        <v>2.01267</v>
      </c>
      <c r="E11" s="43">
        <v>4.9070330000000002</v>
      </c>
      <c r="F11" s="43">
        <v>5.0704390000000004</v>
      </c>
      <c r="G11" s="43">
        <v>4.6329669999999998</v>
      </c>
      <c r="H11" s="43">
        <v>0.98807140000000004</v>
      </c>
      <c r="I11" s="43">
        <v>1.043539</v>
      </c>
      <c r="J11" s="43">
        <v>0.94020029999999999</v>
      </c>
      <c r="K11" s="43">
        <v>1.1072500000000001</v>
      </c>
      <c r="L11" s="43">
        <v>1.6086370000000001</v>
      </c>
      <c r="M11" s="43">
        <v>70.414730000000006</v>
      </c>
      <c r="N11" s="43">
        <v>69.536043956043997</v>
      </c>
      <c r="O11" s="43">
        <v>6.5368131868131902</v>
      </c>
      <c r="P11" s="43">
        <v>1.855</v>
      </c>
      <c r="Q11" s="43">
        <v>-764.81989999999996</v>
      </c>
      <c r="R11" s="43">
        <v>7.9003300000000003</v>
      </c>
      <c r="S11" s="43">
        <v>2447.2190000000001</v>
      </c>
      <c r="T11" s="43">
        <v>4.7035159999999996</v>
      </c>
      <c r="U11" s="43">
        <v>5.1373620000000004</v>
      </c>
      <c r="V11" s="43">
        <v>2016.463</v>
      </c>
      <c r="W11" s="43">
        <v>1.016</v>
      </c>
      <c r="X11" s="43">
        <v>11744.28</v>
      </c>
      <c r="Y11" s="43">
        <v>1.2236590000000001</v>
      </c>
      <c r="Z11" s="43">
        <v>0.80747279999999999</v>
      </c>
      <c r="AA11" s="43">
        <v>0.85485999999999995</v>
      </c>
      <c r="AB11" s="43">
        <v>0.91135999999999995</v>
      </c>
      <c r="AC11" s="43">
        <v>60.216920000000002</v>
      </c>
      <c r="AD11" s="43">
        <v>0.83870999999999996</v>
      </c>
      <c r="AE11" s="43">
        <v>0.76300000000000001</v>
      </c>
      <c r="AF11" s="43">
        <v>0.82804</v>
      </c>
      <c r="AG11" s="43">
        <v>298.40789999999998</v>
      </c>
      <c r="AH11" s="43">
        <v>114.1947</v>
      </c>
      <c r="AI11" s="43">
        <v>1.6420220000000001</v>
      </c>
      <c r="AJ11" s="43">
        <v>1.7</v>
      </c>
      <c r="AK11" s="43">
        <v>13753.42</v>
      </c>
      <c r="AM11" s="43">
        <v>1.2540109890109901</v>
      </c>
      <c r="AN11" s="43">
        <v>2.5899559999999999</v>
      </c>
      <c r="AO11" s="43">
        <v>1.62131868131868</v>
      </c>
      <c r="AP11" s="43">
        <v>2.0661318681318699</v>
      </c>
      <c r="AQ11" s="43">
        <v>2.0556809999999999</v>
      </c>
      <c r="AR11" s="43">
        <v>1.5313410000000001</v>
      </c>
      <c r="AS11" s="43">
        <v>1.492615</v>
      </c>
      <c r="AT11" s="43">
        <v>1.7164729999999999</v>
      </c>
      <c r="AU11" s="43">
        <v>1.5505500000000001</v>
      </c>
      <c r="AV11" s="43">
        <v>1683.4649999999999</v>
      </c>
      <c r="AW11" s="43">
        <v>852.66700000000003</v>
      </c>
      <c r="AX11" s="43">
        <v>1.082398</v>
      </c>
      <c r="AY11" s="43">
        <v>1.094692</v>
      </c>
      <c r="AZ11" s="43">
        <v>227.73330000000001</v>
      </c>
      <c r="BA11" s="43">
        <v>0.89106209999999997</v>
      </c>
      <c r="BB11" s="43">
        <v>82.1</v>
      </c>
      <c r="BC11" s="43">
        <v>20.297689999999999</v>
      </c>
      <c r="BD11" s="43">
        <v>6.1318679999999999</v>
      </c>
      <c r="BE11" s="43">
        <v>0.82099999999999995</v>
      </c>
      <c r="BF11" s="43">
        <v>4.1503300000000003</v>
      </c>
      <c r="BG11" s="43">
        <v>4.0461539999999996</v>
      </c>
      <c r="BH11" s="43">
        <v>4.5324169999999997</v>
      </c>
      <c r="BI11" s="43">
        <v>0.79</v>
      </c>
      <c r="BJ11" s="43">
        <v>0.88600000000000001</v>
      </c>
      <c r="BK11" s="43">
        <v>67.591179999999994</v>
      </c>
      <c r="BL11" s="43">
        <v>79.037819999999996</v>
      </c>
      <c r="BM11" s="43">
        <v>1.0549170000000001</v>
      </c>
      <c r="BN11" s="43">
        <v>1.2405550000000001</v>
      </c>
      <c r="BO11" s="43">
        <v>32.470460000000003</v>
      </c>
      <c r="BP11" s="43">
        <v>1.12246153846154</v>
      </c>
      <c r="BQ11" s="43">
        <v>1470.0840000000001</v>
      </c>
      <c r="BR11" s="43">
        <v>323.68764487878298</v>
      </c>
      <c r="BS11" s="43">
        <v>9805.7090000000007</v>
      </c>
      <c r="BT11" s="43">
        <v>5425.973</v>
      </c>
      <c r="BU11" s="43">
        <v>1.0327249999999999</v>
      </c>
      <c r="BV11" s="43">
        <v>0.86837249999999999</v>
      </c>
      <c r="BW11" s="43">
        <v>0.91267030000000005</v>
      </c>
      <c r="BX11" s="43">
        <v>1.25692</v>
      </c>
      <c r="BY11" s="43">
        <v>3.9468130000000001</v>
      </c>
      <c r="BZ11" s="43">
        <v>3.9414289999999998</v>
      </c>
      <c r="CA11" s="43">
        <v>3.8734069999999998</v>
      </c>
      <c r="CB11" s="43">
        <v>0.5475911</v>
      </c>
      <c r="CC11" s="43">
        <v>7.3990879999999999</v>
      </c>
      <c r="CD11" s="43">
        <v>0.92004390000000003</v>
      </c>
      <c r="CE11" s="43">
        <v>1.124077</v>
      </c>
      <c r="CF11" s="43">
        <v>1.2617579999999999</v>
      </c>
      <c r="CG11" s="43">
        <v>1.0393330000000001</v>
      </c>
      <c r="CH11" s="43">
        <v>0.96769229999999995</v>
      </c>
      <c r="CI11" s="43">
        <v>0.99707699999999999</v>
      </c>
      <c r="CJ11" s="43">
        <v>1.1021099999999999</v>
      </c>
      <c r="CK11" s="43">
        <v>1.0076670000000001</v>
      </c>
      <c r="CL11" s="43">
        <v>0.86966670000000001</v>
      </c>
      <c r="CM11" s="43">
        <v>0.92099989999999998</v>
      </c>
      <c r="CN11" s="43">
        <v>0.88526669999999996</v>
      </c>
      <c r="CO11" s="43">
        <v>0.85399999999999998</v>
      </c>
      <c r="CP11" s="43">
        <v>0.79582489999999995</v>
      </c>
      <c r="CQ11" s="43">
        <v>0.97075829999999996</v>
      </c>
      <c r="CR11" s="43">
        <v>2.8698899999999998</v>
      </c>
      <c r="CS11" s="43">
        <v>55.343927037395602</v>
      </c>
      <c r="CT11" s="43">
        <v>27.216290000000001</v>
      </c>
      <c r="CU11" s="43">
        <v>22.64622</v>
      </c>
      <c r="CV11" s="43">
        <v>28.4644818652088</v>
      </c>
      <c r="CW11" s="43">
        <v>0.92533330000000003</v>
      </c>
      <c r="CX11" s="43">
        <v>0.94966669999999997</v>
      </c>
      <c r="CY11" s="43">
        <v>0.92100000000000004</v>
      </c>
      <c r="CZ11" s="43">
        <v>0.91600000000000004</v>
      </c>
      <c r="DA11" s="43">
        <v>0.93333333333333302</v>
      </c>
      <c r="DB11" s="43">
        <v>0.68835304819999998</v>
      </c>
      <c r="DC11" s="43">
        <v>1.1426666666666701</v>
      </c>
      <c r="DD11" s="43">
        <v>0.71699999999999997</v>
      </c>
      <c r="DE11" s="43">
        <v>0.752</v>
      </c>
      <c r="DF11" s="43">
        <v>0.75800000000000001</v>
      </c>
      <c r="DG11" s="43">
        <v>0.82899999999999996</v>
      </c>
      <c r="DH11" s="43">
        <v>0.23899999999999999</v>
      </c>
      <c r="DI11" s="43">
        <v>0</v>
      </c>
      <c r="DJ11" s="43">
        <v>0.51500000000000001</v>
      </c>
      <c r="DK11" s="43">
        <v>0.75233329999999998</v>
      </c>
      <c r="DL11" s="43">
        <v>0.82766660000000003</v>
      </c>
      <c r="DM11" s="43">
        <v>0.94233330000000004</v>
      </c>
      <c r="DN11" s="43">
        <v>0.871</v>
      </c>
      <c r="DO11" s="43">
        <v>0.65800000000000003</v>
      </c>
      <c r="DP11" s="43">
        <v>0.79800000000000004</v>
      </c>
      <c r="DQ11" s="43">
        <v>1.0029999999999999</v>
      </c>
      <c r="DR11" s="43">
        <v>0.77700000000000002</v>
      </c>
      <c r="DS11" s="43">
        <v>0.64200000000000002</v>
      </c>
      <c r="DT11" s="43">
        <v>0.87666666666666704</v>
      </c>
      <c r="DU11" s="43">
        <v>518.03189999999995</v>
      </c>
      <c r="DV11" s="43">
        <v>288.4658</v>
      </c>
      <c r="DW11" s="43">
        <v>124.78789999999999</v>
      </c>
      <c r="DX11" s="43">
        <v>0.95501100000000005</v>
      </c>
      <c r="DY11" s="43">
        <v>0.96235170000000003</v>
      </c>
      <c r="DZ11" s="43">
        <v>1.0309999999999999</v>
      </c>
      <c r="EA11" s="43">
        <v>1312.1569999999999</v>
      </c>
      <c r="EB11" s="43">
        <v>114.4465</v>
      </c>
      <c r="EC11" s="43">
        <v>0.92099989999999998</v>
      </c>
      <c r="ED11" s="43">
        <v>0.85399999999999998</v>
      </c>
      <c r="EE11" s="43">
        <v>0.94966669999999997</v>
      </c>
      <c r="EF11" s="43">
        <v>0.92100000000000004</v>
      </c>
      <c r="EG11" s="43">
        <v>0.92533330000000003</v>
      </c>
      <c r="EH11" s="43">
        <v>0.35</v>
      </c>
      <c r="EI11" s="43">
        <v>0.125</v>
      </c>
      <c r="EJ11" s="43">
        <v>17.32</v>
      </c>
      <c r="EK11" s="43">
        <v>8.8149999999999995</v>
      </c>
      <c r="EL11" s="43">
        <v>0.41599999999999998</v>
      </c>
      <c r="EM11" s="43">
        <v>2161</v>
      </c>
      <c r="EN11" s="43">
        <v>594.79999999999995</v>
      </c>
      <c r="EO11" s="43">
        <v>72268</v>
      </c>
      <c r="EP11" s="43">
        <v>54980</v>
      </c>
      <c r="EQ11" s="43">
        <v>4473</v>
      </c>
      <c r="ER11" s="43">
        <v>1.17</v>
      </c>
      <c r="ES11" s="43">
        <v>1.224</v>
      </c>
      <c r="ET11" s="43">
        <v>1.1279999999999999</v>
      </c>
      <c r="EU11" s="43">
        <v>0.47456569999999998</v>
      </c>
      <c r="EV11" s="43">
        <v>0.57908839999999995</v>
      </c>
      <c r="EW11" s="43">
        <v>0.64370689999999997</v>
      </c>
      <c r="EX11" s="43">
        <v>0.47634349999999998</v>
      </c>
      <c r="EY11" s="43">
        <v>0.57842000000000005</v>
      </c>
      <c r="EZ11" s="43">
        <v>0.6447929</v>
      </c>
      <c r="FA11" s="43">
        <v>3.6659999999999999</v>
      </c>
      <c r="FB11" s="43">
        <v>3.6539999999999999</v>
      </c>
      <c r="FC11" s="43">
        <v>15.054</v>
      </c>
      <c r="FD11" s="43">
        <v>6716.8310000000001</v>
      </c>
      <c r="FE11" s="43">
        <v>37995.29</v>
      </c>
      <c r="FF11" s="43">
        <v>1.0270312500000001</v>
      </c>
      <c r="FG11" s="43">
        <v>2.1822279999999998</v>
      </c>
      <c r="FH11" s="43">
        <v>526.79349999999999</v>
      </c>
      <c r="FI11" s="43">
        <v>9018.1049999999996</v>
      </c>
      <c r="FJ11" s="43">
        <v>8.0105620000000002</v>
      </c>
      <c r="FK11" s="43">
        <v>11.17671</v>
      </c>
      <c r="FL11" s="43">
        <v>0.97158999999999995</v>
      </c>
      <c r="FM11" s="43">
        <v>0.99026110000000001</v>
      </c>
    </row>
    <row r="12" spans="1:169" x14ac:dyDescent="0.25">
      <c r="A12" s="43" t="s">
        <v>239</v>
      </c>
      <c r="B12" s="43">
        <v>15304.52</v>
      </c>
      <c r="C12" s="43">
        <v>10407.629999999999</v>
      </c>
      <c r="D12" s="43">
        <v>2.0317069999999999</v>
      </c>
      <c r="E12" s="43">
        <v>5.2466299999999997</v>
      </c>
      <c r="F12" s="43">
        <v>4.898587</v>
      </c>
      <c r="G12" s="43">
        <v>4.6347829999999997</v>
      </c>
      <c r="H12" s="43">
        <v>0.99203719999999995</v>
      </c>
      <c r="I12" s="43">
        <v>1.0464389999999999</v>
      </c>
      <c r="J12" s="43">
        <v>0.94405530000000004</v>
      </c>
      <c r="K12" s="43">
        <v>1.1128009999999999</v>
      </c>
      <c r="L12" s="43">
        <v>1.6110979999999999</v>
      </c>
      <c r="M12" s="43">
        <v>70.488590000000002</v>
      </c>
      <c r="N12" s="43">
        <v>69.703260869565199</v>
      </c>
      <c r="O12" s="43">
        <v>6.0827173913043504</v>
      </c>
      <c r="P12" s="43">
        <v>1.7023330000000001</v>
      </c>
      <c r="Q12" s="43">
        <v>-797.32259999999997</v>
      </c>
      <c r="R12" s="43">
        <v>8.25</v>
      </c>
      <c r="S12" s="43">
        <v>2461.17</v>
      </c>
      <c r="T12" s="43">
        <v>4.9077169999999999</v>
      </c>
      <c r="U12" s="43">
        <v>4.9948920000000001</v>
      </c>
      <c r="V12" s="43">
        <v>2058.7649999999999</v>
      </c>
      <c r="W12" s="43">
        <v>1.0249999999999999</v>
      </c>
      <c r="X12" s="43">
        <v>11760.91</v>
      </c>
      <c r="Y12" s="43">
        <v>1.2306410000000001</v>
      </c>
      <c r="Z12" s="43">
        <v>0.80611540000000004</v>
      </c>
      <c r="AA12" s="43">
        <v>0.85289000000000004</v>
      </c>
      <c r="AB12" s="43">
        <v>0.91896</v>
      </c>
      <c r="AC12" s="43">
        <v>64.514790000000005</v>
      </c>
      <c r="AD12" s="43">
        <v>0.84486000000000006</v>
      </c>
      <c r="AE12" s="43">
        <v>0.77700000000000002</v>
      </c>
      <c r="AF12" s="43">
        <v>0.83101000000000003</v>
      </c>
      <c r="AG12" s="43">
        <v>299.17700000000002</v>
      </c>
      <c r="AH12" s="43">
        <v>114.5284</v>
      </c>
      <c r="AI12" s="43">
        <v>1.655761</v>
      </c>
      <c r="AJ12" s="43">
        <v>1.70966666666667</v>
      </c>
      <c r="AK12" s="43">
        <v>13870.19</v>
      </c>
      <c r="AM12" s="43">
        <v>1.27292391304348</v>
      </c>
      <c r="AN12" s="43">
        <v>2.6044890000000001</v>
      </c>
      <c r="AO12" s="43">
        <v>1.6229347826086999</v>
      </c>
      <c r="AP12" s="43">
        <v>2.0102173913043502</v>
      </c>
      <c r="AQ12" s="43">
        <v>2.085772</v>
      </c>
      <c r="AR12" s="43">
        <v>1.5406409999999999</v>
      </c>
      <c r="AS12" s="43">
        <v>1.484359</v>
      </c>
      <c r="AT12" s="43">
        <v>1.7134780000000001</v>
      </c>
      <c r="AU12" s="43">
        <v>1.57687</v>
      </c>
      <c r="AV12" s="43">
        <v>1688.1659999999999</v>
      </c>
      <c r="AW12" s="43">
        <v>862.048</v>
      </c>
      <c r="AX12" s="43">
        <v>1.0668089999999999</v>
      </c>
      <c r="AY12" s="43">
        <v>1.09537</v>
      </c>
      <c r="AZ12" s="43">
        <v>219.53370000000001</v>
      </c>
      <c r="BA12" s="43">
        <v>0.89185479999999995</v>
      </c>
      <c r="BB12" s="43">
        <v>84.2</v>
      </c>
      <c r="BC12" s="43">
        <v>20.655110000000001</v>
      </c>
      <c r="BD12" s="43">
        <v>6.3663040000000004</v>
      </c>
      <c r="BE12" s="43">
        <v>0.82666669999999998</v>
      </c>
      <c r="BF12" s="43">
        <v>4.1531520000000004</v>
      </c>
      <c r="BG12" s="43">
        <v>4.25</v>
      </c>
      <c r="BH12" s="43">
        <v>4.1619570000000001</v>
      </c>
      <c r="BI12" s="43">
        <v>0.80400000000000005</v>
      </c>
      <c r="BJ12" s="43">
        <v>0.89100000000000001</v>
      </c>
      <c r="BK12" s="43">
        <v>72.33972</v>
      </c>
      <c r="BL12" s="43">
        <v>79.038089999999997</v>
      </c>
      <c r="BM12" s="43">
        <v>1.0337559999999999</v>
      </c>
      <c r="BN12" s="43">
        <v>1.231203</v>
      </c>
      <c r="BO12" s="43">
        <v>32.570500000000003</v>
      </c>
      <c r="BP12" s="43">
        <v>1.1212891304347801</v>
      </c>
      <c r="BQ12" s="43">
        <v>1485.1</v>
      </c>
      <c r="BR12" s="43">
        <v>328.85609405907798</v>
      </c>
      <c r="BS12" s="43">
        <v>9864.7129999999997</v>
      </c>
      <c r="BT12" s="43">
        <v>5442.9759999999997</v>
      </c>
      <c r="BU12" s="43">
        <v>1.037315</v>
      </c>
      <c r="BV12" s="43">
        <v>0.86903039999999998</v>
      </c>
      <c r="BW12" s="43">
        <v>0.92004350000000001</v>
      </c>
      <c r="BX12" s="43">
        <v>1.273784</v>
      </c>
      <c r="BY12" s="43">
        <v>3.8981520000000001</v>
      </c>
      <c r="BZ12" s="43">
        <v>3.941522</v>
      </c>
      <c r="CA12" s="43">
        <v>3.838152</v>
      </c>
      <c r="CB12" s="43">
        <v>0.53369089999999997</v>
      </c>
      <c r="CC12" s="43">
        <v>7.2458520000000002</v>
      </c>
      <c r="CD12" s="43">
        <v>0.93833699999999998</v>
      </c>
      <c r="CE12" s="43">
        <v>1.1139019999999999</v>
      </c>
      <c r="CF12" s="43">
        <v>1.264956</v>
      </c>
      <c r="CG12" s="43">
        <v>1.0196670000000001</v>
      </c>
      <c r="CH12" s="43">
        <v>0.96905430000000004</v>
      </c>
      <c r="CI12" s="43">
        <v>1.000011</v>
      </c>
      <c r="CJ12" s="43">
        <v>1.0971960000000001</v>
      </c>
      <c r="CK12" s="43">
        <v>1.0493330000000001</v>
      </c>
      <c r="CL12" s="43">
        <v>0.873</v>
      </c>
      <c r="CM12" s="43">
        <v>0.92600000000000005</v>
      </c>
      <c r="CN12" s="43">
        <v>0.88603339999999997</v>
      </c>
      <c r="CO12" s="43">
        <v>0.86100010000000005</v>
      </c>
      <c r="CP12" s="43">
        <v>0.78507680000000002</v>
      </c>
      <c r="CQ12" s="43">
        <v>0.96727169999999996</v>
      </c>
      <c r="CR12" s="43">
        <v>3.2017389999999999</v>
      </c>
      <c r="CS12" s="43">
        <v>54.719391325716302</v>
      </c>
      <c r="CT12" s="43">
        <v>26.808769999999999</v>
      </c>
      <c r="CU12" s="43">
        <v>22.269659999999998</v>
      </c>
      <c r="CV12" s="43">
        <v>28.366729815717399</v>
      </c>
      <c r="CW12" s="43">
        <v>0.93300000000000005</v>
      </c>
      <c r="CX12" s="43">
        <v>0.96</v>
      </c>
      <c r="CY12" s="43">
        <v>0.93</v>
      </c>
      <c r="CZ12" s="43">
        <v>0.92200000000000004</v>
      </c>
      <c r="DA12" s="43">
        <v>0.94166666666666698</v>
      </c>
      <c r="DB12" s="43">
        <v>0.72183803459999996</v>
      </c>
      <c r="DC12" s="43">
        <v>1.1436666666666699</v>
      </c>
      <c r="DD12" s="43">
        <v>0.72099999999999997</v>
      </c>
      <c r="DE12" s="43">
        <v>0.76300000000000001</v>
      </c>
      <c r="DF12" s="43">
        <v>0.76200000000000001</v>
      </c>
      <c r="DG12" s="43">
        <v>0.81599999999999995</v>
      </c>
      <c r="DH12" s="43">
        <v>0.252</v>
      </c>
      <c r="DI12" s="43">
        <v>0</v>
      </c>
      <c r="DJ12" s="43">
        <v>0.52500000000000002</v>
      </c>
      <c r="DK12" s="43">
        <v>0.80300000000000005</v>
      </c>
      <c r="DL12" s="43">
        <v>0.84266669999999999</v>
      </c>
      <c r="DM12" s="43">
        <v>0.95166669999999998</v>
      </c>
      <c r="DN12" s="43">
        <v>0.879</v>
      </c>
      <c r="DO12" s="43">
        <v>0.66833339999999997</v>
      </c>
      <c r="DP12" s="43">
        <v>0.80933330000000003</v>
      </c>
      <c r="DQ12" s="43">
        <v>1.0693330000000001</v>
      </c>
      <c r="DR12" s="43">
        <v>0.77800000000000002</v>
      </c>
      <c r="DS12" s="43">
        <v>0.63500000000000001</v>
      </c>
      <c r="DT12" s="43">
        <v>0.96433333333333304</v>
      </c>
      <c r="DU12" s="43">
        <v>516.97339999999997</v>
      </c>
      <c r="DV12" s="43">
        <v>286.22340000000003</v>
      </c>
      <c r="DW12" s="43">
        <v>125.9652</v>
      </c>
      <c r="DX12" s="43">
        <v>0.95764130000000003</v>
      </c>
      <c r="DY12" s="43">
        <v>0.97164130000000004</v>
      </c>
      <c r="DZ12" s="43">
        <v>1.03</v>
      </c>
      <c r="EA12" s="43">
        <v>1283.287</v>
      </c>
      <c r="EB12" s="43">
        <v>116.2901</v>
      </c>
      <c r="EC12" s="43">
        <v>0.92600000000000005</v>
      </c>
      <c r="ED12" s="43">
        <v>0.86100010000000005</v>
      </c>
      <c r="EE12" s="43">
        <v>0.96</v>
      </c>
      <c r="EF12" s="43">
        <v>0.93</v>
      </c>
      <c r="EG12" s="43">
        <v>0.93300000000000005</v>
      </c>
      <c r="EH12" s="43">
        <v>0.35599999999999998</v>
      </c>
      <c r="EI12" s="43">
        <v>0.126</v>
      </c>
      <c r="EJ12" s="43">
        <v>17.64</v>
      </c>
      <c r="EK12" s="43">
        <v>8.9809999999999999</v>
      </c>
      <c r="EL12" s="43">
        <v>0.41899999999999998</v>
      </c>
      <c r="EM12" s="43">
        <v>2175</v>
      </c>
      <c r="EN12" s="43">
        <v>589.4</v>
      </c>
      <c r="EO12" s="43">
        <v>73433</v>
      </c>
      <c r="EP12" s="43">
        <v>54559</v>
      </c>
      <c r="EQ12" s="43">
        <v>4436</v>
      </c>
      <c r="ER12" s="43">
        <v>1.1890000000000001</v>
      </c>
      <c r="ES12" s="43">
        <v>1.24</v>
      </c>
      <c r="ET12" s="43">
        <v>1.121</v>
      </c>
      <c r="EU12" s="43">
        <v>0.481572</v>
      </c>
      <c r="EV12" s="43">
        <v>0.60311760000000003</v>
      </c>
      <c r="EW12" s="43">
        <v>0.66270510000000005</v>
      </c>
      <c r="EX12" s="43">
        <v>0.48293330000000001</v>
      </c>
      <c r="EY12" s="43">
        <v>0.58801409999999998</v>
      </c>
      <c r="EZ12" s="43">
        <v>0.66232820000000003</v>
      </c>
      <c r="FA12" s="43">
        <v>3.6539999999999999</v>
      </c>
      <c r="FB12" s="43">
        <v>3.6669999999999998</v>
      </c>
      <c r="FC12" s="43">
        <v>15.275</v>
      </c>
      <c r="FD12" s="43">
        <v>6898.3310000000001</v>
      </c>
      <c r="FE12" s="43">
        <v>39258.39</v>
      </c>
      <c r="FF12" s="43">
        <v>1.0349062499999999</v>
      </c>
      <c r="FG12" s="43">
        <v>2.170528</v>
      </c>
      <c r="FH12" s="43">
        <v>539.27350000000001</v>
      </c>
      <c r="FI12" s="43">
        <v>9139.2039999999997</v>
      </c>
      <c r="FJ12" s="43">
        <v>7.9654449999999999</v>
      </c>
      <c r="FK12" s="43">
        <v>10.947889999999999</v>
      </c>
      <c r="FL12" s="43">
        <v>0.965646</v>
      </c>
      <c r="FM12" s="43">
        <v>0.98929100000000003</v>
      </c>
    </row>
    <row r="13" spans="1:169" x14ac:dyDescent="0.25">
      <c r="A13" s="43" t="s">
        <v>240</v>
      </c>
      <c r="B13" s="43">
        <v>15433.64</v>
      </c>
      <c r="C13" s="43">
        <v>10507.44</v>
      </c>
      <c r="D13" s="43">
        <v>2.0233699999999999</v>
      </c>
      <c r="E13" s="43">
        <v>5.25</v>
      </c>
      <c r="F13" s="43">
        <v>4.6303260000000002</v>
      </c>
      <c r="G13" s="43">
        <v>4.4326090000000002</v>
      </c>
      <c r="H13" s="43">
        <v>0.99448590000000003</v>
      </c>
      <c r="I13" s="43">
        <v>1.050808</v>
      </c>
      <c r="J13" s="43">
        <v>0.94888399999999995</v>
      </c>
      <c r="K13" s="43">
        <v>1.1176630000000001</v>
      </c>
      <c r="L13" s="43">
        <v>1.599326</v>
      </c>
      <c r="M13" s="43">
        <v>59.986409999999999</v>
      </c>
      <c r="N13" s="43">
        <v>59.69</v>
      </c>
      <c r="O13" s="43">
        <v>6.6552173913043502</v>
      </c>
      <c r="P13" s="43">
        <v>1.57</v>
      </c>
      <c r="Q13" s="43">
        <v>-716.77719999999999</v>
      </c>
      <c r="R13" s="43">
        <v>8.25</v>
      </c>
      <c r="S13" s="43">
        <v>2495.64</v>
      </c>
      <c r="T13" s="43">
        <v>4.9029350000000003</v>
      </c>
      <c r="U13" s="43">
        <v>4.7405429999999997</v>
      </c>
      <c r="V13" s="43">
        <v>1978.6320000000001</v>
      </c>
      <c r="W13" s="43">
        <v>1.0329999999999999</v>
      </c>
      <c r="X13" s="43">
        <v>11904.76</v>
      </c>
      <c r="Y13" s="43">
        <v>1.2389840000000001</v>
      </c>
      <c r="Z13" s="43">
        <v>0.80265869999999995</v>
      </c>
      <c r="AA13" s="43">
        <v>0.85882999999999998</v>
      </c>
      <c r="AB13" s="43">
        <v>0.93303000000000003</v>
      </c>
      <c r="AC13" s="43">
        <v>53.870759999999997</v>
      </c>
      <c r="AD13" s="43">
        <v>0.84806000000000004</v>
      </c>
      <c r="AE13" s="43">
        <v>0.79710999999999999</v>
      </c>
      <c r="AF13" s="43">
        <v>0.83701000000000003</v>
      </c>
      <c r="AG13" s="43">
        <v>299.94600000000003</v>
      </c>
      <c r="AH13" s="43">
        <v>114.8991</v>
      </c>
      <c r="AI13" s="43">
        <v>1.6383369999999999</v>
      </c>
      <c r="AJ13" s="43">
        <v>1.6743333333333299</v>
      </c>
      <c r="AK13" s="43">
        <v>14039.56</v>
      </c>
      <c r="AM13" s="43">
        <v>1.2890978260869601</v>
      </c>
      <c r="AN13" s="43">
        <v>2.4957829999999999</v>
      </c>
      <c r="AO13" s="43">
        <v>1.6200434782608699</v>
      </c>
      <c r="AP13" s="43">
        <v>1.7747391304347799</v>
      </c>
      <c r="AQ13" s="43">
        <v>2.0557829999999999</v>
      </c>
      <c r="AR13" s="43">
        <v>1.5486629999999999</v>
      </c>
      <c r="AS13" s="43">
        <v>1.397011</v>
      </c>
      <c r="AT13" s="43">
        <v>1.562098</v>
      </c>
      <c r="AU13" s="43">
        <v>1.5904130000000001</v>
      </c>
      <c r="AV13" s="43">
        <v>1694.895</v>
      </c>
      <c r="AW13" s="43">
        <v>870.95100000000002</v>
      </c>
      <c r="AX13" s="43">
        <v>1.053188</v>
      </c>
      <c r="AY13" s="43">
        <v>1.0920000000000001</v>
      </c>
      <c r="AZ13" s="43">
        <v>222.2</v>
      </c>
      <c r="BA13" s="43">
        <v>0.87785429999999998</v>
      </c>
      <c r="BB13" s="43">
        <v>85.8</v>
      </c>
      <c r="BC13" s="43">
        <v>20.66413</v>
      </c>
      <c r="BD13" s="43">
        <v>6.1989130000000001</v>
      </c>
      <c r="BE13" s="43">
        <v>0.81933330000000004</v>
      </c>
      <c r="BF13" s="43">
        <v>4.1698909999999998</v>
      </c>
      <c r="BG13" s="43">
        <v>4.25</v>
      </c>
      <c r="BH13" s="43">
        <v>4.0545650000000002</v>
      </c>
      <c r="BI13" s="43">
        <v>0.81299999999999994</v>
      </c>
      <c r="BJ13" s="43">
        <v>0.89400000000000002</v>
      </c>
      <c r="BK13" s="43">
        <v>61.371499999999997</v>
      </c>
      <c r="BL13" s="43">
        <v>68.338679999999997</v>
      </c>
      <c r="BM13" s="43">
        <v>1.024607</v>
      </c>
      <c r="BN13" s="43">
        <v>1.2081470000000001</v>
      </c>
      <c r="BO13" s="43">
        <v>32.678989999999999</v>
      </c>
      <c r="BP13" s="43">
        <v>1.13923586956522</v>
      </c>
      <c r="BQ13" s="43">
        <v>1488.98</v>
      </c>
      <c r="BR13" s="43">
        <v>324.78981208082803</v>
      </c>
      <c r="BS13" s="43">
        <v>9975.9320000000007</v>
      </c>
      <c r="BT13" s="43">
        <v>5487.223</v>
      </c>
      <c r="BU13" s="43">
        <v>1.048359</v>
      </c>
      <c r="BV13" s="43">
        <v>0.87134460000000002</v>
      </c>
      <c r="BW13" s="43">
        <v>0.91600000000000004</v>
      </c>
      <c r="BX13" s="43">
        <v>1.2903500000000001</v>
      </c>
      <c r="BY13" s="43">
        <v>3.7703259999999998</v>
      </c>
      <c r="BZ13" s="43">
        <v>3.8004349999999998</v>
      </c>
      <c r="CA13" s="43">
        <v>3.6736960000000001</v>
      </c>
      <c r="CB13" s="43">
        <v>0.52173210000000003</v>
      </c>
      <c r="CC13" s="43">
        <v>7.0784520000000004</v>
      </c>
      <c r="CD13" s="43">
        <v>0.94796740000000002</v>
      </c>
      <c r="CE13" s="43">
        <v>1.1164240000000001</v>
      </c>
      <c r="CF13" s="43">
        <v>1.2797499999999999</v>
      </c>
      <c r="CG13" s="43">
        <v>1.070333</v>
      </c>
      <c r="CH13" s="43">
        <v>0.98094559999999997</v>
      </c>
      <c r="CI13" s="43">
        <v>0.99902179999999996</v>
      </c>
      <c r="CJ13" s="43">
        <v>1.1150979999999999</v>
      </c>
      <c r="CK13" s="43">
        <v>1.109667</v>
      </c>
      <c r="CL13" s="43">
        <v>0.873</v>
      </c>
      <c r="CM13" s="43">
        <v>0.92600000000000005</v>
      </c>
      <c r="CN13" s="43">
        <v>0.88893339999999998</v>
      </c>
      <c r="CO13" s="43">
        <v>0.85699990000000004</v>
      </c>
      <c r="CP13" s="43">
        <v>0.77525480000000002</v>
      </c>
      <c r="CQ13" s="43">
        <v>0.97804340000000001</v>
      </c>
      <c r="CR13" s="43">
        <v>3.573261</v>
      </c>
      <c r="CS13" s="43">
        <v>46.246957409140698</v>
      </c>
      <c r="CT13" s="43">
        <v>26.595890000000001</v>
      </c>
      <c r="CU13" s="43">
        <v>21.787800000000001</v>
      </c>
      <c r="CV13" s="43">
        <v>28.113887729999998</v>
      </c>
      <c r="CW13" s="43">
        <v>0.92866669999999996</v>
      </c>
      <c r="CX13" s="43">
        <v>0.93166669999999996</v>
      </c>
      <c r="CY13" s="43">
        <v>0.93700000000000006</v>
      </c>
      <c r="CZ13" s="43">
        <v>0.92433333333333301</v>
      </c>
      <c r="DA13" s="43">
        <v>0.93966666666666698</v>
      </c>
      <c r="DB13" s="43">
        <v>0.70391264789999997</v>
      </c>
      <c r="DC13" s="43">
        <v>1.1486666666666701</v>
      </c>
      <c r="DD13" s="43">
        <v>0.72099999999999997</v>
      </c>
      <c r="DE13" s="43">
        <v>0.76800000000000002</v>
      </c>
      <c r="DF13" s="43">
        <v>0.77100000000000002</v>
      </c>
      <c r="DG13" s="43">
        <v>0.82699999999999996</v>
      </c>
      <c r="DH13" s="43">
        <v>0.27</v>
      </c>
      <c r="DI13" s="43">
        <v>0</v>
      </c>
      <c r="DJ13" s="43">
        <v>0.53200000000000003</v>
      </c>
      <c r="DK13" s="43">
        <v>0.77266670000000004</v>
      </c>
      <c r="DL13" s="43">
        <v>0.85</v>
      </c>
      <c r="DM13" s="43">
        <v>0.94299999999999995</v>
      </c>
      <c r="DN13" s="43">
        <v>0.88766666666666705</v>
      </c>
      <c r="DO13" s="43">
        <v>0.66800000000000004</v>
      </c>
      <c r="DP13" s="43">
        <v>0.81399999999999995</v>
      </c>
      <c r="DQ13" s="43">
        <v>1.0886670000000001</v>
      </c>
      <c r="DR13" s="43">
        <v>0.78833339999999996</v>
      </c>
      <c r="DS13" s="43">
        <v>0.627</v>
      </c>
      <c r="DT13" s="43">
        <v>0.93700000000000006</v>
      </c>
      <c r="DU13" s="43">
        <v>524.00220000000002</v>
      </c>
      <c r="DV13" s="43">
        <v>290.6019</v>
      </c>
      <c r="DW13" s="43">
        <v>127.5326</v>
      </c>
      <c r="DX13" s="43">
        <v>0.95502169999999997</v>
      </c>
      <c r="DY13" s="43">
        <v>0.96833689999999994</v>
      </c>
      <c r="DZ13" s="43">
        <v>1.03</v>
      </c>
      <c r="EA13" s="43">
        <v>1310.4949999999999</v>
      </c>
      <c r="EB13" s="43">
        <v>117.7547</v>
      </c>
      <c r="EC13" s="43">
        <v>0.92600000000000005</v>
      </c>
      <c r="ED13" s="43">
        <v>0.85699990000000004</v>
      </c>
      <c r="EE13" s="43">
        <v>0.93166669999999996</v>
      </c>
      <c r="EF13" s="43">
        <v>0.93700000000000006</v>
      </c>
      <c r="EG13" s="43">
        <v>0.92866669999999996</v>
      </c>
      <c r="EH13" s="43">
        <v>0.35799999999999998</v>
      </c>
      <c r="EI13" s="43">
        <v>0.17599999999999999</v>
      </c>
      <c r="EJ13" s="43">
        <v>18.042999999999999</v>
      </c>
      <c r="EK13" s="43">
        <v>9.1999999999999993</v>
      </c>
      <c r="EL13" s="43">
        <v>0.42</v>
      </c>
      <c r="EM13" s="43">
        <v>1931</v>
      </c>
      <c r="EN13" s="43">
        <v>525.4</v>
      </c>
      <c r="EO13" s="43">
        <v>82328</v>
      </c>
      <c r="EP13" s="43">
        <v>49534</v>
      </c>
      <c r="EQ13" s="43">
        <v>3875</v>
      </c>
      <c r="ER13" s="43">
        <v>1.196</v>
      </c>
      <c r="ES13" s="43">
        <v>1.2509999999999999</v>
      </c>
      <c r="ET13" s="43">
        <v>1.127</v>
      </c>
      <c r="EU13" s="43">
        <v>0.49156480000000002</v>
      </c>
      <c r="EV13" s="43">
        <v>0.575017</v>
      </c>
      <c r="EW13" s="43">
        <v>0.67052789999999995</v>
      </c>
      <c r="EX13" s="43">
        <v>0.48925410000000003</v>
      </c>
      <c r="EY13" s="43">
        <v>0.5758278</v>
      </c>
      <c r="EZ13" s="43">
        <v>0.67375859999999999</v>
      </c>
      <c r="FA13" s="43">
        <v>3.7080000000000002</v>
      </c>
      <c r="FB13" s="43">
        <v>3.7080000000000002</v>
      </c>
      <c r="FC13" s="43">
        <v>15.496</v>
      </c>
      <c r="FD13" s="43">
        <v>6683.34</v>
      </c>
      <c r="FE13" s="43">
        <v>40305.01</v>
      </c>
      <c r="FF13" s="43">
        <v>1.0428437500000001</v>
      </c>
      <c r="FG13" s="43">
        <v>2.1495700000000002</v>
      </c>
      <c r="FH13" s="43">
        <v>528.67129999999997</v>
      </c>
      <c r="FI13" s="43">
        <v>9070.7990000000009</v>
      </c>
      <c r="FJ13" s="43">
        <v>7.8619640000000004</v>
      </c>
      <c r="FK13" s="43">
        <v>10.88402</v>
      </c>
      <c r="FL13" s="43">
        <v>0.96577579999999996</v>
      </c>
      <c r="FM13" s="43">
        <v>0.97504780000000002</v>
      </c>
    </row>
    <row r="14" spans="1:169" x14ac:dyDescent="0.25">
      <c r="A14" s="43" t="s">
        <v>241</v>
      </c>
      <c r="B14" s="43">
        <v>16611.689999999999</v>
      </c>
      <c r="C14" s="43">
        <v>11183.47</v>
      </c>
      <c r="D14" s="43">
        <v>2.0432000000000001</v>
      </c>
      <c r="E14" s="43">
        <v>5.25</v>
      </c>
      <c r="F14" s="43">
        <v>4.830222</v>
      </c>
      <c r="G14" s="43">
        <v>4.5</v>
      </c>
      <c r="H14" s="43">
        <v>1.004535</v>
      </c>
      <c r="I14" s="43">
        <v>1.063069</v>
      </c>
      <c r="J14" s="43">
        <v>0.96418649999999995</v>
      </c>
      <c r="K14" s="43">
        <v>1.1268069999999999</v>
      </c>
      <c r="L14" s="43">
        <v>1.6256219999999999</v>
      </c>
      <c r="M14" s="43">
        <v>58.036560000000001</v>
      </c>
      <c r="N14" s="43">
        <v>57.770111111111099</v>
      </c>
      <c r="O14" s="43">
        <v>7.194</v>
      </c>
      <c r="P14" s="43">
        <v>1.461333</v>
      </c>
      <c r="Q14" s="43">
        <v>-712.04489999999998</v>
      </c>
      <c r="R14" s="43">
        <v>8.25</v>
      </c>
      <c r="S14" s="43">
        <v>2435.163</v>
      </c>
      <c r="T14" s="43">
        <v>4.9817780000000003</v>
      </c>
      <c r="U14" s="43">
        <v>4.7958889999999998</v>
      </c>
      <c r="V14" s="43">
        <v>1853.2339999999999</v>
      </c>
      <c r="W14" s="43">
        <v>1.0389999999999999</v>
      </c>
      <c r="X14" s="43">
        <v>11995.9</v>
      </c>
      <c r="Y14" s="43">
        <v>1.2476370000000001</v>
      </c>
      <c r="Z14" s="43">
        <v>0.805145</v>
      </c>
      <c r="AA14" s="43">
        <v>0.86024</v>
      </c>
      <c r="AB14" s="43">
        <v>0.94528000000000001</v>
      </c>
      <c r="AC14" s="43">
        <v>52.034999999999997</v>
      </c>
      <c r="AD14" s="43">
        <v>0.85655000000000003</v>
      </c>
      <c r="AE14" s="43">
        <v>0.80694999999999995</v>
      </c>
      <c r="AF14" s="43">
        <v>0.84136</v>
      </c>
      <c r="AG14" s="43">
        <v>300.60969999999998</v>
      </c>
      <c r="AH14" s="43">
        <v>115.5331</v>
      </c>
      <c r="AI14" s="43">
        <v>1.653689</v>
      </c>
      <c r="AJ14" s="43">
        <v>1.69166666666667</v>
      </c>
      <c r="AK14" s="43">
        <v>14215.65</v>
      </c>
      <c r="AM14" s="43">
        <v>1.2787222222222201</v>
      </c>
      <c r="AN14" s="43">
        <v>2.6705220000000001</v>
      </c>
      <c r="AO14" s="43">
        <v>1.6417333333333299</v>
      </c>
      <c r="AP14" s="43">
        <v>1.8661666666666701</v>
      </c>
      <c r="AQ14" s="43">
        <v>2.0718220000000001</v>
      </c>
      <c r="AR14" s="43">
        <v>1.54</v>
      </c>
      <c r="AS14" s="43">
        <v>1.4364779999999999</v>
      </c>
      <c r="AT14" s="43">
        <v>1.6016550000000001</v>
      </c>
      <c r="AU14" s="43">
        <v>1.6392439999999999</v>
      </c>
      <c r="AV14" s="43">
        <v>1705.7360000000001</v>
      </c>
      <c r="AW14" s="43">
        <v>878.69299999999998</v>
      </c>
      <c r="AX14" s="43">
        <v>1.0632710000000001</v>
      </c>
      <c r="AY14" s="43">
        <v>1.102344</v>
      </c>
      <c r="AZ14" s="43">
        <v>223.5333</v>
      </c>
      <c r="BA14" s="43">
        <v>0.85335059999999996</v>
      </c>
      <c r="BB14" s="43">
        <v>86.8</v>
      </c>
      <c r="BC14" s="43">
        <v>20.938220000000001</v>
      </c>
      <c r="BD14" s="43">
        <v>6.1655550000000003</v>
      </c>
      <c r="BE14" s="43">
        <v>0.83833329999999995</v>
      </c>
      <c r="BF14" s="43">
        <v>4.1696660000000003</v>
      </c>
      <c r="BG14" s="43">
        <v>4.25</v>
      </c>
      <c r="BH14" s="43">
        <v>4.1023339999999999</v>
      </c>
      <c r="BI14" s="43">
        <v>0.82</v>
      </c>
      <c r="BJ14" s="43">
        <v>0.90700000000000003</v>
      </c>
      <c r="BK14" s="43">
        <v>60.977789999999999</v>
      </c>
      <c r="BL14" s="43">
        <v>68.010779999999997</v>
      </c>
      <c r="BM14" s="43">
        <v>1.0418879999999999</v>
      </c>
      <c r="BN14" s="43">
        <v>1.1898260000000001</v>
      </c>
      <c r="BO14" s="43">
        <v>32.716560000000001</v>
      </c>
      <c r="BP14" s="43">
        <v>1.1718611111111099</v>
      </c>
      <c r="BQ14" s="43">
        <v>1516.4359999999999</v>
      </c>
      <c r="BR14" s="43">
        <v>334.88956883084597</v>
      </c>
      <c r="BS14" s="43">
        <v>10070.24</v>
      </c>
      <c r="BT14" s="43">
        <v>5500.0709999999999</v>
      </c>
      <c r="BU14" s="43">
        <v>1.062656</v>
      </c>
      <c r="BV14" s="43">
        <v>0.87283659999999996</v>
      </c>
      <c r="BW14" s="43">
        <v>0.91934439999999995</v>
      </c>
      <c r="BX14" s="43">
        <v>1.310721</v>
      </c>
      <c r="BY14" s="43">
        <v>4.0052219999999998</v>
      </c>
      <c r="BZ14" s="43">
        <v>4.0352220000000001</v>
      </c>
      <c r="CA14" s="43">
        <v>3.8683329999999998</v>
      </c>
      <c r="CB14" s="43">
        <v>0.51154690000000003</v>
      </c>
      <c r="CC14" s="43">
        <v>7.0087020000000004</v>
      </c>
      <c r="CD14" s="43">
        <v>0.96396669999999995</v>
      </c>
      <c r="CE14" s="43">
        <v>1.1240000000000001</v>
      </c>
      <c r="CF14" s="43">
        <v>1.288656</v>
      </c>
      <c r="CG14" s="43">
        <v>1.0580000000000001</v>
      </c>
      <c r="CH14" s="43">
        <v>0.99434449999999996</v>
      </c>
      <c r="CI14" s="43">
        <v>1.008278</v>
      </c>
      <c r="CJ14" s="43">
        <v>1.1154109999999999</v>
      </c>
      <c r="CK14" s="43">
        <v>1.008667</v>
      </c>
      <c r="CL14" s="43">
        <v>0.87933329999999998</v>
      </c>
      <c r="CM14" s="43">
        <v>0.92700000000000005</v>
      </c>
      <c r="CN14" s="43">
        <v>0.89090000000000003</v>
      </c>
      <c r="CO14" s="43">
        <v>0.86699999999999999</v>
      </c>
      <c r="CP14" s="43">
        <v>0.76298909999999998</v>
      </c>
      <c r="CQ14" s="43">
        <v>0.98806669999999996</v>
      </c>
      <c r="CR14" s="43">
        <v>3.8031109999999999</v>
      </c>
      <c r="CS14" s="43">
        <v>44.056629653465997</v>
      </c>
      <c r="CT14" s="43">
        <v>26.313960000000002</v>
      </c>
      <c r="CU14" s="43">
        <v>21.428419999999999</v>
      </c>
      <c r="CV14" s="43">
        <v>28.086682471755601</v>
      </c>
      <c r="CW14" s="43">
        <v>0.92266669999999995</v>
      </c>
      <c r="CX14" s="43">
        <v>0.92300000000000004</v>
      </c>
      <c r="CY14" s="43">
        <v>0.94699999999999995</v>
      </c>
      <c r="CZ14" s="43">
        <v>0.93266666666666698</v>
      </c>
      <c r="DA14" s="43">
        <v>0.95066666666666699</v>
      </c>
      <c r="DB14" s="43">
        <v>0.71510464060000001</v>
      </c>
      <c r="DC14" s="43">
        <v>1.1823333333333299</v>
      </c>
      <c r="DD14" s="43">
        <v>0.71899999999999997</v>
      </c>
      <c r="DE14" s="43">
        <v>0.79300000000000004</v>
      </c>
      <c r="DF14" s="43">
        <v>0.78100000000000003</v>
      </c>
      <c r="DG14" s="43">
        <v>0.85499999999999998</v>
      </c>
      <c r="DH14" s="43">
        <v>0.27600000000000002</v>
      </c>
      <c r="DI14" s="43">
        <v>0</v>
      </c>
      <c r="DJ14" s="43">
        <v>0.54800000000000004</v>
      </c>
      <c r="DK14" s="43">
        <v>0.74933329999999998</v>
      </c>
      <c r="DL14" s="43">
        <v>0.86033329999999997</v>
      </c>
      <c r="DM14" s="43">
        <v>0.93600000000000005</v>
      </c>
      <c r="DN14" s="43">
        <v>0.89033333333333298</v>
      </c>
      <c r="DO14" s="43">
        <v>0.69333330000000004</v>
      </c>
      <c r="DP14" s="43">
        <v>0.81733330000000004</v>
      </c>
      <c r="DQ14" s="43">
        <v>1.068667</v>
      </c>
      <c r="DR14" s="43">
        <v>0.79833330000000002</v>
      </c>
      <c r="DS14" s="43">
        <v>0.66800000000000004</v>
      </c>
      <c r="DT14" s="43">
        <v>0.94933333333333303</v>
      </c>
      <c r="DU14" s="43">
        <v>527.41139999999996</v>
      </c>
      <c r="DV14" s="43">
        <v>290.79739999999998</v>
      </c>
      <c r="DW14" s="43">
        <v>126.92440000000001</v>
      </c>
      <c r="DX14" s="43">
        <v>0.94975549999999997</v>
      </c>
      <c r="DY14" s="43">
        <v>0.96800010000000003</v>
      </c>
      <c r="DZ14" s="43">
        <v>1.0269999999999999</v>
      </c>
      <c r="EA14" s="43">
        <v>1223.6130000000001</v>
      </c>
      <c r="EB14" s="43">
        <v>119.3668</v>
      </c>
      <c r="EC14" s="43">
        <v>0.92700000000000005</v>
      </c>
      <c r="ED14" s="43">
        <v>0.86699999999999999</v>
      </c>
      <c r="EE14" s="43">
        <v>0.92300000000000004</v>
      </c>
      <c r="EF14" s="43">
        <v>0.94699999999999995</v>
      </c>
      <c r="EG14" s="43">
        <v>0.92266669999999995</v>
      </c>
      <c r="EH14" s="43">
        <v>0.33800000000000002</v>
      </c>
      <c r="EI14" s="43">
        <v>0.14000000000000001</v>
      </c>
      <c r="EJ14" s="43">
        <v>18.042999999999999</v>
      </c>
      <c r="EK14" s="43">
        <v>9.5</v>
      </c>
      <c r="EL14" s="43">
        <v>0.42499999999999999</v>
      </c>
      <c r="EM14" s="43">
        <v>1776.1</v>
      </c>
      <c r="EN14" s="43">
        <v>474.7</v>
      </c>
      <c r="EO14" s="43">
        <v>72782</v>
      </c>
      <c r="EP14" s="43">
        <v>47256</v>
      </c>
      <c r="EQ14" s="43">
        <v>3390</v>
      </c>
      <c r="ER14" s="43">
        <v>1.204</v>
      </c>
      <c r="ES14" s="43">
        <v>1.274</v>
      </c>
      <c r="ET14" s="43">
        <v>1.1890000000000001</v>
      </c>
      <c r="EU14" s="43">
        <v>0.49554340000000002</v>
      </c>
      <c r="EV14" s="43">
        <v>0.57433849999999997</v>
      </c>
      <c r="EW14" s="43">
        <v>0.69399639999999996</v>
      </c>
      <c r="EX14" s="43">
        <v>0.49489369999999999</v>
      </c>
      <c r="EY14" s="43">
        <v>0.58699959999999995</v>
      </c>
      <c r="EZ14" s="43">
        <v>0.69065810000000005</v>
      </c>
      <c r="FA14" s="43">
        <v>3.7519999999999998</v>
      </c>
      <c r="FB14" s="43">
        <v>3.7519999999999998</v>
      </c>
      <c r="FC14" s="43">
        <v>15.694000000000001</v>
      </c>
      <c r="FD14" s="43">
        <v>6831.5150000000003</v>
      </c>
      <c r="FE14" s="43">
        <v>41802.69</v>
      </c>
      <c r="FF14" s="43">
        <v>1.04459375</v>
      </c>
      <c r="FG14" s="43">
        <v>2.1070229999999999</v>
      </c>
      <c r="FH14" s="43">
        <v>540.35990000000004</v>
      </c>
      <c r="FI14" s="43">
        <v>9138.2099999999991</v>
      </c>
      <c r="FJ14" s="43">
        <v>7.7585009999999999</v>
      </c>
      <c r="FK14" s="43">
        <v>11.02256</v>
      </c>
      <c r="FL14" s="43">
        <v>0.96909179999999995</v>
      </c>
      <c r="FM14" s="43">
        <v>0.97647240000000002</v>
      </c>
    </row>
    <row r="15" spans="1:169" x14ac:dyDescent="0.25">
      <c r="A15" s="43" t="s">
        <v>242</v>
      </c>
      <c r="B15" s="43">
        <v>16713.310000000001</v>
      </c>
      <c r="C15" s="43">
        <v>11212.73</v>
      </c>
      <c r="D15" s="43">
        <v>2.0663239999999998</v>
      </c>
      <c r="E15" s="43">
        <v>5.25</v>
      </c>
      <c r="F15" s="43">
        <v>4.8456039999999998</v>
      </c>
      <c r="G15" s="43">
        <v>4.498901</v>
      </c>
      <c r="H15" s="43">
        <v>1.016219</v>
      </c>
      <c r="I15" s="43">
        <v>1.0772600000000001</v>
      </c>
      <c r="J15" s="43">
        <v>0.98899729999999997</v>
      </c>
      <c r="K15" s="43">
        <v>1.128574</v>
      </c>
      <c r="L15" s="43">
        <v>1.6580220000000001</v>
      </c>
      <c r="M15" s="43">
        <v>64.959999999999994</v>
      </c>
      <c r="N15" s="43">
        <v>68.568241758241797</v>
      </c>
      <c r="O15" s="43">
        <v>7.5312087912087904</v>
      </c>
      <c r="P15" s="43">
        <v>1.4510000000000001</v>
      </c>
      <c r="Q15" s="43">
        <v>-717.21590000000003</v>
      </c>
      <c r="R15" s="43">
        <v>8.25</v>
      </c>
      <c r="S15" s="43">
        <v>2429.857</v>
      </c>
      <c r="T15" s="43">
        <v>4.7365930000000001</v>
      </c>
      <c r="U15" s="43">
        <v>4.9890109999999996</v>
      </c>
      <c r="V15" s="43">
        <v>1920.1969999999999</v>
      </c>
      <c r="W15" s="43">
        <v>1.048</v>
      </c>
      <c r="X15" s="43">
        <v>12055.38</v>
      </c>
      <c r="Y15" s="43">
        <v>1.25528</v>
      </c>
      <c r="Z15" s="43">
        <v>0.80955759999999999</v>
      </c>
      <c r="AA15" s="43">
        <v>0.86223000000000005</v>
      </c>
      <c r="AB15" s="43">
        <v>0.95676000000000005</v>
      </c>
      <c r="AC15" s="43">
        <v>59.20187</v>
      </c>
      <c r="AD15" s="43">
        <v>0.86201000000000005</v>
      </c>
      <c r="AE15" s="43">
        <v>0.81079000000000001</v>
      </c>
      <c r="AF15" s="43">
        <v>0.83916000000000002</v>
      </c>
      <c r="AG15" s="43">
        <v>301.28359999999998</v>
      </c>
      <c r="AH15" s="43">
        <v>115.8869</v>
      </c>
      <c r="AI15" s="43">
        <v>1.6946920000000001</v>
      </c>
      <c r="AJ15" s="43">
        <v>1.75433333333333</v>
      </c>
      <c r="AK15" s="43">
        <v>14402.08</v>
      </c>
      <c r="AM15" s="43">
        <v>1.2889450549450501</v>
      </c>
      <c r="AN15" s="43">
        <v>2.9343080000000001</v>
      </c>
      <c r="AO15" s="43">
        <v>1.6683626373626399</v>
      </c>
      <c r="AP15" s="43">
        <v>2.0802417582417601</v>
      </c>
      <c r="AQ15" s="43">
        <v>2.1313960000000001</v>
      </c>
      <c r="AR15" s="43">
        <v>1.5416700000000001</v>
      </c>
      <c r="AS15" s="43">
        <v>1.5414509999999999</v>
      </c>
      <c r="AT15" s="43">
        <v>1.7948679999999999</v>
      </c>
      <c r="AU15" s="43">
        <v>1.663967</v>
      </c>
      <c r="AV15" s="43">
        <v>1722.2629999999999</v>
      </c>
      <c r="AW15" s="43">
        <v>891.98099999999999</v>
      </c>
      <c r="AX15" s="43">
        <v>1.0660860000000001</v>
      </c>
      <c r="AY15" s="43">
        <v>1.118692</v>
      </c>
      <c r="AZ15" s="43">
        <v>231.26669999999999</v>
      </c>
      <c r="BA15" s="43">
        <v>0.91105499999999995</v>
      </c>
      <c r="BB15" s="43">
        <v>86.2</v>
      </c>
      <c r="BC15" s="43">
        <v>21.606919999999999</v>
      </c>
      <c r="BD15" s="43">
        <v>6.0329670000000002</v>
      </c>
      <c r="BE15" s="43">
        <v>0.84566660000000005</v>
      </c>
      <c r="BF15" s="43">
        <v>4.2932969999999999</v>
      </c>
      <c r="BG15" s="43">
        <v>4.25</v>
      </c>
      <c r="BH15" s="43">
        <v>4.4173629999999999</v>
      </c>
      <c r="BI15" s="43">
        <v>0.83899999999999997</v>
      </c>
      <c r="BJ15" s="43">
        <v>0.91500000000000004</v>
      </c>
      <c r="BK15" s="43">
        <v>65.025180000000006</v>
      </c>
      <c r="BL15" s="43">
        <v>71.349710000000002</v>
      </c>
      <c r="BM15" s="43">
        <v>1.0346029999999999</v>
      </c>
      <c r="BN15" s="43">
        <v>1.1993780000000001</v>
      </c>
      <c r="BO15" s="43">
        <v>32.785139999999998</v>
      </c>
      <c r="BP15" s="43">
        <v>1.09836373626374</v>
      </c>
      <c r="BQ15" s="43">
        <v>1551.308</v>
      </c>
      <c r="BR15" s="43">
        <v>339.32481153904098</v>
      </c>
      <c r="BS15" s="43">
        <v>10141.6</v>
      </c>
      <c r="BT15" s="43">
        <v>5546.8220000000001</v>
      </c>
      <c r="BU15" s="43">
        <v>1.067396</v>
      </c>
      <c r="BV15" s="43">
        <v>0.88480440000000005</v>
      </c>
      <c r="BW15" s="43">
        <v>0.92867029999999995</v>
      </c>
      <c r="BX15" s="43">
        <v>1.3484370000000001</v>
      </c>
      <c r="BY15" s="43">
        <v>4.3260439999999996</v>
      </c>
      <c r="BZ15" s="43">
        <v>4.3627469999999997</v>
      </c>
      <c r="CA15" s="43">
        <v>4.1994499999999997</v>
      </c>
      <c r="CB15" s="43">
        <v>0.50346310000000005</v>
      </c>
      <c r="CC15" s="43">
        <v>6.8643890000000001</v>
      </c>
      <c r="CD15" s="43">
        <v>0.97472539999999996</v>
      </c>
      <c r="CE15" s="43">
        <v>1.1304399999999999</v>
      </c>
      <c r="CF15" s="43">
        <v>1.288791</v>
      </c>
      <c r="CG15" s="43">
        <v>1.017333</v>
      </c>
      <c r="CH15" s="43">
        <v>1.0081869999999999</v>
      </c>
      <c r="CI15" s="43">
        <v>1.0127470000000001</v>
      </c>
      <c r="CJ15" s="43">
        <v>1.084176</v>
      </c>
      <c r="CK15" s="43">
        <v>1.009333</v>
      </c>
      <c r="CL15" s="43">
        <v>0.88700000000000001</v>
      </c>
      <c r="CM15" s="43">
        <v>0.93100000000000005</v>
      </c>
      <c r="CN15" s="43">
        <v>0.90746669999999996</v>
      </c>
      <c r="CO15" s="43">
        <v>0.879</v>
      </c>
      <c r="CP15" s="43">
        <v>0.74160720000000002</v>
      </c>
      <c r="CQ15" s="43">
        <v>0.98443959999999997</v>
      </c>
      <c r="CR15" s="43">
        <v>4.0368139999999997</v>
      </c>
      <c r="CS15" s="43">
        <v>50.854981633331299</v>
      </c>
      <c r="CT15" s="43">
        <v>25.861139999999999</v>
      </c>
      <c r="CU15" s="43">
        <v>20.99371</v>
      </c>
      <c r="CV15" s="43">
        <v>28.3087029443736</v>
      </c>
      <c r="CW15" s="43">
        <v>0.94866669999999997</v>
      </c>
      <c r="CX15" s="43">
        <v>0.96199999999999997</v>
      </c>
      <c r="CY15" s="43">
        <v>0.95766669999999998</v>
      </c>
      <c r="CZ15" s="43">
        <v>0.93966666666666698</v>
      </c>
      <c r="DA15" s="43">
        <v>0.96333333333333304</v>
      </c>
      <c r="DB15" s="43">
        <v>0.77861692449999997</v>
      </c>
      <c r="DC15" s="43">
        <v>1.167</v>
      </c>
      <c r="DD15" s="43">
        <v>0.72199999999999998</v>
      </c>
      <c r="DE15" s="43">
        <v>0.80100000000000005</v>
      </c>
      <c r="DF15" s="43">
        <v>0.79300000000000004</v>
      </c>
      <c r="DG15" s="43">
        <v>0.86099999999999999</v>
      </c>
      <c r="DH15" s="43">
        <v>0.28899999999999998</v>
      </c>
      <c r="DI15" s="43">
        <v>0</v>
      </c>
      <c r="DJ15" s="43">
        <v>0.55800000000000005</v>
      </c>
      <c r="DK15" s="43">
        <v>0.7336667</v>
      </c>
      <c r="DL15" s="43">
        <v>0.88200000000000001</v>
      </c>
      <c r="DM15" s="43">
        <v>0.91633330000000002</v>
      </c>
      <c r="DN15" s="43">
        <v>0.89833333333333298</v>
      </c>
      <c r="DO15" s="43">
        <v>0.68933330000000004</v>
      </c>
      <c r="DP15" s="43">
        <v>0.82233330000000004</v>
      </c>
      <c r="DQ15" s="43">
        <v>0.98233340000000002</v>
      </c>
      <c r="DR15" s="43">
        <v>0.80500000000000005</v>
      </c>
      <c r="DS15" s="43">
        <v>0.67600000000000005</v>
      </c>
      <c r="DT15" s="43">
        <v>0.914333333333333</v>
      </c>
      <c r="DU15" s="43">
        <v>527.63310000000001</v>
      </c>
      <c r="DV15" s="43">
        <v>292.40690000000001</v>
      </c>
      <c r="DW15" s="43">
        <v>127.67140000000001</v>
      </c>
      <c r="DX15" s="43">
        <v>0.95435170000000002</v>
      </c>
      <c r="DY15" s="43">
        <v>0.97867040000000005</v>
      </c>
      <c r="DZ15" s="43">
        <v>1.0269999999999999</v>
      </c>
      <c r="EA15" s="43">
        <v>1282.3</v>
      </c>
      <c r="EB15" s="43">
        <v>120.79640000000001</v>
      </c>
      <c r="EC15" s="43">
        <v>0.93100000000000005</v>
      </c>
      <c r="ED15" s="43">
        <v>0.879</v>
      </c>
      <c r="EE15" s="43">
        <v>0.96199999999999997</v>
      </c>
      <c r="EF15" s="43">
        <v>0.95766669999999998</v>
      </c>
      <c r="EG15" s="43">
        <v>0.94866669999999997</v>
      </c>
      <c r="EH15" s="43">
        <v>0.34599999999999997</v>
      </c>
      <c r="EI15" s="43">
        <v>0.14499999999999999</v>
      </c>
      <c r="EJ15" s="43">
        <v>18.805</v>
      </c>
      <c r="EK15" s="43">
        <v>9.8000000000000007</v>
      </c>
      <c r="EL15" s="43">
        <v>0.42</v>
      </c>
      <c r="EM15" s="43">
        <v>2056.6999999999998</v>
      </c>
      <c r="EN15" s="43">
        <v>513.6</v>
      </c>
      <c r="EO15" s="43">
        <v>80597</v>
      </c>
      <c r="EP15" s="43">
        <v>54326</v>
      </c>
      <c r="EQ15" s="43">
        <v>3735</v>
      </c>
      <c r="ER15" s="43">
        <v>1.2290000000000001</v>
      </c>
      <c r="ES15" s="43">
        <v>1.298</v>
      </c>
      <c r="ET15" s="43">
        <v>1.204</v>
      </c>
      <c r="EU15" s="43">
        <v>0.4963494</v>
      </c>
      <c r="EV15" s="43">
        <v>0.60246599999999995</v>
      </c>
      <c r="EW15" s="43">
        <v>0.71634730000000002</v>
      </c>
      <c r="EX15" s="43">
        <v>0.49793009999999999</v>
      </c>
      <c r="EY15" s="43">
        <v>0.60430589999999995</v>
      </c>
      <c r="EZ15" s="43">
        <v>0.71708810000000001</v>
      </c>
      <c r="FA15" s="43">
        <v>3.774</v>
      </c>
      <c r="FB15" s="43">
        <v>3.774</v>
      </c>
      <c r="FC15" s="43">
        <v>15.805</v>
      </c>
      <c r="FD15" s="43">
        <v>7045.085</v>
      </c>
      <c r="FE15" s="43">
        <v>43472.08</v>
      </c>
      <c r="FF15" s="43">
        <v>1.05515625</v>
      </c>
      <c r="FG15" s="43">
        <v>1.982051</v>
      </c>
      <c r="FH15" s="43">
        <v>526.95719999999994</v>
      </c>
      <c r="FI15" s="43">
        <v>8979.259</v>
      </c>
      <c r="FJ15" s="43">
        <v>7.6784210000000002</v>
      </c>
      <c r="FK15" s="43">
        <v>10.87771</v>
      </c>
      <c r="FL15" s="43">
        <v>0.93784140000000005</v>
      </c>
      <c r="FM15" s="43">
        <v>0.95554079999999997</v>
      </c>
    </row>
    <row r="16" spans="1:169" x14ac:dyDescent="0.25">
      <c r="A16" s="43" t="s">
        <v>243</v>
      </c>
      <c r="B16" s="43">
        <v>16809.59</v>
      </c>
      <c r="C16" s="43">
        <v>11287.19</v>
      </c>
      <c r="D16" s="43">
        <v>2.0793240000000002</v>
      </c>
      <c r="E16" s="43">
        <v>5.1847830000000004</v>
      </c>
      <c r="F16" s="43">
        <v>4.7322829999999998</v>
      </c>
      <c r="G16" s="43">
        <v>4.6663050000000004</v>
      </c>
      <c r="H16" s="43">
        <v>1.0170399999999999</v>
      </c>
      <c r="I16" s="43">
        <v>1.077547</v>
      </c>
      <c r="J16" s="43">
        <v>0.99493920000000002</v>
      </c>
      <c r="K16" s="43">
        <v>1.1262460000000001</v>
      </c>
      <c r="L16" s="43">
        <v>1.6692610000000001</v>
      </c>
      <c r="M16" s="43">
        <v>75.418260000000004</v>
      </c>
      <c r="N16" s="43">
        <v>74.929239130434794</v>
      </c>
      <c r="O16" s="43">
        <v>6.1743478260869598</v>
      </c>
      <c r="P16" s="43">
        <v>1.2889999999999999</v>
      </c>
      <c r="Q16" s="43">
        <v>-698.90970000000004</v>
      </c>
      <c r="R16" s="43">
        <v>8.1782609999999991</v>
      </c>
      <c r="S16" s="43">
        <v>2437.5230000000001</v>
      </c>
      <c r="T16" s="43">
        <v>4.3078260000000004</v>
      </c>
      <c r="U16" s="43">
        <v>4.9450000000000003</v>
      </c>
      <c r="V16" s="43">
        <v>1836.3979999999999</v>
      </c>
      <c r="W16" s="43">
        <v>1.056</v>
      </c>
      <c r="X16" s="43">
        <v>12075.48</v>
      </c>
      <c r="Y16" s="43">
        <v>1.259917</v>
      </c>
      <c r="Z16" s="43">
        <v>0.80722769999999999</v>
      </c>
      <c r="AA16" s="43">
        <v>0.87082999999999999</v>
      </c>
      <c r="AB16" s="43">
        <v>0.96348999999999996</v>
      </c>
      <c r="AC16" s="43">
        <v>67.38185</v>
      </c>
      <c r="AD16" s="43">
        <v>0.86568000000000001</v>
      </c>
      <c r="AE16" s="43">
        <v>0.81786999999999999</v>
      </c>
      <c r="AF16" s="43">
        <v>0.83948999999999996</v>
      </c>
      <c r="AG16" s="43">
        <v>302.05970000000002</v>
      </c>
      <c r="AH16" s="43">
        <v>116.18689999999999</v>
      </c>
      <c r="AI16" s="43">
        <v>1.7109669999999999</v>
      </c>
      <c r="AJ16" s="43">
        <v>1.7613333333333301</v>
      </c>
      <c r="AK16" s="43">
        <v>14564.12</v>
      </c>
      <c r="AM16" s="43">
        <v>1.31461956521739</v>
      </c>
      <c r="AN16" s="43">
        <v>2.5827059999999999</v>
      </c>
      <c r="AO16" s="43">
        <v>1.6819347826087001</v>
      </c>
      <c r="AP16" s="43">
        <v>2.1636086956521701</v>
      </c>
      <c r="AQ16" s="43">
        <v>2.16262</v>
      </c>
      <c r="AR16" s="43">
        <v>1.553641</v>
      </c>
      <c r="AS16" s="43">
        <v>1.5634779999999999</v>
      </c>
      <c r="AT16" s="43">
        <v>1.806522</v>
      </c>
      <c r="AU16" s="43">
        <v>1.66987</v>
      </c>
      <c r="AV16" s="43">
        <v>1729.4939999999999</v>
      </c>
      <c r="AW16" s="43">
        <v>900.36199999999997</v>
      </c>
      <c r="AX16" s="43">
        <v>1.060003</v>
      </c>
      <c r="AY16" s="43">
        <v>1.118663</v>
      </c>
      <c r="AZ16" s="43">
        <v>245.5</v>
      </c>
      <c r="BA16" s="43">
        <v>0.95697120000000002</v>
      </c>
      <c r="BB16" s="43">
        <v>86.5</v>
      </c>
      <c r="BC16" s="43">
        <v>21.76033</v>
      </c>
      <c r="BD16" s="43">
        <v>6.0010870000000001</v>
      </c>
      <c r="BE16" s="43">
        <v>0.82533339999999999</v>
      </c>
      <c r="BF16" s="43">
        <v>4.2279350000000004</v>
      </c>
      <c r="BG16" s="43">
        <v>4.4769230000000002</v>
      </c>
      <c r="BH16" s="43">
        <v>4.4571740000000002</v>
      </c>
      <c r="BI16" s="43">
        <v>0.85799999999999998</v>
      </c>
      <c r="BJ16" s="43">
        <v>0.91500000000000004</v>
      </c>
      <c r="BK16" s="43">
        <v>70.422889999999995</v>
      </c>
      <c r="BL16" s="43">
        <v>78.822000000000003</v>
      </c>
      <c r="BM16" s="43">
        <v>1.0106390000000001</v>
      </c>
      <c r="BN16" s="43">
        <v>1.200142</v>
      </c>
      <c r="BO16" s="43">
        <v>32.887929999999997</v>
      </c>
      <c r="BP16" s="43">
        <v>1.0451315217391299</v>
      </c>
      <c r="BQ16" s="43">
        <v>1563.328</v>
      </c>
      <c r="BR16" s="43">
        <v>328.82201264522399</v>
      </c>
      <c r="BS16" s="43">
        <v>10184.25</v>
      </c>
      <c r="BT16" s="43">
        <v>5569.2619999999997</v>
      </c>
      <c r="BU16" s="43">
        <v>1.079674</v>
      </c>
      <c r="BV16" s="43">
        <v>0.88537390000000005</v>
      </c>
      <c r="BW16" s="43">
        <v>0.93431529999999996</v>
      </c>
      <c r="BX16" s="43">
        <v>1.37523</v>
      </c>
      <c r="BY16" s="43">
        <v>4.3414130000000002</v>
      </c>
      <c r="BZ16" s="43">
        <v>4.4279349999999997</v>
      </c>
      <c r="CA16" s="43">
        <v>4.2978259999999997</v>
      </c>
      <c r="CB16" s="43">
        <v>0.49465379999999998</v>
      </c>
      <c r="CC16" s="43">
        <v>6.7365339999999998</v>
      </c>
      <c r="CD16" s="43">
        <v>0.99226080000000005</v>
      </c>
      <c r="CE16" s="43">
        <v>1.135489</v>
      </c>
      <c r="CF16" s="43">
        <v>1.305728</v>
      </c>
      <c r="CG16" s="43">
        <v>0.99033329999999997</v>
      </c>
      <c r="CH16" s="43">
        <v>1.0161960000000001</v>
      </c>
      <c r="CI16" s="43">
        <v>1.0030760000000001</v>
      </c>
      <c r="CJ16" s="43">
        <v>1.095261</v>
      </c>
      <c r="CK16" s="43">
        <v>1.013333</v>
      </c>
      <c r="CL16" s="43">
        <v>0.8923333</v>
      </c>
      <c r="CM16" s="43">
        <v>0.93200000000000005</v>
      </c>
      <c r="CN16" s="43">
        <v>0.90436669999999997</v>
      </c>
      <c r="CO16" s="43">
        <v>0.88400000000000001</v>
      </c>
      <c r="CP16" s="43">
        <v>0.72720340000000006</v>
      </c>
      <c r="CQ16" s="43">
        <v>0.98870650000000004</v>
      </c>
      <c r="CR16" s="43">
        <v>4.4775</v>
      </c>
      <c r="CS16" s="43">
        <v>54.474247896160101</v>
      </c>
      <c r="CT16" s="43">
        <v>25.507539999999999</v>
      </c>
      <c r="CU16" s="43">
        <v>20.371600000000001</v>
      </c>
      <c r="CV16" s="43">
        <v>28.015644325217401</v>
      </c>
      <c r="CW16" s="43">
        <v>0.95099999999999996</v>
      </c>
      <c r="CX16" s="43">
        <v>0.95699999999999996</v>
      </c>
      <c r="CY16" s="43">
        <v>0.96199999999999997</v>
      </c>
      <c r="CZ16" s="43">
        <v>0.94566666666666699</v>
      </c>
      <c r="DA16" s="43">
        <v>0.96699999999999997</v>
      </c>
      <c r="DB16" s="43">
        <v>0.82010919019999995</v>
      </c>
      <c r="DC16" s="43">
        <v>1.13933333333333</v>
      </c>
      <c r="DD16" s="43">
        <v>0.72499999999999998</v>
      </c>
      <c r="DE16" s="43">
        <v>0.81200000000000006</v>
      </c>
      <c r="DF16" s="43">
        <v>0.80400000000000005</v>
      </c>
      <c r="DG16" s="43">
        <v>0.85899999999999999</v>
      </c>
      <c r="DH16" s="43">
        <v>0.30399999999999999</v>
      </c>
      <c r="DI16" s="43">
        <v>0</v>
      </c>
      <c r="DJ16" s="43">
        <v>0.56299999999999994</v>
      </c>
      <c r="DK16" s="43">
        <v>0.746</v>
      </c>
      <c r="DL16" s="43">
        <v>0.88866670000000003</v>
      </c>
      <c r="DM16" s="43">
        <v>0.90700000000000003</v>
      </c>
      <c r="DN16" s="43">
        <v>0.90133333333333299</v>
      </c>
      <c r="DO16" s="43">
        <v>0.69466669999999997</v>
      </c>
      <c r="DP16" s="43">
        <v>0.82899999999999996</v>
      </c>
      <c r="DQ16" s="43">
        <v>0.97166669999999999</v>
      </c>
      <c r="DR16" s="43">
        <v>0.81200000000000006</v>
      </c>
      <c r="DS16" s="43">
        <v>0.67133330000000002</v>
      </c>
      <c r="DT16" s="43">
        <v>0.97866666666666702</v>
      </c>
      <c r="DU16" s="43">
        <v>524.77340000000004</v>
      </c>
      <c r="DV16" s="43">
        <v>289.52949999999998</v>
      </c>
      <c r="DW16" s="43">
        <v>129.80330000000001</v>
      </c>
      <c r="DX16" s="43">
        <v>0.95631520000000003</v>
      </c>
      <c r="DY16" s="43">
        <v>0.98633700000000002</v>
      </c>
      <c r="DZ16" s="43">
        <v>1.022</v>
      </c>
      <c r="EA16" s="43">
        <v>809.23289999999997</v>
      </c>
      <c r="EB16" s="43">
        <v>117.7559</v>
      </c>
      <c r="EC16" s="43">
        <v>0.93200000000000005</v>
      </c>
      <c r="ED16" s="43">
        <v>0.88400000000000001</v>
      </c>
      <c r="EE16" s="43">
        <v>0.95699999999999996</v>
      </c>
      <c r="EF16" s="43">
        <v>0.96199999999999997</v>
      </c>
      <c r="EG16" s="43">
        <v>0.95099999999999996</v>
      </c>
      <c r="EH16" s="43">
        <v>0.34499999999999997</v>
      </c>
      <c r="EI16" s="43">
        <v>0.15</v>
      </c>
      <c r="EJ16" s="43">
        <v>18.805</v>
      </c>
      <c r="EK16" s="43">
        <v>9.9700000000000006</v>
      </c>
      <c r="EL16" s="43">
        <v>0.42099999999999999</v>
      </c>
      <c r="EM16" s="43">
        <v>2232.6</v>
      </c>
      <c r="EN16" s="43">
        <v>591.5</v>
      </c>
      <c r="EO16" s="43">
        <v>91021</v>
      </c>
      <c r="EP16" s="43">
        <v>60148</v>
      </c>
      <c r="EQ16" s="43">
        <v>3963</v>
      </c>
      <c r="ER16" s="43">
        <v>1.234</v>
      </c>
      <c r="ES16" s="43">
        <v>1.306</v>
      </c>
      <c r="ET16" s="43">
        <v>1.214</v>
      </c>
      <c r="EU16" s="43">
        <v>0.50797329999999996</v>
      </c>
      <c r="EV16" s="43">
        <v>0.63193980000000005</v>
      </c>
      <c r="EW16" s="43">
        <v>0.74093339999999996</v>
      </c>
      <c r="EX16" s="43">
        <v>0.50925050000000005</v>
      </c>
      <c r="EY16" s="43">
        <v>0.61880139999999995</v>
      </c>
      <c r="EZ16" s="43">
        <v>0.73976529999999996</v>
      </c>
      <c r="FA16" s="43">
        <v>3.859</v>
      </c>
      <c r="FB16" s="43">
        <v>3.859</v>
      </c>
      <c r="FC16" s="43">
        <v>16.178999999999998</v>
      </c>
      <c r="FD16" s="43">
        <v>7281.8810000000003</v>
      </c>
      <c r="FE16" s="43">
        <v>44993.7</v>
      </c>
      <c r="FF16" s="43">
        <v>1.0682812500000001</v>
      </c>
      <c r="FG16" s="43">
        <v>1.9153070000000001</v>
      </c>
      <c r="FH16" s="43">
        <v>519.91129999999998</v>
      </c>
      <c r="FI16" s="43">
        <v>9242.5159999999996</v>
      </c>
      <c r="FJ16" s="43">
        <v>7.5570880000000002</v>
      </c>
      <c r="FK16" s="43">
        <v>10.96292</v>
      </c>
      <c r="FL16" s="43">
        <v>0.91041830000000001</v>
      </c>
      <c r="FM16" s="43">
        <v>0.93562679999999998</v>
      </c>
    </row>
    <row r="17" spans="1:169" x14ac:dyDescent="0.25">
      <c r="A17" s="43" t="s">
        <v>244</v>
      </c>
      <c r="B17" s="43">
        <v>16915.189999999999</v>
      </c>
      <c r="C17" s="43">
        <v>11331.86</v>
      </c>
      <c r="D17" s="43">
        <v>2.1048589999999998</v>
      </c>
      <c r="E17" s="43">
        <v>4.4967389999999998</v>
      </c>
      <c r="F17" s="43">
        <v>4.261196</v>
      </c>
      <c r="G17" s="43">
        <v>4.8010869999999999</v>
      </c>
      <c r="H17" s="43">
        <v>1.0203199999999999</v>
      </c>
      <c r="I17" s="43">
        <v>1.0809569999999999</v>
      </c>
      <c r="J17" s="43">
        <v>1.0082409999999999</v>
      </c>
      <c r="K17" s="43">
        <v>1.119742</v>
      </c>
      <c r="L17" s="43">
        <v>1.7111959999999999</v>
      </c>
      <c r="M17" s="43">
        <v>90.709670000000003</v>
      </c>
      <c r="N17" s="43">
        <v>88.518152173912995</v>
      </c>
      <c r="O17" s="43">
        <v>6.9820652173913</v>
      </c>
      <c r="P17" s="43">
        <v>1.1659999999999999</v>
      </c>
      <c r="Q17" s="43">
        <v>-693.3904</v>
      </c>
      <c r="R17" s="43">
        <v>7.5235859999999999</v>
      </c>
      <c r="S17" s="43">
        <v>2435.4609999999998</v>
      </c>
      <c r="T17" s="43">
        <v>3.3913039999999999</v>
      </c>
      <c r="U17" s="43">
        <v>4.6076090000000001</v>
      </c>
      <c r="V17" s="43">
        <v>1782.9739999999999</v>
      </c>
      <c r="W17" s="43">
        <v>1.0649999999999999</v>
      </c>
      <c r="X17" s="43">
        <v>12090.55</v>
      </c>
      <c r="Y17" s="43">
        <v>1.2607250000000001</v>
      </c>
      <c r="Z17" s="43">
        <v>0.80931249999999999</v>
      </c>
      <c r="AA17" s="43">
        <v>0.87836000000000003</v>
      </c>
      <c r="AB17" s="43">
        <v>0.97597999999999996</v>
      </c>
      <c r="AC17" s="43">
        <v>78.410979999999995</v>
      </c>
      <c r="AD17" s="43">
        <v>0.86982000000000004</v>
      </c>
      <c r="AE17" s="43">
        <v>0.82762999999999998</v>
      </c>
      <c r="AF17" s="43">
        <v>0.84038999999999997</v>
      </c>
      <c r="AG17" s="43">
        <v>302.82859999999999</v>
      </c>
      <c r="AH17" s="43">
        <v>116.4331</v>
      </c>
      <c r="AI17" s="43">
        <v>1.7541960000000001</v>
      </c>
      <c r="AJ17" s="43">
        <v>1.798</v>
      </c>
      <c r="AK17" s="43">
        <v>14715.06</v>
      </c>
      <c r="AM17" s="43">
        <v>1.3386847826087001</v>
      </c>
      <c r="AN17" s="43">
        <v>2.9849890000000001</v>
      </c>
      <c r="AO17" s="43">
        <v>1.6973260869565201</v>
      </c>
      <c r="AP17" s="43">
        <v>2.46451086956522</v>
      </c>
      <c r="AQ17" s="43">
        <v>2.226804</v>
      </c>
      <c r="AR17" s="43">
        <v>1.5666850000000001</v>
      </c>
      <c r="AS17" s="43">
        <v>1.6816960000000001</v>
      </c>
      <c r="AT17" s="43">
        <v>1.900598</v>
      </c>
      <c r="AU17" s="43">
        <v>1.7120759999999999</v>
      </c>
      <c r="AV17" s="43">
        <v>1731.4590000000001</v>
      </c>
      <c r="AW17" s="43">
        <v>916.87199999999996</v>
      </c>
      <c r="AX17" s="43">
        <v>1.0421419999999999</v>
      </c>
      <c r="AY17" s="43">
        <v>1.1183259999999999</v>
      </c>
      <c r="AZ17" s="43">
        <v>214.5</v>
      </c>
      <c r="BA17" s="43">
        <v>1.01885</v>
      </c>
      <c r="BB17" s="43">
        <v>87.9</v>
      </c>
      <c r="BC17" s="43">
        <v>22.133479999999999</v>
      </c>
      <c r="BD17" s="43">
        <v>5.9663050000000002</v>
      </c>
      <c r="BE17" s="43">
        <v>0.81466669999999997</v>
      </c>
      <c r="BF17" s="43">
        <v>3.9166310000000002</v>
      </c>
      <c r="BG17" s="43">
        <v>4.4242419999999996</v>
      </c>
      <c r="BH17" s="43">
        <v>4.1576089999999999</v>
      </c>
      <c r="BI17" s="43">
        <v>0.86499999999999999</v>
      </c>
      <c r="BJ17" s="43">
        <v>0.92700000000000005</v>
      </c>
      <c r="BK17" s="43">
        <v>76.97784</v>
      </c>
      <c r="BL17" s="43">
        <v>89.051760000000002</v>
      </c>
      <c r="BM17" s="43">
        <v>0.99304959999999998</v>
      </c>
      <c r="BN17" s="43">
        <v>1.191451</v>
      </c>
      <c r="BO17" s="43">
        <v>33.001080000000002</v>
      </c>
      <c r="BP17" s="43">
        <v>0.98172282608695605</v>
      </c>
      <c r="BQ17" s="43">
        <v>1586.68</v>
      </c>
      <c r="BR17" s="43">
        <v>325.75607419097003</v>
      </c>
      <c r="BS17" s="43">
        <v>10234.34</v>
      </c>
      <c r="BT17" s="43">
        <v>5586.6090000000004</v>
      </c>
      <c r="BU17" s="43">
        <v>1.0843700000000001</v>
      </c>
      <c r="BV17" s="43">
        <v>0.89649559999999995</v>
      </c>
      <c r="BW17" s="43">
        <v>0.94730429999999999</v>
      </c>
      <c r="BX17" s="43">
        <v>1.4489590000000001</v>
      </c>
      <c r="BY17" s="43">
        <v>4.2145650000000003</v>
      </c>
      <c r="BZ17" s="43">
        <v>4.2978259999999997</v>
      </c>
      <c r="CA17" s="43">
        <v>4.2872820000000003</v>
      </c>
      <c r="CB17" s="43">
        <v>0.48943419999999999</v>
      </c>
      <c r="CC17" s="43">
        <v>6.4158189999999999</v>
      </c>
      <c r="CD17" s="43">
        <v>1.0017069999999999</v>
      </c>
      <c r="CE17" s="43">
        <v>1.1324240000000001</v>
      </c>
      <c r="CF17" s="43">
        <v>1.2777499999999999</v>
      </c>
      <c r="CG17" s="43">
        <v>1.0476669999999999</v>
      </c>
      <c r="CH17" s="43">
        <v>1.008076</v>
      </c>
      <c r="CI17" s="43">
        <v>1.0014350000000001</v>
      </c>
      <c r="CJ17" s="43">
        <v>1.102598</v>
      </c>
      <c r="CK17" s="43">
        <v>1.094333</v>
      </c>
      <c r="CL17" s="43">
        <v>0.89933339999999995</v>
      </c>
      <c r="CM17" s="43">
        <v>0.93899999999999995</v>
      </c>
      <c r="CN17" s="43">
        <v>0.91269999999999996</v>
      </c>
      <c r="CO17" s="43">
        <v>0.89500000000000002</v>
      </c>
      <c r="CP17" s="43">
        <v>0.69026989999999999</v>
      </c>
      <c r="CQ17" s="43">
        <v>0.9953805</v>
      </c>
      <c r="CR17" s="43">
        <v>4.7042390000000003</v>
      </c>
      <c r="CS17" s="43">
        <v>61.061305528485804</v>
      </c>
      <c r="CT17" s="43">
        <v>24.654140000000002</v>
      </c>
      <c r="CU17" s="43">
        <v>18.551469999999998</v>
      </c>
      <c r="CV17" s="43">
        <v>26.880313773630402</v>
      </c>
      <c r="CW17" s="43">
        <v>0.96066669999999998</v>
      </c>
      <c r="CX17" s="43">
        <v>0.99233340000000003</v>
      </c>
      <c r="CY17" s="43">
        <v>0.96699999999999997</v>
      </c>
      <c r="CZ17" s="43">
        <v>0.95099999999999996</v>
      </c>
      <c r="DA17" s="43">
        <v>0.955666666666667</v>
      </c>
      <c r="DB17" s="43">
        <v>0.84922656959999998</v>
      </c>
      <c r="DC17" s="43">
        <v>1.1603333333333301</v>
      </c>
      <c r="DD17" s="43">
        <v>0.73</v>
      </c>
      <c r="DE17" s="43">
        <v>0.83199999999999996</v>
      </c>
      <c r="DF17" s="43">
        <v>0.81100000000000005</v>
      </c>
      <c r="DG17" s="43">
        <v>0.88</v>
      </c>
      <c r="DH17" s="43">
        <v>0.32500000000000001</v>
      </c>
      <c r="DI17" s="43">
        <v>0</v>
      </c>
      <c r="DJ17" s="43">
        <v>0.56999999999999995</v>
      </c>
      <c r="DK17" s="43">
        <v>0.80366669999999996</v>
      </c>
      <c r="DL17" s="43">
        <v>0.89566670000000004</v>
      </c>
      <c r="DM17" s="43">
        <v>0.92766669999999996</v>
      </c>
      <c r="DN17" s="43">
        <v>0.90400000000000003</v>
      </c>
      <c r="DO17" s="43">
        <v>0.69933330000000005</v>
      </c>
      <c r="DP17" s="43">
        <v>0.83133330000000005</v>
      </c>
      <c r="DQ17" s="43">
        <v>1.109667</v>
      </c>
      <c r="DR17" s="43">
        <v>0.82466669999999997</v>
      </c>
      <c r="DS17" s="43">
        <v>0.65300000000000002</v>
      </c>
      <c r="DT17" s="43">
        <v>0.94733333333333303</v>
      </c>
      <c r="DU17" s="43">
        <v>527.07860000000005</v>
      </c>
      <c r="DV17" s="43">
        <v>290.02629999999999</v>
      </c>
      <c r="DW17" s="43">
        <v>131.04349999999999</v>
      </c>
      <c r="DX17" s="43">
        <v>0.95967389999999997</v>
      </c>
      <c r="DY17" s="43">
        <v>0.99133689999999997</v>
      </c>
      <c r="DZ17" s="43">
        <v>1.018</v>
      </c>
      <c r="EA17" s="43">
        <v>947.63559999999995</v>
      </c>
      <c r="EB17" s="43">
        <v>113.1524</v>
      </c>
      <c r="EC17" s="43">
        <v>0.93899999999999995</v>
      </c>
      <c r="ED17" s="43">
        <v>0.89500000000000002</v>
      </c>
      <c r="EE17" s="43">
        <v>0.99233340000000003</v>
      </c>
      <c r="EF17" s="43">
        <v>0.96699999999999997</v>
      </c>
      <c r="EG17" s="43">
        <v>0.96066669999999998</v>
      </c>
      <c r="EH17" s="43">
        <v>0.35699999999999998</v>
      </c>
      <c r="EI17" s="43">
        <v>0.16</v>
      </c>
      <c r="EJ17" s="43">
        <v>18.645</v>
      </c>
      <c r="EK17" s="43">
        <v>10.4</v>
      </c>
      <c r="EL17" s="43">
        <v>0.45</v>
      </c>
      <c r="EM17" s="43">
        <v>2427.9</v>
      </c>
      <c r="EN17" s="43">
        <v>615.70000000000005</v>
      </c>
      <c r="EO17" s="43">
        <v>91504</v>
      </c>
      <c r="EP17" s="43">
        <v>62035</v>
      </c>
      <c r="EQ17" s="43">
        <v>4413</v>
      </c>
      <c r="ER17" s="43">
        <v>1.24</v>
      </c>
      <c r="ES17" s="43">
        <v>1.3160000000000001</v>
      </c>
      <c r="ET17" s="43">
        <v>1.2150000000000001</v>
      </c>
      <c r="EU17" s="43">
        <v>0.53045580000000003</v>
      </c>
      <c r="EV17" s="43">
        <v>0.64918359999999997</v>
      </c>
      <c r="EW17" s="43">
        <v>0.77557730000000003</v>
      </c>
      <c r="EX17" s="43">
        <v>0.52814170000000005</v>
      </c>
      <c r="EY17" s="43">
        <v>0.64745799999999998</v>
      </c>
      <c r="EZ17" s="43">
        <v>0.77918149999999997</v>
      </c>
      <c r="FA17" s="43">
        <v>4.0030000000000001</v>
      </c>
      <c r="FB17" s="43">
        <v>4.0030000000000001</v>
      </c>
      <c r="FC17" s="43">
        <v>16.797000000000001</v>
      </c>
      <c r="FD17" s="43">
        <v>7541.61</v>
      </c>
      <c r="FE17" s="43">
        <v>47978.18</v>
      </c>
      <c r="FF17" s="43">
        <v>1.0839687499999999</v>
      </c>
      <c r="FG17" s="43">
        <v>1.783782</v>
      </c>
      <c r="FH17" s="43">
        <v>502.50920000000002</v>
      </c>
      <c r="FI17" s="43">
        <v>9377.5139999999992</v>
      </c>
      <c r="FJ17" s="43">
        <v>7.4304680000000003</v>
      </c>
      <c r="FK17" s="43">
        <v>10.848990000000001</v>
      </c>
      <c r="FL17" s="43">
        <v>0.86687919999999996</v>
      </c>
      <c r="FM17" s="43">
        <v>0.90320929999999999</v>
      </c>
    </row>
    <row r="18" spans="1:169" x14ac:dyDescent="0.25">
      <c r="A18" s="43" t="s">
        <v>245</v>
      </c>
      <c r="B18" s="43">
        <v>16843</v>
      </c>
      <c r="C18" s="43">
        <v>11316.89</v>
      </c>
      <c r="D18" s="43">
        <v>2.1277149999999998</v>
      </c>
      <c r="E18" s="43">
        <v>3.1809889999999998</v>
      </c>
      <c r="F18" s="43">
        <v>3.6616490000000002</v>
      </c>
      <c r="G18" s="43">
        <v>5.0021979999999999</v>
      </c>
      <c r="H18" s="43">
        <v>1.0178119999999999</v>
      </c>
      <c r="I18" s="43">
        <v>1.075499</v>
      </c>
      <c r="J18" s="43">
        <v>1.011754</v>
      </c>
      <c r="K18" s="43">
        <v>1.1021510000000001</v>
      </c>
      <c r="L18" s="43">
        <v>1.7420659999999999</v>
      </c>
      <c r="M18" s="43">
        <v>97.992639999999994</v>
      </c>
      <c r="N18" s="43">
        <v>96.979450549450505</v>
      </c>
      <c r="O18" s="43">
        <v>8.6490109890109892</v>
      </c>
      <c r="P18" s="43">
        <v>1.0640000000000001</v>
      </c>
      <c r="Q18" s="43">
        <v>-741.54549999999995</v>
      </c>
      <c r="R18" s="43">
        <v>6.2180220000000004</v>
      </c>
      <c r="S18" s="43">
        <v>2416.9659999999999</v>
      </c>
      <c r="T18" s="43">
        <v>2.0416479999999999</v>
      </c>
      <c r="U18" s="43">
        <v>4.4109889999999998</v>
      </c>
      <c r="V18" s="43">
        <v>1664.662</v>
      </c>
      <c r="W18" s="43">
        <v>1.0720000000000001</v>
      </c>
      <c r="X18" s="43">
        <v>12141.6</v>
      </c>
      <c r="Y18" s="43">
        <v>1.258921</v>
      </c>
      <c r="Z18" s="43">
        <v>0.80847869999999999</v>
      </c>
      <c r="AA18" s="43">
        <v>0.87236000000000002</v>
      </c>
      <c r="AB18" s="43">
        <v>0.97797999999999996</v>
      </c>
      <c r="AC18" s="43">
        <v>86.265720000000002</v>
      </c>
      <c r="AD18" s="43">
        <v>0.87358999999999998</v>
      </c>
      <c r="AE18" s="43">
        <v>0.83872999999999998</v>
      </c>
      <c r="AF18" s="43">
        <v>0.83723000000000003</v>
      </c>
      <c r="AG18" s="43">
        <v>303.49369999999999</v>
      </c>
      <c r="AH18" s="43">
        <v>116.5491</v>
      </c>
      <c r="AI18" s="43">
        <v>1.8154950000000001</v>
      </c>
      <c r="AJ18" s="43">
        <v>1.85866666666667</v>
      </c>
      <c r="AK18" s="43">
        <v>14706.54</v>
      </c>
      <c r="AM18" s="43">
        <v>1.38638461538462</v>
      </c>
      <c r="AN18" s="43">
        <v>3.416121</v>
      </c>
      <c r="AO18" s="43">
        <v>1.7072197802197799</v>
      </c>
      <c r="AP18" s="43">
        <v>2.7103406593406598</v>
      </c>
      <c r="AQ18" s="43">
        <v>2.3204940000000001</v>
      </c>
      <c r="AR18" s="43">
        <v>1.599</v>
      </c>
      <c r="AS18" s="43">
        <v>1.7445379999999999</v>
      </c>
      <c r="AT18" s="43">
        <v>2.0426920000000002</v>
      </c>
      <c r="AU18" s="43">
        <v>1.752176</v>
      </c>
      <c r="AV18" s="43">
        <v>1732.7860000000001</v>
      </c>
      <c r="AW18" s="43">
        <v>924.09500000000003</v>
      </c>
      <c r="AX18" s="43">
        <v>1.0237670000000001</v>
      </c>
      <c r="AY18" s="43">
        <v>1.1220000000000001</v>
      </c>
      <c r="AZ18" s="43">
        <v>228.86670000000001</v>
      </c>
      <c r="BA18" s="43">
        <v>0.99612230000000002</v>
      </c>
      <c r="BB18" s="43">
        <v>89.2</v>
      </c>
      <c r="BC18" s="43">
        <v>22.317689999999999</v>
      </c>
      <c r="BD18" s="43">
        <v>5.9681319999999998</v>
      </c>
      <c r="BE18" s="43">
        <v>0.83766669999999999</v>
      </c>
      <c r="BF18" s="43">
        <v>2.9668130000000001</v>
      </c>
      <c r="BG18" s="43">
        <v>3.9038460000000001</v>
      </c>
      <c r="BH18" s="43">
        <v>3.7514289999999999</v>
      </c>
      <c r="BI18" s="43">
        <v>0.86799999999999999</v>
      </c>
      <c r="BJ18" s="43">
        <v>0.94499999999999995</v>
      </c>
      <c r="BK18" s="43">
        <v>86.603390000000005</v>
      </c>
      <c r="BL18" s="43">
        <v>98.37621</v>
      </c>
      <c r="BM18" s="43">
        <v>0.96752289999999996</v>
      </c>
      <c r="BN18" s="43">
        <v>1.163761</v>
      </c>
      <c r="BO18" s="43">
        <v>33.049759999999999</v>
      </c>
      <c r="BP18" s="43">
        <v>1.00391428571429</v>
      </c>
      <c r="BQ18" s="43">
        <v>1619.932</v>
      </c>
      <c r="BR18" s="43">
        <v>342.66705573986798</v>
      </c>
      <c r="BS18" s="43">
        <v>10315.06</v>
      </c>
      <c r="BT18" s="43">
        <v>5599.9390000000003</v>
      </c>
      <c r="BU18" s="43">
        <v>1.0919779999999999</v>
      </c>
      <c r="BV18" s="43">
        <v>0.90210769999999996</v>
      </c>
      <c r="BW18" s="43">
        <v>0.96099999999999997</v>
      </c>
      <c r="BX18" s="43">
        <v>1.5007680000000001</v>
      </c>
      <c r="BY18" s="43">
        <v>3.94956</v>
      </c>
      <c r="BZ18" s="43">
        <v>4.0804400000000003</v>
      </c>
      <c r="CA18" s="43">
        <v>4.013846</v>
      </c>
      <c r="CB18" s="43">
        <v>0.50531979999999999</v>
      </c>
      <c r="CC18" s="43">
        <v>6.2663419999999999</v>
      </c>
      <c r="CD18" s="43">
        <v>1.0126809999999999</v>
      </c>
      <c r="CE18" s="43">
        <v>1.1388240000000001</v>
      </c>
      <c r="CF18" s="43">
        <v>1.3027690000000001</v>
      </c>
      <c r="CG18" s="43">
        <v>1.0276670000000001</v>
      </c>
      <c r="CH18" s="43">
        <v>1.0134289999999999</v>
      </c>
      <c r="CI18" s="43">
        <v>0.99684609999999996</v>
      </c>
      <c r="CJ18" s="43">
        <v>1.1212530000000001</v>
      </c>
      <c r="CK18" s="43">
        <v>1.0156670000000001</v>
      </c>
      <c r="CL18" s="43">
        <v>0.90633330000000001</v>
      </c>
      <c r="CM18" s="43">
        <v>0.95099999999999996</v>
      </c>
      <c r="CN18" s="43">
        <v>0.91759999999999997</v>
      </c>
      <c r="CO18" s="43">
        <v>0.91399989999999998</v>
      </c>
      <c r="CP18" s="43">
        <v>0.66672089999999995</v>
      </c>
      <c r="CQ18" s="43">
        <v>0.99489019999999995</v>
      </c>
      <c r="CR18" s="43">
        <v>4.4526370000000002</v>
      </c>
      <c r="CS18" s="43">
        <v>64.580508713858507</v>
      </c>
      <c r="CT18" s="43">
        <v>24.25338</v>
      </c>
      <c r="CU18" s="43">
        <v>17.119289999999999</v>
      </c>
      <c r="CV18" s="43">
        <v>25.692084872208799</v>
      </c>
      <c r="CW18" s="43">
        <v>0.97833340000000002</v>
      </c>
      <c r="CX18" s="43">
        <v>0.95733330000000005</v>
      </c>
      <c r="CY18" s="43">
        <v>0.98433329999999997</v>
      </c>
      <c r="CZ18" s="43">
        <v>0.96299999999999997</v>
      </c>
      <c r="DA18" s="43">
        <v>0.95499999999999996</v>
      </c>
      <c r="DB18" s="43">
        <v>0.89890809829999996</v>
      </c>
      <c r="DC18" s="43">
        <v>1.1339999999999999</v>
      </c>
      <c r="DD18" s="43">
        <v>0.73699999999999999</v>
      </c>
      <c r="DE18" s="43">
        <v>0.83899999999999997</v>
      </c>
      <c r="DF18" s="43">
        <v>0.81899999999999995</v>
      </c>
      <c r="DG18" s="43">
        <v>0.878</v>
      </c>
      <c r="DH18" s="43">
        <v>0.71599999999999997</v>
      </c>
      <c r="DI18" s="43">
        <v>0</v>
      </c>
      <c r="DJ18" s="43">
        <v>0.57799999999999996</v>
      </c>
      <c r="DK18" s="43">
        <v>0.83166660000000003</v>
      </c>
      <c r="DL18" s="43">
        <v>1.0049999999999999</v>
      </c>
      <c r="DM18" s="43">
        <v>0.9593334</v>
      </c>
      <c r="DN18" s="43">
        <v>0.919333333333333</v>
      </c>
      <c r="DO18" s="43">
        <v>0.72566660000000005</v>
      </c>
      <c r="DP18" s="43">
        <v>0.85699999999999998</v>
      </c>
      <c r="DQ18" s="43">
        <v>1.1703330000000001</v>
      </c>
      <c r="DR18" s="43">
        <v>0.85499999999999998</v>
      </c>
      <c r="DS18" s="43">
        <v>0.69099999999999995</v>
      </c>
      <c r="DT18" s="43">
        <v>0.98166666666666702</v>
      </c>
      <c r="DU18" s="43">
        <v>528.87630000000001</v>
      </c>
      <c r="DV18" s="43">
        <v>291.2867</v>
      </c>
      <c r="DW18" s="43">
        <v>131.45500000000001</v>
      </c>
      <c r="DX18" s="43">
        <v>0.95904400000000001</v>
      </c>
      <c r="DY18" s="43">
        <v>1.002</v>
      </c>
      <c r="DZ18" s="43">
        <v>1.016</v>
      </c>
      <c r="EA18" s="43">
        <v>1105.0820000000001</v>
      </c>
      <c r="EB18" s="43">
        <v>105.1632</v>
      </c>
      <c r="EC18" s="43">
        <v>0.95099999999999996</v>
      </c>
      <c r="ED18" s="43">
        <v>0.91399989999999998</v>
      </c>
      <c r="EE18" s="43">
        <v>0.95733330000000005</v>
      </c>
      <c r="EF18" s="43">
        <v>0.98433329999999997</v>
      </c>
      <c r="EG18" s="43">
        <v>0.97833340000000002</v>
      </c>
      <c r="EH18" s="43">
        <v>0.36099999999999999</v>
      </c>
      <c r="EI18" s="43">
        <v>0.164517184942717</v>
      </c>
      <c r="EJ18" s="43">
        <v>18.845307999999999</v>
      </c>
      <c r="EK18" s="43">
        <v>10.6936170212766</v>
      </c>
      <c r="EL18" s="43">
        <v>0.47099999999999997</v>
      </c>
      <c r="EM18" s="43">
        <v>2596</v>
      </c>
      <c r="EN18" s="43">
        <v>677.37709009326795</v>
      </c>
      <c r="EO18" s="43">
        <v>100670.31549763599</v>
      </c>
      <c r="EP18" s="43">
        <v>68249.289887828199</v>
      </c>
      <c r="EQ18" s="43">
        <v>4855.0675630690102</v>
      </c>
      <c r="ER18" s="43">
        <v>1.248</v>
      </c>
      <c r="ES18" s="43">
        <v>1.3350261367967999</v>
      </c>
      <c r="ET18" s="43">
        <v>1.23216382364011</v>
      </c>
      <c r="EU18" s="43">
        <v>0.54887319999999995</v>
      </c>
      <c r="EV18" s="43">
        <v>0.64252200000000004</v>
      </c>
      <c r="EW18" s="43">
        <v>0.83592489999999997</v>
      </c>
      <c r="EX18" s="43">
        <v>0.54838969999999998</v>
      </c>
      <c r="EY18" s="43">
        <v>0.65234879999999995</v>
      </c>
      <c r="EZ18" s="43">
        <v>0.83316619999999997</v>
      </c>
      <c r="FA18" s="43">
        <v>4.1580000000000004</v>
      </c>
      <c r="FB18" s="43">
        <v>4.1580000000000004</v>
      </c>
      <c r="FC18" s="43">
        <v>17.466000000000001</v>
      </c>
      <c r="FD18" s="43">
        <v>7644.8149999999996</v>
      </c>
      <c r="FE18" s="43">
        <v>51900.800000000003</v>
      </c>
      <c r="FF18" s="43">
        <v>1.1295625</v>
      </c>
      <c r="FG18" s="43">
        <v>1.7364949999999999</v>
      </c>
      <c r="FH18" s="43">
        <v>463.6046</v>
      </c>
      <c r="FI18" s="43">
        <v>9192.9159999999993</v>
      </c>
      <c r="FJ18" s="43">
        <v>7.1589159999999996</v>
      </c>
      <c r="FK18" s="43">
        <v>10.803089999999999</v>
      </c>
      <c r="FL18" s="43">
        <v>0.85348900000000005</v>
      </c>
      <c r="FM18" s="43">
        <v>0.88735070000000005</v>
      </c>
    </row>
    <row r="19" spans="1:169" x14ac:dyDescent="0.25">
      <c r="A19" s="43" t="s">
        <v>246</v>
      </c>
      <c r="B19" s="43">
        <v>16943.29</v>
      </c>
      <c r="C19" s="43">
        <v>11347.75</v>
      </c>
      <c r="D19" s="43">
        <v>2.1553399999999998</v>
      </c>
      <c r="E19" s="43">
        <v>2.0854949999999999</v>
      </c>
      <c r="F19" s="43">
        <v>3.8865940000000001</v>
      </c>
      <c r="G19" s="43">
        <v>5.334066</v>
      </c>
      <c r="H19" s="43">
        <v>1.0024519999999999</v>
      </c>
      <c r="I19" s="43">
        <v>1.052154</v>
      </c>
      <c r="J19" s="43">
        <v>0.99029979999999995</v>
      </c>
      <c r="K19" s="43">
        <v>1.078497</v>
      </c>
      <c r="L19" s="43">
        <v>1.7849889999999999</v>
      </c>
      <c r="M19" s="43">
        <v>123.9692</v>
      </c>
      <c r="N19" s="43">
        <v>121.412087912088</v>
      </c>
      <c r="O19" s="43">
        <v>11.378791208791201</v>
      </c>
      <c r="P19" s="43">
        <v>1.010667</v>
      </c>
      <c r="Q19" s="43">
        <v>-745.40060000000005</v>
      </c>
      <c r="R19" s="43">
        <v>5.0791209999999998</v>
      </c>
      <c r="S19" s="43">
        <v>2420.4479999999999</v>
      </c>
      <c r="T19" s="43">
        <v>1.627802</v>
      </c>
      <c r="U19" s="43">
        <v>4.5769229999999999</v>
      </c>
      <c r="V19" s="43">
        <v>1628.7670000000001</v>
      </c>
      <c r="W19" s="43">
        <v>1.08</v>
      </c>
      <c r="X19" s="43">
        <v>12394.55</v>
      </c>
      <c r="Y19" s="43">
        <v>1.256929</v>
      </c>
      <c r="Z19" s="43">
        <v>0.79754049999999999</v>
      </c>
      <c r="AA19" s="43">
        <v>0.88227</v>
      </c>
      <c r="AB19" s="43">
        <v>0.96338000000000001</v>
      </c>
      <c r="AC19" s="43">
        <v>106.7349</v>
      </c>
      <c r="AD19" s="43">
        <v>0.87678</v>
      </c>
      <c r="AE19" s="43">
        <v>0.84733000000000003</v>
      </c>
      <c r="AF19" s="43">
        <v>0.83394999999999997</v>
      </c>
      <c r="AG19" s="43">
        <v>304.15960000000001</v>
      </c>
      <c r="AH19" s="43">
        <v>116.7184</v>
      </c>
      <c r="AI19" s="43">
        <v>1.9093519999999999</v>
      </c>
      <c r="AJ19" s="43">
        <v>1.9926666666666699</v>
      </c>
      <c r="AK19" s="43">
        <v>14865.7</v>
      </c>
      <c r="AM19" s="43">
        <v>1.62104395604396</v>
      </c>
      <c r="AN19" s="43">
        <v>4.2403740000000001</v>
      </c>
      <c r="AO19" s="43">
        <v>1.7420329670329699</v>
      </c>
      <c r="AP19" s="43">
        <v>2.9943076923076899</v>
      </c>
      <c r="AQ19" s="43">
        <v>2.4653299999999998</v>
      </c>
      <c r="AR19" s="43">
        <v>1.627011</v>
      </c>
      <c r="AS19" s="43">
        <v>1.871275</v>
      </c>
      <c r="AT19" s="43">
        <v>2.4092530000000001</v>
      </c>
      <c r="AU19" s="43">
        <v>1.780978</v>
      </c>
      <c r="AV19" s="43">
        <v>1739.0530000000001</v>
      </c>
      <c r="AW19" s="43">
        <v>925.14499999999998</v>
      </c>
      <c r="AX19" s="43">
        <v>1.029506</v>
      </c>
      <c r="AY19" s="43">
        <v>1.145011</v>
      </c>
      <c r="AZ19" s="43">
        <v>224.4</v>
      </c>
      <c r="BA19" s="43">
        <v>0.99039999999999995</v>
      </c>
      <c r="BB19" s="43">
        <v>90</v>
      </c>
      <c r="BC19" s="43">
        <v>22.053080000000001</v>
      </c>
      <c r="BD19" s="43">
        <v>6.0670330000000003</v>
      </c>
      <c r="BE19" s="43">
        <v>0.87433329999999998</v>
      </c>
      <c r="BF19" s="43">
        <v>2.6089009999999999</v>
      </c>
      <c r="BG19" s="43">
        <v>3.1153849999999998</v>
      </c>
      <c r="BH19" s="43">
        <v>3.6760440000000001</v>
      </c>
      <c r="BI19" s="43">
        <v>0.89700000000000002</v>
      </c>
      <c r="BJ19" s="43">
        <v>0.96499999999999997</v>
      </c>
      <c r="BK19" s="43">
        <v>107.7757</v>
      </c>
      <c r="BL19" s="43">
        <v>125.178</v>
      </c>
      <c r="BM19" s="43">
        <v>0.97025269999999997</v>
      </c>
      <c r="BN19" s="43">
        <v>1.1730389999999999</v>
      </c>
      <c r="BO19" s="43">
        <v>33.126849999999997</v>
      </c>
      <c r="BP19" s="43">
        <v>1.0097505494505501</v>
      </c>
      <c r="BQ19" s="43">
        <v>1657.124</v>
      </c>
      <c r="BR19" s="43">
        <v>367.00917132676398</v>
      </c>
      <c r="BS19" s="43">
        <v>10277.14</v>
      </c>
      <c r="BT19" s="43">
        <v>5588.915</v>
      </c>
      <c r="BU19" s="43">
        <v>1.0795380000000001</v>
      </c>
      <c r="BV19" s="43">
        <v>0.91687470000000004</v>
      </c>
      <c r="BW19" s="43">
        <v>0.98365930000000001</v>
      </c>
      <c r="BX19" s="43">
        <v>1.562257</v>
      </c>
      <c r="BY19" s="43">
        <v>4.2591210000000004</v>
      </c>
      <c r="BZ19" s="43">
        <v>4.4929670000000002</v>
      </c>
      <c r="CA19" s="43">
        <v>4.2359340000000003</v>
      </c>
      <c r="CB19" s="43">
        <v>0.50738099999999997</v>
      </c>
      <c r="CC19" s="43">
        <v>5.9868870000000003</v>
      </c>
      <c r="CD19" s="43">
        <v>1.003879</v>
      </c>
      <c r="CE19" s="43">
        <v>1.121472</v>
      </c>
      <c r="CF19" s="43">
        <v>1.28911</v>
      </c>
      <c r="CG19" s="43">
        <v>1.0069999999999999</v>
      </c>
      <c r="CH19" s="43">
        <v>0.98364839999999998</v>
      </c>
      <c r="CI19" s="43">
        <v>0.97157139999999997</v>
      </c>
      <c r="CJ19" s="43">
        <v>1.0980000000000001</v>
      </c>
      <c r="CK19" s="43">
        <v>1.012</v>
      </c>
      <c r="CL19" s="43">
        <v>0.91400000000000003</v>
      </c>
      <c r="CM19" s="43">
        <v>0.96799999999999997</v>
      </c>
      <c r="CN19" s="43">
        <v>0.93396670000000004</v>
      </c>
      <c r="CO19" s="43">
        <v>0.93600000000000005</v>
      </c>
      <c r="CP19" s="43">
        <v>0.64012179999999996</v>
      </c>
      <c r="CQ19" s="43">
        <v>0.97160449999999998</v>
      </c>
      <c r="CR19" s="43">
        <v>4.8165930000000001</v>
      </c>
      <c r="CS19" s="43">
        <v>77.750533840122102</v>
      </c>
      <c r="CT19" s="43">
        <v>23.626930000000002</v>
      </c>
      <c r="CU19" s="43">
        <v>15.92794</v>
      </c>
      <c r="CV19" s="43">
        <v>24.883538036000001</v>
      </c>
      <c r="CW19" s="43">
        <v>1.002</v>
      </c>
      <c r="CX19" s="43">
        <v>0.98599999999999999</v>
      </c>
      <c r="CY19" s="43">
        <v>0.99133329999999997</v>
      </c>
      <c r="CZ19" s="43">
        <v>0.97299999999999998</v>
      </c>
      <c r="DA19" s="43">
        <v>0.954666666666667</v>
      </c>
      <c r="DB19" s="43">
        <v>0.98444040040000003</v>
      </c>
      <c r="DC19" s="43">
        <v>1.1256666666666699</v>
      </c>
      <c r="DD19" s="43">
        <v>0.73499999999999999</v>
      </c>
      <c r="DE19" s="43">
        <v>0.83299999999999996</v>
      </c>
      <c r="DF19" s="43">
        <v>0.83</v>
      </c>
      <c r="DG19" s="43">
        <v>0.878</v>
      </c>
      <c r="DH19" s="43">
        <v>0.72299999999999998</v>
      </c>
      <c r="DI19" s="43">
        <v>0</v>
      </c>
      <c r="DJ19" s="43">
        <v>0.59099999999999997</v>
      </c>
      <c r="DK19" s="43">
        <v>0.8536667</v>
      </c>
      <c r="DL19" s="43">
        <v>1.0433330000000001</v>
      </c>
      <c r="DM19" s="43">
        <v>1.0063329999999999</v>
      </c>
      <c r="DN19" s="43">
        <v>0.93133333333333301</v>
      </c>
      <c r="DO19" s="43">
        <v>0.72799999999999998</v>
      </c>
      <c r="DP19" s="43">
        <v>0.86833329999999997</v>
      </c>
      <c r="DQ19" s="43">
        <v>1.167667</v>
      </c>
      <c r="DR19" s="43">
        <v>0.84799999999999998</v>
      </c>
      <c r="DS19" s="43">
        <v>0.7</v>
      </c>
      <c r="DT19" s="43">
        <v>0.94133333333333302</v>
      </c>
      <c r="DU19" s="43">
        <v>525.85379999999998</v>
      </c>
      <c r="DV19" s="43">
        <v>287.99419999999998</v>
      </c>
      <c r="DW19" s="43">
        <v>129.21539999999999</v>
      </c>
      <c r="DX19" s="43">
        <v>0.96701099999999995</v>
      </c>
      <c r="DY19" s="43">
        <v>1.0270109999999999</v>
      </c>
      <c r="DZ19" s="43">
        <v>1.0149999999999999</v>
      </c>
      <c r="EA19" s="43">
        <v>1151.6769999999999</v>
      </c>
      <c r="EB19" s="43">
        <v>104.6476</v>
      </c>
      <c r="EC19" s="43">
        <v>0.96799999999999997</v>
      </c>
      <c r="ED19" s="43">
        <v>0.93600000000000005</v>
      </c>
      <c r="EE19" s="43">
        <v>0.98599999999999999</v>
      </c>
      <c r="EF19" s="43">
        <v>0.99133329999999997</v>
      </c>
      <c r="EG19" s="43">
        <v>1.002</v>
      </c>
      <c r="EH19" s="43">
        <v>0.36299999999999999</v>
      </c>
      <c r="EI19" s="43">
        <v>0.17171849427168601</v>
      </c>
      <c r="EJ19" s="43">
        <v>19.670212050935099</v>
      </c>
      <c r="EK19" s="43">
        <v>11.1617021276596</v>
      </c>
      <c r="EL19" s="43">
        <v>0.49161679267807401</v>
      </c>
      <c r="EM19" s="43">
        <v>3096.4</v>
      </c>
      <c r="EN19" s="43">
        <v>838.10592761249995</v>
      </c>
      <c r="EO19" s="43">
        <v>124557.48708828</v>
      </c>
      <c r="EP19" s="43">
        <v>84443.562155987398</v>
      </c>
      <c r="EQ19" s="43">
        <v>6007.0837397335799</v>
      </c>
      <c r="ER19" s="43">
        <v>1.254</v>
      </c>
      <c r="ES19" s="43">
        <v>1.3665045527609201</v>
      </c>
      <c r="ET19" s="43">
        <v>1.25872190068264</v>
      </c>
      <c r="EU19" s="43">
        <v>0.57257979999999997</v>
      </c>
      <c r="EV19" s="43">
        <v>0.67595939999999999</v>
      </c>
      <c r="EW19" s="43">
        <v>0.90297760000000005</v>
      </c>
      <c r="EX19" s="43">
        <v>0.57405289999999998</v>
      </c>
      <c r="EY19" s="43">
        <v>0.6809328</v>
      </c>
      <c r="EZ19" s="43">
        <v>0.90339800000000003</v>
      </c>
      <c r="FA19" s="43">
        <v>4.351</v>
      </c>
      <c r="FB19" s="43">
        <v>4.351</v>
      </c>
      <c r="FC19" s="43">
        <v>18.3</v>
      </c>
      <c r="FD19" s="43">
        <v>7960.32</v>
      </c>
      <c r="FE19" s="43">
        <v>56322.9</v>
      </c>
      <c r="FF19" s="43">
        <v>1.1394375000000001</v>
      </c>
      <c r="FG19" s="43">
        <v>1.65428</v>
      </c>
      <c r="FH19" s="43">
        <v>470.04919999999998</v>
      </c>
      <c r="FI19" s="43">
        <v>9247.7139999999999</v>
      </c>
      <c r="FJ19" s="43">
        <v>6.9573349999999996</v>
      </c>
      <c r="FK19" s="43">
        <v>10.42666</v>
      </c>
      <c r="FL19" s="43">
        <v>0.83959340000000005</v>
      </c>
      <c r="FM19" s="43">
        <v>0.87243440000000005</v>
      </c>
    </row>
    <row r="20" spans="1:169" x14ac:dyDescent="0.25">
      <c r="A20" s="43" t="s">
        <v>247</v>
      </c>
      <c r="B20" s="43">
        <v>16854.29</v>
      </c>
      <c r="C20" s="43">
        <v>11260.68</v>
      </c>
      <c r="D20" s="43">
        <v>2.1886079999999999</v>
      </c>
      <c r="E20" s="43">
        <v>1.9414130000000001</v>
      </c>
      <c r="F20" s="43">
        <v>3.865218</v>
      </c>
      <c r="G20" s="43">
        <v>5.9989129999999999</v>
      </c>
      <c r="H20" s="43">
        <v>0.96978500000000001</v>
      </c>
      <c r="I20" s="43">
        <v>1.0134540000000001</v>
      </c>
      <c r="J20" s="43">
        <v>0.94945230000000003</v>
      </c>
      <c r="K20" s="43">
        <v>1.043504</v>
      </c>
      <c r="L20" s="43">
        <v>1.827</v>
      </c>
      <c r="M20" s="43">
        <v>118.2015</v>
      </c>
      <c r="N20" s="43">
        <v>114.583260869565</v>
      </c>
      <c r="O20" s="43">
        <v>9.0211956521739101</v>
      </c>
      <c r="P20" s="43">
        <v>0.86233340000000003</v>
      </c>
      <c r="Q20" s="43">
        <v>-758.14160000000004</v>
      </c>
      <c r="R20" s="43">
        <v>5</v>
      </c>
      <c r="S20" s="43">
        <v>2385.3969999999999</v>
      </c>
      <c r="T20" s="43">
        <v>1.4972829999999999</v>
      </c>
      <c r="U20" s="43">
        <v>4.4485869999999998</v>
      </c>
      <c r="V20" s="43">
        <v>1619.778</v>
      </c>
      <c r="W20" s="43">
        <v>1.0860000000000001</v>
      </c>
      <c r="X20" s="43">
        <v>12152.81</v>
      </c>
      <c r="Y20" s="43">
        <v>1.257968</v>
      </c>
      <c r="Z20" s="43">
        <v>0.77092769999999999</v>
      </c>
      <c r="AA20" s="43">
        <v>0.88482000000000005</v>
      </c>
      <c r="AB20" s="43">
        <v>0.95242000000000004</v>
      </c>
      <c r="AC20" s="43">
        <v>117.5168</v>
      </c>
      <c r="AD20" s="43">
        <v>0.88361000000000001</v>
      </c>
      <c r="AE20" s="43">
        <v>0.86306000000000005</v>
      </c>
      <c r="AF20" s="43">
        <v>0.82674999999999998</v>
      </c>
      <c r="AG20" s="43">
        <v>304.89960000000002</v>
      </c>
      <c r="AH20" s="43">
        <v>116.8647</v>
      </c>
      <c r="AI20" s="43">
        <v>1.989098</v>
      </c>
      <c r="AJ20" s="43">
        <v>2.04</v>
      </c>
      <c r="AK20" s="43">
        <v>14899</v>
      </c>
      <c r="AM20" s="43">
        <v>1.7124999999999999</v>
      </c>
      <c r="AN20" s="43">
        <v>3.9611190000000001</v>
      </c>
      <c r="AO20" s="43">
        <v>1.7742934782608699</v>
      </c>
      <c r="AP20" s="43">
        <v>3.2048043478260899</v>
      </c>
      <c r="AQ20" s="43">
        <v>2.6342500000000002</v>
      </c>
      <c r="AR20" s="43">
        <v>1.695446</v>
      </c>
      <c r="AS20" s="43">
        <v>1.9795430000000001</v>
      </c>
      <c r="AT20" s="43">
        <v>2.4576739999999999</v>
      </c>
      <c r="AU20" s="43">
        <v>1.8150109999999999</v>
      </c>
      <c r="AV20" s="43">
        <v>1753.3140000000001</v>
      </c>
      <c r="AW20" s="43">
        <v>925.69399999999996</v>
      </c>
      <c r="AX20" s="43">
        <v>1.0383910000000001</v>
      </c>
      <c r="AY20" s="43">
        <v>1.157</v>
      </c>
      <c r="AZ20" s="43">
        <v>212.63329999999999</v>
      </c>
      <c r="BA20" s="43">
        <v>0.96062959999999997</v>
      </c>
      <c r="BB20" s="43">
        <v>91</v>
      </c>
      <c r="BC20" s="43">
        <v>21.738150000000001</v>
      </c>
      <c r="BD20" s="43">
        <v>6.1326080000000003</v>
      </c>
      <c r="BE20" s="43">
        <v>0.89400000000000002</v>
      </c>
      <c r="BF20" s="43">
        <v>2.2569560000000002</v>
      </c>
      <c r="BG20" s="43">
        <v>3</v>
      </c>
      <c r="BH20" s="43">
        <v>3.6440220000000001</v>
      </c>
      <c r="BI20" s="43">
        <v>0.91200000000000003</v>
      </c>
      <c r="BJ20" s="43">
        <v>0.96599999999999997</v>
      </c>
      <c r="BK20" s="43">
        <v>122.38039999999999</v>
      </c>
      <c r="BL20" s="43">
        <v>123.0934</v>
      </c>
      <c r="BM20" s="43">
        <v>0.96061189999999996</v>
      </c>
      <c r="BN20" s="43">
        <v>1.1610370000000001</v>
      </c>
      <c r="BO20" s="43">
        <v>33.24577</v>
      </c>
      <c r="BP20" s="43">
        <v>1.0413858695652201</v>
      </c>
      <c r="BQ20" s="43">
        <v>1668.952</v>
      </c>
      <c r="BR20" s="43">
        <v>377.43424561383102</v>
      </c>
      <c r="BS20" s="43">
        <v>10225.99</v>
      </c>
      <c r="BT20" s="43">
        <v>5573.1220000000003</v>
      </c>
      <c r="BU20" s="43">
        <v>1.0550759999999999</v>
      </c>
      <c r="BV20" s="43">
        <v>0.9193924</v>
      </c>
      <c r="BW20" s="43">
        <v>1.004348</v>
      </c>
      <c r="BX20" s="43">
        <v>1.502467</v>
      </c>
      <c r="BY20" s="43">
        <v>4.2752179999999997</v>
      </c>
      <c r="BZ20" s="43">
        <v>4.5383699999999996</v>
      </c>
      <c r="CA20" s="43">
        <v>4.1224999999999996</v>
      </c>
      <c r="CB20" s="43">
        <v>0.52949029999999997</v>
      </c>
      <c r="CC20" s="43">
        <v>6.3184959999999997</v>
      </c>
      <c r="CD20" s="43">
        <v>0.99241299999999999</v>
      </c>
      <c r="CE20" s="43">
        <v>1.0970759999999999</v>
      </c>
      <c r="CF20" s="43">
        <v>1.2204999999999999</v>
      </c>
      <c r="CG20" s="43">
        <v>0.98233340000000002</v>
      </c>
      <c r="CH20" s="43">
        <v>0.99104340000000002</v>
      </c>
      <c r="CI20" s="43">
        <v>0.96595660000000005</v>
      </c>
      <c r="CJ20" s="43">
        <v>1.078098</v>
      </c>
      <c r="CK20" s="43">
        <v>1.02</v>
      </c>
      <c r="CL20" s="43">
        <v>0.92100000000000004</v>
      </c>
      <c r="CM20" s="43">
        <v>0.98799990000000004</v>
      </c>
      <c r="CN20" s="43">
        <v>0.93266669999999996</v>
      </c>
      <c r="CO20" s="43">
        <v>0.95699999999999996</v>
      </c>
      <c r="CP20" s="43">
        <v>0.66655140000000002</v>
      </c>
      <c r="CQ20" s="43">
        <v>0.96904349999999995</v>
      </c>
      <c r="CR20" s="43">
        <v>4.9428260000000002</v>
      </c>
      <c r="CS20" s="43">
        <v>76.006410219066197</v>
      </c>
      <c r="CT20" s="43">
        <v>24.26728</v>
      </c>
      <c r="CU20" s="43">
        <v>16.06137</v>
      </c>
      <c r="CV20" s="43">
        <v>24.1316846846739</v>
      </c>
      <c r="CW20" s="43">
        <v>1.0103329999999999</v>
      </c>
      <c r="CX20" s="43">
        <v>1.042667</v>
      </c>
      <c r="CY20" s="43">
        <v>1.0096670000000001</v>
      </c>
      <c r="CZ20" s="43">
        <v>0.98633333333333295</v>
      </c>
      <c r="DA20" s="43">
        <v>0.95933333333333304</v>
      </c>
      <c r="DB20" s="43">
        <v>1.0681528661999999</v>
      </c>
      <c r="DC20" s="43">
        <v>1.1236666666666699</v>
      </c>
      <c r="DD20" s="43">
        <v>0.74299999999999999</v>
      </c>
      <c r="DE20" s="43">
        <v>0.85099999999999998</v>
      </c>
      <c r="DF20" s="43">
        <v>0.84099999999999997</v>
      </c>
      <c r="DG20" s="43">
        <v>0.878</v>
      </c>
      <c r="DH20" s="43">
        <v>0.74299999999999999</v>
      </c>
      <c r="DI20" s="43">
        <v>0</v>
      </c>
      <c r="DJ20" s="43">
        <v>0.59799999999999998</v>
      </c>
      <c r="DK20" s="43">
        <v>0.93300000000000005</v>
      </c>
      <c r="DL20" s="43">
        <v>1.1206670000000001</v>
      </c>
      <c r="DM20" s="43">
        <v>1.0833330000000001</v>
      </c>
      <c r="DN20" s="43">
        <v>0.962666666666667</v>
      </c>
      <c r="DO20" s="43">
        <v>0.79800000000000004</v>
      </c>
      <c r="DP20" s="43">
        <v>0.9013333</v>
      </c>
      <c r="DQ20" s="43">
        <v>1.2829999999999999</v>
      </c>
      <c r="DR20" s="43">
        <v>0.88100000000000001</v>
      </c>
      <c r="DS20" s="43">
        <v>0.7</v>
      </c>
      <c r="DT20" s="43">
        <v>1.0469999999999999</v>
      </c>
      <c r="DU20" s="43">
        <v>519.36509999999998</v>
      </c>
      <c r="DV20" s="43">
        <v>287.12169999999998</v>
      </c>
      <c r="DW20" s="43">
        <v>124.3391</v>
      </c>
      <c r="DX20" s="43">
        <v>0.9769892</v>
      </c>
      <c r="DY20" s="43">
        <v>1.0583800000000001</v>
      </c>
      <c r="DZ20" s="43">
        <v>1.008</v>
      </c>
      <c r="EA20" s="43">
        <v>1135.6759999999999</v>
      </c>
      <c r="EB20" s="43">
        <v>107.6046</v>
      </c>
      <c r="EC20" s="43">
        <v>0.98799990000000004</v>
      </c>
      <c r="ED20" s="43">
        <v>0.95699999999999996</v>
      </c>
      <c r="EE20" s="43">
        <v>1.042667</v>
      </c>
      <c r="EF20" s="43">
        <v>1.0096670000000001</v>
      </c>
      <c r="EG20" s="43">
        <v>1.0103329999999999</v>
      </c>
      <c r="EH20" s="43">
        <v>0.40300000000000002</v>
      </c>
      <c r="EI20" s="43">
        <v>0.175581014729951</v>
      </c>
      <c r="EJ20" s="43">
        <v>20.1126605873458</v>
      </c>
      <c r="EK20" s="43">
        <v>11.412765957446799</v>
      </c>
      <c r="EL20" s="43">
        <v>0.50267489056904102</v>
      </c>
      <c r="EM20" s="43">
        <v>3234</v>
      </c>
      <c r="EN20" s="43">
        <v>922.76776557741402</v>
      </c>
      <c r="EO20" s="43">
        <v>137139.74601493499</v>
      </c>
      <c r="EP20" s="43">
        <v>92973.685784627</v>
      </c>
      <c r="EQ20" s="43">
        <v>6613.8933725728803</v>
      </c>
      <c r="ER20" s="43">
        <v>1.26</v>
      </c>
      <c r="ES20" s="43">
        <v>1.3952454010817901</v>
      </c>
      <c r="ET20" s="43">
        <v>1.28271954386933</v>
      </c>
      <c r="EU20" s="43">
        <v>0.59069130000000003</v>
      </c>
      <c r="EV20" s="43">
        <v>0.7412725</v>
      </c>
      <c r="EW20" s="43">
        <v>0.97561819999999999</v>
      </c>
      <c r="EX20" s="43">
        <v>0.59214960000000005</v>
      </c>
      <c r="EY20" s="43">
        <v>0.73097469999999998</v>
      </c>
      <c r="EZ20" s="43">
        <v>0.9738038</v>
      </c>
      <c r="FA20" s="43">
        <v>4.4880000000000004</v>
      </c>
      <c r="FB20" s="43">
        <v>4.4880000000000004</v>
      </c>
      <c r="FC20" s="43">
        <v>18.893000000000001</v>
      </c>
      <c r="FD20" s="43">
        <v>8608.6370000000006</v>
      </c>
      <c r="FE20" s="43">
        <v>60781.14</v>
      </c>
      <c r="FF20" s="43">
        <v>1.1409374999999999</v>
      </c>
      <c r="FG20" s="43">
        <v>1.667138</v>
      </c>
      <c r="FH20" s="43">
        <v>516.22109999999998</v>
      </c>
      <c r="FI20" s="43">
        <v>9276.5810000000001</v>
      </c>
      <c r="FJ20" s="43">
        <v>6.8378769999999998</v>
      </c>
      <c r="FK20" s="43">
        <v>10.327859999999999</v>
      </c>
      <c r="FL20" s="43">
        <v>0.87107460000000003</v>
      </c>
      <c r="FM20" s="43">
        <v>0.89665170000000005</v>
      </c>
    </row>
    <row r="21" spans="1:169" x14ac:dyDescent="0.25">
      <c r="A21" s="43" t="s">
        <v>248</v>
      </c>
      <c r="B21" s="43">
        <v>16485.349999999999</v>
      </c>
      <c r="C21" s="43">
        <v>11158.84</v>
      </c>
      <c r="D21" s="43">
        <v>2.1385619999999999</v>
      </c>
      <c r="E21" s="43">
        <v>0.50793480000000002</v>
      </c>
      <c r="F21" s="43">
        <v>3.2503259999999998</v>
      </c>
      <c r="G21" s="43">
        <v>6.8673909999999996</v>
      </c>
      <c r="H21" s="43">
        <v>0.92792379999999997</v>
      </c>
      <c r="I21" s="43">
        <v>0.95218749999999996</v>
      </c>
      <c r="J21" s="43">
        <v>0.8688207</v>
      </c>
      <c r="K21" s="43">
        <v>1.0101</v>
      </c>
      <c r="L21" s="43">
        <v>1.736413</v>
      </c>
      <c r="M21" s="43">
        <v>58.357930000000003</v>
      </c>
      <c r="N21" s="43">
        <v>54.684021739130401</v>
      </c>
      <c r="O21" s="43">
        <v>6.4104347826087</v>
      </c>
      <c r="P21" s="43">
        <v>0.66300000000000003</v>
      </c>
      <c r="Q21" s="43">
        <v>-590.07809999999995</v>
      </c>
      <c r="R21" s="43">
        <v>4.0572819999999998</v>
      </c>
      <c r="S21" s="43">
        <v>2362.2330000000002</v>
      </c>
      <c r="T21" s="43">
        <v>0.29782609999999998</v>
      </c>
      <c r="U21" s="43">
        <v>3.6765219999999998</v>
      </c>
      <c r="V21" s="43">
        <v>1207.6769999999999</v>
      </c>
      <c r="W21" s="43">
        <v>1.091</v>
      </c>
      <c r="X21" s="43">
        <v>12291.14</v>
      </c>
      <c r="Y21" s="43">
        <v>1.262464</v>
      </c>
      <c r="Z21" s="43">
        <v>0.73502639999999997</v>
      </c>
      <c r="AA21" s="43">
        <v>0.88207000000000002</v>
      </c>
      <c r="AB21" s="43">
        <v>0.93815999999999999</v>
      </c>
      <c r="AC21" s="43">
        <v>69.476089999999999</v>
      </c>
      <c r="AD21" s="43">
        <v>0.88510999999999995</v>
      </c>
      <c r="AE21" s="43">
        <v>0.88092999999999999</v>
      </c>
      <c r="AF21" s="43">
        <v>0.81520999999999999</v>
      </c>
      <c r="AG21" s="43">
        <v>305.61660000000001</v>
      </c>
      <c r="AH21" s="43">
        <v>116.98779999999999</v>
      </c>
      <c r="AI21" s="43">
        <v>1.8047500000000001</v>
      </c>
      <c r="AJ21" s="43">
        <v>1.8</v>
      </c>
      <c r="AK21" s="43">
        <v>14608.21</v>
      </c>
      <c r="AM21" s="43">
        <v>1.7409347826087</v>
      </c>
      <c r="AN21" s="43">
        <v>2.2523149999999998</v>
      </c>
      <c r="AO21" s="43">
        <v>1.79934782608696</v>
      </c>
      <c r="AP21" s="43">
        <v>1.9083369565217401</v>
      </c>
      <c r="AQ21" s="43">
        <v>2.3980540000000001</v>
      </c>
      <c r="AR21" s="43">
        <v>1.7145980000000001</v>
      </c>
      <c r="AS21" s="43">
        <v>1.5053589999999999</v>
      </c>
      <c r="AT21" s="43">
        <v>1.6765429999999999</v>
      </c>
      <c r="AU21" s="43">
        <v>1.803272</v>
      </c>
      <c r="AV21" s="43">
        <v>1732.9839999999999</v>
      </c>
      <c r="AW21" s="43">
        <v>914.495</v>
      </c>
      <c r="AX21" s="43">
        <v>0.99987130000000002</v>
      </c>
      <c r="AY21" s="43">
        <v>1.1396520000000001</v>
      </c>
      <c r="AZ21" s="43">
        <v>180.4333</v>
      </c>
      <c r="BA21" s="43">
        <v>0.82547150000000002</v>
      </c>
      <c r="BB21" s="43">
        <v>91.5</v>
      </c>
      <c r="BC21" s="43">
        <v>21.795870000000001</v>
      </c>
      <c r="BD21" s="43">
        <v>6.4336960000000003</v>
      </c>
      <c r="BE21" s="43">
        <v>0.86233340000000003</v>
      </c>
      <c r="BF21" s="43">
        <v>1.6047830000000001</v>
      </c>
      <c r="BG21" s="43">
        <v>2.1477270000000002</v>
      </c>
      <c r="BH21" s="43">
        <v>3.407826</v>
      </c>
      <c r="BI21" s="43">
        <v>0.91500000000000004</v>
      </c>
      <c r="BJ21" s="43">
        <v>0.93400000000000005</v>
      </c>
      <c r="BK21" s="43">
        <v>84.189459999999997</v>
      </c>
      <c r="BL21" s="43">
        <v>70.716750000000005</v>
      </c>
      <c r="BM21" s="43">
        <v>0.90374480000000001</v>
      </c>
      <c r="BN21" s="43">
        <v>1.1278429999999999</v>
      </c>
      <c r="BO21" s="43">
        <v>33.371810000000004</v>
      </c>
      <c r="BP21" s="43">
        <v>1.2117760869565199</v>
      </c>
      <c r="BQ21" s="43">
        <v>1584.7719999999999</v>
      </c>
      <c r="BR21" s="43">
        <v>356.79876848344901</v>
      </c>
      <c r="BS21" s="43">
        <v>10040.15</v>
      </c>
      <c r="BT21" s="43">
        <v>5547.232</v>
      </c>
      <c r="BU21" s="43">
        <v>0.98567400000000005</v>
      </c>
      <c r="BV21" s="43">
        <v>0.91701200000000005</v>
      </c>
      <c r="BW21" s="43">
        <v>0.97734779999999999</v>
      </c>
      <c r="BX21" s="43">
        <v>1.3178339999999999</v>
      </c>
      <c r="BY21" s="43">
        <v>3.5221740000000001</v>
      </c>
      <c r="BZ21" s="43">
        <v>4.1211960000000003</v>
      </c>
      <c r="CA21" s="43">
        <v>3.2011949999999998</v>
      </c>
      <c r="CB21" s="43">
        <v>0.63943079999999997</v>
      </c>
      <c r="CC21" s="43">
        <v>7.8040089999999998</v>
      </c>
      <c r="CD21" s="43">
        <v>0.92436960000000001</v>
      </c>
      <c r="CE21" s="43">
        <v>1.030478</v>
      </c>
      <c r="CF21" s="43">
        <v>1.1373040000000001</v>
      </c>
      <c r="CG21" s="43">
        <v>0.99866659999999996</v>
      </c>
      <c r="CH21" s="43">
        <v>0.98453270000000004</v>
      </c>
      <c r="CI21" s="43">
        <v>0.97918479999999997</v>
      </c>
      <c r="CJ21" s="43">
        <v>1.0851740000000001</v>
      </c>
      <c r="CK21" s="43">
        <v>1.068667</v>
      </c>
      <c r="CL21" s="43">
        <v>0.91466670000000005</v>
      </c>
      <c r="CM21" s="43">
        <v>0.97499999999999998</v>
      </c>
      <c r="CN21" s="43">
        <v>0.92706670000000002</v>
      </c>
      <c r="CO21" s="43">
        <v>0.92000009999999999</v>
      </c>
      <c r="CP21" s="43">
        <v>0.75926919999999998</v>
      </c>
      <c r="CQ21" s="43">
        <v>0.96404339999999999</v>
      </c>
      <c r="CR21" s="43">
        <v>4.2493480000000003</v>
      </c>
      <c r="CS21" s="43">
        <v>41.565263239412197</v>
      </c>
      <c r="CT21" s="43">
        <v>27.313590000000001</v>
      </c>
      <c r="CU21" s="43">
        <v>19.283660000000001</v>
      </c>
      <c r="CV21" s="43">
        <v>25.412656923499998</v>
      </c>
      <c r="CW21" s="43">
        <v>0.97099999999999997</v>
      </c>
      <c r="CX21" s="43">
        <v>1.030667</v>
      </c>
      <c r="CY21" s="43">
        <v>1.0169999999999999</v>
      </c>
      <c r="CZ21" s="43">
        <v>0.97933333333333294</v>
      </c>
      <c r="DA21" s="43">
        <v>0.96133333333333304</v>
      </c>
      <c r="DB21" s="43">
        <v>0.88898999089999997</v>
      </c>
      <c r="DC21" s="43">
        <v>1.05466666666667</v>
      </c>
      <c r="DD21" s="43">
        <v>0.75700000000000001</v>
      </c>
      <c r="DE21" s="43">
        <v>0.86599999999999999</v>
      </c>
      <c r="DF21" s="43">
        <v>0.85</v>
      </c>
      <c r="DG21" s="43">
        <v>0.89200000000000002</v>
      </c>
      <c r="DH21" s="43">
        <v>0.74</v>
      </c>
      <c r="DI21" s="43">
        <v>0</v>
      </c>
      <c r="DJ21" s="43">
        <v>0.61</v>
      </c>
      <c r="DK21" s="43">
        <v>0.91066659999999999</v>
      </c>
      <c r="DL21" s="43">
        <v>1.0813330000000001</v>
      </c>
      <c r="DM21" s="43">
        <v>1.1160000000000001</v>
      </c>
      <c r="DN21" s="43">
        <v>0.957666666666667</v>
      </c>
      <c r="DO21" s="43">
        <v>0.81899999999999995</v>
      </c>
      <c r="DP21" s="43">
        <v>0.88866670000000003</v>
      </c>
      <c r="DQ21" s="43">
        <v>1.3149999999999999</v>
      </c>
      <c r="DR21" s="43">
        <v>0.94599999999999995</v>
      </c>
      <c r="DS21" s="43">
        <v>0.69399999999999995</v>
      </c>
      <c r="DT21" s="43">
        <v>0.97299999999999998</v>
      </c>
      <c r="DU21" s="43">
        <v>506.50540000000001</v>
      </c>
      <c r="DV21" s="43">
        <v>282.69580000000002</v>
      </c>
      <c r="DW21" s="43">
        <v>112.3293</v>
      </c>
      <c r="DX21" s="43">
        <v>0.96968480000000001</v>
      </c>
      <c r="DY21" s="43">
        <v>1.0170220000000001</v>
      </c>
      <c r="DZ21" s="43">
        <v>1.02</v>
      </c>
      <c r="EA21" s="43">
        <v>982.46950000000004</v>
      </c>
      <c r="EB21" s="43">
        <v>96.059089999999998</v>
      </c>
      <c r="EC21" s="43">
        <v>0.97499999999999998</v>
      </c>
      <c r="ED21" s="43">
        <v>0.92000009999999999</v>
      </c>
      <c r="EE21" s="43">
        <v>1.030667</v>
      </c>
      <c r="EF21" s="43">
        <v>1.0169999999999999</v>
      </c>
      <c r="EG21" s="43">
        <v>0.97099999999999997</v>
      </c>
      <c r="EH21" s="43">
        <v>0.41</v>
      </c>
      <c r="EI21" s="43">
        <v>0.16936170212766</v>
      </c>
      <c r="EJ21" s="43">
        <v>19.400243452447299</v>
      </c>
      <c r="EK21" s="43">
        <v>11.008510638297899</v>
      </c>
      <c r="EL21" s="43">
        <v>0.48486947871070502</v>
      </c>
      <c r="EM21" s="43">
        <v>2191</v>
      </c>
      <c r="EN21" s="43">
        <v>545.54129648549099</v>
      </c>
      <c r="EO21" s="43">
        <v>81077.165492298795</v>
      </c>
      <c r="EP21" s="43">
        <v>54966.143133794802</v>
      </c>
      <c r="EQ21" s="43">
        <v>3910.1408825572098</v>
      </c>
      <c r="ER21" s="43">
        <v>1.2709999999999999</v>
      </c>
      <c r="ES21" s="43">
        <v>1.35773658453783</v>
      </c>
      <c r="ET21" s="43">
        <v>1.24801492384057</v>
      </c>
      <c r="EU21" s="43">
        <v>0.59644649999999999</v>
      </c>
      <c r="EV21" s="43">
        <v>0.80768960000000001</v>
      </c>
      <c r="EW21" s="43">
        <v>0.94748509999999997</v>
      </c>
      <c r="EX21" s="43">
        <v>0.59396780000000005</v>
      </c>
      <c r="EY21" s="43">
        <v>0.80438869999999996</v>
      </c>
      <c r="EZ21" s="43">
        <v>0.95152230000000004</v>
      </c>
      <c r="FA21" s="43">
        <v>4.5</v>
      </c>
      <c r="FB21" s="43">
        <v>4.5</v>
      </c>
      <c r="FC21" s="43">
        <v>18.966000000000001</v>
      </c>
      <c r="FD21" s="43">
        <v>9407.3230000000003</v>
      </c>
      <c r="FE21" s="43">
        <v>60292.07</v>
      </c>
      <c r="FF21" s="43">
        <v>1.1340625</v>
      </c>
      <c r="FG21" s="43">
        <v>2.2823959999999999</v>
      </c>
      <c r="FH21" s="43">
        <v>639.61099999999999</v>
      </c>
      <c r="FI21" s="43">
        <v>10812.19</v>
      </c>
      <c r="FJ21" s="43">
        <v>6.8393879999999996</v>
      </c>
      <c r="FK21" s="43">
        <v>13.06428</v>
      </c>
      <c r="FL21" s="43">
        <v>0.97324319999999997</v>
      </c>
      <c r="FM21" s="43">
        <v>0.98243029999999998</v>
      </c>
    </row>
    <row r="22" spans="1:169" x14ac:dyDescent="0.25">
      <c r="A22" s="43" t="s">
        <v>249</v>
      </c>
      <c r="B22" s="43">
        <v>16298.26</v>
      </c>
      <c r="C22" s="43">
        <v>11130.47</v>
      </c>
      <c r="D22" s="43">
        <v>2.1236670000000002</v>
      </c>
      <c r="E22" s="43">
        <v>0.1821111</v>
      </c>
      <c r="F22" s="43">
        <v>2.7322220000000002</v>
      </c>
      <c r="G22" s="43">
        <v>8.2655550000000009</v>
      </c>
      <c r="H22" s="43">
        <v>0.87558100000000005</v>
      </c>
      <c r="I22" s="43">
        <v>0.88678489999999999</v>
      </c>
      <c r="J22" s="43">
        <v>0.78227860000000005</v>
      </c>
      <c r="K22" s="43">
        <v>0.97601499999999997</v>
      </c>
      <c r="L22" s="43">
        <v>1.701522</v>
      </c>
      <c r="M22" s="43">
        <v>43.040779999999998</v>
      </c>
      <c r="N22" s="43">
        <v>44.470444444444396</v>
      </c>
      <c r="O22" s="43">
        <v>4.5751111111111102</v>
      </c>
      <c r="P22" s="43">
        <v>0.52566670000000004</v>
      </c>
      <c r="Q22" s="43">
        <v>-380.61709999999999</v>
      </c>
      <c r="R22" s="43">
        <v>3.25</v>
      </c>
      <c r="S22" s="43">
        <v>2361.1709999999998</v>
      </c>
      <c r="T22" s="43">
        <v>0.2104444</v>
      </c>
      <c r="U22" s="43">
        <v>3.4487779999999999</v>
      </c>
      <c r="V22" s="43">
        <v>1465.518</v>
      </c>
      <c r="W22" s="43">
        <v>1.093</v>
      </c>
      <c r="X22" s="43">
        <v>12283.37</v>
      </c>
      <c r="Y22" s="43">
        <v>1.2679009999999999</v>
      </c>
      <c r="Z22" s="43">
        <v>0.69058249999999999</v>
      </c>
      <c r="AA22" s="43">
        <v>0.89071</v>
      </c>
      <c r="AB22" s="43">
        <v>0.93130000000000002</v>
      </c>
      <c r="AC22" s="43">
        <v>40.160330000000002</v>
      </c>
      <c r="AD22" s="43">
        <v>0.88536000000000004</v>
      </c>
      <c r="AE22" s="43">
        <v>0.87161999999999995</v>
      </c>
      <c r="AF22" s="43">
        <v>0.80864999999999998</v>
      </c>
      <c r="AG22" s="43">
        <v>306.23669999999998</v>
      </c>
      <c r="AH22" s="43">
        <v>117.03619999999999</v>
      </c>
      <c r="AI22" s="43">
        <v>1.705211</v>
      </c>
      <c r="AJ22" s="43">
        <v>1.70966666666667</v>
      </c>
      <c r="AK22" s="43">
        <v>14430.9</v>
      </c>
      <c r="AM22" s="43">
        <v>1.8100111111111099</v>
      </c>
      <c r="AN22" s="43">
        <v>1.8055559999999999</v>
      </c>
      <c r="AO22" s="43">
        <v>1.8109</v>
      </c>
      <c r="AP22" s="43">
        <v>1.4258666666666699</v>
      </c>
      <c r="AQ22" s="43">
        <v>2.2636219999999998</v>
      </c>
      <c r="AR22" s="43">
        <v>1.6592</v>
      </c>
      <c r="AS22" s="43">
        <v>1.377856</v>
      </c>
      <c r="AT22" s="43">
        <v>1.4411670000000001</v>
      </c>
      <c r="AU22" s="43">
        <v>1.7544439999999999</v>
      </c>
      <c r="AV22" s="43">
        <v>1693.8240000000001</v>
      </c>
      <c r="AW22" s="43">
        <v>911.64599999999996</v>
      </c>
      <c r="AX22" s="43">
        <v>0.93935729999999995</v>
      </c>
      <c r="AY22" s="43">
        <v>1.1359330000000001</v>
      </c>
      <c r="AZ22" s="43">
        <v>130.23330000000001</v>
      </c>
      <c r="BA22" s="43">
        <v>0.80346910000000005</v>
      </c>
      <c r="BB22" s="43">
        <v>91.5</v>
      </c>
      <c r="BC22" s="43">
        <v>21.199000000000002</v>
      </c>
      <c r="BD22" s="43">
        <v>7.8277780000000003</v>
      </c>
      <c r="BE22" s="43">
        <v>0.84266669999999999</v>
      </c>
      <c r="BF22" s="43">
        <v>0.64044440000000002</v>
      </c>
      <c r="BG22" s="43">
        <v>1.0833330000000001</v>
      </c>
      <c r="BH22" s="43">
        <v>2.8745560000000001</v>
      </c>
      <c r="BI22" s="43">
        <v>0.91400000000000003</v>
      </c>
      <c r="BJ22" s="43">
        <v>0.91900000000000004</v>
      </c>
      <c r="BK22" s="43">
        <v>49.992429999999999</v>
      </c>
      <c r="BL22" s="43">
        <v>53.578069999999997</v>
      </c>
      <c r="BM22" s="43">
        <v>0.79924240000000002</v>
      </c>
      <c r="BN22" s="43">
        <v>1.0879019999999999</v>
      </c>
      <c r="BO22" s="43">
        <v>33.427280000000003</v>
      </c>
      <c r="BP22" s="43">
        <v>1.24482111111111</v>
      </c>
      <c r="BQ22" s="43">
        <v>1532.912</v>
      </c>
      <c r="BR22" s="43">
        <v>350.03659153085903</v>
      </c>
      <c r="BS22" s="43">
        <v>9801.6110000000008</v>
      </c>
      <c r="BT22" s="43">
        <v>5562.8180000000002</v>
      </c>
      <c r="BU22" s="43">
        <v>0.89275559999999998</v>
      </c>
      <c r="BV22" s="43">
        <v>0.91069670000000003</v>
      </c>
      <c r="BW22" s="43">
        <v>0.94527779999999995</v>
      </c>
      <c r="BX22" s="43">
        <v>1.3038110000000001</v>
      </c>
      <c r="BY22" s="43">
        <v>3.108333</v>
      </c>
      <c r="BZ22" s="43">
        <v>3.867667</v>
      </c>
      <c r="CA22" s="43">
        <v>2.8652220000000002</v>
      </c>
      <c r="CB22" s="43">
        <v>0.69697200000000004</v>
      </c>
      <c r="CC22" s="43">
        <v>8.4029340000000001</v>
      </c>
      <c r="CD22" s="43">
        <v>0.8089556</v>
      </c>
      <c r="CE22" s="43">
        <v>0.94827779999999995</v>
      </c>
      <c r="CF22" s="43">
        <v>1.010656</v>
      </c>
      <c r="CG22" s="43">
        <v>0.95066660000000003</v>
      </c>
      <c r="CH22" s="43">
        <v>0.96303329999999998</v>
      </c>
      <c r="CI22" s="43">
        <v>0.93340000000000001</v>
      </c>
      <c r="CJ22" s="43">
        <v>1.0295890000000001</v>
      </c>
      <c r="CK22" s="43">
        <v>0.9836667</v>
      </c>
      <c r="CL22" s="43">
        <v>0.91366670000000005</v>
      </c>
      <c r="CM22" s="43">
        <v>0.95399999999999996</v>
      </c>
      <c r="CN22" s="43">
        <v>0.9163</v>
      </c>
      <c r="CO22" s="43">
        <v>0.89999989999999996</v>
      </c>
      <c r="CP22" s="43">
        <v>0.76713050000000005</v>
      </c>
      <c r="CQ22" s="43">
        <v>0.94027780000000005</v>
      </c>
      <c r="CR22" s="43">
        <v>2.0009999999999999</v>
      </c>
      <c r="CS22" s="43">
        <v>34.113195046802701</v>
      </c>
      <c r="CT22" s="43">
        <v>34.063459999999999</v>
      </c>
      <c r="CU22" s="43">
        <v>21.207190000000001</v>
      </c>
      <c r="CV22" s="43">
        <v>27.650169957444401</v>
      </c>
      <c r="CW22" s="43">
        <v>0.92433330000000002</v>
      </c>
      <c r="CX22" s="43">
        <v>0.94933330000000005</v>
      </c>
      <c r="CY22" s="43">
        <v>1.0249999999999999</v>
      </c>
      <c r="CZ22" s="43">
        <v>0.96766666666666701</v>
      </c>
      <c r="DA22" s="43">
        <v>0.97866666666666702</v>
      </c>
      <c r="DB22" s="43">
        <v>0.8241128298</v>
      </c>
      <c r="DC22" s="43">
        <v>0.99233333333333296</v>
      </c>
      <c r="DD22" s="43">
        <v>0.76200000000000001</v>
      </c>
      <c r="DE22" s="43">
        <v>0.85899999999999999</v>
      </c>
      <c r="DF22" s="43">
        <v>0.86299999999999999</v>
      </c>
      <c r="DG22" s="43">
        <v>0.89700000000000002</v>
      </c>
      <c r="DH22" s="43">
        <v>0.74399999999999999</v>
      </c>
      <c r="DI22" s="43">
        <v>0.71499999999999997</v>
      </c>
      <c r="DJ22" s="43">
        <v>0.622</v>
      </c>
      <c r="DK22" s="43">
        <v>0.90300000000000002</v>
      </c>
      <c r="DL22" s="43">
        <v>0.9023333</v>
      </c>
      <c r="DM22" s="43">
        <v>1.0720000000000001</v>
      </c>
      <c r="DN22" s="43">
        <v>0.920333333333333</v>
      </c>
      <c r="DO22" s="43">
        <v>0.8576667</v>
      </c>
      <c r="DP22" s="43">
        <v>0.8516667</v>
      </c>
      <c r="DQ22" s="43">
        <v>1.3009999999999999</v>
      </c>
      <c r="DR22" s="43">
        <v>0.93966669999999997</v>
      </c>
      <c r="DS22" s="43">
        <v>0.73399999999999999</v>
      </c>
      <c r="DT22" s="43">
        <v>0.958666666666667</v>
      </c>
      <c r="DU22" s="43">
        <v>482.06220000000002</v>
      </c>
      <c r="DV22" s="43">
        <v>281.34589999999997</v>
      </c>
      <c r="DW22" s="43">
        <v>89.368889999999993</v>
      </c>
      <c r="DX22" s="43">
        <v>0.95806659999999999</v>
      </c>
      <c r="DY22" s="43">
        <v>0.9830333</v>
      </c>
      <c r="DZ22" s="43">
        <v>1.0209999999999999</v>
      </c>
      <c r="EA22" s="43">
        <v>867.41129999999998</v>
      </c>
      <c r="EB22" s="43">
        <v>93.654259999999994</v>
      </c>
      <c r="EC22" s="43">
        <v>0.95399999999999996</v>
      </c>
      <c r="ED22" s="43">
        <v>0.89999989999999996</v>
      </c>
      <c r="EE22" s="43">
        <v>0.94933330000000005</v>
      </c>
      <c r="EF22" s="43">
        <v>1.0249999999999999</v>
      </c>
      <c r="EG22" s="43">
        <v>0.92433330000000002</v>
      </c>
      <c r="EH22" s="43">
        <v>0.40064940085040601</v>
      </c>
      <c r="EI22" s="43">
        <v>0.16549918166939401</v>
      </c>
      <c r="EJ22" s="43">
        <v>18.957794916036601</v>
      </c>
      <c r="EK22" s="43">
        <v>10.757446808510601</v>
      </c>
      <c r="EL22" s="43">
        <v>0.473811380819737</v>
      </c>
      <c r="EM22" s="43">
        <v>1266.4974984615701</v>
      </c>
      <c r="EN22" s="43">
        <v>315.34764368158699</v>
      </c>
      <c r="EO22" s="43">
        <v>46866.283559265699</v>
      </c>
      <c r="EP22" s="43">
        <v>31772.926873131801</v>
      </c>
      <c r="EQ22" s="43">
        <v>2260.23899880923</v>
      </c>
      <c r="ER22" s="43">
        <v>1.2292943042384701</v>
      </c>
      <c r="ES22" s="43">
        <v>1.31318477578957</v>
      </c>
      <c r="ET22" s="43">
        <v>1.20983609006925</v>
      </c>
      <c r="EU22" s="43">
        <v>0.58659419999999995</v>
      </c>
      <c r="EV22" s="43">
        <v>0.75629219999999997</v>
      </c>
      <c r="EW22" s="43">
        <v>0.92880960000000001</v>
      </c>
      <c r="EX22" s="43">
        <v>0.58629509999999996</v>
      </c>
      <c r="EY22" s="43">
        <v>0.75941970000000003</v>
      </c>
      <c r="EZ22" s="43">
        <v>0.92637230000000004</v>
      </c>
      <c r="FA22" s="43">
        <v>4.4470000000000001</v>
      </c>
      <c r="FB22" s="43">
        <v>4.4470000000000001</v>
      </c>
      <c r="FC22" s="43">
        <v>18.762</v>
      </c>
      <c r="FD22" s="43">
        <v>8987.7540000000008</v>
      </c>
      <c r="FE22" s="43">
        <v>59453.43</v>
      </c>
      <c r="FF22" s="43">
        <v>1.0791249999999999</v>
      </c>
      <c r="FG22" s="43">
        <v>2.3154219999999999</v>
      </c>
      <c r="FH22" s="43">
        <v>610.60159999999996</v>
      </c>
      <c r="FI22" s="43">
        <v>11633.38</v>
      </c>
      <c r="FJ22" s="43">
        <v>6.836093</v>
      </c>
      <c r="FK22" s="43">
        <v>14.371449999999999</v>
      </c>
      <c r="FL22" s="43">
        <v>0.99304490000000001</v>
      </c>
      <c r="FM22" s="43">
        <v>1.0041310000000001</v>
      </c>
    </row>
    <row r="23" spans="1:169" x14ac:dyDescent="0.25">
      <c r="A23" s="43" t="s">
        <v>250</v>
      </c>
      <c r="B23" s="43">
        <v>16269.14</v>
      </c>
      <c r="C23" s="43">
        <v>11075.76</v>
      </c>
      <c r="D23" s="43">
        <v>2.1350169999999999</v>
      </c>
      <c r="E23" s="43">
        <v>0.18</v>
      </c>
      <c r="F23" s="43">
        <v>3.3130769999999998</v>
      </c>
      <c r="G23" s="43">
        <v>9.3010990000000007</v>
      </c>
      <c r="H23" s="43">
        <v>0.85142110000000004</v>
      </c>
      <c r="I23" s="43">
        <v>0.86323819999999996</v>
      </c>
      <c r="J23" s="43">
        <v>0.74762669999999998</v>
      </c>
      <c r="K23" s="43">
        <v>0.97061660000000005</v>
      </c>
      <c r="L23" s="43">
        <v>1.712561</v>
      </c>
      <c r="M23" s="43">
        <v>59.435490000000001</v>
      </c>
      <c r="N23" s="43">
        <v>58.6813186813187</v>
      </c>
      <c r="O23" s="43">
        <v>3.71131868131868</v>
      </c>
      <c r="P23" s="43">
        <v>0.53433330000000001</v>
      </c>
      <c r="Q23" s="43">
        <v>-325.54180000000002</v>
      </c>
      <c r="R23" s="43">
        <v>3.25</v>
      </c>
      <c r="S23" s="43">
        <v>2347.3319999999999</v>
      </c>
      <c r="T23" s="43">
        <v>0.17340659999999999</v>
      </c>
      <c r="U23" s="43">
        <v>4.1706589999999997</v>
      </c>
      <c r="V23" s="43">
        <v>1495.0530000000001</v>
      </c>
      <c r="W23" s="43">
        <v>1.095</v>
      </c>
      <c r="X23" s="43">
        <v>12365.92</v>
      </c>
      <c r="Y23" s="43">
        <v>1.27182</v>
      </c>
      <c r="Z23" s="43">
        <v>0.66945310000000002</v>
      </c>
      <c r="AA23" s="43">
        <v>0.91010999999999997</v>
      </c>
      <c r="AB23" s="43">
        <v>0.95394000000000001</v>
      </c>
      <c r="AC23" s="43">
        <v>52.314399999999999</v>
      </c>
      <c r="AD23" s="43">
        <v>0.88417999999999997</v>
      </c>
      <c r="AE23" s="43">
        <v>0.8468</v>
      </c>
      <c r="AF23" s="43">
        <v>0.79798000000000002</v>
      </c>
      <c r="AG23" s="43">
        <v>306.86599999999999</v>
      </c>
      <c r="AH23" s="43">
        <v>117.13379999999999</v>
      </c>
      <c r="AI23" s="43">
        <v>1.698286</v>
      </c>
      <c r="AJ23" s="43">
        <v>1.726</v>
      </c>
      <c r="AK23" s="43">
        <v>14381.24</v>
      </c>
      <c r="AM23" s="43">
        <v>1.8197032967033</v>
      </c>
      <c r="AN23" s="43">
        <v>1.511593</v>
      </c>
      <c r="AO23" s="43">
        <v>1.7954065934065899</v>
      </c>
      <c r="AP23" s="43">
        <v>1.5987362637362601</v>
      </c>
      <c r="AQ23" s="43">
        <v>2.2626149999999998</v>
      </c>
      <c r="AR23" s="43">
        <v>1.6403190000000001</v>
      </c>
      <c r="AS23" s="43">
        <v>1.414385</v>
      </c>
      <c r="AT23" s="43">
        <v>1.5398019999999999</v>
      </c>
      <c r="AU23" s="43">
        <v>1.753868</v>
      </c>
      <c r="AV23" s="43">
        <v>1675.34</v>
      </c>
      <c r="AW23" s="43">
        <v>919.61</v>
      </c>
      <c r="AX23" s="43">
        <v>0.8988003</v>
      </c>
      <c r="AY23" s="43">
        <v>1.1456809999999999</v>
      </c>
      <c r="AZ23" s="43">
        <v>127.36669999999999</v>
      </c>
      <c r="BA23" s="43">
        <v>0.85747660000000003</v>
      </c>
      <c r="BB23" s="43">
        <v>91.9</v>
      </c>
      <c r="BC23" s="43">
        <v>20.713080000000001</v>
      </c>
      <c r="BD23" s="43">
        <v>8.4340659999999996</v>
      </c>
      <c r="BE23" s="43">
        <v>0.83766669999999999</v>
      </c>
      <c r="BF23" s="43">
        <v>0.23934069999999999</v>
      </c>
      <c r="BG23" s="43">
        <v>0.5</v>
      </c>
      <c r="BH23" s="43">
        <v>3.1964830000000002</v>
      </c>
      <c r="BI23" s="43">
        <v>0.90900000000000003</v>
      </c>
      <c r="BJ23" s="43">
        <v>0.92400000000000004</v>
      </c>
      <c r="BK23" s="43">
        <v>61.084130000000002</v>
      </c>
      <c r="BL23" s="43">
        <v>69.398970000000006</v>
      </c>
      <c r="BM23" s="43">
        <v>0.75999779999999995</v>
      </c>
      <c r="BN23" s="43">
        <v>1.055957</v>
      </c>
      <c r="BO23" s="43">
        <v>33.511749999999999</v>
      </c>
      <c r="BP23" s="43">
        <v>1.1676351648351599</v>
      </c>
      <c r="BQ23" s="43">
        <v>1521.2560000000001</v>
      </c>
      <c r="BR23" s="43">
        <v>353.62473553423598</v>
      </c>
      <c r="BS23" s="43">
        <v>9799.9240000000009</v>
      </c>
      <c r="BT23" s="43">
        <v>5566.36</v>
      </c>
      <c r="BU23" s="43">
        <v>0.88172530000000005</v>
      </c>
      <c r="BV23" s="43">
        <v>0.91842860000000004</v>
      </c>
      <c r="BW23" s="43">
        <v>0.93332970000000004</v>
      </c>
      <c r="BX23" s="43">
        <v>1.3621270000000001</v>
      </c>
      <c r="BY23" s="43">
        <v>3.3737360000000001</v>
      </c>
      <c r="BZ23" s="43">
        <v>3.8768129999999998</v>
      </c>
      <c r="CA23" s="43">
        <v>3.4443959999999998</v>
      </c>
      <c r="CB23" s="43">
        <v>0.64612670000000005</v>
      </c>
      <c r="CC23" s="43">
        <v>7.9154419999999996</v>
      </c>
      <c r="CD23" s="43">
        <v>0.80307689999999998</v>
      </c>
      <c r="CE23" s="43">
        <v>0.94567040000000002</v>
      </c>
      <c r="CF23" s="43">
        <v>0.98508799999999996</v>
      </c>
      <c r="CG23" s="43">
        <v>0.92733339999999997</v>
      </c>
      <c r="CH23" s="43">
        <v>0.95269230000000005</v>
      </c>
      <c r="CI23" s="43">
        <v>0.94540659999999999</v>
      </c>
      <c r="CJ23" s="43">
        <v>1.0278020000000001</v>
      </c>
      <c r="CK23" s="43">
        <v>0.97366660000000005</v>
      </c>
      <c r="CL23" s="43">
        <v>0.9156666</v>
      </c>
      <c r="CM23" s="43">
        <v>0.94000010000000001</v>
      </c>
      <c r="CN23" s="43">
        <v>0.92343330000000001</v>
      </c>
      <c r="CO23" s="43">
        <v>0.89799989999999996</v>
      </c>
      <c r="CP23" s="43">
        <v>0.73457749999999999</v>
      </c>
      <c r="CQ23" s="43">
        <v>0.93769230000000003</v>
      </c>
      <c r="CR23" s="43">
        <v>1.283517</v>
      </c>
      <c r="CS23" s="43">
        <v>42.974077826538</v>
      </c>
      <c r="CT23" s="43">
        <v>32.329990000000002</v>
      </c>
      <c r="CU23" s="43">
        <v>19.65362</v>
      </c>
      <c r="CV23" s="43">
        <v>26.7707357366154</v>
      </c>
      <c r="CW23" s="43">
        <v>0.9156666</v>
      </c>
      <c r="CX23" s="43">
        <v>0.91100000000000003</v>
      </c>
      <c r="CY23" s="43">
        <v>1.016</v>
      </c>
      <c r="CZ23" s="43">
        <v>0.95599999999999996</v>
      </c>
      <c r="DA23" s="43">
        <v>0.94799999999999995</v>
      </c>
      <c r="DB23" s="43">
        <v>0.88425841670000005</v>
      </c>
      <c r="DC23" s="43">
        <v>0.96033333333333304</v>
      </c>
      <c r="DD23" s="43">
        <v>0.76100000000000001</v>
      </c>
      <c r="DE23" s="43">
        <v>0.876</v>
      </c>
      <c r="DF23" s="43">
        <v>0.86899999999999999</v>
      </c>
      <c r="DG23" s="43">
        <v>0.90900000000000003</v>
      </c>
      <c r="DH23" s="43">
        <v>0.75</v>
      </c>
      <c r="DI23" s="43">
        <v>0.71199999999999997</v>
      </c>
      <c r="DJ23" s="43">
        <v>0.62</v>
      </c>
      <c r="DK23" s="43">
        <v>0.90400000000000003</v>
      </c>
      <c r="DL23" s="43">
        <v>0.86799999999999999</v>
      </c>
      <c r="DM23" s="43">
        <v>0.99566670000000002</v>
      </c>
      <c r="DN23" s="43">
        <v>0.90833333333333299</v>
      </c>
      <c r="DO23" s="43">
        <v>0.83233330000000005</v>
      </c>
      <c r="DP23" s="43">
        <v>0.84499999999999997</v>
      </c>
      <c r="DQ23" s="43">
        <v>1.2143330000000001</v>
      </c>
      <c r="DR23" s="43">
        <v>0.92333330000000002</v>
      </c>
      <c r="DS23" s="43">
        <v>0.74099999999999999</v>
      </c>
      <c r="DT23" s="43">
        <v>0.87766666666666604</v>
      </c>
      <c r="DU23" s="43">
        <v>491.58620000000002</v>
      </c>
      <c r="DV23" s="43">
        <v>283.84719999999999</v>
      </c>
      <c r="DW23" s="43">
        <v>94.005489999999995</v>
      </c>
      <c r="DX23" s="43">
        <v>0.95799999999999996</v>
      </c>
      <c r="DY23" s="43">
        <v>0.97032960000000001</v>
      </c>
      <c r="DZ23" s="43">
        <v>1.0129999999999999</v>
      </c>
      <c r="EA23" s="43">
        <v>791.22389999999996</v>
      </c>
      <c r="EB23" s="43">
        <v>97.405439999999999</v>
      </c>
      <c r="EC23" s="43">
        <v>0.94000010000000001</v>
      </c>
      <c r="ED23" s="43">
        <v>0.89799989999999996</v>
      </c>
      <c r="EE23" s="43">
        <v>0.91100000000000003</v>
      </c>
      <c r="EF23" s="43">
        <v>1.016</v>
      </c>
      <c r="EG23" s="43">
        <v>0.9156666</v>
      </c>
      <c r="EH23" s="43">
        <v>0.39827212988017002</v>
      </c>
      <c r="EI23" s="43">
        <v>0.164517184942717</v>
      </c>
      <c r="EJ23" s="43">
        <v>18.845307999999999</v>
      </c>
      <c r="EK23" s="43">
        <v>10.6936170212766</v>
      </c>
      <c r="EL23" s="43">
        <v>0.47099999999999997</v>
      </c>
      <c r="EM23" s="43">
        <v>1649.7883774162599</v>
      </c>
      <c r="EN23" s="43">
        <v>410.78397550997698</v>
      </c>
      <c r="EO23" s="43">
        <v>61049.824419465498</v>
      </c>
      <c r="EP23" s="43">
        <v>41388.637194675001</v>
      </c>
      <c r="EQ23" s="43">
        <v>2944.27429580238</v>
      </c>
      <c r="ER23" s="43">
        <v>1.21375629913936</v>
      </c>
      <c r="ES23" s="43">
        <v>1.2965864138904499</v>
      </c>
      <c r="ET23" s="43">
        <v>1.1961741042824601</v>
      </c>
      <c r="EU23" s="43">
        <v>0.57806500000000005</v>
      </c>
      <c r="EV23" s="43">
        <v>0.83301530000000001</v>
      </c>
      <c r="EW23" s="43">
        <v>0.93969009999999997</v>
      </c>
      <c r="EX23" s="43">
        <v>0.57934609999999997</v>
      </c>
      <c r="EY23" s="43">
        <v>0.84145349999999997</v>
      </c>
      <c r="EZ23" s="43">
        <v>0.9400539</v>
      </c>
      <c r="FA23" s="43">
        <v>4.391</v>
      </c>
      <c r="FB23" s="43">
        <v>4.391</v>
      </c>
      <c r="FC23" s="43">
        <v>18.548999999999999</v>
      </c>
      <c r="FD23" s="43">
        <v>8529.8150000000005</v>
      </c>
      <c r="FE23" s="43">
        <v>59510.87</v>
      </c>
      <c r="FF23" s="43">
        <v>1.07137499999999</v>
      </c>
      <c r="FG23" s="43">
        <v>2.0766469999999999</v>
      </c>
      <c r="FH23" s="43">
        <v>578.02840000000003</v>
      </c>
      <c r="FI23" s="43">
        <v>10621.5</v>
      </c>
      <c r="FJ23" s="43">
        <v>6.8290389999999999</v>
      </c>
      <c r="FK23" s="43">
        <v>13.307130000000001</v>
      </c>
      <c r="FL23" s="43">
        <v>0.95023979999999997</v>
      </c>
      <c r="FM23" s="43">
        <v>0.96490359999999997</v>
      </c>
    </row>
    <row r="24" spans="1:169" x14ac:dyDescent="0.25">
      <c r="A24" s="43" t="s">
        <v>251</v>
      </c>
      <c r="B24" s="43">
        <v>16326.28</v>
      </c>
      <c r="C24" s="43">
        <v>11150.62</v>
      </c>
      <c r="D24" s="43">
        <v>2.153384</v>
      </c>
      <c r="E24" s="43">
        <v>0.15673909999999999</v>
      </c>
      <c r="F24" s="43">
        <v>3.517935</v>
      </c>
      <c r="G24" s="43">
        <v>9.6315220000000004</v>
      </c>
      <c r="H24" s="43">
        <v>0.86580959999999996</v>
      </c>
      <c r="I24" s="43">
        <v>0.88223640000000003</v>
      </c>
      <c r="J24" s="43">
        <v>0.77808310000000003</v>
      </c>
      <c r="K24" s="43">
        <v>0.97733060000000005</v>
      </c>
      <c r="L24" s="43">
        <v>1.729609</v>
      </c>
      <c r="M24" s="43">
        <v>68.190219999999997</v>
      </c>
      <c r="N24" s="43">
        <v>68.2059782608696</v>
      </c>
      <c r="O24" s="43">
        <v>3.1719565217391299</v>
      </c>
      <c r="P24" s="43">
        <v>0.58833329999999995</v>
      </c>
      <c r="Q24" s="43">
        <v>-393.98180000000002</v>
      </c>
      <c r="R24" s="43">
        <v>3.25</v>
      </c>
      <c r="S24" s="43">
        <v>2354.6860000000001</v>
      </c>
      <c r="T24" s="43">
        <v>0.15706519999999999</v>
      </c>
      <c r="U24" s="43">
        <v>4.3247819999999999</v>
      </c>
      <c r="V24" s="43">
        <v>1686.99</v>
      </c>
      <c r="W24" s="43">
        <v>1.099</v>
      </c>
      <c r="X24" s="43">
        <v>12214.53</v>
      </c>
      <c r="Y24" s="43">
        <v>1.271968</v>
      </c>
      <c r="Z24" s="43">
        <v>0.68068810000000002</v>
      </c>
      <c r="AA24" s="43">
        <v>0.92320999999999998</v>
      </c>
      <c r="AB24" s="43">
        <v>0.98868</v>
      </c>
      <c r="AC24" s="43">
        <v>65.10033</v>
      </c>
      <c r="AD24" s="43">
        <v>0.88473999999999997</v>
      </c>
      <c r="AE24" s="43">
        <v>0.82496999999999998</v>
      </c>
      <c r="AF24" s="43">
        <v>0.79235</v>
      </c>
      <c r="AG24" s="43">
        <v>307.56990000000002</v>
      </c>
      <c r="AH24" s="43">
        <v>117.22880000000001</v>
      </c>
      <c r="AI24" s="43">
        <v>1.7305330000000001</v>
      </c>
      <c r="AJ24" s="43">
        <v>1.764</v>
      </c>
      <c r="AK24" s="43">
        <v>14448.88</v>
      </c>
      <c r="AM24" s="43">
        <v>1.8172608695652199</v>
      </c>
      <c r="AN24" s="43">
        <v>1.594033</v>
      </c>
      <c r="AO24" s="43">
        <v>1.79296739130435</v>
      </c>
      <c r="AP24" s="43">
        <v>1.9043152173913001</v>
      </c>
      <c r="AQ24" s="43">
        <v>2.3102279999999999</v>
      </c>
      <c r="AR24" s="43">
        <v>1.646239</v>
      </c>
      <c r="AS24" s="43">
        <v>1.4990760000000001</v>
      </c>
      <c r="AT24" s="43">
        <v>1.650685</v>
      </c>
      <c r="AU24" s="43">
        <v>1.738011</v>
      </c>
      <c r="AV24" s="43">
        <v>1682.8779999999999</v>
      </c>
      <c r="AW24" s="43">
        <v>929.66099999999994</v>
      </c>
      <c r="AX24" s="43">
        <v>0.89771199999999995</v>
      </c>
      <c r="AY24" s="43">
        <v>1.147</v>
      </c>
      <c r="AZ24" s="43">
        <v>156.83330000000001</v>
      </c>
      <c r="BA24" s="43">
        <v>0.91149340000000001</v>
      </c>
      <c r="BB24" s="43">
        <v>93.3</v>
      </c>
      <c r="BC24" s="43">
        <v>20.692720000000001</v>
      </c>
      <c r="BD24" s="43">
        <v>8.5032610000000002</v>
      </c>
      <c r="BE24" s="43">
        <v>0.83333330000000005</v>
      </c>
      <c r="BF24" s="43">
        <v>0.2267391</v>
      </c>
      <c r="BG24" s="43">
        <v>0.5</v>
      </c>
      <c r="BH24" s="43">
        <v>3.4271739999999999</v>
      </c>
      <c r="BI24" s="43">
        <v>0.9</v>
      </c>
      <c r="BJ24" s="43">
        <v>0.93200000000000005</v>
      </c>
      <c r="BK24" s="43">
        <v>71.441310000000001</v>
      </c>
      <c r="BL24" s="43">
        <v>74.832170000000005</v>
      </c>
      <c r="BM24" s="43">
        <v>0.76937829999999996</v>
      </c>
      <c r="BN24" s="43">
        <v>1.0519750000000001</v>
      </c>
      <c r="BO24" s="43">
        <v>33.628570000000003</v>
      </c>
      <c r="BP24" s="43">
        <v>1.0974032608695701</v>
      </c>
      <c r="BQ24" s="43">
        <v>1539.816</v>
      </c>
      <c r="BR24" s="43">
        <v>351.82012730131498</v>
      </c>
      <c r="BS24" s="43">
        <v>9840.0640000000003</v>
      </c>
      <c r="BT24" s="43">
        <v>5565.3710000000001</v>
      </c>
      <c r="BU24" s="43">
        <v>0.9015109</v>
      </c>
      <c r="BV24" s="43">
        <v>0.91592070000000003</v>
      </c>
      <c r="BW24" s="43">
        <v>0.93067390000000005</v>
      </c>
      <c r="BX24" s="43">
        <v>1.4308129999999999</v>
      </c>
      <c r="BY24" s="43">
        <v>3.3271739999999999</v>
      </c>
      <c r="BZ24" s="43">
        <v>3.683913</v>
      </c>
      <c r="CA24" s="43">
        <v>3.4002180000000002</v>
      </c>
      <c r="CB24" s="43">
        <v>0.60932949999999997</v>
      </c>
      <c r="CC24" s="43">
        <v>7.281288</v>
      </c>
      <c r="CD24" s="43">
        <v>0.83205430000000002</v>
      </c>
      <c r="CE24" s="43">
        <v>0.96522830000000004</v>
      </c>
      <c r="CF24" s="43">
        <v>1.003206</v>
      </c>
      <c r="CG24" s="43">
        <v>0.90500000000000003</v>
      </c>
      <c r="CH24" s="43">
        <v>0.9521522</v>
      </c>
      <c r="CI24" s="43">
        <v>0.96304350000000005</v>
      </c>
      <c r="CJ24" s="43">
        <v>1.04775</v>
      </c>
      <c r="CK24" s="43">
        <v>0.95833330000000005</v>
      </c>
      <c r="CL24" s="43">
        <v>0.91766669999999995</v>
      </c>
      <c r="CM24" s="43">
        <v>0.93099989999999999</v>
      </c>
      <c r="CN24" s="43">
        <v>0.91879999999999995</v>
      </c>
      <c r="CO24" s="43">
        <v>0.90299989999999997</v>
      </c>
      <c r="CP24" s="43">
        <v>0.69903769999999998</v>
      </c>
      <c r="CQ24" s="43">
        <v>0.94455429999999996</v>
      </c>
      <c r="CR24" s="43">
        <v>0.83499999999999996</v>
      </c>
      <c r="CS24" s="43">
        <v>47.670265955714498</v>
      </c>
      <c r="CT24" s="43">
        <v>31.402899999999999</v>
      </c>
      <c r="CU24" s="43">
        <v>17.974</v>
      </c>
      <c r="CV24" s="43">
        <v>25.717433643478302</v>
      </c>
      <c r="CW24" s="43">
        <v>0.91200000000000003</v>
      </c>
      <c r="CX24" s="43">
        <v>0.93899999999999995</v>
      </c>
      <c r="CY24" s="43">
        <v>1.006667</v>
      </c>
      <c r="CZ24" s="43">
        <v>0.95899999999999996</v>
      </c>
      <c r="DA24" s="43">
        <v>0.92666666666666697</v>
      </c>
      <c r="DB24" s="43">
        <v>0.92711555960000003</v>
      </c>
      <c r="DC24" s="43">
        <v>0.94833333333333303</v>
      </c>
      <c r="DD24" s="43">
        <v>0.76700000000000002</v>
      </c>
      <c r="DE24" s="43">
        <v>0.88200000000000001</v>
      </c>
      <c r="DF24" s="43">
        <v>0.88</v>
      </c>
      <c r="DG24" s="43">
        <v>0.92200000000000004</v>
      </c>
      <c r="DH24" s="43">
        <v>0.754</v>
      </c>
      <c r="DI24" s="43">
        <v>0.71</v>
      </c>
      <c r="DJ24" s="43">
        <v>0.59799999999999998</v>
      </c>
      <c r="DK24" s="43">
        <v>0.90533330000000001</v>
      </c>
      <c r="DL24" s="43">
        <v>0.86933329999999998</v>
      </c>
      <c r="DM24" s="43">
        <v>0.93233339999999998</v>
      </c>
      <c r="DN24" s="43">
        <v>0.91</v>
      </c>
      <c r="DO24" s="43">
        <v>0.82799999999999996</v>
      </c>
      <c r="DP24" s="43">
        <v>0.85199999999999998</v>
      </c>
      <c r="DQ24" s="43">
        <v>1.1879999999999999</v>
      </c>
      <c r="DR24" s="43">
        <v>0.91500000000000004</v>
      </c>
      <c r="DS24" s="43">
        <v>0.73799999999999999</v>
      </c>
      <c r="DT24" s="43">
        <v>0.94366666666666699</v>
      </c>
      <c r="DU24" s="43">
        <v>491.4298</v>
      </c>
      <c r="DV24" s="43">
        <v>285.93119999999999</v>
      </c>
      <c r="DW24" s="43">
        <v>99.636960000000002</v>
      </c>
      <c r="DX24" s="43">
        <v>0.95498910000000004</v>
      </c>
      <c r="DY24" s="43">
        <v>0.9706631</v>
      </c>
      <c r="DZ24" s="43">
        <v>1.004</v>
      </c>
      <c r="EA24" s="43">
        <v>722.65819999999997</v>
      </c>
      <c r="EB24" s="43">
        <v>93.537300000000002</v>
      </c>
      <c r="EC24" s="43">
        <v>0.93099989999999999</v>
      </c>
      <c r="ED24" s="43">
        <v>0.90299989999999997</v>
      </c>
      <c r="EE24" s="43">
        <v>0.93899999999999995</v>
      </c>
      <c r="EF24" s="43">
        <v>1.006667</v>
      </c>
      <c r="EG24" s="43">
        <v>0.91200000000000003</v>
      </c>
      <c r="EH24" s="43">
        <v>0.39621182837263202</v>
      </c>
      <c r="EI24" s="43">
        <v>0.16366612111293</v>
      </c>
      <c r="EJ24" s="43">
        <v>18.747819339435001</v>
      </c>
      <c r="EK24" s="43">
        <v>10.6382978723404</v>
      </c>
      <c r="EL24" s="43">
        <v>0.468563469956228</v>
      </c>
      <c r="EM24" s="43">
        <v>2053.0058715854698</v>
      </c>
      <c r="EN24" s="43">
        <v>511.18187351760002</v>
      </c>
      <c r="EO24" s="43">
        <v>75970.742495297207</v>
      </c>
      <c r="EP24" s="43">
        <v>51504.251297164701</v>
      </c>
      <c r="EQ24" s="43">
        <v>3663.87137864735</v>
      </c>
      <c r="ER24" s="43">
        <v>1.2103025421451801</v>
      </c>
      <c r="ES24" s="43">
        <v>1.29289696288722</v>
      </c>
      <c r="ET24" s="43">
        <v>1.1949033951880099</v>
      </c>
      <c r="EU24" s="43">
        <v>0.5695344</v>
      </c>
      <c r="EV24" s="43">
        <v>0.92654170000000002</v>
      </c>
      <c r="EW24" s="43">
        <v>0.9496734</v>
      </c>
      <c r="EX24" s="43">
        <v>0.57086910000000002</v>
      </c>
      <c r="EY24" s="43">
        <v>0.92177980000000004</v>
      </c>
      <c r="EZ24" s="43">
        <v>0.94805329999999999</v>
      </c>
      <c r="FA24" s="43">
        <v>4.3259999999999996</v>
      </c>
      <c r="FB24" s="43">
        <v>4.3259999999999996</v>
      </c>
      <c r="FC24" s="43">
        <v>18.291</v>
      </c>
      <c r="FD24" s="43">
        <v>8251.67</v>
      </c>
      <c r="FE24" s="43">
        <v>60481.46</v>
      </c>
      <c r="FF24" s="43">
        <v>1.0711249999999899</v>
      </c>
      <c r="FG24" s="43">
        <v>1.8661099999999999</v>
      </c>
      <c r="FH24" s="43">
        <v>554.9665</v>
      </c>
      <c r="FI24" s="43">
        <v>9992.9979999999996</v>
      </c>
      <c r="FJ24" s="43">
        <v>6.8305980000000002</v>
      </c>
      <c r="FK24" s="43">
        <v>13.256589999999999</v>
      </c>
      <c r="FL24" s="43">
        <v>0.89939460000000004</v>
      </c>
      <c r="FM24" s="43">
        <v>0.93367710000000004</v>
      </c>
    </row>
    <row r="25" spans="1:169" x14ac:dyDescent="0.25">
      <c r="A25" s="43" t="s">
        <v>252</v>
      </c>
      <c r="B25" s="43">
        <v>16502.75</v>
      </c>
      <c r="C25" s="43">
        <v>11138.24</v>
      </c>
      <c r="D25" s="43">
        <v>2.1702780000000002</v>
      </c>
      <c r="E25" s="43">
        <v>0.12</v>
      </c>
      <c r="F25" s="43">
        <v>3.4606520000000001</v>
      </c>
      <c r="G25" s="43">
        <v>9.9336950000000002</v>
      </c>
      <c r="H25" s="43">
        <v>0.87935169999999996</v>
      </c>
      <c r="I25" s="43">
        <v>0.897621</v>
      </c>
      <c r="J25" s="43">
        <v>0.79968919999999999</v>
      </c>
      <c r="K25" s="43">
        <v>0.98450660000000001</v>
      </c>
      <c r="L25" s="43">
        <v>1.759935</v>
      </c>
      <c r="M25" s="43">
        <v>76.039019999999994</v>
      </c>
      <c r="N25" s="43">
        <v>74.607934782608694</v>
      </c>
      <c r="O25" s="43">
        <v>4.3473913043478296</v>
      </c>
      <c r="P25" s="43">
        <v>0.56766660000000002</v>
      </c>
      <c r="Q25" s="43">
        <v>-435.93509999999998</v>
      </c>
      <c r="R25" s="43">
        <v>3.25</v>
      </c>
      <c r="S25" s="43">
        <v>2362.3490000000002</v>
      </c>
      <c r="T25" s="43">
        <v>5.6739129999999999E-2</v>
      </c>
      <c r="U25" s="43">
        <v>4.3302170000000002</v>
      </c>
      <c r="V25" s="43">
        <v>1791.3150000000001</v>
      </c>
      <c r="W25" s="43">
        <v>1.1040000000000001</v>
      </c>
      <c r="X25" s="43">
        <v>12232.69</v>
      </c>
      <c r="Y25" s="43">
        <v>1.2678389999999999</v>
      </c>
      <c r="Z25" s="43">
        <v>0.69358690000000001</v>
      </c>
      <c r="AA25" s="43">
        <v>0.93681000000000003</v>
      </c>
      <c r="AB25" s="43">
        <v>1.0046999999999999</v>
      </c>
      <c r="AC25" s="43">
        <v>71.009889999999999</v>
      </c>
      <c r="AD25" s="43">
        <v>0.88797999999999999</v>
      </c>
      <c r="AE25" s="43">
        <v>0.82404999999999995</v>
      </c>
      <c r="AF25" s="43">
        <v>0.79820999999999998</v>
      </c>
      <c r="AG25" s="43">
        <v>308.28489999999999</v>
      </c>
      <c r="AH25" s="43">
        <v>117.32129999999999</v>
      </c>
      <c r="AI25" s="43">
        <v>1.76563</v>
      </c>
      <c r="AJ25" s="43">
        <v>1.79433333333333</v>
      </c>
      <c r="AK25" s="43">
        <v>14651.25</v>
      </c>
      <c r="AM25" s="43">
        <v>1.84869565217391</v>
      </c>
      <c r="AN25" s="43">
        <v>2.0083150000000001</v>
      </c>
      <c r="AO25" s="43">
        <v>1.8029782608695699</v>
      </c>
      <c r="AP25" s="43">
        <v>2.1083260869565201</v>
      </c>
      <c r="AQ25" s="43">
        <v>2.3390650000000002</v>
      </c>
      <c r="AR25" s="43">
        <v>1.660989</v>
      </c>
      <c r="AS25" s="43">
        <v>1.5907389999999999</v>
      </c>
      <c r="AT25" s="43">
        <v>1.7153259999999999</v>
      </c>
      <c r="AU25" s="43">
        <v>1.773717</v>
      </c>
      <c r="AV25" s="43">
        <v>1702.5029999999999</v>
      </c>
      <c r="AW25" s="43">
        <v>936.029</v>
      </c>
      <c r="AX25" s="43">
        <v>0.91462829999999995</v>
      </c>
      <c r="AY25" s="43">
        <v>1.14863</v>
      </c>
      <c r="AZ25" s="43">
        <v>178.16669999999999</v>
      </c>
      <c r="BA25" s="43">
        <v>0.94709750000000004</v>
      </c>
      <c r="BB25" s="43">
        <v>93.8</v>
      </c>
      <c r="BC25" s="43">
        <v>20.848479999999999</v>
      </c>
      <c r="BD25" s="43">
        <v>8.4</v>
      </c>
      <c r="BE25" s="43">
        <v>0.83366669999999998</v>
      </c>
      <c r="BF25" s="43">
        <v>0.212587</v>
      </c>
      <c r="BG25" s="43">
        <v>0.5</v>
      </c>
      <c r="BH25" s="43">
        <v>3.4235869999999999</v>
      </c>
      <c r="BI25" s="43">
        <v>0.90600000000000003</v>
      </c>
      <c r="BJ25" s="43">
        <v>0.94699999999999995</v>
      </c>
      <c r="BK25" s="43">
        <v>74.97672</v>
      </c>
      <c r="BL25" s="43">
        <v>80.286799999999999</v>
      </c>
      <c r="BM25" s="43">
        <v>0.77941139999999998</v>
      </c>
      <c r="BN25" s="43">
        <v>1.0671109999999999</v>
      </c>
      <c r="BO25" s="43">
        <v>33.756709999999998</v>
      </c>
      <c r="BP25" s="43">
        <v>1.0558630434782601</v>
      </c>
      <c r="BQ25" s="43">
        <v>1583.1279999999999</v>
      </c>
      <c r="BR25" s="43">
        <v>350.717660182798</v>
      </c>
      <c r="BS25" s="43">
        <v>9887.0509999999995</v>
      </c>
      <c r="BT25" s="43">
        <v>5577.1090000000004</v>
      </c>
      <c r="BU25" s="43">
        <v>0.91432610000000003</v>
      </c>
      <c r="BV25" s="43">
        <v>0.92090649999999996</v>
      </c>
      <c r="BW25" s="43">
        <v>0.93332610000000005</v>
      </c>
      <c r="BX25" s="43">
        <v>1.476783</v>
      </c>
      <c r="BY25" s="43">
        <v>3.2429350000000001</v>
      </c>
      <c r="BZ25" s="43">
        <v>3.509674</v>
      </c>
      <c r="CA25" s="43">
        <v>3.2667389999999998</v>
      </c>
      <c r="CB25" s="43">
        <v>0.61195829999999996</v>
      </c>
      <c r="CC25" s="43">
        <v>7.0075700000000003</v>
      </c>
      <c r="CD25" s="43">
        <v>0.8456631</v>
      </c>
      <c r="CE25" s="43">
        <v>0.97294559999999997</v>
      </c>
      <c r="CF25" s="43">
        <v>1.0289349999999999</v>
      </c>
      <c r="CG25" s="43">
        <v>0.95033339999999999</v>
      </c>
      <c r="CH25" s="43">
        <v>0.96103260000000001</v>
      </c>
      <c r="CI25" s="43">
        <v>0.95753259999999996</v>
      </c>
      <c r="CJ25" s="43">
        <v>1.072022</v>
      </c>
      <c r="CK25" s="43">
        <v>0.96466660000000004</v>
      </c>
      <c r="CL25" s="43">
        <v>0.91800000000000004</v>
      </c>
      <c r="CM25" s="43">
        <v>0.93099989999999999</v>
      </c>
      <c r="CN25" s="43">
        <v>0.91926660000000004</v>
      </c>
      <c r="CO25" s="43">
        <v>0.90299989999999997</v>
      </c>
      <c r="CP25" s="43">
        <v>0.67720820000000004</v>
      </c>
      <c r="CQ25" s="43">
        <v>0.95138040000000001</v>
      </c>
      <c r="CR25" s="43">
        <v>0.61728260000000001</v>
      </c>
      <c r="CS25" s="43">
        <v>50.521910410887202</v>
      </c>
      <c r="CT25" s="43">
        <v>29.518280000000001</v>
      </c>
      <c r="CU25" s="43">
        <v>17.577629999999999</v>
      </c>
      <c r="CV25" s="43">
        <v>25.958338286086999</v>
      </c>
      <c r="CW25" s="43">
        <v>0.91933330000000002</v>
      </c>
      <c r="CX25" s="43">
        <v>0.95833330000000005</v>
      </c>
      <c r="CY25" s="43">
        <v>1.000667</v>
      </c>
      <c r="CZ25" s="43">
        <v>0.95833333333333304</v>
      </c>
      <c r="DA25" s="43">
        <v>0.93066666666666698</v>
      </c>
      <c r="DB25" s="43">
        <v>0.92884440400000001</v>
      </c>
      <c r="DC25" s="43">
        <v>0.99099999999999999</v>
      </c>
      <c r="DD25" s="43">
        <v>0.76300000000000001</v>
      </c>
      <c r="DE25" s="43">
        <v>0.87</v>
      </c>
      <c r="DF25" s="43">
        <v>0.88100000000000001</v>
      </c>
      <c r="DG25" s="43">
        <v>0.90900000000000003</v>
      </c>
      <c r="DH25" s="43">
        <v>0.76</v>
      </c>
      <c r="DI25" s="43">
        <v>0.72299999999999998</v>
      </c>
      <c r="DJ25" s="43">
        <v>0.60699999999999998</v>
      </c>
      <c r="DK25" s="43">
        <v>0.91900000000000004</v>
      </c>
      <c r="DL25" s="43">
        <v>0.87866659999999996</v>
      </c>
      <c r="DM25" s="43">
        <v>0.92033330000000002</v>
      </c>
      <c r="DN25" s="43">
        <v>0.911333333333333</v>
      </c>
      <c r="DO25" s="43">
        <v>0.81866660000000002</v>
      </c>
      <c r="DP25" s="43">
        <v>0.84699999999999998</v>
      </c>
      <c r="DQ25" s="43">
        <v>1.2556670000000001</v>
      </c>
      <c r="DR25" s="43">
        <v>0.90200000000000002</v>
      </c>
      <c r="DS25" s="43">
        <v>0.73</v>
      </c>
      <c r="DT25" s="43">
        <v>0.91666666666666696</v>
      </c>
      <c r="DU25" s="43">
        <v>497.44439999999997</v>
      </c>
      <c r="DV25" s="43">
        <v>287.75619999999998</v>
      </c>
      <c r="DW25" s="43">
        <v>106.762</v>
      </c>
      <c r="DX25" s="43">
        <v>0.95</v>
      </c>
      <c r="DY25" s="43">
        <v>0.96433690000000005</v>
      </c>
      <c r="DZ25" s="43">
        <v>0.998</v>
      </c>
      <c r="EA25" s="43">
        <v>778.47640000000001</v>
      </c>
      <c r="EB25" s="43">
        <v>89.868260000000006</v>
      </c>
      <c r="EC25" s="43">
        <v>0.93099989999999999</v>
      </c>
      <c r="ED25" s="43">
        <v>0.90299989999999997</v>
      </c>
      <c r="EE25" s="43">
        <v>0.95833330000000005</v>
      </c>
      <c r="EF25" s="43">
        <v>1.000667</v>
      </c>
      <c r="EG25" s="43">
        <v>0.91933330000000002</v>
      </c>
      <c r="EH25" s="43">
        <v>0.39637031310398102</v>
      </c>
      <c r="EI25" s="43">
        <v>0.16373158756137501</v>
      </c>
      <c r="EJ25" s="43">
        <v>18.755318467170699</v>
      </c>
      <c r="EK25" s="43">
        <v>10.6425531914894</v>
      </c>
      <c r="EL25" s="43">
        <v>0.46875089534420999</v>
      </c>
      <c r="EM25" s="43">
        <v>2239.3701007540899</v>
      </c>
      <c r="EN25" s="43">
        <v>557.58506073766796</v>
      </c>
      <c r="EO25" s="43">
        <v>82867.083640960904</v>
      </c>
      <c r="EP25" s="43">
        <v>56179.615466722898</v>
      </c>
      <c r="EQ25" s="43">
        <v>3996.4639808922102</v>
      </c>
      <c r="ER25" s="43">
        <v>1.2137516174897001</v>
      </c>
      <c r="ES25" s="43">
        <v>1.2965814127519499</v>
      </c>
      <c r="ET25" s="43">
        <v>1.1978920670025699</v>
      </c>
      <c r="EU25" s="43">
        <v>0.56962040000000003</v>
      </c>
      <c r="EV25" s="43">
        <v>0.98482809999999998</v>
      </c>
      <c r="EW25" s="43">
        <v>0.95652619999999999</v>
      </c>
      <c r="EX25" s="43">
        <v>0.56732590000000005</v>
      </c>
      <c r="EY25" s="43">
        <v>0.9821512</v>
      </c>
      <c r="EZ25" s="43">
        <v>0.96027379999999996</v>
      </c>
      <c r="FA25" s="43">
        <v>4.298</v>
      </c>
      <c r="FB25" s="43">
        <v>4.298</v>
      </c>
      <c r="FC25" s="43">
        <v>18.193000000000001</v>
      </c>
      <c r="FD25" s="43">
        <v>8127.5429999999997</v>
      </c>
      <c r="FE25" s="43">
        <v>61383.54</v>
      </c>
      <c r="FF25" s="43">
        <v>1.0783749999999901</v>
      </c>
      <c r="FG25" s="43">
        <v>1.7385930000000001</v>
      </c>
      <c r="FH25" s="43">
        <v>529.10810000000004</v>
      </c>
      <c r="FI25" s="43">
        <v>9492.5490000000009</v>
      </c>
      <c r="FJ25" s="43">
        <v>6.8270999999999997</v>
      </c>
      <c r="FK25" s="43">
        <v>13.06658</v>
      </c>
      <c r="FL25" s="43">
        <v>0.87038660000000001</v>
      </c>
      <c r="FM25" s="43">
        <v>0.91062949999999998</v>
      </c>
    </row>
    <row r="26" spans="1:169" x14ac:dyDescent="0.25">
      <c r="A26" s="43" t="s">
        <v>253</v>
      </c>
      <c r="B26" s="43">
        <v>16582.71</v>
      </c>
      <c r="C26" s="43">
        <v>11202.63</v>
      </c>
      <c r="D26" s="43">
        <v>2.1737709999999999</v>
      </c>
      <c r="E26" s="43">
        <v>0.13344439999999999</v>
      </c>
      <c r="F26" s="43">
        <v>3.7175560000000001</v>
      </c>
      <c r="G26" s="43">
        <v>9.8344450000000005</v>
      </c>
      <c r="H26" s="43">
        <v>0.89613830000000005</v>
      </c>
      <c r="I26" s="43">
        <v>0.91219810000000001</v>
      </c>
      <c r="J26" s="43">
        <v>0.82526339999999998</v>
      </c>
      <c r="K26" s="43">
        <v>0.98907540000000005</v>
      </c>
      <c r="L26" s="43">
        <v>1.7852669999999999</v>
      </c>
      <c r="M26" s="43">
        <v>78.715000000000003</v>
      </c>
      <c r="N26" s="43">
        <v>76.3333333333333</v>
      </c>
      <c r="O26" s="43">
        <v>5.14088888888889</v>
      </c>
      <c r="P26" s="43">
        <v>0.61799999999999999</v>
      </c>
      <c r="Q26" s="43">
        <v>-471.12959999999998</v>
      </c>
      <c r="R26" s="43">
        <v>3.25</v>
      </c>
      <c r="S26" s="43">
        <v>2374.7240000000002</v>
      </c>
      <c r="T26" s="43">
        <v>0.1065556</v>
      </c>
      <c r="U26" s="43">
        <v>4.62</v>
      </c>
      <c r="V26" s="43">
        <v>1892.4659999999999</v>
      </c>
      <c r="W26" s="43">
        <v>1.111</v>
      </c>
      <c r="X26" s="43">
        <v>12306.5</v>
      </c>
      <c r="Y26" s="43">
        <v>1.2609140000000001</v>
      </c>
      <c r="Z26" s="43">
        <v>0.71071260000000003</v>
      </c>
      <c r="AA26" s="43">
        <v>0.93906000000000001</v>
      </c>
      <c r="AB26" s="43">
        <v>1.01475</v>
      </c>
      <c r="AC26" s="43">
        <v>73.769450000000006</v>
      </c>
      <c r="AD26" s="43">
        <v>0.89017999999999997</v>
      </c>
      <c r="AE26" s="43">
        <v>0.82747000000000004</v>
      </c>
      <c r="AF26" s="43">
        <v>0.79949000000000003</v>
      </c>
      <c r="AG26" s="43">
        <v>308.90159999999997</v>
      </c>
      <c r="AH26" s="43">
        <v>117.0878</v>
      </c>
      <c r="AI26" s="43">
        <v>1.808478</v>
      </c>
      <c r="AJ26" s="43">
        <v>1.8460000000000001</v>
      </c>
      <c r="AK26" s="43">
        <v>14764.61</v>
      </c>
      <c r="AM26" s="43">
        <v>1.84534444444444</v>
      </c>
      <c r="AN26" s="43">
        <v>2.456944</v>
      </c>
      <c r="AO26" s="43">
        <v>1.8125777777777801</v>
      </c>
      <c r="AP26" s="43">
        <v>2.2311222222222198</v>
      </c>
      <c r="AQ26" s="43">
        <v>2.4337330000000001</v>
      </c>
      <c r="AR26" s="43">
        <v>1.6757219999999999</v>
      </c>
      <c r="AS26" s="43">
        <v>1.6420779999999999</v>
      </c>
      <c r="AT26" s="43">
        <v>1.8275779999999999</v>
      </c>
      <c r="AU26" s="43">
        <v>1.8230219999999999</v>
      </c>
      <c r="AV26" s="43">
        <v>1723.0409999999999</v>
      </c>
      <c r="AW26" s="43">
        <v>946.49599999999998</v>
      </c>
      <c r="AX26" s="43">
        <v>0.88006320000000005</v>
      </c>
      <c r="AY26" s="43">
        <v>1.1542779999999999</v>
      </c>
      <c r="AZ26" s="43">
        <v>194.16669999999999</v>
      </c>
      <c r="BA26" s="43">
        <v>0.96100249999999998</v>
      </c>
      <c r="BB26" s="43">
        <v>96</v>
      </c>
      <c r="BC26" s="43">
        <v>21.527560000000001</v>
      </c>
      <c r="BD26" s="43">
        <v>8.3655559999999998</v>
      </c>
      <c r="BE26" s="43">
        <v>0.84099999999999997</v>
      </c>
      <c r="BF26" s="43">
        <v>0.1894556</v>
      </c>
      <c r="BG26" s="43">
        <v>0.5</v>
      </c>
      <c r="BH26" s="43">
        <v>3.4682219999999999</v>
      </c>
      <c r="BI26" s="43">
        <v>0.92200000000000004</v>
      </c>
      <c r="BJ26" s="43">
        <v>0.95399999999999996</v>
      </c>
      <c r="BK26" s="43">
        <v>76.777019999999993</v>
      </c>
      <c r="BL26" s="43">
        <v>81.924210000000002</v>
      </c>
      <c r="BM26" s="43">
        <v>0.87623819999999997</v>
      </c>
      <c r="BN26" s="43">
        <v>1.1547540000000001</v>
      </c>
      <c r="BO26" s="43">
        <v>33.870139999999999</v>
      </c>
      <c r="BP26" s="43">
        <v>1.04077</v>
      </c>
      <c r="BQ26" s="43">
        <v>1607.8</v>
      </c>
      <c r="BR26" s="43">
        <v>359.26076351768</v>
      </c>
      <c r="BS26" s="43">
        <v>9925.3420000000006</v>
      </c>
      <c r="BT26" s="43">
        <v>5591.7489999999998</v>
      </c>
      <c r="BU26" s="43">
        <v>0.93357769999999995</v>
      </c>
      <c r="BV26" s="43">
        <v>0.92104889999999995</v>
      </c>
      <c r="BW26" s="43">
        <v>0.94437780000000004</v>
      </c>
      <c r="BX26" s="43">
        <v>1.384396</v>
      </c>
      <c r="BY26" s="43">
        <v>3.193778</v>
      </c>
      <c r="BZ26" s="43">
        <v>3.387222</v>
      </c>
      <c r="CA26" s="43">
        <v>3.306889</v>
      </c>
      <c r="CB26" s="43">
        <v>0.64111819999999997</v>
      </c>
      <c r="CC26" s="43">
        <v>7.1924530000000004</v>
      </c>
      <c r="CD26" s="43">
        <v>0.86298889999999995</v>
      </c>
      <c r="CE26" s="43">
        <v>0.98461109999999996</v>
      </c>
      <c r="CF26" s="43">
        <v>1.050511</v>
      </c>
      <c r="CG26" s="43">
        <v>0.94666669999999997</v>
      </c>
      <c r="CH26" s="43">
        <v>0.96912220000000004</v>
      </c>
      <c r="CI26" s="43">
        <v>0.95720000000000005</v>
      </c>
      <c r="CJ26" s="43">
        <v>1.0671330000000001</v>
      </c>
      <c r="CK26" s="43">
        <v>0.91666669999999995</v>
      </c>
      <c r="CL26" s="43">
        <v>0.92066669999999995</v>
      </c>
      <c r="CM26" s="43">
        <v>0.93899999999999995</v>
      </c>
      <c r="CN26" s="43">
        <v>0.91906670000000001</v>
      </c>
      <c r="CO26" s="43">
        <v>0.91500000000000004</v>
      </c>
      <c r="CP26" s="43">
        <v>0.72269260000000002</v>
      </c>
      <c r="CQ26" s="43">
        <v>0.96688890000000005</v>
      </c>
      <c r="CR26" s="43">
        <v>0.52</v>
      </c>
      <c r="CS26" s="43">
        <v>55.172319801577103</v>
      </c>
      <c r="CT26" s="43">
        <v>29.914400000000001</v>
      </c>
      <c r="CU26" s="43">
        <v>18.72972</v>
      </c>
      <c r="CV26" s="43">
        <v>25.929341124800001</v>
      </c>
      <c r="CW26" s="43">
        <v>0.94399999999999995</v>
      </c>
      <c r="CX26" s="43">
        <v>0.94433330000000004</v>
      </c>
      <c r="CY26" s="43">
        <v>1.021333</v>
      </c>
      <c r="CZ26" s="43">
        <v>0.96499999999999997</v>
      </c>
      <c r="DA26" s="43">
        <v>0.93566666666666698</v>
      </c>
      <c r="DB26" s="43">
        <v>0.93839854410000001</v>
      </c>
      <c r="DC26" s="43">
        <v>1.02233333333333</v>
      </c>
      <c r="DD26" s="43">
        <v>0.77100000000000002</v>
      </c>
      <c r="DE26" s="43">
        <v>0.88</v>
      </c>
      <c r="DF26" s="43">
        <v>0.878</v>
      </c>
      <c r="DG26" s="43">
        <v>0.91600000000000004</v>
      </c>
      <c r="DH26" s="43">
        <v>0.76400000000000001</v>
      </c>
      <c r="DI26" s="43">
        <v>0.72299999999999998</v>
      </c>
      <c r="DJ26" s="43">
        <v>0.61799999999999999</v>
      </c>
      <c r="DK26" s="43">
        <v>1.0353330000000001</v>
      </c>
      <c r="DL26" s="43">
        <v>0.9013333</v>
      </c>
      <c r="DM26" s="43">
        <v>0.92733339999999997</v>
      </c>
      <c r="DN26" s="43">
        <v>0.921333333333333</v>
      </c>
      <c r="DO26" s="43">
        <v>0.83699999999999997</v>
      </c>
      <c r="DP26" s="43">
        <v>0.86933329999999998</v>
      </c>
      <c r="DQ26" s="43">
        <v>1.5136670000000001</v>
      </c>
      <c r="DR26" s="43">
        <v>0.91100000000000003</v>
      </c>
      <c r="DS26" s="43">
        <v>0.76300000000000001</v>
      </c>
      <c r="DT26" s="43">
        <v>0.95133333333333303</v>
      </c>
      <c r="DU26" s="43">
        <v>502.59899999999999</v>
      </c>
      <c r="DV26" s="43">
        <v>288.82420000000002</v>
      </c>
      <c r="DW26" s="43">
        <v>111.2311</v>
      </c>
      <c r="DX26" s="43">
        <v>0.94968889999999995</v>
      </c>
      <c r="DY26" s="43">
        <v>0.97099999999999997</v>
      </c>
      <c r="DZ26" s="43">
        <v>0.998</v>
      </c>
      <c r="EA26" s="43">
        <v>808.52610000000004</v>
      </c>
      <c r="EB26" s="43">
        <v>90.669330000000002</v>
      </c>
      <c r="EC26" s="43">
        <v>0.93899999999999995</v>
      </c>
      <c r="ED26" s="43">
        <v>0.91500000000000004</v>
      </c>
      <c r="EE26" s="43">
        <v>0.94433330000000004</v>
      </c>
      <c r="EF26" s="43">
        <v>1.021333</v>
      </c>
      <c r="EG26" s="43">
        <v>0.94399999999999995</v>
      </c>
      <c r="EH26" s="43">
        <v>0.39985697719366098</v>
      </c>
      <c r="EI26" s="43">
        <v>0.165171849427169</v>
      </c>
      <c r="EJ26" s="43">
        <v>18.920299277357799</v>
      </c>
      <c r="EK26" s="43">
        <v>10.736170212766</v>
      </c>
      <c r="EL26" s="43">
        <v>0.47287425387982501</v>
      </c>
      <c r="EM26" s="43">
        <v>2326.39545285453</v>
      </c>
      <c r="EN26" s="43">
        <v>579.253670236517</v>
      </c>
      <c r="EO26" s="43">
        <v>86087.425436612393</v>
      </c>
      <c r="EP26" s="43">
        <v>58362.8413726203</v>
      </c>
      <c r="EQ26" s="43">
        <v>4151.77269246995</v>
      </c>
      <c r="ER26" s="43">
        <v>1.2281238918223401</v>
      </c>
      <c r="ES26" s="43">
        <v>1.3119344911661399</v>
      </c>
      <c r="ET26" s="43">
        <v>1.21293397348445</v>
      </c>
      <c r="EU26" s="43">
        <v>0.58019350000000003</v>
      </c>
      <c r="EV26" s="43">
        <v>1.0353250000000001</v>
      </c>
      <c r="EW26" s="43">
        <v>0.97208329999999998</v>
      </c>
      <c r="EX26" s="43">
        <v>0.57984029999999998</v>
      </c>
      <c r="EY26" s="43">
        <v>1.0280100000000001</v>
      </c>
      <c r="EZ26" s="43">
        <v>0.96889590000000003</v>
      </c>
      <c r="FA26" s="43">
        <v>4.4000000000000004</v>
      </c>
      <c r="FB26" s="43">
        <v>4.4000000000000004</v>
      </c>
      <c r="FC26" s="43">
        <v>18.646999999999998</v>
      </c>
      <c r="FD26" s="43">
        <v>8174.241</v>
      </c>
      <c r="FE26" s="43">
        <v>62216.959999999999</v>
      </c>
      <c r="FF26" s="43">
        <v>1.1104687499999999</v>
      </c>
      <c r="FG26" s="43">
        <v>1.801769</v>
      </c>
      <c r="FH26" s="43">
        <v>528.83389999999997</v>
      </c>
      <c r="FI26" s="43">
        <v>9273.4539999999997</v>
      </c>
      <c r="FJ26" s="43">
        <v>6.8271569999999997</v>
      </c>
      <c r="FK26" s="43">
        <v>12.766590000000001</v>
      </c>
      <c r="FL26" s="43">
        <v>0.89447679999999996</v>
      </c>
      <c r="FM26" s="43">
        <v>0.91481979999999996</v>
      </c>
    </row>
    <row r="27" spans="1:169" x14ac:dyDescent="0.25">
      <c r="A27" s="43" t="s">
        <v>254</v>
      </c>
      <c r="B27" s="43">
        <v>16743.16</v>
      </c>
      <c r="C27" s="43">
        <v>11302.97</v>
      </c>
      <c r="D27" s="43">
        <v>2.1729720000000001</v>
      </c>
      <c r="E27" s="43">
        <v>0.19340660000000001</v>
      </c>
      <c r="F27" s="43">
        <v>3.4892310000000002</v>
      </c>
      <c r="G27" s="43">
        <v>9.6329670000000007</v>
      </c>
      <c r="H27" s="43">
        <v>0.91357429999999995</v>
      </c>
      <c r="I27" s="43">
        <v>0.93489169999999999</v>
      </c>
      <c r="J27" s="43">
        <v>0.85906340000000003</v>
      </c>
      <c r="K27" s="43">
        <v>1.0010110000000001</v>
      </c>
      <c r="L27" s="43">
        <v>1.7870220000000001</v>
      </c>
      <c r="M27" s="43">
        <v>77.745490000000004</v>
      </c>
      <c r="N27" s="43">
        <v>78.481868131868097</v>
      </c>
      <c r="O27" s="43">
        <v>4.3213186813186804</v>
      </c>
      <c r="P27" s="43">
        <v>0.60199999999999998</v>
      </c>
      <c r="Q27" s="43">
        <v>-514.80690000000004</v>
      </c>
      <c r="R27" s="43">
        <v>3.25</v>
      </c>
      <c r="S27" s="43">
        <v>2387.7950000000001</v>
      </c>
      <c r="T27" s="43">
        <v>0.1468132</v>
      </c>
      <c r="U27" s="43">
        <v>4.3691209999999998</v>
      </c>
      <c r="V27" s="43">
        <v>1884.396</v>
      </c>
      <c r="W27" s="43">
        <v>1.1160000000000001</v>
      </c>
      <c r="X27" s="43">
        <v>12510.89</v>
      </c>
      <c r="Y27" s="43">
        <v>1.2528550000000001</v>
      </c>
      <c r="Z27" s="43">
        <v>0.72920439999999997</v>
      </c>
      <c r="AA27" s="43">
        <v>0.94137000000000004</v>
      </c>
      <c r="AB27" s="43">
        <v>1.02946</v>
      </c>
      <c r="AC27" s="43">
        <v>75.506039999999999</v>
      </c>
      <c r="AD27" s="43">
        <v>0.89431000000000005</v>
      </c>
      <c r="AE27" s="43">
        <v>0.83231999999999995</v>
      </c>
      <c r="AF27" s="43">
        <v>0.79388000000000003</v>
      </c>
      <c r="AG27" s="43">
        <v>309.48829999999998</v>
      </c>
      <c r="AH27" s="43">
        <v>117.3047</v>
      </c>
      <c r="AI27" s="43">
        <v>1.828066</v>
      </c>
      <c r="AJ27" s="43">
        <v>1.86866666666667</v>
      </c>
      <c r="AK27" s="43">
        <v>14980.19</v>
      </c>
      <c r="AM27" s="43">
        <v>1.87867032967033</v>
      </c>
      <c r="AN27" s="43">
        <v>1.981714</v>
      </c>
      <c r="AO27" s="43">
        <v>1.84289010989011</v>
      </c>
      <c r="AP27" s="43">
        <v>2.1560439560439599</v>
      </c>
      <c r="AQ27" s="43">
        <v>2.4663629999999999</v>
      </c>
      <c r="AR27" s="43">
        <v>1.707319</v>
      </c>
      <c r="AS27" s="43">
        <v>1.6282749999999999</v>
      </c>
      <c r="AT27" s="43">
        <v>1.8436920000000001</v>
      </c>
      <c r="AU27" s="43">
        <v>1.824835</v>
      </c>
      <c r="AV27" s="43">
        <v>1732.057</v>
      </c>
      <c r="AW27" s="43">
        <v>954.54600000000005</v>
      </c>
      <c r="AX27" s="43">
        <v>0.90636030000000001</v>
      </c>
      <c r="AY27" s="43">
        <v>1.161681</v>
      </c>
      <c r="AZ27" s="43">
        <v>198.83330000000001</v>
      </c>
      <c r="BA27" s="43">
        <v>0.9731514</v>
      </c>
      <c r="BB27" s="43">
        <v>94.8</v>
      </c>
      <c r="BC27" s="43">
        <v>21.46011</v>
      </c>
      <c r="BD27" s="43">
        <v>8.0999990000000004</v>
      </c>
      <c r="BE27" s="43">
        <v>0.84499999999999997</v>
      </c>
      <c r="BF27" s="43">
        <v>0.41637360000000001</v>
      </c>
      <c r="BG27" s="43">
        <v>0.58333330000000005</v>
      </c>
      <c r="BH27" s="43">
        <v>3.4763739999999999</v>
      </c>
      <c r="BI27" s="43">
        <v>0.93700000000000006</v>
      </c>
      <c r="BJ27" s="43">
        <v>0.95399999999999996</v>
      </c>
      <c r="BK27" s="43">
        <v>77.608019999999996</v>
      </c>
      <c r="BL27" s="43">
        <v>79.909809999999993</v>
      </c>
      <c r="BM27" s="43">
        <v>0.90678689999999995</v>
      </c>
      <c r="BN27" s="43">
        <v>1.161438</v>
      </c>
      <c r="BO27" s="43">
        <v>33.961860000000001</v>
      </c>
      <c r="BP27" s="43">
        <v>1.0278384615384599</v>
      </c>
      <c r="BQ27" s="43">
        <v>1620.6759999999999</v>
      </c>
      <c r="BR27" s="43">
        <v>358.36747744474002</v>
      </c>
      <c r="BS27" s="43">
        <v>10021.58</v>
      </c>
      <c r="BT27" s="43">
        <v>5606.6319999999996</v>
      </c>
      <c r="BU27" s="43">
        <v>0.95939560000000002</v>
      </c>
      <c r="BV27" s="43">
        <v>0.93317030000000001</v>
      </c>
      <c r="BW27" s="43">
        <v>0.96167029999999998</v>
      </c>
      <c r="BX27" s="43">
        <v>1.273245</v>
      </c>
      <c r="BY27" s="43">
        <v>2.8430770000000001</v>
      </c>
      <c r="BZ27" s="43">
        <v>3.0793409999999999</v>
      </c>
      <c r="CA27" s="43">
        <v>2.8358240000000001</v>
      </c>
      <c r="CB27" s="43">
        <v>0.67048470000000004</v>
      </c>
      <c r="CC27" s="43">
        <v>7.5790240000000004</v>
      </c>
      <c r="CD27" s="43">
        <v>0.9068022</v>
      </c>
      <c r="CE27" s="43">
        <v>0.99671430000000005</v>
      </c>
      <c r="CF27" s="43">
        <v>1.071253</v>
      </c>
      <c r="CG27" s="43">
        <v>0.90466659999999999</v>
      </c>
      <c r="CH27" s="43">
        <v>0.96568129999999996</v>
      </c>
      <c r="CI27" s="43">
        <v>0.95507690000000001</v>
      </c>
      <c r="CJ27" s="43">
        <v>1.070945</v>
      </c>
      <c r="CK27" s="43">
        <v>0.90766670000000005</v>
      </c>
      <c r="CL27" s="43">
        <v>0.92500000000000004</v>
      </c>
      <c r="CM27" s="43">
        <v>0.95399999999999996</v>
      </c>
      <c r="CN27" s="43">
        <v>0.93240000000000001</v>
      </c>
      <c r="CO27" s="43">
        <v>0.93700000000000006</v>
      </c>
      <c r="CP27" s="43">
        <v>0.78658490000000003</v>
      </c>
      <c r="CQ27" s="43">
        <v>0.96035159999999997</v>
      </c>
      <c r="CR27" s="43">
        <v>0.59318680000000001</v>
      </c>
      <c r="CS27" s="43">
        <v>61.599615742073702</v>
      </c>
      <c r="CT27" s="43">
        <v>30.359369999999998</v>
      </c>
      <c r="CU27" s="43">
        <v>20.114570000000001</v>
      </c>
      <c r="CV27" s="43">
        <v>25.610776784846198</v>
      </c>
      <c r="CW27" s="43">
        <v>0.96333329999999995</v>
      </c>
      <c r="CX27" s="43">
        <v>0.96499999999999997</v>
      </c>
      <c r="CY27" s="43">
        <v>1.014</v>
      </c>
      <c r="CZ27" s="43">
        <v>0.98366666666666702</v>
      </c>
      <c r="DA27" s="43">
        <v>0.95</v>
      </c>
      <c r="DB27" s="43">
        <v>0.99363057320000003</v>
      </c>
      <c r="DC27" s="43">
        <v>1.0613333333333299</v>
      </c>
      <c r="DD27" s="43">
        <v>0.76900000000000002</v>
      </c>
      <c r="DE27" s="43">
        <v>0.878</v>
      </c>
      <c r="DF27" s="43">
        <v>0.879</v>
      </c>
      <c r="DG27" s="43">
        <v>0.91300000000000003</v>
      </c>
      <c r="DH27" s="43">
        <v>0.76400000000000001</v>
      </c>
      <c r="DI27" s="43">
        <v>0.72599999999999998</v>
      </c>
      <c r="DJ27" s="43">
        <v>0.624</v>
      </c>
      <c r="DK27" s="43">
        <v>0.94066669999999997</v>
      </c>
      <c r="DL27" s="43">
        <v>0.94299999999999995</v>
      </c>
      <c r="DM27" s="43">
        <v>0.94466669999999997</v>
      </c>
      <c r="DN27" s="43">
        <v>0.94299999999999995</v>
      </c>
      <c r="DO27" s="43">
        <v>0.84133329999999995</v>
      </c>
      <c r="DP27" s="43">
        <v>0.90833339999999996</v>
      </c>
      <c r="DQ27" s="43">
        <v>1.1846669999999999</v>
      </c>
      <c r="DR27" s="43">
        <v>0.91300000000000003</v>
      </c>
      <c r="DS27" s="43">
        <v>0.77200000000000002</v>
      </c>
      <c r="DT27" s="43">
        <v>0.913333333333333</v>
      </c>
      <c r="DU27" s="43">
        <v>508.75130000000001</v>
      </c>
      <c r="DV27" s="43">
        <v>290.95569999999998</v>
      </c>
      <c r="DW27" s="43">
        <v>112.2692</v>
      </c>
      <c r="DX27" s="43">
        <v>0.95034070000000004</v>
      </c>
      <c r="DY27" s="43">
        <v>0.97301099999999996</v>
      </c>
      <c r="DZ27" s="43">
        <v>0.99299999999999999</v>
      </c>
      <c r="EA27" s="43">
        <v>786.22</v>
      </c>
      <c r="EB27" s="43">
        <v>92.076059999999998</v>
      </c>
      <c r="EC27" s="43">
        <v>0.95399999999999996</v>
      </c>
      <c r="ED27" s="43">
        <v>0.93700000000000006</v>
      </c>
      <c r="EE27" s="43">
        <v>0.96499999999999997</v>
      </c>
      <c r="EF27" s="43">
        <v>1.014</v>
      </c>
      <c r="EG27" s="43">
        <v>0.96333329999999995</v>
      </c>
      <c r="EH27" s="43">
        <v>0.40175879396984898</v>
      </c>
      <c r="EI27" s="43">
        <v>0.16595744680851099</v>
      </c>
      <c r="EJ27" s="43">
        <v>19.010288810186999</v>
      </c>
      <c r="EK27" s="43">
        <v>10.7872340425532</v>
      </c>
      <c r="EL27" s="43">
        <v>0.47512335853561499</v>
      </c>
      <c r="EM27" s="43">
        <v>2381.1609080865601</v>
      </c>
      <c r="EN27" s="43">
        <v>592.88982607855405</v>
      </c>
      <c r="EO27" s="43">
        <v>88114.001373220803</v>
      </c>
      <c r="EP27" s="43">
        <v>59736.7554990793</v>
      </c>
      <c r="EQ27" s="43">
        <v>4249.5091805825296</v>
      </c>
      <c r="ER27" s="43">
        <v>1.2506120659400899</v>
      </c>
      <c r="ES27" s="43">
        <v>1.33595732100023</v>
      </c>
      <c r="ET27" s="43">
        <v>1.23431002431895</v>
      </c>
      <c r="EU27" s="43">
        <v>0.59779380000000004</v>
      </c>
      <c r="EV27" s="43">
        <v>1.0435810000000001</v>
      </c>
      <c r="EW27" s="43">
        <v>0.98244960000000003</v>
      </c>
      <c r="EX27" s="43">
        <v>0.59918590000000005</v>
      </c>
      <c r="EY27" s="43">
        <v>1.0533980000000001</v>
      </c>
      <c r="EZ27" s="43">
        <v>0.98340399999999994</v>
      </c>
      <c r="FA27" s="43">
        <v>4.5410000000000004</v>
      </c>
      <c r="FB27" s="43">
        <v>4.5410000000000004</v>
      </c>
      <c r="FC27" s="43">
        <v>19.266999999999999</v>
      </c>
      <c r="FD27" s="43">
        <v>8368.9490000000005</v>
      </c>
      <c r="FE27" s="43">
        <v>62633.45</v>
      </c>
      <c r="FF27" s="43">
        <v>1.12578125</v>
      </c>
      <c r="FG27" s="43">
        <v>1.7919799999999999</v>
      </c>
      <c r="FH27" s="43">
        <v>540.99800000000005</v>
      </c>
      <c r="FI27" s="43">
        <v>9153.3610000000008</v>
      </c>
      <c r="FJ27" s="43">
        <v>6.823874</v>
      </c>
      <c r="FK27" s="43">
        <v>12.560510000000001</v>
      </c>
      <c r="FL27" s="43">
        <v>0.9278807</v>
      </c>
      <c r="FM27" s="43">
        <v>0.9253728</v>
      </c>
    </row>
    <row r="28" spans="1:169" x14ac:dyDescent="0.25">
      <c r="A28" s="43" t="s">
        <v>255</v>
      </c>
      <c r="B28" s="43">
        <v>16872.27</v>
      </c>
      <c r="C28" s="43">
        <v>11383.42</v>
      </c>
      <c r="D28" s="43">
        <v>2.179306</v>
      </c>
      <c r="E28" s="43">
        <v>0.1866304</v>
      </c>
      <c r="F28" s="43">
        <v>2.7881520000000002</v>
      </c>
      <c r="G28" s="43">
        <v>9.4663039999999992</v>
      </c>
      <c r="H28" s="43">
        <v>0.92563010000000001</v>
      </c>
      <c r="I28" s="43">
        <v>0.94462599999999997</v>
      </c>
      <c r="J28" s="43">
        <v>0.8771061</v>
      </c>
      <c r="K28" s="43">
        <v>1.0021249999999999</v>
      </c>
      <c r="L28" s="43">
        <v>1.793587</v>
      </c>
      <c r="M28" s="43">
        <v>76.062169999999995</v>
      </c>
      <c r="N28" s="43">
        <v>76.808913043478299</v>
      </c>
      <c r="O28" s="43">
        <v>4.2842391304347798</v>
      </c>
      <c r="P28" s="43">
        <v>0.57966669999999998</v>
      </c>
      <c r="Q28" s="43">
        <v>-517.3886</v>
      </c>
      <c r="R28" s="43">
        <v>3.25</v>
      </c>
      <c r="S28" s="43">
        <v>2396.65</v>
      </c>
      <c r="T28" s="43">
        <v>0.15673909999999999</v>
      </c>
      <c r="U28" s="43">
        <v>3.856598</v>
      </c>
      <c r="V28" s="43">
        <v>2061.5189999999998</v>
      </c>
      <c r="W28" s="43">
        <v>1.121</v>
      </c>
      <c r="X28" s="43">
        <v>12578.38</v>
      </c>
      <c r="Y28" s="43">
        <v>1.24577</v>
      </c>
      <c r="Z28" s="43">
        <v>0.74302239999999997</v>
      </c>
      <c r="AA28" s="43">
        <v>0.94810000000000005</v>
      </c>
      <c r="AB28" s="43">
        <v>1.0357400000000001</v>
      </c>
      <c r="AC28" s="43">
        <v>72.633260000000007</v>
      </c>
      <c r="AD28" s="43">
        <v>0.89754999999999996</v>
      </c>
      <c r="AE28" s="43">
        <v>0.83728999999999998</v>
      </c>
      <c r="AF28" s="43">
        <v>0.79393000000000002</v>
      </c>
      <c r="AG28" s="43">
        <v>310.1454</v>
      </c>
      <c r="AH28" s="43">
        <v>117.6484</v>
      </c>
      <c r="AI28" s="43">
        <v>1.82725</v>
      </c>
      <c r="AJ28" s="43">
        <v>1.87</v>
      </c>
      <c r="AK28" s="43">
        <v>15141.61</v>
      </c>
      <c r="AM28" s="43">
        <v>1.9183043478260899</v>
      </c>
      <c r="AN28" s="43">
        <v>2.012381</v>
      </c>
      <c r="AO28" s="43">
        <v>1.8646304347826099</v>
      </c>
      <c r="AP28" s="43">
        <v>2.1785760869565198</v>
      </c>
      <c r="AQ28" s="43">
        <v>2.4445220000000001</v>
      </c>
      <c r="AR28" s="43">
        <v>1.718337</v>
      </c>
      <c r="AS28" s="43">
        <v>1.6528149999999999</v>
      </c>
      <c r="AT28" s="43">
        <v>1.8642069999999999</v>
      </c>
      <c r="AU28" s="43">
        <v>1.80725</v>
      </c>
      <c r="AV28" s="43">
        <v>1744.3320000000001</v>
      </c>
      <c r="AW28" s="43">
        <v>962.245</v>
      </c>
      <c r="AX28" s="43">
        <v>0.91658200000000001</v>
      </c>
      <c r="AY28" s="43">
        <v>1.1679889999999999</v>
      </c>
      <c r="AZ28" s="43">
        <v>191.66669999999999</v>
      </c>
      <c r="BA28" s="43">
        <v>0.96285469999999995</v>
      </c>
      <c r="BB28" s="43">
        <v>95.9</v>
      </c>
      <c r="BC28" s="43">
        <v>22.414239999999999</v>
      </c>
      <c r="BD28" s="43">
        <v>8.1999999999999993</v>
      </c>
      <c r="BE28" s="43">
        <v>0.84533329999999995</v>
      </c>
      <c r="BF28" s="43">
        <v>0.70334790000000003</v>
      </c>
      <c r="BG28" s="43">
        <v>1.0833330000000001</v>
      </c>
      <c r="BH28" s="43">
        <v>2.998043</v>
      </c>
      <c r="BI28" s="43">
        <v>0.94399999999999995</v>
      </c>
      <c r="BJ28" s="43">
        <v>0.95499999999999996</v>
      </c>
      <c r="BK28" s="43">
        <v>75.436430000000001</v>
      </c>
      <c r="BL28" s="43">
        <v>78.997680000000003</v>
      </c>
      <c r="BM28" s="43">
        <v>0.9247301</v>
      </c>
      <c r="BN28" s="43">
        <v>1.1532249999999999</v>
      </c>
      <c r="BO28" s="43">
        <v>34.051139999999997</v>
      </c>
      <c r="BP28" s="43">
        <v>1.0385934782608699</v>
      </c>
      <c r="BQ28" s="43">
        <v>1629.94</v>
      </c>
      <c r="BR28" s="43">
        <v>357.278311611562</v>
      </c>
      <c r="BS28" s="43">
        <v>10066.08</v>
      </c>
      <c r="BT28" s="43">
        <v>5618.5159999999996</v>
      </c>
      <c r="BU28" s="43">
        <v>0.9679565</v>
      </c>
      <c r="BV28" s="43">
        <v>0.93170540000000002</v>
      </c>
      <c r="BW28" s="43">
        <v>0.96931520000000004</v>
      </c>
      <c r="BX28" s="43">
        <v>1.293722</v>
      </c>
      <c r="BY28" s="43">
        <v>2.4511959999999999</v>
      </c>
      <c r="BZ28" s="43">
        <v>2.6777169999999999</v>
      </c>
      <c r="CA28" s="43">
        <v>2.5570650000000001</v>
      </c>
      <c r="CB28" s="43">
        <v>0.64448269999999996</v>
      </c>
      <c r="CC28" s="43">
        <v>7.251544</v>
      </c>
      <c r="CD28" s="43">
        <v>0.92154349999999996</v>
      </c>
      <c r="CE28" s="43">
        <v>1.0012719999999999</v>
      </c>
      <c r="CF28" s="43">
        <v>1.0982069999999999</v>
      </c>
      <c r="CG28" s="43">
        <v>0.874</v>
      </c>
      <c r="CH28" s="43">
        <v>0.98424999999999996</v>
      </c>
      <c r="CI28" s="43">
        <v>0.96114129999999998</v>
      </c>
      <c r="CJ28" s="43">
        <v>1.082239</v>
      </c>
      <c r="CK28" s="43">
        <v>0.9116668</v>
      </c>
      <c r="CL28" s="43">
        <v>0.92800000000000005</v>
      </c>
      <c r="CM28" s="43">
        <v>0.96300010000000003</v>
      </c>
      <c r="CN28" s="43">
        <v>0.93676669999999995</v>
      </c>
      <c r="CO28" s="43">
        <v>0.94099999999999995</v>
      </c>
      <c r="CP28" s="43">
        <v>0.77303149999999998</v>
      </c>
      <c r="CQ28" s="43">
        <v>0.96764130000000004</v>
      </c>
      <c r="CR28" s="43">
        <v>0.84444560000000002</v>
      </c>
      <c r="CS28" s="43">
        <v>59.369425070080702</v>
      </c>
      <c r="CT28" s="43">
        <v>30.70806</v>
      </c>
      <c r="CU28" s="43">
        <v>19.373149999999999</v>
      </c>
      <c r="CV28" s="43">
        <v>25.0634653104348</v>
      </c>
      <c r="CW28" s="43">
        <v>0.97733329999999996</v>
      </c>
      <c r="CX28" s="43">
        <v>0.9736667</v>
      </c>
      <c r="CY28" s="43">
        <v>1.0216670000000001</v>
      </c>
      <c r="CZ28" s="43">
        <v>0.99533333333333296</v>
      </c>
      <c r="DA28" s="43">
        <v>0.94499999999999995</v>
      </c>
      <c r="DB28" s="43">
        <v>1.0048225660000001</v>
      </c>
      <c r="DC28" s="43">
        <v>1.0513333333333299</v>
      </c>
      <c r="DD28" s="43">
        <v>0.77500000000000002</v>
      </c>
      <c r="DE28" s="43">
        <v>0.88600000000000001</v>
      </c>
      <c r="DF28" s="43">
        <v>0.873</v>
      </c>
      <c r="DG28" s="43">
        <v>0.89900000000000002</v>
      </c>
      <c r="DH28" s="43">
        <v>0.76900000000000002</v>
      </c>
      <c r="DI28" s="43">
        <v>0.73</v>
      </c>
      <c r="DJ28" s="43">
        <v>0.63500000000000001</v>
      </c>
      <c r="DK28" s="43">
        <v>0.96466669999999999</v>
      </c>
      <c r="DL28" s="43">
        <v>0.92566669999999995</v>
      </c>
      <c r="DM28" s="43">
        <v>0.96833329999999995</v>
      </c>
      <c r="DN28" s="43">
        <v>0.95066666666666699</v>
      </c>
      <c r="DO28" s="43">
        <v>0.85599999999999998</v>
      </c>
      <c r="DP28" s="43">
        <v>0.91933330000000002</v>
      </c>
      <c r="DQ28" s="43">
        <v>1.1846669999999999</v>
      </c>
      <c r="DR28" s="43">
        <v>0.91633330000000002</v>
      </c>
      <c r="DS28" s="43">
        <v>0.77600000000000002</v>
      </c>
      <c r="DT28" s="43">
        <v>0.98966666666666703</v>
      </c>
      <c r="DU28" s="43">
        <v>517.96540000000005</v>
      </c>
      <c r="DV28" s="43">
        <v>295.3116</v>
      </c>
      <c r="DW28" s="43">
        <v>113.7522</v>
      </c>
      <c r="DX28" s="43">
        <v>0.94531520000000002</v>
      </c>
      <c r="DY28" s="43">
        <v>0.97033700000000001</v>
      </c>
      <c r="DZ28" s="43">
        <v>0.98599999999999999</v>
      </c>
      <c r="EA28" s="43">
        <v>824.01800000000003</v>
      </c>
      <c r="EB28" s="43">
        <v>85.758510000000001</v>
      </c>
      <c r="EC28" s="43">
        <v>0.96300010000000003</v>
      </c>
      <c r="ED28" s="43">
        <v>0.94099999999999995</v>
      </c>
      <c r="EE28" s="43">
        <v>0.9736667</v>
      </c>
      <c r="EF28" s="43">
        <v>1.0216670000000001</v>
      </c>
      <c r="EG28" s="43">
        <v>0.97733329999999996</v>
      </c>
      <c r="EH28" s="43">
        <v>0.40191727870119798</v>
      </c>
      <c r="EI28" s="43">
        <v>0.16602291325695601</v>
      </c>
      <c r="EJ28" s="43">
        <v>19.017787937922801</v>
      </c>
      <c r="EK28" s="43">
        <v>10.7914893617021</v>
      </c>
      <c r="EL28" s="43">
        <v>0.47531078392359799</v>
      </c>
      <c r="EM28" s="43">
        <v>2290.5647329390799</v>
      </c>
      <c r="EN28" s="43">
        <v>570.33211049362296</v>
      </c>
      <c r="EO28" s="43">
        <v>84761.522557428107</v>
      </c>
      <c r="EP28" s="43">
        <v>57463.947497924099</v>
      </c>
      <c r="EQ28" s="43">
        <v>4087.8278440934801</v>
      </c>
      <c r="ER28" s="43">
        <v>1.2605539391401901</v>
      </c>
      <c r="ES28" s="43">
        <v>1.3465776553532001</v>
      </c>
      <c r="ET28" s="43">
        <v>1.24326653192918</v>
      </c>
      <c r="EU28" s="43">
        <v>0.6155368</v>
      </c>
      <c r="EV28" s="43">
        <v>1.0616969999999999</v>
      </c>
      <c r="EW28" s="43">
        <v>1.0066459999999999</v>
      </c>
      <c r="EX28" s="43">
        <v>0.61705299999999996</v>
      </c>
      <c r="EY28" s="43">
        <v>1.065831</v>
      </c>
      <c r="EZ28" s="43">
        <v>1.0060549999999999</v>
      </c>
      <c r="FA28" s="43">
        <v>4.673</v>
      </c>
      <c r="FB28" s="43">
        <v>4.673</v>
      </c>
      <c r="FC28" s="43">
        <v>19.847999999999999</v>
      </c>
      <c r="FD28" s="43">
        <v>8414.723</v>
      </c>
      <c r="FE28" s="43">
        <v>63315.32</v>
      </c>
      <c r="FF28" s="43">
        <v>1.14165625</v>
      </c>
      <c r="FG28" s="43">
        <v>1.7489330000000001</v>
      </c>
      <c r="FH28" s="43">
        <v>521.98760000000004</v>
      </c>
      <c r="FI28" s="43">
        <v>9047.6200000000008</v>
      </c>
      <c r="FJ28" s="43">
        <v>6.7680049999999996</v>
      </c>
      <c r="FK28" s="43">
        <v>12.789070000000001</v>
      </c>
      <c r="FL28" s="43">
        <v>0.90787810000000002</v>
      </c>
      <c r="FM28" s="43">
        <v>0.91180490000000003</v>
      </c>
    </row>
    <row r="29" spans="1:169" x14ac:dyDescent="0.25">
      <c r="A29" s="43" t="s">
        <v>256</v>
      </c>
      <c r="B29" s="43">
        <v>16960.86</v>
      </c>
      <c r="C29" s="43">
        <v>11453.32</v>
      </c>
      <c r="D29" s="43">
        <v>2.1970019999999999</v>
      </c>
      <c r="E29" s="43">
        <v>0.1866304</v>
      </c>
      <c r="F29" s="43">
        <v>2.8644569999999998</v>
      </c>
      <c r="G29" s="43">
        <v>9.4967389999999998</v>
      </c>
      <c r="H29" s="43">
        <v>0.92958379999999996</v>
      </c>
      <c r="I29" s="43">
        <v>0.94851169999999996</v>
      </c>
      <c r="J29" s="43">
        <v>0.88578730000000006</v>
      </c>
      <c r="K29" s="43">
        <v>1.001017</v>
      </c>
      <c r="L29" s="43">
        <v>1.8266960000000001</v>
      </c>
      <c r="M29" s="43">
        <v>85.105869999999996</v>
      </c>
      <c r="N29" s="43">
        <v>86.479565217391297</v>
      </c>
      <c r="O29" s="43">
        <v>3.79760869565217</v>
      </c>
      <c r="P29" s="43">
        <v>0.54233330000000002</v>
      </c>
      <c r="Q29" s="43">
        <v>-474.52199999999999</v>
      </c>
      <c r="R29" s="43">
        <v>3.25</v>
      </c>
      <c r="S29" s="43">
        <v>2414.5639999999999</v>
      </c>
      <c r="T29" s="43">
        <v>0.13663040000000001</v>
      </c>
      <c r="U29" s="43">
        <v>4.1634779999999996</v>
      </c>
      <c r="V29" s="43">
        <v>2080.107</v>
      </c>
      <c r="W29" s="43">
        <v>1.1259999999999999</v>
      </c>
      <c r="X29" s="43">
        <v>12626.29</v>
      </c>
      <c r="Y29" s="43">
        <v>1.24119</v>
      </c>
      <c r="Z29" s="43">
        <v>0.74894769999999999</v>
      </c>
      <c r="AA29" s="43">
        <v>0.95094999999999996</v>
      </c>
      <c r="AB29" s="43">
        <v>1.04236</v>
      </c>
      <c r="AC29" s="43">
        <v>76.938040000000001</v>
      </c>
      <c r="AD29" s="43">
        <v>0.90269999999999995</v>
      </c>
      <c r="AE29" s="43">
        <v>0.84297999999999995</v>
      </c>
      <c r="AF29" s="43">
        <v>0.79842000000000002</v>
      </c>
      <c r="AG29" s="43">
        <v>310.81729999999999</v>
      </c>
      <c r="AH29" s="43">
        <v>118.1191</v>
      </c>
      <c r="AI29" s="43">
        <v>1.8743479999999999</v>
      </c>
      <c r="AJ29" s="43">
        <v>1.8963333333333301</v>
      </c>
      <c r="AK29" s="43">
        <v>15309.47</v>
      </c>
      <c r="AM29" s="43">
        <v>1.93959782608696</v>
      </c>
      <c r="AN29" s="43">
        <v>1.970696</v>
      </c>
      <c r="AO29" s="43">
        <v>1.85269565217391</v>
      </c>
      <c r="AP29" s="43">
        <v>2.4693152173913</v>
      </c>
      <c r="AQ29" s="43">
        <v>2.5186410000000001</v>
      </c>
      <c r="AR29" s="43">
        <v>1.7253369999999999</v>
      </c>
      <c r="AS29" s="43">
        <v>1.7557499999999999</v>
      </c>
      <c r="AT29" s="43">
        <v>1.8988259999999999</v>
      </c>
      <c r="AU29" s="43">
        <v>1.841</v>
      </c>
      <c r="AV29" s="43">
        <v>1763.825</v>
      </c>
      <c r="AW29" s="43">
        <v>970.99099999999999</v>
      </c>
      <c r="AX29" s="43">
        <v>0.9274599</v>
      </c>
      <c r="AY29" s="43">
        <v>1.174663</v>
      </c>
      <c r="AZ29" s="43">
        <v>179</v>
      </c>
      <c r="BA29" s="43">
        <v>0.98721420000000004</v>
      </c>
      <c r="BB29" s="43">
        <v>97</v>
      </c>
      <c r="BC29" s="43">
        <v>22.227720000000001</v>
      </c>
      <c r="BD29" s="43">
        <v>7.9010870000000004</v>
      </c>
      <c r="BE29" s="43">
        <v>0.86599999999999999</v>
      </c>
      <c r="BF29" s="43">
        <v>0.94951090000000005</v>
      </c>
      <c r="BG29" s="43">
        <v>1.25</v>
      </c>
      <c r="BH29" s="43">
        <v>3.0098910000000001</v>
      </c>
      <c r="BI29" s="43">
        <v>0.94499999999999995</v>
      </c>
      <c r="BJ29" s="43">
        <v>0.96499999999999997</v>
      </c>
      <c r="BK29" s="43">
        <v>77.935730000000007</v>
      </c>
      <c r="BL29" s="43">
        <v>86.209469999999996</v>
      </c>
      <c r="BM29" s="43">
        <v>0.93059460000000005</v>
      </c>
      <c r="BN29" s="43">
        <v>1.133678</v>
      </c>
      <c r="BO29" s="43">
        <v>34.13796</v>
      </c>
      <c r="BP29" s="43">
        <v>1.01296739130435</v>
      </c>
      <c r="BQ29" s="43">
        <v>1674.0640000000001</v>
      </c>
      <c r="BR29" s="43">
        <v>369.17625486704799</v>
      </c>
      <c r="BS29" s="43">
        <v>10125.64</v>
      </c>
      <c r="BT29" s="43">
        <v>5644.9769999999999</v>
      </c>
      <c r="BU29" s="43">
        <v>0.98832609999999999</v>
      </c>
      <c r="BV29" s="43">
        <v>0.93955109999999997</v>
      </c>
      <c r="BW29" s="43">
        <v>0.97668469999999996</v>
      </c>
      <c r="BX29" s="43">
        <v>1.3590990000000001</v>
      </c>
      <c r="BY29" s="43">
        <v>2.6442389999999998</v>
      </c>
      <c r="BZ29" s="43">
        <v>2.8908700000000001</v>
      </c>
      <c r="CA29" s="43">
        <v>2.8905430000000001</v>
      </c>
      <c r="CB29" s="43">
        <v>0.63277260000000002</v>
      </c>
      <c r="CC29" s="43">
        <v>6.7826639999999996</v>
      </c>
      <c r="CD29" s="43">
        <v>0.95574999999999999</v>
      </c>
      <c r="CE29" s="43">
        <v>1.018011</v>
      </c>
      <c r="CF29" s="43">
        <v>1.0900110000000001</v>
      </c>
      <c r="CG29" s="43">
        <v>0.91533339999999996</v>
      </c>
      <c r="CH29" s="43">
        <v>0.98121729999999996</v>
      </c>
      <c r="CI29" s="43">
        <v>0.95432609999999995</v>
      </c>
      <c r="CJ29" s="43">
        <v>1.05975</v>
      </c>
      <c r="CK29" s="43">
        <v>0.9216666</v>
      </c>
      <c r="CL29" s="43">
        <v>0.93233339999999998</v>
      </c>
      <c r="CM29" s="43">
        <v>0.96799999999999997</v>
      </c>
      <c r="CN29" s="43">
        <v>0.94073329999999999</v>
      </c>
      <c r="CO29" s="43">
        <v>0.95200010000000002</v>
      </c>
      <c r="CP29" s="43">
        <v>0.73610100000000001</v>
      </c>
      <c r="CQ29" s="43">
        <v>0.96891300000000002</v>
      </c>
      <c r="CR29" s="43">
        <v>1.03</v>
      </c>
      <c r="CS29" s="43">
        <v>63.714501096978097</v>
      </c>
      <c r="CT29" s="43">
        <v>30.741119999999999</v>
      </c>
      <c r="CU29" s="43">
        <v>18.265080000000001</v>
      </c>
      <c r="CV29" s="43">
        <v>24.824050374652199</v>
      </c>
      <c r="CW29" s="43">
        <v>0.98833329999999997</v>
      </c>
      <c r="CX29" s="43">
        <v>0.98699999999999999</v>
      </c>
      <c r="CY29" s="43">
        <v>1.0293330000000001</v>
      </c>
      <c r="CZ29" s="43">
        <v>1.0009999999999999</v>
      </c>
      <c r="DA29" s="43">
        <v>0.94699999999999995</v>
      </c>
      <c r="DB29" s="43">
        <v>1.0631483167</v>
      </c>
      <c r="DC29" s="43">
        <v>1.0396666666666701</v>
      </c>
      <c r="DD29" s="43">
        <v>0.77600000000000002</v>
      </c>
      <c r="DE29" s="43">
        <v>0.88500000000000001</v>
      </c>
      <c r="DF29" s="43">
        <v>0.879</v>
      </c>
      <c r="DG29" s="43">
        <v>0.92400000000000004</v>
      </c>
      <c r="DH29" s="43">
        <v>0.77500000000000002</v>
      </c>
      <c r="DI29" s="43">
        <v>0.752</v>
      </c>
      <c r="DJ29" s="43">
        <v>0.63700000000000001</v>
      </c>
      <c r="DK29" s="43">
        <v>1.0273330000000001</v>
      </c>
      <c r="DL29" s="43">
        <v>0.94633330000000004</v>
      </c>
      <c r="DM29" s="43">
        <v>0.97899999999999998</v>
      </c>
      <c r="DN29" s="43">
        <v>0.95833333333333304</v>
      </c>
      <c r="DO29" s="43">
        <v>0.86633329999999997</v>
      </c>
      <c r="DP29" s="43">
        <v>0.93166669999999996</v>
      </c>
      <c r="DQ29" s="43">
        <v>1.419333</v>
      </c>
      <c r="DR29" s="43">
        <v>0.91133330000000001</v>
      </c>
      <c r="DS29" s="43">
        <v>0.76800000000000002</v>
      </c>
      <c r="DT29" s="43">
        <v>0.95199999999999996</v>
      </c>
      <c r="DU29" s="43">
        <v>513.71299999999997</v>
      </c>
      <c r="DV29" s="43">
        <v>290.35939999999999</v>
      </c>
      <c r="DW29" s="43">
        <v>113.26300000000001</v>
      </c>
      <c r="DX29" s="43">
        <v>0.94733699999999998</v>
      </c>
      <c r="DY29" s="43">
        <v>0.97002169999999999</v>
      </c>
      <c r="DZ29" s="43">
        <v>0.98399999999999999</v>
      </c>
      <c r="EA29" s="43">
        <v>834.70569999999998</v>
      </c>
      <c r="EB29" s="43">
        <v>82.529820000000001</v>
      </c>
      <c r="EC29" s="43">
        <v>0.96799999999999997</v>
      </c>
      <c r="ED29" s="43">
        <v>0.95200010000000002</v>
      </c>
      <c r="EE29" s="43">
        <v>0.98699999999999999</v>
      </c>
      <c r="EF29" s="43">
        <v>1.0293330000000001</v>
      </c>
      <c r="EG29" s="43">
        <v>0.98833329999999997</v>
      </c>
      <c r="EH29" s="43">
        <v>0.41174333204483998</v>
      </c>
      <c r="EI29" s="43">
        <v>0.17008183306055699</v>
      </c>
      <c r="EJ29" s="43">
        <v>19.482733857540801</v>
      </c>
      <c r="EK29" s="43">
        <v>11.055319148936199</v>
      </c>
      <c r="EL29" s="43">
        <v>0.486931157978512</v>
      </c>
      <c r="EM29" s="43">
        <v>2426.3204887512102</v>
      </c>
      <c r="EN29" s="43">
        <v>604.13419676980698</v>
      </c>
      <c r="EO29" s="43">
        <v>89785.115382855904</v>
      </c>
      <c r="EP29" s="43">
        <v>60869.684743568199</v>
      </c>
      <c r="EQ29" s="43">
        <v>4330.1026641954804</v>
      </c>
      <c r="ER29" s="43">
        <v>1.27013766614096</v>
      </c>
      <c r="ES29" s="43">
        <v>1.3568154026113901</v>
      </c>
      <c r="ET29" s="43">
        <v>1.2523163190947799</v>
      </c>
      <c r="EU29" s="43">
        <v>0.64211240000000003</v>
      </c>
      <c r="EV29" s="43">
        <v>1.1656089999999999</v>
      </c>
      <c r="EW29" s="43">
        <v>1.038821</v>
      </c>
      <c r="EX29" s="43">
        <v>0.63957169999999997</v>
      </c>
      <c r="EY29" s="43">
        <v>1.165257</v>
      </c>
      <c r="EZ29" s="43">
        <v>1.042033</v>
      </c>
      <c r="FA29" s="43">
        <v>4.843</v>
      </c>
      <c r="FB29" s="43">
        <v>4.843</v>
      </c>
      <c r="FC29" s="43">
        <v>20.591000000000001</v>
      </c>
      <c r="FD29" s="43">
        <v>8372.6389999999992</v>
      </c>
      <c r="FE29" s="43">
        <v>64857.11</v>
      </c>
      <c r="FF29" s="43">
        <v>1.1580937499999999</v>
      </c>
      <c r="FG29" s="43">
        <v>1.697263</v>
      </c>
      <c r="FH29" s="43">
        <v>485.86900000000003</v>
      </c>
      <c r="FI29" s="43">
        <v>9036.6970000000001</v>
      </c>
      <c r="FJ29" s="43">
        <v>6.6571360000000004</v>
      </c>
      <c r="FK29" s="43">
        <v>12.38885</v>
      </c>
      <c r="FL29" s="43">
        <v>0.87345050000000002</v>
      </c>
      <c r="FM29" s="43">
        <v>0.88009459999999995</v>
      </c>
    </row>
    <row r="30" spans="1:169" x14ac:dyDescent="0.25">
      <c r="A30" s="43" t="s">
        <v>257</v>
      </c>
      <c r="B30" s="43">
        <v>16920.63</v>
      </c>
      <c r="C30" s="43">
        <v>11497.61</v>
      </c>
      <c r="D30" s="43">
        <v>2.220485</v>
      </c>
      <c r="E30" s="43">
        <v>0.15655549999999999</v>
      </c>
      <c r="F30" s="43">
        <v>3.456</v>
      </c>
      <c r="G30" s="43">
        <v>9.0344449999999998</v>
      </c>
      <c r="H30" s="43">
        <v>0.93471910000000002</v>
      </c>
      <c r="I30" s="43">
        <v>0.95555299999999999</v>
      </c>
      <c r="J30" s="43">
        <v>0.90168210000000004</v>
      </c>
      <c r="K30" s="43">
        <v>0.99964600000000003</v>
      </c>
      <c r="L30" s="43">
        <v>1.8719330000000001</v>
      </c>
      <c r="M30" s="43">
        <v>93.701890000000006</v>
      </c>
      <c r="N30" s="43">
        <v>105.00133333333299</v>
      </c>
      <c r="O30" s="43">
        <v>4.1864444444444402</v>
      </c>
      <c r="P30" s="43">
        <v>0.58233330000000005</v>
      </c>
      <c r="Q30" s="43">
        <v>-537.69799999999998</v>
      </c>
      <c r="R30" s="43">
        <v>3.25</v>
      </c>
      <c r="S30" s="43">
        <v>2422.7620000000002</v>
      </c>
      <c r="T30" s="43">
        <v>0.12655559999999999</v>
      </c>
      <c r="U30" s="43">
        <v>4.5532219999999999</v>
      </c>
      <c r="V30" s="43">
        <v>1896.32</v>
      </c>
      <c r="W30" s="43">
        <v>1.133</v>
      </c>
      <c r="X30" s="43">
        <v>12752.35</v>
      </c>
      <c r="Y30" s="43">
        <v>1.239547</v>
      </c>
      <c r="Z30" s="43">
        <v>0.75408169999999997</v>
      </c>
      <c r="AA30" s="43">
        <v>0.94379999999999997</v>
      </c>
      <c r="AB30" s="43">
        <v>1.04766</v>
      </c>
      <c r="AC30" s="43">
        <v>88.537450000000007</v>
      </c>
      <c r="AD30" s="43">
        <v>0.90710000000000002</v>
      </c>
      <c r="AE30" s="43">
        <v>0.84638000000000002</v>
      </c>
      <c r="AF30" s="43">
        <v>0.79998999999999998</v>
      </c>
      <c r="AG30" s="43">
        <v>311.37610000000001</v>
      </c>
      <c r="AH30" s="43">
        <v>119.22750000000001</v>
      </c>
      <c r="AI30" s="43">
        <v>1.948</v>
      </c>
      <c r="AJ30" s="43">
        <v>1.97</v>
      </c>
      <c r="AK30" s="43">
        <v>15351.45</v>
      </c>
      <c r="AM30" s="43">
        <v>2.02376666666667</v>
      </c>
      <c r="AN30" s="43">
        <v>2.1517439999999999</v>
      </c>
      <c r="AO30" s="43">
        <v>1.87124444444444</v>
      </c>
      <c r="AP30" s="43">
        <v>2.7890666666666699</v>
      </c>
      <c r="AQ30" s="43">
        <v>2.6657670000000002</v>
      </c>
      <c r="AR30" s="43">
        <v>1.766378</v>
      </c>
      <c r="AS30" s="43">
        <v>1.8539890000000001</v>
      </c>
      <c r="AT30" s="43">
        <v>2.0493109999999999</v>
      </c>
      <c r="AU30" s="43">
        <v>1.914544</v>
      </c>
      <c r="AV30" s="43">
        <v>1777.1479999999999</v>
      </c>
      <c r="AW30" s="43">
        <v>972.72799999999995</v>
      </c>
      <c r="AX30" s="43">
        <v>0.93812260000000003</v>
      </c>
      <c r="AY30" s="43">
        <v>1.1844440000000001</v>
      </c>
      <c r="AZ30" s="43">
        <v>176.58</v>
      </c>
      <c r="BA30" s="43">
        <v>1.014273</v>
      </c>
      <c r="BB30" s="43">
        <v>97</v>
      </c>
      <c r="BC30" s="43">
        <v>22.44922</v>
      </c>
      <c r="BD30" s="43">
        <v>7.8</v>
      </c>
      <c r="BE30" s="43">
        <v>0.89166670000000003</v>
      </c>
      <c r="BF30" s="43">
        <v>0.9471444</v>
      </c>
      <c r="BG30" s="43">
        <v>1.25</v>
      </c>
      <c r="BH30" s="43">
        <v>3.3097780000000001</v>
      </c>
      <c r="BI30" s="43">
        <v>0.95099999999999996</v>
      </c>
      <c r="BJ30" s="43">
        <v>0.97799999999999998</v>
      </c>
      <c r="BK30" s="43">
        <v>87.296250000000001</v>
      </c>
      <c r="BL30" s="43">
        <v>92.388289999999998</v>
      </c>
      <c r="BM30" s="43">
        <v>0.94653399999999999</v>
      </c>
      <c r="BN30" s="43">
        <v>1.1480919999999999</v>
      </c>
      <c r="BO30" s="43">
        <v>34.205240000000003</v>
      </c>
      <c r="BP30" s="43">
        <v>0.98598111111111097</v>
      </c>
      <c r="BQ30" s="43">
        <v>1703.0360000000001</v>
      </c>
      <c r="BR30" s="43">
        <v>383.95001956656398</v>
      </c>
      <c r="BS30" s="43">
        <v>10231.06</v>
      </c>
      <c r="BT30" s="43">
        <v>5652.1009999999997</v>
      </c>
      <c r="BU30" s="43">
        <v>0.99790009999999996</v>
      </c>
      <c r="BV30" s="43">
        <v>0.94379670000000004</v>
      </c>
      <c r="BW30" s="43">
        <v>1.000345</v>
      </c>
      <c r="BX30" s="43">
        <v>1.3683209999999999</v>
      </c>
      <c r="BY30" s="43">
        <v>3.157667</v>
      </c>
      <c r="BZ30" s="43">
        <v>3.3611110000000002</v>
      </c>
      <c r="CA30" s="43">
        <v>3.3435549999999998</v>
      </c>
      <c r="CB30" s="43">
        <v>0.62436000000000003</v>
      </c>
      <c r="CC30" s="43">
        <v>6.4852470000000002</v>
      </c>
      <c r="CD30" s="43">
        <v>0.9669333</v>
      </c>
      <c r="CE30" s="43">
        <v>1.0407999999999999</v>
      </c>
      <c r="CF30" s="43">
        <v>1.0957330000000001</v>
      </c>
      <c r="CG30" s="43">
        <v>0.88466670000000003</v>
      </c>
      <c r="CH30" s="43">
        <v>0.99711110000000003</v>
      </c>
      <c r="CI30" s="43">
        <v>0.98042209999999996</v>
      </c>
      <c r="CJ30" s="43">
        <v>1.062589</v>
      </c>
      <c r="CK30" s="43">
        <v>0.8303334</v>
      </c>
      <c r="CL30" s="43">
        <v>0.94099999999999995</v>
      </c>
      <c r="CM30" s="43">
        <v>0.98499999999999999</v>
      </c>
      <c r="CN30" s="43">
        <v>0.95266660000000003</v>
      </c>
      <c r="CO30" s="43">
        <v>0.98599999999999999</v>
      </c>
      <c r="CP30" s="43">
        <v>0.73110649999999999</v>
      </c>
      <c r="CQ30" s="43">
        <v>0.9782111</v>
      </c>
      <c r="CR30" s="43">
        <v>1.0718559999999999</v>
      </c>
      <c r="CS30" s="43">
        <v>76.658435593216694</v>
      </c>
      <c r="CT30" s="43">
        <v>29.332350000000002</v>
      </c>
      <c r="CU30" s="43">
        <v>17.875340000000001</v>
      </c>
      <c r="CV30" s="43">
        <v>24.459205090288901</v>
      </c>
      <c r="CW30" s="43">
        <v>1.0136670000000001</v>
      </c>
      <c r="CX30" s="43">
        <v>1.002667</v>
      </c>
      <c r="CY30" s="43">
        <v>1.028667</v>
      </c>
      <c r="CZ30" s="43">
        <v>1.016</v>
      </c>
      <c r="DA30" s="43">
        <v>0.961666666666667</v>
      </c>
      <c r="DB30" s="43">
        <v>1.1387625114</v>
      </c>
      <c r="DC30" s="43">
        <v>1.0146666666666699</v>
      </c>
      <c r="DD30" s="43">
        <v>0.78700000000000003</v>
      </c>
      <c r="DE30" s="43">
        <v>0.89</v>
      </c>
      <c r="DF30" s="43">
        <v>0.88500000000000001</v>
      </c>
      <c r="DG30" s="43">
        <v>0.91500000000000004</v>
      </c>
      <c r="DH30" s="43">
        <v>0.78</v>
      </c>
      <c r="DI30" s="43">
        <v>0.73</v>
      </c>
      <c r="DJ30" s="43">
        <v>0.63700000000000001</v>
      </c>
      <c r="DK30" s="43">
        <v>1.0636669999999999</v>
      </c>
      <c r="DL30" s="43">
        <v>1.000667</v>
      </c>
      <c r="DM30" s="43">
        <v>1.006667</v>
      </c>
      <c r="DN30" s="43">
        <v>0.99066666666666703</v>
      </c>
      <c r="DO30" s="43">
        <v>0.91733330000000002</v>
      </c>
      <c r="DP30" s="43">
        <v>0.97333340000000002</v>
      </c>
      <c r="DQ30" s="43">
        <v>1.423</v>
      </c>
      <c r="DR30" s="43">
        <v>0.92333330000000002</v>
      </c>
      <c r="DS30" s="43">
        <v>0.81100000000000005</v>
      </c>
      <c r="DT30" s="43">
        <v>1.03233333333333</v>
      </c>
      <c r="DU30" s="43">
        <v>508.23320000000001</v>
      </c>
      <c r="DV30" s="43">
        <v>285.60289999999998</v>
      </c>
      <c r="DW30" s="43">
        <v>108.7144</v>
      </c>
      <c r="DX30" s="43">
        <v>0.94468890000000005</v>
      </c>
      <c r="DY30" s="43">
        <v>0.97937770000000002</v>
      </c>
      <c r="DZ30" s="43">
        <v>0.98099999999999998</v>
      </c>
      <c r="EA30" s="43">
        <v>827.71759999999995</v>
      </c>
      <c r="EB30" s="43">
        <v>82.260689999999997</v>
      </c>
      <c r="EC30" s="43">
        <v>0.98499999999999999</v>
      </c>
      <c r="ED30" s="43">
        <v>0.98599999999999999</v>
      </c>
      <c r="EE30" s="43">
        <v>1.002667</v>
      </c>
      <c r="EF30" s="43">
        <v>1.028667</v>
      </c>
      <c r="EG30" s="43">
        <v>1.0136670000000001</v>
      </c>
      <c r="EH30" s="43">
        <v>0.42394665635871698</v>
      </c>
      <c r="EI30" s="43">
        <v>0.17512274959083499</v>
      </c>
      <c r="EJ30" s="43">
        <v>20.060166693195399</v>
      </c>
      <c r="EK30" s="43">
        <v>11.3829787234043</v>
      </c>
      <c r="EL30" s="43">
        <v>0.50136291285316403</v>
      </c>
      <c r="EM30" s="43">
        <v>2792.11955185637</v>
      </c>
      <c r="EN30" s="43">
        <v>695.21520778740899</v>
      </c>
      <c r="EO30" s="43">
        <v>103321.37790056699</v>
      </c>
      <c r="EP30" s="43">
        <v>70046.573680513102</v>
      </c>
      <c r="EQ30" s="43">
        <v>4982.9214097220001</v>
      </c>
      <c r="ER30" s="43">
        <v>1.30090689824032</v>
      </c>
      <c r="ES30" s="43">
        <v>1.3896844129177901</v>
      </c>
      <c r="ET30" s="43">
        <v>1.28271530388954</v>
      </c>
      <c r="EU30" s="43">
        <v>0.66009879999999999</v>
      </c>
      <c r="EV30" s="43">
        <v>1.262432</v>
      </c>
      <c r="EW30" s="43">
        <v>1.0831919999999999</v>
      </c>
      <c r="EX30" s="43">
        <v>0.65919720000000004</v>
      </c>
      <c r="EY30" s="43">
        <v>1.2422629999999999</v>
      </c>
      <c r="EZ30" s="43">
        <v>1.07836</v>
      </c>
      <c r="FA30" s="43">
        <v>5.008</v>
      </c>
      <c r="FB30" s="43">
        <v>5.008</v>
      </c>
      <c r="FC30" s="43">
        <v>21.315999999999999</v>
      </c>
      <c r="FD30" s="43">
        <v>8549.3960000000006</v>
      </c>
      <c r="FE30" s="43">
        <v>66772.73</v>
      </c>
      <c r="FF30" s="43">
        <v>1.1904062500000001</v>
      </c>
      <c r="FG30" s="43">
        <v>1.6660900000000001</v>
      </c>
      <c r="FH30" s="43">
        <v>483.82249999999999</v>
      </c>
      <c r="FI30" s="43">
        <v>8905.1039999999994</v>
      </c>
      <c r="FJ30" s="43">
        <v>6.5790959999999998</v>
      </c>
      <c r="FK30" s="43">
        <v>12.06301</v>
      </c>
      <c r="FL30" s="43">
        <v>0.86017969999999999</v>
      </c>
      <c r="FM30" s="43">
        <v>0.86753579999999997</v>
      </c>
    </row>
    <row r="31" spans="1:169" x14ac:dyDescent="0.25">
      <c r="A31" s="43" t="s">
        <v>258</v>
      </c>
      <c r="B31" s="43">
        <v>17035.11</v>
      </c>
      <c r="C31" s="43">
        <v>11508.79</v>
      </c>
      <c r="D31" s="43">
        <v>2.2457090000000002</v>
      </c>
      <c r="E31" s="43">
        <v>9.3296710000000005E-2</v>
      </c>
      <c r="F31" s="43">
        <v>3.2095609999999999</v>
      </c>
      <c r="G31" s="43">
        <v>9.0659340000000004</v>
      </c>
      <c r="H31" s="43">
        <v>0.93825040000000004</v>
      </c>
      <c r="I31" s="43">
        <v>0.95491539999999997</v>
      </c>
      <c r="J31" s="43">
        <v>0.9028448</v>
      </c>
      <c r="K31" s="43">
        <v>0.99753700000000001</v>
      </c>
      <c r="L31" s="43">
        <v>1.9093960000000001</v>
      </c>
      <c r="M31" s="43">
        <v>102.2154</v>
      </c>
      <c r="N31" s="43">
        <v>117.33395604395599</v>
      </c>
      <c r="O31" s="43">
        <v>4.3627472527472504</v>
      </c>
      <c r="P31" s="43">
        <v>0.57433330000000005</v>
      </c>
      <c r="Q31" s="43">
        <v>-555.63419999999996</v>
      </c>
      <c r="R31" s="43">
        <v>3.25</v>
      </c>
      <c r="S31" s="43">
        <v>2417.3789999999999</v>
      </c>
      <c r="T31" s="43">
        <v>4.6593410000000002E-2</v>
      </c>
      <c r="U31" s="43">
        <v>4.346616</v>
      </c>
      <c r="V31" s="43">
        <v>2017.0519999999999</v>
      </c>
      <c r="W31" s="43">
        <v>1.1419999999999999</v>
      </c>
      <c r="X31" s="43">
        <v>12727.59</v>
      </c>
      <c r="Y31" s="43">
        <v>1.2409049999999999</v>
      </c>
      <c r="Z31" s="43">
        <v>0.75610149999999998</v>
      </c>
      <c r="AA31" s="43">
        <v>0.94384999999999997</v>
      </c>
      <c r="AB31" s="43">
        <v>1.03403</v>
      </c>
      <c r="AC31" s="43">
        <v>105.98399999999999</v>
      </c>
      <c r="AD31" s="43">
        <v>0.91363000000000005</v>
      </c>
      <c r="AE31" s="43">
        <v>0.85741999999999996</v>
      </c>
      <c r="AF31" s="43">
        <v>0.80288999999999999</v>
      </c>
      <c r="AG31" s="43">
        <v>311.94060000000002</v>
      </c>
      <c r="AH31" s="43">
        <v>119.7475</v>
      </c>
      <c r="AI31" s="43">
        <v>2.0147249999999999</v>
      </c>
      <c r="AJ31" s="43">
        <v>2.0496666666666701</v>
      </c>
      <c r="AK31" s="43">
        <v>15557.54</v>
      </c>
      <c r="AM31" s="43">
        <v>2.0555384615384602</v>
      </c>
      <c r="AN31" s="43">
        <v>2.2681650000000002</v>
      </c>
      <c r="AO31" s="43">
        <v>1.87835164835165</v>
      </c>
      <c r="AP31" s="43">
        <v>3.0874065934065902</v>
      </c>
      <c r="AQ31" s="43">
        <v>2.7891870000000001</v>
      </c>
      <c r="AR31" s="43">
        <v>1.826648</v>
      </c>
      <c r="AS31" s="43">
        <v>1.969022</v>
      </c>
      <c r="AT31" s="43">
        <v>2.2519339999999999</v>
      </c>
      <c r="AU31" s="43">
        <v>1.9239010000000001</v>
      </c>
      <c r="AV31" s="43">
        <v>1780.61</v>
      </c>
      <c r="AW31" s="43">
        <v>977.05399999999997</v>
      </c>
      <c r="AX31" s="43">
        <v>0.9382334</v>
      </c>
      <c r="AY31" s="43">
        <v>1.200725</v>
      </c>
      <c r="AZ31" s="43">
        <v>194.12100000000001</v>
      </c>
      <c r="BA31" s="43">
        <v>1.033614</v>
      </c>
      <c r="BB31" s="43">
        <v>96.6</v>
      </c>
      <c r="BC31" s="43">
        <v>22.70703</v>
      </c>
      <c r="BD31" s="43">
        <v>7.7329670000000004</v>
      </c>
      <c r="BE31" s="43">
        <v>0.91133330000000001</v>
      </c>
      <c r="BF31" s="43">
        <v>0.94945060000000003</v>
      </c>
      <c r="BG31" s="43">
        <v>1.25</v>
      </c>
      <c r="BH31" s="43">
        <v>3.1664840000000001</v>
      </c>
      <c r="BI31" s="43">
        <v>0.96399999999999997</v>
      </c>
      <c r="BJ31" s="43">
        <v>0.98799999999999999</v>
      </c>
      <c r="BK31" s="43">
        <v>102.5436</v>
      </c>
      <c r="BL31" s="43">
        <v>98.897319999999993</v>
      </c>
      <c r="BM31" s="43">
        <v>0.95632099999999998</v>
      </c>
      <c r="BN31" s="43">
        <v>1.132574</v>
      </c>
      <c r="BO31" s="43">
        <v>34.29401</v>
      </c>
      <c r="BP31" s="43">
        <v>0.96753846153846201</v>
      </c>
      <c r="BQ31" s="43">
        <v>1729.18</v>
      </c>
      <c r="BR31" s="43">
        <v>396.41101729802</v>
      </c>
      <c r="BS31" s="43">
        <v>10230.48</v>
      </c>
      <c r="BT31" s="43">
        <v>5623.8190000000004</v>
      </c>
      <c r="BU31" s="43">
        <v>0.99740660000000003</v>
      </c>
      <c r="BV31" s="43">
        <v>0.95883410000000002</v>
      </c>
      <c r="BW31" s="43">
        <v>1.01467</v>
      </c>
      <c r="BX31" s="43">
        <v>1.4398629999999999</v>
      </c>
      <c r="BY31" s="43">
        <v>3.152857</v>
      </c>
      <c r="BZ31" s="43">
        <v>3.4041100000000002</v>
      </c>
      <c r="CA31" s="43">
        <v>3.0767250000000002</v>
      </c>
      <c r="CB31" s="43">
        <v>0.61312199999999994</v>
      </c>
      <c r="CC31" s="43">
        <v>6.2595559999999999</v>
      </c>
      <c r="CD31" s="43">
        <v>0.97608790000000001</v>
      </c>
      <c r="CE31" s="43">
        <v>1.029242</v>
      </c>
      <c r="CF31" s="43">
        <v>1.100956</v>
      </c>
      <c r="CG31" s="43">
        <v>0.85433329999999996</v>
      </c>
      <c r="CH31" s="43">
        <v>1.0036480000000001</v>
      </c>
      <c r="CI31" s="43">
        <v>0.96839569999999997</v>
      </c>
      <c r="CJ31" s="43">
        <v>1.0746260000000001</v>
      </c>
      <c r="CK31" s="43">
        <v>0.86599999999999999</v>
      </c>
      <c r="CL31" s="43">
        <v>0.94833330000000005</v>
      </c>
      <c r="CM31" s="43">
        <v>0.99599990000000005</v>
      </c>
      <c r="CN31" s="43">
        <v>0.96673330000000002</v>
      </c>
      <c r="CO31" s="43">
        <v>0.997</v>
      </c>
      <c r="CP31" s="43">
        <v>0.69451949999999996</v>
      </c>
      <c r="CQ31" s="43">
        <v>0.97932960000000002</v>
      </c>
      <c r="CR31" s="43">
        <v>1.378868</v>
      </c>
      <c r="CS31" s="43">
        <v>81.482743569797194</v>
      </c>
      <c r="CT31" s="43">
        <v>28.024519999999999</v>
      </c>
      <c r="CU31" s="43">
        <v>16.920010000000001</v>
      </c>
      <c r="CV31" s="43">
        <v>24.362490222802201</v>
      </c>
      <c r="CW31" s="43">
        <v>1.0243329999999999</v>
      </c>
      <c r="CX31" s="43">
        <v>1.0273330000000001</v>
      </c>
      <c r="CY31" s="43">
        <v>1.0229999999999999</v>
      </c>
      <c r="CZ31" s="43">
        <v>1.0289999999999999</v>
      </c>
      <c r="DA31" s="43">
        <v>0.97599999999999998</v>
      </c>
      <c r="DB31" s="43">
        <v>1.1816577320999999</v>
      </c>
      <c r="DC31" s="43">
        <v>1.0276666666666701</v>
      </c>
      <c r="DD31" s="43">
        <v>0.79400000000000004</v>
      </c>
      <c r="DE31" s="43">
        <v>0.89100000000000001</v>
      </c>
      <c r="DF31" s="43">
        <v>0.89100000000000001</v>
      </c>
      <c r="DG31" s="43">
        <v>0.91300000000000003</v>
      </c>
      <c r="DH31" s="43">
        <v>0.78600000000000003</v>
      </c>
      <c r="DI31" s="43">
        <v>0.74299999999999999</v>
      </c>
      <c r="DJ31" s="43">
        <v>0.63900000000000001</v>
      </c>
      <c r="DK31" s="43">
        <v>1.016667</v>
      </c>
      <c r="DL31" s="43">
        <v>1.019333</v>
      </c>
      <c r="DM31" s="43">
        <v>1.0353330000000001</v>
      </c>
      <c r="DN31" s="43">
        <v>1.01633333333333</v>
      </c>
      <c r="DO31" s="43">
        <v>0.92033330000000002</v>
      </c>
      <c r="DP31" s="43">
        <v>1.0043329999999999</v>
      </c>
      <c r="DQ31" s="43">
        <v>1.25</v>
      </c>
      <c r="DR31" s="43">
        <v>0.94599999999999995</v>
      </c>
      <c r="DS31" s="43">
        <v>0.82299999999999995</v>
      </c>
      <c r="DT31" s="43">
        <v>0.97233333333333305</v>
      </c>
      <c r="DU31" s="43">
        <v>503.92079999999999</v>
      </c>
      <c r="DV31" s="43">
        <v>287.67919999999998</v>
      </c>
      <c r="DW31" s="43">
        <v>104.57470000000001</v>
      </c>
      <c r="DX31" s="43">
        <v>0.94667040000000002</v>
      </c>
      <c r="DY31" s="43">
        <v>0.98965930000000002</v>
      </c>
      <c r="DZ31" s="43">
        <v>0.97399999999999998</v>
      </c>
      <c r="EA31" s="43">
        <v>821.87599999999998</v>
      </c>
      <c r="EB31" s="43">
        <v>81.571280000000002</v>
      </c>
      <c r="EC31" s="43">
        <v>0.99599990000000005</v>
      </c>
      <c r="ED31" s="43">
        <v>0.997</v>
      </c>
      <c r="EE31" s="43">
        <v>1.0273330000000001</v>
      </c>
      <c r="EF31" s="43">
        <v>1.0229999999999999</v>
      </c>
      <c r="EG31" s="43">
        <v>1.0243329999999999</v>
      </c>
      <c r="EH31" s="43">
        <v>0.433297255508311</v>
      </c>
      <c r="EI31" s="43">
        <v>0.1789852700491</v>
      </c>
      <c r="EJ31" s="43">
        <v>20.5026152296061</v>
      </c>
      <c r="EK31" s="43">
        <v>11.634042553191501</v>
      </c>
      <c r="EL31" s="43">
        <v>0.51242101074413104</v>
      </c>
      <c r="EM31" s="43">
        <v>3342.3132744598201</v>
      </c>
      <c r="EN31" s="43">
        <v>832.20899909150103</v>
      </c>
      <c r="EO31" s="43">
        <v>123681.098348008</v>
      </c>
      <c r="EP31" s="43">
        <v>83849.415719735698</v>
      </c>
      <c r="EQ31" s="43">
        <v>5964.8177894929304</v>
      </c>
      <c r="ER31" s="43">
        <v>1.3195359625304299</v>
      </c>
      <c r="ES31" s="43">
        <v>1.4095847765074001</v>
      </c>
      <c r="ET31" s="43">
        <v>1.2998364707632799</v>
      </c>
      <c r="EU31" s="43">
        <v>0.6638425</v>
      </c>
      <c r="EV31" s="43">
        <v>1.2335510000000001</v>
      </c>
      <c r="EW31" s="43">
        <v>1.0932280000000001</v>
      </c>
      <c r="EX31" s="43">
        <v>0.66584639999999995</v>
      </c>
      <c r="EY31" s="43">
        <v>1.2460519999999999</v>
      </c>
      <c r="EZ31" s="43">
        <v>1.095156</v>
      </c>
      <c r="FA31" s="43">
        <v>5.0449999999999999</v>
      </c>
      <c r="FB31" s="43">
        <v>5.0449999999999999</v>
      </c>
      <c r="FC31" s="43">
        <v>21.492999999999999</v>
      </c>
      <c r="FD31" s="43">
        <v>8755.9079999999994</v>
      </c>
      <c r="FE31" s="43">
        <v>67629.41</v>
      </c>
      <c r="FF31" s="43">
        <v>1.2018437500000001</v>
      </c>
      <c r="FG31" s="43">
        <v>1.594314</v>
      </c>
      <c r="FH31" s="43">
        <v>469.41180000000003</v>
      </c>
      <c r="FI31" s="43">
        <v>8596.1389999999992</v>
      </c>
      <c r="FJ31" s="43">
        <v>6.4989629999999998</v>
      </c>
      <c r="FK31" s="43">
        <v>11.721120000000001</v>
      </c>
      <c r="FL31" s="43">
        <v>0.83226469999999997</v>
      </c>
      <c r="FM31" s="43">
        <v>0.84587009999999996</v>
      </c>
    </row>
    <row r="32" spans="1:169" x14ac:dyDescent="0.25">
      <c r="A32" s="43" t="s">
        <v>259</v>
      </c>
      <c r="B32" s="43">
        <v>17031.310000000001</v>
      </c>
      <c r="C32" s="43">
        <v>11543.85</v>
      </c>
      <c r="D32" s="43">
        <v>2.260265</v>
      </c>
      <c r="E32" s="43">
        <v>8.3369570000000004E-2</v>
      </c>
      <c r="F32" s="43">
        <v>2.4315220000000002</v>
      </c>
      <c r="G32" s="43">
        <v>9</v>
      </c>
      <c r="H32" s="43">
        <v>0.9487101</v>
      </c>
      <c r="I32" s="43">
        <v>0.96476479999999998</v>
      </c>
      <c r="J32" s="43">
        <v>0.91882710000000001</v>
      </c>
      <c r="K32" s="43">
        <v>1.0003789999999999</v>
      </c>
      <c r="L32" s="43">
        <v>1.918228</v>
      </c>
      <c r="M32" s="43">
        <v>89.762280000000004</v>
      </c>
      <c r="N32" s="43">
        <v>113.34554347826101</v>
      </c>
      <c r="O32" s="43">
        <v>4.1291304347826099</v>
      </c>
      <c r="P32" s="43">
        <v>0.61933329999999998</v>
      </c>
      <c r="Q32" s="43">
        <v>-536.02</v>
      </c>
      <c r="R32" s="43">
        <v>3.25</v>
      </c>
      <c r="S32" s="43">
        <v>2409.306</v>
      </c>
      <c r="T32" s="43">
        <v>2.3478260000000001E-2</v>
      </c>
      <c r="U32" s="43">
        <v>3.7085870000000001</v>
      </c>
      <c r="V32" s="43">
        <v>2038.6020000000001</v>
      </c>
      <c r="W32" s="43">
        <v>1.1459999999999999</v>
      </c>
      <c r="X32" s="43">
        <v>12795.82</v>
      </c>
      <c r="Y32" s="43">
        <v>1.245028</v>
      </c>
      <c r="Z32" s="43">
        <v>0.7619977</v>
      </c>
      <c r="AA32" s="43">
        <v>0.94164999999999999</v>
      </c>
      <c r="AB32" s="43">
        <v>1.0462100000000001</v>
      </c>
      <c r="AC32" s="43">
        <v>102.65779999999999</v>
      </c>
      <c r="AD32" s="43">
        <v>0.91839999999999999</v>
      </c>
      <c r="AE32" s="43">
        <v>0.86733000000000005</v>
      </c>
      <c r="AF32" s="43">
        <v>0.80308999999999997</v>
      </c>
      <c r="AG32" s="43">
        <v>312.60379999999998</v>
      </c>
      <c r="AH32" s="43">
        <v>120.19</v>
      </c>
      <c r="AI32" s="43">
        <v>2.0243150000000001</v>
      </c>
      <c r="AJ32" s="43">
        <v>2.04666666666667</v>
      </c>
      <c r="AK32" s="43">
        <v>15647.68</v>
      </c>
      <c r="AM32" s="43">
        <v>2.0928260869565198</v>
      </c>
      <c r="AN32" s="43">
        <v>2.2258369999999998</v>
      </c>
      <c r="AO32" s="43">
        <v>1.8969673913043501</v>
      </c>
      <c r="AP32" s="43">
        <v>3.0307499999999998</v>
      </c>
      <c r="AQ32" s="43">
        <v>2.8049569999999999</v>
      </c>
      <c r="AR32" s="43">
        <v>1.8623259999999999</v>
      </c>
      <c r="AS32" s="43">
        <v>1.9474670000000001</v>
      </c>
      <c r="AT32" s="43">
        <v>2.2094459999999998</v>
      </c>
      <c r="AU32" s="43">
        <v>1.9508589999999999</v>
      </c>
      <c r="AV32" s="43">
        <v>1805.1759999999999</v>
      </c>
      <c r="AW32" s="43">
        <v>981.03899999999999</v>
      </c>
      <c r="AX32" s="43">
        <v>0.96205090000000004</v>
      </c>
      <c r="AY32" s="43">
        <v>1.2029669999999999</v>
      </c>
      <c r="AZ32" s="43">
        <v>202.50700000000001</v>
      </c>
      <c r="BA32" s="43">
        <v>1.0212349999999999</v>
      </c>
      <c r="BB32" s="43">
        <v>97.2</v>
      </c>
      <c r="BC32" s="43">
        <v>22.405539999999998</v>
      </c>
      <c r="BD32" s="43">
        <v>7.4</v>
      </c>
      <c r="BE32" s="43">
        <v>0.91600000000000004</v>
      </c>
      <c r="BF32" s="43">
        <v>0.8901848</v>
      </c>
      <c r="BG32" s="43">
        <v>1.25</v>
      </c>
      <c r="BH32" s="43">
        <v>2.5434779999999999</v>
      </c>
      <c r="BI32" s="43">
        <v>0.97699999999999998</v>
      </c>
      <c r="BJ32" s="43">
        <v>0.98899999999999999</v>
      </c>
      <c r="BK32" s="43">
        <v>100.56229999999999</v>
      </c>
      <c r="BL32" s="43">
        <v>87.929959999999994</v>
      </c>
      <c r="BM32" s="43">
        <v>0.97710039999999998</v>
      </c>
      <c r="BN32" s="43">
        <v>1.1486989999999999</v>
      </c>
      <c r="BO32" s="43">
        <v>34.387169999999998</v>
      </c>
      <c r="BP32" s="43">
        <v>0.97958695652173899</v>
      </c>
      <c r="BQ32" s="43">
        <v>1755.2</v>
      </c>
      <c r="BR32" s="43">
        <v>395.13334234469602</v>
      </c>
      <c r="BS32" s="43">
        <v>10244.16</v>
      </c>
      <c r="BT32" s="43">
        <v>5629.7910000000002</v>
      </c>
      <c r="BU32" s="43">
        <v>0.99740220000000002</v>
      </c>
      <c r="BV32" s="43">
        <v>0.95677610000000002</v>
      </c>
      <c r="BW32" s="43">
        <v>1.0189889999999999</v>
      </c>
      <c r="BX32" s="43">
        <v>1.412237</v>
      </c>
      <c r="BY32" s="43">
        <v>2.2914129999999999</v>
      </c>
      <c r="BZ32" s="43">
        <v>2.7208209999999999</v>
      </c>
      <c r="CA32" s="43">
        <v>2.260005</v>
      </c>
      <c r="CB32" s="43">
        <v>0.62131619999999999</v>
      </c>
      <c r="CC32" s="43">
        <v>6.4777570000000004</v>
      </c>
      <c r="CD32" s="43">
        <v>0.98947830000000003</v>
      </c>
      <c r="CE32" s="43">
        <v>1.02275</v>
      </c>
      <c r="CF32" s="43">
        <v>1.0787279999999999</v>
      </c>
      <c r="CG32" s="43">
        <v>0.84399990000000003</v>
      </c>
      <c r="CH32" s="43">
        <v>0.98804340000000002</v>
      </c>
      <c r="CI32" s="43">
        <v>0.97908700000000004</v>
      </c>
      <c r="CJ32" s="43">
        <v>1.049228</v>
      </c>
      <c r="CK32" s="43">
        <v>0.89100000000000001</v>
      </c>
      <c r="CL32" s="43">
        <v>0.95233330000000005</v>
      </c>
      <c r="CM32" s="43">
        <v>1</v>
      </c>
      <c r="CN32" s="43">
        <v>0.96573330000000002</v>
      </c>
      <c r="CO32" s="43">
        <v>1.0009999999999999</v>
      </c>
      <c r="CP32" s="43">
        <v>0.70834390000000003</v>
      </c>
      <c r="CQ32" s="43">
        <v>0.97470650000000003</v>
      </c>
      <c r="CR32" s="43">
        <v>1.5394350000000001</v>
      </c>
      <c r="CS32" s="43">
        <v>80.286088495309102</v>
      </c>
      <c r="CT32" s="43">
        <v>29.08211</v>
      </c>
      <c r="CU32" s="43">
        <v>17.2407</v>
      </c>
      <c r="CV32" s="43">
        <v>24.347953696304302</v>
      </c>
      <c r="CW32" s="43">
        <v>1.0249999999999999</v>
      </c>
      <c r="CX32" s="43">
        <v>1.034667</v>
      </c>
      <c r="CY32" s="43">
        <v>1.024</v>
      </c>
      <c r="CZ32" s="43">
        <v>1.0293333333333301</v>
      </c>
      <c r="DA32" s="43">
        <v>0.97766666666666702</v>
      </c>
      <c r="DB32" s="43">
        <v>1.1796913977000001</v>
      </c>
      <c r="DC32" s="43">
        <v>1.03866666666667</v>
      </c>
      <c r="DD32" s="43">
        <v>0.79700000000000004</v>
      </c>
      <c r="DE32" s="43">
        <v>0.90300000000000002</v>
      </c>
      <c r="DF32" s="43">
        <v>0.89500000000000002</v>
      </c>
      <c r="DG32" s="43">
        <v>0.90100000000000002</v>
      </c>
      <c r="DH32" s="43">
        <v>0.79</v>
      </c>
      <c r="DI32" s="43">
        <v>0.754</v>
      </c>
      <c r="DJ32" s="43">
        <v>0.64700000000000002</v>
      </c>
      <c r="DK32" s="43">
        <v>1.003333</v>
      </c>
      <c r="DL32" s="43">
        <v>1.02</v>
      </c>
      <c r="DM32" s="43">
        <v>1.058333</v>
      </c>
      <c r="DN32" s="43">
        <v>1.0236666666666701</v>
      </c>
      <c r="DO32" s="43">
        <v>0.94766660000000003</v>
      </c>
      <c r="DP32" s="43">
        <v>0.99966670000000002</v>
      </c>
      <c r="DQ32" s="43">
        <v>1.121667</v>
      </c>
      <c r="DR32" s="43">
        <v>0.95799999999999996</v>
      </c>
      <c r="DS32" s="43">
        <v>0.82499999999999996</v>
      </c>
      <c r="DT32" s="43">
        <v>1.04833333333333</v>
      </c>
      <c r="DU32" s="43">
        <v>516.13750000000005</v>
      </c>
      <c r="DV32" s="43">
        <v>292.1694</v>
      </c>
      <c r="DW32" s="43">
        <v>112.0337</v>
      </c>
      <c r="DX32" s="43">
        <v>0.94666300000000003</v>
      </c>
      <c r="DY32" s="43">
        <v>0.99068480000000003</v>
      </c>
      <c r="DZ32" s="43">
        <v>0.97099999999999997</v>
      </c>
      <c r="EA32" s="43">
        <v>888.57569999999998</v>
      </c>
      <c r="EB32" s="43">
        <v>77.677440000000004</v>
      </c>
      <c r="EC32" s="43">
        <v>1</v>
      </c>
      <c r="ED32" s="43">
        <v>1.0009999999999999</v>
      </c>
      <c r="EE32" s="43">
        <v>1.034667</v>
      </c>
      <c r="EF32" s="43">
        <v>1.024</v>
      </c>
      <c r="EG32" s="43">
        <v>1.0249999999999999</v>
      </c>
      <c r="EH32" s="43">
        <v>0.43551604174719799</v>
      </c>
      <c r="EI32" s="43">
        <v>0.179901800327332</v>
      </c>
      <c r="EJ32" s="43">
        <v>20.6076030179069</v>
      </c>
      <c r="EK32" s="43">
        <v>11.6936170212766</v>
      </c>
      <c r="EL32" s="43">
        <v>0.51504496617588602</v>
      </c>
      <c r="EM32" s="43">
        <v>3237.4203385587798</v>
      </c>
      <c r="EN32" s="43">
        <v>806.09150559829004</v>
      </c>
      <c r="EO32" s="43">
        <v>119799.57305224299</v>
      </c>
      <c r="EP32" s="43">
        <v>81217.941448416299</v>
      </c>
      <c r="EQ32" s="43">
        <v>5777.6219168511498</v>
      </c>
      <c r="ER32" s="43">
        <v>1.32515264166963</v>
      </c>
      <c r="ES32" s="43">
        <v>1.4155847534947299</v>
      </c>
      <c r="ET32" s="43">
        <v>1.3049527130424601</v>
      </c>
      <c r="EU32" s="43">
        <v>0.6661821</v>
      </c>
      <c r="EV32" s="43">
        <v>1.223312</v>
      </c>
      <c r="EW32" s="43">
        <v>1.1106020000000001</v>
      </c>
      <c r="EX32" s="43">
        <v>0.66804209999999997</v>
      </c>
      <c r="EY32" s="43">
        <v>1.2321249999999999</v>
      </c>
      <c r="EZ32" s="43">
        <v>1.1112500000000001</v>
      </c>
      <c r="FA32" s="43">
        <v>5.0549999999999997</v>
      </c>
      <c r="FB32" s="43">
        <v>5.0549999999999997</v>
      </c>
      <c r="FC32" s="43">
        <v>21.561</v>
      </c>
      <c r="FD32" s="43">
        <v>8920.0540000000001</v>
      </c>
      <c r="FE32" s="43">
        <v>68478.98</v>
      </c>
      <c r="FF32" s="43">
        <v>1.20771875</v>
      </c>
      <c r="FG32" s="43">
        <v>1.634871</v>
      </c>
      <c r="FH32" s="43">
        <v>470.59930000000003</v>
      </c>
      <c r="FI32" s="43">
        <v>8570.7739999999994</v>
      </c>
      <c r="FJ32" s="43">
        <v>6.4168380000000003</v>
      </c>
      <c r="FK32" s="43">
        <v>12.31677</v>
      </c>
      <c r="FL32" s="43">
        <v>0.83550880000000005</v>
      </c>
      <c r="FM32" s="43">
        <v>0.85237220000000002</v>
      </c>
    </row>
    <row r="33" spans="1:169" x14ac:dyDescent="0.25">
      <c r="A33" s="43" t="s">
        <v>260</v>
      </c>
      <c r="B33" s="43">
        <v>17222.580000000002</v>
      </c>
      <c r="C33" s="43">
        <v>11563.99</v>
      </c>
      <c r="D33" s="43">
        <v>2.2704599999999999</v>
      </c>
      <c r="E33" s="43">
        <v>7.3260870000000006E-2</v>
      </c>
      <c r="F33" s="43">
        <v>2.0470649999999999</v>
      </c>
      <c r="G33" s="43">
        <v>8.6336960000000005</v>
      </c>
      <c r="H33" s="43">
        <v>0.95860990000000001</v>
      </c>
      <c r="I33" s="43">
        <v>0.9740434</v>
      </c>
      <c r="J33" s="43">
        <v>0.93603729999999996</v>
      </c>
      <c r="K33" s="43">
        <v>1.000985</v>
      </c>
      <c r="L33" s="43">
        <v>1.926641</v>
      </c>
      <c r="M33" s="43">
        <v>93.979129999999998</v>
      </c>
      <c r="N33" s="43">
        <v>109.38173913043499</v>
      </c>
      <c r="O33" s="43">
        <v>3.3276086956521702</v>
      </c>
      <c r="P33" s="43">
        <v>0.67166669999999995</v>
      </c>
      <c r="Q33" s="43">
        <v>-565.87049999999999</v>
      </c>
      <c r="R33" s="43">
        <v>3.25</v>
      </c>
      <c r="S33" s="43">
        <v>2408.692</v>
      </c>
      <c r="T33" s="43">
        <v>1.3369560000000001E-2</v>
      </c>
      <c r="U33" s="43">
        <v>3.0252720000000002</v>
      </c>
      <c r="V33" s="43">
        <v>2190.806</v>
      </c>
      <c r="W33" s="43">
        <v>1.151</v>
      </c>
      <c r="X33" s="43">
        <v>12824.82</v>
      </c>
      <c r="Y33" s="43">
        <v>1.2510870000000001</v>
      </c>
      <c r="Z33" s="43">
        <v>0.76622140000000005</v>
      </c>
      <c r="AA33" s="43">
        <v>0.94699</v>
      </c>
      <c r="AB33" s="43">
        <v>1.0351999999999999</v>
      </c>
      <c r="AC33" s="43">
        <v>101.8297</v>
      </c>
      <c r="AD33" s="43">
        <v>0.91951000000000005</v>
      </c>
      <c r="AE33" s="43">
        <v>0.87865000000000004</v>
      </c>
      <c r="AF33" s="43">
        <v>0.80347999999999997</v>
      </c>
      <c r="AG33" s="43">
        <v>313.25799999999998</v>
      </c>
      <c r="AH33" s="43">
        <v>120.55500000000001</v>
      </c>
      <c r="AI33" s="43">
        <v>2.0059670000000001</v>
      </c>
      <c r="AJ33" s="43">
        <v>2.0153333333333299</v>
      </c>
      <c r="AK33" s="43">
        <v>15842.26</v>
      </c>
      <c r="AM33" s="43">
        <v>2.1089673913043501</v>
      </c>
      <c r="AN33" s="43">
        <v>2.0060980000000002</v>
      </c>
      <c r="AO33" s="43">
        <v>1.90801086956522</v>
      </c>
      <c r="AP33" s="43">
        <v>3.0388913043478301</v>
      </c>
      <c r="AQ33" s="43">
        <v>2.7439460000000002</v>
      </c>
      <c r="AR33" s="43">
        <v>1.853685</v>
      </c>
      <c r="AS33" s="43">
        <v>1.942609</v>
      </c>
      <c r="AT33" s="43">
        <v>2.1277499999999998</v>
      </c>
      <c r="AU33" s="43">
        <v>1.9665760000000001</v>
      </c>
      <c r="AV33" s="43">
        <v>1819.3920000000001</v>
      </c>
      <c r="AW33" s="43">
        <v>987.06600000000003</v>
      </c>
      <c r="AX33" s="43">
        <v>0.96486740000000004</v>
      </c>
      <c r="AY33" s="43">
        <v>1.206304</v>
      </c>
      <c r="AZ33" s="43">
        <v>201.642</v>
      </c>
      <c r="BA33" s="43">
        <v>0.97782990000000003</v>
      </c>
      <c r="BB33" s="43">
        <v>98.5</v>
      </c>
      <c r="BC33" s="43">
        <v>22.855429999999998</v>
      </c>
      <c r="BD33" s="43">
        <v>7.5326089999999999</v>
      </c>
      <c r="BE33" s="43">
        <v>0.91400000000000003</v>
      </c>
      <c r="BF33" s="43">
        <v>0.85807610000000001</v>
      </c>
      <c r="BG33" s="43">
        <v>1.25</v>
      </c>
      <c r="BH33" s="43">
        <v>2.1298910000000002</v>
      </c>
      <c r="BI33" s="43">
        <v>0.98799999999999999</v>
      </c>
      <c r="BJ33" s="43">
        <v>0.996</v>
      </c>
      <c r="BK33" s="43">
        <v>104.13890000000001</v>
      </c>
      <c r="BL33" s="43">
        <v>96.110309999999998</v>
      </c>
      <c r="BM33" s="43">
        <v>1.005403</v>
      </c>
      <c r="BN33" s="43">
        <v>1.1549430000000001</v>
      </c>
      <c r="BO33" s="43">
        <v>34.48471</v>
      </c>
      <c r="BP33" s="43">
        <v>1.02267717391304</v>
      </c>
      <c r="BQ33" s="43">
        <v>1774.8</v>
      </c>
      <c r="BR33" s="43">
        <v>394.59373409836201</v>
      </c>
      <c r="BS33" s="43">
        <v>10201.719999999999</v>
      </c>
      <c r="BT33" s="43">
        <v>5606.5749999999998</v>
      </c>
      <c r="BU33" s="43">
        <v>0.98796740000000005</v>
      </c>
      <c r="BV33" s="43">
        <v>0.96714239999999996</v>
      </c>
      <c r="BW33" s="43">
        <v>1.021652</v>
      </c>
      <c r="BX33" s="43">
        <v>1.3480840000000001</v>
      </c>
      <c r="BY33" s="43">
        <v>1.978016</v>
      </c>
      <c r="BZ33" s="43">
        <v>2.4973369999999999</v>
      </c>
      <c r="CA33" s="43">
        <v>1.7437229999999999</v>
      </c>
      <c r="CB33" s="43">
        <v>0.63618019999999997</v>
      </c>
      <c r="CC33" s="43">
        <v>6.7442700000000002</v>
      </c>
      <c r="CD33" s="43">
        <v>0.97965219999999997</v>
      </c>
      <c r="CE33" s="43">
        <v>1.0261849999999999</v>
      </c>
      <c r="CF33" s="43">
        <v>1.068011</v>
      </c>
      <c r="CG33" s="43">
        <v>0.88066670000000002</v>
      </c>
      <c r="CH33" s="43">
        <v>0.98065219999999997</v>
      </c>
      <c r="CI33" s="43">
        <v>0.98355440000000005</v>
      </c>
      <c r="CJ33" s="43">
        <v>1.0419670000000001</v>
      </c>
      <c r="CK33" s="43">
        <v>0.90066670000000004</v>
      </c>
      <c r="CL33" s="43">
        <v>0.95633330000000005</v>
      </c>
      <c r="CM33" s="43">
        <v>1.002</v>
      </c>
      <c r="CN33" s="43">
        <v>0.97636659999999997</v>
      </c>
      <c r="CO33" s="43">
        <v>1.0029999999999999</v>
      </c>
      <c r="CP33" s="43">
        <v>0.74203640000000004</v>
      </c>
      <c r="CQ33" s="43">
        <v>0.965337</v>
      </c>
      <c r="CR33" s="43">
        <v>1.5014780000000001</v>
      </c>
      <c r="CS33" s="43">
        <v>81.153192473333903</v>
      </c>
      <c r="CT33" s="43">
        <v>31.33625</v>
      </c>
      <c r="CU33" s="43">
        <v>18.759170000000001</v>
      </c>
      <c r="CV33" s="43">
        <v>25.288931220967399</v>
      </c>
      <c r="CW33" s="43">
        <v>1.0169999999999999</v>
      </c>
      <c r="CX33" s="43">
        <v>1.030667</v>
      </c>
      <c r="CY33" s="43">
        <v>1.023333</v>
      </c>
      <c r="CZ33" s="43">
        <v>1.0309999999999999</v>
      </c>
      <c r="DA33" s="43">
        <v>0.99266666666666703</v>
      </c>
      <c r="DB33" s="43">
        <v>1.2114440569</v>
      </c>
      <c r="DC33" s="43">
        <v>1.0820000000000001</v>
      </c>
      <c r="DD33" s="43">
        <v>0.79600000000000004</v>
      </c>
      <c r="DE33" s="43">
        <v>0.90900000000000003</v>
      </c>
      <c r="DF33" s="43">
        <v>0.90100000000000002</v>
      </c>
      <c r="DG33" s="43">
        <v>0.88800000000000001</v>
      </c>
      <c r="DH33" s="43">
        <v>0.79700000000000004</v>
      </c>
      <c r="DI33" s="43">
        <v>0.75700000000000001</v>
      </c>
      <c r="DJ33" s="43">
        <v>0.64900000000000002</v>
      </c>
      <c r="DK33" s="43">
        <v>0.98433329999999997</v>
      </c>
      <c r="DL33" s="43">
        <v>1.0129999999999999</v>
      </c>
      <c r="DM33" s="43">
        <v>1.0653330000000001</v>
      </c>
      <c r="DN33" s="43">
        <v>1.0206666666666699</v>
      </c>
      <c r="DO33" s="43">
        <v>0.96433340000000001</v>
      </c>
      <c r="DP33" s="43">
        <v>0.99266670000000001</v>
      </c>
      <c r="DQ33" s="43">
        <v>1.1779999999999999</v>
      </c>
      <c r="DR33" s="43">
        <v>0.95733330000000005</v>
      </c>
      <c r="DS33" s="43">
        <v>0.81399999999999995</v>
      </c>
      <c r="DT33" s="43">
        <v>0.98366666666666702</v>
      </c>
      <c r="DU33" s="43">
        <v>515.45910000000003</v>
      </c>
      <c r="DV33" s="43">
        <v>293.86259999999999</v>
      </c>
      <c r="DW33" s="43">
        <v>113.08369999999999</v>
      </c>
      <c r="DX33" s="43">
        <v>0.9443587</v>
      </c>
      <c r="DY33" s="43">
        <v>0.98033700000000001</v>
      </c>
      <c r="DZ33" s="43">
        <v>0.97099999999999997</v>
      </c>
      <c r="EA33" s="43">
        <v>796.48289999999997</v>
      </c>
      <c r="EB33" s="43">
        <v>77.330600000000004</v>
      </c>
      <c r="EC33" s="43">
        <v>1.002</v>
      </c>
      <c r="ED33" s="43">
        <v>1.0029999999999999</v>
      </c>
      <c r="EE33" s="43">
        <v>1.030667</v>
      </c>
      <c r="EF33" s="43">
        <v>1.023333</v>
      </c>
      <c r="EG33" s="43">
        <v>1.0169999999999999</v>
      </c>
      <c r="EH33" s="43">
        <v>0.43456513335910302</v>
      </c>
      <c r="EI33" s="43">
        <v>0.179509001636661</v>
      </c>
      <c r="EJ33" s="43">
        <v>20.5626082514923</v>
      </c>
      <c r="EK33" s="43">
        <v>11.668085106383</v>
      </c>
      <c r="EL33" s="43">
        <v>0.51392041384799103</v>
      </c>
      <c r="EM33" s="43">
        <v>3211.3037063112101</v>
      </c>
      <c r="EN33" s="43">
        <v>799.58867519383</v>
      </c>
      <c r="EO33" s="43">
        <v>118833.136486822</v>
      </c>
      <c r="EP33" s="43">
        <v>80562.747223727798</v>
      </c>
      <c r="EQ33" s="43">
        <v>5731.0131941373602</v>
      </c>
      <c r="ER33" s="43">
        <v>1.32861576196314</v>
      </c>
      <c r="ES33" s="43">
        <v>1.41928420677495</v>
      </c>
      <c r="ET33" s="43">
        <v>1.3088072401237101</v>
      </c>
      <c r="EU33" s="43">
        <v>0.67555370000000003</v>
      </c>
      <c r="EV33" s="43">
        <v>1.1107940000000001</v>
      </c>
      <c r="EW33" s="43">
        <v>1.120941</v>
      </c>
      <c r="EX33" s="43">
        <v>0.67270589999999997</v>
      </c>
      <c r="EY33" s="43">
        <v>1.11171</v>
      </c>
      <c r="EZ33" s="43">
        <v>1.123578</v>
      </c>
      <c r="FA33" s="43">
        <v>5.0960000000000001</v>
      </c>
      <c r="FB33" s="43">
        <v>5.0960000000000001</v>
      </c>
      <c r="FC33" s="43">
        <v>21.76</v>
      </c>
      <c r="FD33" s="43">
        <v>9180.6319999999996</v>
      </c>
      <c r="FE33" s="43">
        <v>69538.16</v>
      </c>
      <c r="FF33" s="43">
        <v>1.2080312499999999</v>
      </c>
      <c r="FG33" s="43">
        <v>1.7987329999999999</v>
      </c>
      <c r="FH33" s="43">
        <v>512.16989999999998</v>
      </c>
      <c r="FI33" s="43">
        <v>9018.4680000000008</v>
      </c>
      <c r="FJ33" s="43">
        <v>6.3585560000000001</v>
      </c>
      <c r="FK33" s="43">
        <v>13.635350000000001</v>
      </c>
      <c r="FL33" s="43">
        <v>0.86780889999999999</v>
      </c>
      <c r="FM33" s="43">
        <v>0.88621240000000001</v>
      </c>
    </row>
    <row r="34" spans="1:169" x14ac:dyDescent="0.25">
      <c r="A34" s="43" t="s">
        <v>261</v>
      </c>
      <c r="B34" s="43">
        <v>17367.009999999998</v>
      </c>
      <c r="C34" s="43">
        <v>11646.64</v>
      </c>
      <c r="D34" s="43">
        <v>2.2832590000000001</v>
      </c>
      <c r="E34" s="43">
        <v>0.1034066</v>
      </c>
      <c r="F34" s="43">
        <v>2.0381320000000001</v>
      </c>
      <c r="G34" s="43">
        <v>8.2659339999999997</v>
      </c>
      <c r="H34" s="43">
        <v>0.96816259999999998</v>
      </c>
      <c r="I34" s="43">
        <v>0.98708450000000003</v>
      </c>
      <c r="J34" s="43">
        <v>0.95945530000000001</v>
      </c>
      <c r="K34" s="43">
        <v>1.003701</v>
      </c>
      <c r="L34" s="43">
        <v>1.937978</v>
      </c>
      <c r="M34" s="43">
        <v>102.89149999999999</v>
      </c>
      <c r="N34" s="43">
        <v>118.471538461538</v>
      </c>
      <c r="O34" s="43">
        <v>2.4486813186813201</v>
      </c>
      <c r="P34" s="43">
        <v>0.70733330000000005</v>
      </c>
      <c r="Q34" s="43">
        <v>-580.31600000000003</v>
      </c>
      <c r="R34" s="43">
        <v>3.25</v>
      </c>
      <c r="S34" s="43">
        <v>2426.1190000000001</v>
      </c>
      <c r="T34" s="43">
        <v>6.615385E-2</v>
      </c>
      <c r="U34" s="43">
        <v>3.1267140000000002</v>
      </c>
      <c r="V34" s="43">
        <v>2247.239</v>
      </c>
      <c r="W34" s="43">
        <v>1.157</v>
      </c>
      <c r="X34" s="43">
        <v>13020.98</v>
      </c>
      <c r="Y34" s="43">
        <v>1.2580089999999999</v>
      </c>
      <c r="Z34" s="43">
        <v>0.76960150000000005</v>
      </c>
      <c r="AA34" s="43">
        <v>0.95093000000000005</v>
      </c>
      <c r="AB34" s="43">
        <v>1.0348200000000001</v>
      </c>
      <c r="AC34" s="43">
        <v>105.18</v>
      </c>
      <c r="AD34" s="43">
        <v>0.92495000000000005</v>
      </c>
      <c r="AE34" s="43">
        <v>0.89161000000000001</v>
      </c>
      <c r="AF34" s="43">
        <v>0.80218</v>
      </c>
      <c r="AG34" s="43">
        <v>313.8134</v>
      </c>
      <c r="AH34" s="43">
        <v>120.61279999999999</v>
      </c>
      <c r="AI34" s="43">
        <v>2.0164499999999999</v>
      </c>
      <c r="AJ34" s="43">
        <v>2.0296666666666701</v>
      </c>
      <c r="AK34" s="43">
        <v>16068.8</v>
      </c>
      <c r="AM34" s="43">
        <v>2.0993846153846198</v>
      </c>
      <c r="AN34" s="43">
        <v>1.6721760000000001</v>
      </c>
      <c r="AO34" s="43">
        <v>1.8899560439560401</v>
      </c>
      <c r="AP34" s="43">
        <v>3.1636263736263701</v>
      </c>
      <c r="AQ34" s="43">
        <v>2.788154</v>
      </c>
      <c r="AR34" s="43">
        <v>1.860703</v>
      </c>
      <c r="AS34" s="43">
        <v>1.949484</v>
      </c>
      <c r="AT34" s="43">
        <v>2.1424620000000001</v>
      </c>
      <c r="AU34" s="43">
        <v>1.974407</v>
      </c>
      <c r="AV34" s="43">
        <v>1820.558</v>
      </c>
      <c r="AW34" s="43">
        <v>992.77099999999996</v>
      </c>
      <c r="AX34" s="43">
        <v>0.95693609999999996</v>
      </c>
      <c r="AY34" s="43">
        <v>1.212</v>
      </c>
      <c r="AZ34" s="43">
        <v>207.709</v>
      </c>
      <c r="BA34" s="43">
        <v>0.99880860000000005</v>
      </c>
      <c r="BB34" s="43">
        <v>99.1</v>
      </c>
      <c r="BC34" s="43">
        <v>22.853300000000001</v>
      </c>
      <c r="BD34" s="43">
        <v>7.5318680000000002</v>
      </c>
      <c r="BE34" s="43">
        <v>0.92033330000000002</v>
      </c>
      <c r="BF34" s="43">
        <v>0.89195599999999997</v>
      </c>
      <c r="BG34" s="43">
        <v>1.25</v>
      </c>
      <c r="BH34" s="43">
        <v>2.036813</v>
      </c>
      <c r="BI34" s="43">
        <v>0.998</v>
      </c>
      <c r="BJ34" s="43">
        <v>0.997</v>
      </c>
      <c r="BK34" s="43">
        <v>105.313</v>
      </c>
      <c r="BL34" s="43">
        <v>103.0217</v>
      </c>
      <c r="BM34" s="43">
        <v>1.0072650000000001</v>
      </c>
      <c r="BN34" s="43">
        <v>1.147729</v>
      </c>
      <c r="BO34" s="43">
        <v>34.598559999999999</v>
      </c>
      <c r="BP34" s="43">
        <v>1.0012648351648401</v>
      </c>
      <c r="BQ34" s="43">
        <v>1785.616</v>
      </c>
      <c r="BR34" s="43">
        <v>400.09914315142203</v>
      </c>
      <c r="BS34" s="43">
        <v>10175.43</v>
      </c>
      <c r="BT34" s="43">
        <v>5600.1149999999998</v>
      </c>
      <c r="BU34" s="43">
        <v>0.98093410000000003</v>
      </c>
      <c r="BV34" s="43">
        <v>0.96912310000000002</v>
      </c>
      <c r="BW34" s="43">
        <v>1.032659</v>
      </c>
      <c r="BX34" s="43">
        <v>1.311604</v>
      </c>
      <c r="BY34" s="43">
        <v>1.8895599999999999</v>
      </c>
      <c r="BZ34" s="43">
        <v>2.3227470000000001</v>
      </c>
      <c r="CA34" s="43">
        <v>1.859121</v>
      </c>
      <c r="CB34" s="43">
        <v>0.63636649999999995</v>
      </c>
      <c r="CC34" s="43">
        <v>6.748564</v>
      </c>
      <c r="CD34" s="43">
        <v>0.97968129999999998</v>
      </c>
      <c r="CE34" s="43">
        <v>1.0122530000000001</v>
      </c>
      <c r="CF34" s="43">
        <v>1.038319</v>
      </c>
      <c r="CG34" s="43">
        <v>0.88733329999999999</v>
      </c>
      <c r="CH34" s="43">
        <v>0.97281320000000004</v>
      </c>
      <c r="CI34" s="43">
        <v>0.97305489999999994</v>
      </c>
      <c r="CJ34" s="43">
        <v>1.016626</v>
      </c>
      <c r="CK34" s="43">
        <v>0.86333329999999997</v>
      </c>
      <c r="CL34" s="43">
        <v>0.96366669999999999</v>
      </c>
      <c r="CM34" s="43">
        <v>1.01</v>
      </c>
      <c r="CN34" s="43">
        <v>0.98450000000000004</v>
      </c>
      <c r="CO34" s="43">
        <v>1.026</v>
      </c>
      <c r="CP34" s="43">
        <v>0.76252359999999997</v>
      </c>
      <c r="CQ34" s="43">
        <v>0.9547253</v>
      </c>
      <c r="CR34" s="43">
        <v>1.0007140000000001</v>
      </c>
      <c r="CS34" s="43">
        <v>90.290549961110301</v>
      </c>
      <c r="CT34" s="43">
        <v>30.338550000000001</v>
      </c>
      <c r="CU34" s="43">
        <v>19.163650000000001</v>
      </c>
      <c r="CV34" s="43">
        <v>25.1351275758242</v>
      </c>
      <c r="CW34" s="43">
        <v>1.032667</v>
      </c>
      <c r="CX34" s="43">
        <v>1.0493330000000001</v>
      </c>
      <c r="CY34" s="43">
        <v>1.0309999999999999</v>
      </c>
      <c r="CZ34" s="43">
        <v>1.03433333333333</v>
      </c>
      <c r="DA34" s="43">
        <v>0.99866666666666704</v>
      </c>
      <c r="DB34" s="43">
        <v>1.2234000291</v>
      </c>
      <c r="DC34" s="43">
        <v>1.1053333333333299</v>
      </c>
      <c r="DD34" s="43">
        <v>0.8</v>
      </c>
      <c r="DE34" s="43">
        <v>0.91200000000000003</v>
      </c>
      <c r="DF34" s="43">
        <v>0.90200000000000002</v>
      </c>
      <c r="DG34" s="43">
        <v>0.86299999999999999</v>
      </c>
      <c r="DH34" s="43">
        <v>0.80700000000000005</v>
      </c>
      <c r="DI34" s="43">
        <v>0.76200000000000001</v>
      </c>
      <c r="DJ34" s="43">
        <v>0.64800000000000002</v>
      </c>
      <c r="DK34" s="43">
        <v>1.016</v>
      </c>
      <c r="DL34" s="43">
        <v>1.0316669999999999</v>
      </c>
      <c r="DM34" s="43">
        <v>1.0633330000000001</v>
      </c>
      <c r="DN34" s="43">
        <v>1.0316666666666701</v>
      </c>
      <c r="DO34" s="43">
        <v>1.0369999999999999</v>
      </c>
      <c r="DP34" s="43">
        <v>1.0143329999999999</v>
      </c>
      <c r="DQ34" s="43">
        <v>1.2163330000000001</v>
      </c>
      <c r="DR34" s="43">
        <v>0.96399999999999997</v>
      </c>
      <c r="DS34" s="43">
        <v>0.90400000000000003</v>
      </c>
      <c r="DT34" s="43">
        <v>1.0153333333333301</v>
      </c>
      <c r="DU34" s="43">
        <v>522.52819999999997</v>
      </c>
      <c r="DV34" s="43">
        <v>295.0822</v>
      </c>
      <c r="DW34" s="43">
        <v>113.9659</v>
      </c>
      <c r="DX34" s="43">
        <v>0.94768129999999995</v>
      </c>
      <c r="DY34" s="43">
        <v>0.98202199999999995</v>
      </c>
      <c r="DZ34" s="43">
        <v>0.97099999999999997</v>
      </c>
      <c r="EA34" s="43">
        <v>861.93629999999996</v>
      </c>
      <c r="EB34" s="43">
        <v>79.318209999999993</v>
      </c>
      <c r="EC34" s="43">
        <v>1.01</v>
      </c>
      <c r="ED34" s="43">
        <v>1.026</v>
      </c>
      <c r="EE34" s="43">
        <v>1.0493330000000001</v>
      </c>
      <c r="EF34" s="43">
        <v>1.0309999999999999</v>
      </c>
      <c r="EG34" s="43">
        <v>1.032667</v>
      </c>
      <c r="EH34" s="43">
        <v>0.43757634325473499</v>
      </c>
      <c r="EI34" s="43">
        <v>0.18075286415712</v>
      </c>
      <c r="EJ34" s="43">
        <v>20.705091678472002</v>
      </c>
      <c r="EK34" s="43">
        <v>11.748936170212801</v>
      </c>
      <c r="EL34" s="43">
        <v>0.517481496219658</v>
      </c>
      <c r="EM34" s="43">
        <v>3316.9596921055099</v>
      </c>
      <c r="EN34" s="43">
        <v>825.89616194493601</v>
      </c>
      <c r="EO34" s="43">
        <v>122742.89816892899</v>
      </c>
      <c r="EP34" s="43">
        <v>83213.364310953606</v>
      </c>
      <c r="EQ34" s="43">
        <v>5919.5708342748203</v>
      </c>
      <c r="ER34" s="43">
        <v>1.34292990581244</v>
      </c>
      <c r="ES34" s="43">
        <v>1.4345751877195101</v>
      </c>
      <c r="ET34" s="43">
        <v>1.3229494999848299</v>
      </c>
      <c r="EU34" s="43">
        <v>0.67501100000000003</v>
      </c>
      <c r="EV34" s="43">
        <v>1.1628670000000001</v>
      </c>
      <c r="EW34" s="43">
        <v>1.1444030000000001</v>
      </c>
      <c r="EX34" s="43">
        <v>0.67333259999999995</v>
      </c>
      <c r="EY34" s="43">
        <v>1.1421380000000001</v>
      </c>
      <c r="EZ34" s="43">
        <v>1.138223</v>
      </c>
      <c r="FA34" s="43">
        <v>5.1210000000000004</v>
      </c>
      <c r="FB34" s="43">
        <v>5.1210000000000004</v>
      </c>
      <c r="FC34" s="43">
        <v>21.890999999999998</v>
      </c>
      <c r="FD34" s="43">
        <v>9609.8320000000003</v>
      </c>
      <c r="FE34" s="43">
        <v>70712.61</v>
      </c>
      <c r="FF34" s="43">
        <v>1.1891875000000001</v>
      </c>
      <c r="FG34" s="43">
        <v>1.766775</v>
      </c>
      <c r="FH34" s="43">
        <v>492.11200000000002</v>
      </c>
      <c r="FI34" s="43">
        <v>9100.1090000000004</v>
      </c>
      <c r="FJ34" s="43">
        <v>6.310022</v>
      </c>
      <c r="FK34" s="43">
        <v>12.977</v>
      </c>
      <c r="FL34" s="43">
        <v>0.87314400000000003</v>
      </c>
      <c r="FM34" s="43">
        <v>0.87880159999999996</v>
      </c>
    </row>
    <row r="35" spans="1:169" x14ac:dyDescent="0.25">
      <c r="A35" s="43" t="s">
        <v>262</v>
      </c>
      <c r="B35" s="43">
        <v>17444.53</v>
      </c>
      <c r="C35" s="43">
        <v>11667.81</v>
      </c>
      <c r="D35" s="43">
        <v>2.2880690000000001</v>
      </c>
      <c r="E35" s="43">
        <v>0.1534066</v>
      </c>
      <c r="F35" s="43">
        <v>1.8230770000000001</v>
      </c>
      <c r="G35" s="43">
        <v>8.1999999999999993</v>
      </c>
      <c r="H35" s="43">
        <v>0.97425790000000001</v>
      </c>
      <c r="I35" s="43">
        <v>0.98842940000000001</v>
      </c>
      <c r="J35" s="43">
        <v>0.96862360000000003</v>
      </c>
      <c r="K35" s="43">
        <v>0.99871069999999995</v>
      </c>
      <c r="L35" s="43">
        <v>1.929989</v>
      </c>
      <c r="M35" s="43">
        <v>93.436809999999994</v>
      </c>
      <c r="N35" s="43">
        <v>108.329010989011</v>
      </c>
      <c r="O35" s="43">
        <v>2.2816483516483501</v>
      </c>
      <c r="P35" s="43">
        <v>0.73933329999999997</v>
      </c>
      <c r="Q35" s="43">
        <v>-546.79</v>
      </c>
      <c r="R35" s="43">
        <v>3.25</v>
      </c>
      <c r="S35" s="43">
        <v>2423.6280000000002</v>
      </c>
      <c r="T35" s="43">
        <v>8.6703299999999997E-2</v>
      </c>
      <c r="U35" s="43">
        <v>2.9587469999999998</v>
      </c>
      <c r="V35" s="43">
        <v>2221.8240000000001</v>
      </c>
      <c r="W35" s="43">
        <v>1.163</v>
      </c>
      <c r="X35" s="43">
        <v>13108.77</v>
      </c>
      <c r="Y35" s="43">
        <v>1.2649859999999999</v>
      </c>
      <c r="Z35" s="43">
        <v>0.77017380000000002</v>
      </c>
      <c r="AA35" s="43">
        <v>0.95543</v>
      </c>
      <c r="AB35" s="43">
        <v>1.0285200000000001</v>
      </c>
      <c r="AC35" s="43">
        <v>105.98309999999999</v>
      </c>
      <c r="AD35" s="43">
        <v>0.92881000000000002</v>
      </c>
      <c r="AE35" s="43">
        <v>0.90342</v>
      </c>
      <c r="AF35" s="43">
        <v>0.80535999999999996</v>
      </c>
      <c r="AG35" s="43">
        <v>314.37329999999997</v>
      </c>
      <c r="AH35" s="43">
        <v>120.9147</v>
      </c>
      <c r="AI35" s="43">
        <v>2.0043410000000002</v>
      </c>
      <c r="AJ35" s="43">
        <v>2.0243333333333302</v>
      </c>
      <c r="AK35" s="43">
        <v>16207.12</v>
      </c>
      <c r="AM35" s="43">
        <v>2.10398901098901</v>
      </c>
      <c r="AN35" s="43">
        <v>1.3465929999999999</v>
      </c>
      <c r="AO35" s="43">
        <v>1.8877032967033001</v>
      </c>
      <c r="AP35" s="43">
        <v>2.9977252747252701</v>
      </c>
      <c r="AQ35" s="43">
        <v>2.797857</v>
      </c>
      <c r="AR35" s="43">
        <v>1.888374</v>
      </c>
      <c r="AS35" s="43">
        <v>1.893286</v>
      </c>
      <c r="AT35" s="43">
        <v>2.1105930000000002</v>
      </c>
      <c r="AU35" s="43">
        <v>1.9769779999999999</v>
      </c>
      <c r="AV35" s="43">
        <v>1826.4960000000001</v>
      </c>
      <c r="AW35" s="43">
        <v>993.91899999999998</v>
      </c>
      <c r="AX35" s="43">
        <v>0.95720689999999997</v>
      </c>
      <c r="AY35" s="43">
        <v>1.219681</v>
      </c>
      <c r="AZ35" s="43">
        <v>229.07400000000001</v>
      </c>
      <c r="BA35" s="43">
        <v>0.99013879999999999</v>
      </c>
      <c r="BB35" s="43">
        <v>99.4</v>
      </c>
      <c r="BC35" s="43">
        <v>23.318349999999999</v>
      </c>
      <c r="BD35" s="43">
        <v>7.4340659999999996</v>
      </c>
      <c r="BE35" s="43">
        <v>0.92066669999999995</v>
      </c>
      <c r="BF35" s="43">
        <v>0.95173620000000003</v>
      </c>
      <c r="BG35" s="43">
        <v>1.25</v>
      </c>
      <c r="BH35" s="43">
        <v>1.9269229999999999</v>
      </c>
      <c r="BI35" s="43">
        <v>0.98899999999999999</v>
      </c>
      <c r="BJ35" s="43">
        <v>0.996</v>
      </c>
      <c r="BK35" s="43">
        <v>107.06</v>
      </c>
      <c r="BL35" s="43">
        <v>94.386279999999999</v>
      </c>
      <c r="BM35" s="43">
        <v>1.016092</v>
      </c>
      <c r="BN35" s="43">
        <v>1.1415409999999999</v>
      </c>
      <c r="BO35" s="43">
        <v>34.700130000000001</v>
      </c>
      <c r="BP35" s="43">
        <v>1.0101615384615401</v>
      </c>
      <c r="BQ35" s="43">
        <v>1792.008</v>
      </c>
      <c r="BR35" s="43">
        <v>399.23713928186697</v>
      </c>
      <c r="BS35" s="43">
        <v>10151.98</v>
      </c>
      <c r="BT35" s="43">
        <v>5575.6970000000001</v>
      </c>
      <c r="BU35" s="43">
        <v>0.97706590000000004</v>
      </c>
      <c r="BV35" s="43">
        <v>0.98243080000000005</v>
      </c>
      <c r="BW35" s="43">
        <v>1.036341</v>
      </c>
      <c r="BX35" s="43">
        <v>1.283534</v>
      </c>
      <c r="BY35" s="43">
        <v>1.557407</v>
      </c>
      <c r="BZ35" s="43">
        <v>1.932275</v>
      </c>
      <c r="CA35" s="43">
        <v>1.605154</v>
      </c>
      <c r="CB35" s="43">
        <v>0.63189709999999999</v>
      </c>
      <c r="CC35" s="43">
        <v>6.9470660000000004</v>
      </c>
      <c r="CD35" s="43">
        <v>0.97909889999999999</v>
      </c>
      <c r="CE35" s="43">
        <v>1.0039340000000001</v>
      </c>
      <c r="CF35" s="43">
        <v>1.0311319999999999</v>
      </c>
      <c r="CG35" s="43">
        <v>0.86399999999999999</v>
      </c>
      <c r="CH35" s="43">
        <v>0.96778019999999998</v>
      </c>
      <c r="CI35" s="43">
        <v>0.99863729999999995</v>
      </c>
      <c r="CJ35" s="43">
        <v>1.020462</v>
      </c>
      <c r="CK35" s="43">
        <v>0.85533329999999996</v>
      </c>
      <c r="CL35" s="43">
        <v>0.96799999999999997</v>
      </c>
      <c r="CM35" s="43">
        <v>1.0129999999999999</v>
      </c>
      <c r="CN35" s="43">
        <v>0.99363330000000005</v>
      </c>
      <c r="CO35" s="43">
        <v>1.0249999999999999</v>
      </c>
      <c r="CP35" s="43">
        <v>0.77939879999999995</v>
      </c>
      <c r="CQ35" s="43">
        <v>0.95507690000000001</v>
      </c>
      <c r="CR35" s="43">
        <v>0.66468130000000003</v>
      </c>
      <c r="CS35" s="43">
        <v>84.283063112174304</v>
      </c>
      <c r="CT35" s="43">
        <v>31.10699</v>
      </c>
      <c r="CU35" s="43">
        <v>19.672229999999999</v>
      </c>
      <c r="CV35" s="43">
        <v>25.249977357890099</v>
      </c>
      <c r="CW35" s="43">
        <v>1.0333330000000001</v>
      </c>
      <c r="CX35" s="43">
        <v>1.0529999999999999</v>
      </c>
      <c r="CY35" s="43">
        <v>1.025333</v>
      </c>
      <c r="CZ35" s="43">
        <v>1.0356666666666701</v>
      </c>
      <c r="DA35" s="43">
        <v>1.00233333333333</v>
      </c>
      <c r="DB35" s="43">
        <v>1.2330449066</v>
      </c>
      <c r="DC35" s="43">
        <v>1.1123333333333301</v>
      </c>
      <c r="DD35" s="43">
        <v>0.82099999999999995</v>
      </c>
      <c r="DE35" s="43">
        <v>0.92800000000000005</v>
      </c>
      <c r="DF35" s="43">
        <v>0.89600000000000002</v>
      </c>
      <c r="DG35" s="43">
        <v>0.80600000000000005</v>
      </c>
      <c r="DH35" s="43">
        <v>0.81699999999999995</v>
      </c>
      <c r="DI35" s="43">
        <v>0.78300000000000003</v>
      </c>
      <c r="DJ35" s="43">
        <v>0.65300000000000002</v>
      </c>
      <c r="DK35" s="43">
        <v>0.98299999999999998</v>
      </c>
      <c r="DL35" s="43">
        <v>1.0473330000000001</v>
      </c>
      <c r="DM35" s="43">
        <v>1.062667</v>
      </c>
      <c r="DN35" s="43">
        <v>1.0469999999999999</v>
      </c>
      <c r="DO35" s="43">
        <v>1.0043329999999999</v>
      </c>
      <c r="DP35" s="43">
        <v>1.0373330000000001</v>
      </c>
      <c r="DQ35" s="43">
        <v>1.0720000000000001</v>
      </c>
      <c r="DR35" s="43">
        <v>0.98</v>
      </c>
      <c r="DS35" s="43">
        <v>0.91800000000000004</v>
      </c>
      <c r="DT35" s="43">
        <v>0.98433333333333295</v>
      </c>
      <c r="DU35" s="43">
        <v>517.80460000000005</v>
      </c>
      <c r="DV35" s="43">
        <v>295.63069999999999</v>
      </c>
      <c r="DW35" s="43">
        <v>111.5626</v>
      </c>
      <c r="DX35" s="43">
        <v>0.94834070000000004</v>
      </c>
      <c r="DY35" s="43">
        <v>0.97967029999999999</v>
      </c>
      <c r="DZ35" s="43">
        <v>0.96599999999999997</v>
      </c>
      <c r="EA35" s="43">
        <v>874.51660000000004</v>
      </c>
      <c r="EB35" s="43">
        <v>80.073620000000005</v>
      </c>
      <c r="EC35" s="43">
        <v>1.0129999999999999</v>
      </c>
      <c r="ED35" s="43">
        <v>1.0249999999999999</v>
      </c>
      <c r="EE35" s="43">
        <v>1.0529999999999999</v>
      </c>
      <c r="EF35" s="43">
        <v>1.025333</v>
      </c>
      <c r="EG35" s="43">
        <v>1.0333330000000001</v>
      </c>
      <c r="EH35" s="43">
        <v>0.43773482798608399</v>
      </c>
      <c r="EI35" s="43">
        <v>0.18081833060556499</v>
      </c>
      <c r="EJ35" s="43">
        <v>20.7125908062077</v>
      </c>
      <c r="EK35" s="43">
        <v>11.753191489361701</v>
      </c>
      <c r="EL35" s="43">
        <v>0.51766892160764</v>
      </c>
      <c r="EM35" s="43">
        <v>3342.28555047693</v>
      </c>
      <c r="EN35" s="43">
        <v>832.20209604377396</v>
      </c>
      <c r="EO35" s="43">
        <v>123680.07243201201</v>
      </c>
      <c r="EP35" s="43">
        <v>83848.720201519507</v>
      </c>
      <c r="EQ35" s="43">
        <v>5964.7683122318904</v>
      </c>
      <c r="ER35" s="43">
        <v>1.34771819305267</v>
      </c>
      <c r="ES35" s="43">
        <v>1.4396902410344801</v>
      </c>
      <c r="ET35" s="43">
        <v>1.32639544719546</v>
      </c>
      <c r="EU35" s="43">
        <v>0.6920558</v>
      </c>
      <c r="EV35" s="43">
        <v>1.1269670000000001</v>
      </c>
      <c r="EW35" s="43">
        <v>1.1390340000000001</v>
      </c>
      <c r="EX35" s="43">
        <v>0.69486970000000003</v>
      </c>
      <c r="EY35" s="43">
        <v>1.1384289999999999</v>
      </c>
      <c r="EZ35" s="43">
        <v>1.1415379999999999</v>
      </c>
      <c r="FA35" s="43">
        <v>5.2619999999999996</v>
      </c>
      <c r="FB35" s="43">
        <v>5.2619999999999996</v>
      </c>
      <c r="FC35" s="43">
        <v>22.515999999999998</v>
      </c>
      <c r="FD35" s="43">
        <v>9344.5939999999991</v>
      </c>
      <c r="FE35" s="43">
        <v>71439.97</v>
      </c>
      <c r="FF35" s="43">
        <v>1.1838124999999999</v>
      </c>
      <c r="FG35" s="43">
        <v>1.9606920000000001</v>
      </c>
      <c r="FH35" s="43">
        <v>497.10989999999998</v>
      </c>
      <c r="FI35" s="43">
        <v>9325.3160000000007</v>
      </c>
      <c r="FJ35" s="43">
        <v>6.3305300000000004</v>
      </c>
      <c r="FK35" s="43">
        <v>13.53267</v>
      </c>
      <c r="FL35" s="43">
        <v>0.88519970000000003</v>
      </c>
      <c r="FM35" s="43">
        <v>0.89233510000000005</v>
      </c>
    </row>
    <row r="36" spans="1:169" x14ac:dyDescent="0.25">
      <c r="A36" s="43" t="s">
        <v>263</v>
      </c>
      <c r="B36" s="43">
        <v>17469.650000000001</v>
      </c>
      <c r="C36" s="43">
        <v>11691.31</v>
      </c>
      <c r="D36" s="43">
        <v>2.2982819999999999</v>
      </c>
      <c r="E36" s="43">
        <v>0.14336960000000001</v>
      </c>
      <c r="F36" s="43">
        <v>1.6425000000000001</v>
      </c>
      <c r="G36" s="43">
        <v>8.0358699999999992</v>
      </c>
      <c r="H36" s="43">
        <v>0.97414089999999998</v>
      </c>
      <c r="I36" s="43">
        <v>0.98540819999999996</v>
      </c>
      <c r="J36" s="43">
        <v>0.96547380000000005</v>
      </c>
      <c r="K36" s="43">
        <v>0.99853119999999995</v>
      </c>
      <c r="L36" s="43">
        <v>1.94512</v>
      </c>
      <c r="M36" s="43">
        <v>92.154669999999996</v>
      </c>
      <c r="N36" s="43">
        <v>109.57804347826099</v>
      </c>
      <c r="O36" s="43">
        <v>2.8803260869565199</v>
      </c>
      <c r="P36" s="43">
        <v>0.78033330000000001</v>
      </c>
      <c r="Q36" s="43">
        <v>-510.48759999999999</v>
      </c>
      <c r="R36" s="43">
        <v>3.25</v>
      </c>
      <c r="S36" s="43">
        <v>2424.8119999999999</v>
      </c>
      <c r="T36" s="43">
        <v>0.1032609</v>
      </c>
      <c r="U36" s="43">
        <v>2.7455430000000001</v>
      </c>
      <c r="V36" s="43">
        <v>2190.2910000000002</v>
      </c>
      <c r="W36" s="43">
        <v>1.1679999999999999</v>
      </c>
      <c r="X36" s="43">
        <v>13004.31</v>
      </c>
      <c r="Y36" s="43">
        <v>1.2714859999999999</v>
      </c>
      <c r="Z36" s="43">
        <v>0.76614669999999996</v>
      </c>
      <c r="AA36" s="43">
        <v>0.95299999999999996</v>
      </c>
      <c r="AB36" s="43">
        <v>1.02336</v>
      </c>
      <c r="AC36" s="43">
        <v>95.661850000000001</v>
      </c>
      <c r="AD36" s="43">
        <v>0.93459000000000003</v>
      </c>
      <c r="AE36" s="43">
        <v>0.90712000000000004</v>
      </c>
      <c r="AF36" s="43">
        <v>0.81228</v>
      </c>
      <c r="AG36" s="43">
        <v>315.02780000000001</v>
      </c>
      <c r="AH36" s="43">
        <v>121.23090000000001</v>
      </c>
      <c r="AI36" s="43">
        <v>1.996783</v>
      </c>
      <c r="AJ36" s="43">
        <v>2.01833333333333</v>
      </c>
      <c r="AK36" s="43">
        <v>16319.54</v>
      </c>
      <c r="AM36" s="43">
        <v>2.1074999999999999</v>
      </c>
      <c r="AN36" s="43">
        <v>1.526402</v>
      </c>
      <c r="AO36" s="43">
        <v>1.90891304347826</v>
      </c>
      <c r="AP36" s="43">
        <v>3.0148478260869598</v>
      </c>
      <c r="AQ36" s="43">
        <v>2.7372390000000002</v>
      </c>
      <c r="AR36" s="43">
        <v>1.86537</v>
      </c>
      <c r="AS36" s="43">
        <v>1.9105430000000001</v>
      </c>
      <c r="AT36" s="43">
        <v>2.1332279999999999</v>
      </c>
      <c r="AU36" s="43">
        <v>1.993239</v>
      </c>
      <c r="AV36" s="43">
        <v>1828.9839999999999</v>
      </c>
      <c r="AW36" s="43">
        <v>1000.006</v>
      </c>
      <c r="AX36" s="43">
        <v>0.94234419999999997</v>
      </c>
      <c r="AY36" s="43">
        <v>1.217641</v>
      </c>
      <c r="AZ36" s="43">
        <v>219.196</v>
      </c>
      <c r="BA36" s="43">
        <v>1.005096</v>
      </c>
      <c r="BB36" s="43">
        <v>100.6</v>
      </c>
      <c r="BC36" s="43">
        <v>23.558910000000001</v>
      </c>
      <c r="BD36" s="43">
        <v>7.3663040000000004</v>
      </c>
      <c r="BE36" s="43">
        <v>0.91500000000000004</v>
      </c>
      <c r="BF36" s="43">
        <v>0.97363040000000001</v>
      </c>
      <c r="BG36" s="43">
        <v>1.25</v>
      </c>
      <c r="BH36" s="43">
        <v>1.857826</v>
      </c>
      <c r="BI36" s="43">
        <v>1.0049999999999999</v>
      </c>
      <c r="BJ36" s="43">
        <v>1.0009999999999999</v>
      </c>
      <c r="BK36" s="43">
        <v>95.197680000000005</v>
      </c>
      <c r="BL36" s="43">
        <v>91.707530000000006</v>
      </c>
      <c r="BM36" s="43">
        <v>1.0038549999999999</v>
      </c>
      <c r="BN36" s="43">
        <v>1.138981</v>
      </c>
      <c r="BO36" s="43">
        <v>34.80133</v>
      </c>
      <c r="BP36" s="43">
        <v>0.99514782608695695</v>
      </c>
      <c r="BQ36" s="43">
        <v>1796.5</v>
      </c>
      <c r="BR36" s="43">
        <v>397.26120911125298</v>
      </c>
      <c r="BS36" s="43">
        <v>10139.64</v>
      </c>
      <c r="BT36" s="43">
        <v>5560.4740000000002</v>
      </c>
      <c r="BU36" s="43">
        <v>0.97544560000000002</v>
      </c>
      <c r="BV36" s="43">
        <v>0.98113479999999997</v>
      </c>
      <c r="BW36" s="43">
        <v>1.041304</v>
      </c>
      <c r="BX36" s="43">
        <v>1.2519070000000001</v>
      </c>
      <c r="BY36" s="43">
        <v>1.442283</v>
      </c>
      <c r="BZ36" s="43">
        <v>1.640109</v>
      </c>
      <c r="CA36" s="43">
        <v>1.4335329999999999</v>
      </c>
      <c r="CB36" s="43">
        <v>0.63262830000000003</v>
      </c>
      <c r="CC36" s="43">
        <v>6.7423070000000003</v>
      </c>
      <c r="CD36" s="43">
        <v>0.98241310000000004</v>
      </c>
      <c r="CE36" s="43">
        <v>1.008065</v>
      </c>
      <c r="CF36" s="43">
        <v>1.028033</v>
      </c>
      <c r="CG36" s="43">
        <v>0.84599999999999997</v>
      </c>
      <c r="CH36" s="43">
        <v>0.98058699999999999</v>
      </c>
      <c r="CI36" s="43">
        <v>0.99111959999999999</v>
      </c>
      <c r="CJ36" s="43">
        <v>1.029261</v>
      </c>
      <c r="CK36" s="43">
        <v>0.88733329999999999</v>
      </c>
      <c r="CL36" s="43">
        <v>0.9726667</v>
      </c>
      <c r="CM36" s="43">
        <v>1.014</v>
      </c>
      <c r="CN36" s="43">
        <v>0.99419999999999997</v>
      </c>
      <c r="CO36" s="43">
        <v>1.036</v>
      </c>
      <c r="CP36" s="43">
        <v>0.79912179999999999</v>
      </c>
      <c r="CQ36" s="43">
        <v>0.96074999999999999</v>
      </c>
      <c r="CR36" s="43">
        <v>0.29345650000000001</v>
      </c>
      <c r="CS36" s="43">
        <v>87.514435073379602</v>
      </c>
      <c r="CT36" s="43">
        <v>32.046410000000002</v>
      </c>
      <c r="CU36" s="43">
        <v>20.07572</v>
      </c>
      <c r="CV36" s="43">
        <v>25.132924796608702</v>
      </c>
      <c r="CW36" s="43">
        <v>1.0369999999999999</v>
      </c>
      <c r="CX36" s="43">
        <v>1.0756669999999999</v>
      </c>
      <c r="CY36" s="43">
        <v>1.006667</v>
      </c>
      <c r="CZ36" s="43">
        <v>1.0353333333333301</v>
      </c>
      <c r="DA36" s="43">
        <v>0.99933333333333296</v>
      </c>
      <c r="DB36" s="43">
        <v>1.2642489220999999</v>
      </c>
      <c r="DC36" s="43">
        <v>1.06266666666667</v>
      </c>
      <c r="DD36" s="43">
        <v>0.81899999999999995</v>
      </c>
      <c r="DE36" s="43">
        <v>0.93400000000000005</v>
      </c>
      <c r="DF36" s="43">
        <v>0.89800000000000002</v>
      </c>
      <c r="DG36" s="43">
        <v>0.82799999999999996</v>
      </c>
      <c r="DH36" s="43">
        <v>0.82</v>
      </c>
      <c r="DI36" s="43">
        <v>0.78600000000000003</v>
      </c>
      <c r="DJ36" s="43">
        <v>0.65600000000000003</v>
      </c>
      <c r="DK36" s="43">
        <v>0.98199999999999998</v>
      </c>
      <c r="DL36" s="43">
        <v>1.0396669999999999</v>
      </c>
      <c r="DM36" s="43">
        <v>1.066333</v>
      </c>
      <c r="DN36" s="43">
        <v>1.04033333333333</v>
      </c>
      <c r="DO36" s="43">
        <v>1.036667</v>
      </c>
      <c r="DP36" s="43">
        <v>1.0249999999999999</v>
      </c>
      <c r="DQ36" s="43">
        <v>1.012</v>
      </c>
      <c r="DR36" s="43">
        <v>0.95233330000000005</v>
      </c>
      <c r="DS36" s="43">
        <v>0.94399999999999995</v>
      </c>
      <c r="DT36" s="43">
        <v>1.081</v>
      </c>
      <c r="DU36" s="43">
        <v>515.83119999999997</v>
      </c>
      <c r="DV36" s="43">
        <v>295.51119999999997</v>
      </c>
      <c r="DW36" s="43">
        <v>107.9228</v>
      </c>
      <c r="DX36" s="43">
        <v>0.94265220000000005</v>
      </c>
      <c r="DY36" s="43">
        <v>0.97264130000000004</v>
      </c>
      <c r="DZ36" s="43">
        <v>0.96499999999999997</v>
      </c>
      <c r="EA36" s="43">
        <v>878.62009999999998</v>
      </c>
      <c r="EB36" s="43">
        <v>78.591980000000007</v>
      </c>
      <c r="EC36" s="43">
        <v>1.014</v>
      </c>
      <c r="ED36" s="43">
        <v>1.036</v>
      </c>
      <c r="EE36" s="43">
        <v>1.0756669999999999</v>
      </c>
      <c r="EF36" s="43">
        <v>1.006667</v>
      </c>
      <c r="EG36" s="43">
        <v>1.0369999999999999</v>
      </c>
      <c r="EH36" s="43">
        <v>0.435040587553151</v>
      </c>
      <c r="EI36" s="43">
        <v>0.179705400981997</v>
      </c>
      <c r="EJ36" s="43">
        <v>20.585105634699602</v>
      </c>
      <c r="EK36" s="43">
        <v>11.680851063829801</v>
      </c>
      <c r="EL36" s="43">
        <v>0.51448269001193803</v>
      </c>
      <c r="EM36" s="43">
        <v>3016.7949544729199</v>
      </c>
      <c r="EN36" s="43">
        <v>751.15756763762795</v>
      </c>
      <c r="EO36" s="43">
        <v>111635.41021457499</v>
      </c>
      <c r="EP36" s="43">
        <v>75683.059458178104</v>
      </c>
      <c r="EQ36" s="43">
        <v>5383.8855708703204</v>
      </c>
      <c r="ER36" s="43">
        <v>1.35417236729852</v>
      </c>
      <c r="ES36" s="43">
        <v>1.4465848661301299</v>
      </c>
      <c r="ET36" s="43">
        <v>1.33277211983021</v>
      </c>
      <c r="EU36" s="43">
        <v>0.72419370000000005</v>
      </c>
      <c r="EV36" s="43">
        <v>1.104633</v>
      </c>
      <c r="EW36" s="43">
        <v>1.140882</v>
      </c>
      <c r="EX36" s="43">
        <v>0.72670299999999999</v>
      </c>
      <c r="EY36" s="43">
        <v>1.112457</v>
      </c>
      <c r="EZ36" s="43">
        <v>1.1426959999999999</v>
      </c>
      <c r="FA36" s="43">
        <v>5.492</v>
      </c>
      <c r="FB36" s="43">
        <v>5.492</v>
      </c>
      <c r="FC36" s="43">
        <v>23.527000000000001</v>
      </c>
      <c r="FD36" s="43">
        <v>9251.7980000000007</v>
      </c>
      <c r="FE36" s="43">
        <v>72117.03</v>
      </c>
      <c r="FF36" s="43">
        <v>1.1783125000000001</v>
      </c>
      <c r="FG36" s="43">
        <v>2.0281470000000001</v>
      </c>
      <c r="FH36" s="43">
        <v>483.41309999999999</v>
      </c>
      <c r="FI36" s="43">
        <v>9524.1790000000001</v>
      </c>
      <c r="FJ36" s="43">
        <v>6.3506629999999999</v>
      </c>
      <c r="FK36" s="43">
        <v>13.158060000000001</v>
      </c>
      <c r="FL36" s="43">
        <v>0.88641789999999998</v>
      </c>
      <c r="FM36" s="43">
        <v>0.89100190000000001</v>
      </c>
    </row>
    <row r="37" spans="1:169" x14ac:dyDescent="0.25">
      <c r="A37" s="43" t="s">
        <v>264</v>
      </c>
      <c r="B37" s="43">
        <v>17489.849999999999</v>
      </c>
      <c r="C37" s="43">
        <v>11737.83</v>
      </c>
      <c r="D37" s="43">
        <v>2.3137059999999998</v>
      </c>
      <c r="E37" s="43">
        <v>0.16</v>
      </c>
      <c r="F37" s="43">
        <v>1.7072830000000001</v>
      </c>
      <c r="G37" s="43">
        <v>7.8010869999999999</v>
      </c>
      <c r="H37" s="43">
        <v>0.9789118</v>
      </c>
      <c r="I37" s="43">
        <v>0.98793050000000004</v>
      </c>
      <c r="J37" s="43">
        <v>0.97044580000000003</v>
      </c>
      <c r="K37" s="43">
        <v>0.99949900000000003</v>
      </c>
      <c r="L37" s="43">
        <v>1.959022</v>
      </c>
      <c r="M37" s="43">
        <v>87.975539999999995</v>
      </c>
      <c r="N37" s="43">
        <v>110.097826086957</v>
      </c>
      <c r="O37" s="43">
        <v>3.3984782608695698</v>
      </c>
      <c r="P37" s="43">
        <v>0.90800000000000003</v>
      </c>
      <c r="Q37" s="43">
        <v>-510.5806</v>
      </c>
      <c r="R37" s="43">
        <v>3.25</v>
      </c>
      <c r="S37" s="43">
        <v>2424.7779999999998</v>
      </c>
      <c r="T37" s="43">
        <v>8.6630429999999994E-2</v>
      </c>
      <c r="U37" s="43">
        <v>2.8613590000000002</v>
      </c>
      <c r="V37" s="43">
        <v>2175.0239999999999</v>
      </c>
      <c r="W37" s="43">
        <v>1.1719999999999999</v>
      </c>
      <c r="X37" s="43">
        <v>13367.36</v>
      </c>
      <c r="Y37" s="43">
        <v>1.2775019999999999</v>
      </c>
      <c r="Z37" s="43">
        <v>0.76626859999999997</v>
      </c>
      <c r="AA37" s="43">
        <v>0.94918000000000002</v>
      </c>
      <c r="AB37" s="43">
        <v>1.02633</v>
      </c>
      <c r="AC37" s="43">
        <v>97.456739999999996</v>
      </c>
      <c r="AD37" s="43">
        <v>0.93869000000000002</v>
      </c>
      <c r="AE37" s="43">
        <v>0.90620000000000001</v>
      </c>
      <c r="AF37" s="43">
        <v>0.82043999999999995</v>
      </c>
      <c r="AG37" s="43">
        <v>315.68459999999999</v>
      </c>
      <c r="AH37" s="43">
        <v>121.5616</v>
      </c>
      <c r="AI37" s="43">
        <v>2.0113910000000002</v>
      </c>
      <c r="AJ37" s="43">
        <v>2.0129999999999999</v>
      </c>
      <c r="AK37" s="43">
        <v>16420.419999999998</v>
      </c>
      <c r="AM37" s="43">
        <v>2.1407173913043498</v>
      </c>
      <c r="AN37" s="43">
        <v>1.7570429999999999</v>
      </c>
      <c r="AO37" s="43">
        <v>1.9329891304347799</v>
      </c>
      <c r="AP37" s="43">
        <v>3.07934782608696</v>
      </c>
      <c r="AQ37" s="43">
        <v>2.7410649999999999</v>
      </c>
      <c r="AR37" s="43">
        <v>1.8619889999999999</v>
      </c>
      <c r="AS37" s="43">
        <v>1.939848</v>
      </c>
      <c r="AT37" s="43">
        <v>2.0962499999999999</v>
      </c>
      <c r="AU37" s="43">
        <v>2.0168910000000002</v>
      </c>
      <c r="AV37" s="43">
        <v>1832.7660000000001</v>
      </c>
      <c r="AW37" s="43">
        <v>1005.516</v>
      </c>
      <c r="AX37" s="43">
        <v>0.94167970000000001</v>
      </c>
      <c r="AY37" s="43">
        <v>1.217652</v>
      </c>
      <c r="AZ37" s="43">
        <v>204.05500000000001</v>
      </c>
      <c r="BA37" s="43">
        <v>1.009225</v>
      </c>
      <c r="BB37" s="43">
        <v>101</v>
      </c>
      <c r="BC37" s="43">
        <v>23.28978</v>
      </c>
      <c r="BD37" s="43">
        <v>7.3</v>
      </c>
      <c r="BE37" s="43">
        <v>0.91700000000000004</v>
      </c>
      <c r="BF37" s="43">
        <v>0.96359779999999995</v>
      </c>
      <c r="BG37" s="43">
        <v>1.25</v>
      </c>
      <c r="BH37" s="43">
        <v>1.7703260000000001</v>
      </c>
      <c r="BI37" s="43">
        <v>1.0069999999999999</v>
      </c>
      <c r="BJ37" s="43">
        <v>1.006</v>
      </c>
      <c r="BK37" s="43">
        <v>96.568719999999999</v>
      </c>
      <c r="BL37" s="43">
        <v>87.173910000000006</v>
      </c>
      <c r="BM37" s="43">
        <v>0.97828660000000001</v>
      </c>
      <c r="BN37" s="43">
        <v>1.133014</v>
      </c>
      <c r="BO37" s="43">
        <v>34.902160000000002</v>
      </c>
      <c r="BP37" s="43">
        <v>0.99088804347826098</v>
      </c>
      <c r="BQ37" s="43">
        <v>1804.992</v>
      </c>
      <c r="BR37" s="43">
        <v>397.987225679836</v>
      </c>
      <c r="BS37" s="43">
        <v>10093.17</v>
      </c>
      <c r="BT37" s="43">
        <v>5543.3810000000003</v>
      </c>
      <c r="BU37" s="43">
        <v>0.95504339999999999</v>
      </c>
      <c r="BV37" s="43">
        <v>0.98941959999999995</v>
      </c>
      <c r="BW37" s="43">
        <v>1.0403260000000001</v>
      </c>
      <c r="BX37" s="43">
        <v>1.296548</v>
      </c>
      <c r="BY37" s="43">
        <v>1.4302170000000001</v>
      </c>
      <c r="BZ37" s="43">
        <v>1.696739</v>
      </c>
      <c r="CA37" s="43">
        <v>1.510489</v>
      </c>
      <c r="CB37" s="43">
        <v>0.62273869999999998</v>
      </c>
      <c r="CC37" s="43">
        <v>6.6525850000000002</v>
      </c>
      <c r="CD37" s="43">
        <v>0.95836960000000004</v>
      </c>
      <c r="CE37" s="43">
        <v>0.99070650000000005</v>
      </c>
      <c r="CF37" s="43">
        <v>0.99775000000000003</v>
      </c>
      <c r="CG37" s="43">
        <v>0.88899989999999995</v>
      </c>
      <c r="CH37" s="43">
        <v>0.98618479999999997</v>
      </c>
      <c r="CI37" s="43">
        <v>0.97867389999999999</v>
      </c>
      <c r="CJ37" s="43">
        <v>0.99469569999999996</v>
      </c>
      <c r="CK37" s="43">
        <v>0.89600000000000002</v>
      </c>
      <c r="CL37" s="43">
        <v>0.97566660000000005</v>
      </c>
      <c r="CM37" s="43">
        <v>1.0149999999999999</v>
      </c>
      <c r="CN37" s="43">
        <v>0.99636670000000005</v>
      </c>
      <c r="CO37" s="43">
        <v>1.034</v>
      </c>
      <c r="CP37" s="43">
        <v>0.77135679999999995</v>
      </c>
      <c r="CQ37" s="43">
        <v>0.95411959999999996</v>
      </c>
      <c r="CR37" s="43">
        <v>0.1385652</v>
      </c>
      <c r="CS37" s="43">
        <v>84.922679946735002</v>
      </c>
      <c r="CT37" s="43">
        <v>31.13991</v>
      </c>
      <c r="CU37" s="43">
        <v>19.418679999999998</v>
      </c>
      <c r="CV37" s="43">
        <v>25.177247339478299</v>
      </c>
      <c r="CW37" s="43">
        <v>1.032</v>
      </c>
      <c r="CX37" s="43">
        <v>1.068667</v>
      </c>
      <c r="CY37" s="43">
        <v>0.995</v>
      </c>
      <c r="CZ37" s="43">
        <v>1.0356666666666701</v>
      </c>
      <c r="DA37" s="43">
        <v>1</v>
      </c>
      <c r="DB37" s="43">
        <v>1.2907520727999999</v>
      </c>
      <c r="DC37" s="43">
        <v>1.06266666666667</v>
      </c>
      <c r="DD37" s="43">
        <v>0.83</v>
      </c>
      <c r="DE37" s="43">
        <v>0.94</v>
      </c>
      <c r="DF37" s="43">
        <v>0.873</v>
      </c>
      <c r="DG37" s="43">
        <v>0.83399999999999996</v>
      </c>
      <c r="DH37" s="43">
        <v>0.82499999999999996</v>
      </c>
      <c r="DI37" s="43">
        <v>0.79200000000000004</v>
      </c>
      <c r="DJ37" s="43">
        <v>0.66700000000000004</v>
      </c>
      <c r="DK37" s="43">
        <v>1.0256670000000001</v>
      </c>
      <c r="DL37" s="43">
        <v>1.0453330000000001</v>
      </c>
      <c r="DM37" s="43">
        <v>1.070667</v>
      </c>
      <c r="DN37" s="43">
        <v>1.0429999999999999</v>
      </c>
      <c r="DO37" s="43">
        <v>1.0249999999999999</v>
      </c>
      <c r="DP37" s="43">
        <v>1.0303329999999999</v>
      </c>
      <c r="DQ37" s="43">
        <v>1.1539999999999999</v>
      </c>
      <c r="DR37" s="43">
        <v>0.95899999999999996</v>
      </c>
      <c r="DS37" s="43">
        <v>0.93</v>
      </c>
      <c r="DT37" s="43">
        <v>1.016</v>
      </c>
      <c r="DU37" s="43">
        <v>515.5548</v>
      </c>
      <c r="DV37" s="43">
        <v>296.7971</v>
      </c>
      <c r="DW37" s="43">
        <v>105.94240000000001</v>
      </c>
      <c r="DX37" s="43">
        <v>0.94201089999999998</v>
      </c>
      <c r="DY37" s="43">
        <v>0.97168480000000002</v>
      </c>
      <c r="DZ37" s="43">
        <v>0.96499999999999997</v>
      </c>
      <c r="EA37" s="43">
        <v>911.55690000000004</v>
      </c>
      <c r="EB37" s="43">
        <v>81.067229999999995</v>
      </c>
      <c r="EC37" s="43">
        <v>1.0149999999999999</v>
      </c>
      <c r="ED37" s="43">
        <v>1.034</v>
      </c>
      <c r="EE37" s="43">
        <v>1.068667</v>
      </c>
      <c r="EF37" s="43">
        <v>0.995</v>
      </c>
      <c r="EG37" s="43">
        <v>1.032</v>
      </c>
      <c r="EH37" s="43">
        <v>0.43599149594124498</v>
      </c>
      <c r="EI37" s="43">
        <v>0.18009819967266799</v>
      </c>
      <c r="EJ37" s="43">
        <v>20.630100401114198</v>
      </c>
      <c r="EK37" s="43">
        <v>11.706382978723401</v>
      </c>
      <c r="EL37" s="43">
        <v>0.51560724233983302</v>
      </c>
      <c r="EM37" s="43">
        <v>3073.3987014612499</v>
      </c>
      <c r="EN37" s="43">
        <v>765.25144327338796</v>
      </c>
      <c r="EO37" s="43">
        <v>113730.011475212</v>
      </c>
      <c r="EP37" s="43">
        <v>77103.091251363701</v>
      </c>
      <c r="EQ37" s="43">
        <v>5484.9027434878399</v>
      </c>
      <c r="ER37" s="43">
        <v>1.3529005191396599</v>
      </c>
      <c r="ES37" s="43">
        <v>1.44522622350601</v>
      </c>
      <c r="ET37" s="43">
        <v>1.3319485358771901</v>
      </c>
      <c r="EU37" s="43">
        <v>0.73134589999999999</v>
      </c>
      <c r="EV37" s="43">
        <v>1.118633</v>
      </c>
      <c r="EW37" s="43">
        <v>1.145241</v>
      </c>
      <c r="EX37" s="43">
        <v>0.72761589999999998</v>
      </c>
      <c r="EY37" s="43">
        <v>1.117991</v>
      </c>
      <c r="EZ37" s="43">
        <v>1.147089</v>
      </c>
      <c r="FA37" s="43">
        <v>5.5170000000000003</v>
      </c>
      <c r="FB37" s="43">
        <v>5.5170000000000003</v>
      </c>
      <c r="FC37" s="43">
        <v>23.658000000000001</v>
      </c>
      <c r="FD37" s="43">
        <v>9274.7489999999998</v>
      </c>
      <c r="FE37" s="43">
        <v>72612.17</v>
      </c>
      <c r="FF37" s="43">
        <v>1.1726875000000001</v>
      </c>
      <c r="FG37" s="43">
        <v>2.057709</v>
      </c>
      <c r="FH37" s="43">
        <v>478.79730000000001</v>
      </c>
      <c r="FI37" s="43">
        <v>9648.9279999999999</v>
      </c>
      <c r="FJ37" s="43">
        <v>6.2454299999999998</v>
      </c>
      <c r="FK37" s="43">
        <v>12.93876</v>
      </c>
      <c r="FL37" s="43">
        <v>0.87538899999999997</v>
      </c>
      <c r="FM37" s="43">
        <v>0.87871920000000003</v>
      </c>
    </row>
    <row r="38" spans="1:169" x14ac:dyDescent="0.25">
      <c r="A38" s="43" t="s">
        <v>265</v>
      </c>
      <c r="B38" s="43">
        <v>17662.400000000001</v>
      </c>
      <c r="C38" s="43">
        <v>11814.52</v>
      </c>
      <c r="D38" s="43">
        <v>2.322781</v>
      </c>
      <c r="E38" s="43">
        <v>0.14311109999999999</v>
      </c>
      <c r="F38" s="43">
        <v>1.9490000000000001</v>
      </c>
      <c r="G38" s="43">
        <v>7.734445</v>
      </c>
      <c r="H38" s="43">
        <v>0.98650939999999998</v>
      </c>
      <c r="I38" s="43">
        <v>0.99466379999999999</v>
      </c>
      <c r="J38" s="43">
        <v>0.98118190000000005</v>
      </c>
      <c r="K38" s="43">
        <v>1.0034099999999999</v>
      </c>
      <c r="L38" s="43">
        <v>1.968078</v>
      </c>
      <c r="M38" s="43">
        <v>94.304220000000001</v>
      </c>
      <c r="N38" s="43">
        <v>112.37477777777799</v>
      </c>
      <c r="O38" s="43">
        <v>3.4953333333333299</v>
      </c>
      <c r="P38" s="43">
        <v>0.95333330000000005</v>
      </c>
      <c r="Q38" s="43">
        <v>-477.33710000000002</v>
      </c>
      <c r="R38" s="43">
        <v>3.25</v>
      </c>
      <c r="S38" s="43">
        <v>2461.5700000000002</v>
      </c>
      <c r="T38" s="43">
        <v>8.6222220000000002E-2</v>
      </c>
      <c r="U38" s="43">
        <v>3.1236670000000002</v>
      </c>
      <c r="V38" s="43">
        <v>2186.933</v>
      </c>
      <c r="W38" s="43">
        <v>1.179</v>
      </c>
      <c r="X38" s="43">
        <v>12837.94</v>
      </c>
      <c r="Y38" s="43">
        <v>1.28281</v>
      </c>
      <c r="Z38" s="43">
        <v>0.76901969999999997</v>
      </c>
      <c r="AA38" s="43">
        <v>0.95567999999999997</v>
      </c>
      <c r="AB38" s="43">
        <v>1.03589</v>
      </c>
      <c r="AC38" s="43">
        <v>95.518219999999999</v>
      </c>
      <c r="AD38" s="43">
        <v>0.94203999999999999</v>
      </c>
      <c r="AE38" s="43">
        <v>0.90380000000000005</v>
      </c>
      <c r="AF38" s="43">
        <v>0.83311999999999997</v>
      </c>
      <c r="AG38" s="43">
        <v>316.19549999999998</v>
      </c>
      <c r="AH38" s="43">
        <v>121.9066</v>
      </c>
      <c r="AI38" s="43">
        <v>2.0222220000000002</v>
      </c>
      <c r="AJ38" s="43">
        <v>2.0299999999999998</v>
      </c>
      <c r="AK38" s="43">
        <v>16648.189999999999</v>
      </c>
      <c r="AM38" s="43">
        <v>2.0758777777777802</v>
      </c>
      <c r="AN38" s="43">
        <v>1.768767</v>
      </c>
      <c r="AO38" s="43">
        <v>1.91872222222222</v>
      </c>
      <c r="AP38" s="43">
        <v>3.0970111111111098</v>
      </c>
      <c r="AQ38" s="43">
        <v>2.8173330000000001</v>
      </c>
      <c r="AR38" s="43">
        <v>1.8834109999999999</v>
      </c>
      <c r="AS38" s="43">
        <v>1.9466330000000001</v>
      </c>
      <c r="AT38" s="43">
        <v>2.1065550000000002</v>
      </c>
      <c r="AU38" s="43">
        <v>2.0380560000000001</v>
      </c>
      <c r="AV38" s="43">
        <v>1849.2059999999999</v>
      </c>
      <c r="AW38" s="43">
        <v>1011.8630000000001</v>
      </c>
      <c r="AX38" s="43">
        <v>0.95810499999999998</v>
      </c>
      <c r="AY38" s="43">
        <v>1.2228669999999999</v>
      </c>
      <c r="AZ38" s="43">
        <v>178.29300000000001</v>
      </c>
      <c r="BA38" s="43">
        <v>0.99151920000000004</v>
      </c>
      <c r="BB38" s="43">
        <v>102.6</v>
      </c>
      <c r="BC38" s="43">
        <v>23.439889999999998</v>
      </c>
      <c r="BD38" s="43">
        <v>7.137778</v>
      </c>
      <c r="BE38" s="43">
        <v>0.92600000000000005</v>
      </c>
      <c r="BF38" s="43">
        <v>0.94352230000000004</v>
      </c>
      <c r="BG38" s="43">
        <v>1.25</v>
      </c>
      <c r="BH38" s="43">
        <v>1.911111</v>
      </c>
      <c r="BI38" s="43">
        <v>1.0069999999999999</v>
      </c>
      <c r="BJ38" s="43">
        <v>1.0149999999999999</v>
      </c>
      <c r="BK38" s="43">
        <v>96.352310000000003</v>
      </c>
      <c r="BL38" s="43">
        <v>95.127709999999993</v>
      </c>
      <c r="BM38" s="43">
        <v>0.99102690000000004</v>
      </c>
      <c r="BN38" s="43">
        <v>1.1362429999999999</v>
      </c>
      <c r="BO38" s="43">
        <v>35.004629999999999</v>
      </c>
      <c r="BP38" s="43">
        <v>1.0087322222222199</v>
      </c>
      <c r="BQ38" s="43">
        <v>1854.2840000000001</v>
      </c>
      <c r="BR38" s="43">
        <v>402.394303087335</v>
      </c>
      <c r="BS38" s="43">
        <v>10057.01</v>
      </c>
      <c r="BT38" s="43">
        <v>5519.2870000000003</v>
      </c>
      <c r="BU38" s="43">
        <v>0.95644450000000003</v>
      </c>
      <c r="BV38" s="43">
        <v>0.98715560000000002</v>
      </c>
      <c r="BW38" s="43">
        <v>1.0399670000000001</v>
      </c>
      <c r="BX38" s="43">
        <v>1.3196479999999999</v>
      </c>
      <c r="BY38" s="43">
        <v>1.513889</v>
      </c>
      <c r="BZ38" s="43">
        <v>1.7104440000000001</v>
      </c>
      <c r="CA38" s="43">
        <v>1.893222</v>
      </c>
      <c r="CB38" s="43">
        <v>0.64521530000000005</v>
      </c>
      <c r="CC38" s="43">
        <v>6.4356710000000001</v>
      </c>
      <c r="CD38" s="43">
        <v>0.96144439999999998</v>
      </c>
      <c r="CE38" s="43">
        <v>0.9935889</v>
      </c>
      <c r="CF38" s="43">
        <v>0.99234440000000002</v>
      </c>
      <c r="CG38" s="43">
        <v>0.88466670000000003</v>
      </c>
      <c r="CH38" s="43">
        <v>0.97819999999999996</v>
      </c>
      <c r="CI38" s="43">
        <v>0.96741109999999997</v>
      </c>
      <c r="CJ38" s="43">
        <v>1.0058670000000001</v>
      </c>
      <c r="CK38" s="43">
        <v>0.81733330000000004</v>
      </c>
      <c r="CL38" s="43">
        <v>0.98133329999999996</v>
      </c>
      <c r="CM38" s="43">
        <v>1.0149999999999999</v>
      </c>
      <c r="CN38" s="43">
        <v>0.98883330000000003</v>
      </c>
      <c r="CO38" s="43">
        <v>1.038</v>
      </c>
      <c r="CP38" s="43">
        <v>0.75791600000000003</v>
      </c>
      <c r="CQ38" s="43">
        <v>0.94913329999999996</v>
      </c>
      <c r="CR38" s="43">
        <v>0.15214440000000001</v>
      </c>
      <c r="CS38" s="43">
        <v>85.140477674866304</v>
      </c>
      <c r="CT38" s="43">
        <v>30.45299</v>
      </c>
      <c r="CU38" s="43">
        <v>19.363849999999999</v>
      </c>
      <c r="CV38" s="43">
        <v>25.553461621722199</v>
      </c>
      <c r="CW38" s="43">
        <v>1.0333330000000001</v>
      </c>
      <c r="CX38" s="43">
        <v>1.0616669999999999</v>
      </c>
      <c r="CY38" s="43">
        <v>0.99199999999999999</v>
      </c>
      <c r="CZ38" s="43">
        <v>1.03233333333333</v>
      </c>
      <c r="DA38" s="43">
        <v>1.0086666666666699</v>
      </c>
      <c r="DB38" s="43">
        <v>1.2855730248999999</v>
      </c>
      <c r="DC38" s="43">
        <v>1.046</v>
      </c>
      <c r="DD38" s="43">
        <v>0.82</v>
      </c>
      <c r="DE38" s="43">
        <v>0.93799999999999994</v>
      </c>
      <c r="DF38" s="43">
        <v>0.89400000000000002</v>
      </c>
      <c r="DG38" s="43">
        <v>0.86</v>
      </c>
      <c r="DH38" s="43">
        <v>0.82699999999999996</v>
      </c>
      <c r="DI38" s="43">
        <v>0.79700000000000004</v>
      </c>
      <c r="DJ38" s="43">
        <v>0.65900000000000003</v>
      </c>
      <c r="DK38" s="43">
        <v>1.044</v>
      </c>
      <c r="DL38" s="43">
        <v>1.048333</v>
      </c>
      <c r="DM38" s="43">
        <v>1.0780000000000001</v>
      </c>
      <c r="DN38" s="43">
        <v>1.0413333333333299</v>
      </c>
      <c r="DO38" s="43">
        <v>1.044333</v>
      </c>
      <c r="DP38" s="43">
        <v>1.036667</v>
      </c>
      <c r="DQ38" s="43">
        <v>1.197667</v>
      </c>
      <c r="DR38" s="43">
        <v>0.95599999999999996</v>
      </c>
      <c r="DS38" s="43">
        <v>0.96499999999999997</v>
      </c>
      <c r="DT38" s="43">
        <v>1.042</v>
      </c>
      <c r="DU38" s="43">
        <v>522.56970000000001</v>
      </c>
      <c r="DV38" s="43">
        <v>301.21719999999999</v>
      </c>
      <c r="DW38" s="43">
        <v>106.4933</v>
      </c>
      <c r="DX38" s="43">
        <v>0.94137780000000004</v>
      </c>
      <c r="DY38" s="43">
        <v>0.97896669999999997</v>
      </c>
      <c r="DZ38" s="43">
        <v>0.96199999999999997</v>
      </c>
      <c r="EA38" s="43">
        <v>911.01400000000001</v>
      </c>
      <c r="EB38" s="43">
        <v>92.252399999999994</v>
      </c>
      <c r="EC38" s="43">
        <v>1.0149999999999999</v>
      </c>
      <c r="ED38" s="43">
        <v>1.038</v>
      </c>
      <c r="EE38" s="43">
        <v>1.0616669999999999</v>
      </c>
      <c r="EF38" s="43">
        <v>0.99199999999999999</v>
      </c>
      <c r="EG38" s="43">
        <v>1.0333330000000001</v>
      </c>
      <c r="EH38" s="43">
        <v>0.44027058368766903</v>
      </c>
      <c r="EI38" s="43">
        <v>0.18186579378068801</v>
      </c>
      <c r="EJ38" s="43">
        <v>20.8325768499801</v>
      </c>
      <c r="EK38" s="43">
        <v>11.821276595744701</v>
      </c>
      <c r="EL38" s="43">
        <v>0.52066772781536097</v>
      </c>
      <c r="EM38" s="43">
        <v>3012.2655730432398</v>
      </c>
      <c r="EN38" s="43">
        <v>750.02978825952505</v>
      </c>
      <c r="EO38" s="43">
        <v>111467.802086892</v>
      </c>
      <c r="EP38" s="43">
        <v>75569.429778592894</v>
      </c>
      <c r="EQ38" s="43">
        <v>5375.8022666709203</v>
      </c>
      <c r="ER38" s="43">
        <v>1.3524336546314399</v>
      </c>
      <c r="ES38" s="43">
        <v>1.44472749886177</v>
      </c>
      <c r="ET38" s="43">
        <v>1.3314962713663201</v>
      </c>
      <c r="EU38" s="43">
        <v>0.73607429999999996</v>
      </c>
      <c r="EV38" s="43">
        <v>1.124933</v>
      </c>
      <c r="EW38" s="43">
        <v>1.168995</v>
      </c>
      <c r="EX38" s="43">
        <v>0.73384079999999996</v>
      </c>
      <c r="EY38" s="43">
        <v>1.1077269999999999</v>
      </c>
      <c r="EZ38" s="43">
        <v>1.162542</v>
      </c>
      <c r="FA38" s="43">
        <v>5.5869999999999997</v>
      </c>
      <c r="FB38" s="43">
        <v>5.5869999999999997</v>
      </c>
      <c r="FC38" s="43">
        <v>23.984999999999999</v>
      </c>
      <c r="FD38" s="43">
        <v>9324.5390000000007</v>
      </c>
      <c r="FE38" s="43">
        <v>73719.48</v>
      </c>
      <c r="FF38" s="43">
        <v>1.1664687499999999</v>
      </c>
      <c r="FG38" s="43">
        <v>1.995806</v>
      </c>
      <c r="FH38" s="43">
        <v>473.2894</v>
      </c>
      <c r="FI38" s="43">
        <v>9718.3179999999993</v>
      </c>
      <c r="FJ38" s="43">
        <v>6.2227589999999999</v>
      </c>
      <c r="FK38" s="43">
        <v>12.63762</v>
      </c>
      <c r="FL38" s="43">
        <v>0.89443530000000004</v>
      </c>
      <c r="FM38" s="43">
        <v>0.88160570000000005</v>
      </c>
    </row>
    <row r="39" spans="1:169" x14ac:dyDescent="0.25">
      <c r="A39" s="43" t="s">
        <v>266</v>
      </c>
      <c r="B39" s="43">
        <v>17709.669999999998</v>
      </c>
      <c r="C39" s="43">
        <v>11848.2</v>
      </c>
      <c r="D39" s="43">
        <v>2.320433</v>
      </c>
      <c r="E39" s="43">
        <v>0.1165934</v>
      </c>
      <c r="F39" s="43">
        <v>1.9959340000000001</v>
      </c>
      <c r="G39" s="43">
        <v>7.5329670000000002</v>
      </c>
      <c r="H39" s="43">
        <v>0.99087959999999997</v>
      </c>
      <c r="I39" s="43">
        <v>0.99498699999999995</v>
      </c>
      <c r="J39" s="43">
        <v>0.98327850000000006</v>
      </c>
      <c r="K39" s="43">
        <v>1.0020929999999999</v>
      </c>
      <c r="L39" s="43">
        <v>1.9586920000000001</v>
      </c>
      <c r="M39" s="43">
        <v>94.104510000000005</v>
      </c>
      <c r="N39" s="43">
        <v>102.576483516484</v>
      </c>
      <c r="O39" s="43">
        <v>4.0136263736263702</v>
      </c>
      <c r="P39" s="43">
        <v>0.86799999999999999</v>
      </c>
      <c r="Q39" s="43">
        <v>-471.3981</v>
      </c>
      <c r="R39" s="43">
        <v>3.25</v>
      </c>
      <c r="S39" s="43">
        <v>2463.8009999999999</v>
      </c>
      <c r="T39" s="43">
        <v>4.9890110000000001E-2</v>
      </c>
      <c r="U39" s="43">
        <v>3.1665939999999999</v>
      </c>
      <c r="V39" s="43">
        <v>2181.0100000000002</v>
      </c>
      <c r="W39" s="43">
        <v>1.1850000000000001</v>
      </c>
      <c r="X39" s="43">
        <v>12934.65</v>
      </c>
      <c r="Y39" s="43">
        <v>1.287161</v>
      </c>
      <c r="Z39" s="43">
        <v>0.76981739999999999</v>
      </c>
      <c r="AA39" s="43">
        <v>0.95294000000000001</v>
      </c>
      <c r="AB39" s="43">
        <v>1.0422899999999999</v>
      </c>
      <c r="AC39" s="43">
        <v>97.112530000000007</v>
      </c>
      <c r="AD39" s="43">
        <v>0.94474000000000002</v>
      </c>
      <c r="AE39" s="43">
        <v>0.91024000000000005</v>
      </c>
      <c r="AF39" s="43">
        <v>0.84409999999999996</v>
      </c>
      <c r="AG39" s="43">
        <v>316.73259999999999</v>
      </c>
      <c r="AH39" s="43">
        <v>122.2659</v>
      </c>
      <c r="AI39" s="43">
        <v>2.002659</v>
      </c>
      <c r="AJ39" s="43">
        <v>2.0329999999999999</v>
      </c>
      <c r="AK39" s="43">
        <v>16728.689999999999</v>
      </c>
      <c r="AM39" s="43">
        <v>2.0929890109890099</v>
      </c>
      <c r="AN39" s="43">
        <v>1.951044</v>
      </c>
      <c r="AO39" s="43">
        <v>1.93232967032967</v>
      </c>
      <c r="AP39" s="43">
        <v>2.8651428571428599</v>
      </c>
      <c r="AQ39" s="43">
        <v>2.80633</v>
      </c>
      <c r="AR39" s="43">
        <v>1.8960109999999999</v>
      </c>
      <c r="AS39" s="43">
        <v>1.898747</v>
      </c>
      <c r="AT39" s="43">
        <v>2.1297030000000001</v>
      </c>
      <c r="AU39" s="43">
        <v>2.0247139999999999</v>
      </c>
      <c r="AV39" s="43">
        <v>1859.9380000000001</v>
      </c>
      <c r="AW39" s="43">
        <v>1021.213</v>
      </c>
      <c r="AX39" s="43">
        <v>0.95648520000000004</v>
      </c>
      <c r="AY39" s="43">
        <v>1.2290110000000001</v>
      </c>
      <c r="AZ39" s="43">
        <v>187.148</v>
      </c>
      <c r="BA39" s="43">
        <v>0.97710929999999996</v>
      </c>
      <c r="BB39" s="43">
        <v>102.9</v>
      </c>
      <c r="BC39" s="43">
        <v>23.449560000000002</v>
      </c>
      <c r="BD39" s="43">
        <v>7.131869</v>
      </c>
      <c r="BE39" s="43">
        <v>0.91900000000000004</v>
      </c>
      <c r="BF39" s="43">
        <v>1.0029669999999999</v>
      </c>
      <c r="BG39" s="43">
        <v>1.25</v>
      </c>
      <c r="BH39" s="43">
        <v>1.9795609999999999</v>
      </c>
      <c r="BI39" s="43">
        <v>1.008</v>
      </c>
      <c r="BJ39" s="43">
        <v>1.014</v>
      </c>
      <c r="BK39" s="43">
        <v>99.390510000000006</v>
      </c>
      <c r="BL39" s="43">
        <v>96.311930000000004</v>
      </c>
      <c r="BM39" s="43">
        <v>0.98896070000000003</v>
      </c>
      <c r="BN39" s="43">
        <v>1.132107</v>
      </c>
      <c r="BO39" s="43">
        <v>35.103909999999999</v>
      </c>
      <c r="BP39" s="43">
        <v>1.02345714285714</v>
      </c>
      <c r="BQ39" s="43">
        <v>1858.796</v>
      </c>
      <c r="BR39" s="43">
        <v>398.55847756589901</v>
      </c>
      <c r="BS39" s="43">
        <v>10112.66</v>
      </c>
      <c r="BT39" s="43">
        <v>5529.1220000000003</v>
      </c>
      <c r="BU39" s="43">
        <v>0.96734059999999999</v>
      </c>
      <c r="BV39" s="43">
        <v>0.99619999999999997</v>
      </c>
      <c r="BW39" s="43">
        <v>1.030659</v>
      </c>
      <c r="BX39" s="43">
        <v>1.3064100000000001</v>
      </c>
      <c r="BY39" s="43">
        <v>1.4295599999999999</v>
      </c>
      <c r="BZ39" s="43">
        <v>1.671978</v>
      </c>
      <c r="CA39" s="43">
        <v>1.85022</v>
      </c>
      <c r="CB39" s="43">
        <v>0.65108109999999997</v>
      </c>
      <c r="CC39" s="43">
        <v>6.5564080000000002</v>
      </c>
      <c r="CD39" s="43">
        <v>0.97424169999999999</v>
      </c>
      <c r="CE39" s="43">
        <v>1.007692</v>
      </c>
      <c r="CF39" s="43">
        <v>0.99240660000000003</v>
      </c>
      <c r="CG39" s="43">
        <v>0.88300000000000001</v>
      </c>
      <c r="CH39" s="43">
        <v>0.9794176</v>
      </c>
      <c r="CI39" s="43">
        <v>0.97857150000000004</v>
      </c>
      <c r="CJ39" s="43">
        <v>0.98590109999999997</v>
      </c>
      <c r="CK39" s="43">
        <v>0.87166659999999996</v>
      </c>
      <c r="CL39" s="43">
        <v>0.98299999999999998</v>
      </c>
      <c r="CM39" s="43">
        <v>1.0109999999999999</v>
      </c>
      <c r="CN39" s="43">
        <v>1.0019670000000001</v>
      </c>
      <c r="CO39" s="43">
        <v>1.0229999999999999</v>
      </c>
      <c r="CP39" s="43">
        <v>0.76549610000000001</v>
      </c>
      <c r="CQ39" s="43">
        <v>0.95048359999999998</v>
      </c>
      <c r="CR39" s="43">
        <v>0.14685709999999999</v>
      </c>
      <c r="CS39" s="43">
        <v>78.520686041897093</v>
      </c>
      <c r="CT39" s="43">
        <v>31.68526</v>
      </c>
      <c r="CU39" s="43">
        <v>19.797149999999998</v>
      </c>
      <c r="CV39" s="43">
        <v>25.863192555988999</v>
      </c>
      <c r="CW39" s="43">
        <v>1.0289999999999999</v>
      </c>
      <c r="CX39" s="43">
        <v>1.048333</v>
      </c>
      <c r="CY39" s="43">
        <v>0.97433329999999996</v>
      </c>
      <c r="CZ39" s="43">
        <v>1.0246666666666699</v>
      </c>
      <c r="DA39" s="43">
        <v>1.008</v>
      </c>
      <c r="DB39" s="43">
        <v>1.2670725045</v>
      </c>
      <c r="DC39" s="43">
        <v>1.0616666666666701</v>
      </c>
      <c r="DD39" s="43">
        <v>0.82699999999999996</v>
      </c>
      <c r="DE39" s="43">
        <v>0.94599999999999995</v>
      </c>
      <c r="DF39" s="43">
        <v>0.89300000000000002</v>
      </c>
      <c r="DG39" s="43">
        <v>0.84899999999999998</v>
      </c>
      <c r="DH39" s="43">
        <v>0.83199999999999996</v>
      </c>
      <c r="DI39" s="43">
        <v>0.79900000000000004</v>
      </c>
      <c r="DJ39" s="43">
        <v>0.66</v>
      </c>
      <c r="DK39" s="43">
        <v>1.0413330000000001</v>
      </c>
      <c r="DL39" s="43">
        <v>1.042333</v>
      </c>
      <c r="DM39" s="43">
        <v>1.062333</v>
      </c>
      <c r="DN39" s="43">
        <v>1.0356666666666701</v>
      </c>
      <c r="DO39" s="43">
        <v>0.99433329999999998</v>
      </c>
      <c r="DP39" s="43">
        <v>1.0276670000000001</v>
      </c>
      <c r="DQ39" s="43">
        <v>1.07</v>
      </c>
      <c r="DR39" s="43">
        <v>0.94099999999999995</v>
      </c>
      <c r="DS39" s="43">
        <v>0.98099999999999998</v>
      </c>
      <c r="DT39" s="43">
        <v>0.98166666666666702</v>
      </c>
      <c r="DU39" s="43">
        <v>527.30070000000001</v>
      </c>
      <c r="DV39" s="43">
        <v>303.49209999999999</v>
      </c>
      <c r="DW39" s="43">
        <v>108.77800000000001</v>
      </c>
      <c r="DX39" s="43">
        <v>0.94567029999999996</v>
      </c>
      <c r="DY39" s="43">
        <v>0.98567039999999995</v>
      </c>
      <c r="DZ39" s="43">
        <v>0.96199999999999997</v>
      </c>
      <c r="EA39" s="43">
        <v>975.20180000000005</v>
      </c>
      <c r="EB39" s="43">
        <v>98.660790000000006</v>
      </c>
      <c r="EC39" s="43">
        <v>1.0109999999999999</v>
      </c>
      <c r="ED39" s="43">
        <v>1.0229999999999999</v>
      </c>
      <c r="EE39" s="43">
        <v>1.048333</v>
      </c>
      <c r="EF39" s="43">
        <v>0.97433329999999996</v>
      </c>
      <c r="EG39" s="43">
        <v>1.0289999999999999</v>
      </c>
      <c r="EH39" s="43">
        <v>0.43694240432933901</v>
      </c>
      <c r="EI39" s="43">
        <v>0.18049099836333901</v>
      </c>
      <c r="EJ39" s="43">
        <v>20.675095167528902</v>
      </c>
      <c r="EK39" s="43">
        <v>11.731914893617001</v>
      </c>
      <c r="EL39" s="43">
        <v>0.51673179466772801</v>
      </c>
      <c r="EM39" s="43">
        <v>3062.5436321055599</v>
      </c>
      <c r="EN39" s="43">
        <v>762.54861871394405</v>
      </c>
      <c r="EO39" s="43">
        <v>113328.323545234</v>
      </c>
      <c r="EP39" s="43">
        <v>76830.767519765301</v>
      </c>
      <c r="EQ39" s="43">
        <v>5465.53037905577</v>
      </c>
      <c r="ER39" s="43">
        <v>1.3403289893321499</v>
      </c>
      <c r="ES39" s="43">
        <v>1.43179677744522</v>
      </c>
      <c r="ET39" s="43">
        <v>1.3212419444878301</v>
      </c>
      <c r="EU39" s="43">
        <v>0.73611099999999996</v>
      </c>
      <c r="EV39" s="43">
        <v>1.061733</v>
      </c>
      <c r="EW39" s="43">
        <v>1.1594310000000001</v>
      </c>
      <c r="EX39" s="43">
        <v>0.73970639999999999</v>
      </c>
      <c r="EY39" s="43">
        <v>1.0745579999999999</v>
      </c>
      <c r="EZ39" s="43">
        <v>1.161951</v>
      </c>
      <c r="FA39" s="43">
        <v>5.5970000000000004</v>
      </c>
      <c r="FB39" s="43">
        <v>5.5970000000000004</v>
      </c>
      <c r="FC39" s="43">
        <v>24.053999999999998</v>
      </c>
      <c r="FD39" s="43">
        <v>8852.1489999999994</v>
      </c>
      <c r="FE39" s="43">
        <v>73865.02</v>
      </c>
      <c r="FF39" s="43">
        <v>1.1607812500000001</v>
      </c>
      <c r="FG39" s="43">
        <v>2.0699939999999999</v>
      </c>
      <c r="FH39" s="43">
        <v>485.03710000000001</v>
      </c>
      <c r="FI39" s="43">
        <v>9826.4529999999995</v>
      </c>
      <c r="FJ39" s="43">
        <v>6.1545560000000004</v>
      </c>
      <c r="FK39" s="43">
        <v>12.49015</v>
      </c>
      <c r="FL39" s="43">
        <v>0.91297539999999999</v>
      </c>
      <c r="FM39" s="43">
        <v>0.88539420000000002</v>
      </c>
    </row>
    <row r="40" spans="1:169" x14ac:dyDescent="0.25">
      <c r="A40" s="43" t="s">
        <v>267</v>
      </c>
      <c r="B40" s="43">
        <v>17860.45</v>
      </c>
      <c r="C40" s="43">
        <v>11895.91</v>
      </c>
      <c r="D40" s="43">
        <v>2.332973</v>
      </c>
      <c r="E40" s="43">
        <v>8.3369570000000004E-2</v>
      </c>
      <c r="F40" s="43">
        <v>2.7089129999999999</v>
      </c>
      <c r="G40" s="43">
        <v>7.2336960000000001</v>
      </c>
      <c r="H40" s="43">
        <v>0.99484300000000003</v>
      </c>
      <c r="I40" s="43">
        <v>0.99550289999999997</v>
      </c>
      <c r="J40" s="43">
        <v>0.98579289999999997</v>
      </c>
      <c r="K40" s="43">
        <v>0.99843899999999997</v>
      </c>
      <c r="L40" s="43">
        <v>1.9650000000000001</v>
      </c>
      <c r="M40" s="43">
        <v>105.8385</v>
      </c>
      <c r="N40" s="43">
        <v>110.255543478261</v>
      </c>
      <c r="O40" s="43">
        <v>3.55597826086957</v>
      </c>
      <c r="P40" s="43">
        <v>0.88233329999999999</v>
      </c>
      <c r="Q40" s="43">
        <v>-467.98469999999998</v>
      </c>
      <c r="R40" s="43">
        <v>3.25</v>
      </c>
      <c r="S40" s="43">
        <v>2482.5630000000001</v>
      </c>
      <c r="T40" s="43">
        <v>3.3478260000000003E-2</v>
      </c>
      <c r="U40" s="43">
        <v>3.7115209999999998</v>
      </c>
      <c r="V40" s="43">
        <v>2194.7379999999998</v>
      </c>
      <c r="W40" s="43">
        <v>1.19</v>
      </c>
      <c r="X40" s="43">
        <v>12979.11</v>
      </c>
      <c r="Y40" s="43">
        <v>1.2904979999999999</v>
      </c>
      <c r="Z40" s="43">
        <v>0.77089669999999999</v>
      </c>
      <c r="AA40" s="43">
        <v>0.95826999999999996</v>
      </c>
      <c r="AB40" s="43">
        <v>1.0384100000000001</v>
      </c>
      <c r="AC40" s="43">
        <v>99.755870000000002</v>
      </c>
      <c r="AD40" s="43">
        <v>0.94989000000000001</v>
      </c>
      <c r="AE40" s="43">
        <v>0.91603000000000001</v>
      </c>
      <c r="AF40" s="43">
        <v>0.85516999999999999</v>
      </c>
      <c r="AG40" s="43">
        <v>317.39339999999999</v>
      </c>
      <c r="AH40" s="43">
        <v>122.6397</v>
      </c>
      <c r="AI40" s="43">
        <v>2.003663</v>
      </c>
      <c r="AJ40" s="43">
        <v>2.03866666666667</v>
      </c>
      <c r="AK40" s="43">
        <v>16953.84</v>
      </c>
      <c r="AM40" s="43">
        <v>2.0870978260869602</v>
      </c>
      <c r="AN40" s="43">
        <v>1.8272280000000001</v>
      </c>
      <c r="AO40" s="43">
        <v>1.9326195652173901</v>
      </c>
      <c r="AP40" s="43">
        <v>2.90269565217391</v>
      </c>
      <c r="AQ40" s="43">
        <v>2.7881309999999999</v>
      </c>
      <c r="AR40" s="43">
        <v>1.8896850000000001</v>
      </c>
      <c r="AS40" s="43">
        <v>1.909348</v>
      </c>
      <c r="AT40" s="43">
        <v>2.1619670000000002</v>
      </c>
      <c r="AU40" s="43">
        <v>2.0310220000000001</v>
      </c>
      <c r="AV40" s="43">
        <v>1875.096</v>
      </c>
      <c r="AW40" s="43">
        <v>1028.7919999999999</v>
      </c>
      <c r="AX40" s="43">
        <v>0.96593370000000001</v>
      </c>
      <c r="AY40" s="43">
        <v>1.231652</v>
      </c>
      <c r="AZ40" s="43">
        <v>190.86500000000001</v>
      </c>
      <c r="BA40" s="43">
        <v>0.96301669999999995</v>
      </c>
      <c r="BB40" s="43">
        <v>103.1</v>
      </c>
      <c r="BC40" s="43">
        <v>23.29326</v>
      </c>
      <c r="BD40" s="43">
        <v>7.2010870000000002</v>
      </c>
      <c r="BE40" s="43">
        <v>0.92266669999999995</v>
      </c>
      <c r="BF40" s="43">
        <v>0.99777170000000004</v>
      </c>
      <c r="BG40" s="43">
        <v>1.25</v>
      </c>
      <c r="BH40" s="43">
        <v>2.5853259999999998</v>
      </c>
      <c r="BI40" s="43">
        <v>1.0209999999999999</v>
      </c>
      <c r="BJ40" s="43">
        <v>1.02</v>
      </c>
      <c r="BK40" s="43">
        <v>103.5877</v>
      </c>
      <c r="BL40" s="43">
        <v>109.90389999999999</v>
      </c>
      <c r="BM40" s="43">
        <v>1.004472</v>
      </c>
      <c r="BN40" s="43">
        <v>1.1240680000000001</v>
      </c>
      <c r="BO40" s="43">
        <v>35.202010000000001</v>
      </c>
      <c r="BP40" s="43">
        <v>1.03841195652174</v>
      </c>
      <c r="BQ40" s="43">
        <v>1881.7239999999999</v>
      </c>
      <c r="BR40" s="43">
        <v>401.26959956007897</v>
      </c>
      <c r="BS40" s="43">
        <v>10142.68</v>
      </c>
      <c r="BT40" s="43">
        <v>5538.9989999999998</v>
      </c>
      <c r="BU40" s="43">
        <v>0.9633043</v>
      </c>
      <c r="BV40" s="43">
        <v>0.99436089999999999</v>
      </c>
      <c r="BW40" s="43">
        <v>1.031326</v>
      </c>
      <c r="BX40" s="43">
        <v>1.325415</v>
      </c>
      <c r="BY40" s="43">
        <v>1.7916300000000001</v>
      </c>
      <c r="BZ40" s="43">
        <v>2.054799</v>
      </c>
      <c r="CA40" s="43">
        <v>2.3697279999999998</v>
      </c>
      <c r="CB40" s="43">
        <v>0.64458970000000004</v>
      </c>
      <c r="CC40" s="43">
        <v>6.5480280000000004</v>
      </c>
      <c r="CD40" s="43">
        <v>0.97961960000000003</v>
      </c>
      <c r="CE40" s="43">
        <v>0.98696740000000005</v>
      </c>
      <c r="CF40" s="43">
        <v>0.98992389999999997</v>
      </c>
      <c r="CG40" s="43">
        <v>0.87066670000000002</v>
      </c>
      <c r="CH40" s="43">
        <v>0.98397829999999997</v>
      </c>
      <c r="CI40" s="43">
        <v>0.95425000000000004</v>
      </c>
      <c r="CJ40" s="43">
        <v>1.003924</v>
      </c>
      <c r="CK40" s="43">
        <v>0.90166659999999998</v>
      </c>
      <c r="CL40" s="43">
        <v>0.98899999999999999</v>
      </c>
      <c r="CM40" s="43">
        <v>1.0089999999999999</v>
      </c>
      <c r="CN40" s="43">
        <v>0.9982666</v>
      </c>
      <c r="CO40" s="43">
        <v>1.0329999999999999</v>
      </c>
      <c r="CP40" s="43">
        <v>0.75454290000000002</v>
      </c>
      <c r="CQ40" s="43">
        <v>0.95095649999999998</v>
      </c>
      <c r="CR40" s="43">
        <v>0.16213040000000001</v>
      </c>
      <c r="CS40" s="43">
        <v>83.181145430920594</v>
      </c>
      <c r="CT40" s="43">
        <v>32.819830000000003</v>
      </c>
      <c r="CU40" s="43">
        <v>19.537199999999999</v>
      </c>
      <c r="CV40" s="43">
        <v>25.894902185217401</v>
      </c>
      <c r="CW40" s="43">
        <v>1.028</v>
      </c>
      <c r="CX40" s="43">
        <v>1.0613330000000001</v>
      </c>
      <c r="CY40" s="43">
        <v>0.98566670000000001</v>
      </c>
      <c r="CZ40" s="43">
        <v>1.0246666666666699</v>
      </c>
      <c r="DA40" s="43">
        <v>1.006</v>
      </c>
      <c r="DB40" s="43">
        <v>1.3177571098</v>
      </c>
      <c r="DC40" s="43">
        <v>1.0649999999999999</v>
      </c>
      <c r="DD40" s="43">
        <v>0.81899999999999995</v>
      </c>
      <c r="DE40" s="43">
        <v>0.95099999999999996</v>
      </c>
      <c r="DF40" s="43">
        <v>0.90100000000000002</v>
      </c>
      <c r="DG40" s="43">
        <v>0.86</v>
      </c>
      <c r="DH40" s="43">
        <v>0.83499999999999996</v>
      </c>
      <c r="DI40" s="43">
        <v>0.81899999999999995</v>
      </c>
      <c r="DJ40" s="43">
        <v>0.66300000000000003</v>
      </c>
      <c r="DK40" s="43">
        <v>1.054</v>
      </c>
      <c r="DL40" s="43">
        <v>1.021333</v>
      </c>
      <c r="DM40" s="43">
        <v>1.0573330000000001</v>
      </c>
      <c r="DN40" s="43">
        <v>1.026</v>
      </c>
      <c r="DO40" s="43">
        <v>1.0673330000000001</v>
      </c>
      <c r="DP40" s="43">
        <v>1.0223329999999999</v>
      </c>
      <c r="DQ40" s="43">
        <v>1.050333</v>
      </c>
      <c r="DR40" s="43">
        <v>0.94866669999999997</v>
      </c>
      <c r="DS40" s="43">
        <v>0.98299999999999998</v>
      </c>
      <c r="DT40" s="43">
        <v>1.0620000000000001</v>
      </c>
      <c r="DU40" s="43">
        <v>532.39260000000002</v>
      </c>
      <c r="DV40" s="43">
        <v>305.12889999999999</v>
      </c>
      <c r="DW40" s="43">
        <v>110.79130000000001</v>
      </c>
      <c r="DX40" s="43">
        <v>0.95096740000000002</v>
      </c>
      <c r="DY40" s="43">
        <v>0.99396739999999995</v>
      </c>
      <c r="DZ40" s="43">
        <v>0.96299999999999997</v>
      </c>
      <c r="EA40" s="43">
        <v>994.09479999999996</v>
      </c>
      <c r="EB40" s="43">
        <v>98.894940000000005</v>
      </c>
      <c r="EC40" s="43">
        <v>1.0089999999999999</v>
      </c>
      <c r="ED40" s="43">
        <v>1.0329999999999999</v>
      </c>
      <c r="EE40" s="43">
        <v>1.0613330000000001</v>
      </c>
      <c r="EF40" s="43">
        <v>0.98566670000000001</v>
      </c>
      <c r="EG40" s="43">
        <v>1.028</v>
      </c>
      <c r="EH40" s="43">
        <v>0.43868573637417901</v>
      </c>
      <c r="EI40" s="43">
        <v>0.18121112929623601</v>
      </c>
      <c r="EJ40" s="43">
        <v>20.7575855726224</v>
      </c>
      <c r="EK40" s="43">
        <v>11.778723404255301</v>
      </c>
      <c r="EL40" s="43">
        <v>0.51879347393553499</v>
      </c>
      <c r="EM40" s="43">
        <v>3145.9041490659902</v>
      </c>
      <c r="EN40" s="43">
        <v>783.30471387519196</v>
      </c>
      <c r="EO40" s="43">
        <v>116413.04943712099</v>
      </c>
      <c r="EP40" s="43">
        <v>78922.052826453699</v>
      </c>
      <c r="EQ40" s="43">
        <v>5614.2986882105297</v>
      </c>
      <c r="ER40" s="43">
        <v>1.3411963949783301</v>
      </c>
      <c r="ES40" s="43">
        <v>1.4327233772717001</v>
      </c>
      <c r="ET40" s="43">
        <v>1.32166979699385</v>
      </c>
      <c r="EU40" s="43">
        <v>0.74937799999999999</v>
      </c>
      <c r="EV40" s="43">
        <v>1.067367</v>
      </c>
      <c r="EW40" s="43">
        <v>1.1934309999999999</v>
      </c>
      <c r="EX40" s="43">
        <v>0.75227940000000004</v>
      </c>
      <c r="EY40" s="43">
        <v>1.0695920000000001</v>
      </c>
      <c r="EZ40" s="43">
        <v>1.1960379999999999</v>
      </c>
      <c r="FA40" s="43">
        <v>5.6790000000000003</v>
      </c>
      <c r="FB40" s="43">
        <v>5.6790000000000003</v>
      </c>
      <c r="FC40" s="43">
        <v>24.433</v>
      </c>
      <c r="FD40" s="43">
        <v>8966.3189999999995</v>
      </c>
      <c r="FE40" s="43">
        <v>77009.070000000007</v>
      </c>
      <c r="FF40" s="43">
        <v>1.1551562500000001</v>
      </c>
      <c r="FG40" s="43">
        <v>2.2858000000000001</v>
      </c>
      <c r="FH40" s="43">
        <v>507.75940000000003</v>
      </c>
      <c r="FI40" s="43">
        <v>10645.42</v>
      </c>
      <c r="FJ40" s="43">
        <v>6.1251910000000001</v>
      </c>
      <c r="FK40" s="43">
        <v>12.90802</v>
      </c>
      <c r="FL40" s="43">
        <v>0.91377430000000004</v>
      </c>
      <c r="FM40" s="43">
        <v>0.89497720000000003</v>
      </c>
    </row>
    <row r="41" spans="1:169" x14ac:dyDescent="0.25">
      <c r="A41" s="43" t="s">
        <v>268</v>
      </c>
      <c r="B41" s="43">
        <v>18016.150000000001</v>
      </c>
      <c r="C41" s="43">
        <v>12000.86</v>
      </c>
      <c r="D41" s="43">
        <v>2.341634</v>
      </c>
      <c r="E41" s="43">
        <v>8.6739129999999998E-2</v>
      </c>
      <c r="F41" s="43">
        <v>2.7469570000000001</v>
      </c>
      <c r="G41" s="43">
        <v>6.9336950000000002</v>
      </c>
      <c r="H41" s="43">
        <v>1.001546</v>
      </c>
      <c r="I41" s="43">
        <v>0.9995252</v>
      </c>
      <c r="J41" s="43">
        <v>0.99724290000000004</v>
      </c>
      <c r="K41" s="43">
        <v>0.99501629999999996</v>
      </c>
      <c r="L41" s="43">
        <v>1.9756739999999999</v>
      </c>
      <c r="M41" s="43">
        <v>97.381200000000007</v>
      </c>
      <c r="N41" s="43">
        <v>109.225434782609</v>
      </c>
      <c r="O41" s="43">
        <v>3.85565217391304</v>
      </c>
      <c r="P41" s="43">
        <v>1.0089999999999999</v>
      </c>
      <c r="Q41" s="43">
        <v>-429.9905</v>
      </c>
      <c r="R41" s="43">
        <v>3.25</v>
      </c>
      <c r="S41" s="43">
        <v>2506.6779999999999</v>
      </c>
      <c r="T41" s="43">
        <v>6.3260869999999997E-2</v>
      </c>
      <c r="U41" s="43">
        <v>3.7931520000000001</v>
      </c>
      <c r="V41" s="43">
        <v>2219.5239999999999</v>
      </c>
      <c r="W41" s="43">
        <v>1.196</v>
      </c>
      <c r="X41" s="43">
        <v>12997.52</v>
      </c>
      <c r="Y41" s="43">
        <v>1.293256</v>
      </c>
      <c r="Z41" s="43">
        <v>0.77443640000000002</v>
      </c>
      <c r="AA41" s="43">
        <v>0.96733999999999998</v>
      </c>
      <c r="AB41" s="43">
        <v>1.0399</v>
      </c>
      <c r="AC41" s="43">
        <v>95.333590000000001</v>
      </c>
      <c r="AD41" s="43">
        <v>0.95477000000000001</v>
      </c>
      <c r="AE41" s="43">
        <v>0.92888999999999999</v>
      </c>
      <c r="AF41" s="43">
        <v>0.87139999999999995</v>
      </c>
      <c r="AG41" s="43">
        <v>318.072</v>
      </c>
      <c r="AH41" s="43">
        <v>123.0278</v>
      </c>
      <c r="AI41" s="43">
        <v>2.0043700000000002</v>
      </c>
      <c r="AJ41" s="43">
        <v>2.0186666666666699</v>
      </c>
      <c r="AK41" s="43">
        <v>17192.02</v>
      </c>
      <c r="AM41" s="43">
        <v>2.0684891304347799</v>
      </c>
      <c r="AN41" s="43">
        <v>1.8887499999999999</v>
      </c>
      <c r="AO41" s="43">
        <v>1.95166304347826</v>
      </c>
      <c r="AP41" s="43">
        <v>2.9209673913043499</v>
      </c>
      <c r="AQ41" s="43">
        <v>2.7561089999999999</v>
      </c>
      <c r="AR41" s="43">
        <v>1.890652</v>
      </c>
      <c r="AS41" s="43">
        <v>1.924685</v>
      </c>
      <c r="AT41" s="43">
        <v>2.0723039999999999</v>
      </c>
      <c r="AU41" s="43">
        <v>2.0446520000000001</v>
      </c>
      <c r="AV41" s="43">
        <v>1894.7950000000001</v>
      </c>
      <c r="AW41" s="43">
        <v>1035.2149999999999</v>
      </c>
      <c r="AX41" s="43">
        <v>0.98271189999999997</v>
      </c>
      <c r="AY41" s="43">
        <v>1.2289890000000001</v>
      </c>
      <c r="AZ41" s="43">
        <v>195.39599999999999</v>
      </c>
      <c r="BA41" s="43">
        <v>0.95284530000000001</v>
      </c>
      <c r="BB41" s="43">
        <v>104</v>
      </c>
      <c r="BC41" s="43">
        <v>22.787279999999999</v>
      </c>
      <c r="BD41" s="43">
        <v>7.234782</v>
      </c>
      <c r="BE41" s="43">
        <v>0.92100000000000004</v>
      </c>
      <c r="BF41" s="43">
        <v>0.92163039999999996</v>
      </c>
      <c r="BG41" s="43">
        <v>1.25</v>
      </c>
      <c r="BH41" s="43">
        <v>2.5868479999999998</v>
      </c>
      <c r="BI41" s="43">
        <v>1.0349999999999999</v>
      </c>
      <c r="BJ41" s="43">
        <v>1.02</v>
      </c>
      <c r="BK41" s="43">
        <v>100.06319999999999</v>
      </c>
      <c r="BL41" s="43">
        <v>102.2124</v>
      </c>
      <c r="BM41" s="43">
        <v>1.0126010000000001</v>
      </c>
      <c r="BN41" s="43">
        <v>1.146493</v>
      </c>
      <c r="BO41" s="43">
        <v>35.298929999999999</v>
      </c>
      <c r="BP41" s="43">
        <v>1.04961086956522</v>
      </c>
      <c r="BQ41" s="43">
        <v>1898.296</v>
      </c>
      <c r="BR41" s="43">
        <v>397.42685326412902</v>
      </c>
      <c r="BS41" s="43">
        <v>10172.67</v>
      </c>
      <c r="BT41" s="43">
        <v>5550.4459999999999</v>
      </c>
      <c r="BU41" s="43">
        <v>0.96894559999999996</v>
      </c>
      <c r="BV41" s="43">
        <v>0.99744889999999997</v>
      </c>
      <c r="BW41" s="43">
        <v>1.0273369999999999</v>
      </c>
      <c r="BX41" s="43">
        <v>1.3616349999999999</v>
      </c>
      <c r="BY41" s="43">
        <v>1.797283</v>
      </c>
      <c r="BZ41" s="43">
        <v>2.0039129999999998</v>
      </c>
      <c r="CA41" s="43">
        <v>2.3807610000000001</v>
      </c>
      <c r="CB41" s="43">
        <v>0.61752870000000004</v>
      </c>
      <c r="CC41" s="43">
        <v>6.5081939999999996</v>
      </c>
      <c r="CD41" s="43">
        <v>0.98894559999999998</v>
      </c>
      <c r="CE41" s="43">
        <v>0.99623910000000004</v>
      </c>
      <c r="CF41" s="43">
        <v>0.9946412</v>
      </c>
      <c r="CG41" s="43">
        <v>0.91733330000000002</v>
      </c>
      <c r="CH41" s="43">
        <v>1.002696</v>
      </c>
      <c r="CI41" s="43">
        <v>0.96464130000000003</v>
      </c>
      <c r="CJ41" s="43">
        <v>1.0004569999999999</v>
      </c>
      <c r="CK41" s="43">
        <v>0.91500000000000004</v>
      </c>
      <c r="CL41" s="43">
        <v>0.98899999999999999</v>
      </c>
      <c r="CM41" s="43">
        <v>1.008</v>
      </c>
      <c r="CN41" s="43">
        <v>0.99709999999999999</v>
      </c>
      <c r="CO41" s="43">
        <v>1.026</v>
      </c>
      <c r="CP41" s="43">
        <v>0.73444410000000004</v>
      </c>
      <c r="CQ41" s="43">
        <v>0.96103260000000001</v>
      </c>
      <c r="CR41" s="43">
        <v>0.2009456</v>
      </c>
      <c r="CS41" s="43">
        <v>80.214322756557905</v>
      </c>
      <c r="CT41" s="43">
        <v>32.559699999999999</v>
      </c>
      <c r="CU41" s="43">
        <v>19.567599999999999</v>
      </c>
      <c r="CV41" s="43">
        <v>26.6439247721739</v>
      </c>
      <c r="CW41" s="43">
        <v>1.0223329999999999</v>
      </c>
      <c r="CX41" s="43">
        <v>1.0476669999999999</v>
      </c>
      <c r="CY41" s="43">
        <v>0.99299999999999999</v>
      </c>
      <c r="CZ41" s="43">
        <v>1.0226666666666699</v>
      </c>
      <c r="DA41" s="43">
        <v>1.0193333333333301</v>
      </c>
      <c r="DB41" s="43">
        <v>1.3190359476</v>
      </c>
      <c r="DC41" s="43">
        <v>1.04066666666667</v>
      </c>
      <c r="DD41" s="43">
        <v>0.83099999999999996</v>
      </c>
      <c r="DE41" s="43">
        <v>0.95599999999999996</v>
      </c>
      <c r="DF41" s="43">
        <v>0.89900000000000002</v>
      </c>
      <c r="DG41" s="43">
        <v>0.876</v>
      </c>
      <c r="DH41" s="43">
        <v>0.84</v>
      </c>
      <c r="DI41" s="43">
        <v>0.81</v>
      </c>
      <c r="DJ41" s="43">
        <v>0.66300000000000003</v>
      </c>
      <c r="DK41" s="43">
        <v>1.0536669999999999</v>
      </c>
      <c r="DL41" s="43">
        <v>1.002667</v>
      </c>
      <c r="DM41" s="43">
        <v>1.0596669999999999</v>
      </c>
      <c r="DN41" s="43">
        <v>1.02033333333333</v>
      </c>
      <c r="DO41" s="43">
        <v>1.070333</v>
      </c>
      <c r="DP41" s="43">
        <v>1.013333</v>
      </c>
      <c r="DQ41" s="43">
        <v>1.1419999999999999</v>
      </c>
      <c r="DR41" s="43">
        <v>0.95266660000000003</v>
      </c>
      <c r="DS41" s="43">
        <v>0.96699999999999997</v>
      </c>
      <c r="DT41" s="43">
        <v>1.00633333333333</v>
      </c>
      <c r="DU41" s="43">
        <v>531.82010000000002</v>
      </c>
      <c r="DV41" s="43">
        <v>304.59160000000003</v>
      </c>
      <c r="DW41" s="43">
        <v>112.2978</v>
      </c>
      <c r="DX41" s="43">
        <v>0.95533690000000004</v>
      </c>
      <c r="DY41" s="43">
        <v>0.99601090000000003</v>
      </c>
      <c r="DZ41" s="43">
        <v>0.96399999999999997</v>
      </c>
      <c r="EA41" s="43">
        <v>1027.54</v>
      </c>
      <c r="EB41" s="43">
        <v>100.4385</v>
      </c>
      <c r="EC41" s="43">
        <v>1.008</v>
      </c>
      <c r="ED41" s="43">
        <v>1.026</v>
      </c>
      <c r="EE41" s="43">
        <v>1.0476669999999999</v>
      </c>
      <c r="EF41" s="43">
        <v>0.99299999999999999</v>
      </c>
      <c r="EG41" s="43">
        <v>1.0223329999999999</v>
      </c>
      <c r="EH41" s="43">
        <v>0.43789331271743398</v>
      </c>
      <c r="EI41" s="43">
        <v>0.18088379705401</v>
      </c>
      <c r="EJ41" s="43">
        <v>20.720089933943498</v>
      </c>
      <c r="EK41" s="43">
        <v>11.7574468085107</v>
      </c>
      <c r="EL41" s="43">
        <v>0.517856346995623</v>
      </c>
      <c r="EM41" s="43">
        <v>3006.4429096655099</v>
      </c>
      <c r="EN41" s="43">
        <v>748.57999212621303</v>
      </c>
      <c r="EO41" s="43">
        <v>111252.336526745</v>
      </c>
      <c r="EP41" s="43">
        <v>75423.355224215804</v>
      </c>
      <c r="EQ41" s="43">
        <v>5365.4109229380902</v>
      </c>
      <c r="ER41" s="43">
        <v>1.3360088670583801</v>
      </c>
      <c r="ES41" s="43">
        <v>1.4271818379796199</v>
      </c>
      <c r="ET41" s="43">
        <v>1.3161115689426801</v>
      </c>
      <c r="EU41" s="43">
        <v>0.76831760000000004</v>
      </c>
      <c r="EV41" s="43">
        <v>1.082033</v>
      </c>
      <c r="EW41" s="43">
        <v>1.2191000000000001</v>
      </c>
      <c r="EX41" s="43">
        <v>0.7638916</v>
      </c>
      <c r="EY41" s="43">
        <v>1.0802620000000001</v>
      </c>
      <c r="EZ41" s="43">
        <v>1.220197</v>
      </c>
      <c r="FA41" s="43">
        <v>5.8244732517946396</v>
      </c>
      <c r="FB41" s="43">
        <v>5.8164328629116397</v>
      </c>
      <c r="FC41" s="43">
        <v>24.810148401388599</v>
      </c>
      <c r="FD41" s="43">
        <v>9055.7671283179607</v>
      </c>
      <c r="FE41" s="43">
        <v>78564.63</v>
      </c>
      <c r="FF41" s="43">
        <v>1.14959375</v>
      </c>
      <c r="FG41" s="43">
        <v>2.2768619999999999</v>
      </c>
      <c r="FH41" s="43">
        <v>516.45129999999995</v>
      </c>
      <c r="FI41" s="43">
        <v>11663.11</v>
      </c>
      <c r="FJ41" s="43">
        <v>6.0899349999999997</v>
      </c>
      <c r="FK41" s="43">
        <v>13.019970000000001</v>
      </c>
      <c r="FL41" s="43">
        <v>0.90431569999999994</v>
      </c>
      <c r="FM41" s="43">
        <v>0.88718280000000005</v>
      </c>
    </row>
    <row r="42" spans="1:169" x14ac:dyDescent="0.25">
      <c r="A42" s="43" t="s">
        <v>269</v>
      </c>
      <c r="B42" s="43">
        <v>17953.97</v>
      </c>
      <c r="C42" s="43">
        <v>12044.39</v>
      </c>
      <c r="D42" s="43">
        <v>2.3562349999999999</v>
      </c>
      <c r="E42" s="43">
        <v>7.344444E-2</v>
      </c>
      <c r="F42" s="43">
        <v>2.7651110000000001</v>
      </c>
      <c r="G42" s="43">
        <v>6.6655550000000003</v>
      </c>
      <c r="H42" s="43">
        <v>1.0084759999999999</v>
      </c>
      <c r="I42" s="43">
        <v>0.99685590000000002</v>
      </c>
      <c r="J42" s="43">
        <v>0.99805869999999997</v>
      </c>
      <c r="K42" s="43">
        <v>0.98815520000000001</v>
      </c>
      <c r="L42" s="43">
        <v>2.0026890000000002</v>
      </c>
      <c r="M42" s="43">
        <v>98.67756</v>
      </c>
      <c r="N42" s="43">
        <v>108.142222222222</v>
      </c>
      <c r="O42" s="43">
        <v>5.1767777777777804</v>
      </c>
      <c r="P42" s="43">
        <v>0.93400000000000005</v>
      </c>
      <c r="Q42" s="43">
        <v>-481.7987</v>
      </c>
      <c r="R42" s="43">
        <v>3.25</v>
      </c>
      <c r="S42" s="43">
        <v>2514.4670000000001</v>
      </c>
      <c r="T42" s="43">
        <v>4.6555560000000003E-2</v>
      </c>
      <c r="U42" s="43">
        <v>3.6944439999999998</v>
      </c>
      <c r="V42" s="43">
        <v>2145.4690000000001</v>
      </c>
      <c r="W42" s="43">
        <v>1.1990000000000001</v>
      </c>
      <c r="X42" s="43">
        <v>13149.17</v>
      </c>
      <c r="Y42" s="43">
        <v>1.295901</v>
      </c>
      <c r="Z42" s="43">
        <v>0.77820089999999997</v>
      </c>
      <c r="AA42" s="43">
        <v>0.95791999999999999</v>
      </c>
      <c r="AB42" s="43">
        <v>1.03647</v>
      </c>
      <c r="AC42" s="43">
        <v>91.02552</v>
      </c>
      <c r="AD42" s="43">
        <v>0.95840000000000003</v>
      </c>
      <c r="AE42" s="43">
        <v>0.94315000000000004</v>
      </c>
      <c r="AF42" s="43">
        <v>0.88992000000000004</v>
      </c>
      <c r="AG42" s="43">
        <v>318.64440000000002</v>
      </c>
      <c r="AH42" s="43">
        <v>122.7535</v>
      </c>
      <c r="AI42" s="43">
        <v>2.0306220000000001</v>
      </c>
      <c r="AJ42" s="43">
        <v>2.0526666666666702</v>
      </c>
      <c r="AK42" s="43">
        <v>17197.740000000002</v>
      </c>
      <c r="AM42" s="43">
        <v>2.02934444444444</v>
      </c>
      <c r="AN42" s="43">
        <v>2.4038889999999999</v>
      </c>
      <c r="AO42" s="43">
        <v>1.99153333333333</v>
      </c>
      <c r="AP42" s="43">
        <v>2.9786666666666699</v>
      </c>
      <c r="AQ42" s="43">
        <v>2.8113220000000001</v>
      </c>
      <c r="AR42" s="43">
        <v>1.8989670000000001</v>
      </c>
      <c r="AS42" s="43">
        <v>1.9730000000000001</v>
      </c>
      <c r="AT42" s="43">
        <v>2.1498780000000002</v>
      </c>
      <c r="AU42" s="43">
        <v>2.0748220000000002</v>
      </c>
      <c r="AV42" s="43">
        <v>1897.8920000000001</v>
      </c>
      <c r="AW42" s="43">
        <v>1038.6949999999999</v>
      </c>
      <c r="AX42" s="43">
        <v>0.9927338</v>
      </c>
      <c r="AY42" s="43">
        <v>1.239967</v>
      </c>
      <c r="AZ42" s="43">
        <v>180.62899999999999</v>
      </c>
      <c r="BA42" s="43">
        <v>0.90632630000000003</v>
      </c>
      <c r="BB42" s="43">
        <v>103.9</v>
      </c>
      <c r="BC42" s="43">
        <v>22.657219999999999</v>
      </c>
      <c r="BD42" s="43">
        <v>7.1655550000000003</v>
      </c>
      <c r="BE42" s="43">
        <v>0.94899999999999995</v>
      </c>
      <c r="BF42" s="43">
        <v>0.8675889</v>
      </c>
      <c r="BG42" s="43">
        <v>1.25</v>
      </c>
      <c r="BH42" s="43">
        <v>2.4816669999999998</v>
      </c>
      <c r="BI42" s="43">
        <v>1.0389999999999999</v>
      </c>
      <c r="BJ42" s="43">
        <v>1.0349999999999999</v>
      </c>
      <c r="BK42" s="43">
        <v>100.4378</v>
      </c>
      <c r="BL42" s="43">
        <v>108.881</v>
      </c>
      <c r="BM42" s="43">
        <v>1.0106390000000001</v>
      </c>
      <c r="BN42" s="43">
        <v>1.1401239999999999</v>
      </c>
      <c r="BO42" s="43">
        <v>35.405140000000003</v>
      </c>
      <c r="BP42" s="43">
        <v>1.10340222222222</v>
      </c>
      <c r="BQ42" s="43">
        <v>1928.6279999999999</v>
      </c>
      <c r="BR42" s="43">
        <v>413.72078510237799</v>
      </c>
      <c r="BS42" s="43">
        <v>10236.530000000001</v>
      </c>
      <c r="BT42" s="43">
        <v>5564.6689999999999</v>
      </c>
      <c r="BU42" s="43">
        <v>0.9715222</v>
      </c>
      <c r="BV42" s="43">
        <v>0.99353559999999996</v>
      </c>
      <c r="BW42" s="43">
        <v>1.0233110000000001</v>
      </c>
      <c r="BX42" s="43">
        <v>1.3705989999999999</v>
      </c>
      <c r="BY42" s="43">
        <v>1.683778</v>
      </c>
      <c r="BZ42" s="43">
        <v>1.9263330000000001</v>
      </c>
      <c r="CA42" s="43">
        <v>2.257555</v>
      </c>
      <c r="CB42" s="43">
        <v>0.60424820000000001</v>
      </c>
      <c r="CC42" s="43">
        <v>6.461449</v>
      </c>
      <c r="CD42" s="43">
        <v>0.9900333</v>
      </c>
      <c r="CE42" s="43">
        <v>0.98645550000000004</v>
      </c>
      <c r="CF42" s="43">
        <v>0.99396669999999998</v>
      </c>
      <c r="CG42" s="43">
        <v>0.91266670000000005</v>
      </c>
      <c r="CH42" s="43">
        <v>1.002033</v>
      </c>
      <c r="CI42" s="43">
        <v>0.96408890000000003</v>
      </c>
      <c r="CJ42" s="43">
        <v>1.0009220000000001</v>
      </c>
      <c r="CK42" s="43">
        <v>0.85533340000000002</v>
      </c>
      <c r="CL42" s="43">
        <v>0.99066670000000001</v>
      </c>
      <c r="CM42" s="43">
        <v>1.008</v>
      </c>
      <c r="CN42" s="43">
        <v>0.98740000000000006</v>
      </c>
      <c r="CO42" s="43">
        <v>1.0109999999999999</v>
      </c>
      <c r="CP42" s="43">
        <v>0.72964130000000005</v>
      </c>
      <c r="CQ42" s="43">
        <v>0.97194449999999999</v>
      </c>
      <c r="CR42" s="43">
        <v>0.2826555</v>
      </c>
      <c r="CS42" s="43">
        <v>78.907009264869799</v>
      </c>
      <c r="CT42" s="43">
        <v>35.031959999999998</v>
      </c>
      <c r="CU42" s="43">
        <v>20.035799999999998</v>
      </c>
      <c r="CV42" s="43">
        <v>27.461045217999999</v>
      </c>
      <c r="CW42" s="43">
        <v>1.02</v>
      </c>
      <c r="CX42" s="43">
        <v>1.0393330000000001</v>
      </c>
      <c r="CY42" s="43">
        <v>0.99666670000000002</v>
      </c>
      <c r="CZ42" s="43">
        <v>1.018</v>
      </c>
      <c r="DA42" s="43">
        <v>1.026</v>
      </c>
      <c r="DB42" s="43">
        <v>1.3356990168</v>
      </c>
      <c r="DC42" s="43">
        <v>1.0453333333333299</v>
      </c>
      <c r="DD42" s="43">
        <v>0.83399999999999996</v>
      </c>
      <c r="DE42" s="43">
        <v>0.95899999999999996</v>
      </c>
      <c r="DF42" s="43">
        <v>0.89900000000000002</v>
      </c>
      <c r="DG42" s="43">
        <v>0.83799999999999997</v>
      </c>
      <c r="DH42" s="43">
        <v>0.84499999999999997</v>
      </c>
      <c r="DI42" s="43">
        <v>0.81799999999999995</v>
      </c>
      <c r="DJ42" s="43">
        <v>0.67200000000000004</v>
      </c>
      <c r="DK42" s="43">
        <v>1.038</v>
      </c>
      <c r="DL42" s="43">
        <v>1.014</v>
      </c>
      <c r="DM42" s="43">
        <v>1.0489999999999999</v>
      </c>
      <c r="DN42" s="43">
        <v>1.0209999999999999</v>
      </c>
      <c r="DO42" s="43">
        <v>0.97333340000000002</v>
      </c>
      <c r="DP42" s="43">
        <v>1.0143329999999999</v>
      </c>
      <c r="DQ42" s="43">
        <v>1.1313329999999999</v>
      </c>
      <c r="DR42" s="43">
        <v>0.95699999999999996</v>
      </c>
      <c r="DS42" s="43">
        <v>1.0029999999999999</v>
      </c>
      <c r="DT42" s="43">
        <v>1.02633333333333</v>
      </c>
      <c r="DU42" s="43">
        <v>535.97270000000003</v>
      </c>
      <c r="DV42" s="43">
        <v>310.57659999999998</v>
      </c>
      <c r="DW42" s="43">
        <v>114.49890000000001</v>
      </c>
      <c r="DX42" s="43">
        <v>0.95568889999999995</v>
      </c>
      <c r="DY42" s="43">
        <v>0.99868889999999999</v>
      </c>
      <c r="DZ42" s="43">
        <v>0.96299999999999997</v>
      </c>
      <c r="EA42" s="43">
        <v>950.76750000000004</v>
      </c>
      <c r="EB42" s="43">
        <v>102.7516</v>
      </c>
      <c r="EC42" s="43">
        <v>1.008</v>
      </c>
      <c r="ED42" s="43">
        <v>1.0109999999999999</v>
      </c>
      <c r="EE42" s="43">
        <v>1.0393330000000001</v>
      </c>
      <c r="EF42" s="43">
        <v>0.99666670000000002</v>
      </c>
      <c r="EG42" s="43">
        <v>1.02</v>
      </c>
      <c r="EH42" s="43">
        <v>0.451206030150754</v>
      </c>
      <c r="EI42" s="43">
        <v>0.18638297872340401</v>
      </c>
      <c r="EJ42" s="43">
        <v>21.350016663748502</v>
      </c>
      <c r="EK42" s="43">
        <v>12.1148936170213</v>
      </c>
      <c r="EL42" s="43">
        <v>0.53360007958615197</v>
      </c>
      <c r="EM42" s="43">
        <v>2870.5834768166801</v>
      </c>
      <c r="EN42" s="43">
        <v>714.752091105614</v>
      </c>
      <c r="EO42" s="43">
        <v>106224.907169934</v>
      </c>
      <c r="EP42" s="43">
        <v>72015.017007855698</v>
      </c>
      <c r="EQ42" s="43">
        <v>5122.9510769028302</v>
      </c>
      <c r="ER42" s="43">
        <v>1.33077322218355</v>
      </c>
      <c r="ES42" s="43">
        <v>1.42158889809748</v>
      </c>
      <c r="ET42" s="43">
        <v>1.31138206421399</v>
      </c>
      <c r="EU42" s="43">
        <v>0.78364619999999996</v>
      </c>
      <c r="EV42" s="43">
        <v>1.0896669999999999</v>
      </c>
      <c r="EW42" s="43">
        <v>1.2417</v>
      </c>
      <c r="EX42" s="43">
        <v>0.78115120000000005</v>
      </c>
      <c r="EY42" s="43">
        <v>1.079799</v>
      </c>
      <c r="EZ42" s="43">
        <v>1.235215</v>
      </c>
      <c r="FA42" s="43">
        <v>5.9422099472866297</v>
      </c>
      <c r="FB42" s="43">
        <v>5.9303550645426499</v>
      </c>
      <c r="FC42" s="43">
        <v>25.370714533019399</v>
      </c>
      <c r="FD42" s="43">
        <v>9051.8841034139296</v>
      </c>
      <c r="FE42" s="43">
        <v>79531.55</v>
      </c>
      <c r="FF42" s="43">
        <v>1.1500312500000001</v>
      </c>
      <c r="FG42" s="43">
        <v>2.3640099999999999</v>
      </c>
      <c r="FH42" s="43">
        <v>551.59839999999997</v>
      </c>
      <c r="FI42" s="43">
        <v>11783.59</v>
      </c>
      <c r="FJ42" s="43">
        <v>6.1017159999999997</v>
      </c>
      <c r="FK42" s="43">
        <v>13.23635</v>
      </c>
      <c r="FL42" s="43">
        <v>0.91768380000000005</v>
      </c>
      <c r="FM42" s="43">
        <v>0.90006419999999998</v>
      </c>
    </row>
    <row r="43" spans="1:169" x14ac:dyDescent="0.25">
      <c r="A43" s="43" t="s">
        <v>270</v>
      </c>
      <c r="B43" s="43">
        <v>18185.91</v>
      </c>
      <c r="C43" s="43">
        <v>12159.84</v>
      </c>
      <c r="D43" s="43">
        <v>2.3687279999999999</v>
      </c>
      <c r="E43" s="43">
        <v>9.3296710000000005E-2</v>
      </c>
      <c r="F43" s="43">
        <v>2.6226370000000001</v>
      </c>
      <c r="G43" s="43">
        <v>6.2010990000000001</v>
      </c>
      <c r="H43" s="43">
        <v>1.022338</v>
      </c>
      <c r="I43" s="43">
        <v>1.008548</v>
      </c>
      <c r="J43" s="43">
        <v>1.0151300000000001</v>
      </c>
      <c r="K43" s="43">
        <v>0.99447859999999999</v>
      </c>
      <c r="L43" s="43">
        <v>2.0139559999999999</v>
      </c>
      <c r="M43" s="43">
        <v>103.3338</v>
      </c>
      <c r="N43" s="43">
        <v>109.69824175824201</v>
      </c>
      <c r="O43" s="43">
        <v>4.6096703296703296</v>
      </c>
      <c r="P43" s="43">
        <v>0.98699999999999999</v>
      </c>
      <c r="Q43" s="43">
        <v>-503.22129999999999</v>
      </c>
      <c r="R43" s="43">
        <v>3.25</v>
      </c>
      <c r="S43" s="43">
        <v>2540.2820000000002</v>
      </c>
      <c r="T43" s="43">
        <v>3.3296699999999999E-2</v>
      </c>
      <c r="U43" s="43">
        <v>3.452747</v>
      </c>
      <c r="V43" s="43">
        <v>2311.3330000000001</v>
      </c>
      <c r="W43" s="43">
        <v>1.2090000000000001</v>
      </c>
      <c r="X43" s="43">
        <v>13314.48</v>
      </c>
      <c r="Y43" s="43">
        <v>1.2988740000000001</v>
      </c>
      <c r="Z43" s="43">
        <v>0.78709479999999998</v>
      </c>
      <c r="AA43" s="43">
        <v>0.96641999999999995</v>
      </c>
      <c r="AB43" s="43">
        <v>1.0385500000000001</v>
      </c>
      <c r="AC43" s="43">
        <v>95.168400000000005</v>
      </c>
      <c r="AD43" s="43">
        <v>0.96343000000000001</v>
      </c>
      <c r="AE43" s="43">
        <v>0.95584999999999998</v>
      </c>
      <c r="AF43" s="43">
        <v>0.89202999999999999</v>
      </c>
      <c r="AG43" s="43">
        <v>319.2276</v>
      </c>
      <c r="AH43" s="43">
        <v>123.08499999999999</v>
      </c>
      <c r="AI43" s="43">
        <v>2.0326490000000002</v>
      </c>
      <c r="AJ43" s="43">
        <v>2.0673333333333299</v>
      </c>
      <c r="AK43" s="43">
        <v>17518.509999999998</v>
      </c>
      <c r="AM43" s="43">
        <v>2.0083296703296698</v>
      </c>
      <c r="AN43" s="43">
        <v>2.2028349999999999</v>
      </c>
      <c r="AO43" s="43">
        <v>2.0083516483516499</v>
      </c>
      <c r="AP43" s="43">
        <v>2.9107802197802202</v>
      </c>
      <c r="AQ43" s="43">
        <v>2.8159230000000002</v>
      </c>
      <c r="AR43" s="43">
        <v>1.905659</v>
      </c>
      <c r="AS43" s="43">
        <v>1.967571</v>
      </c>
      <c r="AT43" s="43">
        <v>2.198582</v>
      </c>
      <c r="AU43" s="43">
        <v>2.126242</v>
      </c>
      <c r="AV43" s="43">
        <v>1915.2260000000001</v>
      </c>
      <c r="AW43" s="43">
        <v>1048.213</v>
      </c>
      <c r="AX43" s="43">
        <v>1.018885</v>
      </c>
      <c r="AY43" s="43">
        <v>1.2563519999999999</v>
      </c>
      <c r="AZ43" s="43">
        <v>196.02199999999999</v>
      </c>
      <c r="BA43" s="43">
        <v>0.91677489999999995</v>
      </c>
      <c r="BB43" s="43">
        <v>103.9</v>
      </c>
      <c r="BC43" s="43">
        <v>23.089559999999999</v>
      </c>
      <c r="BD43" s="43">
        <v>7.1681319999999999</v>
      </c>
      <c r="BE43" s="43">
        <v>0.95033339999999999</v>
      </c>
      <c r="BF43" s="43">
        <v>0.92862639999999996</v>
      </c>
      <c r="BG43" s="43">
        <v>1.25</v>
      </c>
      <c r="BH43" s="43">
        <v>2.3629669999999998</v>
      </c>
      <c r="BI43" s="43">
        <v>1.0509999999999999</v>
      </c>
      <c r="BJ43" s="43">
        <v>1.038</v>
      </c>
      <c r="BK43" s="43">
        <v>103.7863</v>
      </c>
      <c r="BL43" s="43">
        <v>112.69110000000001</v>
      </c>
      <c r="BM43" s="43">
        <v>1.025355</v>
      </c>
      <c r="BN43" s="43">
        <v>1.166031</v>
      </c>
      <c r="BO43" s="43">
        <v>35.495519999999999</v>
      </c>
      <c r="BP43" s="43">
        <v>1.09055384615385</v>
      </c>
      <c r="BQ43" s="43">
        <v>1960.328</v>
      </c>
      <c r="BR43" s="43">
        <v>411.95219101028101</v>
      </c>
      <c r="BS43" s="43">
        <v>10258.030000000001</v>
      </c>
      <c r="BT43" s="43">
        <v>5579.4759999999997</v>
      </c>
      <c r="BU43" s="43">
        <v>0.978989</v>
      </c>
      <c r="BV43" s="43">
        <v>1.001825</v>
      </c>
      <c r="BW43" s="43">
        <v>1.020659</v>
      </c>
      <c r="BX43" s="43">
        <v>1.371164</v>
      </c>
      <c r="BY43" s="43">
        <v>1.4429670000000001</v>
      </c>
      <c r="BZ43" s="43">
        <v>1.7097800000000001</v>
      </c>
      <c r="CA43" s="43">
        <v>1.944148</v>
      </c>
      <c r="CB43" s="43">
        <v>0.59425289999999997</v>
      </c>
      <c r="CC43" s="43">
        <v>6.6023290000000001</v>
      </c>
      <c r="CD43" s="43">
        <v>0.98497800000000002</v>
      </c>
      <c r="CE43" s="43">
        <v>0.9835275</v>
      </c>
      <c r="CF43" s="43">
        <v>0.99120870000000005</v>
      </c>
      <c r="CG43" s="43">
        <v>0.89200000000000002</v>
      </c>
      <c r="CH43" s="43">
        <v>0.99983520000000004</v>
      </c>
      <c r="CI43" s="43">
        <v>0.9568352</v>
      </c>
      <c r="CJ43" s="43">
        <v>0.9968901</v>
      </c>
      <c r="CK43" s="43">
        <v>0.89566670000000004</v>
      </c>
      <c r="CL43" s="43">
        <v>0.99199999999999999</v>
      </c>
      <c r="CM43" s="43">
        <v>1.006</v>
      </c>
      <c r="CN43" s="43">
        <v>0.99983330000000004</v>
      </c>
      <c r="CO43" s="43">
        <v>1.0169999999999999</v>
      </c>
      <c r="CP43" s="43">
        <v>0.72924940000000005</v>
      </c>
      <c r="CQ43" s="43">
        <v>0.98204400000000003</v>
      </c>
      <c r="CR43" s="43">
        <v>0.26657140000000001</v>
      </c>
      <c r="CS43" s="43">
        <v>80.0149206350318</v>
      </c>
      <c r="CT43" s="43">
        <v>35.04289</v>
      </c>
      <c r="CU43" s="43">
        <v>20.029430000000001</v>
      </c>
      <c r="CV43" s="43">
        <v>27.463628074033</v>
      </c>
      <c r="CW43" s="43">
        <v>1.020667</v>
      </c>
      <c r="CX43" s="43">
        <v>1.0373330000000001</v>
      </c>
      <c r="CY43" s="43">
        <v>0.996</v>
      </c>
      <c r="CZ43" s="43">
        <v>1.01566666666667</v>
      </c>
      <c r="DA43" s="43">
        <v>1.024</v>
      </c>
      <c r="DB43" s="43">
        <v>1.371731048</v>
      </c>
      <c r="DC43" s="43">
        <v>1.0246666666666699</v>
      </c>
      <c r="DD43" s="43">
        <v>0.84399999999999997</v>
      </c>
      <c r="DE43" s="43">
        <v>0.96399999999999997</v>
      </c>
      <c r="DF43" s="43">
        <v>0.90200000000000002</v>
      </c>
      <c r="DG43" s="43">
        <v>0.85099999999999998</v>
      </c>
      <c r="DH43" s="43">
        <v>0.85199999999999998</v>
      </c>
      <c r="DI43" s="43">
        <v>0.83099999999999996</v>
      </c>
      <c r="DJ43" s="43">
        <v>0.67600000000000005</v>
      </c>
      <c r="DK43" s="43">
        <v>1.0056670000000001</v>
      </c>
      <c r="DL43" s="43">
        <v>1.025333</v>
      </c>
      <c r="DM43" s="43">
        <v>1.0303329999999999</v>
      </c>
      <c r="DN43" s="43">
        <v>1.0206666666666699</v>
      </c>
      <c r="DO43" s="43">
        <v>1.0163329999999999</v>
      </c>
      <c r="DP43" s="43">
        <v>1.018667</v>
      </c>
      <c r="DQ43" s="43">
        <v>1.016667</v>
      </c>
      <c r="DR43" s="43">
        <v>0.97399999999999998</v>
      </c>
      <c r="DS43" s="43">
        <v>1.0149999999999999</v>
      </c>
      <c r="DT43" s="43">
        <v>0.96899999999999997</v>
      </c>
      <c r="DU43" s="43">
        <v>526.38409999999999</v>
      </c>
      <c r="DV43" s="43">
        <v>295.3657</v>
      </c>
      <c r="DW43" s="43">
        <v>111.2154</v>
      </c>
      <c r="DX43" s="43">
        <v>0.97935159999999999</v>
      </c>
      <c r="DY43" s="43">
        <v>1.0293410000000001</v>
      </c>
      <c r="DZ43" s="43">
        <v>0.98399999999999999</v>
      </c>
      <c r="EA43" s="43">
        <v>877.98199999999997</v>
      </c>
      <c r="EB43" s="43">
        <v>102.09829999999999</v>
      </c>
      <c r="EC43" s="43">
        <v>1.006</v>
      </c>
      <c r="ED43" s="43">
        <v>1.0169999999999999</v>
      </c>
      <c r="EE43" s="43">
        <v>1.0373330000000001</v>
      </c>
      <c r="EF43" s="43">
        <v>0.996</v>
      </c>
      <c r="EG43" s="43">
        <v>1.020667</v>
      </c>
      <c r="EH43" s="43">
        <v>0.45183996907614998</v>
      </c>
      <c r="EI43" s="43">
        <v>0.18664484451718499</v>
      </c>
      <c r="EJ43" s="43">
        <v>21.380013174691602</v>
      </c>
      <c r="EK43" s="43">
        <v>12.131914893616999</v>
      </c>
      <c r="EL43" s="43">
        <v>0.53434978113808196</v>
      </c>
      <c r="EM43" s="43">
        <v>3001.2334081542199</v>
      </c>
      <c r="EN43" s="43">
        <v>747.28286834323296</v>
      </c>
      <c r="EO43" s="43">
        <v>111059.560800518</v>
      </c>
      <c r="EP43" s="43">
        <v>75292.6632088232</v>
      </c>
      <c r="EQ43" s="43">
        <v>5356.1138508992799</v>
      </c>
      <c r="ER43" s="43">
        <v>1.32732440693067</v>
      </c>
      <c r="ES43" s="43">
        <v>1.41790472607377</v>
      </c>
      <c r="ET43" s="43">
        <v>1.3079553896387599</v>
      </c>
      <c r="EU43" s="43">
        <v>0.77467660000000005</v>
      </c>
      <c r="EV43" s="43">
        <v>1.0771999999999999</v>
      </c>
      <c r="EW43" s="43">
        <v>1.2465710000000001</v>
      </c>
      <c r="EX43" s="43">
        <v>0.77851919999999997</v>
      </c>
      <c r="EY43" s="43">
        <v>1.0879509999999999</v>
      </c>
      <c r="EZ43" s="43">
        <v>1.2492300000000001</v>
      </c>
      <c r="FA43" s="43">
        <v>5.8733154901602296</v>
      </c>
      <c r="FB43" s="43">
        <v>5.8641296952320001</v>
      </c>
      <c r="FC43" s="43">
        <v>25.285231776302901</v>
      </c>
      <c r="FD43" s="43">
        <v>9120.2271817815508</v>
      </c>
      <c r="FE43" s="43">
        <v>80433.95</v>
      </c>
      <c r="FF43" s="43">
        <v>1.1422187500000001</v>
      </c>
      <c r="FG43" s="43">
        <v>2.22939</v>
      </c>
      <c r="FH43" s="43">
        <v>555.25160000000005</v>
      </c>
      <c r="FI43" s="43">
        <v>11623.2</v>
      </c>
      <c r="FJ43" s="43">
        <v>6.229495</v>
      </c>
      <c r="FK43" s="43">
        <v>12.99455</v>
      </c>
      <c r="FL43" s="43">
        <v>0.9105915</v>
      </c>
      <c r="FM43" s="43">
        <v>0.89227100000000004</v>
      </c>
    </row>
    <row r="44" spans="1:169" x14ac:dyDescent="0.25">
      <c r="A44" s="43" t="s">
        <v>271</v>
      </c>
      <c r="B44" s="43">
        <v>18406.939999999999</v>
      </c>
      <c r="C44" s="43">
        <v>12279.77</v>
      </c>
      <c r="D44" s="43">
        <v>2.374784</v>
      </c>
      <c r="E44" s="43">
        <v>0.09</v>
      </c>
      <c r="F44" s="43">
        <v>2.4963039999999999</v>
      </c>
      <c r="G44" s="43">
        <v>6.0684779999999998</v>
      </c>
      <c r="H44" s="43">
        <v>1.028149</v>
      </c>
      <c r="I44" s="43">
        <v>1.012192</v>
      </c>
      <c r="J44" s="43">
        <v>1.0230919999999999</v>
      </c>
      <c r="K44" s="43">
        <v>0.99469200000000002</v>
      </c>
      <c r="L44" s="43">
        <v>2.0123799999999998</v>
      </c>
      <c r="M44" s="43">
        <v>97.829669999999993</v>
      </c>
      <c r="N44" s="43">
        <v>101.87478260869599</v>
      </c>
      <c r="O44" s="43">
        <v>3.9604347826086999</v>
      </c>
      <c r="P44" s="43">
        <v>1.030667</v>
      </c>
      <c r="Q44" s="43">
        <v>-477.41050000000001</v>
      </c>
      <c r="R44" s="43">
        <v>3.25</v>
      </c>
      <c r="S44" s="43">
        <v>2561.8670000000002</v>
      </c>
      <c r="T44" s="43">
        <v>2.673913E-2</v>
      </c>
      <c r="U44" s="43">
        <v>3.2635869999999998</v>
      </c>
      <c r="V44" s="43">
        <v>2363.0540000000001</v>
      </c>
      <c r="W44" s="43">
        <v>1.2170000000000001</v>
      </c>
      <c r="X44" s="43">
        <v>13439.16</v>
      </c>
      <c r="Y44" s="43">
        <v>1.3024420000000001</v>
      </c>
      <c r="Z44" s="43">
        <v>0.78940169999999998</v>
      </c>
      <c r="AA44" s="43">
        <v>0.97496000000000005</v>
      </c>
      <c r="AB44" s="43">
        <v>1.03603</v>
      </c>
      <c r="AC44" s="43">
        <v>96.859880000000004</v>
      </c>
      <c r="AD44" s="43">
        <v>0.96762000000000004</v>
      </c>
      <c r="AE44" s="43">
        <v>0.96957000000000004</v>
      </c>
      <c r="AF44" s="43">
        <v>0.90788000000000002</v>
      </c>
      <c r="AG44" s="43">
        <v>319.91559999999998</v>
      </c>
      <c r="AH44" s="43">
        <v>123.4164</v>
      </c>
      <c r="AI44" s="43">
        <v>2.0290319999999999</v>
      </c>
      <c r="AJ44" s="43">
        <v>2.0603333333333298</v>
      </c>
      <c r="AK44" s="43">
        <v>17804.23</v>
      </c>
      <c r="AM44" s="43">
        <v>1.98371739130435</v>
      </c>
      <c r="AN44" s="43">
        <v>1.9618040000000001</v>
      </c>
      <c r="AO44" s="43">
        <v>2.0153260869565202</v>
      </c>
      <c r="AP44" s="43">
        <v>2.81466304347826</v>
      </c>
      <c r="AQ44" s="43">
        <v>2.8360439999999998</v>
      </c>
      <c r="AR44" s="43">
        <v>1.900989</v>
      </c>
      <c r="AS44" s="43">
        <v>1.927913</v>
      </c>
      <c r="AT44" s="43">
        <v>2.1543480000000002</v>
      </c>
      <c r="AU44" s="43">
        <v>2.1410110000000002</v>
      </c>
      <c r="AV44" s="43">
        <v>1933.5940000000001</v>
      </c>
      <c r="AW44" s="43">
        <v>1055.8430000000001</v>
      </c>
      <c r="AX44" s="43">
        <v>1.014583</v>
      </c>
      <c r="AY44" s="43">
        <v>1.2573259999999999</v>
      </c>
      <c r="AZ44" s="43">
        <v>193.346</v>
      </c>
      <c r="BA44" s="43">
        <v>0.91942080000000004</v>
      </c>
      <c r="BB44" s="43">
        <v>105.3</v>
      </c>
      <c r="BC44" s="43">
        <v>23.877610000000001</v>
      </c>
      <c r="BD44" s="43">
        <v>7.0336949999999998</v>
      </c>
      <c r="BE44" s="43">
        <v>0.94733330000000004</v>
      </c>
      <c r="BF44" s="43">
        <v>0.9415</v>
      </c>
      <c r="BG44" s="43">
        <v>1.25</v>
      </c>
      <c r="BH44" s="43">
        <v>2.1464129999999999</v>
      </c>
      <c r="BI44" s="43">
        <v>1.056</v>
      </c>
      <c r="BJ44" s="43">
        <v>1.0409999999999999</v>
      </c>
      <c r="BK44" s="43">
        <v>105.4187</v>
      </c>
      <c r="BL44" s="43">
        <v>106.4742</v>
      </c>
      <c r="BM44" s="43">
        <v>1.0427759999999999</v>
      </c>
      <c r="BN44" s="43">
        <v>1.1762649999999999</v>
      </c>
      <c r="BO44" s="43">
        <v>35.580539999999999</v>
      </c>
      <c r="BP44" s="43">
        <v>1.0883630434782601</v>
      </c>
      <c r="BQ44" s="43">
        <v>1980.38</v>
      </c>
      <c r="BR44" s="43">
        <v>409.92304778114499</v>
      </c>
      <c r="BS44" s="43">
        <v>10306.26</v>
      </c>
      <c r="BT44" s="43">
        <v>5608.375</v>
      </c>
      <c r="BU44" s="43">
        <v>0.97298910000000005</v>
      </c>
      <c r="BV44" s="43">
        <v>0.99786410000000003</v>
      </c>
      <c r="BW44" s="43">
        <v>1.019663</v>
      </c>
      <c r="BX44" s="43">
        <v>1.3281289999999999</v>
      </c>
      <c r="BY44" s="43">
        <v>1.0742389999999999</v>
      </c>
      <c r="BZ44" s="43">
        <v>1.2277169999999999</v>
      </c>
      <c r="CA44" s="43">
        <v>1.617826</v>
      </c>
      <c r="CB44" s="43">
        <v>0.59858509999999998</v>
      </c>
      <c r="CC44" s="43">
        <v>6.938034</v>
      </c>
      <c r="CD44" s="43">
        <v>0.98461960000000004</v>
      </c>
      <c r="CE44" s="43">
        <v>0.99299999999999999</v>
      </c>
      <c r="CF44" s="43">
        <v>0.97799999999999998</v>
      </c>
      <c r="CG44" s="43">
        <v>0.88400000000000001</v>
      </c>
      <c r="CH44" s="43">
        <v>0.99838039999999995</v>
      </c>
      <c r="CI44" s="43">
        <v>0.96684780000000003</v>
      </c>
      <c r="CJ44" s="43">
        <v>0.99711959999999999</v>
      </c>
      <c r="CK44" s="43">
        <v>0.9156666</v>
      </c>
      <c r="CL44" s="43">
        <v>0.99666670000000002</v>
      </c>
      <c r="CM44" s="43">
        <v>1.006</v>
      </c>
      <c r="CN44" s="43">
        <v>0.99566670000000002</v>
      </c>
      <c r="CO44" s="43">
        <v>1.0229999999999999</v>
      </c>
      <c r="CP44" s="43">
        <v>0.75372229999999996</v>
      </c>
      <c r="CQ44" s="43">
        <v>0.97433689999999995</v>
      </c>
      <c r="CR44" s="43">
        <v>0.1419348</v>
      </c>
      <c r="CS44" s="43">
        <v>76.678560723485802</v>
      </c>
      <c r="CT44" s="43">
        <v>36.300750000000001</v>
      </c>
      <c r="CU44" s="43">
        <v>20.844999999999999</v>
      </c>
      <c r="CV44" s="43">
        <v>27.684856255434799</v>
      </c>
      <c r="CW44" s="43">
        <v>1.024</v>
      </c>
      <c r="CX44" s="43">
        <v>1.0436669999999999</v>
      </c>
      <c r="CY44" s="43">
        <v>1.0036670000000001</v>
      </c>
      <c r="CZ44" s="43">
        <v>1.0146666666666699</v>
      </c>
      <c r="DA44" s="43">
        <v>1.028</v>
      </c>
      <c r="DB44" s="43">
        <v>1.4006625198</v>
      </c>
      <c r="DC44" s="43">
        <v>1.00566666666667</v>
      </c>
      <c r="DD44" s="43">
        <v>0.84799999999999998</v>
      </c>
      <c r="DE44" s="43">
        <v>0.96499999999999997</v>
      </c>
      <c r="DF44" s="43">
        <v>0.90500000000000003</v>
      </c>
      <c r="DG44" s="43">
        <v>0.85299999999999998</v>
      </c>
      <c r="DH44" s="43">
        <v>0.86</v>
      </c>
      <c r="DI44" s="43">
        <v>0.83299999999999996</v>
      </c>
      <c r="DJ44" s="43">
        <v>0.67700000000000005</v>
      </c>
      <c r="DK44" s="43">
        <v>1.016</v>
      </c>
      <c r="DL44" s="43">
        <v>1.0316669999999999</v>
      </c>
      <c r="DM44" s="43">
        <v>1.0236670000000001</v>
      </c>
      <c r="DN44" s="43">
        <v>1.0229999999999999</v>
      </c>
      <c r="DO44" s="43">
        <v>1.050667</v>
      </c>
      <c r="DP44" s="43">
        <v>1.021333</v>
      </c>
      <c r="DQ44" s="43">
        <v>1</v>
      </c>
      <c r="DR44" s="43">
        <v>0.98099999999999998</v>
      </c>
      <c r="DS44" s="43">
        <v>1.016</v>
      </c>
      <c r="DT44" s="43">
        <v>1.0533333333333299</v>
      </c>
      <c r="DU44" s="43">
        <v>526.8963</v>
      </c>
      <c r="DV44" s="43">
        <v>297.96210000000002</v>
      </c>
      <c r="DW44" s="43">
        <v>110.62609999999999</v>
      </c>
      <c r="DX44" s="43">
        <v>0.98297829999999997</v>
      </c>
      <c r="DY44" s="43">
        <v>1.034011</v>
      </c>
      <c r="DZ44" s="43">
        <v>0.98399999999999999</v>
      </c>
      <c r="EA44" s="43">
        <v>859.21349999999995</v>
      </c>
      <c r="EB44" s="43">
        <v>103.8426</v>
      </c>
      <c r="EC44" s="43">
        <v>1.006</v>
      </c>
      <c r="ED44" s="43">
        <v>1.0229999999999999</v>
      </c>
      <c r="EE44" s="43">
        <v>1.0436669999999999</v>
      </c>
      <c r="EF44" s="43">
        <v>1.0036670000000001</v>
      </c>
      <c r="EG44" s="43">
        <v>1.024</v>
      </c>
      <c r="EH44" s="43">
        <v>0.45041360649400902</v>
      </c>
      <c r="EI44" s="43">
        <v>0.186055646481179</v>
      </c>
      <c r="EJ44" s="43">
        <v>21.312521025069699</v>
      </c>
      <c r="EK44" s="43">
        <v>12.0936170212766</v>
      </c>
      <c r="EL44" s="43">
        <v>0.53266295264623997</v>
      </c>
      <c r="EM44" s="43">
        <v>3054.5760113751899</v>
      </c>
      <c r="EN44" s="43">
        <v>760.56474553131</v>
      </c>
      <c r="EO44" s="43">
        <v>113033.484611169</v>
      </c>
      <c r="EP44" s="43">
        <v>76630.881905205199</v>
      </c>
      <c r="EQ44" s="43">
        <v>5451.3110638779799</v>
      </c>
      <c r="ER44" s="43">
        <v>1.32602915052349</v>
      </c>
      <c r="ES44" s="43">
        <v>1.41652107775717</v>
      </c>
      <c r="ET44" s="43">
        <v>1.3071035391538</v>
      </c>
      <c r="EU44" s="43">
        <v>0.7731538</v>
      </c>
      <c r="EV44" s="43">
        <v>1.102333</v>
      </c>
      <c r="EW44" s="43">
        <v>1.2512749999999999</v>
      </c>
      <c r="EX44" s="43">
        <v>0.77660989999999996</v>
      </c>
      <c r="EY44" s="43">
        <v>1.1017239999999999</v>
      </c>
      <c r="EZ44" s="43">
        <v>1.2546189999999999</v>
      </c>
      <c r="FA44" s="43">
        <v>5.8616190400050296</v>
      </c>
      <c r="FB44" s="43">
        <v>5.8490537149223201</v>
      </c>
      <c r="FC44" s="43">
        <v>25.2232208406976</v>
      </c>
      <c r="FD44" s="43">
        <v>9235.6821881270898</v>
      </c>
      <c r="FE44" s="43">
        <v>80780.97</v>
      </c>
      <c r="FF44" s="43">
        <v>1.1320937499999999</v>
      </c>
      <c r="FG44" s="43">
        <v>2.2754279999999998</v>
      </c>
      <c r="FH44" s="43">
        <v>577.26089999999999</v>
      </c>
      <c r="FI44" s="43">
        <v>11786.29</v>
      </c>
      <c r="FJ44" s="43">
        <v>6.1661669999999997</v>
      </c>
      <c r="FK44" s="43">
        <v>13.118589999999999</v>
      </c>
      <c r="FL44" s="43">
        <v>0.92712620000000001</v>
      </c>
      <c r="FM44" s="43">
        <v>0.89916739999999995</v>
      </c>
    </row>
    <row r="45" spans="1:169" x14ac:dyDescent="0.25">
      <c r="A45" s="43" t="s">
        <v>272</v>
      </c>
      <c r="B45" s="43">
        <v>18500.03</v>
      </c>
      <c r="C45" s="43">
        <v>12421.61</v>
      </c>
      <c r="D45" s="43">
        <v>2.3688729999999998</v>
      </c>
      <c r="E45" s="43">
        <v>0.10010869999999999</v>
      </c>
      <c r="F45" s="43">
        <v>2.2794569999999998</v>
      </c>
      <c r="G45" s="43">
        <v>5.6989130000000001</v>
      </c>
      <c r="H45" s="43">
        <v>1.034189</v>
      </c>
      <c r="I45" s="43">
        <v>1.012975</v>
      </c>
      <c r="J45" s="43">
        <v>1.0252019999999999</v>
      </c>
      <c r="K45" s="43">
        <v>0.99652770000000002</v>
      </c>
      <c r="L45" s="43">
        <v>1.9882610000000001</v>
      </c>
      <c r="M45" s="43">
        <v>73.131420000000006</v>
      </c>
      <c r="N45" s="43">
        <v>76.370326086956496</v>
      </c>
      <c r="O45" s="43">
        <v>3.7897826086956501</v>
      </c>
      <c r="P45" s="43">
        <v>1.0493330000000001</v>
      </c>
      <c r="Q45" s="43">
        <v>-497.89080000000001</v>
      </c>
      <c r="R45" s="43">
        <v>3.25</v>
      </c>
      <c r="S45" s="43">
        <v>2592.3910000000001</v>
      </c>
      <c r="T45" s="43">
        <v>2.3369569999999999E-2</v>
      </c>
      <c r="U45" s="43">
        <v>2.9592390000000002</v>
      </c>
      <c r="V45" s="43">
        <v>2357.201</v>
      </c>
      <c r="W45" s="43">
        <v>1.224</v>
      </c>
      <c r="X45" s="43">
        <v>13631.48</v>
      </c>
      <c r="Y45" s="43">
        <v>1.3058350000000001</v>
      </c>
      <c r="Z45" s="43">
        <v>0.79197499999999998</v>
      </c>
      <c r="AA45" s="43">
        <v>0.97033000000000003</v>
      </c>
      <c r="AB45" s="43">
        <v>1.02311</v>
      </c>
      <c r="AC45" s="43">
        <v>87.964479999999995</v>
      </c>
      <c r="AD45" s="43">
        <v>0.96799999999999997</v>
      </c>
      <c r="AE45" s="43">
        <v>0.97996000000000005</v>
      </c>
      <c r="AF45" s="43">
        <v>0.90961999999999998</v>
      </c>
      <c r="AG45" s="43">
        <v>320.61130000000003</v>
      </c>
      <c r="AH45" s="43">
        <v>123.68680000000001</v>
      </c>
      <c r="AI45" s="43">
        <v>1.983598</v>
      </c>
      <c r="AJ45" s="43">
        <v>1.986</v>
      </c>
      <c r="AK45" s="43">
        <v>17912.080000000002</v>
      </c>
      <c r="AM45" s="43">
        <v>1.97703260869565</v>
      </c>
      <c r="AN45" s="43">
        <v>1.795728</v>
      </c>
      <c r="AO45" s="43">
        <v>2.0257608695652198</v>
      </c>
      <c r="AP45" s="43">
        <v>2.4023913043478302</v>
      </c>
      <c r="AQ45" s="43">
        <v>2.7726630000000001</v>
      </c>
      <c r="AR45" s="43">
        <v>1.9016630000000001</v>
      </c>
      <c r="AS45" s="43">
        <v>1.7930109999999999</v>
      </c>
      <c r="AT45" s="43">
        <v>1.8905320000000001</v>
      </c>
      <c r="AU45" s="43">
        <v>2.1586959999999999</v>
      </c>
      <c r="AV45" s="43">
        <v>1946.9739999999999</v>
      </c>
      <c r="AW45" s="43">
        <v>1063.4960000000001</v>
      </c>
      <c r="AX45" s="43">
        <v>1.0288569999999999</v>
      </c>
      <c r="AY45" s="43">
        <v>1.2526520000000001</v>
      </c>
      <c r="AZ45" s="43">
        <v>185.041</v>
      </c>
      <c r="BA45" s="43">
        <v>0.88093630000000001</v>
      </c>
      <c r="BB45" s="43">
        <v>105.3</v>
      </c>
      <c r="BC45" s="43">
        <v>24.073910000000001</v>
      </c>
      <c r="BD45" s="43">
        <v>6.7663039999999999</v>
      </c>
      <c r="BE45" s="43">
        <v>0.93300000000000005</v>
      </c>
      <c r="BF45" s="43">
        <v>0.89760870000000004</v>
      </c>
      <c r="BG45" s="43">
        <v>1.25</v>
      </c>
      <c r="BH45" s="43">
        <v>1.9560869999999999</v>
      </c>
      <c r="BI45" s="43">
        <v>1.0569999999999999</v>
      </c>
      <c r="BJ45" s="43">
        <v>1.034</v>
      </c>
      <c r="BK45" s="43">
        <v>99.865780000000001</v>
      </c>
      <c r="BL45" s="43">
        <v>83.025859999999994</v>
      </c>
      <c r="BM45" s="43">
        <v>1.041469</v>
      </c>
      <c r="BN45" s="43">
        <v>1.1853579999999999</v>
      </c>
      <c r="BO45" s="43">
        <v>35.66019</v>
      </c>
      <c r="BP45" s="43">
        <v>1.1352967391304301</v>
      </c>
      <c r="BQ45" s="43">
        <v>1981.316</v>
      </c>
      <c r="BR45" s="43">
        <v>396.95704323743598</v>
      </c>
      <c r="BS45" s="43">
        <v>10342.73</v>
      </c>
      <c r="BT45" s="43">
        <v>5637.8789999999999</v>
      </c>
      <c r="BU45" s="43">
        <v>0.97372820000000004</v>
      </c>
      <c r="BV45" s="43">
        <v>0.9990696</v>
      </c>
      <c r="BW45" s="43">
        <v>1.0123150000000001</v>
      </c>
      <c r="BX45" s="43">
        <v>1.2503660000000001</v>
      </c>
      <c r="BY45" s="43">
        <v>0.76630430000000005</v>
      </c>
      <c r="BZ45" s="43">
        <v>0.88261959999999995</v>
      </c>
      <c r="CA45" s="43">
        <v>1.139859</v>
      </c>
      <c r="CB45" s="43">
        <v>0.63164109999999996</v>
      </c>
      <c r="CC45" s="43">
        <v>7.4124670000000004</v>
      </c>
      <c r="CD45" s="43">
        <v>0.99706519999999998</v>
      </c>
      <c r="CE45" s="43">
        <v>0.97947830000000002</v>
      </c>
      <c r="CF45" s="43">
        <v>0.9803695</v>
      </c>
      <c r="CG45" s="43">
        <v>0.93933330000000004</v>
      </c>
      <c r="CH45" s="43">
        <v>1.0054460000000001</v>
      </c>
      <c r="CI45" s="43">
        <v>0.97044569999999997</v>
      </c>
      <c r="CJ45" s="43">
        <v>0.98496740000000005</v>
      </c>
      <c r="CK45" s="43">
        <v>0.93433330000000003</v>
      </c>
      <c r="CL45" s="43">
        <v>0.99333329999999997</v>
      </c>
      <c r="CM45" s="43">
        <v>1.0029999999999999</v>
      </c>
      <c r="CN45" s="43">
        <v>0.99690000000000001</v>
      </c>
      <c r="CO45" s="43">
        <v>1.008</v>
      </c>
      <c r="CP45" s="43">
        <v>0.79985539999999999</v>
      </c>
      <c r="CQ45" s="43">
        <v>0.98234779999999999</v>
      </c>
      <c r="CR45" s="43">
        <v>6.2913049999999998E-2</v>
      </c>
      <c r="CS45" s="43">
        <v>61.001942466232499</v>
      </c>
      <c r="CT45" s="43">
        <v>47.835189999999997</v>
      </c>
      <c r="CU45" s="43">
        <v>22.144179999999999</v>
      </c>
      <c r="CV45" s="43">
        <v>27.688336509412999</v>
      </c>
      <c r="CW45" s="43">
        <v>1.012667</v>
      </c>
      <c r="CX45" s="43">
        <v>1.016667</v>
      </c>
      <c r="CY45" s="43">
        <v>1.003333</v>
      </c>
      <c r="CZ45" s="43">
        <v>1.0109999999999999</v>
      </c>
      <c r="DA45" s="43">
        <v>1.02033333333333</v>
      </c>
      <c r="DB45" s="43">
        <v>1.3993835370000001</v>
      </c>
      <c r="DC45" s="43">
        <v>0.98466666666666702</v>
      </c>
      <c r="DD45" s="43">
        <v>0.85499999999999998</v>
      </c>
      <c r="DE45" s="43">
        <v>0.96199999999999997</v>
      </c>
      <c r="DF45" s="43">
        <v>0.90100000000000002</v>
      </c>
      <c r="DG45" s="43">
        <v>0.82699999999999996</v>
      </c>
      <c r="DH45" s="43">
        <v>0.86499999999999999</v>
      </c>
      <c r="DI45" s="43">
        <v>0.82899999999999996</v>
      </c>
      <c r="DJ45" s="43">
        <v>0.68400000000000005</v>
      </c>
      <c r="DK45" s="43">
        <v>1.012667</v>
      </c>
      <c r="DL45" s="43">
        <v>1.0263329999999999</v>
      </c>
      <c r="DM45" s="43">
        <v>1.0313330000000001</v>
      </c>
      <c r="DN45" s="43">
        <v>1.0166666666666699</v>
      </c>
      <c r="DO45" s="43">
        <v>1.018</v>
      </c>
      <c r="DP45" s="43">
        <v>1.0096670000000001</v>
      </c>
      <c r="DQ45" s="43">
        <v>1.0900000000000001</v>
      </c>
      <c r="DR45" s="43">
        <v>0.98066660000000005</v>
      </c>
      <c r="DS45" s="43">
        <v>1.004</v>
      </c>
      <c r="DT45" s="43">
        <v>0.98566666666666702</v>
      </c>
      <c r="DU45" s="43">
        <v>529.34910000000002</v>
      </c>
      <c r="DV45" s="43">
        <v>298.46370000000002</v>
      </c>
      <c r="DW45" s="43">
        <v>110.7978</v>
      </c>
      <c r="DX45" s="43">
        <v>0.98001090000000002</v>
      </c>
      <c r="DY45" s="43">
        <v>1.019989</v>
      </c>
      <c r="DZ45" s="43">
        <v>0.98699999999999999</v>
      </c>
      <c r="EA45" s="43">
        <v>890.49710000000005</v>
      </c>
      <c r="EB45" s="43">
        <v>114.40389999999999</v>
      </c>
      <c r="EC45" s="43">
        <v>1.0029999999999999</v>
      </c>
      <c r="ED45" s="43">
        <v>1.008</v>
      </c>
      <c r="EE45" s="43">
        <v>1.016667</v>
      </c>
      <c r="EF45" s="43">
        <v>1.003333</v>
      </c>
      <c r="EG45" s="43">
        <v>1.012667</v>
      </c>
      <c r="EH45" s="43">
        <v>0.44359876304599999</v>
      </c>
      <c r="EI45" s="43">
        <v>0.18324058919803601</v>
      </c>
      <c r="EJ45" s="43">
        <v>20.990058532431402</v>
      </c>
      <c r="EK45" s="43">
        <v>11.910638297872399</v>
      </c>
      <c r="EL45" s="43">
        <v>0.52460366096299305</v>
      </c>
      <c r="EM45" s="43">
        <v>2774.0504715105299</v>
      </c>
      <c r="EN45" s="43">
        <v>690.716152781397</v>
      </c>
      <c r="EO45" s="43">
        <v>102652.738093404</v>
      </c>
      <c r="EP45" s="43">
        <v>69593.270322874698</v>
      </c>
      <c r="EQ45" s="43">
        <v>4950.6746503561899</v>
      </c>
      <c r="ER45" s="43">
        <v>1.3164733833748801</v>
      </c>
      <c r="ES45" s="43">
        <v>1.4063131984094199</v>
      </c>
      <c r="ET45" s="43">
        <v>1.29809550936491</v>
      </c>
      <c r="EU45" s="43">
        <v>0.78780289999999997</v>
      </c>
      <c r="EV45" s="43">
        <v>1.0712330000000001</v>
      </c>
      <c r="EW45" s="43">
        <v>1.257879</v>
      </c>
      <c r="EX45" s="43">
        <v>0.78272489999999995</v>
      </c>
      <c r="EY45" s="43">
        <v>1.0690569999999999</v>
      </c>
      <c r="EZ45" s="43">
        <v>1.2580229999999999</v>
      </c>
      <c r="FA45" s="43">
        <v>5.9741370778094298</v>
      </c>
      <c r="FB45" s="43">
        <v>5.9463305283726102</v>
      </c>
      <c r="FC45" s="43">
        <v>25.421825102031001</v>
      </c>
      <c r="FD45" s="43">
        <v>8961.8382209554693</v>
      </c>
      <c r="FE45" s="43">
        <v>81000.11</v>
      </c>
      <c r="FF45" s="43">
        <v>1.11965625</v>
      </c>
      <c r="FG45" s="43">
        <v>2.5451519999999999</v>
      </c>
      <c r="FH45" s="43">
        <v>598.53700000000003</v>
      </c>
      <c r="FI45" s="43">
        <v>12268.66</v>
      </c>
      <c r="FJ45" s="43">
        <v>6.1464309999999998</v>
      </c>
      <c r="FK45" s="43">
        <v>13.8629</v>
      </c>
      <c r="FL45" s="43">
        <v>0.98277930000000002</v>
      </c>
      <c r="FM45" s="43">
        <v>0.93717669999999997</v>
      </c>
    </row>
    <row r="46" spans="1:169" x14ac:dyDescent="0.25">
      <c r="A46" s="43" t="s">
        <v>273</v>
      </c>
      <c r="B46" s="43">
        <v>18666.62</v>
      </c>
      <c r="C46" s="43">
        <v>12516.96</v>
      </c>
      <c r="D46" s="43">
        <v>2.3535539999999999</v>
      </c>
      <c r="E46" s="43">
        <v>0.11</v>
      </c>
      <c r="F46" s="43">
        <v>1.9662219999999999</v>
      </c>
      <c r="G46" s="43">
        <v>5.5344439999999997</v>
      </c>
      <c r="H46" s="43">
        <v>1.022702</v>
      </c>
      <c r="I46" s="43">
        <v>1.0042960000000001</v>
      </c>
      <c r="J46" s="43">
        <v>1.0124219999999999</v>
      </c>
      <c r="K46" s="43">
        <v>0.99264870000000005</v>
      </c>
      <c r="L46" s="43">
        <v>1.9367220000000001</v>
      </c>
      <c r="M46" s="43">
        <v>48.472000000000001</v>
      </c>
      <c r="N46" s="43">
        <v>53.7772222222222</v>
      </c>
      <c r="O46" s="43">
        <v>2.8975555555555599</v>
      </c>
      <c r="P46" s="43">
        <v>0.97699999999999998</v>
      </c>
      <c r="Q46" s="43">
        <v>-510.69760000000002</v>
      </c>
      <c r="R46" s="43">
        <v>3.25</v>
      </c>
      <c r="S46" s="43">
        <v>2618.2170000000001</v>
      </c>
      <c r="T46" s="43">
        <v>2.6888889999999999E-2</v>
      </c>
      <c r="U46" s="43">
        <v>2.5424440000000001</v>
      </c>
      <c r="V46" s="43">
        <v>2315.8200000000002</v>
      </c>
      <c r="W46" s="43">
        <v>1.232</v>
      </c>
      <c r="X46" s="43">
        <v>13818.03</v>
      </c>
      <c r="Y46" s="43">
        <v>1.3081469999999999</v>
      </c>
      <c r="Z46" s="43">
        <v>0.78179569999999998</v>
      </c>
      <c r="AA46" s="43">
        <v>0.97782000000000002</v>
      </c>
      <c r="AB46" s="43">
        <v>1.01515</v>
      </c>
      <c r="AC46" s="43">
        <v>51.688330000000001</v>
      </c>
      <c r="AD46" s="43">
        <v>0.96741999999999995</v>
      </c>
      <c r="AE46" s="43">
        <v>0.97948999999999997</v>
      </c>
      <c r="AF46" s="43">
        <v>0.91556000000000004</v>
      </c>
      <c r="AG46" s="43">
        <v>321.16849999999999</v>
      </c>
      <c r="AH46" s="43">
        <v>123.9983</v>
      </c>
      <c r="AI46" s="43">
        <v>1.9017219999999999</v>
      </c>
      <c r="AJ46" s="43">
        <v>1.8979999999999999</v>
      </c>
      <c r="AK46" s="43">
        <v>18063.53</v>
      </c>
      <c r="AM46" s="43">
        <v>1.9636777777777801</v>
      </c>
      <c r="AN46" s="43">
        <v>1.296756</v>
      </c>
      <c r="AO46" s="43">
        <v>2.0375222222222198</v>
      </c>
      <c r="AP46" s="43">
        <v>1.7817444444444399</v>
      </c>
      <c r="AQ46" s="43">
        <v>2.6623109999999999</v>
      </c>
      <c r="AR46" s="43">
        <v>1.8873439999999999</v>
      </c>
      <c r="AS46" s="43">
        <v>1.5788219999999999</v>
      </c>
      <c r="AT46" s="43">
        <v>1.6042000000000001</v>
      </c>
      <c r="AU46" s="43">
        <v>2.120511</v>
      </c>
      <c r="AV46" s="43">
        <v>1936.2750000000001</v>
      </c>
      <c r="AW46" s="43">
        <v>1065.5360000000001</v>
      </c>
      <c r="AX46" s="43">
        <v>1.016907</v>
      </c>
      <c r="AY46" s="43">
        <v>1.2533110000000001</v>
      </c>
      <c r="AZ46" s="43">
        <v>176.40299999999999</v>
      </c>
      <c r="BA46" s="43">
        <v>0.80617510000000003</v>
      </c>
      <c r="BB46" s="43">
        <v>108.2</v>
      </c>
      <c r="BC46" s="43">
        <v>24.01933</v>
      </c>
      <c r="BD46" s="43">
        <v>6.8311109999999999</v>
      </c>
      <c r="BE46" s="43">
        <v>0.93266669999999996</v>
      </c>
      <c r="BF46" s="43">
        <v>0.61670000000000003</v>
      </c>
      <c r="BG46" s="43">
        <v>1</v>
      </c>
      <c r="BH46" s="43">
        <v>1.4836670000000001</v>
      </c>
      <c r="BI46" s="43">
        <v>1.0620000000000001</v>
      </c>
      <c r="BJ46" s="43">
        <v>1.0249999999999999</v>
      </c>
      <c r="BK46" s="43">
        <v>64.134649999999993</v>
      </c>
      <c r="BL46" s="43">
        <v>60.146599999999999</v>
      </c>
      <c r="BM46" s="43">
        <v>1.0225299999999999</v>
      </c>
      <c r="BN46" s="43">
        <v>1.1977040000000001</v>
      </c>
      <c r="BO46" s="43">
        <v>35.69999</v>
      </c>
      <c r="BP46" s="43">
        <v>1.2407955555555601</v>
      </c>
      <c r="BQ46" s="43">
        <v>1952.4639999999999</v>
      </c>
      <c r="BR46" s="43">
        <v>395.41027659187699</v>
      </c>
      <c r="BS46" s="43">
        <v>10445.620000000001</v>
      </c>
      <c r="BT46" s="43">
        <v>5681.9809999999998</v>
      </c>
      <c r="BU46" s="43">
        <v>0.99273339999999999</v>
      </c>
      <c r="BV46" s="43">
        <v>0.99036000000000002</v>
      </c>
      <c r="BW46" s="43">
        <v>1.0019670000000001</v>
      </c>
      <c r="BX46" s="43">
        <v>1.126584</v>
      </c>
      <c r="BY46" s="43">
        <v>0.36377779999999998</v>
      </c>
      <c r="BZ46" s="43">
        <v>0.50884439999999997</v>
      </c>
      <c r="CA46" s="43">
        <v>0.66173329999999997</v>
      </c>
      <c r="CB46" s="43">
        <v>0.66317190000000004</v>
      </c>
      <c r="CC46" s="43">
        <v>8.33413</v>
      </c>
      <c r="CD46" s="43">
        <v>0.99055559999999998</v>
      </c>
      <c r="CE46" s="43">
        <v>0.9975889</v>
      </c>
      <c r="CF46" s="43">
        <v>0.98862220000000001</v>
      </c>
      <c r="CG46" s="43">
        <v>0.95366660000000003</v>
      </c>
      <c r="CH46" s="43">
        <v>0.99292219999999998</v>
      </c>
      <c r="CI46" s="43">
        <v>0.99292219999999998</v>
      </c>
      <c r="CJ46" s="43">
        <v>0.99236670000000005</v>
      </c>
      <c r="CK46" s="43">
        <v>0.8546667</v>
      </c>
      <c r="CL46" s="43">
        <v>0.98933329999999997</v>
      </c>
      <c r="CM46" s="43">
        <v>1.0009999999999999</v>
      </c>
      <c r="CN46" s="43">
        <v>0.98736670000000004</v>
      </c>
      <c r="CO46" s="43">
        <v>0.998</v>
      </c>
      <c r="CP46" s="43">
        <v>0.88844970000000001</v>
      </c>
      <c r="CQ46" s="43">
        <v>0.99580000000000002</v>
      </c>
      <c r="CR46" s="43">
        <v>-1.211111E-3</v>
      </c>
      <c r="CS46" s="43">
        <v>47.8623596827318</v>
      </c>
      <c r="CT46" s="43">
        <v>62.866709999999998</v>
      </c>
      <c r="CU46" s="43">
        <v>24.531420000000001</v>
      </c>
      <c r="CV46" s="43">
        <v>27.636716172133301</v>
      </c>
      <c r="CW46" s="43">
        <v>1.0036670000000001</v>
      </c>
      <c r="CX46" s="43">
        <v>1.003333</v>
      </c>
      <c r="CY46" s="43">
        <v>1.0103329999999999</v>
      </c>
      <c r="CZ46" s="43">
        <v>1.0033333333333301</v>
      </c>
      <c r="DA46" s="43">
        <v>1.0069999999999999</v>
      </c>
      <c r="DB46" s="43">
        <v>1.4808432889000001</v>
      </c>
      <c r="DC46" s="43">
        <v>0.91200000000000003</v>
      </c>
      <c r="DD46" s="43">
        <v>0.86</v>
      </c>
      <c r="DE46" s="43">
        <v>0.97499999999999998</v>
      </c>
      <c r="DF46" s="43">
        <v>0.90800000000000003</v>
      </c>
      <c r="DG46" s="43">
        <v>0.85699999999999998</v>
      </c>
      <c r="DH46" s="43">
        <v>0.86699999999999999</v>
      </c>
      <c r="DI46" s="43">
        <v>0.84899999999999998</v>
      </c>
      <c r="DJ46" s="43">
        <v>0.69199999999999995</v>
      </c>
      <c r="DK46" s="43">
        <v>1.006667</v>
      </c>
      <c r="DL46" s="43">
        <v>1.002</v>
      </c>
      <c r="DM46" s="43">
        <v>1.017333</v>
      </c>
      <c r="DN46" s="43">
        <v>0.995</v>
      </c>
      <c r="DO46" s="43">
        <v>0.999</v>
      </c>
      <c r="DP46" s="43">
        <v>0.98133329999999996</v>
      </c>
      <c r="DQ46" s="43">
        <v>1.111667</v>
      </c>
      <c r="DR46" s="43">
        <v>0.99766670000000002</v>
      </c>
      <c r="DS46" s="43">
        <v>1.003333</v>
      </c>
      <c r="DT46" s="43">
        <v>0.97233333333333305</v>
      </c>
      <c r="DU46" s="43">
        <v>537.38559999999995</v>
      </c>
      <c r="DV46" s="43">
        <v>299.94069999999999</v>
      </c>
      <c r="DW46" s="43">
        <v>111.2989</v>
      </c>
      <c r="DX46" s="43">
        <v>0.97772219999999999</v>
      </c>
      <c r="DY46" s="43">
        <v>1.0036890000000001</v>
      </c>
      <c r="DZ46" s="43">
        <v>0.995</v>
      </c>
      <c r="EA46" s="43">
        <v>898.94240000000002</v>
      </c>
      <c r="EB46" s="43">
        <v>118.83580000000001</v>
      </c>
      <c r="EC46" s="43">
        <v>1.0009999999999999</v>
      </c>
      <c r="ED46" s="43">
        <v>0.998</v>
      </c>
      <c r="EE46" s="43">
        <v>1.003333</v>
      </c>
      <c r="EF46" s="43">
        <v>1.0103329999999999</v>
      </c>
      <c r="EG46" s="43">
        <v>1.0036670000000001</v>
      </c>
      <c r="EH46" s="43">
        <v>0.44344027831464999</v>
      </c>
      <c r="EI46" s="43">
        <v>0.183175122749591</v>
      </c>
      <c r="EJ46" s="43">
        <v>20.9825594046956</v>
      </c>
      <c r="EK46" s="43">
        <v>11.9063829787234</v>
      </c>
      <c r="EL46" s="43">
        <v>0.52441623557501005</v>
      </c>
      <c r="EM46" s="43">
        <v>1630.04485851664</v>
      </c>
      <c r="EN46" s="43">
        <v>405.86799883371901</v>
      </c>
      <c r="EO46" s="43">
        <v>60319.222616989697</v>
      </c>
      <c r="EP46" s="43">
        <v>40893.3267949484</v>
      </c>
      <c r="EQ46" s="43">
        <v>2909.03927051032</v>
      </c>
      <c r="ER46" s="43">
        <v>1.3030162415058399</v>
      </c>
      <c r="ES46" s="43">
        <v>1.3919377036502401</v>
      </c>
      <c r="ET46" s="43">
        <v>1.28482622823117</v>
      </c>
      <c r="EU46" s="43">
        <v>0.79674800000000001</v>
      </c>
      <c r="EV46" s="43">
        <v>1.0179670000000001</v>
      </c>
      <c r="EW46" s="43">
        <v>1.2716000000000001</v>
      </c>
      <c r="EX46" s="43">
        <v>0.79477830000000005</v>
      </c>
      <c r="EY46" s="43">
        <v>1.012758</v>
      </c>
      <c r="EZ46" s="43">
        <v>1.2652490000000001</v>
      </c>
      <c r="FA46" s="43">
        <v>6.0428441213662296</v>
      </c>
      <c r="FB46" s="43">
        <v>6.0024044140155404</v>
      </c>
      <c r="FC46" s="43">
        <v>25.8133043448499</v>
      </c>
      <c r="FD46" s="43">
        <v>8489.8860803425105</v>
      </c>
      <c r="FE46" s="43">
        <v>81465.39</v>
      </c>
      <c r="FF46" s="43">
        <v>1.0922499999999999</v>
      </c>
      <c r="FG46" s="43">
        <v>2.8606220000000002</v>
      </c>
      <c r="FH46" s="43">
        <v>624.43209999999999</v>
      </c>
      <c r="FI46" s="43">
        <v>12856.1</v>
      </c>
      <c r="FJ46" s="43">
        <v>6.2348369999999997</v>
      </c>
      <c r="FK46" s="43">
        <v>14.94562</v>
      </c>
      <c r="FL46" s="43">
        <v>1.06351</v>
      </c>
      <c r="FM46" s="43">
        <v>0.98730549999999995</v>
      </c>
    </row>
    <row r="47" spans="1:169" x14ac:dyDescent="0.25">
      <c r="A47" s="43" t="s">
        <v>274</v>
      </c>
      <c r="B47" s="43">
        <v>18782.240000000002</v>
      </c>
      <c r="C47" s="43">
        <v>12603.14</v>
      </c>
      <c r="D47" s="43">
        <v>2.369605</v>
      </c>
      <c r="E47" s="43">
        <v>0.1232967</v>
      </c>
      <c r="F47" s="43">
        <v>2.167033</v>
      </c>
      <c r="G47" s="43">
        <v>5.4351649999999996</v>
      </c>
      <c r="H47" s="43">
        <v>1.008345</v>
      </c>
      <c r="I47" s="43">
        <v>1.00264</v>
      </c>
      <c r="J47" s="43">
        <v>1.0084379999999999</v>
      </c>
      <c r="K47" s="43">
        <v>0.99282230000000005</v>
      </c>
      <c r="L47" s="43">
        <v>1.9473739999999999</v>
      </c>
      <c r="M47" s="43">
        <v>57.862310000000001</v>
      </c>
      <c r="N47" s="43">
        <v>61.719560439560397</v>
      </c>
      <c r="O47" s="43">
        <v>2.7478021978022</v>
      </c>
      <c r="P47" s="43">
        <v>1.1579999999999999</v>
      </c>
      <c r="Q47" s="43">
        <v>-491.75330000000002</v>
      </c>
      <c r="R47" s="43">
        <v>3.25</v>
      </c>
      <c r="S47" s="43">
        <v>2634.0169999999998</v>
      </c>
      <c r="T47" s="43">
        <v>0.02</v>
      </c>
      <c r="U47" s="43">
        <v>2.8875829999999998</v>
      </c>
      <c r="V47" s="43">
        <v>2280.547</v>
      </c>
      <c r="W47" s="43">
        <v>1.232</v>
      </c>
      <c r="X47" s="43">
        <v>13860.62</v>
      </c>
      <c r="Y47" s="43">
        <v>1.309086</v>
      </c>
      <c r="Z47" s="43">
        <v>0.77026629999999996</v>
      </c>
      <c r="AA47" s="43">
        <v>0.98131000000000002</v>
      </c>
      <c r="AB47" s="43">
        <v>1.01492</v>
      </c>
      <c r="AC47" s="43">
        <v>50.351210000000002</v>
      </c>
      <c r="AD47" s="43">
        <v>0.97302</v>
      </c>
      <c r="AE47" s="43">
        <v>0.97475000000000001</v>
      </c>
      <c r="AF47" s="43">
        <v>0.92017000000000004</v>
      </c>
      <c r="AG47" s="43">
        <v>321.74400000000003</v>
      </c>
      <c r="AH47" s="43">
        <v>124.2838</v>
      </c>
      <c r="AI47" s="43">
        <v>1.894352</v>
      </c>
      <c r="AJ47" s="43">
        <v>1.9143333333333299</v>
      </c>
      <c r="AK47" s="43">
        <v>18279.78</v>
      </c>
      <c r="AM47" s="43">
        <v>1.9520659340659301</v>
      </c>
      <c r="AN47" s="43">
        <v>1.13611</v>
      </c>
      <c r="AO47" s="43">
        <v>2.03484615384615</v>
      </c>
      <c r="AP47" s="43">
        <v>1.89638461538462</v>
      </c>
      <c r="AQ47" s="43">
        <v>2.6829450000000001</v>
      </c>
      <c r="AR47" s="43">
        <v>1.8726370000000001</v>
      </c>
      <c r="AS47" s="43">
        <v>1.616538</v>
      </c>
      <c r="AT47" s="43">
        <v>1.683527</v>
      </c>
      <c r="AU47" s="43">
        <v>2.0960220000000001</v>
      </c>
      <c r="AV47" s="43">
        <v>1931.0050000000001</v>
      </c>
      <c r="AW47" s="43">
        <v>1070.76</v>
      </c>
      <c r="AX47" s="43">
        <v>0.99817900000000004</v>
      </c>
      <c r="AY47" s="43">
        <v>1.2676810000000001</v>
      </c>
      <c r="AZ47" s="43">
        <v>193.94499999999999</v>
      </c>
      <c r="BA47" s="43">
        <v>0.81400720000000004</v>
      </c>
      <c r="BB47" s="43">
        <v>108.3</v>
      </c>
      <c r="BC47" s="43">
        <v>24.630880000000001</v>
      </c>
      <c r="BD47" s="43">
        <v>6.8659340000000002</v>
      </c>
      <c r="BE47" s="43">
        <v>0.93700000000000006</v>
      </c>
      <c r="BF47" s="43">
        <v>0.63178579999999995</v>
      </c>
      <c r="BG47" s="43">
        <v>1</v>
      </c>
      <c r="BH47" s="43">
        <v>1.6346149999999999</v>
      </c>
      <c r="BI47" s="43">
        <v>1.0609999999999999</v>
      </c>
      <c r="BJ47" s="43">
        <v>1.028</v>
      </c>
      <c r="BK47" s="43">
        <v>61.863100000000003</v>
      </c>
      <c r="BL47" s="43">
        <v>71.090350000000001</v>
      </c>
      <c r="BM47" s="43">
        <v>1.0123340000000001</v>
      </c>
      <c r="BN47" s="43">
        <v>1.202102</v>
      </c>
      <c r="BO47" s="43">
        <v>35.782719999999998</v>
      </c>
      <c r="BP47" s="43">
        <v>1.22863186813187</v>
      </c>
      <c r="BQ47" s="43">
        <v>1951.136</v>
      </c>
      <c r="BR47" s="43">
        <v>401.45165934345601</v>
      </c>
      <c r="BS47" s="43">
        <v>10495.64</v>
      </c>
      <c r="BT47" s="43">
        <v>5712.8980000000001</v>
      </c>
      <c r="BU47" s="43">
        <v>1.001352</v>
      </c>
      <c r="BV47" s="43">
        <v>1.00621</v>
      </c>
      <c r="BW47" s="43">
        <v>1.00867</v>
      </c>
      <c r="BX47" s="43">
        <v>1.107901</v>
      </c>
      <c r="BY47" s="43">
        <v>0.50159339999999997</v>
      </c>
      <c r="BZ47" s="43">
        <v>0.65464290000000003</v>
      </c>
      <c r="CA47" s="43">
        <v>0.65961539999999996</v>
      </c>
      <c r="CB47" s="43">
        <v>0.65331340000000004</v>
      </c>
      <c r="CC47" s="43">
        <v>8.4088930000000008</v>
      </c>
      <c r="CD47" s="43">
        <v>1.00267</v>
      </c>
      <c r="CE47" s="43">
        <v>0.99937370000000003</v>
      </c>
      <c r="CF47" s="43">
        <v>1.0007250000000001</v>
      </c>
      <c r="CG47" s="43">
        <v>0.94233330000000004</v>
      </c>
      <c r="CH47" s="43">
        <v>1.0055270000000001</v>
      </c>
      <c r="CI47" s="43">
        <v>0.99737359999999997</v>
      </c>
      <c r="CJ47" s="43">
        <v>1.0040990000000001</v>
      </c>
      <c r="CK47" s="43">
        <v>0.86599999999999999</v>
      </c>
      <c r="CL47" s="43">
        <v>1.0043329999999999</v>
      </c>
      <c r="CM47" s="43">
        <v>1.0049999999999999</v>
      </c>
      <c r="CN47" s="43">
        <v>1.0071669999999999</v>
      </c>
      <c r="CO47" s="43">
        <v>1.0109999999999999</v>
      </c>
      <c r="CP47" s="43">
        <v>0.90295579999999998</v>
      </c>
      <c r="CQ47" s="43">
        <v>0.99564830000000004</v>
      </c>
      <c r="CR47" s="43">
        <v>-4.5329670000000002E-2</v>
      </c>
      <c r="CS47" s="43">
        <v>55.755625327053899</v>
      </c>
      <c r="CT47" s="43">
        <v>52.855939999999997</v>
      </c>
      <c r="CU47" s="43">
        <v>24.79955</v>
      </c>
      <c r="CV47" s="43">
        <v>27.475448697252698</v>
      </c>
      <c r="CW47" s="43">
        <v>1.012</v>
      </c>
      <c r="CX47" s="43">
        <v>1.0156670000000001</v>
      </c>
      <c r="CY47" s="43">
        <v>1.0103329999999999</v>
      </c>
      <c r="CZ47" s="43">
        <v>1.006</v>
      </c>
      <c r="DA47" s="43">
        <v>1.00966666666667</v>
      </c>
      <c r="DB47" s="43">
        <v>1.580166143</v>
      </c>
      <c r="DC47" s="43">
        <v>0.91466666666666696</v>
      </c>
      <c r="DD47" s="43">
        <v>0.86799999999999999</v>
      </c>
      <c r="DE47" s="43">
        <v>0.98299999999999998</v>
      </c>
      <c r="DF47" s="43">
        <v>0.90700000000000003</v>
      </c>
      <c r="DG47" s="43">
        <v>0.85499999999999998</v>
      </c>
      <c r="DH47" s="43">
        <v>0.876</v>
      </c>
      <c r="DI47" s="43">
        <v>0.84699999999999998</v>
      </c>
      <c r="DJ47" s="43">
        <v>0.69599999999999995</v>
      </c>
      <c r="DK47" s="43">
        <v>0.98499999999999999</v>
      </c>
      <c r="DL47" s="43">
        <v>1.008</v>
      </c>
      <c r="DM47" s="43">
        <v>1.0043329999999999</v>
      </c>
      <c r="DN47" s="43">
        <v>1.00566666666667</v>
      </c>
      <c r="DO47" s="43">
        <v>0.996</v>
      </c>
      <c r="DP47" s="43">
        <v>1.0149999999999999</v>
      </c>
      <c r="DQ47" s="43">
        <v>0.95599999999999996</v>
      </c>
      <c r="DR47" s="43">
        <v>1.012667</v>
      </c>
      <c r="DS47" s="43">
        <v>1.0096670000000001</v>
      </c>
      <c r="DT47" s="43">
        <v>1.0133333333333301</v>
      </c>
      <c r="DU47" s="43">
        <v>538.25139999999999</v>
      </c>
      <c r="DV47" s="43">
        <v>300.28050000000002</v>
      </c>
      <c r="DW47" s="43">
        <v>110.3297</v>
      </c>
      <c r="DX47" s="43">
        <v>0.98502190000000001</v>
      </c>
      <c r="DY47" s="43">
        <v>1.006011</v>
      </c>
      <c r="DZ47" s="43">
        <v>1</v>
      </c>
      <c r="EA47" s="43">
        <v>937.37189999999998</v>
      </c>
      <c r="EB47" s="43">
        <v>121.1576</v>
      </c>
      <c r="EC47" s="43">
        <v>1.0049999999999999</v>
      </c>
      <c r="ED47" s="43">
        <v>1.0109999999999999</v>
      </c>
      <c r="EE47" s="43">
        <v>1.0156670000000001</v>
      </c>
      <c r="EF47" s="43">
        <v>1.0103329999999999</v>
      </c>
      <c r="EG47" s="43">
        <v>1.012</v>
      </c>
      <c r="EH47" s="43">
        <v>0.44550057982218799</v>
      </c>
      <c r="EI47" s="43">
        <v>0.184026186579378</v>
      </c>
      <c r="EJ47" s="43">
        <v>21.080048065260701</v>
      </c>
      <c r="EK47" s="43">
        <v>11.961702127659599</v>
      </c>
      <c r="EL47" s="43">
        <v>0.52685276561878303</v>
      </c>
      <c r="EM47" s="43">
        <v>1587.8772581215801</v>
      </c>
      <c r="EN47" s="43">
        <v>395.368607054074</v>
      </c>
      <c r="EO47" s="43">
        <v>58758.825759096901</v>
      </c>
      <c r="EP47" s="43">
        <v>39835.4580779592</v>
      </c>
      <c r="EQ47" s="43">
        <v>2833.7853872496798</v>
      </c>
      <c r="ER47" s="43">
        <v>1.31173321308955</v>
      </c>
      <c r="ES47" s="43">
        <v>1.40124954568453</v>
      </c>
      <c r="ET47" s="43">
        <v>1.29342151151678</v>
      </c>
      <c r="EU47" s="43">
        <v>0.81154919999999997</v>
      </c>
      <c r="EV47" s="43">
        <v>1.052567</v>
      </c>
      <c r="EW47" s="43">
        <v>1.2735000000000001</v>
      </c>
      <c r="EX47" s="43">
        <v>0.81515409999999999</v>
      </c>
      <c r="EY47" s="43">
        <v>1.060945</v>
      </c>
      <c r="EZ47" s="43">
        <v>1.276162</v>
      </c>
      <c r="FA47" s="43">
        <v>6.1565301655975704</v>
      </c>
      <c r="FB47" s="43">
        <v>6.1166666832385603</v>
      </c>
      <c r="FC47" s="43">
        <v>26.475083926681101</v>
      </c>
      <c r="FD47" s="43">
        <v>8893.8336323086405</v>
      </c>
      <c r="FE47" s="43">
        <v>82168</v>
      </c>
      <c r="FF47" s="43">
        <v>1.0802499999999999</v>
      </c>
      <c r="FG47" s="43">
        <v>3.0672280000000001</v>
      </c>
      <c r="FH47" s="43">
        <v>618.11850000000004</v>
      </c>
      <c r="FI47" s="43">
        <v>13153.54</v>
      </c>
      <c r="FJ47" s="43">
        <v>6.203144</v>
      </c>
      <c r="FK47" s="43">
        <v>15.298539999999999</v>
      </c>
      <c r="FL47" s="43">
        <v>1.067439</v>
      </c>
      <c r="FM47" s="43">
        <v>0.99302800000000002</v>
      </c>
    </row>
    <row r="48" spans="1:169" x14ac:dyDescent="0.25">
      <c r="A48" s="43" t="s">
        <v>275</v>
      </c>
      <c r="B48" s="43">
        <v>18857.419999999998</v>
      </c>
      <c r="C48" s="43">
        <v>12691.6</v>
      </c>
      <c r="D48" s="43">
        <v>2.3785889999999998</v>
      </c>
      <c r="E48" s="43">
        <v>0.13663040000000001</v>
      </c>
      <c r="F48" s="43">
        <v>2.2205430000000002</v>
      </c>
      <c r="G48" s="43">
        <v>5.1010869999999997</v>
      </c>
      <c r="H48" s="43">
        <v>1.0090269999999999</v>
      </c>
      <c r="I48" s="43">
        <v>1.004605</v>
      </c>
      <c r="J48" s="43">
        <v>1.006421</v>
      </c>
      <c r="K48" s="43">
        <v>0.99909230000000004</v>
      </c>
      <c r="L48" s="43">
        <v>1.947533</v>
      </c>
      <c r="M48" s="43">
        <v>46.426850000000002</v>
      </c>
      <c r="N48" s="43">
        <v>50.261739130434798</v>
      </c>
      <c r="O48" s="43">
        <v>2.7577173913043498</v>
      </c>
      <c r="P48" s="43">
        <v>1.1666669999999999</v>
      </c>
      <c r="Q48" s="43">
        <v>-507.04880000000003</v>
      </c>
      <c r="R48" s="43">
        <v>3.25</v>
      </c>
      <c r="S48" s="43">
        <v>2661.4879999999998</v>
      </c>
      <c r="T48" s="43">
        <v>4.0217389999999999E-2</v>
      </c>
      <c r="U48" s="43">
        <v>2.9601090000000001</v>
      </c>
      <c r="V48" s="43">
        <v>2226.5320000000002</v>
      </c>
      <c r="W48" s="43">
        <v>1.24</v>
      </c>
      <c r="X48" s="43">
        <v>13937.53</v>
      </c>
      <c r="Y48" s="43">
        <v>1.3088869999999999</v>
      </c>
      <c r="Z48" s="43">
        <v>0.77090510000000001</v>
      </c>
      <c r="AA48" s="43">
        <v>0.98492999999999997</v>
      </c>
      <c r="AB48" s="43">
        <v>1.0150699999999999</v>
      </c>
      <c r="AC48" s="43">
        <v>48.815539999999999</v>
      </c>
      <c r="AD48" s="43">
        <v>0.97536</v>
      </c>
      <c r="AE48" s="43">
        <v>0.97802999999999995</v>
      </c>
      <c r="AF48" s="43">
        <v>0.92832000000000003</v>
      </c>
      <c r="AG48" s="43">
        <v>322.42500000000001</v>
      </c>
      <c r="AH48" s="43">
        <v>124.7809</v>
      </c>
      <c r="AI48" s="43">
        <v>1.881902</v>
      </c>
      <c r="AJ48" s="43">
        <v>1.89933333333333</v>
      </c>
      <c r="AK48" s="43">
        <v>18401.63</v>
      </c>
      <c r="AM48" s="43">
        <v>1.9352065217391301</v>
      </c>
      <c r="AN48" s="43">
        <v>1.145022</v>
      </c>
      <c r="AO48" s="43">
        <v>2.0519891304347802</v>
      </c>
      <c r="AP48" s="43">
        <v>1.79835869565217</v>
      </c>
      <c r="AQ48" s="43">
        <v>2.6757070000000001</v>
      </c>
      <c r="AR48" s="43">
        <v>1.867696</v>
      </c>
      <c r="AS48" s="43">
        <v>1.591826</v>
      </c>
      <c r="AT48" s="43">
        <v>1.655456</v>
      </c>
      <c r="AU48" s="43">
        <v>2.0959889999999999</v>
      </c>
      <c r="AV48" s="43">
        <v>1937.835</v>
      </c>
      <c r="AW48" s="43">
        <v>1078.7529999999999</v>
      </c>
      <c r="AX48" s="43">
        <v>1.015328</v>
      </c>
      <c r="AY48" s="43">
        <v>1.272348</v>
      </c>
      <c r="AZ48" s="43">
        <v>208.785</v>
      </c>
      <c r="BA48" s="43">
        <v>0.77077560000000001</v>
      </c>
      <c r="BB48" s="43">
        <v>108.2</v>
      </c>
      <c r="BC48" s="43">
        <v>24.392610000000001</v>
      </c>
      <c r="BD48" s="43">
        <v>6.9989129999999999</v>
      </c>
      <c r="BE48" s="43">
        <v>0.94499999999999995</v>
      </c>
      <c r="BF48" s="43">
        <v>0.40943479999999999</v>
      </c>
      <c r="BG48" s="43">
        <v>0.75</v>
      </c>
      <c r="BH48" s="43">
        <v>1.5830439999999999</v>
      </c>
      <c r="BI48" s="43">
        <v>1.0569999999999999</v>
      </c>
      <c r="BJ48" s="43">
        <v>1.0329999999999999</v>
      </c>
      <c r="BK48" s="43">
        <v>63.346330000000002</v>
      </c>
      <c r="BL48" s="43">
        <v>60.245750000000001</v>
      </c>
      <c r="BM48" s="43">
        <v>1.012942</v>
      </c>
      <c r="BN48" s="43">
        <v>1.209938</v>
      </c>
      <c r="BO48" s="43">
        <v>35.873869999999997</v>
      </c>
      <c r="BP48" s="43">
        <v>1.2976671739130401</v>
      </c>
      <c r="BQ48" s="43">
        <v>1967.96</v>
      </c>
      <c r="BR48" s="43">
        <v>402.940302617572</v>
      </c>
      <c r="BS48" s="43">
        <v>10535.51</v>
      </c>
      <c r="BT48" s="43">
        <v>5740.4560000000001</v>
      </c>
      <c r="BU48" s="43">
        <v>1.003674</v>
      </c>
      <c r="BV48" s="43">
        <v>1.001819</v>
      </c>
      <c r="BW48" s="43">
        <v>0.99972819999999996</v>
      </c>
      <c r="BX48" s="43">
        <v>1.1073249999999999</v>
      </c>
      <c r="BY48" s="43">
        <v>0.69358690000000001</v>
      </c>
      <c r="BZ48" s="43">
        <v>1.071304</v>
      </c>
      <c r="CA48" s="43">
        <v>0.72032609999999997</v>
      </c>
      <c r="CB48" s="43">
        <v>0.64568049999999999</v>
      </c>
      <c r="CC48" s="43">
        <v>8.4737189999999991</v>
      </c>
      <c r="CD48" s="43">
        <v>1.0010760000000001</v>
      </c>
      <c r="CE48" s="43">
        <v>1.0018800000000001</v>
      </c>
      <c r="CF48" s="43">
        <v>0.99801090000000003</v>
      </c>
      <c r="CG48" s="43">
        <v>0.92866669999999996</v>
      </c>
      <c r="CH48" s="43">
        <v>1.003185</v>
      </c>
      <c r="CI48" s="43">
        <v>1.0029349999999999</v>
      </c>
      <c r="CJ48" s="43">
        <v>0.98750000000000004</v>
      </c>
      <c r="CK48" s="43">
        <v>0.91266670000000005</v>
      </c>
      <c r="CL48" s="43">
        <v>1.007333</v>
      </c>
      <c r="CM48" s="43">
        <v>1</v>
      </c>
      <c r="CN48" s="43">
        <v>1.0032000000000001</v>
      </c>
      <c r="CO48" s="43">
        <v>1.0049999999999999</v>
      </c>
      <c r="CP48" s="43">
        <v>0.90317429999999999</v>
      </c>
      <c r="CQ48" s="43">
        <v>1.0033479999999999</v>
      </c>
      <c r="CR48" s="43">
        <v>-7.4999999999999997E-2</v>
      </c>
      <c r="CS48" s="43">
        <v>45.440407961603597</v>
      </c>
      <c r="CT48" s="43">
        <v>63.169939999999997</v>
      </c>
      <c r="CU48" s="43">
        <v>24.355619999999998</v>
      </c>
      <c r="CV48" s="43">
        <v>26.969596570912302</v>
      </c>
      <c r="CW48" s="43">
        <v>1.0003329999999999</v>
      </c>
      <c r="CX48" s="43">
        <v>1.0009999999999999</v>
      </c>
      <c r="CY48" s="43">
        <v>0.99299999999999999</v>
      </c>
      <c r="CZ48" s="43">
        <v>0.99966666666666704</v>
      </c>
      <c r="DA48" s="43">
        <v>0.996</v>
      </c>
      <c r="DB48" s="43">
        <v>1.6027118215</v>
      </c>
      <c r="DC48" s="43">
        <v>0.90466666666666695</v>
      </c>
      <c r="DD48" s="43">
        <v>0.872</v>
      </c>
      <c r="DE48" s="43">
        <v>0.97599999999999998</v>
      </c>
      <c r="DF48" s="43">
        <v>0.90900000000000003</v>
      </c>
      <c r="DG48" s="43">
        <v>0.85</v>
      </c>
      <c r="DH48" s="43">
        <v>0.88300000000000001</v>
      </c>
      <c r="DI48" s="43">
        <v>0.84399999999999997</v>
      </c>
      <c r="DJ48" s="43">
        <v>0.70399999999999996</v>
      </c>
      <c r="DK48" s="43">
        <v>1.0096670000000001</v>
      </c>
      <c r="DL48" s="43">
        <v>1.006</v>
      </c>
      <c r="DM48" s="43">
        <v>0.99766670000000002</v>
      </c>
      <c r="DN48" s="43">
        <v>1.0073333333333301</v>
      </c>
      <c r="DO48" s="43">
        <v>1.022667</v>
      </c>
      <c r="DP48" s="43">
        <v>1.0169999999999999</v>
      </c>
      <c r="DQ48" s="43">
        <v>0.89666659999999998</v>
      </c>
      <c r="DR48" s="43">
        <v>1.008667</v>
      </c>
      <c r="DS48" s="43">
        <v>1.021333</v>
      </c>
      <c r="DT48" s="43">
        <v>1.01633333333333</v>
      </c>
      <c r="DU48" s="43">
        <v>538.83810000000005</v>
      </c>
      <c r="DV48" s="43">
        <v>301.13619999999997</v>
      </c>
      <c r="DW48" s="43">
        <v>110.35760000000001</v>
      </c>
      <c r="DX48" s="43">
        <v>0.98398909999999995</v>
      </c>
      <c r="DY48" s="43">
        <v>0.99605440000000001</v>
      </c>
      <c r="DZ48" s="43">
        <v>1.002</v>
      </c>
      <c r="EA48" s="43">
        <v>912.053</v>
      </c>
      <c r="EB48" s="43">
        <v>122.2384</v>
      </c>
      <c r="EC48" s="43">
        <v>1</v>
      </c>
      <c r="ED48" s="43">
        <v>1.0049999999999999</v>
      </c>
      <c r="EE48" s="43">
        <v>1.0009999999999999</v>
      </c>
      <c r="EF48" s="43">
        <v>0.99299999999999999</v>
      </c>
      <c r="EG48" s="43">
        <v>1.0003329999999999</v>
      </c>
      <c r="EH48" s="43">
        <v>0.449304213374565</v>
      </c>
      <c r="EI48" s="43">
        <v>0.185597381342062</v>
      </c>
      <c r="EJ48" s="43">
        <v>21.260027130919202</v>
      </c>
      <c r="EK48" s="43">
        <v>12.0638297872341</v>
      </c>
      <c r="EL48" s="43">
        <v>0.53135097493036298</v>
      </c>
      <c r="EM48" s="43">
        <v>1539.4484699145801</v>
      </c>
      <c r="EN48" s="43">
        <v>383.31023010032197</v>
      </c>
      <c r="EO48" s="43">
        <v>56966.735902387198</v>
      </c>
      <c r="EP48" s="43">
        <v>38620.513438807</v>
      </c>
      <c r="EQ48" s="43">
        <v>2747.35755308222</v>
      </c>
      <c r="ER48" s="43">
        <v>1.3001047755977999</v>
      </c>
      <c r="ES48" s="43">
        <v>1.3888275511892001</v>
      </c>
      <c r="ET48" s="43">
        <v>1.28195540617838</v>
      </c>
      <c r="EU48" s="43">
        <v>0.83344149999999995</v>
      </c>
      <c r="EV48" s="43">
        <v>1.0024329999999999</v>
      </c>
      <c r="EW48" s="43">
        <v>1.2770999999999999</v>
      </c>
      <c r="EX48" s="43">
        <v>0.83698280000000003</v>
      </c>
      <c r="EY48" s="43">
        <v>1.0013840000000001</v>
      </c>
      <c r="EZ48" s="43">
        <v>1.2813399999999999</v>
      </c>
      <c r="FA48" s="43">
        <v>6.3246818703318297</v>
      </c>
      <c r="FB48" s="43">
        <v>6.2746738765424803</v>
      </c>
      <c r="FC48" s="43">
        <v>27.1840491508543</v>
      </c>
      <c r="FD48" s="43">
        <v>8394.5368652946199</v>
      </c>
      <c r="FE48" s="43">
        <v>82501.42</v>
      </c>
      <c r="FF48" s="43">
        <v>1.071</v>
      </c>
      <c r="FG48" s="43">
        <v>3.428823</v>
      </c>
      <c r="FH48" s="43">
        <v>675.36019999999996</v>
      </c>
      <c r="FI48" s="43">
        <v>13896.01</v>
      </c>
      <c r="FJ48" s="43">
        <v>6.2638920000000002</v>
      </c>
      <c r="FK48" s="43">
        <v>16.207619999999999</v>
      </c>
      <c r="FL48" s="43">
        <v>1.0886309999999999</v>
      </c>
      <c r="FM48" s="43">
        <v>1.0266249999999999</v>
      </c>
    </row>
    <row r="49" spans="1:169" x14ac:dyDescent="0.25">
      <c r="A49" s="43" t="s">
        <v>276</v>
      </c>
      <c r="B49" s="43">
        <v>18892.21</v>
      </c>
      <c r="C49" s="43">
        <v>12743.47</v>
      </c>
      <c r="D49" s="43">
        <v>2.3783500000000002</v>
      </c>
      <c r="E49" s="43">
        <v>0.16043479999999999</v>
      </c>
      <c r="F49" s="43">
        <v>2.1892390000000002</v>
      </c>
      <c r="G49" s="43">
        <v>5.0326089999999999</v>
      </c>
      <c r="H49" s="43">
        <v>0.99522339999999998</v>
      </c>
      <c r="I49" s="43">
        <v>0.99773149999999999</v>
      </c>
      <c r="J49" s="43">
        <v>0.99096359999999994</v>
      </c>
      <c r="K49" s="43">
        <v>1.0019549999999999</v>
      </c>
      <c r="L49" s="43">
        <v>1.920946</v>
      </c>
      <c r="M49" s="43">
        <v>41.944679999999998</v>
      </c>
      <c r="N49" s="43">
        <v>43.562391304347798</v>
      </c>
      <c r="O49" s="43">
        <v>2.1203260869565201</v>
      </c>
      <c r="P49" s="43">
        <v>1.1253329999999999</v>
      </c>
      <c r="Q49" s="43">
        <v>-494.63369999999998</v>
      </c>
      <c r="R49" s="43">
        <v>3.290435</v>
      </c>
      <c r="S49" s="43">
        <v>2671.66</v>
      </c>
      <c r="T49" s="43">
        <v>0.1233696</v>
      </c>
      <c r="U49" s="43">
        <v>2.969239</v>
      </c>
      <c r="V49" s="43">
        <v>2113.7269999999999</v>
      </c>
      <c r="W49" s="43">
        <v>1.246</v>
      </c>
      <c r="X49" s="43">
        <v>14017.09</v>
      </c>
      <c r="Y49" s="43">
        <v>1.3082830000000001</v>
      </c>
      <c r="Z49" s="43">
        <v>0.76070879999999996</v>
      </c>
      <c r="AA49" s="43">
        <v>0.97943000000000002</v>
      </c>
      <c r="AB49" s="43">
        <v>1.0078199999999999</v>
      </c>
      <c r="AC49" s="43">
        <v>38.64076</v>
      </c>
      <c r="AD49" s="43">
        <v>0.97526999999999997</v>
      </c>
      <c r="AE49" s="43">
        <v>0.97648000000000001</v>
      </c>
      <c r="AF49" s="43">
        <v>0.93410000000000004</v>
      </c>
      <c r="AG49" s="43">
        <v>323.11059999999998</v>
      </c>
      <c r="AH49" s="43">
        <v>125.2176</v>
      </c>
      <c r="AI49" s="43">
        <v>1.83962</v>
      </c>
      <c r="AJ49" s="43">
        <v>1.8416666666666699</v>
      </c>
      <c r="AK49" s="43">
        <v>18435.14</v>
      </c>
      <c r="AM49" s="43">
        <v>1.90928260869565</v>
      </c>
      <c r="AN49" s="43">
        <v>0.97579349999999998</v>
      </c>
      <c r="AO49" s="43">
        <v>2.0340434782608701</v>
      </c>
      <c r="AP49" s="43">
        <v>1.55375</v>
      </c>
      <c r="AQ49" s="43">
        <v>2.62</v>
      </c>
      <c r="AR49" s="43">
        <v>1.8520110000000001</v>
      </c>
      <c r="AS49" s="43">
        <v>1.4961519999999999</v>
      </c>
      <c r="AT49" s="43">
        <v>1.4789460000000001</v>
      </c>
      <c r="AU49" s="43">
        <v>2.0779239999999999</v>
      </c>
      <c r="AV49" s="43">
        <v>1939.2860000000001</v>
      </c>
      <c r="AW49" s="43">
        <v>1086.3409999999999</v>
      </c>
      <c r="AX49" s="43">
        <v>1.005674</v>
      </c>
      <c r="AY49" s="43">
        <v>1.269315</v>
      </c>
      <c r="AZ49" s="43">
        <v>198.387</v>
      </c>
      <c r="BA49" s="43">
        <v>0.74902729999999995</v>
      </c>
      <c r="BB49" s="43">
        <v>107.8</v>
      </c>
      <c r="BC49" s="43">
        <v>24.86478</v>
      </c>
      <c r="BD49" s="43">
        <v>7.1</v>
      </c>
      <c r="BE49" s="43">
        <v>0.93433330000000003</v>
      </c>
      <c r="BF49" s="43">
        <v>0.44659779999999999</v>
      </c>
      <c r="BG49" s="43">
        <v>0.75</v>
      </c>
      <c r="BH49" s="43">
        <v>1.6476740000000001</v>
      </c>
      <c r="BI49" s="43">
        <v>1.056</v>
      </c>
      <c r="BJ49" s="43">
        <v>1.0269999999999999</v>
      </c>
      <c r="BK49" s="43">
        <v>51.606459999999998</v>
      </c>
      <c r="BL49" s="43">
        <v>56.021529999999998</v>
      </c>
      <c r="BM49" s="43">
        <v>1.0170570000000001</v>
      </c>
      <c r="BN49" s="43">
        <v>1.196885</v>
      </c>
      <c r="BO49" s="43">
        <v>35.973460000000003</v>
      </c>
      <c r="BP49" s="43">
        <v>1.3355445690470999</v>
      </c>
      <c r="BQ49" s="43">
        <v>1968.2360000000001</v>
      </c>
      <c r="BR49" s="43">
        <v>397.20553075212098</v>
      </c>
      <c r="BS49" s="43">
        <v>10584.26</v>
      </c>
      <c r="BT49" s="43">
        <v>5757.0280000000002</v>
      </c>
      <c r="BU49" s="43">
        <v>1.002022</v>
      </c>
      <c r="BV49" s="43">
        <v>1.0016499999999999</v>
      </c>
      <c r="BW49" s="43">
        <v>0.98930439999999997</v>
      </c>
      <c r="BX49" s="43">
        <v>1.0947659999999999</v>
      </c>
      <c r="BY49" s="43">
        <v>0.56786950000000003</v>
      </c>
      <c r="BZ49" s="43">
        <v>0.84258699999999997</v>
      </c>
      <c r="CA49" s="43">
        <v>0.79472830000000005</v>
      </c>
      <c r="CB49" s="43">
        <v>0.65919810000000001</v>
      </c>
      <c r="CC49" s="43">
        <v>8.5094569999999994</v>
      </c>
      <c r="CD49" s="43">
        <v>0.99572819999999995</v>
      </c>
      <c r="CE49" s="43">
        <v>1.0014130000000001</v>
      </c>
      <c r="CF49" s="43">
        <v>0.99690219999999996</v>
      </c>
      <c r="CG49" s="43">
        <v>0.97399999999999998</v>
      </c>
      <c r="CH49" s="43">
        <v>0.98994570000000004</v>
      </c>
      <c r="CI49" s="43">
        <v>1.0070539999999999</v>
      </c>
      <c r="CJ49" s="43">
        <v>1.0021409999999999</v>
      </c>
      <c r="CK49" s="43">
        <v>0.94466669999999997</v>
      </c>
      <c r="CL49" s="43">
        <v>0.99866659999999996</v>
      </c>
      <c r="CM49" s="43">
        <v>0.99400010000000005</v>
      </c>
      <c r="CN49" s="43">
        <v>1.002267</v>
      </c>
      <c r="CO49" s="43">
        <v>0.98499999999999999</v>
      </c>
      <c r="CP49" s="43">
        <v>0.91373260000000001</v>
      </c>
      <c r="CQ49" s="43">
        <v>1.0049889999999999</v>
      </c>
      <c r="CR49" s="43">
        <v>-0.12668479999999999</v>
      </c>
      <c r="CS49" s="43">
        <v>39.812027349789098</v>
      </c>
      <c r="CT49" s="43">
        <v>65.986429999999999</v>
      </c>
      <c r="CU49" s="43">
        <v>24.735579999999999</v>
      </c>
      <c r="CV49" s="43">
        <v>27.079669938909099</v>
      </c>
      <c r="CW49" s="43">
        <v>0.98433329999999997</v>
      </c>
      <c r="CX49" s="43">
        <v>0.9796667</v>
      </c>
      <c r="CY49" s="43">
        <v>0.98666670000000001</v>
      </c>
      <c r="CZ49" s="43">
        <v>0.99033333333333295</v>
      </c>
      <c r="DA49" s="43">
        <v>0.98666666666666702</v>
      </c>
      <c r="DB49" s="43">
        <v>1.6049148296</v>
      </c>
      <c r="DC49" s="43">
        <v>0.90233333333333299</v>
      </c>
      <c r="DD49" s="43">
        <v>0.878</v>
      </c>
      <c r="DE49" s="43">
        <v>0.97099999999999997</v>
      </c>
      <c r="DF49" s="43">
        <v>0.91200000000000003</v>
      </c>
      <c r="DG49" s="43">
        <v>0.84899999999999998</v>
      </c>
      <c r="DH49" s="43">
        <v>0.89400000000000002</v>
      </c>
      <c r="DI49" s="43">
        <v>0.873</v>
      </c>
      <c r="DJ49" s="43">
        <v>0.71499999999999997</v>
      </c>
      <c r="DK49" s="43">
        <v>0.99866659999999996</v>
      </c>
      <c r="DL49" s="43">
        <v>0.9836667</v>
      </c>
      <c r="DM49" s="43">
        <v>0.98099999999999998</v>
      </c>
      <c r="DN49" s="43">
        <v>0.99166666666666703</v>
      </c>
      <c r="DO49" s="43">
        <v>0.98299999999999998</v>
      </c>
      <c r="DP49" s="43">
        <v>0.98666670000000001</v>
      </c>
      <c r="DQ49" s="43">
        <v>1.036</v>
      </c>
      <c r="DR49" s="43">
        <v>0.98133329999999996</v>
      </c>
      <c r="DS49" s="43">
        <v>0.96533329999999995</v>
      </c>
      <c r="DT49" s="43">
        <v>0.99766666666666703</v>
      </c>
      <c r="DU49" s="43">
        <v>537.89819999999997</v>
      </c>
      <c r="DV49" s="43">
        <v>299.09269999999998</v>
      </c>
      <c r="DW49" s="43">
        <v>110.1978</v>
      </c>
      <c r="DX49" s="43">
        <v>0.98234779999999999</v>
      </c>
      <c r="DY49" s="43">
        <v>0.98265219999999998</v>
      </c>
      <c r="DZ49" s="43">
        <v>1.0029999999999999</v>
      </c>
      <c r="EA49" s="43">
        <v>887.75329999999997</v>
      </c>
      <c r="EB49" s="43">
        <v>121.4644</v>
      </c>
      <c r="EC49" s="43">
        <v>0.99400010000000005</v>
      </c>
      <c r="ED49" s="43">
        <v>0.98499999999999999</v>
      </c>
      <c r="EE49" s="43">
        <v>0.9796667</v>
      </c>
      <c r="EF49" s="43">
        <v>0.98666670000000001</v>
      </c>
      <c r="EG49" s="43">
        <v>0.98433329999999997</v>
      </c>
      <c r="EH49" s="43">
        <v>0.44423270197139603</v>
      </c>
      <c r="EI49" s="43">
        <v>0.183502454991817</v>
      </c>
      <c r="EJ49" s="43">
        <v>21.020055043374501</v>
      </c>
      <c r="EK49" s="43">
        <v>11.9276595744681</v>
      </c>
      <c r="EL49" s="43">
        <v>0.52535336251492304</v>
      </c>
      <c r="EM49" s="43">
        <v>1218.5762148377601</v>
      </c>
      <c r="EN49" s="43">
        <v>303.41563126835899</v>
      </c>
      <c r="EO49" s="43">
        <v>45092.973726782402</v>
      </c>
      <c r="EP49" s="43">
        <v>30570.714123327401</v>
      </c>
      <c r="EQ49" s="43">
        <v>2174.7168763801701</v>
      </c>
      <c r="ER49" s="43">
        <v>1.28654905899415</v>
      </c>
      <c r="ES49" s="43">
        <v>1.3743467546806201</v>
      </c>
      <c r="ET49" s="43">
        <v>1.26858892640626</v>
      </c>
      <c r="EU49" s="43">
        <v>0.86418689999999998</v>
      </c>
      <c r="EV49" s="43">
        <v>0.97230000000000005</v>
      </c>
      <c r="EW49" s="43">
        <v>1.2806999999999999</v>
      </c>
      <c r="EX49" s="43">
        <v>0.85847929999999995</v>
      </c>
      <c r="EY49" s="43">
        <v>0.9690704</v>
      </c>
      <c r="EZ49" s="43">
        <v>1.2805530000000001</v>
      </c>
      <c r="FA49" s="43">
        <v>6.5608342333243703</v>
      </c>
      <c r="FB49" s="43">
        <v>6.5010300945300497</v>
      </c>
      <c r="FC49" s="43">
        <v>27.882227380627899</v>
      </c>
      <c r="FD49" s="43">
        <v>8123.6564338230701</v>
      </c>
      <c r="FE49" s="43">
        <v>82450.73</v>
      </c>
      <c r="FF49" s="43">
        <v>1.0645</v>
      </c>
      <c r="FG49" s="43">
        <v>3.8542480000000001</v>
      </c>
      <c r="FH49" s="43">
        <v>698.39469999999994</v>
      </c>
      <c r="FI49" s="43">
        <v>13862.29</v>
      </c>
      <c r="FJ49" s="43">
        <v>6.3961220000000001</v>
      </c>
      <c r="FK49" s="43">
        <v>16.767140000000001</v>
      </c>
      <c r="FL49" s="43">
        <v>1.104895</v>
      </c>
      <c r="FM49" s="43">
        <v>1.040516</v>
      </c>
    </row>
    <row r="50" spans="1:169" x14ac:dyDescent="0.25">
      <c r="A50" s="43" t="s">
        <v>277</v>
      </c>
      <c r="B50" s="43">
        <v>19001.689999999999</v>
      </c>
      <c r="C50" s="43">
        <v>12838.62</v>
      </c>
      <c r="D50" s="43">
        <v>2.3769710000000002</v>
      </c>
      <c r="E50" s="43">
        <v>0.3595604</v>
      </c>
      <c r="F50" s="43">
        <v>1.9230769999999999</v>
      </c>
      <c r="G50" s="43">
        <v>4.9000000000000004</v>
      </c>
      <c r="H50" s="43">
        <v>0.98852039999999997</v>
      </c>
      <c r="I50" s="43">
        <v>0.99636519999999995</v>
      </c>
      <c r="J50" s="43">
        <v>0.98367510000000002</v>
      </c>
      <c r="K50" s="43">
        <v>1.0079340000000001</v>
      </c>
      <c r="L50" s="43">
        <v>1.9001319999999999</v>
      </c>
      <c r="M50" s="43">
        <v>33.246270000000003</v>
      </c>
      <c r="N50" s="43">
        <v>33.729999999999997</v>
      </c>
      <c r="O50" s="43">
        <v>2.0002197802197799</v>
      </c>
      <c r="P50" s="43">
        <v>1.1426670000000001</v>
      </c>
      <c r="Q50" s="43">
        <v>-500.00479999999999</v>
      </c>
      <c r="R50" s="43">
        <v>3.5</v>
      </c>
      <c r="S50" s="43">
        <v>2696.4209999999998</v>
      </c>
      <c r="T50" s="43">
        <v>0.28615390000000002</v>
      </c>
      <c r="U50" s="43">
        <v>2.7281589999999998</v>
      </c>
      <c r="V50" s="43">
        <v>2207.9470000000001</v>
      </c>
      <c r="W50" s="43">
        <v>1.2529999999999999</v>
      </c>
      <c r="X50" s="43">
        <v>14130.5</v>
      </c>
      <c r="Y50" s="43">
        <v>1.3081389999999999</v>
      </c>
      <c r="Z50" s="43">
        <v>0.75566979999999995</v>
      </c>
      <c r="AA50" s="43">
        <v>0.98202</v>
      </c>
      <c r="AB50" s="43">
        <v>1.0146200000000001</v>
      </c>
      <c r="AC50" s="43">
        <v>29.10472</v>
      </c>
      <c r="AD50" s="43">
        <v>0.97467999999999999</v>
      </c>
      <c r="AE50" s="43">
        <v>0.97136999999999996</v>
      </c>
      <c r="AF50" s="43">
        <v>0.93799999999999994</v>
      </c>
      <c r="AG50" s="43">
        <v>323.6891</v>
      </c>
      <c r="AH50" s="43">
        <v>125.5933</v>
      </c>
      <c r="AI50" s="43">
        <v>1.7954730000000001</v>
      </c>
      <c r="AJ50" s="43">
        <v>1.80233333333333</v>
      </c>
      <c r="AK50" s="43">
        <v>18525.93</v>
      </c>
      <c r="AM50" s="43">
        <v>1.8543736263736299</v>
      </c>
      <c r="AN50" s="43">
        <v>0.86445059999999996</v>
      </c>
      <c r="AO50" s="43">
        <v>1.99321978021978</v>
      </c>
      <c r="AP50" s="43">
        <v>1.25938461538462</v>
      </c>
      <c r="AQ50" s="43">
        <v>2.6127690000000001</v>
      </c>
      <c r="AR50" s="43">
        <v>1.842681</v>
      </c>
      <c r="AS50" s="43">
        <v>1.3936809999999999</v>
      </c>
      <c r="AT50" s="43">
        <v>1.3386370000000001</v>
      </c>
      <c r="AU50" s="43">
        <v>2.0761210000000001</v>
      </c>
      <c r="AV50" s="43">
        <v>1949.923</v>
      </c>
      <c r="AW50" s="43">
        <v>1086.9849999999999</v>
      </c>
      <c r="AX50" s="43">
        <v>1.0060880000000001</v>
      </c>
      <c r="AY50" s="43">
        <v>1.2727029999999999</v>
      </c>
      <c r="AZ50" s="43">
        <v>196.792</v>
      </c>
      <c r="BA50" s="43">
        <v>0.72799720000000001</v>
      </c>
      <c r="BB50" s="43">
        <v>105.6</v>
      </c>
      <c r="BC50" s="43">
        <v>24.863959999999999</v>
      </c>
      <c r="BD50" s="43">
        <v>7.2659339999999997</v>
      </c>
      <c r="BE50" s="43">
        <v>0.92800000000000005</v>
      </c>
      <c r="BF50" s="43">
        <v>0.45084619999999997</v>
      </c>
      <c r="BG50" s="43">
        <v>0.75</v>
      </c>
      <c r="BH50" s="43">
        <v>1.3507359999999999</v>
      </c>
      <c r="BI50" s="43">
        <v>1.0609999999999999</v>
      </c>
      <c r="BJ50" s="43">
        <v>1.0249999999999999</v>
      </c>
      <c r="BK50" s="43">
        <v>40.010680000000001</v>
      </c>
      <c r="BL50" s="43">
        <v>45.705199999999998</v>
      </c>
      <c r="BM50" s="43">
        <v>1.0185010000000001</v>
      </c>
      <c r="BN50" s="43">
        <v>1.2088719999999999</v>
      </c>
      <c r="BO50" s="43">
        <v>36.100790000000003</v>
      </c>
      <c r="BP50" s="43">
        <v>1.37471416870411</v>
      </c>
      <c r="BQ50" s="43">
        <v>1974.664</v>
      </c>
      <c r="BR50" s="43">
        <v>392.16124945578701</v>
      </c>
      <c r="BS50" s="43">
        <v>10644.97</v>
      </c>
      <c r="BT50" s="43">
        <v>5797.7160000000003</v>
      </c>
      <c r="BU50" s="43">
        <v>1.0141100000000001</v>
      </c>
      <c r="BV50" s="43">
        <v>0.99091099999999999</v>
      </c>
      <c r="BW50" s="43">
        <v>0.97172519999999996</v>
      </c>
      <c r="BX50" s="43">
        <v>1.1021730000000001</v>
      </c>
      <c r="BY50" s="43">
        <v>0.32830219999999999</v>
      </c>
      <c r="BZ50" s="43">
        <v>0.62795049999999997</v>
      </c>
      <c r="CA50" s="43">
        <v>0.63123079999999998</v>
      </c>
      <c r="CB50" s="43">
        <v>0.6981001</v>
      </c>
      <c r="CC50" s="43">
        <v>8.4703009999999992</v>
      </c>
      <c r="CD50" s="43">
        <v>1.006615</v>
      </c>
      <c r="CE50" s="43">
        <v>1.0076369999999999</v>
      </c>
      <c r="CF50" s="43">
        <v>1.008769</v>
      </c>
      <c r="CG50" s="43">
        <v>0.96533329999999995</v>
      </c>
      <c r="CH50" s="43">
        <v>1.0116590000000001</v>
      </c>
      <c r="CI50" s="43">
        <v>1.0019450000000001</v>
      </c>
      <c r="CJ50" s="43">
        <v>0.99418680000000004</v>
      </c>
      <c r="CK50" s="43">
        <v>0.87866670000000002</v>
      </c>
      <c r="CL50" s="43">
        <v>0.99066670000000001</v>
      </c>
      <c r="CM50" s="43">
        <v>0.98299999999999998</v>
      </c>
      <c r="CN50" s="43">
        <v>0.99180000000000001</v>
      </c>
      <c r="CO50" s="43">
        <v>0.95399999999999996</v>
      </c>
      <c r="CP50" s="43">
        <v>0.90739300000000001</v>
      </c>
      <c r="CQ50" s="43">
        <v>1.016275</v>
      </c>
      <c r="CR50" s="43">
        <v>-0.20817579999999999</v>
      </c>
      <c r="CS50" s="43">
        <v>30.560265174944099</v>
      </c>
      <c r="CT50" s="43">
        <v>74.447550000000007</v>
      </c>
      <c r="CU50" s="43">
        <v>24.54965</v>
      </c>
      <c r="CV50" s="43">
        <v>27.057953740712399</v>
      </c>
      <c r="CW50" s="43">
        <v>0.96899999999999997</v>
      </c>
      <c r="CX50" s="43">
        <v>0.96366669999999999</v>
      </c>
      <c r="CY50" s="43">
        <v>0.97399999999999998</v>
      </c>
      <c r="CZ50" s="43">
        <v>0.97566666666666702</v>
      </c>
      <c r="DA50" s="43">
        <v>0.96666666666666701</v>
      </c>
      <c r="DB50" s="43">
        <v>1.5552291788999999</v>
      </c>
      <c r="DC50" s="43">
        <v>0.995</v>
      </c>
      <c r="DD50" s="43">
        <v>0.88600000000000001</v>
      </c>
      <c r="DE50" s="43">
        <v>0.98499999999999999</v>
      </c>
      <c r="DF50" s="43">
        <v>0.90900000000000003</v>
      </c>
      <c r="DG50" s="43">
        <v>0.85899999999999999</v>
      </c>
      <c r="DH50" s="43">
        <v>0.90400000000000003</v>
      </c>
      <c r="DI50" s="43">
        <v>0.85599999999999998</v>
      </c>
      <c r="DJ50" s="43">
        <v>0.71799999999999997</v>
      </c>
      <c r="DK50" s="43">
        <v>0.99299999999999999</v>
      </c>
      <c r="DL50" s="43">
        <v>0.9776667</v>
      </c>
      <c r="DM50" s="43">
        <v>0.93933330000000004</v>
      </c>
      <c r="DN50" s="43">
        <v>0.97533333333333405</v>
      </c>
      <c r="DO50" s="43">
        <v>0.86</v>
      </c>
      <c r="DP50" s="43">
        <v>0.96799999999999997</v>
      </c>
      <c r="DQ50" s="43">
        <v>1.0936669999999999</v>
      </c>
      <c r="DR50" s="43">
        <v>0.9553334</v>
      </c>
      <c r="DS50" s="43">
        <v>0.93100000000000005</v>
      </c>
      <c r="DT50" s="43">
        <v>0.98366666666666702</v>
      </c>
      <c r="DU50" s="43">
        <v>541.77030000000002</v>
      </c>
      <c r="DV50" s="43">
        <v>299.25369999999998</v>
      </c>
      <c r="DW50" s="43">
        <v>110.1451</v>
      </c>
      <c r="DX50" s="43">
        <v>0.97799999999999998</v>
      </c>
      <c r="DY50" s="43">
        <v>0.96668140000000002</v>
      </c>
      <c r="DZ50" s="43">
        <v>1.006</v>
      </c>
      <c r="EA50" s="43">
        <v>951.84130000000005</v>
      </c>
      <c r="EB50" s="43">
        <v>115.496</v>
      </c>
      <c r="EC50" s="43">
        <v>0.98299999999999998</v>
      </c>
      <c r="ED50" s="43">
        <v>0.95399999999999996</v>
      </c>
      <c r="EE50" s="43">
        <v>0.96366669999999999</v>
      </c>
      <c r="EF50" s="43">
        <v>0.97399999999999998</v>
      </c>
      <c r="EG50" s="43">
        <v>0.96899999999999997</v>
      </c>
      <c r="EH50" s="43">
        <v>0.441221492075764</v>
      </c>
      <c r="EI50" s="43">
        <v>0.182258592471359</v>
      </c>
      <c r="EJ50" s="43">
        <v>20.8775716163948</v>
      </c>
      <c r="EK50" s="43">
        <v>11.846808510638301</v>
      </c>
      <c r="EL50" s="43">
        <v>0.52179228014325596</v>
      </c>
      <c r="EM50" s="43">
        <v>917.84750509667504</v>
      </c>
      <c r="EN50" s="43">
        <v>228.536612462991</v>
      </c>
      <c r="EO50" s="43">
        <v>33964.616187775697</v>
      </c>
      <c r="EP50" s="43">
        <v>23026.2607668372</v>
      </c>
      <c r="EQ50" s="43">
        <v>1638.0251271709899</v>
      </c>
      <c r="ER50" s="43">
        <v>1.2636880434989499</v>
      </c>
      <c r="ES50" s="43">
        <v>1.34992563973372</v>
      </c>
      <c r="ET50" s="43">
        <v>1.2460470490477</v>
      </c>
      <c r="EU50" s="43">
        <v>0.85970159999999995</v>
      </c>
      <c r="EV50" s="43">
        <v>0.95350000000000001</v>
      </c>
      <c r="EW50" s="43">
        <v>1.2864</v>
      </c>
      <c r="EX50" s="43">
        <v>0.85908530000000005</v>
      </c>
      <c r="EY50" s="43">
        <v>0.95208000000000004</v>
      </c>
      <c r="EZ50" s="43">
        <v>1.2789900000000001</v>
      </c>
      <c r="FA50" s="43">
        <v>6.5263831643191699</v>
      </c>
      <c r="FB50" s="43">
        <v>6.46288548337672</v>
      </c>
      <c r="FC50" s="43">
        <v>27.9019089557728</v>
      </c>
      <c r="FD50" s="43">
        <v>7981.2259656701099</v>
      </c>
      <c r="FE50" s="43">
        <v>82350.09</v>
      </c>
      <c r="FF50" s="43">
        <v>1.0548124999999999</v>
      </c>
      <c r="FG50" s="43">
        <v>3.9100329999999999</v>
      </c>
      <c r="FH50" s="43">
        <v>706.12580000000003</v>
      </c>
      <c r="FI50" s="43">
        <v>13600.32</v>
      </c>
      <c r="FJ50" s="43">
        <v>6.5421060000000004</v>
      </c>
      <c r="FK50" s="43">
        <v>18.036760000000001</v>
      </c>
      <c r="FL50" s="43">
        <v>1.11046</v>
      </c>
      <c r="FM50" s="43">
        <v>1.058387</v>
      </c>
    </row>
    <row r="51" spans="1:169" x14ac:dyDescent="0.25">
      <c r="A51" s="43" t="s">
        <v>278</v>
      </c>
      <c r="B51" s="43">
        <v>19062.71</v>
      </c>
      <c r="C51" s="43">
        <v>12903.2</v>
      </c>
      <c r="D51" s="43">
        <v>2.3959000000000001</v>
      </c>
      <c r="E51" s="43">
        <v>0.37329669999999998</v>
      </c>
      <c r="F51" s="43">
        <v>1.7539560000000001</v>
      </c>
      <c r="G51" s="43">
        <v>4.9318679999999997</v>
      </c>
      <c r="H51" s="43">
        <v>0.98479539999999999</v>
      </c>
      <c r="I51" s="43">
        <v>0.99336550000000001</v>
      </c>
      <c r="J51" s="43">
        <v>0.98179209999999995</v>
      </c>
      <c r="K51" s="43">
        <v>1.0040500000000001</v>
      </c>
      <c r="L51" s="43">
        <v>1.9129780000000001</v>
      </c>
      <c r="M51" s="43">
        <v>45.420990000000003</v>
      </c>
      <c r="N51" s="43">
        <v>45.536703296703301</v>
      </c>
      <c r="O51" s="43">
        <v>2.14087912087912</v>
      </c>
      <c r="P51" s="43">
        <v>1.171333</v>
      </c>
      <c r="Q51" s="43">
        <v>-488.3261</v>
      </c>
      <c r="R51" s="43">
        <v>3.5</v>
      </c>
      <c r="S51" s="43">
        <v>2720.384</v>
      </c>
      <c r="T51" s="43">
        <v>0.25681320000000002</v>
      </c>
      <c r="U51" s="43">
        <v>2.5632419999999998</v>
      </c>
      <c r="V51" s="43">
        <v>2152.2730000000001</v>
      </c>
      <c r="W51" s="43">
        <v>1.2609999999999999</v>
      </c>
      <c r="X51" s="43">
        <v>14102.13</v>
      </c>
      <c r="Y51" s="43">
        <v>1.3087770000000001</v>
      </c>
      <c r="Z51" s="43">
        <v>0.75245450000000003</v>
      </c>
      <c r="AA51" s="43">
        <v>0.98197000000000001</v>
      </c>
      <c r="AB51" s="43">
        <v>1.0093799999999999</v>
      </c>
      <c r="AC51" s="43">
        <v>34.364730000000002</v>
      </c>
      <c r="AD51" s="43">
        <v>0.98107999999999995</v>
      </c>
      <c r="AE51" s="43">
        <v>0.97696000000000005</v>
      </c>
      <c r="AF51" s="43">
        <v>0.95001999999999998</v>
      </c>
      <c r="AG51" s="43">
        <v>324.26560000000001</v>
      </c>
      <c r="AH51" s="43">
        <v>125.90219999999999</v>
      </c>
      <c r="AI51" s="43">
        <v>1.8136589999999999</v>
      </c>
      <c r="AJ51" s="43">
        <v>1.84066666666667</v>
      </c>
      <c r="AK51" s="43">
        <v>18711.7</v>
      </c>
      <c r="AM51" s="43">
        <v>1.9178681318681301</v>
      </c>
      <c r="AN51" s="43">
        <v>0.86565939999999997</v>
      </c>
      <c r="AO51" s="43">
        <v>1.99694505494505</v>
      </c>
      <c r="AP51" s="43">
        <v>1.4156043956044</v>
      </c>
      <c r="AQ51" s="43">
        <v>2.6423290000000001</v>
      </c>
      <c r="AR51" s="43">
        <v>1.844989</v>
      </c>
      <c r="AS51" s="43">
        <v>1.4472970000000001</v>
      </c>
      <c r="AT51" s="43">
        <v>1.4469559999999999</v>
      </c>
      <c r="AU51" s="43">
        <v>2.0453190000000001</v>
      </c>
      <c r="AV51" s="43">
        <v>1940.335</v>
      </c>
      <c r="AW51" s="43">
        <v>1091.277</v>
      </c>
      <c r="AX51" s="43">
        <v>0.98072369999999998</v>
      </c>
      <c r="AY51" s="43">
        <v>1.2873410000000001</v>
      </c>
      <c r="AZ51" s="43">
        <v>198.08600000000001</v>
      </c>
      <c r="BA51" s="43">
        <v>0.77569100000000002</v>
      </c>
      <c r="BB51" s="43">
        <v>107.2</v>
      </c>
      <c r="BC51" s="43">
        <v>24.46088</v>
      </c>
      <c r="BD51" s="43">
        <v>7.0659340000000004</v>
      </c>
      <c r="BE51" s="43">
        <v>0.92633330000000003</v>
      </c>
      <c r="BF51" s="43">
        <v>0.51002199999999998</v>
      </c>
      <c r="BG51" s="43">
        <v>0.75</v>
      </c>
      <c r="BH51" s="43">
        <v>1.310989</v>
      </c>
      <c r="BI51" s="43">
        <v>1.0629999999999999</v>
      </c>
      <c r="BJ51" s="43">
        <v>1.032</v>
      </c>
      <c r="BK51" s="43">
        <v>44.302329999999998</v>
      </c>
      <c r="BL51" s="43">
        <v>58.557949999999998</v>
      </c>
      <c r="BM51" s="43">
        <v>1.006575</v>
      </c>
      <c r="BN51" s="43">
        <v>1.203173</v>
      </c>
      <c r="BO51" s="43">
        <v>36.209530000000001</v>
      </c>
      <c r="BP51" s="43">
        <v>1.2891802283884399</v>
      </c>
      <c r="BQ51" s="43">
        <v>1979.5840000000001</v>
      </c>
      <c r="BR51" s="43">
        <v>395.62637778509401</v>
      </c>
      <c r="BS51" s="43">
        <v>10668.66</v>
      </c>
      <c r="BT51" s="43">
        <v>5815.3</v>
      </c>
      <c r="BU51" s="43">
        <v>1.0119119999999999</v>
      </c>
      <c r="BV51" s="43">
        <v>1.005109</v>
      </c>
      <c r="BW51" s="43">
        <v>0.97432969999999997</v>
      </c>
      <c r="BX51" s="43">
        <v>1.1293580000000001</v>
      </c>
      <c r="BY51" s="43">
        <v>0.1206593</v>
      </c>
      <c r="BZ51" s="43">
        <v>0.41714289999999998</v>
      </c>
      <c r="CA51" s="43">
        <v>0.46016479999999998</v>
      </c>
      <c r="CB51" s="43">
        <v>0.69752420000000004</v>
      </c>
      <c r="CC51" s="43">
        <v>8.2194260000000003</v>
      </c>
      <c r="CD51" s="43">
        <v>1.0022089999999999</v>
      </c>
      <c r="CE51" s="43">
        <v>1.000956</v>
      </c>
      <c r="CF51" s="43">
        <v>1.0053190000000001</v>
      </c>
      <c r="CG51" s="43">
        <v>0.95366669999999998</v>
      </c>
      <c r="CH51" s="43">
        <v>1.009341</v>
      </c>
      <c r="CI51" s="43">
        <v>0.9896703</v>
      </c>
      <c r="CJ51" s="43">
        <v>0.98994499999999996</v>
      </c>
      <c r="CK51" s="43">
        <v>0.9176666</v>
      </c>
      <c r="CL51" s="43">
        <v>1.003333</v>
      </c>
      <c r="CM51" s="43">
        <v>0.98399999999999999</v>
      </c>
      <c r="CN51" s="43">
        <v>1.0125329999999999</v>
      </c>
      <c r="CO51" s="43">
        <v>0.96300010000000003</v>
      </c>
      <c r="CP51" s="43">
        <v>0.88547030000000004</v>
      </c>
      <c r="CQ51" s="43">
        <v>1.011549</v>
      </c>
      <c r="CR51" s="43">
        <v>-0.29530770000000001</v>
      </c>
      <c r="CS51" s="43">
        <v>40.423651727539202</v>
      </c>
      <c r="CT51" s="43">
        <v>65.883480000000006</v>
      </c>
      <c r="CU51" s="43">
        <v>23.95008</v>
      </c>
      <c r="CV51" s="43">
        <v>27.048213729330399</v>
      </c>
      <c r="CW51" s="43">
        <v>0.97199999999999998</v>
      </c>
      <c r="CX51" s="43">
        <v>0.96599999999999997</v>
      </c>
      <c r="CY51" s="43">
        <v>0.97333340000000002</v>
      </c>
      <c r="CZ51" s="43">
        <v>0.97833333333333306</v>
      </c>
      <c r="DA51" s="43">
        <v>0.96533333333333304</v>
      </c>
      <c r="DB51" s="43">
        <v>1.6357554430000001</v>
      </c>
      <c r="DC51" s="43">
        <v>1.0033333333333301</v>
      </c>
      <c r="DD51" s="43">
        <v>0.88100000000000001</v>
      </c>
      <c r="DE51" s="43">
        <v>0.96599999999999997</v>
      </c>
      <c r="DF51" s="43">
        <v>0.91600000000000004</v>
      </c>
      <c r="DG51" s="43">
        <v>0.86299999999999999</v>
      </c>
      <c r="DH51" s="43">
        <v>0.90200000000000002</v>
      </c>
      <c r="DI51" s="43">
        <v>0.84899999999999998</v>
      </c>
      <c r="DJ51" s="43">
        <v>0.72499999999999998</v>
      </c>
      <c r="DK51" s="43">
        <v>0.99866659999999996</v>
      </c>
      <c r="DL51" s="43">
        <v>0.96799999999999997</v>
      </c>
      <c r="DM51" s="43">
        <v>0.93500000000000005</v>
      </c>
      <c r="DN51" s="43">
        <v>0.97366666666666701</v>
      </c>
      <c r="DO51" s="43">
        <v>0.83466669999999998</v>
      </c>
      <c r="DP51" s="43">
        <v>0.97233329999999996</v>
      </c>
      <c r="DQ51" s="43">
        <v>0.99033329999999997</v>
      </c>
      <c r="DR51" s="43">
        <v>0.94866669999999997</v>
      </c>
      <c r="DS51" s="43">
        <v>0.92700000000000005</v>
      </c>
      <c r="DT51" s="43">
        <v>0.97366666666666701</v>
      </c>
      <c r="DU51" s="43">
        <v>541.04790000000003</v>
      </c>
      <c r="DV51" s="43">
        <v>297.51530000000002</v>
      </c>
      <c r="DW51" s="43">
        <v>109.42749999999999</v>
      </c>
      <c r="DX51" s="43">
        <v>0.98134060000000001</v>
      </c>
      <c r="DY51" s="43">
        <v>0.96099999999999997</v>
      </c>
      <c r="DZ51" s="43">
        <v>1.004</v>
      </c>
      <c r="EA51" s="43">
        <v>977.73839999999996</v>
      </c>
      <c r="EB51" s="43">
        <v>108.0042</v>
      </c>
      <c r="EC51" s="43">
        <v>0.98399999999999999</v>
      </c>
      <c r="ED51" s="43">
        <v>0.96300010000000003</v>
      </c>
      <c r="EE51" s="43">
        <v>0.96599999999999997</v>
      </c>
      <c r="EF51" s="43">
        <v>0.97333340000000002</v>
      </c>
      <c r="EG51" s="43">
        <v>0.97199999999999998</v>
      </c>
      <c r="EH51" s="43">
        <v>0.44042906841901802</v>
      </c>
      <c r="EI51" s="43">
        <v>0.181931260229133</v>
      </c>
      <c r="EJ51" s="43">
        <v>20.840075977715902</v>
      </c>
      <c r="EK51" s="43">
        <v>11.825531914893601</v>
      </c>
      <c r="EL51" s="43">
        <v>0.52085515320334297</v>
      </c>
      <c r="EM51" s="43">
        <v>1083.7270257324899</v>
      </c>
      <c r="EN51" s="43">
        <v>269.83927277702799</v>
      </c>
      <c r="EO51" s="43">
        <v>40102.928075668497</v>
      </c>
      <c r="EP51" s="43">
        <v>27187.720134355899</v>
      </c>
      <c r="EQ51" s="43">
        <v>1934.0599492691599</v>
      </c>
      <c r="ER51" s="43">
        <v>1.2670750869854099</v>
      </c>
      <c r="ES51" s="43">
        <v>1.3535438245134099</v>
      </c>
      <c r="ET51" s="43">
        <v>1.24938680965002</v>
      </c>
      <c r="EU51" s="43">
        <v>0.85464050000000003</v>
      </c>
      <c r="EV51" s="43">
        <v>0.9670666</v>
      </c>
      <c r="EW51" s="43">
        <v>1.2887</v>
      </c>
      <c r="EX51" s="43">
        <v>0.85702860000000003</v>
      </c>
      <c r="EY51" s="43">
        <v>0.97174340000000003</v>
      </c>
      <c r="EZ51" s="43">
        <v>1.2913250000000001</v>
      </c>
      <c r="FA51" s="43">
        <v>6.4875096983362299</v>
      </c>
      <c r="FB51" s="43">
        <v>6.43069708617627</v>
      </c>
      <c r="FC51" s="43">
        <v>27.8351093527857</v>
      </c>
      <c r="FD51" s="43">
        <v>8146.0636644664501</v>
      </c>
      <c r="FE51" s="43">
        <v>83144.34</v>
      </c>
      <c r="FF51" s="43">
        <v>1.0561875000000001</v>
      </c>
      <c r="FG51" s="43">
        <v>3.5112930000000002</v>
      </c>
      <c r="FH51" s="43">
        <v>684.0154</v>
      </c>
      <c r="FI51" s="43">
        <v>13343.19</v>
      </c>
      <c r="FJ51" s="43">
        <v>6.5318630000000004</v>
      </c>
      <c r="FK51" s="43">
        <v>18.092890000000001</v>
      </c>
      <c r="FL51" s="43">
        <v>1.0680829999999999</v>
      </c>
      <c r="FM51" s="43">
        <v>1.033574</v>
      </c>
    </row>
    <row r="52" spans="1:169" x14ac:dyDescent="0.25">
      <c r="A52" s="43" t="s">
        <v>279</v>
      </c>
      <c r="B52" s="43">
        <v>19197.939999999999</v>
      </c>
      <c r="C52" s="43">
        <v>12992.76</v>
      </c>
      <c r="D52" s="43">
        <v>2.406012</v>
      </c>
      <c r="E52" s="43">
        <v>0.39663039999999999</v>
      </c>
      <c r="F52" s="43">
        <v>1.5626089999999999</v>
      </c>
      <c r="G52" s="43">
        <v>4.8989130000000003</v>
      </c>
      <c r="H52" s="43">
        <v>0.98751319999999998</v>
      </c>
      <c r="I52" s="43">
        <v>0.9934577</v>
      </c>
      <c r="J52" s="43">
        <v>0.98309570000000002</v>
      </c>
      <c r="K52" s="43">
        <v>1.00336</v>
      </c>
      <c r="L52" s="43">
        <v>1.9226300000000001</v>
      </c>
      <c r="M52" s="43">
        <v>44.846409999999999</v>
      </c>
      <c r="N52" s="43">
        <v>45.778152173913</v>
      </c>
      <c r="O52" s="43">
        <v>2.8754347826086999</v>
      </c>
      <c r="P52" s="43">
        <v>1.1593329999999999</v>
      </c>
      <c r="Q52" s="43">
        <v>-487.29140000000001</v>
      </c>
      <c r="R52" s="43">
        <v>3.5</v>
      </c>
      <c r="S52" s="43">
        <v>2729.0210000000002</v>
      </c>
      <c r="T52" s="43">
        <v>0.29673909999999998</v>
      </c>
      <c r="U52" s="43">
        <v>2.2825000000000002</v>
      </c>
      <c r="V52" s="43">
        <v>2176.7249999999999</v>
      </c>
      <c r="W52" s="43">
        <v>1.2669999999999999</v>
      </c>
      <c r="X52" s="43">
        <v>14181.67</v>
      </c>
      <c r="Y52" s="43">
        <v>1.3099749999999999</v>
      </c>
      <c r="Z52" s="43">
        <v>0.75384150000000005</v>
      </c>
      <c r="AA52" s="43">
        <v>0.98729999999999996</v>
      </c>
      <c r="AB52" s="43">
        <v>1.01003</v>
      </c>
      <c r="AC52" s="43">
        <v>39.811959999999999</v>
      </c>
      <c r="AD52" s="43">
        <v>0.98372000000000004</v>
      </c>
      <c r="AE52" s="43">
        <v>0.97587000000000002</v>
      </c>
      <c r="AF52" s="43">
        <v>0.96382000000000001</v>
      </c>
      <c r="AG52" s="43">
        <v>324.92290000000003</v>
      </c>
      <c r="AH52" s="43">
        <v>126.212</v>
      </c>
      <c r="AI52" s="43">
        <v>1.8326199999999999</v>
      </c>
      <c r="AJ52" s="43">
        <v>1.86533333333333</v>
      </c>
      <c r="AK52" s="43">
        <v>18892.64</v>
      </c>
      <c r="AM52" s="43">
        <v>1.89107608695652</v>
      </c>
      <c r="AN52" s="43">
        <v>1.1750320000000001</v>
      </c>
      <c r="AO52" s="43">
        <v>2.0245217391304302</v>
      </c>
      <c r="AP52" s="43">
        <v>1.4868804347826099</v>
      </c>
      <c r="AQ52" s="43">
        <v>2.6532279999999999</v>
      </c>
      <c r="AR52" s="43">
        <v>1.847337</v>
      </c>
      <c r="AS52" s="43">
        <v>1.475598</v>
      </c>
      <c r="AT52" s="43">
        <v>1.5265869999999999</v>
      </c>
      <c r="AU52" s="43">
        <v>2.0386199999999999</v>
      </c>
      <c r="AV52" s="43">
        <v>1960.3440000000001</v>
      </c>
      <c r="AW52" s="43">
        <v>1098.903</v>
      </c>
      <c r="AX52" s="43">
        <v>1.016097</v>
      </c>
      <c r="AY52" s="43">
        <v>1.288</v>
      </c>
      <c r="AZ52" s="43">
        <v>200.809</v>
      </c>
      <c r="BA52" s="43">
        <v>0.76675199999999999</v>
      </c>
      <c r="BB52" s="43">
        <v>108.2</v>
      </c>
      <c r="BC52" s="43">
        <v>24.926739999999999</v>
      </c>
      <c r="BD52" s="43">
        <v>6.9326090000000002</v>
      </c>
      <c r="BE52" s="43">
        <v>0.93700000000000006</v>
      </c>
      <c r="BF52" s="43">
        <v>0.50264129999999996</v>
      </c>
      <c r="BG52" s="43">
        <v>0.75</v>
      </c>
      <c r="BH52" s="43">
        <v>1.109022</v>
      </c>
      <c r="BI52" s="43">
        <v>1.089</v>
      </c>
      <c r="BJ52" s="43">
        <v>1.038</v>
      </c>
      <c r="BK52" s="43">
        <v>51.923360000000002</v>
      </c>
      <c r="BL52" s="43">
        <v>58.492959999999997</v>
      </c>
      <c r="BM52" s="43">
        <v>1.003654</v>
      </c>
      <c r="BN52" s="43">
        <v>1.221171</v>
      </c>
      <c r="BO52" s="43">
        <v>36.31897</v>
      </c>
      <c r="BP52" s="43">
        <v>1.30421520575233</v>
      </c>
      <c r="BQ52" s="43">
        <v>2009.24</v>
      </c>
      <c r="BR52" s="43">
        <v>397.88428266822001</v>
      </c>
      <c r="BS52" s="43">
        <v>10719.63</v>
      </c>
      <c r="BT52" s="43">
        <v>5838.46</v>
      </c>
      <c r="BU52" s="43">
        <v>1.013315</v>
      </c>
      <c r="BV52" s="43">
        <v>1.004437</v>
      </c>
      <c r="BW52" s="43">
        <v>0.98166310000000001</v>
      </c>
      <c r="BX52" s="43">
        <v>1.1156170000000001</v>
      </c>
      <c r="BY52" s="43">
        <v>-0.1169565</v>
      </c>
      <c r="BZ52" s="43">
        <v>8.021739E-2</v>
      </c>
      <c r="CA52" s="43">
        <v>-4.3913050000000002E-2</v>
      </c>
      <c r="CB52" s="43">
        <v>0.76183369999999995</v>
      </c>
      <c r="CC52" s="43">
        <v>8.5303339999999999</v>
      </c>
      <c r="CD52" s="43">
        <v>1.0062930000000001</v>
      </c>
      <c r="CE52" s="43">
        <v>1.000685</v>
      </c>
      <c r="CF52" s="43">
        <v>1.017326</v>
      </c>
      <c r="CG52" s="43">
        <v>0.92466660000000001</v>
      </c>
      <c r="CH52" s="43">
        <v>1.0103150000000001</v>
      </c>
      <c r="CI52" s="43">
        <v>1.0007170000000001</v>
      </c>
      <c r="CJ52" s="43">
        <v>1.0032829999999999</v>
      </c>
      <c r="CK52" s="43">
        <v>0.91266670000000005</v>
      </c>
      <c r="CL52" s="43">
        <v>1.011333</v>
      </c>
      <c r="CM52" s="43">
        <v>0.98799990000000004</v>
      </c>
      <c r="CN52" s="43">
        <v>1.0106329999999999</v>
      </c>
      <c r="CO52" s="43">
        <v>0.97700010000000004</v>
      </c>
      <c r="CP52" s="43">
        <v>0.89639559999999996</v>
      </c>
      <c r="CQ52" s="43">
        <v>1.0229999999999999</v>
      </c>
      <c r="CR52" s="43">
        <v>-0.33255439999999997</v>
      </c>
      <c r="CS52" s="43">
        <v>40.995182488388998</v>
      </c>
      <c r="CT52" s="43">
        <v>64.628249999999994</v>
      </c>
      <c r="CU52" s="43">
        <v>24.235849999999999</v>
      </c>
      <c r="CV52" s="43">
        <v>27.037936658312301</v>
      </c>
      <c r="CW52" s="43">
        <v>0.9746667</v>
      </c>
      <c r="CX52" s="43">
        <v>0.9766667</v>
      </c>
      <c r="CY52" s="43">
        <v>0.98799999999999999</v>
      </c>
      <c r="CZ52" s="43">
        <v>0.98233333333333295</v>
      </c>
      <c r="DA52" s="43">
        <v>0.96633333333333304</v>
      </c>
      <c r="DB52" s="43">
        <v>1.6673457071</v>
      </c>
      <c r="DC52" s="43">
        <v>1.0109999999999999</v>
      </c>
      <c r="DD52" s="43">
        <v>0.89400000000000002</v>
      </c>
      <c r="DE52" s="43">
        <v>0.99199999999999999</v>
      </c>
      <c r="DF52" s="43">
        <v>0.91200000000000003</v>
      </c>
      <c r="DG52" s="43">
        <v>0.875</v>
      </c>
      <c r="DH52" s="43">
        <v>0.91500000000000004</v>
      </c>
      <c r="DI52" s="43">
        <v>0.86299999999999999</v>
      </c>
      <c r="DJ52" s="43">
        <v>0.74</v>
      </c>
      <c r="DK52" s="43">
        <v>1.02</v>
      </c>
      <c r="DL52" s="43">
        <v>0.96433340000000001</v>
      </c>
      <c r="DM52" s="43">
        <v>0.94099999999999995</v>
      </c>
      <c r="DN52" s="43">
        <v>0.97799999999999998</v>
      </c>
      <c r="DO52" s="43">
        <v>0.90433339999999995</v>
      </c>
      <c r="DP52" s="43">
        <v>0.97566660000000005</v>
      </c>
      <c r="DQ52" s="43">
        <v>0.99533329999999998</v>
      </c>
      <c r="DR52" s="43">
        <v>0.96566669999999999</v>
      </c>
      <c r="DS52" s="43">
        <v>0.96499999999999997</v>
      </c>
      <c r="DT52" s="43">
        <v>0.97466666666666701</v>
      </c>
      <c r="DU52" s="43">
        <v>542.14419999999996</v>
      </c>
      <c r="DV52" s="43">
        <v>298.68490000000003</v>
      </c>
      <c r="DW52" s="43">
        <v>110.89570000000001</v>
      </c>
      <c r="DX52" s="43">
        <v>0.97932609999999998</v>
      </c>
      <c r="DY52" s="43">
        <v>0.95833690000000005</v>
      </c>
      <c r="DZ52" s="43">
        <v>1.0029999999999999</v>
      </c>
      <c r="EA52" s="43">
        <v>973.66669999999999</v>
      </c>
      <c r="EB52" s="43">
        <v>102.4066</v>
      </c>
      <c r="EC52" s="43">
        <v>0.98799990000000004</v>
      </c>
      <c r="ED52" s="43">
        <v>0.97700010000000004</v>
      </c>
      <c r="EE52" s="43">
        <v>0.9766667</v>
      </c>
      <c r="EF52" s="43">
        <v>0.98799999999999999</v>
      </c>
      <c r="EG52" s="43">
        <v>0.9746667</v>
      </c>
      <c r="EH52" s="43">
        <v>0.44550057982218799</v>
      </c>
      <c r="EI52" s="43">
        <v>0.184026186579378</v>
      </c>
      <c r="EJ52" s="43">
        <v>21.080048065260701</v>
      </c>
      <c r="EK52" s="43">
        <v>11.961702127659599</v>
      </c>
      <c r="EL52" s="43">
        <v>0.52685276561878303</v>
      </c>
      <c r="EM52" s="43">
        <v>1255.51107669201</v>
      </c>
      <c r="EN52" s="43">
        <v>312.61211343243002</v>
      </c>
      <c r="EO52" s="43">
        <v>46459.734980544301</v>
      </c>
      <c r="EP52" s="43">
        <v>31497.307871984402</v>
      </c>
      <c r="EQ52" s="43">
        <v>2240.6322179264498</v>
      </c>
      <c r="ER52" s="43">
        <v>1.2766118674437099</v>
      </c>
      <c r="ES52" s="43">
        <v>1.36373142146615</v>
      </c>
      <c r="ET52" s="43">
        <v>1.25879045733713</v>
      </c>
      <c r="EU52" s="43">
        <v>0.85499999999999998</v>
      </c>
      <c r="EV52" s="43">
        <v>0.96646670000000001</v>
      </c>
      <c r="EW52" s="43">
        <v>1.3005</v>
      </c>
      <c r="EX52" s="43">
        <v>0.85842289999999999</v>
      </c>
      <c r="EY52" s="43">
        <v>0.9677656</v>
      </c>
      <c r="EZ52" s="43">
        <v>1.306332</v>
      </c>
      <c r="FA52" s="43">
        <v>6.4902704640752997</v>
      </c>
      <c r="FB52" s="43">
        <v>6.4334948649347901</v>
      </c>
      <c r="FC52" s="43">
        <v>27.880393903701201</v>
      </c>
      <c r="FD52" s="43">
        <v>8112.7175440091196</v>
      </c>
      <c r="FE52" s="43">
        <v>84110.57</v>
      </c>
      <c r="FF52" s="43">
        <v>1.06268749999999</v>
      </c>
      <c r="FG52" s="43">
        <v>3.2478150000000001</v>
      </c>
      <c r="FH52" s="43">
        <v>668.72320000000002</v>
      </c>
      <c r="FI52" s="43">
        <v>13153.07</v>
      </c>
      <c r="FJ52" s="43">
        <v>6.6679130000000004</v>
      </c>
      <c r="FK52" s="43">
        <v>18.755310000000001</v>
      </c>
      <c r="FL52" s="43">
        <v>1.0803210000000001</v>
      </c>
      <c r="FM52" s="43">
        <v>1.044287</v>
      </c>
    </row>
    <row r="53" spans="1:169" x14ac:dyDescent="0.25">
      <c r="A53" s="43" t="s">
        <v>280</v>
      </c>
      <c r="B53" s="43">
        <v>19304.349999999999</v>
      </c>
      <c r="C53" s="43">
        <v>13060.32</v>
      </c>
      <c r="D53" s="43">
        <v>2.4213589999999998</v>
      </c>
      <c r="E53" s="43">
        <v>0.45043480000000002</v>
      </c>
      <c r="F53" s="43">
        <v>2.1298910000000002</v>
      </c>
      <c r="G53" s="43">
        <v>4.7673909999999999</v>
      </c>
      <c r="H53" s="43">
        <v>0.98706819999999995</v>
      </c>
      <c r="I53" s="43">
        <v>0.99465700000000001</v>
      </c>
      <c r="J53" s="43">
        <v>0.98572409999999999</v>
      </c>
      <c r="K53" s="43">
        <v>1.0033510000000001</v>
      </c>
      <c r="L53" s="43">
        <v>1.9400759999999999</v>
      </c>
      <c r="M53" s="43">
        <v>49.174460000000003</v>
      </c>
      <c r="N53" s="43">
        <v>49.235108695652201</v>
      </c>
      <c r="O53" s="43">
        <v>3.04532608695652</v>
      </c>
      <c r="P53" s="43">
        <v>1.2350000000000001</v>
      </c>
      <c r="Q53" s="43">
        <v>-531.24440000000004</v>
      </c>
      <c r="R53" s="43">
        <v>3.547174</v>
      </c>
      <c r="S53" s="43">
        <v>2733.6390000000001</v>
      </c>
      <c r="T53" s="43">
        <v>0.42978260000000001</v>
      </c>
      <c r="U53" s="43">
        <v>2.8131520000000001</v>
      </c>
      <c r="V53" s="43">
        <v>2196.8809999999999</v>
      </c>
      <c r="W53" s="43">
        <v>1.274</v>
      </c>
      <c r="X53" s="43">
        <v>14274.24</v>
      </c>
      <c r="Y53" s="43">
        <v>1.3108280000000001</v>
      </c>
      <c r="Z53" s="43">
        <v>0.75301099999999999</v>
      </c>
      <c r="AA53" s="43">
        <v>0.99361999999999995</v>
      </c>
      <c r="AB53" s="43">
        <v>1.0107200000000001</v>
      </c>
      <c r="AC53" s="43">
        <v>40.745980000000003</v>
      </c>
      <c r="AD53" s="43">
        <v>0.98884000000000005</v>
      </c>
      <c r="AE53" s="43">
        <v>0.98250999999999999</v>
      </c>
      <c r="AF53" s="43">
        <v>0.97609999999999997</v>
      </c>
      <c r="AG53" s="43">
        <v>325.5573</v>
      </c>
      <c r="AH53" s="43">
        <v>126.5224</v>
      </c>
      <c r="AI53" s="43">
        <v>1.8470329999999999</v>
      </c>
      <c r="AJ53" s="43">
        <v>1.8736666666666699</v>
      </c>
      <c r="AK53" s="43">
        <v>19089.38</v>
      </c>
      <c r="AM53" s="43">
        <v>1.9205869565217399</v>
      </c>
      <c r="AN53" s="43">
        <v>1.294098</v>
      </c>
      <c r="AO53" s="43">
        <v>2.0419673913043499</v>
      </c>
      <c r="AP53" s="43">
        <v>1.5860434782608701</v>
      </c>
      <c r="AQ53" s="43">
        <v>2.6959460000000002</v>
      </c>
      <c r="AR53" s="43">
        <v>1.8503259999999999</v>
      </c>
      <c r="AS53" s="43">
        <v>1.534554</v>
      </c>
      <c r="AT53" s="43">
        <v>1.526011</v>
      </c>
      <c r="AU53" s="43">
        <v>2.0254240000000001</v>
      </c>
      <c r="AV53" s="43">
        <v>1971.3510000000001</v>
      </c>
      <c r="AW53" s="43">
        <v>1107.2159999999999</v>
      </c>
      <c r="AX53" s="43">
        <v>1.0275209999999999</v>
      </c>
      <c r="AY53" s="43">
        <v>1.2870109999999999</v>
      </c>
      <c r="AZ53" s="43">
        <v>196.745</v>
      </c>
      <c r="BA53" s="43">
        <v>0.74908200000000003</v>
      </c>
      <c r="BB53" s="43">
        <v>108.9</v>
      </c>
      <c r="BC53" s="43">
        <v>25.052610000000001</v>
      </c>
      <c r="BD53" s="43">
        <v>6.8673919999999997</v>
      </c>
      <c r="BE53" s="43">
        <v>0.94933330000000005</v>
      </c>
      <c r="BF53" s="43">
        <v>0.4820217</v>
      </c>
      <c r="BG53" s="43">
        <v>0.75</v>
      </c>
      <c r="BH53" s="43">
        <v>1.543587</v>
      </c>
      <c r="BI53" s="43">
        <v>1.077</v>
      </c>
      <c r="BJ53" s="43">
        <v>1.048</v>
      </c>
      <c r="BK53" s="43">
        <v>54.396819999999998</v>
      </c>
      <c r="BL53" s="43">
        <v>65.64752</v>
      </c>
      <c r="BM53" s="43">
        <v>1.0045850000000001</v>
      </c>
      <c r="BN53" s="43">
        <v>1.2166300000000001</v>
      </c>
      <c r="BO53" s="43">
        <v>36.429130000000001</v>
      </c>
      <c r="BP53" s="43">
        <v>1.3350230753421799</v>
      </c>
      <c r="BQ53" s="43">
        <v>2039.664</v>
      </c>
      <c r="BR53" s="43">
        <v>404.75557326738601</v>
      </c>
      <c r="BS53" s="43">
        <v>10803.08</v>
      </c>
      <c r="BT53" s="43">
        <v>5875.2070000000003</v>
      </c>
      <c r="BU53" s="43">
        <v>1.0246299999999999</v>
      </c>
      <c r="BV53" s="43">
        <v>1.008999</v>
      </c>
      <c r="BW53" s="43">
        <v>0.9943478</v>
      </c>
      <c r="BX53" s="43">
        <v>1.078929</v>
      </c>
      <c r="BY53" s="43">
        <v>9.9565219999999996E-2</v>
      </c>
      <c r="BZ53" s="43">
        <v>0.32608700000000002</v>
      </c>
      <c r="CA53" s="43">
        <v>0.18684780000000001</v>
      </c>
      <c r="CB53" s="43">
        <v>0.80456470000000002</v>
      </c>
      <c r="CC53" s="43">
        <v>9.0552430000000008</v>
      </c>
      <c r="CD53" s="43">
        <v>1.0069239999999999</v>
      </c>
      <c r="CE53" s="43">
        <v>1.0085109999999999</v>
      </c>
      <c r="CF53" s="43">
        <v>1.036359</v>
      </c>
      <c r="CG53" s="43">
        <v>0.95399999999999996</v>
      </c>
      <c r="CH53" s="43">
        <v>1.007196</v>
      </c>
      <c r="CI53" s="43">
        <v>0.99477179999999998</v>
      </c>
      <c r="CJ53" s="43">
        <v>1.0100439999999999</v>
      </c>
      <c r="CK53" s="43">
        <v>0.92533330000000003</v>
      </c>
      <c r="CL53" s="43">
        <v>1.0089999999999999</v>
      </c>
      <c r="CM53" s="43">
        <v>0.995</v>
      </c>
      <c r="CN53" s="43">
        <v>1.010467</v>
      </c>
      <c r="CO53" s="43">
        <v>0.997</v>
      </c>
      <c r="CP53" s="43">
        <v>0.92717360000000004</v>
      </c>
      <c r="CQ53" s="43">
        <v>1.0254779999999999</v>
      </c>
      <c r="CR53" s="43">
        <v>-0.35499999999999998</v>
      </c>
      <c r="CS53" s="43">
        <v>45.782368718238303</v>
      </c>
      <c r="CT53" s="43">
        <v>63.11233</v>
      </c>
      <c r="CU53" s="43">
        <v>25.067959999999999</v>
      </c>
      <c r="CV53" s="43">
        <v>27.046542131233402</v>
      </c>
      <c r="CW53" s="43">
        <v>0.99266670000000001</v>
      </c>
      <c r="CX53" s="43">
        <v>0.98399999999999999</v>
      </c>
      <c r="CY53" s="43">
        <v>1.025333</v>
      </c>
      <c r="CZ53" s="43">
        <v>0.99033333333333395</v>
      </c>
      <c r="DA53" s="43">
        <v>0.97333333333333305</v>
      </c>
      <c r="DB53" s="43">
        <v>1.6814851099000001</v>
      </c>
      <c r="DC53" s="43">
        <v>1.0176666666666701</v>
      </c>
      <c r="DD53" s="43">
        <v>0.89800000000000002</v>
      </c>
      <c r="DE53" s="43">
        <v>0.98199999999999998</v>
      </c>
      <c r="DF53" s="43">
        <v>0.91100000000000003</v>
      </c>
      <c r="DG53" s="43">
        <v>0.85799999999999998</v>
      </c>
      <c r="DH53" s="43">
        <v>0.92100000000000004</v>
      </c>
      <c r="DI53" s="43">
        <v>0.873</v>
      </c>
      <c r="DJ53" s="43">
        <v>0.751</v>
      </c>
      <c r="DK53" s="43">
        <v>1.0656669999999999</v>
      </c>
      <c r="DL53" s="43">
        <v>0.98933329999999997</v>
      </c>
      <c r="DM53" s="43">
        <v>0.95233330000000005</v>
      </c>
      <c r="DN53" s="43">
        <v>0.98366666666666702</v>
      </c>
      <c r="DO53" s="43">
        <v>0.99299999999999999</v>
      </c>
      <c r="DP53" s="43">
        <v>0.98</v>
      </c>
      <c r="DQ53" s="43">
        <v>1.1663330000000001</v>
      </c>
      <c r="DR53" s="43">
        <v>0.99733329999999998</v>
      </c>
      <c r="DS53" s="43">
        <v>0.99066670000000001</v>
      </c>
      <c r="DT53" s="43">
        <v>0.99066666666666703</v>
      </c>
      <c r="DU53" s="43">
        <v>542.94590000000005</v>
      </c>
      <c r="DV53" s="43">
        <v>299.34160000000003</v>
      </c>
      <c r="DW53" s="43">
        <v>112.3293</v>
      </c>
      <c r="DX53" s="43">
        <v>0.98532609999999998</v>
      </c>
      <c r="DY53" s="43">
        <v>0.9620109</v>
      </c>
      <c r="DZ53" s="43">
        <v>1.0029999999999999</v>
      </c>
      <c r="EA53" s="43">
        <v>961.86410000000001</v>
      </c>
      <c r="EB53" s="43">
        <v>109.3751</v>
      </c>
      <c r="EC53" s="43">
        <v>0.995</v>
      </c>
      <c r="ED53" s="43">
        <v>0.997</v>
      </c>
      <c r="EE53" s="43">
        <v>0.98399999999999999</v>
      </c>
      <c r="EF53" s="43">
        <v>1.025333</v>
      </c>
      <c r="EG53" s="43">
        <v>0.99266670000000001</v>
      </c>
      <c r="EH53" s="43">
        <v>0.451364514882103</v>
      </c>
      <c r="EI53" s="43">
        <v>0.18644844517185</v>
      </c>
      <c r="EJ53" s="43">
        <v>21.3575157914843</v>
      </c>
      <c r="EK53" s="43">
        <v>12.1191489361702</v>
      </c>
      <c r="EL53" s="43">
        <v>0.53378750497413496</v>
      </c>
      <c r="EM53" s="43">
        <v>1284.9664147814401</v>
      </c>
      <c r="EN53" s="43">
        <v>319.94625461441302</v>
      </c>
      <c r="EO53" s="43">
        <v>47549.719152569902</v>
      </c>
      <c r="EP53" s="43">
        <v>32236.261011864801</v>
      </c>
      <c r="EQ53" s="43">
        <v>2293.1993204700402</v>
      </c>
      <c r="ER53" s="43">
        <v>1.2931077900825101</v>
      </c>
      <c r="ES53" s="43">
        <v>1.3813530718692999</v>
      </c>
      <c r="ET53" s="43">
        <v>1.27505609807904</v>
      </c>
      <c r="EU53" s="43">
        <v>0.86600339999999998</v>
      </c>
      <c r="EV53" s="43">
        <v>1.0086999999999999</v>
      </c>
      <c r="EW53" s="43">
        <v>1.3236000000000001</v>
      </c>
      <c r="EX53" s="43">
        <v>0.86031570000000002</v>
      </c>
      <c r="EY53" s="43">
        <v>1.002148</v>
      </c>
      <c r="EZ53" s="43">
        <v>1.323661</v>
      </c>
      <c r="FA53" s="43">
        <v>6.5747863030809004</v>
      </c>
      <c r="FB53" s="43">
        <v>6.5172792288715398</v>
      </c>
      <c r="FC53" s="43">
        <v>27.941869277544001</v>
      </c>
      <c r="FD53" s="43">
        <v>8400.9422247599505</v>
      </c>
      <c r="FE53" s="43">
        <v>85226.34</v>
      </c>
      <c r="FF53" s="43">
        <v>1.07431249999999</v>
      </c>
      <c r="FG53" s="43">
        <v>3.3033239999999999</v>
      </c>
      <c r="FH53" s="43">
        <v>670.04629999999997</v>
      </c>
      <c r="FI53" s="43">
        <v>13279.12</v>
      </c>
      <c r="FJ53" s="43">
        <v>6.835515</v>
      </c>
      <c r="FK53" s="43">
        <v>19.864039999999999</v>
      </c>
      <c r="FL53" s="43">
        <v>1.1206130000000001</v>
      </c>
      <c r="FM53" s="43">
        <v>1.080014</v>
      </c>
    </row>
    <row r="54" spans="1:169" x14ac:dyDescent="0.25">
      <c r="A54" s="43" t="s">
        <v>281</v>
      </c>
      <c r="B54" s="43">
        <v>19398.34</v>
      </c>
      <c r="C54" s="43">
        <v>13161.04</v>
      </c>
      <c r="D54" s="43">
        <v>2.4383309999999998</v>
      </c>
      <c r="E54" s="43">
        <v>0.70133330000000005</v>
      </c>
      <c r="F54" s="43">
        <v>2.4441109999999999</v>
      </c>
      <c r="G54" s="43">
        <v>4.5655559999999999</v>
      </c>
      <c r="H54" s="43">
        <v>0.98776850000000005</v>
      </c>
      <c r="I54" s="43">
        <v>0.99447050000000004</v>
      </c>
      <c r="J54" s="43">
        <v>0.98976070000000005</v>
      </c>
      <c r="K54" s="43">
        <v>0.9991544</v>
      </c>
      <c r="L54" s="43">
        <v>1.969589</v>
      </c>
      <c r="M54" s="43">
        <v>51.709890000000001</v>
      </c>
      <c r="N54" s="43">
        <v>53.640333333333302</v>
      </c>
      <c r="O54" s="43">
        <v>3.0153333333333299</v>
      </c>
      <c r="P54" s="43">
        <v>1.221333</v>
      </c>
      <c r="Q54" s="43">
        <v>-536.82839999999999</v>
      </c>
      <c r="R54" s="43">
        <v>3.794778</v>
      </c>
      <c r="S54" s="43">
        <v>2759.5529999999999</v>
      </c>
      <c r="T54" s="43">
        <v>0.59233340000000001</v>
      </c>
      <c r="U54" s="43">
        <v>3.0437780000000001</v>
      </c>
      <c r="V54" s="43">
        <v>2203.6930000000002</v>
      </c>
      <c r="W54" s="43">
        <v>1.282</v>
      </c>
      <c r="X54" s="43">
        <v>14422.45</v>
      </c>
      <c r="Y54" s="43">
        <v>1.3102149999999999</v>
      </c>
      <c r="Z54" s="43">
        <v>0.75389890000000004</v>
      </c>
      <c r="AA54" s="43">
        <v>0.99480000000000002</v>
      </c>
      <c r="AB54" s="43">
        <v>1.0040100000000001</v>
      </c>
      <c r="AC54" s="43">
        <v>45.15211</v>
      </c>
      <c r="AD54" s="43">
        <v>0.99389000000000005</v>
      </c>
      <c r="AE54" s="43">
        <v>0.99082999999999999</v>
      </c>
      <c r="AF54" s="43">
        <v>0.98338000000000003</v>
      </c>
      <c r="AG54" s="43">
        <v>326.05279999999999</v>
      </c>
      <c r="AH54" s="43">
        <v>126.6237</v>
      </c>
      <c r="AI54" s="43">
        <v>1.8855219999999999</v>
      </c>
      <c r="AJ54" s="43">
        <v>1.91366666666667</v>
      </c>
      <c r="AK54" s="43">
        <v>19280.080000000002</v>
      </c>
      <c r="AM54" s="43">
        <v>1.97041111111111</v>
      </c>
      <c r="AN54" s="43">
        <v>1.4376439999999999</v>
      </c>
      <c r="AO54" s="43">
        <v>2.0882111111111099</v>
      </c>
      <c r="AP54" s="43">
        <v>1.72905555555556</v>
      </c>
      <c r="AQ54" s="43">
        <v>2.7669329999999999</v>
      </c>
      <c r="AR54" s="43">
        <v>1.8693439999999999</v>
      </c>
      <c r="AS54" s="43">
        <v>1.604911</v>
      </c>
      <c r="AT54" s="43">
        <v>1.597567</v>
      </c>
      <c r="AU54" s="43">
        <v>2.0524110000000002</v>
      </c>
      <c r="AV54" s="43">
        <v>1992.778</v>
      </c>
      <c r="AW54" s="43">
        <v>1119.347</v>
      </c>
      <c r="AX54" s="43">
        <v>1.037515</v>
      </c>
      <c r="AY54" s="43">
        <v>1.2969999999999999</v>
      </c>
      <c r="AZ54" s="43">
        <v>225.20500000000001</v>
      </c>
      <c r="BA54" s="43">
        <v>0.7553453</v>
      </c>
      <c r="BB54" s="43">
        <v>109</v>
      </c>
      <c r="BC54" s="43">
        <v>25.657109999999999</v>
      </c>
      <c r="BD54" s="43">
        <v>6.7033329999999998</v>
      </c>
      <c r="BE54" s="43">
        <v>0.96299999999999997</v>
      </c>
      <c r="BF54" s="43">
        <v>0.47523330000000003</v>
      </c>
      <c r="BG54" s="43">
        <v>0.75</v>
      </c>
      <c r="BH54" s="43">
        <v>1.830667</v>
      </c>
      <c r="BI54" s="43">
        <v>1.075</v>
      </c>
      <c r="BJ54" s="43">
        <v>1.0580000000000001</v>
      </c>
      <c r="BK54" s="43">
        <v>59.781640000000003</v>
      </c>
      <c r="BL54" s="43">
        <v>68.464169999999996</v>
      </c>
      <c r="BM54" s="43">
        <v>1.0225949999999999</v>
      </c>
      <c r="BN54" s="43">
        <v>1.2277039999999999</v>
      </c>
      <c r="BO54" s="43">
        <v>36.54</v>
      </c>
      <c r="BP54" s="43">
        <v>1.3240053852399201</v>
      </c>
      <c r="BQ54" s="43">
        <v>2082.3119999999999</v>
      </c>
      <c r="BR54" s="43">
        <v>412.06789674109802</v>
      </c>
      <c r="BS54" s="43">
        <v>10878.33</v>
      </c>
      <c r="BT54" s="43">
        <v>5900.5290000000005</v>
      </c>
      <c r="BU54" s="43">
        <v>1.0228999999999999</v>
      </c>
      <c r="BV54" s="43">
        <v>1.008081</v>
      </c>
      <c r="BW54" s="43">
        <v>1.008311</v>
      </c>
      <c r="BX54" s="43">
        <v>1.0653859999999999</v>
      </c>
      <c r="BY54" s="43">
        <v>0.33444439999999998</v>
      </c>
      <c r="BZ54" s="43">
        <v>0.50688889999999998</v>
      </c>
      <c r="CA54" s="43">
        <v>0.67966660000000001</v>
      </c>
      <c r="CB54" s="43">
        <v>0.80773229999999996</v>
      </c>
      <c r="CC54" s="43">
        <v>8.9306760000000001</v>
      </c>
      <c r="CD54" s="43">
        <v>1.011522</v>
      </c>
      <c r="CE54" s="43">
        <v>1.0092669999999999</v>
      </c>
      <c r="CF54" s="43">
        <v>1.0283439999999999</v>
      </c>
      <c r="CG54" s="43">
        <v>0.96300010000000003</v>
      </c>
      <c r="CH54" s="43">
        <v>1.011978</v>
      </c>
      <c r="CI54" s="43">
        <v>0.98996660000000003</v>
      </c>
      <c r="CJ54" s="43">
        <v>0.99077780000000004</v>
      </c>
      <c r="CK54" s="43">
        <v>0.85433329999999996</v>
      </c>
      <c r="CL54" s="43">
        <v>1.0083329999999999</v>
      </c>
      <c r="CM54" s="43">
        <v>1.0049999999999999</v>
      </c>
      <c r="CN54" s="43">
        <v>1.0058670000000001</v>
      </c>
      <c r="CO54" s="43">
        <v>1.0149999999999999</v>
      </c>
      <c r="CP54" s="43">
        <v>0.9386331</v>
      </c>
      <c r="CQ54" s="43">
        <v>1.0122</v>
      </c>
      <c r="CR54" s="43">
        <v>-0.37431110000000001</v>
      </c>
      <c r="CS54" s="43">
        <v>50.447414722075202</v>
      </c>
      <c r="CT54" s="43">
        <v>58.786059999999999</v>
      </c>
      <c r="CU54" s="43">
        <v>25.376200000000001</v>
      </c>
      <c r="CV54" s="43">
        <v>27.0354562592536</v>
      </c>
      <c r="CW54" s="43">
        <v>1.009333</v>
      </c>
      <c r="CX54" s="43">
        <v>1.0083329999999999</v>
      </c>
      <c r="CY54" s="43">
        <v>1.042</v>
      </c>
      <c r="CZ54" s="43">
        <v>1.00033333333333</v>
      </c>
      <c r="DA54" s="43">
        <v>0.98933333333333295</v>
      </c>
      <c r="DB54" s="43">
        <v>1.7570996578</v>
      </c>
      <c r="DC54" s="43">
        <v>1.01633333333333</v>
      </c>
      <c r="DD54" s="43">
        <v>0.90800000000000003</v>
      </c>
      <c r="DE54" s="43">
        <v>0.96199999999999997</v>
      </c>
      <c r="DF54" s="43">
        <v>0.91200000000000003</v>
      </c>
      <c r="DG54" s="43">
        <v>0.88100000000000001</v>
      </c>
      <c r="DH54" s="43">
        <v>0.92800000000000005</v>
      </c>
      <c r="DI54" s="43">
        <v>0.873</v>
      </c>
      <c r="DJ54" s="43">
        <v>0.76600000000000001</v>
      </c>
      <c r="DK54" s="43">
        <v>1.0456669999999999</v>
      </c>
      <c r="DL54" s="43">
        <v>1.0223329999999999</v>
      </c>
      <c r="DM54" s="43">
        <v>0.95766669999999998</v>
      </c>
      <c r="DN54" s="43">
        <v>1.006</v>
      </c>
      <c r="DO54" s="43">
        <v>0.99966670000000002</v>
      </c>
      <c r="DP54" s="43">
        <v>1.0116670000000001</v>
      </c>
      <c r="DQ54" s="43">
        <v>1.169333</v>
      </c>
      <c r="DR54" s="43">
        <v>1.009333</v>
      </c>
      <c r="DS54" s="43">
        <v>1.084667</v>
      </c>
      <c r="DT54" s="43">
        <v>1.0189999999999999</v>
      </c>
      <c r="DU54" s="43">
        <v>547.19200000000001</v>
      </c>
      <c r="DV54" s="43">
        <v>300.99059999999997</v>
      </c>
      <c r="DW54" s="43">
        <v>111.99</v>
      </c>
      <c r="DX54" s="43">
        <v>0.98134449999999995</v>
      </c>
      <c r="DY54" s="43">
        <v>0.97634449999999995</v>
      </c>
      <c r="DZ54" s="43">
        <v>1</v>
      </c>
      <c r="EA54" s="43">
        <v>987.31370000000004</v>
      </c>
      <c r="EB54" s="43">
        <v>113.7448</v>
      </c>
      <c r="EC54" s="43">
        <v>1.0049999999999999</v>
      </c>
      <c r="ED54" s="43">
        <v>1.0149999999999999</v>
      </c>
      <c r="EE54" s="43">
        <v>1.0083329999999999</v>
      </c>
      <c r="EF54" s="43">
        <v>1.042</v>
      </c>
      <c r="EG54" s="43">
        <v>1.009333</v>
      </c>
      <c r="EH54" s="43">
        <v>0.45786238886741398</v>
      </c>
      <c r="EI54" s="43">
        <v>0.18913256955810201</v>
      </c>
      <c r="EJ54" s="43">
        <v>21.664980028651001</v>
      </c>
      <c r="EK54" s="43">
        <v>12.293617021276599</v>
      </c>
      <c r="EL54" s="43">
        <v>0.541471945881417</v>
      </c>
      <c r="EM54" s="43">
        <v>1423.9183549061099</v>
      </c>
      <c r="EN54" s="43">
        <v>354.54416495890803</v>
      </c>
      <c r="EO54" s="43">
        <v>52691.585626766202</v>
      </c>
      <c r="EP54" s="43">
        <v>35722.181700870402</v>
      </c>
      <c r="EQ54" s="43">
        <v>2541.1781711282501</v>
      </c>
      <c r="ER54" s="43">
        <v>1.3112663485813301</v>
      </c>
      <c r="ES54" s="43">
        <v>1.4007508210402899</v>
      </c>
      <c r="ET54" s="43">
        <v>1.2929611644036201</v>
      </c>
      <c r="EU54" s="43">
        <v>0.87593900000000002</v>
      </c>
      <c r="EV54" s="43">
        <v>1.0521</v>
      </c>
      <c r="EW54" s="43">
        <v>1.3386</v>
      </c>
      <c r="EX54" s="43">
        <v>0.87703730000000002</v>
      </c>
      <c r="EY54" s="43">
        <v>1.0529139999999999</v>
      </c>
      <c r="EZ54" s="43">
        <v>1.3287770000000001</v>
      </c>
      <c r="FA54" s="43">
        <v>6.6511007501807704</v>
      </c>
      <c r="FB54" s="43">
        <v>6.5935415336296002</v>
      </c>
      <c r="FC54" s="43">
        <v>28.484966244643399</v>
      </c>
      <c r="FD54" s="43">
        <v>8826.5085752550604</v>
      </c>
      <c r="FE54" s="43">
        <v>85555.77</v>
      </c>
      <c r="FF54" s="43">
        <v>1.10825</v>
      </c>
      <c r="FG54" s="43">
        <v>3.1465130000000001</v>
      </c>
      <c r="FH54" s="43">
        <v>658.23329999999999</v>
      </c>
      <c r="FI54" s="43">
        <v>13362.62</v>
      </c>
      <c r="FJ54" s="43">
        <v>6.8900370000000004</v>
      </c>
      <c r="FK54" s="43">
        <v>20.326540000000001</v>
      </c>
      <c r="FL54" s="43">
        <v>1.1281429999999999</v>
      </c>
      <c r="FM54" s="43">
        <v>1.0858030000000001</v>
      </c>
    </row>
    <row r="55" spans="1:169" x14ac:dyDescent="0.25">
      <c r="A55" s="43" t="s">
        <v>282</v>
      </c>
      <c r="B55" s="43">
        <v>19506.95</v>
      </c>
      <c r="C55" s="43">
        <v>13225.64</v>
      </c>
      <c r="D55" s="43">
        <v>2.4411870000000002</v>
      </c>
      <c r="E55" s="43">
        <v>0.94956050000000003</v>
      </c>
      <c r="F55" s="43">
        <v>2.2637360000000002</v>
      </c>
      <c r="G55" s="43">
        <v>4.3670330000000002</v>
      </c>
      <c r="H55" s="43">
        <v>1.0015309999999999</v>
      </c>
      <c r="I55" s="43">
        <v>1.001973</v>
      </c>
      <c r="J55" s="43">
        <v>1.000229</v>
      </c>
      <c r="K55" s="43">
        <v>1.0041070000000001</v>
      </c>
      <c r="L55" s="43">
        <v>1.9679230000000001</v>
      </c>
      <c r="M55" s="43">
        <v>48.242640000000002</v>
      </c>
      <c r="N55" s="43">
        <v>49.677252747252702</v>
      </c>
      <c r="O55" s="43">
        <v>3.0774725274725299</v>
      </c>
      <c r="P55" s="43">
        <v>1.1839999999999999</v>
      </c>
      <c r="Q55" s="43">
        <v>-558.72460000000001</v>
      </c>
      <c r="R55" s="43">
        <v>4.0428569999999997</v>
      </c>
      <c r="S55" s="43">
        <v>2785.7550000000001</v>
      </c>
      <c r="T55" s="43">
        <v>0.89</v>
      </c>
      <c r="U55" s="43">
        <v>2.8970769999999999</v>
      </c>
      <c r="V55" s="43">
        <v>2195.578</v>
      </c>
      <c r="W55" s="43">
        <v>1.29</v>
      </c>
      <c r="X55" s="43">
        <v>14579.91</v>
      </c>
      <c r="Y55" s="43">
        <v>1.307734</v>
      </c>
      <c r="Z55" s="43">
        <v>0.76585320000000001</v>
      </c>
      <c r="AA55" s="43">
        <v>0.99441999999999997</v>
      </c>
      <c r="AB55" s="43">
        <v>1.0083500000000001</v>
      </c>
      <c r="AC55" s="43">
        <v>45.072969999999998</v>
      </c>
      <c r="AD55" s="43">
        <v>0.99656</v>
      </c>
      <c r="AE55" s="43">
        <v>0.99883</v>
      </c>
      <c r="AF55" s="43">
        <v>0.99553000000000003</v>
      </c>
      <c r="AG55" s="43">
        <v>326.55399999999997</v>
      </c>
      <c r="AH55" s="43">
        <v>126.72499999999999</v>
      </c>
      <c r="AI55" s="43">
        <v>1.8969780000000001</v>
      </c>
      <c r="AJ55" s="43">
        <v>1.927</v>
      </c>
      <c r="AK55" s="43">
        <v>19438.64</v>
      </c>
      <c r="AM55" s="43">
        <v>1.94821978021978</v>
      </c>
      <c r="AN55" s="43">
        <v>1.3116920000000001</v>
      </c>
      <c r="AO55" s="43">
        <v>2.11275824175824</v>
      </c>
      <c r="AP55" s="43">
        <v>1.6180000000000001</v>
      </c>
      <c r="AQ55" s="43">
        <v>2.8049780000000002</v>
      </c>
      <c r="AR55" s="43">
        <v>1.8943410000000001</v>
      </c>
      <c r="AS55" s="43">
        <v>1.552154</v>
      </c>
      <c r="AT55" s="43">
        <v>1.605901</v>
      </c>
      <c r="AU55" s="43">
        <v>2.0812089999999999</v>
      </c>
      <c r="AV55" s="43">
        <v>2013.165</v>
      </c>
      <c r="AW55" s="43">
        <v>1134.136</v>
      </c>
      <c r="AX55" s="43">
        <v>1.052349</v>
      </c>
      <c r="AY55" s="43">
        <v>1.304341</v>
      </c>
      <c r="AZ55" s="43">
        <v>203.36799999999999</v>
      </c>
      <c r="BA55" s="43">
        <v>0.74336049999999998</v>
      </c>
      <c r="BB55" s="43">
        <v>110.9</v>
      </c>
      <c r="BC55" s="43">
        <v>25.627359999999999</v>
      </c>
      <c r="BD55" s="43">
        <v>6.5340660000000002</v>
      </c>
      <c r="BE55" s="43">
        <v>0.97166669999999999</v>
      </c>
      <c r="BF55" s="43">
        <v>0.53637369999999995</v>
      </c>
      <c r="BG55" s="43">
        <v>0.75</v>
      </c>
      <c r="BH55" s="43">
        <v>1.539461</v>
      </c>
      <c r="BI55" s="43">
        <v>1.075</v>
      </c>
      <c r="BJ55" s="43">
        <v>1.0580000000000001</v>
      </c>
      <c r="BK55" s="43">
        <v>60.638500000000001</v>
      </c>
      <c r="BL55" s="43">
        <v>64.902780000000007</v>
      </c>
      <c r="BM55" s="43">
        <v>1.0352079999999999</v>
      </c>
      <c r="BN55" s="43">
        <v>1.2435240000000001</v>
      </c>
      <c r="BO55" s="43">
        <v>36.651580000000003</v>
      </c>
      <c r="BP55" s="43">
        <v>1.3453406585085499</v>
      </c>
      <c r="BQ55" s="43">
        <v>2100.2199999999998</v>
      </c>
      <c r="BR55" s="43">
        <v>415.08803316657401</v>
      </c>
      <c r="BS55" s="43">
        <v>10965.15</v>
      </c>
      <c r="BT55" s="43">
        <v>5926.11</v>
      </c>
      <c r="BU55" s="43">
        <v>1.0346919999999999</v>
      </c>
      <c r="BV55" s="43">
        <v>1.0204260000000001</v>
      </c>
      <c r="BW55" s="43">
        <v>1.0053300000000001</v>
      </c>
      <c r="BX55" s="43">
        <v>1.0995330000000001</v>
      </c>
      <c r="BY55" s="43">
        <v>0.29732969999999997</v>
      </c>
      <c r="BZ55" s="43">
        <v>1.2752749999999999</v>
      </c>
      <c r="CA55" s="43">
        <v>0.54183519999999996</v>
      </c>
      <c r="CB55" s="43">
        <v>0.78239780000000003</v>
      </c>
      <c r="CC55" s="43">
        <v>8.8158700000000003</v>
      </c>
      <c r="CD55" s="43">
        <v>1.0316810000000001</v>
      </c>
      <c r="CE55" s="43">
        <v>1.020802</v>
      </c>
      <c r="CF55" s="43">
        <v>1.044308</v>
      </c>
      <c r="CG55" s="43">
        <v>0.93066669999999996</v>
      </c>
      <c r="CH55" s="43">
        <v>1.0243629999999999</v>
      </c>
      <c r="CI55" s="43">
        <v>1.009736</v>
      </c>
      <c r="CJ55" s="43">
        <v>1.024516</v>
      </c>
      <c r="CK55" s="43">
        <v>0.88433329999999999</v>
      </c>
      <c r="CL55" s="43">
        <v>1.02</v>
      </c>
      <c r="CM55" s="43">
        <v>1.006</v>
      </c>
      <c r="CN55" s="43">
        <v>1.0298670000000001</v>
      </c>
      <c r="CO55" s="43">
        <v>1.008</v>
      </c>
      <c r="CP55" s="43">
        <v>0.90983069999999999</v>
      </c>
      <c r="CQ55" s="43">
        <v>1.02433</v>
      </c>
      <c r="CR55" s="43">
        <v>-0.39335160000000002</v>
      </c>
      <c r="CS55" s="43">
        <v>45.212106572086498</v>
      </c>
      <c r="CT55" s="43">
        <v>57.220149999999997</v>
      </c>
      <c r="CU55" s="43">
        <v>24.183499999999999</v>
      </c>
      <c r="CV55" s="43">
        <v>26.590561913106502</v>
      </c>
      <c r="CW55" s="43">
        <v>1.008</v>
      </c>
      <c r="CX55" s="43">
        <v>1.0029999999999999</v>
      </c>
      <c r="CY55" s="43">
        <v>1.0333330000000001</v>
      </c>
      <c r="CZ55" s="43">
        <v>0.99866666666666704</v>
      </c>
      <c r="DA55" s="43">
        <v>0.98</v>
      </c>
      <c r="DB55" s="43">
        <v>1.7248374877999999</v>
      </c>
      <c r="DC55" s="43">
        <v>1.03433333333333</v>
      </c>
      <c r="DD55" s="43">
        <v>0.91</v>
      </c>
      <c r="DE55" s="43">
        <v>0.96599999999999997</v>
      </c>
      <c r="DF55" s="43">
        <v>0.91500000000000004</v>
      </c>
      <c r="DG55" s="43">
        <v>0.88200000000000001</v>
      </c>
      <c r="DH55" s="43">
        <v>0.93200000000000005</v>
      </c>
      <c r="DI55" s="43">
        <v>0.88800000000000001</v>
      </c>
      <c r="DJ55" s="43">
        <v>0.78400000000000003</v>
      </c>
      <c r="DK55" s="43">
        <v>1.044</v>
      </c>
      <c r="DL55" s="43">
        <v>1.0473330000000001</v>
      </c>
      <c r="DM55" s="43">
        <v>0.94866669999999997</v>
      </c>
      <c r="DN55" s="43">
        <v>1.0169999999999999</v>
      </c>
      <c r="DO55" s="43">
        <v>0.94899999999999995</v>
      </c>
      <c r="DP55" s="43">
        <v>1.020667</v>
      </c>
      <c r="DQ55" s="43">
        <v>1.024</v>
      </c>
      <c r="DR55" s="43">
        <v>1.0136670000000001</v>
      </c>
      <c r="DS55" s="43">
        <v>1.050667</v>
      </c>
      <c r="DT55" s="43">
        <v>1.01833333333333</v>
      </c>
      <c r="DU55" s="43">
        <v>549.33839999999998</v>
      </c>
      <c r="DV55" s="43">
        <v>302.65300000000002</v>
      </c>
      <c r="DW55" s="43">
        <v>114.122</v>
      </c>
      <c r="DX55" s="43">
        <v>0.98534069999999996</v>
      </c>
      <c r="DY55" s="43">
        <v>0.98132969999999997</v>
      </c>
      <c r="DZ55" s="43">
        <v>1.0029999999999999</v>
      </c>
      <c r="EA55" s="43">
        <v>984.99540000000002</v>
      </c>
      <c r="EB55" s="43">
        <v>111.11020000000001</v>
      </c>
      <c r="EC55" s="43">
        <v>1.006</v>
      </c>
      <c r="ED55" s="43">
        <v>1.008</v>
      </c>
      <c r="EE55" s="43">
        <v>1.0029999999999999</v>
      </c>
      <c r="EF55" s="43">
        <v>1.0333330000000001</v>
      </c>
      <c r="EG55" s="43">
        <v>1.008</v>
      </c>
      <c r="EH55" s="43">
        <v>0.46198299188248898</v>
      </c>
      <c r="EI55" s="43">
        <v>0.19083469721767601</v>
      </c>
      <c r="EJ55" s="43">
        <v>21.859957349781101</v>
      </c>
      <c r="EK55" s="43">
        <v>12.4042553191489</v>
      </c>
      <c r="EL55" s="43">
        <v>0.54634500596896096</v>
      </c>
      <c r="EM55" s="43">
        <v>1421.4224648407701</v>
      </c>
      <c r="EN55" s="43">
        <v>353.92270849969702</v>
      </c>
      <c r="EO55" s="43">
        <v>52599.226114270401</v>
      </c>
      <c r="EP55" s="43">
        <v>35659.566707452803</v>
      </c>
      <c r="EQ55" s="43">
        <v>2536.7239119850001</v>
      </c>
      <c r="ER55" s="43">
        <v>1.30738968256745</v>
      </c>
      <c r="ES55" s="43">
        <v>1.3966096005264601</v>
      </c>
      <c r="ET55" s="43">
        <v>1.28913861636924</v>
      </c>
      <c r="EU55" s="43">
        <v>0.87407670000000004</v>
      </c>
      <c r="EV55" s="43">
        <v>1.0491330000000001</v>
      </c>
      <c r="EW55" s="43">
        <v>1.3341000000000001</v>
      </c>
      <c r="EX55" s="43">
        <v>0.87542319999999996</v>
      </c>
      <c r="EY55" s="43">
        <v>1.054603</v>
      </c>
      <c r="EZ55" s="43">
        <v>1.337574</v>
      </c>
      <c r="FA55" s="43">
        <v>6.6367961278486298</v>
      </c>
      <c r="FB55" s="43">
        <v>6.5777599165221297</v>
      </c>
      <c r="FC55" s="43">
        <v>28.432540452359799</v>
      </c>
      <c r="FD55" s="43">
        <v>8840.6703765125203</v>
      </c>
      <c r="FE55" s="43">
        <v>86122.16</v>
      </c>
      <c r="FF55" s="43">
        <v>1.1232500000000001</v>
      </c>
      <c r="FG55" s="43">
        <v>3.2141579999999998</v>
      </c>
      <c r="FH55" s="43">
        <v>667.63170000000002</v>
      </c>
      <c r="FI55" s="43">
        <v>13332.67</v>
      </c>
      <c r="FJ55" s="43">
        <v>6.8620650000000003</v>
      </c>
      <c r="FK55" s="43">
        <v>18.569269999999999</v>
      </c>
      <c r="FL55" s="43">
        <v>1.111782</v>
      </c>
      <c r="FM55" s="43">
        <v>1.0575060000000001</v>
      </c>
    </row>
    <row r="56" spans="1:169" x14ac:dyDescent="0.25">
      <c r="A56" s="43" t="s">
        <v>283</v>
      </c>
      <c r="B56" s="43">
        <v>19660.77</v>
      </c>
      <c r="C56" s="43">
        <v>13314.87</v>
      </c>
      <c r="D56" s="43">
        <v>2.4527450000000002</v>
      </c>
      <c r="E56" s="43">
        <v>1.15337</v>
      </c>
      <c r="F56" s="43">
        <v>2.2438039999999999</v>
      </c>
      <c r="G56" s="43">
        <v>4.3336959999999998</v>
      </c>
      <c r="H56" s="43">
        <v>0.99843300000000001</v>
      </c>
      <c r="I56" s="43">
        <v>0.99686900000000001</v>
      </c>
      <c r="J56" s="43">
        <v>0.9968494</v>
      </c>
      <c r="K56" s="43">
        <v>0.99678199999999995</v>
      </c>
      <c r="L56" s="43">
        <v>1.975511</v>
      </c>
      <c r="M56" s="43">
        <v>48.145319999999998</v>
      </c>
      <c r="N56" s="43">
        <v>52.066086956521701</v>
      </c>
      <c r="O56" s="43">
        <v>2.9530434782608701</v>
      </c>
      <c r="P56" s="43">
        <v>1.1786669999999999</v>
      </c>
      <c r="Q56" s="43">
        <v>-525.71479999999997</v>
      </c>
      <c r="R56" s="43">
        <v>4.25</v>
      </c>
      <c r="S56" s="43">
        <v>2801.6559999999999</v>
      </c>
      <c r="T56" s="43">
        <v>1.0367390000000001</v>
      </c>
      <c r="U56" s="43">
        <v>2.8215819999999998</v>
      </c>
      <c r="V56" s="43">
        <v>2232.7890000000002</v>
      </c>
      <c r="W56" s="43">
        <v>1.3</v>
      </c>
      <c r="X56" s="43">
        <v>14681.23</v>
      </c>
      <c r="Y56" s="43">
        <v>1.3037019999999999</v>
      </c>
      <c r="Z56" s="43">
        <v>0.76584430000000003</v>
      </c>
      <c r="AA56" s="43">
        <v>1.0036700000000001</v>
      </c>
      <c r="AB56" s="43">
        <v>0.99100999999999995</v>
      </c>
      <c r="AC56" s="43">
        <v>44.119129999999998</v>
      </c>
      <c r="AD56" s="43">
        <v>1.0017400000000001</v>
      </c>
      <c r="AE56" s="43">
        <v>1.0058800000000001</v>
      </c>
      <c r="AF56" s="43">
        <v>1.0067200000000001</v>
      </c>
      <c r="AG56" s="43">
        <v>327.13819999999998</v>
      </c>
      <c r="AH56" s="43">
        <v>126.8263</v>
      </c>
      <c r="AI56" s="43">
        <v>1.906196</v>
      </c>
      <c r="AJ56" s="43">
        <v>1.9410000000000001</v>
      </c>
      <c r="AK56" s="43">
        <v>19692.599999999999</v>
      </c>
      <c r="AM56" s="43">
        <v>1.9525652173913</v>
      </c>
      <c r="AN56" s="43">
        <v>1.2870649999999999</v>
      </c>
      <c r="AO56" s="43">
        <v>2.10605434782609</v>
      </c>
      <c r="AP56" s="43">
        <v>1.7071630434782601</v>
      </c>
      <c r="AQ56" s="43">
        <v>2.7975759999999998</v>
      </c>
      <c r="AR56" s="43">
        <v>1.8912929999999999</v>
      </c>
      <c r="AS56" s="43">
        <v>1.5790439999999999</v>
      </c>
      <c r="AT56" s="43">
        <v>1.650217</v>
      </c>
      <c r="AU56" s="43">
        <v>2.0726849999999999</v>
      </c>
      <c r="AV56" s="43">
        <v>2021.6579999999999</v>
      </c>
      <c r="AW56" s="43">
        <v>1144.4860000000001</v>
      </c>
      <c r="AX56" s="43">
        <v>1.045955</v>
      </c>
      <c r="AY56" s="43">
        <v>1.3056410000000001</v>
      </c>
      <c r="AZ56" s="43">
        <v>224.34200000000001</v>
      </c>
      <c r="BA56" s="43">
        <v>0.79768539999999999</v>
      </c>
      <c r="BB56" s="43">
        <v>113.3</v>
      </c>
      <c r="BC56" s="43">
        <v>25.579889999999999</v>
      </c>
      <c r="BD56" s="43">
        <v>6.2336960000000001</v>
      </c>
      <c r="BE56" s="43">
        <v>0.95199999999999996</v>
      </c>
      <c r="BF56" s="43">
        <v>0.80899469999999996</v>
      </c>
      <c r="BG56" s="43">
        <v>1.0833330000000001</v>
      </c>
      <c r="BH56" s="43">
        <v>1.966</v>
      </c>
      <c r="BI56" s="43">
        <v>1.081</v>
      </c>
      <c r="BJ56" s="43">
        <v>1.0589999999999999</v>
      </c>
      <c r="BK56" s="43">
        <v>55.320010000000003</v>
      </c>
      <c r="BL56" s="43">
        <v>60.368369999999999</v>
      </c>
      <c r="BM56" s="43">
        <v>1.0223739999999999</v>
      </c>
      <c r="BN56" s="43">
        <v>1.225023</v>
      </c>
      <c r="BO56" s="43">
        <v>36.763869999999997</v>
      </c>
      <c r="BP56" s="43">
        <v>1.2538781117821001</v>
      </c>
      <c r="BQ56" s="43">
        <v>2116.6</v>
      </c>
      <c r="BR56" s="43">
        <v>403.586866537432</v>
      </c>
      <c r="BS56" s="43">
        <v>11047</v>
      </c>
      <c r="BT56" s="43">
        <v>5960.415</v>
      </c>
      <c r="BU56" s="43">
        <v>1.052011</v>
      </c>
      <c r="BV56" s="43">
        <v>1.0192950000000001</v>
      </c>
      <c r="BW56" s="43">
        <v>1.0029669999999999</v>
      </c>
      <c r="BX56" s="43">
        <v>1.1750020000000001</v>
      </c>
      <c r="BY56" s="43">
        <v>0.45399450000000002</v>
      </c>
      <c r="BZ56" s="43">
        <v>0.77815219999999996</v>
      </c>
      <c r="CA56" s="43">
        <v>0.63493480000000002</v>
      </c>
      <c r="CB56" s="43">
        <v>0.76435640000000005</v>
      </c>
      <c r="CC56" s="43">
        <v>8.1396329999999999</v>
      </c>
      <c r="CD56" s="43">
        <v>1.0489889999999999</v>
      </c>
      <c r="CE56" s="43">
        <v>1.031272</v>
      </c>
      <c r="CF56" s="43">
        <v>1.066163</v>
      </c>
      <c r="CG56" s="43">
        <v>0.93200000000000005</v>
      </c>
      <c r="CH56" s="43">
        <v>1.0406629999999999</v>
      </c>
      <c r="CI56" s="43">
        <v>1.0086090000000001</v>
      </c>
      <c r="CJ56" s="43">
        <v>1.034446</v>
      </c>
      <c r="CK56" s="43">
        <v>0.90366670000000004</v>
      </c>
      <c r="CL56" s="43">
        <v>1.0296670000000001</v>
      </c>
      <c r="CM56" s="43">
        <v>1.006</v>
      </c>
      <c r="CN56" s="43">
        <v>1.0238670000000001</v>
      </c>
      <c r="CO56" s="43">
        <v>1.008</v>
      </c>
      <c r="CP56" s="43">
        <v>0.85123510000000002</v>
      </c>
      <c r="CQ56" s="43">
        <v>1.0350429999999999</v>
      </c>
      <c r="CR56" s="43">
        <v>-0.39500000000000002</v>
      </c>
      <c r="CS56" s="43">
        <v>44.3545514280814</v>
      </c>
      <c r="CT56" s="43">
        <v>58.944719999999997</v>
      </c>
      <c r="CU56" s="43">
        <v>22.21828</v>
      </c>
      <c r="CV56" s="43">
        <v>26.1065257455172</v>
      </c>
      <c r="CW56" s="43">
        <v>1.0089999999999999</v>
      </c>
      <c r="CX56" s="43">
        <v>1.000667</v>
      </c>
      <c r="CY56" s="43">
        <v>1.028667</v>
      </c>
      <c r="CZ56" s="43">
        <v>0.997</v>
      </c>
      <c r="DA56" s="43">
        <v>0.96699999999999997</v>
      </c>
      <c r="DB56" s="43">
        <v>1.7411383736999999</v>
      </c>
      <c r="DC56" s="43">
        <v>1.032</v>
      </c>
      <c r="DD56" s="43">
        <v>0.91400000000000003</v>
      </c>
      <c r="DE56" s="43">
        <v>0.96699999999999997</v>
      </c>
      <c r="DF56" s="43">
        <v>0.91400000000000003</v>
      </c>
      <c r="DG56" s="43">
        <v>0.875</v>
      </c>
      <c r="DH56" s="43">
        <v>0.94</v>
      </c>
      <c r="DI56" s="43">
        <v>0.89400000000000002</v>
      </c>
      <c r="DJ56" s="43">
        <v>0.8</v>
      </c>
      <c r="DK56" s="43">
        <v>1.066667</v>
      </c>
      <c r="DL56" s="43">
        <v>1.0456669999999999</v>
      </c>
      <c r="DM56" s="43">
        <v>0.95566669999999998</v>
      </c>
      <c r="DN56" s="43">
        <v>1.008</v>
      </c>
      <c r="DO56" s="43">
        <v>0.95333330000000005</v>
      </c>
      <c r="DP56" s="43">
        <v>1.0063329999999999</v>
      </c>
      <c r="DQ56" s="43">
        <v>1.0416669999999999</v>
      </c>
      <c r="DR56" s="43">
        <v>1.0016670000000001</v>
      </c>
      <c r="DS56" s="43">
        <v>1.0493330000000001</v>
      </c>
      <c r="DT56" s="43">
        <v>0.98199999999999998</v>
      </c>
      <c r="DU56" s="43">
        <v>553.8433</v>
      </c>
      <c r="DV56" s="43">
        <v>301.60930000000002</v>
      </c>
      <c r="DW56" s="43">
        <v>114.0359</v>
      </c>
      <c r="DX56" s="43">
        <v>0.98530439999999997</v>
      </c>
      <c r="DY56" s="43">
        <v>0.98497829999999997</v>
      </c>
      <c r="DZ56" s="43">
        <v>1.006</v>
      </c>
      <c r="EA56" s="43">
        <v>950.11530000000005</v>
      </c>
      <c r="EB56" s="43">
        <v>110.9288</v>
      </c>
      <c r="EC56" s="43">
        <v>1.006</v>
      </c>
      <c r="ED56" s="43">
        <v>1.008</v>
      </c>
      <c r="EE56" s="43">
        <v>1.000667</v>
      </c>
      <c r="EF56" s="43">
        <v>1.028667</v>
      </c>
      <c r="EG56" s="43">
        <v>1.0089999999999999</v>
      </c>
      <c r="EH56" s="43">
        <v>0.45263239273289502</v>
      </c>
      <c r="EI56" s="43">
        <v>0.186972176759411</v>
      </c>
      <c r="EJ56" s="43">
        <v>21.4175088133705</v>
      </c>
      <c r="EK56" s="43">
        <v>12.153191489361699</v>
      </c>
      <c r="EL56" s="43">
        <v>0.53528690807799495</v>
      </c>
      <c r="EM56" s="43">
        <v>1391.34224475109</v>
      </c>
      <c r="EN56" s="43">
        <v>346.43297674876402</v>
      </c>
      <c r="EO56" s="43">
        <v>51486.118408996103</v>
      </c>
      <c r="EP56" s="43">
        <v>34904.937002776598</v>
      </c>
      <c r="EQ56" s="43">
        <v>2483.0416215564301</v>
      </c>
      <c r="ER56" s="43">
        <v>1.3043166997459901</v>
      </c>
      <c r="ES56" s="43">
        <v>1.3933269087873901</v>
      </c>
      <c r="ET56" s="43">
        <v>1.28610853216756</v>
      </c>
      <c r="EU56" s="43">
        <v>0.87037739999999997</v>
      </c>
      <c r="EV56" s="43">
        <v>1.0824</v>
      </c>
      <c r="EW56" s="43">
        <v>1.3431999999999999</v>
      </c>
      <c r="EX56" s="43">
        <v>0.87238119999999997</v>
      </c>
      <c r="EY56" s="43">
        <v>1.0844819999999999</v>
      </c>
      <c r="EZ56" s="43">
        <v>1.349842</v>
      </c>
      <c r="FA56" s="43">
        <v>6.6083824896968997</v>
      </c>
      <c r="FB56" s="43">
        <v>6.5512750073721202</v>
      </c>
      <c r="FC56" s="43">
        <v>28.333740752375402</v>
      </c>
      <c r="FD56" s="43">
        <v>9091.1447901677493</v>
      </c>
      <c r="FE56" s="43">
        <v>86912.05</v>
      </c>
      <c r="FF56" s="43">
        <v>1.1365000000000001</v>
      </c>
      <c r="FG56" s="43">
        <v>3.1657630000000001</v>
      </c>
      <c r="FH56" s="43">
        <v>645.82000000000005</v>
      </c>
      <c r="FI56" s="43">
        <v>13406.77</v>
      </c>
      <c r="FJ56" s="43">
        <v>6.6716749999999996</v>
      </c>
      <c r="FK56" s="43">
        <v>17.824179999999998</v>
      </c>
      <c r="FL56" s="43">
        <v>1.05606</v>
      </c>
      <c r="FM56" s="43">
        <v>1.0203040000000001</v>
      </c>
    </row>
    <row r="57" spans="1:169" x14ac:dyDescent="0.25">
      <c r="A57" s="43" t="s">
        <v>284</v>
      </c>
      <c r="B57" s="43">
        <v>19882.349999999999</v>
      </c>
      <c r="C57" s="43">
        <v>13461.02</v>
      </c>
      <c r="D57" s="43">
        <v>2.472378</v>
      </c>
      <c r="E57" s="43">
        <v>1.2038040000000001</v>
      </c>
      <c r="F57" s="43">
        <v>2.3702169999999998</v>
      </c>
      <c r="G57" s="43">
        <v>4.1663040000000002</v>
      </c>
      <c r="H57" s="43">
        <v>1.012381</v>
      </c>
      <c r="I57" s="43">
        <v>1.0066440000000001</v>
      </c>
      <c r="J57" s="43">
        <v>1.0130319999999999</v>
      </c>
      <c r="K57" s="43">
        <v>1.000005</v>
      </c>
      <c r="L57" s="43">
        <v>2.008956</v>
      </c>
      <c r="M57" s="43">
        <v>55.352829999999997</v>
      </c>
      <c r="N57" s="43">
        <v>61.5171739130435</v>
      </c>
      <c r="O57" s="43">
        <v>2.9021739130434798</v>
      </c>
      <c r="P57" s="43">
        <v>1.236</v>
      </c>
      <c r="Q57" s="43">
        <v>-579.78819999999996</v>
      </c>
      <c r="R57" s="43">
        <v>4.3005430000000002</v>
      </c>
      <c r="S57" s="43">
        <v>2838.1779999999999</v>
      </c>
      <c r="T57" s="43">
        <v>1.206413</v>
      </c>
      <c r="U57" s="43">
        <v>2.820163</v>
      </c>
      <c r="V57" s="43">
        <v>2268.3440000000001</v>
      </c>
      <c r="W57" s="43">
        <v>1.3069999999999999</v>
      </c>
      <c r="X57" s="43">
        <v>14772.55</v>
      </c>
      <c r="Y57" s="43">
        <v>1.299169</v>
      </c>
      <c r="Z57" s="43">
        <v>0.77925469999999997</v>
      </c>
      <c r="AA57" s="43">
        <v>1.0094000000000001</v>
      </c>
      <c r="AB57" s="43">
        <v>0.99672000000000005</v>
      </c>
      <c r="AC57" s="43">
        <v>49.813589999999998</v>
      </c>
      <c r="AD57" s="43">
        <v>1.0078</v>
      </c>
      <c r="AE57" s="43">
        <v>1.00447</v>
      </c>
      <c r="AF57" s="43">
        <v>1.0143599999999999</v>
      </c>
      <c r="AG57" s="43">
        <v>327.69159999999999</v>
      </c>
      <c r="AH57" s="43">
        <v>126.9278</v>
      </c>
      <c r="AI57" s="43">
        <v>1.940652</v>
      </c>
      <c r="AJ57" s="43">
        <v>1.9650000000000001</v>
      </c>
      <c r="AK57" s="43">
        <v>20037.09</v>
      </c>
      <c r="AM57" s="43">
        <v>1.96127173913043</v>
      </c>
      <c r="AN57" s="43">
        <v>1.3103370000000001</v>
      </c>
      <c r="AO57" s="43">
        <v>2.1293152173913001</v>
      </c>
      <c r="AP57" s="43">
        <v>1.93655434782609</v>
      </c>
      <c r="AQ57" s="43">
        <v>2.8632390000000001</v>
      </c>
      <c r="AR57" s="43">
        <v>1.9073040000000001</v>
      </c>
      <c r="AS57" s="43">
        <v>1.6722170000000001</v>
      </c>
      <c r="AT57" s="43">
        <v>1.692294</v>
      </c>
      <c r="AU57" s="43">
        <v>2.0799780000000001</v>
      </c>
      <c r="AV57" s="43">
        <v>2032.13</v>
      </c>
      <c r="AW57" s="43">
        <v>1151.6759999999999</v>
      </c>
      <c r="AX57" s="43">
        <v>1.043558</v>
      </c>
      <c r="AY57" s="43">
        <v>1.3099670000000001</v>
      </c>
      <c r="AZ57" s="43">
        <v>229.542</v>
      </c>
      <c r="BA57" s="43">
        <v>0.78724839999999996</v>
      </c>
      <c r="BB57" s="43">
        <v>113.8</v>
      </c>
      <c r="BC57" s="43">
        <v>25.33793</v>
      </c>
      <c r="BD57" s="43">
        <v>6.1673910000000003</v>
      </c>
      <c r="BE57" s="43">
        <v>0.97066660000000005</v>
      </c>
      <c r="BF57" s="43">
        <v>0.92809779999999997</v>
      </c>
      <c r="BG57" s="43">
        <v>1.25</v>
      </c>
      <c r="BH57" s="43">
        <v>2.020772</v>
      </c>
      <c r="BI57" s="43">
        <v>1.0880000000000001</v>
      </c>
      <c r="BJ57" s="43">
        <v>1.0740000000000001</v>
      </c>
      <c r="BK57" s="43">
        <v>63.277929999999998</v>
      </c>
      <c r="BL57" s="43">
        <v>70.314390000000003</v>
      </c>
      <c r="BM57" s="43">
        <v>1.041258</v>
      </c>
      <c r="BN57" s="43">
        <v>1.2345999999999999</v>
      </c>
      <c r="BO57" s="43">
        <v>36.87688</v>
      </c>
      <c r="BP57" s="43">
        <v>1.2702945704045501</v>
      </c>
      <c r="BQ57" s="43">
        <v>2154.54</v>
      </c>
      <c r="BR57" s="43">
        <v>416.15185185896797</v>
      </c>
      <c r="BS57" s="43">
        <v>11134.7</v>
      </c>
      <c r="BT57" s="43">
        <v>5985.6980000000003</v>
      </c>
      <c r="BU57" s="43">
        <v>1.0699019999999999</v>
      </c>
      <c r="BV57" s="43">
        <v>1.023253</v>
      </c>
      <c r="BW57" s="43">
        <v>1.011989</v>
      </c>
      <c r="BX57" s="43">
        <v>1.1776279999999999</v>
      </c>
      <c r="BY57" s="43">
        <v>0.37746740000000001</v>
      </c>
      <c r="BZ57" s="43">
        <v>0.54049999999999998</v>
      </c>
      <c r="CA57" s="43">
        <v>0.54426090000000005</v>
      </c>
      <c r="CB57" s="43">
        <v>0.75340980000000002</v>
      </c>
      <c r="CC57" s="43">
        <v>8.320665</v>
      </c>
      <c r="CD57" s="43">
        <v>1.056511</v>
      </c>
      <c r="CE57" s="43">
        <v>1.047696</v>
      </c>
      <c r="CF57" s="43">
        <v>1.079728</v>
      </c>
      <c r="CG57" s="43">
        <v>0.98766670000000001</v>
      </c>
      <c r="CH57" s="43">
        <v>1.042783</v>
      </c>
      <c r="CI57" s="43">
        <v>1.028913</v>
      </c>
      <c r="CJ57" s="43">
        <v>1.0395110000000001</v>
      </c>
      <c r="CK57" s="43">
        <v>0.95666660000000003</v>
      </c>
      <c r="CL57" s="43">
        <v>1.024667</v>
      </c>
      <c r="CM57" s="43">
        <v>1.01</v>
      </c>
      <c r="CN57" s="43">
        <v>1.028467</v>
      </c>
      <c r="CO57" s="43">
        <v>1.022</v>
      </c>
      <c r="CP57" s="43">
        <v>0.84917719999999997</v>
      </c>
      <c r="CQ57" s="43">
        <v>1.0430759999999999</v>
      </c>
      <c r="CR57" s="43">
        <v>-0.40500000000000003</v>
      </c>
      <c r="CS57" s="43">
        <v>52.281314362375497</v>
      </c>
      <c r="CT57" s="43">
        <v>58.443680000000001</v>
      </c>
      <c r="CU57" s="43">
        <v>21.798500000000001</v>
      </c>
      <c r="CV57" s="43">
        <v>25.670527500917601</v>
      </c>
      <c r="CW57" s="43">
        <v>1.0216670000000001</v>
      </c>
      <c r="CX57" s="43">
        <v>1.01</v>
      </c>
      <c r="CY57" s="43">
        <v>1.0476669999999999</v>
      </c>
      <c r="CZ57" s="43">
        <v>1.00766666666667</v>
      </c>
      <c r="DA57" s="43">
        <v>0.96433333333333304</v>
      </c>
      <c r="DB57" s="43">
        <v>1.8158507672999999</v>
      </c>
      <c r="DC57" s="43">
        <v>1.0580000000000001</v>
      </c>
      <c r="DD57" s="43">
        <v>0.92100000000000004</v>
      </c>
      <c r="DE57" s="43">
        <v>0.97399999999999998</v>
      </c>
      <c r="DF57" s="43">
        <v>0.92300000000000004</v>
      </c>
      <c r="DG57" s="43">
        <v>0.872</v>
      </c>
      <c r="DH57" s="43">
        <v>0.94499999999999995</v>
      </c>
      <c r="DI57" s="43">
        <v>0.89100000000000001</v>
      </c>
      <c r="DJ57" s="43">
        <v>0.81299999999999994</v>
      </c>
      <c r="DK57" s="43">
        <v>1.0513330000000001</v>
      </c>
      <c r="DL57" s="43">
        <v>1.056</v>
      </c>
      <c r="DM57" s="43">
        <v>0.96733329999999995</v>
      </c>
      <c r="DN57" s="43">
        <v>1.01566666666667</v>
      </c>
      <c r="DO57" s="43">
        <v>1.004667</v>
      </c>
      <c r="DP57" s="43">
        <v>1.011333</v>
      </c>
      <c r="DQ57" s="43">
        <v>1.131667</v>
      </c>
      <c r="DR57" s="43">
        <v>1.0189999999999999</v>
      </c>
      <c r="DS57" s="43">
        <v>1.0493330000000001</v>
      </c>
      <c r="DT57" s="43">
        <v>0.99666666666666703</v>
      </c>
      <c r="DU57" s="43">
        <v>554.52359999999999</v>
      </c>
      <c r="DV57" s="43">
        <v>302.49020000000002</v>
      </c>
      <c r="DW57" s="43">
        <v>115.4359</v>
      </c>
      <c r="DX57" s="43">
        <v>0.99099999999999999</v>
      </c>
      <c r="DY57" s="43">
        <v>0.99432609999999999</v>
      </c>
      <c r="DZ57" s="43">
        <v>1.004</v>
      </c>
      <c r="EA57" s="43">
        <v>944.45150000000001</v>
      </c>
      <c r="EB57" s="43">
        <v>112.88930000000001</v>
      </c>
      <c r="EC57" s="43">
        <v>1.01</v>
      </c>
      <c r="ED57" s="43">
        <v>1.022</v>
      </c>
      <c r="EE57" s="43">
        <v>1.01</v>
      </c>
      <c r="EF57" s="43">
        <v>1.0476669999999999</v>
      </c>
      <c r="EG57" s="43">
        <v>1.0216670000000001</v>
      </c>
      <c r="EH57" s="43">
        <v>0.46150753768844199</v>
      </c>
      <c r="EI57" s="43">
        <v>0.19063829787233999</v>
      </c>
      <c r="EJ57" s="43">
        <v>21.8374599665738</v>
      </c>
      <c r="EK57" s="43">
        <v>12.391489361702099</v>
      </c>
      <c r="EL57" s="43">
        <v>0.54578272980501397</v>
      </c>
      <c r="EM57" s="43">
        <v>1570.92279952439</v>
      </c>
      <c r="EN57" s="43">
        <v>391.14708385721298</v>
      </c>
      <c r="EO57" s="43">
        <v>58131.432128098699</v>
      </c>
      <c r="EP57" s="43">
        <v>39410.1175037879</v>
      </c>
      <c r="EQ57" s="43">
        <v>2803.5278237159</v>
      </c>
      <c r="ER57" s="43">
        <v>1.3160494339886</v>
      </c>
      <c r="ES57" s="43">
        <v>1.40586031753471</v>
      </c>
      <c r="ET57" s="43">
        <v>1.29767747828165</v>
      </c>
      <c r="EU57" s="43">
        <v>0.90527230000000003</v>
      </c>
      <c r="EV57" s="43">
        <v>1.1222000000000001</v>
      </c>
      <c r="EW57" s="43">
        <v>1.3646</v>
      </c>
      <c r="EX57" s="43">
        <v>0.90081069999999996</v>
      </c>
      <c r="EY57" s="43">
        <v>1.110087</v>
      </c>
      <c r="EZ57" s="43">
        <v>1.3654109999999999</v>
      </c>
      <c r="FA57" s="43">
        <v>6.8764061687884999</v>
      </c>
      <c r="FB57" s="43">
        <v>6.8162624921048698</v>
      </c>
      <c r="FC57" s="43">
        <v>29.257092395439201</v>
      </c>
      <c r="FD57" s="43">
        <v>9305.7900249112608</v>
      </c>
      <c r="FE57" s="43">
        <v>87914.51</v>
      </c>
      <c r="FF57" s="43">
        <v>1.1479999999999999</v>
      </c>
      <c r="FG57" s="43">
        <v>3.251147</v>
      </c>
      <c r="FH57" s="43">
        <v>635.55380000000002</v>
      </c>
      <c r="FI57" s="43">
        <v>13589.71</v>
      </c>
      <c r="FJ57" s="43">
        <v>6.614223</v>
      </c>
      <c r="FK57" s="43">
        <v>18.98873</v>
      </c>
      <c r="FL57" s="43">
        <v>1.0627279999999999</v>
      </c>
      <c r="FM57" s="43">
        <v>1.030877</v>
      </c>
    </row>
    <row r="58" spans="1:169" x14ac:dyDescent="0.25">
      <c r="A58" s="43" t="s">
        <v>285</v>
      </c>
      <c r="B58" s="43">
        <v>20044.080000000002</v>
      </c>
      <c r="C58" s="43">
        <v>13558.74</v>
      </c>
      <c r="D58" s="43">
        <v>2.4931480000000001</v>
      </c>
      <c r="E58" s="43">
        <v>1.4475560000000001</v>
      </c>
      <c r="F58" s="43">
        <v>2.7566660000000001</v>
      </c>
      <c r="G58" s="43">
        <v>4.0311110000000001</v>
      </c>
      <c r="H58" s="43">
        <v>1.018024</v>
      </c>
      <c r="I58" s="43">
        <v>1.007501</v>
      </c>
      <c r="J58" s="43">
        <v>1.022497</v>
      </c>
      <c r="K58" s="43">
        <v>0.99195909999999998</v>
      </c>
      <c r="L58" s="43">
        <v>2.0259339999999999</v>
      </c>
      <c r="M58" s="43">
        <v>62.908549999999998</v>
      </c>
      <c r="N58" s="43">
        <v>66.8562222222222</v>
      </c>
      <c r="O58" s="43">
        <v>3.09022222222222</v>
      </c>
      <c r="P58" s="43">
        <v>1.308333</v>
      </c>
      <c r="Q58" s="43">
        <v>-554.44839999999999</v>
      </c>
      <c r="R58" s="43">
        <v>4.5275550000000004</v>
      </c>
      <c r="S58" s="43">
        <v>2858.9720000000002</v>
      </c>
      <c r="T58" s="43">
        <v>1.5596669999999999</v>
      </c>
      <c r="U58" s="43">
        <v>3.0106549999999999</v>
      </c>
      <c r="V58" s="43">
        <v>2278.306</v>
      </c>
      <c r="W58" s="43">
        <v>1.3180000000000001</v>
      </c>
      <c r="X58" s="43">
        <v>14927.71</v>
      </c>
      <c r="Y58" s="43">
        <v>1.295528</v>
      </c>
      <c r="Z58" s="43">
        <v>0.7857999</v>
      </c>
      <c r="AA58" s="43">
        <v>1.0133799999999999</v>
      </c>
      <c r="AB58" s="43">
        <v>1.00142</v>
      </c>
      <c r="AC58" s="43">
        <v>54.53378</v>
      </c>
      <c r="AD58" s="43">
        <v>1.0142800000000001</v>
      </c>
      <c r="AE58" s="43">
        <v>1.0024900000000001</v>
      </c>
      <c r="AF58" s="43">
        <v>1.03643</v>
      </c>
      <c r="AG58" s="43">
        <v>328.09120000000001</v>
      </c>
      <c r="AH58" s="43">
        <v>127.2026</v>
      </c>
      <c r="AI58" s="43">
        <v>1.9751449999999999</v>
      </c>
      <c r="AJ58" s="43">
        <v>1.998</v>
      </c>
      <c r="AK58" s="43">
        <v>20328.55</v>
      </c>
      <c r="AM58" s="43">
        <v>1.986</v>
      </c>
      <c r="AN58" s="43">
        <v>1.298289</v>
      </c>
      <c r="AO58" s="43">
        <v>2.13814444444444</v>
      </c>
      <c r="AP58" s="43">
        <v>2.0587</v>
      </c>
      <c r="AQ58" s="43">
        <v>2.9183439999999998</v>
      </c>
      <c r="AR58" s="43">
        <v>1.924755</v>
      </c>
      <c r="AS58" s="43">
        <v>1.7144779999999999</v>
      </c>
      <c r="AT58" s="43">
        <v>1.7444440000000001</v>
      </c>
      <c r="AU58" s="43">
        <v>2.0789439999999999</v>
      </c>
      <c r="AV58" s="43">
        <v>2049.9160000000002</v>
      </c>
      <c r="AW58" s="43">
        <v>1159.463</v>
      </c>
      <c r="AX58" s="43">
        <v>1.066306</v>
      </c>
      <c r="AY58" s="43">
        <v>1.3236220000000001</v>
      </c>
      <c r="AZ58" s="43">
        <v>219.626</v>
      </c>
      <c r="BA58" s="43">
        <v>0.79054679999999999</v>
      </c>
      <c r="BB58" s="43">
        <v>113.2</v>
      </c>
      <c r="BC58" s="43">
        <v>25.322109999999999</v>
      </c>
      <c r="BD58" s="43">
        <v>5.8966669999999999</v>
      </c>
      <c r="BE58" s="43">
        <v>0.98533329999999997</v>
      </c>
      <c r="BF58" s="43">
        <v>1.139767</v>
      </c>
      <c r="BG58" s="43">
        <v>1.5</v>
      </c>
      <c r="BH58" s="43">
        <v>2.2560500000000001</v>
      </c>
      <c r="BI58" s="43">
        <v>1.0920000000000001</v>
      </c>
      <c r="BJ58" s="43">
        <v>1.077</v>
      </c>
      <c r="BK58" s="43">
        <v>69.002420000000001</v>
      </c>
      <c r="BL58" s="43">
        <v>79.599149999999995</v>
      </c>
      <c r="BM58" s="43">
        <v>1.0605579999999999</v>
      </c>
      <c r="BN58" s="43">
        <v>1.2559990000000001</v>
      </c>
      <c r="BO58" s="43">
        <v>36.974600000000002</v>
      </c>
      <c r="BP58" s="43">
        <v>1.26531520407609</v>
      </c>
      <c r="BQ58" s="43">
        <v>2174.2240000000002</v>
      </c>
      <c r="BR58" s="43">
        <v>423.35898677132099</v>
      </c>
      <c r="BS58" s="43">
        <v>11135.12</v>
      </c>
      <c r="BT58" s="43">
        <v>6017.8019999999997</v>
      </c>
      <c r="BU58" s="43">
        <v>1.0531330000000001</v>
      </c>
      <c r="BV58" s="43">
        <v>1.020934</v>
      </c>
      <c r="BW58" s="43">
        <v>1.018689</v>
      </c>
      <c r="BX58" s="43">
        <v>1.2284409999999999</v>
      </c>
      <c r="BY58" s="43">
        <v>0.56330000000000002</v>
      </c>
      <c r="BZ58" s="43">
        <v>0.72985</v>
      </c>
      <c r="CA58" s="43">
        <v>0.63957770000000003</v>
      </c>
      <c r="CB58" s="43">
        <v>0.7195317</v>
      </c>
      <c r="CC58" s="43">
        <v>8.1155340000000002</v>
      </c>
      <c r="CD58" s="43">
        <v>1.0503670000000001</v>
      </c>
      <c r="CE58" s="43">
        <v>1.031933</v>
      </c>
      <c r="CF58" s="43">
        <v>1.0662670000000001</v>
      </c>
      <c r="CG58" s="43">
        <v>1.002667</v>
      </c>
      <c r="CH58" s="43">
        <v>1.063067</v>
      </c>
      <c r="CI58" s="43">
        <v>1.022267</v>
      </c>
      <c r="CJ58" s="43">
        <v>1.0495559999999999</v>
      </c>
      <c r="CK58" s="43">
        <v>0.91300000000000003</v>
      </c>
      <c r="CL58" s="43">
        <v>1.0229999999999999</v>
      </c>
      <c r="CM58" s="43">
        <v>1.0149999999999999</v>
      </c>
      <c r="CN58" s="43">
        <v>1.0145</v>
      </c>
      <c r="CO58" s="43">
        <v>1.022</v>
      </c>
      <c r="CP58" s="43">
        <v>0.81406579999999995</v>
      </c>
      <c r="CQ58" s="43">
        <v>1.0423</v>
      </c>
      <c r="CR58" s="43">
        <v>-0.40500000000000003</v>
      </c>
      <c r="CS58" s="43">
        <v>54.379976850359</v>
      </c>
      <c r="CT58" s="43">
        <v>56.89893</v>
      </c>
      <c r="CU58" s="43">
        <v>20.689209999999999</v>
      </c>
      <c r="CV58" s="43">
        <v>25.415469633547001</v>
      </c>
      <c r="CW58" s="43">
        <v>1.0369999999999999</v>
      </c>
      <c r="CX58" s="43">
        <v>1.0183329999999999</v>
      </c>
      <c r="CY58" s="43">
        <v>1.0733330000000001</v>
      </c>
      <c r="CZ58" s="43">
        <v>1.0129999999999999</v>
      </c>
      <c r="DA58" s="43">
        <v>0.96599999999999997</v>
      </c>
      <c r="DB58" s="43">
        <v>1.8462111672999999</v>
      </c>
      <c r="DC58" s="43">
        <v>1.10066666666667</v>
      </c>
      <c r="DD58" s="43">
        <v>0.93600000000000005</v>
      </c>
      <c r="DE58" s="43">
        <v>0.97199999999999998</v>
      </c>
      <c r="DF58" s="43">
        <v>0.92200000000000004</v>
      </c>
      <c r="DG58" s="43">
        <v>0.88900000000000001</v>
      </c>
      <c r="DH58" s="43">
        <v>0.95</v>
      </c>
      <c r="DI58" s="43">
        <v>0.91800000000000004</v>
      </c>
      <c r="DJ58" s="43">
        <v>0.83299999999999996</v>
      </c>
      <c r="DK58" s="43">
        <v>1.0880000000000001</v>
      </c>
      <c r="DL58" s="43">
        <v>1.0936669999999999</v>
      </c>
      <c r="DM58" s="43">
        <v>0.97066660000000005</v>
      </c>
      <c r="DN58" s="43">
        <v>1.02433333333333</v>
      </c>
      <c r="DO58" s="43">
        <v>0.9796667</v>
      </c>
      <c r="DP58" s="43">
        <v>1.022667</v>
      </c>
      <c r="DQ58" s="43">
        <v>1.254667</v>
      </c>
      <c r="DR58" s="43">
        <v>1.046667</v>
      </c>
      <c r="DS58" s="43">
        <v>1.064333</v>
      </c>
      <c r="DT58" s="43">
        <v>1.006</v>
      </c>
      <c r="DU58" s="43">
        <v>554.94529999999997</v>
      </c>
      <c r="DV58" s="43">
        <v>302.1764</v>
      </c>
      <c r="DW58" s="43">
        <v>114.3933</v>
      </c>
      <c r="DX58" s="43">
        <v>0.99396660000000003</v>
      </c>
      <c r="DY58" s="43">
        <v>0.99965550000000003</v>
      </c>
      <c r="DZ58" s="43">
        <v>1.006</v>
      </c>
      <c r="EA58" s="43">
        <v>906.14639999999997</v>
      </c>
      <c r="EB58" s="43">
        <v>108.31780000000001</v>
      </c>
      <c r="EC58" s="43">
        <v>1.0149999999999999</v>
      </c>
      <c r="ED58" s="43">
        <v>1.022</v>
      </c>
      <c r="EE58" s="43">
        <v>1.0183329999999999</v>
      </c>
      <c r="EF58" s="43">
        <v>1.0733330000000001</v>
      </c>
      <c r="EG58" s="43">
        <v>1.0369999999999999</v>
      </c>
      <c r="EH58" s="43">
        <v>0.46848086586780102</v>
      </c>
      <c r="EI58" s="43">
        <v>0.193518821603928</v>
      </c>
      <c r="EJ58" s="43">
        <v>22.167421586947899</v>
      </c>
      <c r="EK58" s="43">
        <v>12.5787234042553</v>
      </c>
      <c r="EL58" s="43">
        <v>0.554029446876244</v>
      </c>
      <c r="EM58" s="43">
        <v>1719.7788814140399</v>
      </c>
      <c r="EN58" s="43">
        <v>428.21104547466001</v>
      </c>
      <c r="EO58" s="43">
        <v>63639.797799436899</v>
      </c>
      <c r="EP58" s="43">
        <v>43144.505775573401</v>
      </c>
      <c r="EQ58" s="43">
        <v>3069.1819777158898</v>
      </c>
      <c r="ER58" s="43">
        <v>1.3247625041975799</v>
      </c>
      <c r="ES58" s="43">
        <v>1.41516799195359</v>
      </c>
      <c r="ET58" s="43">
        <v>1.30626891465545</v>
      </c>
      <c r="EU58" s="43">
        <v>0.92198559999999996</v>
      </c>
      <c r="EV58" s="43">
        <v>1.1139330000000001</v>
      </c>
      <c r="EW58" s="43">
        <v>1.3842000000000001</v>
      </c>
      <c r="EX58" s="43">
        <v>0.92437570000000002</v>
      </c>
      <c r="EY58" s="43">
        <v>1.1192420000000001</v>
      </c>
      <c r="EZ58" s="43">
        <v>1.372587</v>
      </c>
      <c r="FA58" s="43">
        <v>7.0047790873456997</v>
      </c>
      <c r="FB58" s="43">
        <v>6.9435661562772504</v>
      </c>
      <c r="FC58" s="43">
        <v>30.0224517503678</v>
      </c>
      <c r="FD58" s="43">
        <v>9382.5357619463393</v>
      </c>
      <c r="FE58" s="43">
        <v>88376.54</v>
      </c>
      <c r="FF58" s="43">
        <v>1.1600937499999999</v>
      </c>
      <c r="FG58" s="43">
        <v>3.2441499999999999</v>
      </c>
      <c r="FH58" s="43">
        <v>602.90629999999999</v>
      </c>
      <c r="FI58" s="43">
        <v>13583.35</v>
      </c>
      <c r="FJ58" s="43">
        <v>6.3632350000000004</v>
      </c>
      <c r="FK58" s="43">
        <v>18.76803</v>
      </c>
      <c r="FL58" s="43">
        <v>1.02969</v>
      </c>
      <c r="FM58" s="43">
        <v>1.004697</v>
      </c>
    </row>
    <row r="59" spans="1:169" x14ac:dyDescent="0.25">
      <c r="A59" s="43" t="s">
        <v>286</v>
      </c>
      <c r="B59" s="43">
        <v>20150.48</v>
      </c>
      <c r="C59" s="43">
        <v>13631.07</v>
      </c>
      <c r="D59" s="43">
        <v>2.506802</v>
      </c>
      <c r="E59" s="43">
        <v>1.736264</v>
      </c>
      <c r="F59" s="43">
        <v>2.9206590000000001</v>
      </c>
      <c r="G59" s="43">
        <v>3.9318680000000001</v>
      </c>
      <c r="H59" s="43">
        <v>1.029703</v>
      </c>
      <c r="I59" s="43">
        <v>1.013406</v>
      </c>
      <c r="J59" s="43">
        <v>1.031979</v>
      </c>
      <c r="K59" s="43">
        <v>0.99597349999999996</v>
      </c>
      <c r="L59" s="43">
        <v>2.0353629999999998</v>
      </c>
      <c r="M59" s="43">
        <v>68.054730000000006</v>
      </c>
      <c r="N59" s="43">
        <v>74.527252747252703</v>
      </c>
      <c r="O59" s="43">
        <v>2.8560439560439601</v>
      </c>
      <c r="P59" s="43">
        <v>1.2793330000000001</v>
      </c>
      <c r="Q59" s="43">
        <v>-520.62329999999997</v>
      </c>
      <c r="R59" s="43">
        <v>4.7961539999999996</v>
      </c>
      <c r="S59" s="43">
        <v>2860.902</v>
      </c>
      <c r="T59" s="43">
        <v>1.84022</v>
      </c>
      <c r="U59" s="43">
        <v>3.0795819999999998</v>
      </c>
      <c r="V59" s="43">
        <v>2323.2089999999998</v>
      </c>
      <c r="W59" s="43">
        <v>1.327</v>
      </c>
      <c r="X59" s="43">
        <v>15061.39</v>
      </c>
      <c r="Y59" s="43">
        <v>1.2936460000000001</v>
      </c>
      <c r="Z59" s="43">
        <v>0.79596979999999995</v>
      </c>
      <c r="AA59" s="43">
        <v>1.01474</v>
      </c>
      <c r="AB59" s="43">
        <v>1.0100800000000001</v>
      </c>
      <c r="AC59" s="43">
        <v>58.445929999999997</v>
      </c>
      <c r="AD59" s="43">
        <v>1.0214000000000001</v>
      </c>
      <c r="AE59" s="43">
        <v>1.00691</v>
      </c>
      <c r="AF59" s="43">
        <v>1.0542100000000001</v>
      </c>
      <c r="AG59" s="43">
        <v>328.5256</v>
      </c>
      <c r="AH59" s="43">
        <v>127.47750000000001</v>
      </c>
      <c r="AI59" s="43">
        <v>2.006033</v>
      </c>
      <c r="AJ59" s="43">
        <v>2.03833333333333</v>
      </c>
      <c r="AK59" s="43">
        <v>20580.91</v>
      </c>
      <c r="AM59" s="43">
        <v>2.0001758241758201</v>
      </c>
      <c r="AN59" s="43">
        <v>1.2277910000000001</v>
      </c>
      <c r="AO59" s="43">
        <v>2.1367252747252699</v>
      </c>
      <c r="AP59" s="43">
        <v>2.1437032967033001</v>
      </c>
      <c r="AQ59" s="43">
        <v>2.9333300000000002</v>
      </c>
      <c r="AR59" s="43">
        <v>1.9463189999999999</v>
      </c>
      <c r="AS59" s="43">
        <v>1.7366919999999999</v>
      </c>
      <c r="AT59" s="43">
        <v>1.8285169999999999</v>
      </c>
      <c r="AU59" s="43">
        <v>2.0627800000000001</v>
      </c>
      <c r="AV59" s="43">
        <v>2066.0100000000002</v>
      </c>
      <c r="AW59" s="43">
        <v>1165.46</v>
      </c>
      <c r="AX59" s="43">
        <v>1.081016</v>
      </c>
      <c r="AY59" s="43">
        <v>1.33433</v>
      </c>
      <c r="AZ59" s="43">
        <v>217.709</v>
      </c>
      <c r="BA59" s="43">
        <v>0.77832730000000006</v>
      </c>
      <c r="BB59" s="43">
        <v>112.6</v>
      </c>
      <c r="BC59" s="43">
        <v>25.03275</v>
      </c>
      <c r="BD59" s="43">
        <v>5.9</v>
      </c>
      <c r="BE59" s="43">
        <v>1.008</v>
      </c>
      <c r="BF59" s="43">
        <v>1.2164950000000001</v>
      </c>
      <c r="BG59" s="43">
        <v>1.5</v>
      </c>
      <c r="BH59" s="43">
        <v>2.2874400000000001</v>
      </c>
      <c r="BI59" s="43">
        <v>1.1000000000000001</v>
      </c>
      <c r="BJ59" s="43">
        <v>1.0840000000000001</v>
      </c>
      <c r="BK59" s="43">
        <v>75.096239999999995</v>
      </c>
      <c r="BL59" s="43">
        <v>87.442430000000002</v>
      </c>
      <c r="BM59" s="43">
        <v>1.078821</v>
      </c>
      <c r="BN59" s="43">
        <v>1.251004</v>
      </c>
      <c r="BO59" s="43">
        <v>37.072589999999998</v>
      </c>
      <c r="BP59" s="43">
        <v>1.2848839731755399</v>
      </c>
      <c r="BQ59" s="43">
        <v>2201.212</v>
      </c>
      <c r="BR59" s="43">
        <v>436.07993700370298</v>
      </c>
      <c r="BS59" s="43">
        <v>11197.58</v>
      </c>
      <c r="BT59" s="43">
        <v>6028.0029999999997</v>
      </c>
      <c r="BU59" s="43">
        <v>1.0590660000000001</v>
      </c>
      <c r="BV59" s="43">
        <v>1.0379529999999999</v>
      </c>
      <c r="BW59" s="43">
        <v>1.0263519999999999</v>
      </c>
      <c r="BX59" s="43">
        <v>1.1916329999999999</v>
      </c>
      <c r="BY59" s="43">
        <v>0.41850549999999997</v>
      </c>
      <c r="BZ59" s="43">
        <v>0.62140660000000003</v>
      </c>
      <c r="CA59" s="43">
        <v>0.45441759999999998</v>
      </c>
      <c r="CB59" s="43">
        <v>0.73467910000000003</v>
      </c>
      <c r="CC59" s="43">
        <v>8.6965649999999997</v>
      </c>
      <c r="CD59" s="43">
        <v>1.0587359999999999</v>
      </c>
      <c r="CE59" s="43">
        <v>1.0322199999999999</v>
      </c>
      <c r="CF59" s="43">
        <v>1.0650219999999999</v>
      </c>
      <c r="CG59" s="43">
        <v>0.98133329999999996</v>
      </c>
      <c r="CH59" s="43">
        <v>1.0896589999999999</v>
      </c>
      <c r="CI59" s="43">
        <v>1.0292969999999999</v>
      </c>
      <c r="CJ59" s="43">
        <v>1.042022</v>
      </c>
      <c r="CK59" s="43">
        <v>0.98066660000000005</v>
      </c>
      <c r="CL59" s="43">
        <v>1.0396669999999999</v>
      </c>
      <c r="CM59" s="43">
        <v>1.022</v>
      </c>
      <c r="CN59" s="43">
        <v>1.042667</v>
      </c>
      <c r="CO59" s="43">
        <v>1.032</v>
      </c>
      <c r="CP59" s="43">
        <v>0.83956379999999997</v>
      </c>
      <c r="CQ59" s="43">
        <v>1.0524830000000001</v>
      </c>
      <c r="CR59" s="43">
        <v>-0.40500000000000003</v>
      </c>
      <c r="CS59" s="43">
        <v>62.517419098428398</v>
      </c>
      <c r="CT59" s="43">
        <v>62.203200000000002</v>
      </c>
      <c r="CU59" s="43">
        <v>21.51117</v>
      </c>
      <c r="CV59" s="43">
        <v>25.633425984953099</v>
      </c>
      <c r="CW59" s="43">
        <v>1.0580000000000001</v>
      </c>
      <c r="CX59" s="43">
        <v>1.028</v>
      </c>
      <c r="CY59" s="43">
        <v>1.1000000000000001</v>
      </c>
      <c r="CZ59" s="43">
        <v>1.0213333333333301</v>
      </c>
      <c r="DA59" s="43">
        <v>0.97766666666666602</v>
      </c>
      <c r="DB59" s="43">
        <v>1.9343717918000001</v>
      </c>
      <c r="DC59" s="43">
        <v>1.07466666666667</v>
      </c>
      <c r="DD59" s="43">
        <v>0.93700000000000006</v>
      </c>
      <c r="DE59" s="43">
        <v>0.97699999999999998</v>
      </c>
      <c r="DF59" s="43">
        <v>0.92500000000000004</v>
      </c>
      <c r="DG59" s="43">
        <v>0.89</v>
      </c>
      <c r="DH59" s="43">
        <v>0.96</v>
      </c>
      <c r="DI59" s="43">
        <v>0.91400000000000003</v>
      </c>
      <c r="DJ59" s="43">
        <v>0.85099999999999998</v>
      </c>
      <c r="DK59" s="43">
        <v>1.0960000000000001</v>
      </c>
      <c r="DL59" s="43">
        <v>1.127667</v>
      </c>
      <c r="DM59" s="43">
        <v>0.98599999999999999</v>
      </c>
      <c r="DN59" s="43">
        <v>1.0309999999999999</v>
      </c>
      <c r="DO59" s="43">
        <v>0.98333329999999997</v>
      </c>
      <c r="DP59" s="43">
        <v>1.0369999999999999</v>
      </c>
      <c r="DQ59" s="43">
        <v>1.146333</v>
      </c>
      <c r="DR59" s="43">
        <v>1.0893330000000001</v>
      </c>
      <c r="DS59" s="43">
        <v>1.080333</v>
      </c>
      <c r="DT59" s="43">
        <v>1.0093333333333301</v>
      </c>
      <c r="DU59" s="43">
        <v>556.93629999999996</v>
      </c>
      <c r="DV59" s="43">
        <v>302.80829999999997</v>
      </c>
      <c r="DW59" s="43">
        <v>114.63849999999999</v>
      </c>
      <c r="DX59" s="43">
        <v>0.99201099999999998</v>
      </c>
      <c r="DY59" s="43">
        <v>1.007341</v>
      </c>
      <c r="DZ59" s="43">
        <v>1.004</v>
      </c>
      <c r="EA59" s="43">
        <v>961.68359999999996</v>
      </c>
      <c r="EB59" s="43">
        <v>109.06180000000001</v>
      </c>
      <c r="EC59" s="43">
        <v>1.022</v>
      </c>
      <c r="ED59" s="43">
        <v>1.032</v>
      </c>
      <c r="EE59" s="43">
        <v>1.028</v>
      </c>
      <c r="EF59" s="43">
        <v>1.1000000000000001</v>
      </c>
      <c r="EG59" s="43">
        <v>1.0580000000000001</v>
      </c>
      <c r="EH59" s="43">
        <v>0.479257827599536</v>
      </c>
      <c r="EI59" s="43">
        <v>0.1979705400982</v>
      </c>
      <c r="EJ59" s="43">
        <v>22.677362272980499</v>
      </c>
      <c r="EK59" s="43">
        <v>12.868085106383001</v>
      </c>
      <c r="EL59" s="43">
        <v>0.566774373259053</v>
      </c>
      <c r="EM59" s="43">
        <v>1843.15276159117</v>
      </c>
      <c r="EN59" s="43">
        <v>458.93014476461099</v>
      </c>
      <c r="EO59" s="43">
        <v>68205.203778692405</v>
      </c>
      <c r="EP59" s="43">
        <v>46239.615933851899</v>
      </c>
      <c r="EQ59" s="43">
        <v>3289.3596375608699</v>
      </c>
      <c r="ER59" s="43">
        <v>1.3347279156918299</v>
      </c>
      <c r="ES59" s="43">
        <v>1.42581347091953</v>
      </c>
      <c r="ET59" s="43">
        <v>1.31609520972</v>
      </c>
      <c r="EU59" s="43">
        <v>0.96784879999999995</v>
      </c>
      <c r="EV59" s="43">
        <v>1.134833</v>
      </c>
      <c r="EW59" s="43">
        <v>1.3846000000000001</v>
      </c>
      <c r="EX59" s="43">
        <v>0.96757439999999995</v>
      </c>
      <c r="EY59" s="43">
        <v>1.1409309999999999</v>
      </c>
      <c r="EZ59" s="43">
        <v>1.3881520000000001</v>
      </c>
      <c r="FA59" s="43">
        <v>7.3570492624439696</v>
      </c>
      <c r="FB59" s="43">
        <v>7.2895944306802098</v>
      </c>
      <c r="FC59" s="43">
        <v>31.4254854385307</v>
      </c>
      <c r="FD59" s="43">
        <v>9564.3557327654198</v>
      </c>
      <c r="FE59" s="43">
        <v>89378.7</v>
      </c>
      <c r="FF59" s="43">
        <v>1.1671562499999999</v>
      </c>
      <c r="FG59" s="43">
        <v>3.606344</v>
      </c>
      <c r="FH59" s="43">
        <v>619.60389999999995</v>
      </c>
      <c r="FI59" s="43">
        <v>13918.55</v>
      </c>
      <c r="FJ59" s="43">
        <v>6.3642810000000001</v>
      </c>
      <c r="FK59" s="43">
        <v>19.3063</v>
      </c>
      <c r="FL59" s="43">
        <v>1.0557019999999999</v>
      </c>
      <c r="FM59" s="43">
        <v>1.0304469999999999</v>
      </c>
    </row>
    <row r="60" spans="1:169" x14ac:dyDescent="0.25">
      <c r="A60" s="43" t="s">
        <v>287</v>
      </c>
      <c r="B60" s="43">
        <v>20276.150000000001</v>
      </c>
      <c r="C60" s="43">
        <v>13693.84</v>
      </c>
      <c r="D60" s="43">
        <v>2.5168089999999999</v>
      </c>
      <c r="E60" s="43">
        <v>1.9230430000000001</v>
      </c>
      <c r="F60" s="43">
        <v>2.9258700000000002</v>
      </c>
      <c r="G60" s="43">
        <v>3.7673909999999999</v>
      </c>
      <c r="H60" s="43">
        <v>1.038411</v>
      </c>
      <c r="I60" s="43">
        <v>1.017374</v>
      </c>
      <c r="J60" s="43">
        <v>1.0346150000000001</v>
      </c>
      <c r="K60" s="43">
        <v>1.0020789999999999</v>
      </c>
      <c r="L60" s="43">
        <v>2.047609</v>
      </c>
      <c r="M60" s="43">
        <v>69.751519999999999</v>
      </c>
      <c r="N60" s="43">
        <v>75.183478260869606</v>
      </c>
      <c r="O60" s="43">
        <v>2.9292391304347798</v>
      </c>
      <c r="P60" s="43">
        <v>1.2396670000000001</v>
      </c>
      <c r="Q60" s="43">
        <v>-609.54319999999996</v>
      </c>
      <c r="R60" s="43">
        <v>5.0097820000000004</v>
      </c>
      <c r="S60" s="43">
        <v>2869.9769999999999</v>
      </c>
      <c r="T60" s="43">
        <v>2.0390220000000001</v>
      </c>
      <c r="U60" s="43">
        <v>3.0469840000000001</v>
      </c>
      <c r="V60" s="43">
        <v>2311.6210000000001</v>
      </c>
      <c r="W60" s="43">
        <v>1.337</v>
      </c>
      <c r="X60" s="43">
        <v>15220.08</v>
      </c>
      <c r="Y60" s="43">
        <v>1.2938320000000001</v>
      </c>
      <c r="Z60" s="43">
        <v>0.8025854</v>
      </c>
      <c r="AA60" s="43">
        <v>1.01708</v>
      </c>
      <c r="AB60" s="43">
        <v>1.0029300000000001</v>
      </c>
      <c r="AC60" s="43">
        <v>62.875869999999999</v>
      </c>
      <c r="AD60" s="43">
        <v>1.02586</v>
      </c>
      <c r="AE60" s="43">
        <v>1.01122</v>
      </c>
      <c r="AF60" s="43">
        <v>1.0643</v>
      </c>
      <c r="AG60" s="43">
        <v>329.0378</v>
      </c>
      <c r="AH60" s="43">
        <v>127.75230000000001</v>
      </c>
      <c r="AI60" s="43">
        <v>2.0272610000000002</v>
      </c>
      <c r="AJ60" s="43">
        <v>2.0640000000000001</v>
      </c>
      <c r="AK60" s="43">
        <v>20798.73</v>
      </c>
      <c r="AM60" s="43">
        <v>1.9906521739130401</v>
      </c>
      <c r="AN60" s="43">
        <v>1.3318909999999999</v>
      </c>
      <c r="AO60" s="43">
        <v>2.1211086956521701</v>
      </c>
      <c r="AP60" s="43">
        <v>2.2024130434782601</v>
      </c>
      <c r="AQ60" s="43">
        <v>2.9788260000000002</v>
      </c>
      <c r="AR60" s="43">
        <v>1.9609460000000001</v>
      </c>
      <c r="AS60" s="43">
        <v>1.761163</v>
      </c>
      <c r="AT60" s="43">
        <v>1.8836630000000001</v>
      </c>
      <c r="AU60" s="43">
        <v>2.0547070000000001</v>
      </c>
      <c r="AV60" s="43">
        <v>2080.268</v>
      </c>
      <c r="AW60" s="43">
        <v>1172.3440000000001</v>
      </c>
      <c r="AX60" s="43">
        <v>1.0909040000000001</v>
      </c>
      <c r="AY60" s="43">
        <v>1.340706</v>
      </c>
      <c r="AZ60" s="43">
        <v>198.96899999999999</v>
      </c>
      <c r="BA60" s="43">
        <v>0.76464160000000003</v>
      </c>
      <c r="BB60" s="43">
        <v>112.9</v>
      </c>
      <c r="BC60" s="43">
        <v>25.1737</v>
      </c>
      <c r="BD60" s="43">
        <v>5.9010870000000004</v>
      </c>
      <c r="BE60" s="43">
        <v>1.0103329999999999</v>
      </c>
      <c r="BF60" s="43">
        <v>1.4677990000000001</v>
      </c>
      <c r="BG60" s="43">
        <v>1.75</v>
      </c>
      <c r="BH60" s="43">
        <v>2.2626849999999998</v>
      </c>
      <c r="BI60" s="43">
        <v>1.105</v>
      </c>
      <c r="BJ60" s="43">
        <v>1.0860000000000001</v>
      </c>
      <c r="BK60" s="43">
        <v>82.229960000000005</v>
      </c>
      <c r="BL60" s="43">
        <v>91.222040000000007</v>
      </c>
      <c r="BM60" s="43">
        <v>1.062829</v>
      </c>
      <c r="BN60" s="43">
        <v>1.2782039999999999</v>
      </c>
      <c r="BO60" s="43">
        <v>37.170830000000002</v>
      </c>
      <c r="BP60" s="43">
        <v>1.3078142917458599</v>
      </c>
      <c r="BQ60" s="43">
        <v>2220.076</v>
      </c>
      <c r="BR60" s="43">
        <v>436.77802065463197</v>
      </c>
      <c r="BS60" s="43">
        <v>11194.62</v>
      </c>
      <c r="BT60" s="43">
        <v>6026.5410000000002</v>
      </c>
      <c r="BU60" s="43">
        <v>1.0550109999999999</v>
      </c>
      <c r="BV60" s="43">
        <v>1.0408980000000001</v>
      </c>
      <c r="BW60" s="43">
        <v>1.0402929999999999</v>
      </c>
      <c r="BX60" s="43">
        <v>1.1618930000000001</v>
      </c>
      <c r="BY60" s="43">
        <v>0.27566299999999999</v>
      </c>
      <c r="BZ60" s="43">
        <v>0.49404890000000001</v>
      </c>
      <c r="CA60" s="43">
        <v>0.34568480000000001</v>
      </c>
      <c r="CB60" s="43">
        <v>0.76779269999999999</v>
      </c>
      <c r="CC60" s="43">
        <v>8.9609220000000001</v>
      </c>
      <c r="CD60" s="43">
        <v>1.04837</v>
      </c>
      <c r="CE60" s="43">
        <v>1.0367390000000001</v>
      </c>
      <c r="CF60" s="43">
        <v>1.0666199999999999</v>
      </c>
      <c r="CG60" s="43">
        <v>0.95866669999999998</v>
      </c>
      <c r="CH60" s="43">
        <v>1.1017170000000001</v>
      </c>
      <c r="CI60" s="43">
        <v>1.030087</v>
      </c>
      <c r="CJ60" s="43">
        <v>1.0329459999999999</v>
      </c>
      <c r="CK60" s="43">
        <v>0.98999990000000004</v>
      </c>
      <c r="CL60" s="43">
        <v>1.052333</v>
      </c>
      <c r="CM60" s="43">
        <v>1.03</v>
      </c>
      <c r="CN60" s="43">
        <v>1.0421670000000001</v>
      </c>
      <c r="CO60" s="43">
        <v>1.05</v>
      </c>
      <c r="CP60" s="43">
        <v>0.86069430000000002</v>
      </c>
      <c r="CQ60" s="43">
        <v>1.0523800000000001</v>
      </c>
      <c r="CR60" s="43">
        <v>-0.34907060000000001</v>
      </c>
      <c r="CS60" s="43">
        <v>64.812204725396498</v>
      </c>
      <c r="CT60" s="43">
        <v>65.622249999999994</v>
      </c>
      <c r="CU60" s="43">
        <v>22.140049999999999</v>
      </c>
      <c r="CV60" s="43">
        <v>25.724366189652098</v>
      </c>
      <c r="CW60" s="43">
        <v>1.072333</v>
      </c>
      <c r="CX60" s="43">
        <v>1.042333</v>
      </c>
      <c r="CY60" s="43">
        <v>1.1259999999999999</v>
      </c>
      <c r="CZ60" s="43">
        <v>1.0309999999999999</v>
      </c>
      <c r="DA60" s="43">
        <v>0.98866666666666703</v>
      </c>
      <c r="DB60" s="43">
        <v>2.0210381684000001</v>
      </c>
      <c r="DC60" s="43">
        <v>1.0640000000000001</v>
      </c>
      <c r="DD60" s="43">
        <v>0.94699999999999995</v>
      </c>
      <c r="DE60" s="43">
        <v>0.97899999999999998</v>
      </c>
      <c r="DF60" s="43">
        <v>0.93600000000000005</v>
      </c>
      <c r="DG60" s="43">
        <v>0.89600000000000002</v>
      </c>
      <c r="DH60" s="43">
        <v>0.96299999999999997</v>
      </c>
      <c r="DI60" s="43">
        <v>0.92500000000000004</v>
      </c>
      <c r="DJ60" s="43">
        <v>0.86699999999999999</v>
      </c>
      <c r="DK60" s="43">
        <v>1.1726669999999999</v>
      </c>
      <c r="DL60" s="43">
        <v>1.1259999999999999</v>
      </c>
      <c r="DM60" s="43">
        <v>1.0183329999999999</v>
      </c>
      <c r="DN60" s="43">
        <v>1.042</v>
      </c>
      <c r="DO60" s="43">
        <v>1.0760000000000001</v>
      </c>
      <c r="DP60" s="43">
        <v>1.0529999999999999</v>
      </c>
      <c r="DQ60" s="43">
        <v>1.2529999999999999</v>
      </c>
      <c r="DR60" s="43">
        <v>1.1126670000000001</v>
      </c>
      <c r="DS60" s="43">
        <v>1.1359999999999999</v>
      </c>
      <c r="DT60" s="43">
        <v>1.02233333333333</v>
      </c>
      <c r="DU60" s="43">
        <v>553.8261</v>
      </c>
      <c r="DV60" s="43">
        <v>302.86840000000001</v>
      </c>
      <c r="DW60" s="43">
        <v>113.8402</v>
      </c>
      <c r="DX60" s="43">
        <v>0.99630430000000003</v>
      </c>
      <c r="DY60" s="43">
        <v>1.015652</v>
      </c>
      <c r="DZ60" s="43">
        <v>1.0029999999999999</v>
      </c>
      <c r="EA60" s="43">
        <v>946.93579999999997</v>
      </c>
      <c r="EB60" s="43">
        <v>111.416</v>
      </c>
      <c r="EC60" s="43">
        <v>1.03</v>
      </c>
      <c r="ED60" s="43">
        <v>1.05</v>
      </c>
      <c r="EE60" s="43">
        <v>1.042333</v>
      </c>
      <c r="EF60" s="43">
        <v>1.1259999999999999</v>
      </c>
      <c r="EG60" s="43">
        <v>1.072333</v>
      </c>
      <c r="EH60" s="43">
        <v>0.48036722071897803</v>
      </c>
      <c r="EI60" s="43">
        <v>0.19842880523731499</v>
      </c>
      <c r="EJ60" s="43">
        <v>22.729856167130901</v>
      </c>
      <c r="EK60" s="43">
        <v>12.897872340425501</v>
      </c>
      <c r="EL60" s="43">
        <v>0.56808635097492899</v>
      </c>
      <c r="EM60" s="43">
        <v>1982.8553427829399</v>
      </c>
      <c r="EN60" s="43">
        <v>493.714958669552</v>
      </c>
      <c r="EO60" s="43">
        <v>73374.847455089606</v>
      </c>
      <c r="EP60" s="43">
        <v>49744.368135562203</v>
      </c>
      <c r="EQ60" s="43">
        <v>3538.6781104575798</v>
      </c>
      <c r="ER60" s="43">
        <v>1.35285760401773</v>
      </c>
      <c r="ES60" s="43">
        <v>1.4451803797364799</v>
      </c>
      <c r="ET60" s="43">
        <v>1.3339718088971899</v>
      </c>
      <c r="EU60" s="43">
        <v>1.017239</v>
      </c>
      <c r="EV60" s="43">
        <v>1.1237999999999999</v>
      </c>
      <c r="EW60" s="43">
        <v>1.3996999999999999</v>
      </c>
      <c r="EX60" s="43">
        <v>1.018472</v>
      </c>
      <c r="EY60" s="43">
        <v>1.1247819999999999</v>
      </c>
      <c r="EZ60" s="43">
        <v>1.4074</v>
      </c>
      <c r="FA60" s="43">
        <v>7.7364070990861</v>
      </c>
      <c r="FB60" s="43">
        <v>7.6586266013771596</v>
      </c>
      <c r="FC60" s="43">
        <v>33.078579365072699</v>
      </c>
      <c r="FD60" s="43">
        <v>9428.9745326902193</v>
      </c>
      <c r="FE60" s="43">
        <v>90618.05</v>
      </c>
      <c r="FF60" s="43">
        <v>1.1715312499999999</v>
      </c>
      <c r="FG60" s="43">
        <v>3.9325640000000002</v>
      </c>
      <c r="FH60" s="43">
        <v>664.11090000000002</v>
      </c>
      <c r="FI60" s="43">
        <v>14607.89</v>
      </c>
      <c r="FJ60" s="43">
        <v>6.8067580000000003</v>
      </c>
      <c r="FK60" s="43">
        <v>18.96359</v>
      </c>
      <c r="FL60" s="43">
        <v>1.0789089999999999</v>
      </c>
      <c r="FM60" s="43">
        <v>1.05498</v>
      </c>
    </row>
    <row r="61" spans="1:169" x14ac:dyDescent="0.25">
      <c r="A61" s="43" t="s">
        <v>288</v>
      </c>
      <c r="B61" s="43">
        <v>20304.87</v>
      </c>
      <c r="C61" s="43">
        <v>13735.87</v>
      </c>
      <c r="D61" s="43">
        <v>2.527123</v>
      </c>
      <c r="E61" s="43">
        <v>2.2202169999999999</v>
      </c>
      <c r="F61" s="43">
        <v>3.0323910000000001</v>
      </c>
      <c r="G61" s="43">
        <v>3.8336960000000002</v>
      </c>
      <c r="H61" s="43">
        <v>1.0397810000000001</v>
      </c>
      <c r="I61" s="43">
        <v>1.0129980000000001</v>
      </c>
      <c r="J61" s="43">
        <v>1.0330809999999999</v>
      </c>
      <c r="K61" s="43">
        <v>0.99498439999999999</v>
      </c>
      <c r="L61" s="43">
        <v>2.0550329999999999</v>
      </c>
      <c r="M61" s="43">
        <v>59.099670000000003</v>
      </c>
      <c r="N61" s="43">
        <v>67.745543478260899</v>
      </c>
      <c r="O61" s="43">
        <v>3.8002173913043502</v>
      </c>
      <c r="P61" s="43">
        <v>1.1619999999999999</v>
      </c>
      <c r="Q61" s="43">
        <v>-634.19090000000006</v>
      </c>
      <c r="R61" s="43">
        <v>5.2836959999999999</v>
      </c>
      <c r="S61" s="43">
        <v>2889.3989999999999</v>
      </c>
      <c r="T61" s="43">
        <v>2.316522</v>
      </c>
      <c r="U61" s="43">
        <v>3.297196</v>
      </c>
      <c r="V61" s="43">
        <v>2335.3270000000002</v>
      </c>
      <c r="W61" s="43">
        <v>1.3460000000000001</v>
      </c>
      <c r="X61" s="43">
        <v>15365.81</v>
      </c>
      <c r="Y61" s="43">
        <v>1.2956259999999999</v>
      </c>
      <c r="Z61" s="43">
        <v>0.80253189999999996</v>
      </c>
      <c r="AA61" s="43">
        <v>1.0149900000000001</v>
      </c>
      <c r="AB61" s="43">
        <v>0.99683999999999995</v>
      </c>
      <c r="AC61" s="43">
        <v>56.337069999999997</v>
      </c>
      <c r="AD61" s="43">
        <v>1.0300499999999999</v>
      </c>
      <c r="AE61" s="43">
        <v>1.02633</v>
      </c>
      <c r="AF61" s="43">
        <v>1.0706500000000001</v>
      </c>
      <c r="AG61" s="43">
        <v>329.52159999999998</v>
      </c>
      <c r="AH61" s="43">
        <v>128.02719999999999</v>
      </c>
      <c r="AI61" s="43">
        <v>2.0283039999999999</v>
      </c>
      <c r="AJ61" s="43">
        <v>2.0483333333333298</v>
      </c>
      <c r="AK61" s="43">
        <v>20917.87</v>
      </c>
      <c r="AM61" s="43">
        <v>2.00776086956522</v>
      </c>
      <c r="AN61" s="43">
        <v>1.525239</v>
      </c>
      <c r="AO61" s="43">
        <v>2.1370434782608698</v>
      </c>
      <c r="AP61" s="43">
        <v>2.1333695652173899</v>
      </c>
      <c r="AQ61" s="43">
        <v>2.9752169999999998</v>
      </c>
      <c r="AR61" s="43">
        <v>1.9716629999999999</v>
      </c>
      <c r="AS61" s="43">
        <v>1.718424</v>
      </c>
      <c r="AT61" s="43">
        <v>1.8071410000000001</v>
      </c>
      <c r="AU61" s="43">
        <v>2.1007280000000002</v>
      </c>
      <c r="AV61" s="43">
        <v>2087.3589999999999</v>
      </c>
      <c r="AW61" s="43">
        <v>1172.2380000000001</v>
      </c>
      <c r="AX61" s="43">
        <v>1.0819909999999999</v>
      </c>
      <c r="AY61" s="43">
        <v>1.3366849999999999</v>
      </c>
      <c r="AZ61" s="43">
        <v>217.352</v>
      </c>
      <c r="BA61" s="43">
        <v>0.75556760000000001</v>
      </c>
      <c r="BB61" s="43">
        <v>114.6</v>
      </c>
      <c r="BC61" s="43">
        <v>25.80968</v>
      </c>
      <c r="BD61" s="43">
        <v>5.7</v>
      </c>
      <c r="BE61" s="43">
        <v>1.002667</v>
      </c>
      <c r="BF61" s="43">
        <v>1.6771199999999999</v>
      </c>
      <c r="BG61" s="43">
        <v>1.75</v>
      </c>
      <c r="BH61" s="43">
        <v>2.3644509999999999</v>
      </c>
      <c r="BI61" s="43">
        <v>1.1120000000000001</v>
      </c>
      <c r="BJ61" s="43">
        <v>1.0720000000000001</v>
      </c>
      <c r="BK61" s="43">
        <v>74.573080000000004</v>
      </c>
      <c r="BL61" s="43">
        <v>78.229929999999996</v>
      </c>
      <c r="BM61" s="43">
        <v>1.071966</v>
      </c>
      <c r="BN61" s="43">
        <v>1.258669</v>
      </c>
      <c r="BO61" s="43">
        <v>37.269329999999997</v>
      </c>
      <c r="BP61" s="43">
        <v>1.32369489555873</v>
      </c>
      <c r="BQ61" s="43">
        <v>2195.14</v>
      </c>
      <c r="BR61" s="43">
        <v>431.69734373354999</v>
      </c>
      <c r="BS61" s="43">
        <v>11270.63</v>
      </c>
      <c r="BT61" s="43">
        <v>6056.1540000000005</v>
      </c>
      <c r="BU61" s="43">
        <v>1.0487280000000001</v>
      </c>
      <c r="BV61" s="43">
        <v>1.042786</v>
      </c>
      <c r="BW61" s="43">
        <v>1.043652</v>
      </c>
      <c r="BX61" s="43">
        <v>1.1404529999999999</v>
      </c>
      <c r="BY61" s="43">
        <v>0.30941849999999999</v>
      </c>
      <c r="BZ61" s="43">
        <v>0.59234240000000005</v>
      </c>
      <c r="CA61" s="43">
        <v>0.47126089999999998</v>
      </c>
      <c r="CB61" s="43">
        <v>0.77806090000000006</v>
      </c>
      <c r="CC61" s="43">
        <v>9.0510850000000005</v>
      </c>
      <c r="CD61" s="43">
        <v>1.0331090000000001</v>
      </c>
      <c r="CE61" s="43">
        <v>1.038098</v>
      </c>
      <c r="CF61" s="43">
        <v>1.0567500000000001</v>
      </c>
      <c r="CG61" s="43">
        <v>0.98933329999999997</v>
      </c>
      <c r="CH61" s="43">
        <v>1.0227280000000001</v>
      </c>
      <c r="CI61" s="43">
        <v>1.0354890000000001</v>
      </c>
      <c r="CJ61" s="43">
        <v>1.033283</v>
      </c>
      <c r="CK61" s="43">
        <v>1.0273330000000001</v>
      </c>
      <c r="CL61" s="43">
        <v>1.046667</v>
      </c>
      <c r="CM61" s="43">
        <v>1.0349999999999999</v>
      </c>
      <c r="CN61" s="43">
        <v>1.036467</v>
      </c>
      <c r="CO61" s="43">
        <v>1.046</v>
      </c>
      <c r="CP61" s="43">
        <v>0.87686090000000005</v>
      </c>
      <c r="CQ61" s="43">
        <v>1.043272</v>
      </c>
      <c r="CR61" s="43">
        <v>-0.36734240000000001</v>
      </c>
      <c r="CS61" s="43">
        <v>59.2176499850761</v>
      </c>
      <c r="CT61" s="43">
        <v>66.602620000000002</v>
      </c>
      <c r="CU61" s="43">
        <v>22.696069999999999</v>
      </c>
      <c r="CV61" s="43">
        <v>25.883807038109101</v>
      </c>
      <c r="CW61" s="43">
        <v>1.071</v>
      </c>
      <c r="CX61" s="43">
        <v>1.0409999999999999</v>
      </c>
      <c r="CY61" s="43">
        <v>1.130333</v>
      </c>
      <c r="CZ61" s="43">
        <v>1.0336666666666701</v>
      </c>
      <c r="DA61" s="43">
        <v>0.99533333333333296</v>
      </c>
      <c r="DB61" s="43">
        <v>2.0929658274</v>
      </c>
      <c r="DC61" s="43">
        <v>1.0409999999999999</v>
      </c>
      <c r="DD61" s="43">
        <v>0.94799999999999995</v>
      </c>
      <c r="DE61" s="43">
        <v>0.98599999999999999</v>
      </c>
      <c r="DF61" s="43">
        <v>0.93799999999999994</v>
      </c>
      <c r="DG61" s="43">
        <v>0.92900000000000005</v>
      </c>
      <c r="DH61" s="43">
        <v>0.96899999999999997</v>
      </c>
      <c r="DI61" s="43">
        <v>0.92400000000000004</v>
      </c>
      <c r="DJ61" s="43">
        <v>0.876</v>
      </c>
      <c r="DK61" s="43">
        <v>1.167333</v>
      </c>
      <c r="DL61" s="43">
        <v>1.131</v>
      </c>
      <c r="DM61" s="43">
        <v>1.0449999999999999</v>
      </c>
      <c r="DN61" s="43">
        <v>1.044</v>
      </c>
      <c r="DO61" s="43">
        <v>1.0733330000000001</v>
      </c>
      <c r="DP61" s="43">
        <v>1.044667</v>
      </c>
      <c r="DQ61" s="43">
        <v>1.344333</v>
      </c>
      <c r="DR61" s="43">
        <v>1.1086670000000001</v>
      </c>
      <c r="DS61" s="43">
        <v>1.092333</v>
      </c>
      <c r="DT61" s="43">
        <v>1.0289999999999999</v>
      </c>
      <c r="DU61" s="43">
        <v>553.10749999999996</v>
      </c>
      <c r="DV61" s="43">
        <v>302.32429999999999</v>
      </c>
      <c r="DW61" s="43">
        <v>115.4706</v>
      </c>
      <c r="DX61" s="43">
        <v>0.99966310000000003</v>
      </c>
      <c r="DY61" s="43">
        <v>1.0163260000000001</v>
      </c>
      <c r="DZ61" s="43">
        <v>1.0009999999999999</v>
      </c>
      <c r="EA61" s="43">
        <v>954.39120000000003</v>
      </c>
      <c r="EB61" s="43">
        <v>112.60980000000001</v>
      </c>
      <c r="EC61" s="43">
        <v>1.0349999999999999</v>
      </c>
      <c r="ED61" s="43">
        <v>1.046</v>
      </c>
      <c r="EE61" s="43">
        <v>1.0409999999999999</v>
      </c>
      <c r="EF61" s="43">
        <v>1.130333</v>
      </c>
      <c r="EG61" s="43">
        <v>1.071</v>
      </c>
      <c r="EH61" s="43">
        <v>0.47672207189794802</v>
      </c>
      <c r="EI61" s="43">
        <v>0.19692307692307601</v>
      </c>
      <c r="EJ61" s="43">
        <v>22.557376229208</v>
      </c>
      <c r="EK61" s="43">
        <v>12.799999999999899</v>
      </c>
      <c r="EL61" s="43">
        <v>0.56377556705133003</v>
      </c>
      <c r="EM61" s="43">
        <v>1776.6474091805101</v>
      </c>
      <c r="EN61" s="43">
        <v>442.37084938472202</v>
      </c>
      <c r="EO61" s="43">
        <v>65744.197177358394</v>
      </c>
      <c r="EP61" s="43">
        <v>44571.180187723301</v>
      </c>
      <c r="EQ61" s="43">
        <v>3170.6716880538902</v>
      </c>
      <c r="ER61" s="43">
        <v>1.35722584324639</v>
      </c>
      <c r="ES61" s="43">
        <v>1.4498467197921501</v>
      </c>
      <c r="ET61" s="43">
        <v>1.33827906781951</v>
      </c>
      <c r="EU61" s="43">
        <v>1.0161480000000001</v>
      </c>
      <c r="EV61" s="43">
        <v>1.143267</v>
      </c>
      <c r="EW61" s="43">
        <v>1.4055</v>
      </c>
      <c r="EX61" s="43">
        <v>1.0131479999999999</v>
      </c>
      <c r="EY61" s="43">
        <v>1.129478</v>
      </c>
      <c r="EZ61" s="43">
        <v>1.405918</v>
      </c>
      <c r="FA61" s="43">
        <v>7.7280323752314297</v>
      </c>
      <c r="FB61" s="43">
        <v>7.6469619082141298</v>
      </c>
      <c r="FC61" s="43">
        <v>32.905662387617198</v>
      </c>
      <c r="FD61" s="43">
        <v>9468.3456501060391</v>
      </c>
      <c r="FE61" s="43">
        <v>90522.59</v>
      </c>
      <c r="FF61" s="43">
        <v>1.17321875</v>
      </c>
      <c r="FG61" s="43">
        <v>3.7951280000000001</v>
      </c>
      <c r="FH61" s="43">
        <v>681.90359999999998</v>
      </c>
      <c r="FI61" s="43">
        <v>14804.19</v>
      </c>
      <c r="FJ61" s="43">
        <v>6.9238309999999998</v>
      </c>
      <c r="FK61" s="43">
        <v>19.87152</v>
      </c>
      <c r="FL61" s="43">
        <v>1.0949580000000001</v>
      </c>
      <c r="FM61" s="43">
        <v>1.073466</v>
      </c>
    </row>
    <row r="62" spans="1:169" x14ac:dyDescent="0.25">
      <c r="A62" s="43" t="s">
        <v>289</v>
      </c>
      <c r="B62" s="43">
        <v>20415.150000000001</v>
      </c>
      <c r="C62" s="43">
        <v>13753.58</v>
      </c>
      <c r="D62" s="43">
        <v>2.5341710000000002</v>
      </c>
      <c r="E62" s="43">
        <v>2.4034450000000001</v>
      </c>
      <c r="F62" s="43">
        <v>2.652444</v>
      </c>
      <c r="G62" s="43">
        <v>3.8688889999999998</v>
      </c>
      <c r="H62" s="43">
        <v>1.0301629999999999</v>
      </c>
      <c r="I62" s="43">
        <v>1.00108</v>
      </c>
      <c r="J62" s="43">
        <v>1.013682</v>
      </c>
      <c r="K62" s="43">
        <v>0.99144390000000004</v>
      </c>
      <c r="L62" s="43">
        <v>2.0397560000000001</v>
      </c>
      <c r="M62" s="43">
        <v>54.822560000000003</v>
      </c>
      <c r="N62" s="43">
        <v>63.143666666666697</v>
      </c>
      <c r="O62" s="43">
        <v>2.9242222222222201</v>
      </c>
      <c r="P62" s="43">
        <v>1.1963330000000001</v>
      </c>
      <c r="Q62" s="43">
        <v>-586.84550000000002</v>
      </c>
      <c r="R62" s="43">
        <v>5.5</v>
      </c>
      <c r="S62" s="43">
        <v>2911.2429999999999</v>
      </c>
      <c r="T62" s="43">
        <v>2.3865560000000001</v>
      </c>
      <c r="U62" s="43">
        <v>3.026878</v>
      </c>
      <c r="V62" s="43">
        <v>2332.973</v>
      </c>
      <c r="W62" s="43">
        <v>1.355</v>
      </c>
      <c r="X62" s="43">
        <v>15541.02</v>
      </c>
      <c r="Y62" s="43">
        <v>1.2983480000000001</v>
      </c>
      <c r="Z62" s="43">
        <v>0.7934428</v>
      </c>
      <c r="AA62" s="43">
        <v>1.0238400000000001</v>
      </c>
      <c r="AB62" s="43">
        <v>0.99019000000000001</v>
      </c>
      <c r="AC62" s="43">
        <v>57.175559999999997</v>
      </c>
      <c r="AD62" s="43">
        <v>1.0337499999999999</v>
      </c>
      <c r="AE62" s="43">
        <v>1.03738</v>
      </c>
      <c r="AF62" s="43">
        <v>1.0768200000000001</v>
      </c>
      <c r="AG62" s="43">
        <v>329.86860000000001</v>
      </c>
      <c r="AH62" s="43">
        <v>128.29730000000001</v>
      </c>
      <c r="AI62" s="43">
        <v>1.9944109999999999</v>
      </c>
      <c r="AJ62" s="43">
        <v>2.0089999999999999</v>
      </c>
      <c r="AK62" s="43">
        <v>21104.13</v>
      </c>
      <c r="AM62" s="43">
        <v>2.0080555555555599</v>
      </c>
      <c r="AN62" s="43">
        <v>1.2429779999999999</v>
      </c>
      <c r="AO62" s="43">
        <v>2.1377888888888901</v>
      </c>
      <c r="AP62" s="43">
        <v>1.8723333333333301</v>
      </c>
      <c r="AQ62" s="43">
        <v>2.9237890000000002</v>
      </c>
      <c r="AR62" s="43">
        <v>1.9706889999999999</v>
      </c>
      <c r="AS62" s="43">
        <v>1.6181000000000001</v>
      </c>
      <c r="AT62" s="43">
        <v>1.664944</v>
      </c>
      <c r="AU62" s="43">
        <v>2.106544</v>
      </c>
      <c r="AV62" s="43">
        <v>2088.8359999999998</v>
      </c>
      <c r="AW62" s="43">
        <v>1178.479</v>
      </c>
      <c r="AX62" s="43">
        <v>1.0752980000000001</v>
      </c>
      <c r="AY62" s="43">
        <v>1.345</v>
      </c>
      <c r="AZ62" s="43">
        <v>182.959</v>
      </c>
      <c r="BA62" s="43">
        <v>0.75173670000000004</v>
      </c>
      <c r="BB62" s="43">
        <v>114.7</v>
      </c>
      <c r="BC62" s="43">
        <v>25.719670000000001</v>
      </c>
      <c r="BD62" s="43">
        <v>5.8</v>
      </c>
      <c r="BE62" s="43">
        <v>0.997</v>
      </c>
      <c r="BF62" s="43">
        <v>1.6526000000000001</v>
      </c>
      <c r="BG62" s="43">
        <v>1.75</v>
      </c>
      <c r="BH62" s="43">
        <v>1.8767609999999999</v>
      </c>
      <c r="BI62" s="43">
        <v>1.1200000000000001</v>
      </c>
      <c r="BJ62" s="43">
        <v>1.0860000000000001</v>
      </c>
      <c r="BK62" s="43">
        <v>76.059939999999997</v>
      </c>
      <c r="BL62" s="43">
        <v>72.929770000000005</v>
      </c>
      <c r="BM62" s="43">
        <v>1.0798080000000001</v>
      </c>
      <c r="BN62" s="43">
        <v>1.2461580000000001</v>
      </c>
      <c r="BO62" s="43">
        <v>37.368099999999998</v>
      </c>
      <c r="BP62" s="43">
        <v>1.33028765438768</v>
      </c>
      <c r="BQ62" s="43">
        <v>2233.748</v>
      </c>
      <c r="BR62" s="43">
        <v>428.46687635919699</v>
      </c>
      <c r="BS62" s="43">
        <v>11338.92</v>
      </c>
      <c r="BT62" s="43">
        <v>6087.3429999999998</v>
      </c>
      <c r="BU62" s="43">
        <v>1.055722</v>
      </c>
      <c r="BV62" s="43">
        <v>1.03548</v>
      </c>
      <c r="BW62" s="43">
        <v>1.0406550000000001</v>
      </c>
      <c r="BX62" s="43">
        <v>1.135397</v>
      </c>
      <c r="BY62" s="43">
        <v>4.2888889999999999E-2</v>
      </c>
      <c r="BZ62" s="43">
        <v>0.33557219999999999</v>
      </c>
      <c r="CA62" s="43">
        <v>0.43</v>
      </c>
      <c r="CB62" s="43">
        <v>0.76886330000000003</v>
      </c>
      <c r="CC62" s="43">
        <v>9.1744730000000008</v>
      </c>
      <c r="CD62" s="43">
        <v>1.0318560000000001</v>
      </c>
      <c r="CE62" s="43">
        <v>1.046967</v>
      </c>
      <c r="CF62" s="43">
        <v>1.0605560000000001</v>
      </c>
      <c r="CG62" s="43">
        <v>0.99433329999999998</v>
      </c>
      <c r="CH62" s="43">
        <v>1.0229889999999999</v>
      </c>
      <c r="CI62" s="43">
        <v>1.036878</v>
      </c>
      <c r="CJ62" s="43">
        <v>1.052567</v>
      </c>
      <c r="CK62" s="43">
        <v>0.98133329999999996</v>
      </c>
      <c r="CL62" s="43">
        <v>1.0389999999999999</v>
      </c>
      <c r="CM62" s="43">
        <v>1.0349999999999999</v>
      </c>
      <c r="CN62" s="43">
        <v>1.022367</v>
      </c>
      <c r="CO62" s="43">
        <v>1.038</v>
      </c>
      <c r="CP62" s="43">
        <v>0.88076549999999998</v>
      </c>
      <c r="CQ62" s="43">
        <v>1.0614889999999999</v>
      </c>
      <c r="CR62" s="43">
        <v>-0.30249999999999999</v>
      </c>
      <c r="CS62" s="43">
        <v>55.720498024806297</v>
      </c>
      <c r="CT62" s="43">
        <v>66.041520000000006</v>
      </c>
      <c r="CU62" s="43">
        <v>22.620349999999998</v>
      </c>
      <c r="CV62" s="43">
        <v>25.683086288882102</v>
      </c>
      <c r="CW62" s="43">
        <v>1.0653330000000001</v>
      </c>
      <c r="CX62" s="43">
        <v>1.032</v>
      </c>
      <c r="CY62" s="43">
        <v>1.141</v>
      </c>
      <c r="CZ62" s="43">
        <v>1.0286666666666699</v>
      </c>
      <c r="DA62" s="43">
        <v>0.996</v>
      </c>
      <c r="DB62" s="43">
        <v>2.0174723496000002</v>
      </c>
      <c r="DC62" s="43">
        <v>1.0113333333333301</v>
      </c>
      <c r="DD62" s="43">
        <v>0.95599999999999996</v>
      </c>
      <c r="DE62" s="43">
        <v>0.99099999999999999</v>
      </c>
      <c r="DF62" s="43">
        <v>0.94499999999999995</v>
      </c>
      <c r="DG62" s="43">
        <v>0.90200000000000002</v>
      </c>
      <c r="DH62" s="43">
        <v>0.97499999999999998</v>
      </c>
      <c r="DI62" s="43">
        <v>0.92600000000000005</v>
      </c>
      <c r="DJ62" s="43">
        <v>0.90600000000000003</v>
      </c>
      <c r="DK62" s="43">
        <v>1.1846669999999999</v>
      </c>
      <c r="DL62" s="43">
        <v>1.1213329999999999</v>
      </c>
      <c r="DM62" s="43">
        <v>1.052</v>
      </c>
      <c r="DN62" s="43">
        <v>1.0373333333333301</v>
      </c>
      <c r="DO62" s="43">
        <v>1.0453330000000001</v>
      </c>
      <c r="DP62" s="43">
        <v>1.0293330000000001</v>
      </c>
      <c r="DQ62" s="43">
        <v>1.4039999999999999</v>
      </c>
      <c r="DR62" s="43">
        <v>1.1066670000000001</v>
      </c>
      <c r="DS62" s="43">
        <v>1.0713330000000001</v>
      </c>
      <c r="DT62" s="43">
        <v>0.99566666666666703</v>
      </c>
      <c r="DU62" s="43">
        <v>554.38</v>
      </c>
      <c r="DV62" s="43">
        <v>301.57659999999998</v>
      </c>
      <c r="DW62" s="43">
        <v>113.37</v>
      </c>
      <c r="DX62" s="43">
        <v>0.997</v>
      </c>
      <c r="DY62" s="43">
        <v>1.008656</v>
      </c>
      <c r="DZ62" s="43">
        <v>1.0069999999999999</v>
      </c>
      <c r="EA62" s="43">
        <v>946.36099999999999</v>
      </c>
      <c r="EB62" s="43">
        <v>110.1468</v>
      </c>
      <c r="EC62" s="43">
        <v>1.0349999999999999</v>
      </c>
      <c r="ED62" s="43">
        <v>1.038</v>
      </c>
      <c r="EE62" s="43">
        <v>1.032</v>
      </c>
      <c r="EF62" s="43">
        <v>1.141</v>
      </c>
      <c r="EG62" s="43">
        <v>1.0653330000000001</v>
      </c>
      <c r="EH62" s="43">
        <v>0.47402783146501798</v>
      </c>
      <c r="EI62" s="43">
        <v>0.19581014729950899</v>
      </c>
      <c r="EJ62" s="43">
        <v>22.429891057700001</v>
      </c>
      <c r="EK62" s="43">
        <v>12.727659574468101</v>
      </c>
      <c r="EL62" s="43">
        <v>0.56058933545563105</v>
      </c>
      <c r="EM62" s="43">
        <v>1803.09006609163</v>
      </c>
      <c r="EN62" s="43">
        <v>448.95485729609101</v>
      </c>
      <c r="EO62" s="43">
        <v>66722.698167973795</v>
      </c>
      <c r="EP62" s="43">
        <v>45234.553471435698</v>
      </c>
      <c r="EQ62" s="43">
        <v>3217.8622466260299</v>
      </c>
      <c r="ER62" s="43">
        <v>1.35332836990066</v>
      </c>
      <c r="ES62" s="43">
        <v>1.4456832719961299</v>
      </c>
      <c r="ET62" s="43">
        <v>1.33443600292216</v>
      </c>
      <c r="EU62" s="43">
        <v>1.000764</v>
      </c>
      <c r="EV62" s="43">
        <v>1.1333</v>
      </c>
      <c r="EW62" s="43">
        <v>1.4072</v>
      </c>
      <c r="EX62" s="43">
        <v>1.004127</v>
      </c>
      <c r="EY62" s="43">
        <v>1.1399919999999999</v>
      </c>
      <c r="EZ62" s="43">
        <v>1.3960570000000001</v>
      </c>
      <c r="FA62" s="43">
        <v>7.6098696557754302</v>
      </c>
      <c r="FB62" s="43">
        <v>7.5299315042261901</v>
      </c>
      <c r="FC62" s="43">
        <v>32.612647068248002</v>
      </c>
      <c r="FD62" s="43">
        <v>9556.4811773681795</v>
      </c>
      <c r="FE62" s="43">
        <v>89887.69</v>
      </c>
      <c r="FF62" s="43">
        <v>1.16815625</v>
      </c>
      <c r="FG62" s="43">
        <v>3.7736160000000001</v>
      </c>
      <c r="FH62" s="43">
        <v>668.65750000000003</v>
      </c>
      <c r="FI62" s="43">
        <v>14150.25</v>
      </c>
      <c r="FJ62" s="43">
        <v>6.7541589999999996</v>
      </c>
      <c r="FK62" s="43">
        <v>19.22503</v>
      </c>
      <c r="FL62" s="43">
        <v>1.095065</v>
      </c>
      <c r="FM62" s="43">
        <v>1.06271</v>
      </c>
    </row>
    <row r="63" spans="1:169" x14ac:dyDescent="0.25">
      <c r="A63" s="43" t="s">
        <v>290</v>
      </c>
      <c r="B63" s="43">
        <v>20584.53</v>
      </c>
      <c r="C63" s="43">
        <v>13862.8</v>
      </c>
      <c r="D63" s="43">
        <v>2.5522079999999998</v>
      </c>
      <c r="E63" s="43">
        <v>2.3965939999999999</v>
      </c>
      <c r="F63" s="43">
        <v>2.334066</v>
      </c>
      <c r="G63" s="43">
        <v>3.6329669999999998</v>
      </c>
      <c r="H63" s="43">
        <v>1.0238590000000001</v>
      </c>
      <c r="I63" s="43">
        <v>0.99301859999999997</v>
      </c>
      <c r="J63" s="43">
        <v>1.004248</v>
      </c>
      <c r="K63" s="43">
        <v>0.98459079999999999</v>
      </c>
      <c r="L63" s="43">
        <v>2.0616810000000001</v>
      </c>
      <c r="M63" s="43">
        <v>59.794829999999997</v>
      </c>
      <c r="N63" s="43">
        <v>68.949670329670298</v>
      </c>
      <c r="O63" s="43">
        <v>2.5641758241758201</v>
      </c>
      <c r="P63" s="43">
        <v>1.274</v>
      </c>
      <c r="Q63" s="43">
        <v>-609.61900000000003</v>
      </c>
      <c r="R63" s="43">
        <v>5.5</v>
      </c>
      <c r="S63" s="43">
        <v>2946.078</v>
      </c>
      <c r="T63" s="43">
        <v>2.3005499999999999</v>
      </c>
      <c r="U63" s="43">
        <v>2.7881870000000002</v>
      </c>
      <c r="V63" s="43">
        <v>2354.491</v>
      </c>
      <c r="W63" s="43">
        <v>1.3620000000000001</v>
      </c>
      <c r="X63" s="43">
        <v>15530.02</v>
      </c>
      <c r="Y63" s="43">
        <v>1.3015840000000001</v>
      </c>
      <c r="Z63" s="43">
        <v>0.78662500000000002</v>
      </c>
      <c r="AA63" s="43">
        <v>1.0330299999999999</v>
      </c>
      <c r="AB63" s="43">
        <v>0.98057000000000005</v>
      </c>
      <c r="AC63" s="43">
        <v>61.607689999999998</v>
      </c>
      <c r="AD63" s="43">
        <v>1.03878</v>
      </c>
      <c r="AE63" s="43">
        <v>1.04958</v>
      </c>
      <c r="AF63" s="43">
        <v>1.0820099999999999</v>
      </c>
      <c r="AG63" s="43">
        <v>330.24529999999999</v>
      </c>
      <c r="AH63" s="43">
        <v>128.56739999999999</v>
      </c>
      <c r="AI63" s="43">
        <v>1.9920329999999999</v>
      </c>
      <c r="AJ63" s="43">
        <v>2.0236666666666698</v>
      </c>
      <c r="AK63" s="43">
        <v>21384.78</v>
      </c>
      <c r="AM63" s="43">
        <v>1.9978131868131901</v>
      </c>
      <c r="AN63" s="43">
        <v>0.9357143</v>
      </c>
      <c r="AO63" s="43">
        <v>2.1480769230769199</v>
      </c>
      <c r="AP63" s="43">
        <v>2.0189230769230799</v>
      </c>
      <c r="AQ63" s="43">
        <v>2.9056479999999998</v>
      </c>
      <c r="AR63" s="43">
        <v>1.9603299999999999</v>
      </c>
      <c r="AS63" s="43">
        <v>1.695395</v>
      </c>
      <c r="AT63" s="43">
        <v>1.7365489999999999</v>
      </c>
      <c r="AU63" s="43">
        <v>2.1019890000000001</v>
      </c>
      <c r="AV63" s="43">
        <v>2109.4760000000001</v>
      </c>
      <c r="AW63" s="43">
        <v>1180.682</v>
      </c>
      <c r="AX63" s="43">
        <v>1.0964970000000001</v>
      </c>
      <c r="AY63" s="43">
        <v>1.3630329999999999</v>
      </c>
      <c r="AZ63" s="43">
        <v>218.88900000000001</v>
      </c>
      <c r="BA63" s="43">
        <v>0.74740669999999998</v>
      </c>
      <c r="BB63" s="43">
        <v>116.1</v>
      </c>
      <c r="BC63" s="43">
        <v>26.081430000000001</v>
      </c>
      <c r="BD63" s="43">
        <v>5.5648350000000004</v>
      </c>
      <c r="BE63" s="43">
        <v>1.009333</v>
      </c>
      <c r="BF63" s="43">
        <v>1.672885</v>
      </c>
      <c r="BG63" s="43">
        <v>1.75</v>
      </c>
      <c r="BH63" s="43">
        <v>1.61511</v>
      </c>
      <c r="BI63" s="43">
        <v>1.127</v>
      </c>
      <c r="BJ63" s="43">
        <v>1.0960000000000001</v>
      </c>
      <c r="BK63" s="43">
        <v>82.430530000000005</v>
      </c>
      <c r="BL63" s="43">
        <v>80.004940000000005</v>
      </c>
      <c r="BM63" s="43">
        <v>1.0874900000000001</v>
      </c>
      <c r="BN63" s="43">
        <v>1.2503200000000001</v>
      </c>
      <c r="BO63" s="43">
        <v>37.467120000000001</v>
      </c>
      <c r="BP63" s="43">
        <v>1.3379907917009699</v>
      </c>
      <c r="BQ63" s="43">
        <v>2288.1239999999998</v>
      </c>
      <c r="BR63" s="43">
        <v>434.20150081909799</v>
      </c>
      <c r="BS63" s="43">
        <v>11378.92</v>
      </c>
      <c r="BT63" s="43">
        <v>6095.8729999999996</v>
      </c>
      <c r="BU63" s="43">
        <v>1.051396</v>
      </c>
      <c r="BV63" s="43">
        <v>1.0524990000000001</v>
      </c>
      <c r="BW63" s="43">
        <v>1.0383519999999999</v>
      </c>
      <c r="BX63" s="43">
        <v>1.123575</v>
      </c>
      <c r="BY63" s="43">
        <v>-0.20423079999999999</v>
      </c>
      <c r="BZ63" s="43">
        <v>7.5109889999999999E-2</v>
      </c>
      <c r="CA63" s="43">
        <v>0</v>
      </c>
      <c r="CB63" s="43">
        <v>0.77830390000000005</v>
      </c>
      <c r="CC63" s="43">
        <v>9.4517330000000008</v>
      </c>
      <c r="CD63" s="43">
        <v>1.0203960000000001</v>
      </c>
      <c r="CE63" s="43">
        <v>1.050154</v>
      </c>
      <c r="CF63" s="43">
        <v>1.055088</v>
      </c>
      <c r="CG63" s="43">
        <v>0.96666660000000004</v>
      </c>
      <c r="CH63" s="43">
        <v>1.017077</v>
      </c>
      <c r="CI63" s="43">
        <v>1.051857</v>
      </c>
      <c r="CJ63" s="43">
        <v>1.042484</v>
      </c>
      <c r="CK63" s="43">
        <v>0.97533329999999996</v>
      </c>
      <c r="CL63" s="43">
        <v>1.0569999999999999</v>
      </c>
      <c r="CM63" s="43">
        <v>1.0369999999999999</v>
      </c>
      <c r="CN63" s="43">
        <v>1.0491330000000001</v>
      </c>
      <c r="CO63" s="43">
        <v>1.04</v>
      </c>
      <c r="CP63" s="43">
        <v>0.89002870000000001</v>
      </c>
      <c r="CQ63" s="43">
        <v>1.0771539999999999</v>
      </c>
      <c r="CR63" s="43">
        <v>-0.33870879999999998</v>
      </c>
      <c r="CS63" s="43">
        <v>61.394921923840997</v>
      </c>
      <c r="CT63" s="43">
        <v>64.578000000000003</v>
      </c>
      <c r="CU63" s="43">
        <v>22.865760000000002</v>
      </c>
      <c r="CV63" s="43">
        <v>25.6914012802761</v>
      </c>
      <c r="CW63" s="43">
        <v>1.0636669999999999</v>
      </c>
      <c r="CX63" s="43">
        <v>1.0396669999999999</v>
      </c>
      <c r="CY63" s="43">
        <v>1.1419999999999999</v>
      </c>
      <c r="CZ63" s="43">
        <v>1.0273333333333301</v>
      </c>
      <c r="DA63" s="43">
        <v>1.00233333333333</v>
      </c>
      <c r="DB63" s="43">
        <v>2.0596848520000002</v>
      </c>
      <c r="DC63" s="43">
        <v>1.0253333333333301</v>
      </c>
      <c r="DD63" s="43">
        <v>0.97399999999999998</v>
      </c>
      <c r="DE63" s="43">
        <v>0.99199999999999999</v>
      </c>
      <c r="DF63" s="43">
        <v>0.95499999999999996</v>
      </c>
      <c r="DG63" s="43">
        <v>0.91600000000000004</v>
      </c>
      <c r="DH63" s="43">
        <v>0.98599999999999999</v>
      </c>
      <c r="DI63" s="43">
        <v>0.94399999999999995</v>
      </c>
      <c r="DJ63" s="43">
        <v>0.92200000000000004</v>
      </c>
      <c r="DK63" s="43">
        <v>1.1273329999999999</v>
      </c>
      <c r="DL63" s="43">
        <v>1.125667</v>
      </c>
      <c r="DM63" s="43">
        <v>1.0353330000000001</v>
      </c>
      <c r="DN63" s="43">
        <v>1.04</v>
      </c>
      <c r="DO63" s="43">
        <v>1.002</v>
      </c>
      <c r="DP63" s="43">
        <v>1.046333</v>
      </c>
      <c r="DQ63" s="43">
        <v>1.179</v>
      </c>
      <c r="DR63" s="43">
        <v>1.125667</v>
      </c>
      <c r="DS63" s="43">
        <v>1.030667</v>
      </c>
      <c r="DT63" s="43">
        <v>1.00033333333333</v>
      </c>
      <c r="DU63" s="43">
        <v>556.44809999999995</v>
      </c>
      <c r="DV63" s="43">
        <v>302.27589999999998</v>
      </c>
      <c r="DW63" s="43">
        <v>113.51430000000001</v>
      </c>
      <c r="DX63" s="43">
        <v>0.99934069999999997</v>
      </c>
      <c r="DY63" s="43">
        <v>1.0130110000000001</v>
      </c>
      <c r="DZ63" s="43">
        <v>1.008</v>
      </c>
      <c r="EA63" s="43">
        <v>917.50480000000005</v>
      </c>
      <c r="EB63" s="43">
        <v>109.9503</v>
      </c>
      <c r="EC63" s="43">
        <v>1.0369999999999999</v>
      </c>
      <c r="ED63" s="43">
        <v>1.04</v>
      </c>
      <c r="EE63" s="43">
        <v>1.0396669999999999</v>
      </c>
      <c r="EF63" s="43">
        <v>1.1419999999999999</v>
      </c>
      <c r="EG63" s="43">
        <v>1.0636669999999999</v>
      </c>
      <c r="EH63" s="43">
        <v>0.47989176652493098</v>
      </c>
      <c r="EI63" s="43">
        <v>0.19823240589197999</v>
      </c>
      <c r="EJ63" s="43">
        <v>22.7073587839235</v>
      </c>
      <c r="EK63" s="43">
        <v>12.8851063829787</v>
      </c>
      <c r="EL63" s="43">
        <v>0.56752407481098099</v>
      </c>
      <c r="EM63" s="43">
        <v>1942.8620660606</v>
      </c>
      <c r="EN63" s="43">
        <v>483.75695591564602</v>
      </c>
      <c r="EO63" s="43">
        <v>71894.910661207206</v>
      </c>
      <c r="EP63" s="43">
        <v>48741.047198679698</v>
      </c>
      <c r="EQ63" s="43">
        <v>3467.3046068795602</v>
      </c>
      <c r="ER63" s="43">
        <v>1.3503334145735999</v>
      </c>
      <c r="ES63" s="43">
        <v>1.4424839325652801</v>
      </c>
      <c r="ET63" s="43">
        <v>1.3314828569566599</v>
      </c>
      <c r="EU63" s="43">
        <v>1.0308280000000001</v>
      </c>
      <c r="EV63" s="43">
        <v>1.146633</v>
      </c>
      <c r="EW63" s="43">
        <v>1.4074</v>
      </c>
      <c r="EX63" s="43">
        <v>1.0288390000000001</v>
      </c>
      <c r="EY63" s="43">
        <v>1.1544570000000001</v>
      </c>
      <c r="EZ63" s="43">
        <v>1.410814</v>
      </c>
      <c r="FA63" s="43">
        <v>7.8407818636737003</v>
      </c>
      <c r="FB63" s="43">
        <v>7.75712069079517</v>
      </c>
      <c r="FC63" s="43">
        <v>33.4152654542468</v>
      </c>
      <c r="FD63" s="43">
        <v>9677.7425898512902</v>
      </c>
      <c r="FE63" s="43">
        <v>90837.83</v>
      </c>
      <c r="FF63" s="43">
        <v>1.1660937499999999</v>
      </c>
      <c r="FG63" s="43">
        <v>3.9239980000000001</v>
      </c>
      <c r="FH63" s="43">
        <v>683.96280000000002</v>
      </c>
      <c r="FI63" s="43">
        <v>14258.59</v>
      </c>
      <c r="FJ63" s="43">
        <v>6.8236319999999999</v>
      </c>
      <c r="FK63" s="43">
        <v>19.124459999999999</v>
      </c>
      <c r="FL63" s="43">
        <v>1.1038730000000001</v>
      </c>
      <c r="FM63" s="43">
        <v>1.069774</v>
      </c>
    </row>
    <row r="64" spans="1:169" x14ac:dyDescent="0.25">
      <c r="A64" s="43" t="s">
        <v>291</v>
      </c>
      <c r="B64" s="43">
        <v>20817.580000000002</v>
      </c>
      <c r="C64" s="43">
        <v>14003.48</v>
      </c>
      <c r="D64" s="43">
        <v>2.5608040000000001</v>
      </c>
      <c r="E64" s="43">
        <v>2.1916310000000001</v>
      </c>
      <c r="F64" s="43">
        <v>1.797717</v>
      </c>
      <c r="G64" s="43">
        <v>3.6010870000000001</v>
      </c>
      <c r="H64" s="43">
        <v>1.0244249999999999</v>
      </c>
      <c r="I64" s="43">
        <v>0.99144500000000002</v>
      </c>
      <c r="J64" s="43">
        <v>0.99846639999999998</v>
      </c>
      <c r="K64" s="43">
        <v>0.98759909999999995</v>
      </c>
      <c r="L64" s="43">
        <v>2.0546850000000001</v>
      </c>
      <c r="M64" s="43">
        <v>56.363700000000001</v>
      </c>
      <c r="N64" s="43">
        <v>61.920217391304298</v>
      </c>
      <c r="O64" s="43">
        <v>2.3814130434782599</v>
      </c>
      <c r="P64" s="43">
        <v>1.2933330000000001</v>
      </c>
      <c r="Q64" s="43">
        <v>-594.59829999999999</v>
      </c>
      <c r="R64" s="43">
        <v>5.3016300000000003</v>
      </c>
      <c r="S64" s="43">
        <v>2975.3319999999999</v>
      </c>
      <c r="T64" s="43">
        <v>1.9809779999999999</v>
      </c>
      <c r="U64" s="43">
        <v>2.2973590000000002</v>
      </c>
      <c r="V64" s="43">
        <v>2404.7379999999998</v>
      </c>
      <c r="W64" s="43">
        <v>1.373</v>
      </c>
      <c r="X64" s="43">
        <v>15636.44</v>
      </c>
      <c r="Y64" s="43">
        <v>1.305172</v>
      </c>
      <c r="Z64" s="43">
        <v>0.78489589999999998</v>
      </c>
      <c r="AA64" s="43">
        <v>1.0420700000000001</v>
      </c>
      <c r="AB64" s="43">
        <v>0.97652000000000005</v>
      </c>
      <c r="AC64" s="43">
        <v>59.666089999999997</v>
      </c>
      <c r="AD64" s="43">
        <v>1.04213</v>
      </c>
      <c r="AE64" s="43">
        <v>1.05758</v>
      </c>
      <c r="AF64" s="43">
        <v>1.0904499999999999</v>
      </c>
      <c r="AG64" s="43">
        <v>330.72669999999999</v>
      </c>
      <c r="AH64" s="43">
        <v>128.83750000000001</v>
      </c>
      <c r="AI64" s="43">
        <v>1.96838</v>
      </c>
      <c r="AJ64" s="43">
        <v>2.004</v>
      </c>
      <c r="AK64" s="43">
        <v>21694.28</v>
      </c>
      <c r="AM64" s="43">
        <v>2.00573913043478</v>
      </c>
      <c r="AN64" s="43">
        <v>0.84265219999999996</v>
      </c>
      <c r="AO64" s="43">
        <v>2.14671739130435</v>
      </c>
      <c r="AP64" s="43">
        <v>1.91227173913043</v>
      </c>
      <c r="AQ64" s="43">
        <v>2.8658260000000002</v>
      </c>
      <c r="AR64" s="43">
        <v>1.9580329999999999</v>
      </c>
      <c r="AS64" s="43">
        <v>1.655098</v>
      </c>
      <c r="AT64" s="43">
        <v>1.6962170000000001</v>
      </c>
      <c r="AU64" s="43">
        <v>2.1043150000000002</v>
      </c>
      <c r="AV64" s="43">
        <v>2117.366</v>
      </c>
      <c r="AW64" s="43">
        <v>1185.807</v>
      </c>
      <c r="AX64" s="43">
        <v>1.0755809999999999</v>
      </c>
      <c r="AY64" s="43">
        <v>1.366717</v>
      </c>
      <c r="AZ64" s="43">
        <v>224.67500000000001</v>
      </c>
      <c r="BA64" s="43">
        <v>0.75735839999999999</v>
      </c>
      <c r="BB64" s="43">
        <v>117</v>
      </c>
      <c r="BC64" s="43">
        <v>26.187280000000001</v>
      </c>
      <c r="BD64" s="43">
        <v>5.7347830000000002</v>
      </c>
      <c r="BE64" s="43">
        <v>0.997</v>
      </c>
      <c r="BF64" s="43">
        <v>1.638957</v>
      </c>
      <c r="BG64" s="43">
        <v>1.75</v>
      </c>
      <c r="BH64" s="43">
        <v>1.3399730000000001</v>
      </c>
      <c r="BI64" s="43">
        <v>1.123</v>
      </c>
      <c r="BJ64" s="43">
        <v>1.097</v>
      </c>
      <c r="BK64" s="43">
        <v>78.784520000000001</v>
      </c>
      <c r="BL64" s="43">
        <v>74.423969999999997</v>
      </c>
      <c r="BM64" s="43">
        <v>1.082085</v>
      </c>
      <c r="BN64" s="43">
        <v>1.240472</v>
      </c>
      <c r="BO64" s="43">
        <v>37.566409999999998</v>
      </c>
      <c r="BP64" s="43">
        <v>1.3204238724881301</v>
      </c>
      <c r="BQ64" s="43">
        <v>2293.6640000000002</v>
      </c>
      <c r="BR64" s="43">
        <v>428.61228341367803</v>
      </c>
      <c r="BS64" s="43">
        <v>11397.43</v>
      </c>
      <c r="BT64" s="43">
        <v>6131.7860000000001</v>
      </c>
      <c r="BU64" s="43">
        <v>1.0439890000000001</v>
      </c>
      <c r="BV64" s="43">
        <v>1.050845</v>
      </c>
      <c r="BW64" s="43">
        <v>1.033663</v>
      </c>
      <c r="BX64" s="43">
        <v>1.1116490000000001</v>
      </c>
      <c r="BY64" s="43">
        <v>-0.69223369999999995</v>
      </c>
      <c r="BZ64" s="43">
        <v>-0.192</v>
      </c>
      <c r="CA64" s="43">
        <v>0</v>
      </c>
      <c r="CB64" s="43">
        <v>0.81146189999999996</v>
      </c>
      <c r="CC64" s="43">
        <v>9.5935319999999997</v>
      </c>
      <c r="CD64" s="43">
        <v>1.008391</v>
      </c>
      <c r="CE64" s="43">
        <v>1.0379670000000001</v>
      </c>
      <c r="CF64" s="43">
        <v>1.0543910000000001</v>
      </c>
      <c r="CG64" s="43">
        <v>0.9806667</v>
      </c>
      <c r="CH64" s="43">
        <v>0.99916309999999997</v>
      </c>
      <c r="CI64" s="43">
        <v>1.051587</v>
      </c>
      <c r="CJ64" s="43">
        <v>1.033283</v>
      </c>
      <c r="CK64" s="43">
        <v>1.0069999999999999</v>
      </c>
      <c r="CL64" s="43">
        <v>1.0629999999999999</v>
      </c>
      <c r="CM64" s="43">
        <v>1.0349999999999999</v>
      </c>
      <c r="CN64" s="43">
        <v>1.0385329999999999</v>
      </c>
      <c r="CO64" s="43">
        <v>1.0309999999999999</v>
      </c>
      <c r="CP64" s="43">
        <v>0.89961630000000004</v>
      </c>
      <c r="CQ64" s="43">
        <v>1.0559559999999999</v>
      </c>
      <c r="CR64" s="43">
        <v>-0.43891849999999999</v>
      </c>
      <c r="CS64" s="43">
        <v>55.778528316571801</v>
      </c>
      <c r="CT64" s="43">
        <v>64.690659999999994</v>
      </c>
      <c r="CU64" s="43">
        <v>23.165019999999998</v>
      </c>
      <c r="CV64" s="43">
        <v>25.751370964202401</v>
      </c>
      <c r="CW64" s="43">
        <v>1.0620000000000001</v>
      </c>
      <c r="CX64" s="43">
        <v>1.032667</v>
      </c>
      <c r="CY64" s="43">
        <v>1.1413329999999999</v>
      </c>
      <c r="CZ64" s="43">
        <v>1.024</v>
      </c>
      <c r="DA64" s="43">
        <v>1.0006666666666699</v>
      </c>
      <c r="DB64" s="43">
        <v>2.0000168177000002</v>
      </c>
      <c r="DC64" s="43">
        <v>1.02833333333333</v>
      </c>
      <c r="DD64" s="43">
        <v>0.97499999999999998</v>
      </c>
      <c r="DE64" s="43">
        <v>0.98799999999999999</v>
      </c>
      <c r="DF64" s="43">
        <v>0.96099999999999997</v>
      </c>
      <c r="DG64" s="43">
        <v>0.92900000000000005</v>
      </c>
      <c r="DH64" s="43">
        <v>0.99099999999999999</v>
      </c>
      <c r="DI64" s="43">
        <v>0.94899999999999995</v>
      </c>
      <c r="DJ64" s="43">
        <v>0.93700000000000006</v>
      </c>
      <c r="DK64" s="43">
        <v>1.189667</v>
      </c>
      <c r="DL64" s="43">
        <v>1.110333</v>
      </c>
      <c r="DM64" s="43">
        <v>1.023333</v>
      </c>
      <c r="DN64" s="43">
        <v>1.0373333333333301</v>
      </c>
      <c r="DO64" s="43">
        <v>0.98466659999999995</v>
      </c>
      <c r="DP64" s="43">
        <v>1.034667</v>
      </c>
      <c r="DQ64" s="43">
        <v>1.222</v>
      </c>
      <c r="DR64" s="43">
        <v>1.127</v>
      </c>
      <c r="DS64" s="43">
        <v>1.0189999999999999</v>
      </c>
      <c r="DT64" s="43">
        <v>0.98799999999999999</v>
      </c>
      <c r="DU64" s="43">
        <v>557.26030000000003</v>
      </c>
      <c r="DV64" s="43">
        <v>304.88139999999999</v>
      </c>
      <c r="DW64" s="43">
        <v>112.625</v>
      </c>
      <c r="DX64" s="43">
        <v>0.99965210000000004</v>
      </c>
      <c r="DY64" s="43">
        <v>1.0066740000000001</v>
      </c>
      <c r="DZ64" s="43">
        <v>1.008</v>
      </c>
      <c r="EA64" s="43">
        <v>895.84670000000006</v>
      </c>
      <c r="EB64" s="43">
        <v>107.3047</v>
      </c>
      <c r="EC64" s="43">
        <v>1.0349999999999999</v>
      </c>
      <c r="ED64" s="43">
        <v>1.0309999999999999</v>
      </c>
      <c r="EE64" s="43">
        <v>1.032667</v>
      </c>
      <c r="EF64" s="43">
        <v>1.1413329999999999</v>
      </c>
      <c r="EG64" s="43">
        <v>1.0620000000000001</v>
      </c>
      <c r="EH64" s="43">
        <v>0.47402783146501798</v>
      </c>
      <c r="EI64" s="43">
        <v>0.19581014729950899</v>
      </c>
      <c r="EJ64" s="43">
        <v>22.429891057700001</v>
      </c>
      <c r="EK64" s="43">
        <v>12.727659574468101</v>
      </c>
      <c r="EL64" s="43">
        <v>0.56058933545563105</v>
      </c>
      <c r="EM64" s="43">
        <v>1881.6315404111499</v>
      </c>
      <c r="EN64" s="43">
        <v>468.51104977813401</v>
      </c>
      <c r="EO64" s="43">
        <v>69629.097123434098</v>
      </c>
      <c r="EP64" s="43">
        <v>47204.942298175301</v>
      </c>
      <c r="EQ64" s="43">
        <v>3358.0303113056798</v>
      </c>
      <c r="ER64" s="43">
        <v>1.34423556588555</v>
      </c>
      <c r="ES64" s="43">
        <v>1.43596994967721</v>
      </c>
      <c r="ET64" s="43">
        <v>1.3254701337989301</v>
      </c>
      <c r="EU64" s="43">
        <v>1.0233699999999999</v>
      </c>
      <c r="EV64" s="43">
        <v>1.4041999999999999</v>
      </c>
      <c r="EW64" s="43">
        <v>1.137267</v>
      </c>
      <c r="EX64" s="43">
        <v>1.0229699999999999</v>
      </c>
      <c r="EY64" s="43">
        <v>1.40205</v>
      </c>
      <c r="EZ64" s="43">
        <v>1.1432850000000001</v>
      </c>
      <c r="FA64" s="43">
        <v>7.7834996230079696</v>
      </c>
      <c r="FB64" s="43">
        <v>7.6981133536945201</v>
      </c>
      <c r="FC64" s="43">
        <v>33.224672186203598</v>
      </c>
      <c r="FD64" s="43">
        <v>11753.2948269505</v>
      </c>
      <c r="FE64" s="43">
        <v>73612.509999999995</v>
      </c>
      <c r="FF64" s="43">
        <v>1.1629687500000001</v>
      </c>
      <c r="FG64" s="43">
        <v>3.9714830000000001</v>
      </c>
      <c r="FH64" s="43">
        <v>706.30070000000001</v>
      </c>
      <c r="FI64" s="43">
        <v>14130.8</v>
      </c>
      <c r="FJ64" s="43">
        <v>7.0176730000000003</v>
      </c>
      <c r="FK64" s="43">
        <v>19.441299999999998</v>
      </c>
      <c r="FL64" s="43">
        <v>1.106366</v>
      </c>
      <c r="FM64" s="43">
        <v>1.0782890000000001</v>
      </c>
    </row>
    <row r="65" spans="1:169" x14ac:dyDescent="0.25">
      <c r="A65" s="43" t="s">
        <v>292</v>
      </c>
      <c r="B65" s="43">
        <v>20951.09</v>
      </c>
      <c r="C65" s="43">
        <v>14093.63</v>
      </c>
      <c r="D65" s="43">
        <v>2.5788859999999998</v>
      </c>
      <c r="E65" s="43">
        <v>1.6443479999999999</v>
      </c>
      <c r="F65" s="43">
        <v>1.7931520000000001</v>
      </c>
      <c r="G65" s="43">
        <v>3.6</v>
      </c>
      <c r="H65" s="43">
        <v>1.018751</v>
      </c>
      <c r="I65" s="43">
        <v>0.98605160000000003</v>
      </c>
      <c r="J65" s="43">
        <v>0.99097559999999996</v>
      </c>
      <c r="K65" s="43">
        <v>0.98465340000000001</v>
      </c>
      <c r="L65" s="43">
        <v>2.0746850000000001</v>
      </c>
      <c r="M65" s="43">
        <v>56.955869999999997</v>
      </c>
      <c r="N65" s="43">
        <v>63.412173913043503</v>
      </c>
      <c r="O65" s="43">
        <v>2.39728260869565</v>
      </c>
      <c r="P65" s="43">
        <v>1.405</v>
      </c>
      <c r="Q65" s="43">
        <v>-515.25009999999997</v>
      </c>
      <c r="R65" s="43">
        <v>4.8308689999999999</v>
      </c>
      <c r="S65" s="43">
        <v>2974.8150000000001</v>
      </c>
      <c r="T65" s="43">
        <v>1.5770649999999999</v>
      </c>
      <c r="U65" s="43">
        <v>2.250381</v>
      </c>
      <c r="V65" s="43">
        <v>2407.7350000000001</v>
      </c>
      <c r="W65" s="43">
        <v>1.3819999999999999</v>
      </c>
      <c r="X65" s="43">
        <v>15726.48</v>
      </c>
      <c r="Y65" s="43">
        <v>1.308419</v>
      </c>
      <c r="Z65" s="43">
        <v>0.77861230000000003</v>
      </c>
      <c r="AA65" s="43">
        <v>1.0503199999999999</v>
      </c>
      <c r="AB65" s="43">
        <v>0.97648999999999997</v>
      </c>
      <c r="AC65" s="43">
        <v>60.197499999999998</v>
      </c>
      <c r="AD65" s="43">
        <v>1.04566</v>
      </c>
      <c r="AE65" s="43">
        <v>1.06576</v>
      </c>
      <c r="AF65" s="43">
        <v>1.0969599999999999</v>
      </c>
      <c r="AG65" s="43">
        <v>331.2079</v>
      </c>
      <c r="AH65" s="43">
        <v>129.10759999999999</v>
      </c>
      <c r="AI65" s="43">
        <v>1.972326</v>
      </c>
      <c r="AJ65" s="43">
        <v>1.9910000000000001</v>
      </c>
      <c r="AK65" s="43">
        <v>21902.39</v>
      </c>
      <c r="AM65" s="43">
        <v>1.9836630434782601</v>
      </c>
      <c r="AN65" s="43">
        <v>0.92972829999999995</v>
      </c>
      <c r="AO65" s="43">
        <v>2.1263043478260899</v>
      </c>
      <c r="AP65" s="43">
        <v>1.9716739130434799</v>
      </c>
      <c r="AQ65" s="43">
        <v>2.8699560000000002</v>
      </c>
      <c r="AR65" s="43">
        <v>1.9516519999999999</v>
      </c>
      <c r="AS65" s="43">
        <v>1.6828799999999999</v>
      </c>
      <c r="AT65" s="43">
        <v>1.6513040000000001</v>
      </c>
      <c r="AU65" s="43">
        <v>2.1505329999999998</v>
      </c>
      <c r="AV65" s="43">
        <v>2124.2869999999998</v>
      </c>
      <c r="AW65" s="43">
        <v>1193.992</v>
      </c>
      <c r="AX65" s="43">
        <v>1.069944</v>
      </c>
      <c r="AY65" s="43">
        <v>1.3646739999999999</v>
      </c>
      <c r="AZ65" s="43">
        <v>203.17400000000001</v>
      </c>
      <c r="BA65" s="43">
        <v>0.7574729</v>
      </c>
      <c r="BB65" s="43">
        <v>118.1</v>
      </c>
      <c r="BC65" s="43">
        <v>26.448149999999998</v>
      </c>
      <c r="BD65" s="43">
        <v>5.6978260000000001</v>
      </c>
      <c r="BE65" s="43">
        <v>0.99833329999999998</v>
      </c>
      <c r="BF65" s="43">
        <v>1.657951</v>
      </c>
      <c r="BG65" s="43">
        <v>1.75</v>
      </c>
      <c r="BH65" s="43">
        <v>1.5165649999999999</v>
      </c>
      <c r="BI65" s="43">
        <v>1.1339999999999999</v>
      </c>
      <c r="BJ65" s="43">
        <v>1.1060000000000001</v>
      </c>
      <c r="BK65" s="43">
        <v>79.471819999999994</v>
      </c>
      <c r="BL65" s="43">
        <v>75.192279999999997</v>
      </c>
      <c r="BM65" s="43">
        <v>1.061007</v>
      </c>
      <c r="BN65" s="43">
        <v>1.2559979999999999</v>
      </c>
      <c r="BO65" s="43">
        <v>37.665959999999998</v>
      </c>
      <c r="BP65" s="43">
        <v>1.3201847813555601</v>
      </c>
      <c r="BQ65" s="43">
        <v>2328.4360000000001</v>
      </c>
      <c r="BR65" s="43">
        <v>430.14701616065202</v>
      </c>
      <c r="BS65" s="43">
        <v>11402.15</v>
      </c>
      <c r="BT65" s="43">
        <v>6139.8860000000004</v>
      </c>
      <c r="BU65" s="43">
        <v>1.0343039999999999</v>
      </c>
      <c r="BV65" s="43">
        <v>1.053258</v>
      </c>
      <c r="BW65" s="43">
        <v>1.033663</v>
      </c>
      <c r="BX65" s="43">
        <v>1.1071409999999999</v>
      </c>
      <c r="BY65" s="43">
        <v>-0.60667389999999999</v>
      </c>
      <c r="BZ65" s="43">
        <v>0</v>
      </c>
      <c r="CA65" s="43">
        <v>0</v>
      </c>
      <c r="CB65" s="43">
        <v>0.77668689999999996</v>
      </c>
      <c r="CC65" s="43">
        <v>9.6145820000000004</v>
      </c>
      <c r="CD65" s="43">
        <v>0.99190219999999996</v>
      </c>
      <c r="CE65" s="43">
        <v>1.0276190000000001</v>
      </c>
      <c r="CF65" s="43">
        <v>1.03488</v>
      </c>
      <c r="CG65" s="43">
        <v>1.0580000000000001</v>
      </c>
      <c r="CH65" s="43">
        <v>1.00125</v>
      </c>
      <c r="CI65" s="43">
        <v>1.062098</v>
      </c>
      <c r="CJ65" s="43">
        <v>1.041283</v>
      </c>
      <c r="CK65" s="43">
        <v>1.036667</v>
      </c>
      <c r="CL65" s="43">
        <v>1.0589999999999999</v>
      </c>
      <c r="CM65" s="43">
        <v>1.034</v>
      </c>
      <c r="CN65" s="43">
        <v>1.0381670000000001</v>
      </c>
      <c r="CO65" s="43">
        <v>1.028</v>
      </c>
      <c r="CP65" s="43">
        <v>0.90323140000000002</v>
      </c>
      <c r="CQ65" s="43">
        <v>1.0603689999999999</v>
      </c>
      <c r="CR65" s="43">
        <v>-0.47932609999999998</v>
      </c>
      <c r="CS65" s="43">
        <v>57.128084606345404</v>
      </c>
      <c r="CT65" s="43">
        <v>63.712049999999998</v>
      </c>
      <c r="CU65" s="43">
        <v>23.108160000000002</v>
      </c>
      <c r="CV65" s="43">
        <v>25.584000804765399</v>
      </c>
      <c r="CW65" s="43">
        <v>1.060667</v>
      </c>
      <c r="CX65" s="43">
        <v>1.0243329999999999</v>
      </c>
      <c r="CY65" s="43">
        <v>1.1446670000000001</v>
      </c>
      <c r="CZ65" s="43">
        <v>1.0233333333333301</v>
      </c>
      <c r="DA65" s="43">
        <v>0.99633333333333296</v>
      </c>
      <c r="DB65" s="43">
        <v>1.9744879468000001</v>
      </c>
      <c r="DC65" s="43">
        <v>1.04466666666667</v>
      </c>
      <c r="DD65" s="43">
        <v>0.97799999999999998</v>
      </c>
      <c r="DE65" s="43">
        <v>1.0029999999999999</v>
      </c>
      <c r="DF65" s="43">
        <v>0.96699999999999997</v>
      </c>
      <c r="DG65" s="43">
        <v>0.93899999999999995</v>
      </c>
      <c r="DH65" s="43">
        <v>0.997</v>
      </c>
      <c r="DI65" s="43">
        <v>0.93899999999999995</v>
      </c>
      <c r="DJ65" s="43">
        <v>0.95199999999999996</v>
      </c>
      <c r="DK65" s="43">
        <v>1.165667</v>
      </c>
      <c r="DL65" s="43">
        <v>1.131</v>
      </c>
      <c r="DM65" s="43">
        <v>1.02</v>
      </c>
      <c r="DN65" s="43">
        <v>1.0316666666666701</v>
      </c>
      <c r="DO65" s="43">
        <v>0.95799999999999996</v>
      </c>
      <c r="DP65" s="43">
        <v>1.017333</v>
      </c>
      <c r="DQ65" s="43">
        <v>1.3049999999999999</v>
      </c>
      <c r="DR65" s="43">
        <v>1.123</v>
      </c>
      <c r="DS65" s="43">
        <v>0.95666660000000003</v>
      </c>
      <c r="DT65" s="43">
        <v>0.98333333333333295</v>
      </c>
      <c r="DU65" s="43">
        <v>541.94110000000001</v>
      </c>
      <c r="DV65" s="43">
        <v>294.34129999999999</v>
      </c>
      <c r="DW65" s="43">
        <v>107.96850000000001</v>
      </c>
      <c r="DX65" s="43">
        <v>1.0046630000000001</v>
      </c>
      <c r="DY65" s="43">
        <v>1.018337</v>
      </c>
      <c r="DZ65" s="43">
        <v>1.0149999999999999</v>
      </c>
      <c r="EA65" s="43">
        <v>869.0453</v>
      </c>
      <c r="EB65" s="43">
        <v>108.7196</v>
      </c>
      <c r="EC65" s="43">
        <v>1.034</v>
      </c>
      <c r="ED65" s="43">
        <v>1.028</v>
      </c>
      <c r="EE65" s="43">
        <v>1.0243329999999999</v>
      </c>
      <c r="EF65" s="43">
        <v>1.1446670000000001</v>
      </c>
      <c r="EG65" s="43">
        <v>1.060667</v>
      </c>
      <c r="EH65" s="43">
        <v>0.47466177039041402</v>
      </c>
      <c r="EI65" s="43">
        <v>0.19607201309329</v>
      </c>
      <c r="EJ65" s="43">
        <v>22.459887568643101</v>
      </c>
      <c r="EK65" s="43">
        <v>12.7446808510638</v>
      </c>
      <c r="EL65" s="43">
        <v>0.56133903700756105</v>
      </c>
      <c r="EM65" s="43">
        <v>1898.39019837917</v>
      </c>
      <c r="EN65" s="43">
        <v>472.683820200421</v>
      </c>
      <c r="EO65" s="43">
        <v>70249.245222704805</v>
      </c>
      <c r="EP65" s="43">
        <v>47625.370774944196</v>
      </c>
      <c r="EQ65" s="43">
        <v>3387.93844168338</v>
      </c>
      <c r="ER65" s="43">
        <v>1.34423556588555</v>
      </c>
      <c r="ES65" s="43">
        <v>1.43596994967721</v>
      </c>
      <c r="ET65" s="43">
        <v>1.3254701337989301</v>
      </c>
      <c r="EU65" s="43">
        <v>1.0443800000000001</v>
      </c>
      <c r="EV65" s="43">
        <v>1.4123000000000001</v>
      </c>
      <c r="EW65" s="43">
        <v>1.1911149999999999</v>
      </c>
      <c r="EX65" s="43">
        <v>1.0448</v>
      </c>
      <c r="EY65" s="43">
        <v>1.3983680000000001</v>
      </c>
      <c r="EZ65" s="43">
        <v>1.1900520000000001</v>
      </c>
      <c r="FA65" s="43">
        <v>7.9448732036417002</v>
      </c>
      <c r="FB65" s="43">
        <v>7.8556692794941796</v>
      </c>
      <c r="FC65" s="43">
        <v>33.933670170378797</v>
      </c>
      <c r="FD65" s="43">
        <v>11722.4268948015</v>
      </c>
      <c r="FE65" s="43">
        <v>76623.67</v>
      </c>
      <c r="FF65" s="43">
        <v>1.1587812500000001</v>
      </c>
      <c r="FG65" s="43">
        <v>4.1191550000000001</v>
      </c>
      <c r="FH65" s="43">
        <v>758.66949999999997</v>
      </c>
      <c r="FI65" s="43">
        <v>14070.5</v>
      </c>
      <c r="FJ65" s="43">
        <v>7.0460640000000003</v>
      </c>
      <c r="FK65" s="43">
        <v>19.250019999999999</v>
      </c>
      <c r="FL65" s="43">
        <v>1.104751</v>
      </c>
      <c r="FM65" s="43">
        <v>1.077099</v>
      </c>
    </row>
    <row r="66" spans="1:169" x14ac:dyDescent="0.25">
      <c r="A66" s="43" t="s">
        <v>293</v>
      </c>
      <c r="B66" s="43">
        <v>20665.55</v>
      </c>
      <c r="C66" s="43">
        <v>13855.59</v>
      </c>
      <c r="D66" s="43">
        <v>2.5879319999999999</v>
      </c>
      <c r="E66" s="43">
        <v>1.2529669999999999</v>
      </c>
      <c r="F66" s="43">
        <v>1.373956</v>
      </c>
      <c r="G66" s="43">
        <v>3.840659</v>
      </c>
      <c r="H66" s="43">
        <v>1.0019469999999999</v>
      </c>
      <c r="I66" s="43">
        <v>0.97318530000000003</v>
      </c>
      <c r="J66" s="43">
        <v>0.96705859999999999</v>
      </c>
      <c r="K66" s="43">
        <v>0.98364739999999995</v>
      </c>
      <c r="L66" s="43">
        <v>2.0554619999999999</v>
      </c>
      <c r="M66" s="43">
        <v>45.651539999999997</v>
      </c>
      <c r="N66" s="43">
        <v>50.325274725274703</v>
      </c>
      <c r="O66" s="43">
        <v>1.90659340659341</v>
      </c>
      <c r="P66" s="43">
        <v>1.4850000000000001</v>
      </c>
      <c r="Q66" s="43">
        <v>-519.54110000000003</v>
      </c>
      <c r="R66" s="43">
        <v>4.4195599999999997</v>
      </c>
      <c r="S66" s="43">
        <v>3019.8150000000001</v>
      </c>
      <c r="T66" s="43">
        <v>1.100989</v>
      </c>
      <c r="U66" s="43">
        <v>1.666798</v>
      </c>
      <c r="V66" s="43">
        <v>2153.85</v>
      </c>
      <c r="W66" s="43">
        <v>1.393</v>
      </c>
      <c r="X66" s="43">
        <v>15820.16</v>
      </c>
      <c r="Y66" s="43">
        <v>1.3101799999999999</v>
      </c>
      <c r="Z66" s="43">
        <v>0.76474109999999995</v>
      </c>
      <c r="AA66" s="43">
        <v>1.0471600000000001</v>
      </c>
      <c r="AB66" s="43">
        <v>0.97836000000000001</v>
      </c>
      <c r="AC66" s="43">
        <v>52.650770000000001</v>
      </c>
      <c r="AD66" s="43">
        <v>1.0504199999999999</v>
      </c>
      <c r="AE66" s="43">
        <v>1.07281</v>
      </c>
      <c r="AF66" s="43">
        <v>1.10354</v>
      </c>
      <c r="AG66" s="43">
        <v>331.5342</v>
      </c>
      <c r="AH66" s="43">
        <v>129.37280000000001</v>
      </c>
      <c r="AI66" s="43">
        <v>1.948231</v>
      </c>
      <c r="AJ66" s="43">
        <v>1.96333333333333</v>
      </c>
      <c r="AK66" s="43">
        <v>21706.51</v>
      </c>
      <c r="AM66" s="43">
        <v>1.8977032967033001</v>
      </c>
      <c r="AN66" s="43">
        <v>0.71717580000000003</v>
      </c>
      <c r="AO66" s="43">
        <v>2.1252307692307699</v>
      </c>
      <c r="AP66" s="43">
        <v>1.77914285714286</v>
      </c>
      <c r="AQ66" s="43">
        <v>2.8578899999999998</v>
      </c>
      <c r="AR66" s="43">
        <v>1.947978</v>
      </c>
      <c r="AS66" s="43">
        <v>1.605418</v>
      </c>
      <c r="AT66" s="43">
        <v>1.5285599999999999</v>
      </c>
      <c r="AU66" s="43">
        <v>2.1352639999999998</v>
      </c>
      <c r="AV66" s="43">
        <v>2079.0749999999998</v>
      </c>
      <c r="AW66" s="43">
        <v>1166.6210000000001</v>
      </c>
      <c r="AX66" s="43">
        <v>1.056829</v>
      </c>
      <c r="AY66" s="43">
        <v>1.3692310000000001</v>
      </c>
      <c r="AZ66" s="43">
        <v>196.71700000000001</v>
      </c>
      <c r="BA66" s="43">
        <v>0.74533099999999997</v>
      </c>
      <c r="BB66" s="43">
        <v>119.4</v>
      </c>
      <c r="BC66" s="43">
        <v>26.548570000000002</v>
      </c>
      <c r="BD66" s="43">
        <v>6.5516480000000001</v>
      </c>
      <c r="BE66" s="43">
        <v>0.99633340000000004</v>
      </c>
      <c r="BF66" s="43">
        <v>1.276681</v>
      </c>
      <c r="BG66" s="43">
        <v>1.25</v>
      </c>
      <c r="BH66" s="43">
        <v>1.2142360000000001</v>
      </c>
      <c r="BI66" s="43">
        <v>1.135</v>
      </c>
      <c r="BJ66" s="43">
        <v>1.095</v>
      </c>
      <c r="BK66" s="43">
        <v>70.690539999999999</v>
      </c>
      <c r="BL66" s="43">
        <v>61.29316</v>
      </c>
      <c r="BM66" s="43">
        <v>0.98304360000000002</v>
      </c>
      <c r="BN66" s="43">
        <v>1.2302409999999999</v>
      </c>
      <c r="BO66" s="43">
        <v>37.765770000000003</v>
      </c>
      <c r="BP66" s="43">
        <v>1.34263070510885</v>
      </c>
      <c r="BQ66" s="43">
        <v>2253.828</v>
      </c>
      <c r="BR66" s="43">
        <v>428.81349594450597</v>
      </c>
      <c r="BS66" s="43">
        <v>11012.82</v>
      </c>
      <c r="BT66" s="43">
        <v>5863.6459999999997</v>
      </c>
      <c r="BU66" s="43">
        <v>1.001549</v>
      </c>
      <c r="BV66" s="43">
        <v>1.0468949999999999</v>
      </c>
      <c r="BW66" s="43">
        <v>1.027253</v>
      </c>
      <c r="BX66" s="43">
        <v>1.1027169999999999</v>
      </c>
      <c r="BY66" s="43">
        <v>-0.5683241</v>
      </c>
      <c r="BZ66" s="43">
        <v>-0.17199999999999999</v>
      </c>
      <c r="CA66" s="43">
        <v>-0.47799999999999998</v>
      </c>
      <c r="CB66" s="43">
        <v>0.78186149999999999</v>
      </c>
      <c r="CC66" s="43">
        <v>9.6755289999999992</v>
      </c>
      <c r="CD66" s="43">
        <v>0.97618689999999997</v>
      </c>
      <c r="CE66" s="43">
        <v>0.96718680000000001</v>
      </c>
      <c r="CF66" s="43">
        <v>0.94138469999999996</v>
      </c>
      <c r="CG66" s="43">
        <v>1.073</v>
      </c>
      <c r="CH66" s="43">
        <v>1.017088</v>
      </c>
      <c r="CI66" s="43">
        <v>1.0379670000000001</v>
      </c>
      <c r="CJ66" s="43">
        <v>0.94899990000000001</v>
      </c>
      <c r="CK66" s="43">
        <v>1.009333</v>
      </c>
      <c r="CL66" s="43">
        <v>1.0553330000000001</v>
      </c>
      <c r="CM66" s="43">
        <v>1.0349999999999999</v>
      </c>
      <c r="CN66" s="43">
        <v>1.027433</v>
      </c>
      <c r="CO66" s="43">
        <v>1.016</v>
      </c>
      <c r="CP66" s="43">
        <v>0.90689779999999998</v>
      </c>
      <c r="CQ66" s="43">
        <v>1.0607580000000001</v>
      </c>
      <c r="CR66" s="43">
        <v>-0.41386260000000002</v>
      </c>
      <c r="CS66" s="43">
        <v>45.631296383589898</v>
      </c>
      <c r="CT66" s="43">
        <v>66.887249999999995</v>
      </c>
      <c r="CU66" s="43">
        <v>23.259170000000001</v>
      </c>
      <c r="CV66" s="43">
        <v>25.648271446561498</v>
      </c>
      <c r="CW66" s="43">
        <v>1.028</v>
      </c>
      <c r="CX66" s="43">
        <v>1.0196670000000001</v>
      </c>
      <c r="CY66" s="43">
        <v>1.1206670000000001</v>
      </c>
      <c r="CZ66" s="43">
        <v>1.02</v>
      </c>
      <c r="DA66" s="43">
        <v>0.997</v>
      </c>
      <c r="DB66" s="43">
        <v>1.9694526565999999</v>
      </c>
      <c r="DC66" s="43">
        <v>1.06033333333333</v>
      </c>
      <c r="DD66" s="43">
        <v>0.99</v>
      </c>
      <c r="DE66" s="43">
        <v>0.996</v>
      </c>
      <c r="DF66" s="43">
        <v>0.98</v>
      </c>
      <c r="DG66" s="43">
        <v>0.96199999999999997</v>
      </c>
      <c r="DH66" s="43">
        <v>1.0029999999999999</v>
      </c>
      <c r="DI66" s="43">
        <v>1.0049999999999999</v>
      </c>
      <c r="DJ66" s="43">
        <v>0.97899999999999998</v>
      </c>
      <c r="DK66" s="43">
        <v>1.0353330000000001</v>
      </c>
      <c r="DL66" s="43">
        <v>1.0986670000000001</v>
      </c>
      <c r="DM66" s="43">
        <v>1.016667</v>
      </c>
      <c r="DN66" s="43">
        <v>1.0309999999999999</v>
      </c>
      <c r="DO66" s="43">
        <v>0.90900000000000003</v>
      </c>
      <c r="DP66" s="43">
        <v>1.013333</v>
      </c>
      <c r="DQ66" s="43">
        <v>1.1723330000000001</v>
      </c>
      <c r="DR66" s="43">
        <v>1.1146670000000001</v>
      </c>
      <c r="DS66" s="43">
        <v>0.94433330000000004</v>
      </c>
      <c r="DT66" s="43">
        <v>0.98166666666666702</v>
      </c>
      <c r="DU66" s="43">
        <v>544.70830000000001</v>
      </c>
      <c r="DV66" s="43">
        <v>296.87459999999999</v>
      </c>
      <c r="DW66" s="43">
        <v>106.822</v>
      </c>
      <c r="DX66" s="43">
        <v>1.003681</v>
      </c>
      <c r="DY66" s="43">
        <v>1.0152969999999999</v>
      </c>
      <c r="DZ66" s="43">
        <v>1.0169999999999999</v>
      </c>
      <c r="EA66" s="43">
        <v>849.58180000000004</v>
      </c>
      <c r="EB66" s="43">
        <v>108.9534</v>
      </c>
      <c r="EC66" s="43">
        <v>1.0349999999999999</v>
      </c>
      <c r="ED66" s="43">
        <v>1.016</v>
      </c>
      <c r="EE66" s="43">
        <v>1.0196670000000001</v>
      </c>
      <c r="EF66" s="43">
        <v>1.1206670000000001</v>
      </c>
      <c r="EG66" s="43">
        <v>1.028</v>
      </c>
      <c r="EH66" s="43">
        <v>0.47371086200231899</v>
      </c>
      <c r="EI66" s="43">
        <v>0.19567921440261901</v>
      </c>
      <c r="EJ66" s="43">
        <v>22.414892802228401</v>
      </c>
      <c r="EK66" s="43">
        <v>12.7191489361702</v>
      </c>
      <c r="EL66" s="43">
        <v>0.56021448467966595</v>
      </c>
      <c r="EM66" s="43">
        <v>1660.39626637013</v>
      </c>
      <c r="EN66" s="43">
        <v>413.42525414661401</v>
      </c>
      <c r="EO66" s="43">
        <v>61442.365527743597</v>
      </c>
      <c r="EP66" s="43">
        <v>41654.759852176699</v>
      </c>
      <c r="EQ66" s="43">
        <v>2963.2055328065699</v>
      </c>
      <c r="ER66" s="43">
        <v>1.3358996285662099</v>
      </c>
      <c r="ES66" s="43">
        <v>1.4270651447481</v>
      </c>
      <c r="ET66" s="43">
        <v>1.31725056556668</v>
      </c>
      <c r="EU66" s="43">
        <v>1.0642510000000001</v>
      </c>
      <c r="EV66" s="43">
        <v>1.4174</v>
      </c>
      <c r="EW66" s="43">
        <v>1.1998279999999999</v>
      </c>
      <c r="EX66" s="43">
        <v>1.0674250000000001</v>
      </c>
      <c r="EY66" s="43">
        <v>1.423845</v>
      </c>
      <c r="EZ66" s="43">
        <v>1.1927989999999999</v>
      </c>
      <c r="FA66" s="43">
        <v>8.0975041460771706</v>
      </c>
      <c r="FB66" s="43">
        <v>7.9978188818465803</v>
      </c>
      <c r="FC66" s="43">
        <v>34.668509729228397</v>
      </c>
      <c r="FD66" s="43">
        <v>11936.001507553499</v>
      </c>
      <c r="FE66" s="43">
        <v>76800.55</v>
      </c>
      <c r="FF66" s="43">
        <v>1.1332187499999999</v>
      </c>
      <c r="FG66" s="43">
        <v>4.4554549999999997</v>
      </c>
      <c r="FH66" s="43">
        <v>804.69489999999996</v>
      </c>
      <c r="FI66" s="43">
        <v>14271.19</v>
      </c>
      <c r="FJ66" s="43">
        <v>6.9829249999999998</v>
      </c>
      <c r="FK66" s="43">
        <v>20.006830000000001</v>
      </c>
      <c r="FL66" s="43">
        <v>1.113407</v>
      </c>
      <c r="FM66" s="43">
        <v>1.088025</v>
      </c>
    </row>
    <row r="67" spans="1:169" x14ac:dyDescent="0.25">
      <c r="A67" s="43" t="s">
        <v>294</v>
      </c>
      <c r="B67" s="43">
        <v>19034.830000000002</v>
      </c>
      <c r="C67" s="43">
        <v>12669.68</v>
      </c>
      <c r="D67" s="43">
        <v>2.563104</v>
      </c>
      <c r="E67" s="43">
        <v>5.9890110000000003E-2</v>
      </c>
      <c r="F67" s="43">
        <v>0.68648350000000002</v>
      </c>
      <c r="G67" s="43">
        <v>13.0022</v>
      </c>
      <c r="H67" s="43">
        <v>0.87362430000000002</v>
      </c>
      <c r="I67" s="43">
        <v>0.84220240000000002</v>
      </c>
      <c r="J67" s="43">
        <v>0.79312479999999996</v>
      </c>
      <c r="K67" s="43">
        <v>0.90111989999999997</v>
      </c>
      <c r="L67" s="43">
        <v>1.990451</v>
      </c>
      <c r="M67" s="43">
        <v>27.81495</v>
      </c>
      <c r="N67" s="43">
        <v>29.3437362637363</v>
      </c>
      <c r="O67" s="43">
        <v>1.70714285714286</v>
      </c>
      <c r="P67" s="43">
        <v>1.0856669999999999</v>
      </c>
      <c r="Q67" s="43">
        <v>-622.6703</v>
      </c>
      <c r="R67" s="43">
        <v>3.25</v>
      </c>
      <c r="S67" s="43">
        <v>2920.2289999999998</v>
      </c>
      <c r="T67" s="43">
        <v>0.1431868</v>
      </c>
      <c r="U67" s="43">
        <v>1.3789480000000001</v>
      </c>
      <c r="V67" s="43">
        <v>1969.3430000000001</v>
      </c>
      <c r="W67" s="43">
        <v>1.399</v>
      </c>
      <c r="X67" s="43">
        <v>17383.5</v>
      </c>
      <c r="Y67" s="43">
        <v>1.3094680000000001</v>
      </c>
      <c r="Z67" s="43">
        <v>0.66716960000000003</v>
      </c>
      <c r="AA67" s="43">
        <v>1.09758</v>
      </c>
      <c r="AB67" s="43">
        <v>0.96067999999999998</v>
      </c>
      <c r="AC67" s="43">
        <v>32.2667</v>
      </c>
      <c r="AD67" s="43">
        <v>1.04661</v>
      </c>
      <c r="AE67" s="43">
        <v>1.06864</v>
      </c>
      <c r="AF67" s="43">
        <v>1.10646</v>
      </c>
      <c r="AG67" s="43">
        <v>331.69880000000001</v>
      </c>
      <c r="AH67" s="43">
        <v>129.63800000000001</v>
      </c>
      <c r="AI67" s="43">
        <v>1.8602529999999999</v>
      </c>
      <c r="AJ67" s="43">
        <v>1.8696666666666699</v>
      </c>
      <c r="AK67" s="43">
        <v>19913.14</v>
      </c>
      <c r="AM67" s="43">
        <v>1.9029780219780199</v>
      </c>
      <c r="AN67" s="43">
        <v>0.60951650000000002</v>
      </c>
      <c r="AO67" s="43">
        <v>2.1299670329670302</v>
      </c>
      <c r="AP67" s="43">
        <v>1.0153956043956001</v>
      </c>
      <c r="AQ67" s="43">
        <v>2.7127140000000001</v>
      </c>
      <c r="AR67" s="43">
        <v>1.93933</v>
      </c>
      <c r="AS67" s="43">
        <v>1.316505</v>
      </c>
      <c r="AT67" s="43">
        <v>1.2516700000000001</v>
      </c>
      <c r="AU67" s="43">
        <v>2.1621429999999999</v>
      </c>
      <c r="AV67" s="43">
        <v>1851.8679999999999</v>
      </c>
      <c r="AW67" s="43">
        <v>1003</v>
      </c>
      <c r="AX67" s="43">
        <v>0.90533509999999995</v>
      </c>
      <c r="AY67" s="43">
        <v>1.363308</v>
      </c>
      <c r="AZ67" s="43">
        <v>191.965</v>
      </c>
      <c r="BA67" s="43">
        <v>0.72126780000000001</v>
      </c>
      <c r="BB67" s="43">
        <v>132.6</v>
      </c>
      <c r="BC67" s="43">
        <v>26.77121</v>
      </c>
      <c r="BD67" s="43">
        <v>13.37473</v>
      </c>
      <c r="BE67" s="43">
        <v>0.97633329999999996</v>
      </c>
      <c r="BF67" s="43">
        <v>0.2289011</v>
      </c>
      <c r="BG67" s="43">
        <v>0.25</v>
      </c>
      <c r="BH67" s="43">
        <v>0.58843409999999996</v>
      </c>
      <c r="BI67" s="43">
        <v>1.1240000000000001</v>
      </c>
      <c r="BJ67" s="43">
        <v>1.0820000000000001</v>
      </c>
      <c r="BK67" s="43">
        <v>44.747250000000001</v>
      </c>
      <c r="BL67" s="43">
        <v>38.573590000000003</v>
      </c>
      <c r="BM67" s="43">
        <v>0.79018120000000003</v>
      </c>
      <c r="BN67" s="43">
        <v>1.107853</v>
      </c>
      <c r="BO67" s="43">
        <v>37.865850000000002</v>
      </c>
      <c r="BP67" s="43">
        <v>1.3867934802197801</v>
      </c>
      <c r="BQ67" s="43">
        <v>1993.1959999999999</v>
      </c>
      <c r="BR67" s="43">
        <v>431.67953644634298</v>
      </c>
      <c r="BS67" s="43">
        <v>9772.884</v>
      </c>
      <c r="BT67" s="43">
        <v>5127.1239999999998</v>
      </c>
      <c r="BU67" s="43">
        <v>0.84710989999999997</v>
      </c>
      <c r="BV67" s="43">
        <v>1.054816</v>
      </c>
      <c r="BW67" s="43">
        <v>0.99696709999999999</v>
      </c>
      <c r="BX67" s="43">
        <v>1.100708</v>
      </c>
      <c r="BY67" s="43">
        <v>-0.49510989999999999</v>
      </c>
      <c r="BZ67" s="43">
        <v>-0.10623630000000001</v>
      </c>
      <c r="CA67" s="43">
        <v>-0.34489009999999998</v>
      </c>
      <c r="CB67" s="43">
        <v>0.80621430000000005</v>
      </c>
      <c r="CC67" s="43">
        <v>9.6954689999999992</v>
      </c>
      <c r="CD67" s="43">
        <v>0.79962639999999996</v>
      </c>
      <c r="CE67" s="43">
        <v>0.80078020000000005</v>
      </c>
      <c r="CF67" s="43">
        <v>0.7813736</v>
      </c>
      <c r="CG67" s="43">
        <v>0.8953333</v>
      </c>
      <c r="CH67" s="43">
        <v>0.93813190000000002</v>
      </c>
      <c r="CI67" s="43">
        <v>0.931033</v>
      </c>
      <c r="CJ67" s="43">
        <v>0.83773620000000004</v>
      </c>
      <c r="CK67" s="43">
        <v>0.99433329999999998</v>
      </c>
      <c r="CL67" s="43">
        <v>1.064333</v>
      </c>
      <c r="CM67" s="43">
        <v>1.022</v>
      </c>
      <c r="CN67" s="43">
        <v>1.0471999999999999</v>
      </c>
      <c r="CO67" s="43">
        <v>0.97299990000000003</v>
      </c>
      <c r="CP67" s="43">
        <v>0.90872640000000005</v>
      </c>
      <c r="CQ67" s="43">
        <v>0.96099999999999997</v>
      </c>
      <c r="CR67" s="43">
        <v>-0.36381869999999999</v>
      </c>
      <c r="CS67" s="43">
        <v>26.489720720133999</v>
      </c>
      <c r="CT67" s="43">
        <v>72.435329999999993</v>
      </c>
      <c r="CU67" s="43">
        <v>24.63212</v>
      </c>
      <c r="CV67" s="43">
        <v>27.112760307630499</v>
      </c>
      <c r="CW67" s="43">
        <v>0.995</v>
      </c>
      <c r="CX67" s="43">
        <v>0.97699999999999998</v>
      </c>
      <c r="CY67" s="43">
        <v>1.101</v>
      </c>
      <c r="CZ67" s="43">
        <v>1.0026666666666699</v>
      </c>
      <c r="DA67" s="43">
        <v>1.012</v>
      </c>
      <c r="DB67" s="43">
        <v>1.8097039748999999</v>
      </c>
      <c r="DC67" s="43">
        <v>0.99866666666666704</v>
      </c>
      <c r="DD67" s="43">
        <v>0.99399999999999999</v>
      </c>
      <c r="DE67" s="43">
        <v>1.002</v>
      </c>
      <c r="DF67" s="43">
        <v>1.0329999999999999</v>
      </c>
      <c r="DG67" s="43">
        <v>1.0429999999999999</v>
      </c>
      <c r="DH67" s="43">
        <v>0.95899999999999996</v>
      </c>
      <c r="DI67" s="43">
        <v>1.004</v>
      </c>
      <c r="DJ67" s="43">
        <v>0.98799999999999999</v>
      </c>
      <c r="DK67" s="43">
        <v>1.0236670000000001</v>
      </c>
      <c r="DL67" s="43">
        <v>1.0873330000000001</v>
      </c>
      <c r="DM67" s="43">
        <v>0.98499999999999999</v>
      </c>
      <c r="DN67" s="43">
        <v>1.0049999999999999</v>
      </c>
      <c r="DO67" s="43">
        <v>0.81733330000000004</v>
      </c>
      <c r="DP67" s="43">
        <v>0.97133329999999996</v>
      </c>
      <c r="DQ67" s="43">
        <v>0.99133329999999997</v>
      </c>
      <c r="DR67" s="43">
        <v>1.107</v>
      </c>
      <c r="DS67" s="43">
        <v>0.88200000000000001</v>
      </c>
      <c r="DT67" s="43">
        <v>0.89500000000000002</v>
      </c>
      <c r="DU67" s="43">
        <v>502.4479</v>
      </c>
      <c r="DV67" s="43">
        <v>272.78230000000002</v>
      </c>
      <c r="DW67" s="43">
        <v>90.698909999999998</v>
      </c>
      <c r="DX67" s="43">
        <v>1.0006699999999999</v>
      </c>
      <c r="DY67" s="43">
        <v>0.99062629999999996</v>
      </c>
      <c r="DZ67" s="43">
        <v>1.0229999999999999</v>
      </c>
      <c r="EA67" s="43">
        <v>801.41200000000003</v>
      </c>
      <c r="EB67" s="43">
        <v>107.57640000000001</v>
      </c>
      <c r="EC67" s="43">
        <v>1.022</v>
      </c>
      <c r="ED67" s="43">
        <v>0.97299990000000003</v>
      </c>
      <c r="EE67" s="43">
        <v>0.97699999999999998</v>
      </c>
      <c r="EF67" s="43">
        <v>1.101</v>
      </c>
      <c r="EG67" s="43">
        <v>0.995</v>
      </c>
      <c r="EH67" s="43">
        <v>0.46420177812137597</v>
      </c>
      <c r="EI67" s="43">
        <v>0.191751227495909</v>
      </c>
      <c r="EJ67" s="43">
        <v>21.964945138082001</v>
      </c>
      <c r="EK67" s="43">
        <v>12.463829787234101</v>
      </c>
      <c r="EL67" s="43">
        <v>0.54896896140071605</v>
      </c>
      <c r="EM67" s="43">
        <v>1017.5637405618299</v>
      </c>
      <c r="EN67" s="43">
        <v>253.365149375958</v>
      </c>
      <c r="EO67" s="43">
        <v>37654.579549289701</v>
      </c>
      <c r="EP67" s="43">
        <v>25527.865911219</v>
      </c>
      <c r="EQ67" s="43">
        <v>1815.9824658049399</v>
      </c>
      <c r="ER67" s="43">
        <v>1.2965140803509201</v>
      </c>
      <c r="ES67" s="43">
        <v>1.3849918168850299</v>
      </c>
      <c r="ET67" s="43">
        <v>1.27841483677962</v>
      </c>
      <c r="EU67" s="43">
        <v>1.0847880000000001</v>
      </c>
      <c r="EV67" s="43">
        <v>1.3971</v>
      </c>
      <c r="EW67" s="43">
        <v>1.181942</v>
      </c>
      <c r="EX67" s="43">
        <v>1.080098</v>
      </c>
      <c r="EY67" s="43">
        <v>1.40564</v>
      </c>
      <c r="EZ67" s="43">
        <v>1.184331</v>
      </c>
      <c r="FA67" s="43">
        <v>8.2552462047557</v>
      </c>
      <c r="FB67" s="43">
        <v>8.1411950786133396</v>
      </c>
      <c r="FC67" s="43">
        <v>35.080086997085203</v>
      </c>
      <c r="FD67" s="43">
        <v>11783.393934703299</v>
      </c>
      <c r="FE67" s="43">
        <v>76255.34</v>
      </c>
      <c r="FF67" s="43">
        <v>1.1350312499999999</v>
      </c>
      <c r="FG67" s="43">
        <v>5.3783880000000002</v>
      </c>
      <c r="FH67" s="43">
        <v>824.21669999999995</v>
      </c>
      <c r="FI67" s="43">
        <v>14992.96</v>
      </c>
      <c r="FJ67" s="43">
        <v>7.0879440000000002</v>
      </c>
      <c r="FK67" s="43">
        <v>23.355139999999999</v>
      </c>
      <c r="FL67" s="43">
        <v>1.123991</v>
      </c>
      <c r="FM67" s="43">
        <v>1.1209929999999999</v>
      </c>
    </row>
    <row r="68" spans="1:169" x14ac:dyDescent="0.25">
      <c r="A68" s="43" t="s">
        <v>295</v>
      </c>
      <c r="B68" s="43">
        <v>20511.79</v>
      </c>
      <c r="C68" s="43">
        <v>13792.2</v>
      </c>
      <c r="D68" s="43">
        <v>2.5923080000000001</v>
      </c>
      <c r="E68" s="43">
        <v>9.3369569999999999E-2</v>
      </c>
      <c r="F68" s="43">
        <v>0.64967390000000003</v>
      </c>
      <c r="G68" s="43">
        <v>8.8108690000000003</v>
      </c>
      <c r="H68" s="43">
        <v>0.95579449999999999</v>
      </c>
      <c r="I68" s="43">
        <v>0.93811270000000002</v>
      </c>
      <c r="J68" s="43">
        <v>0.93544899999999997</v>
      </c>
      <c r="K68" s="43">
        <v>0.94559649999999995</v>
      </c>
      <c r="L68" s="43">
        <v>2.0242610000000001</v>
      </c>
      <c r="M68" s="43">
        <v>40.907069999999997</v>
      </c>
      <c r="N68" s="43">
        <v>42.985652173913003</v>
      </c>
      <c r="O68" s="43">
        <v>1.9975000000000001</v>
      </c>
      <c r="P68" s="43">
        <v>1.4403330000000001</v>
      </c>
      <c r="Q68" s="43">
        <v>-716.21889999999996</v>
      </c>
      <c r="R68" s="43">
        <v>3.25</v>
      </c>
      <c r="S68" s="43">
        <v>3122.3919999999998</v>
      </c>
      <c r="T68" s="43">
        <v>0.1133696</v>
      </c>
      <c r="U68" s="43">
        <v>1.3631599999999999</v>
      </c>
      <c r="V68" s="43">
        <v>2581.444</v>
      </c>
      <c r="W68" s="43">
        <v>1.407</v>
      </c>
      <c r="X68" s="43">
        <v>16777.46</v>
      </c>
      <c r="Y68" s="43">
        <v>1.3054809999999999</v>
      </c>
      <c r="Z68" s="43">
        <v>0.73214409999999996</v>
      </c>
      <c r="AA68" s="43">
        <v>1.11277</v>
      </c>
      <c r="AB68" s="43">
        <v>0.99988999999999995</v>
      </c>
      <c r="AC68" s="43">
        <v>40.539349999999999</v>
      </c>
      <c r="AD68" s="43">
        <v>1.05593</v>
      </c>
      <c r="AE68" s="43">
        <v>1.0672299999999999</v>
      </c>
      <c r="AF68" s="43">
        <v>1.1315200000000001</v>
      </c>
      <c r="AG68" s="43">
        <v>331.87079999999997</v>
      </c>
      <c r="AH68" s="43">
        <v>129.9032</v>
      </c>
      <c r="AI68" s="43">
        <v>1.919163</v>
      </c>
      <c r="AJ68" s="43">
        <v>1.9443333333333299</v>
      </c>
      <c r="AK68" s="43">
        <v>21647.64</v>
      </c>
      <c r="AM68" s="43">
        <v>1.8815652173913</v>
      </c>
      <c r="AN68" s="43">
        <v>0.7507935</v>
      </c>
      <c r="AO68" s="43">
        <v>2.1415978260869601</v>
      </c>
      <c r="AP68" s="43">
        <v>1.43929347826087</v>
      </c>
      <c r="AQ68" s="43">
        <v>2.7785000000000002</v>
      </c>
      <c r="AR68" s="43">
        <v>1.9316199999999999</v>
      </c>
      <c r="AS68" s="43">
        <v>1.4691959999999999</v>
      </c>
      <c r="AT68" s="43">
        <v>1.4652069999999999</v>
      </c>
      <c r="AU68" s="43">
        <v>2.1172170000000001</v>
      </c>
      <c r="AV68" s="43">
        <v>2018.8679999999999</v>
      </c>
      <c r="AW68" s="43">
        <v>1133.5899999999999</v>
      </c>
      <c r="AX68" s="43">
        <v>0.994251</v>
      </c>
      <c r="AY68" s="43">
        <v>1.3703479999999999</v>
      </c>
      <c r="AZ68" s="43">
        <v>238.798</v>
      </c>
      <c r="BA68" s="43">
        <v>0.75040799999999996</v>
      </c>
      <c r="BB68" s="43">
        <v>125.6</v>
      </c>
      <c r="BC68" s="43">
        <v>26.890650000000001</v>
      </c>
      <c r="BD68" s="43">
        <v>10.14348</v>
      </c>
      <c r="BE68" s="43">
        <v>1</v>
      </c>
      <c r="BF68" s="43">
        <v>0.15834239999999999</v>
      </c>
      <c r="BG68" s="43">
        <v>0.25</v>
      </c>
      <c r="BH68" s="43">
        <v>0.53967390000000004</v>
      </c>
      <c r="BI68" s="43">
        <v>1.127</v>
      </c>
      <c r="BJ68" s="43">
        <v>1.109</v>
      </c>
      <c r="BK68" s="43">
        <v>54.028509999999997</v>
      </c>
      <c r="BL68" s="43">
        <v>54.51858</v>
      </c>
      <c r="BM68" s="43">
        <v>0.98845329999999998</v>
      </c>
      <c r="BN68" s="43">
        <v>1.222137</v>
      </c>
      <c r="BO68" s="43">
        <v>37.966200000000001</v>
      </c>
      <c r="BP68" s="43">
        <v>1.33274238369565</v>
      </c>
      <c r="BQ68" s="43">
        <v>2214.7919999999999</v>
      </c>
      <c r="BR68" s="43">
        <v>437.40350112893299</v>
      </c>
      <c r="BS68" s="43">
        <v>10951.16</v>
      </c>
      <c r="BT68" s="43">
        <v>5853.4989999999998</v>
      </c>
      <c r="BU68" s="43">
        <v>0.98430439999999997</v>
      </c>
      <c r="BV68" s="43">
        <v>1.050543</v>
      </c>
      <c r="BW68" s="43">
        <v>1.0043260000000001</v>
      </c>
      <c r="BX68" s="43">
        <v>1.168571</v>
      </c>
      <c r="BY68" s="43">
        <v>-0.57641299999999995</v>
      </c>
      <c r="BZ68" s="43">
        <v>-0.30893480000000001</v>
      </c>
      <c r="CA68" s="43">
        <v>-1.1079129999999999</v>
      </c>
      <c r="CB68" s="43">
        <v>0.77466630000000003</v>
      </c>
      <c r="CC68" s="43">
        <v>8.8780040000000007</v>
      </c>
      <c r="CD68" s="43">
        <v>0.91417400000000004</v>
      </c>
      <c r="CE68" s="43">
        <v>0.95817390000000002</v>
      </c>
      <c r="CF68" s="43">
        <v>1.0074019999999999</v>
      </c>
      <c r="CG68" s="43">
        <v>1.0343329999999999</v>
      </c>
      <c r="CH68" s="43">
        <v>0.96788039999999997</v>
      </c>
      <c r="CI68" s="43">
        <v>1.027174</v>
      </c>
      <c r="CJ68" s="43">
        <v>0.96246730000000003</v>
      </c>
      <c r="CK68" s="43">
        <v>1.0913330000000001</v>
      </c>
      <c r="CL68" s="43">
        <v>1.0613330000000001</v>
      </c>
      <c r="CM68" s="43">
        <v>1.024</v>
      </c>
      <c r="CN68" s="43">
        <v>1.0347329999999999</v>
      </c>
      <c r="CO68" s="43">
        <v>0.997</v>
      </c>
      <c r="CP68" s="43">
        <v>0.85593160000000001</v>
      </c>
      <c r="CQ68" s="43">
        <v>1.0342169999999999</v>
      </c>
      <c r="CR68" s="43">
        <v>-0.46961960000000003</v>
      </c>
      <c r="CS68" s="43">
        <v>36.861762918719002</v>
      </c>
      <c r="CT68" s="43">
        <v>73.795060000000007</v>
      </c>
      <c r="CU68" s="43">
        <v>22.674600000000002</v>
      </c>
      <c r="CV68" s="43">
        <v>26.4968806127576</v>
      </c>
      <c r="CW68" s="43">
        <v>1.0089999999999999</v>
      </c>
      <c r="CX68" s="43">
        <v>0.98</v>
      </c>
      <c r="CY68" s="43">
        <v>1.0880000000000001</v>
      </c>
      <c r="CZ68" s="43">
        <v>1.00433333333333</v>
      </c>
      <c r="DA68" s="43">
        <v>1.00166666666667</v>
      </c>
      <c r="DB68" s="43">
        <v>1.9627625014000001</v>
      </c>
      <c r="DC68" s="43">
        <v>1.0173333333333301</v>
      </c>
      <c r="DD68" s="43">
        <v>1.0189999999999999</v>
      </c>
      <c r="DE68" s="43">
        <v>1.002</v>
      </c>
      <c r="DF68" s="43">
        <v>0.98799999999999999</v>
      </c>
      <c r="DG68" s="43">
        <v>0.99</v>
      </c>
      <c r="DH68" s="43">
        <v>1.0089999999999999</v>
      </c>
      <c r="DI68" s="43">
        <v>0.96</v>
      </c>
      <c r="DJ68" s="43">
        <v>0.999</v>
      </c>
      <c r="DK68" s="43">
        <v>1.1086670000000001</v>
      </c>
      <c r="DL68" s="43">
        <v>1.089</v>
      </c>
      <c r="DM68" s="43">
        <v>0.99966670000000002</v>
      </c>
      <c r="DN68" s="43">
        <v>1.0029999999999999</v>
      </c>
      <c r="DO68" s="43">
        <v>0.90566659999999999</v>
      </c>
      <c r="DP68" s="43">
        <v>0.98633329999999997</v>
      </c>
      <c r="DQ68" s="43">
        <v>1.0556669999999999</v>
      </c>
      <c r="DR68" s="43">
        <v>1.0780000000000001</v>
      </c>
      <c r="DS68" s="43">
        <v>0.94666669999999997</v>
      </c>
      <c r="DT68" s="43">
        <v>0.89466666666666705</v>
      </c>
      <c r="DU68" s="43">
        <v>530.16449999999998</v>
      </c>
      <c r="DV68" s="43">
        <v>287.26080000000002</v>
      </c>
      <c r="DW68" s="43">
        <v>97.635869999999997</v>
      </c>
      <c r="DX68" s="43">
        <v>1.000011</v>
      </c>
      <c r="DY68" s="43">
        <v>0.99833700000000003</v>
      </c>
      <c r="DZ68" s="43">
        <v>1.02</v>
      </c>
      <c r="EA68" s="43">
        <v>806.77919999999995</v>
      </c>
      <c r="EB68" s="43">
        <v>106.1481</v>
      </c>
      <c r="EC68" s="43">
        <v>1.024</v>
      </c>
      <c r="ED68" s="43">
        <v>0.997</v>
      </c>
      <c r="EE68" s="43">
        <v>0.98</v>
      </c>
      <c r="EF68" s="43">
        <v>1.0880000000000001</v>
      </c>
      <c r="EG68" s="43">
        <v>1.0089999999999999</v>
      </c>
      <c r="EH68" s="43">
        <v>0.475454194047159</v>
      </c>
      <c r="EI68" s="43">
        <v>0.19639934533551601</v>
      </c>
      <c r="EJ68" s="43">
        <v>22.497383207321999</v>
      </c>
      <c r="EK68" s="43">
        <v>12.7659574468085</v>
      </c>
      <c r="EL68" s="43">
        <v>0.56227616394747304</v>
      </c>
      <c r="EM68" s="43">
        <v>1278.4501110798201</v>
      </c>
      <c r="EN68" s="43">
        <v>318.32374764514202</v>
      </c>
      <c r="EO68" s="43">
        <v>47308.585682184603</v>
      </c>
      <c r="EP68" s="43">
        <v>32072.7849361156</v>
      </c>
      <c r="EQ68" s="43">
        <v>2281.5700801656799</v>
      </c>
      <c r="ER68" s="43">
        <v>1.30608402249435</v>
      </c>
      <c r="ES68" s="43">
        <v>1.3952148385687699</v>
      </c>
      <c r="ET68" s="43">
        <v>1.28785118321711</v>
      </c>
      <c r="EU68" s="43">
        <v>1.162509</v>
      </c>
      <c r="EV68" s="43">
        <v>1.409</v>
      </c>
      <c r="EW68" s="43">
        <v>1.2561329999999999</v>
      </c>
      <c r="EX68" s="43">
        <v>1.1625160000000001</v>
      </c>
      <c r="EY68" s="43">
        <v>1.4063680000000001</v>
      </c>
      <c r="EZ68" s="43">
        <v>1.2622059999999999</v>
      </c>
      <c r="FA68" s="43">
        <v>8.8522144943848993</v>
      </c>
      <c r="FB68" s="43">
        <v>8.7278900455581496</v>
      </c>
      <c r="FC68" s="43">
        <v>37.756902413961001</v>
      </c>
      <c r="FD68" s="43">
        <v>11789.4943541991</v>
      </c>
      <c r="FE68" s="43">
        <v>81269.460000000006</v>
      </c>
      <c r="FF68" s="43">
        <v>1.1439062499999999</v>
      </c>
      <c r="FG68" s="43">
        <v>5.3789449999999999</v>
      </c>
      <c r="FH68" s="43">
        <v>781.65830000000005</v>
      </c>
      <c r="FI68" s="43">
        <v>14724.47</v>
      </c>
      <c r="FJ68" s="43">
        <v>6.921977</v>
      </c>
      <c r="FK68" s="43">
        <v>22.082229999999999</v>
      </c>
      <c r="FL68" s="43">
        <v>1.0720719999999999</v>
      </c>
      <c r="FM68" s="43">
        <v>1.0849899999999999</v>
      </c>
    </row>
    <row r="69" spans="1:169" x14ac:dyDescent="0.25">
      <c r="A69" s="43" t="s">
        <v>296</v>
      </c>
      <c r="B69" s="43">
        <v>20724.13</v>
      </c>
      <c r="C69" s="43">
        <v>13983.25</v>
      </c>
      <c r="D69" s="43">
        <v>2.6104720000000001</v>
      </c>
      <c r="E69" s="43">
        <v>0.09</v>
      </c>
      <c r="F69" s="43">
        <v>0.8632609</v>
      </c>
      <c r="G69" s="43">
        <v>6.7336960000000001</v>
      </c>
      <c r="H69" s="43">
        <v>0.97089510000000001</v>
      </c>
      <c r="I69" s="43">
        <v>0.95643029999999996</v>
      </c>
      <c r="J69" s="43">
        <v>0.95236609999999999</v>
      </c>
      <c r="K69" s="43">
        <v>0.96395229999999998</v>
      </c>
      <c r="L69" s="43">
        <v>2.0513910000000002</v>
      </c>
      <c r="M69" s="43">
        <v>42.46978</v>
      </c>
      <c r="N69" s="43">
        <v>44.307391304347803</v>
      </c>
      <c r="O69" s="43">
        <v>2.5291304347826098</v>
      </c>
      <c r="P69" s="43">
        <v>1.5753330000000001</v>
      </c>
      <c r="Q69" s="43">
        <v>-758.41780000000006</v>
      </c>
      <c r="R69" s="43">
        <v>3.25</v>
      </c>
      <c r="S69" s="43">
        <v>3136.7449999999999</v>
      </c>
      <c r="T69" s="43">
        <v>9.3369569999999999E-2</v>
      </c>
      <c r="U69" s="43">
        <v>1.6181270000000001</v>
      </c>
      <c r="V69" s="43">
        <v>2335.886</v>
      </c>
      <c r="W69" s="43">
        <v>1.4179999999999999</v>
      </c>
      <c r="X69" s="43">
        <v>16446.21</v>
      </c>
      <c r="Y69" s="43">
        <v>1.298413</v>
      </c>
      <c r="Z69" s="43">
        <v>0.74776580000000004</v>
      </c>
      <c r="AA69" s="43">
        <v>1.1032599999999999</v>
      </c>
      <c r="AB69" s="43">
        <v>0.99717</v>
      </c>
      <c r="AC69" s="43">
        <v>42.190330000000003</v>
      </c>
      <c r="AD69" s="43">
        <v>1.0632999999999999</v>
      </c>
      <c r="AE69" s="43">
        <v>1.0637799999999999</v>
      </c>
      <c r="AF69" s="43">
        <v>1.14967</v>
      </c>
      <c r="AG69" s="43">
        <v>332.04480000000001</v>
      </c>
      <c r="AH69" s="43">
        <v>130.16839999999999</v>
      </c>
      <c r="AI69" s="43">
        <v>1.9757279999999999</v>
      </c>
      <c r="AJ69" s="43">
        <v>1.9790000000000001</v>
      </c>
      <c r="AK69" s="43">
        <v>22024.5</v>
      </c>
      <c r="AM69" s="43">
        <v>1.87582608695652</v>
      </c>
      <c r="AN69" s="43">
        <v>0.98641310000000004</v>
      </c>
      <c r="AO69" s="43">
        <v>2.15063043478261</v>
      </c>
      <c r="AP69" s="43">
        <v>1.57205434782609</v>
      </c>
      <c r="AQ69" s="43">
        <v>2.8444020000000001</v>
      </c>
      <c r="AR69" s="43">
        <v>1.950685</v>
      </c>
      <c r="AS69" s="43">
        <v>1.527989</v>
      </c>
      <c r="AT69" s="43">
        <v>1.5147170000000001</v>
      </c>
      <c r="AU69" s="43">
        <v>2.156587</v>
      </c>
      <c r="AV69" s="43">
        <v>2061.88</v>
      </c>
      <c r="AW69" s="43">
        <v>1136.7349999999999</v>
      </c>
      <c r="AX69" s="43">
        <v>1.025814</v>
      </c>
      <c r="AY69" s="43">
        <v>1.3753150000000001</v>
      </c>
      <c r="AZ69" s="43">
        <v>248.02600000000001</v>
      </c>
      <c r="BA69" s="43">
        <v>0.7672407</v>
      </c>
      <c r="BB69" s="43">
        <v>123.6</v>
      </c>
      <c r="BC69" s="43">
        <v>27.449020000000001</v>
      </c>
      <c r="BD69" s="43">
        <v>8.8684779999999996</v>
      </c>
      <c r="BE69" s="43">
        <v>1.0116670000000001</v>
      </c>
      <c r="BF69" s="43">
        <v>0.1044674</v>
      </c>
      <c r="BG69" s="43">
        <v>0.25</v>
      </c>
      <c r="BH69" s="43">
        <v>0.65780439999999996</v>
      </c>
      <c r="BI69" s="43">
        <v>1.1279999999999999</v>
      </c>
      <c r="BJ69" s="43">
        <v>1.125</v>
      </c>
      <c r="BK69" s="43">
        <v>54.998620000000003</v>
      </c>
      <c r="BL69" s="43">
        <v>55.362920000000003</v>
      </c>
      <c r="BM69" s="43">
        <v>1.002348</v>
      </c>
      <c r="BN69" s="43">
        <v>1.2583569999999999</v>
      </c>
      <c r="BO69" s="43">
        <v>38.066809999999997</v>
      </c>
      <c r="BP69" s="43">
        <v>1.30358363492123</v>
      </c>
      <c r="BQ69" s="43">
        <v>2308.0160000000001</v>
      </c>
      <c r="BR69" s="43">
        <v>440.80392986255902</v>
      </c>
      <c r="BS69" s="43">
        <v>10943.61</v>
      </c>
      <c r="BT69" s="43">
        <v>5696.8760000000002</v>
      </c>
      <c r="BU69" s="43">
        <v>1.03688</v>
      </c>
      <c r="BV69" s="43">
        <v>1.050359</v>
      </c>
      <c r="BW69" s="43">
        <v>1.011674</v>
      </c>
      <c r="BX69" s="43">
        <v>1.192482</v>
      </c>
      <c r="BY69" s="43">
        <v>-0.76717389999999996</v>
      </c>
      <c r="BZ69" s="43">
        <v>-0.38189129999999999</v>
      </c>
      <c r="CA69" s="43">
        <v>-1.455435</v>
      </c>
      <c r="CB69" s="43">
        <v>0.75740759999999996</v>
      </c>
      <c r="CC69" s="43">
        <v>8.6182370000000006</v>
      </c>
      <c r="CD69" s="43">
        <v>0.97261949999999997</v>
      </c>
      <c r="CE69" s="43">
        <v>0.98702179999999995</v>
      </c>
      <c r="CF69" s="43">
        <v>1.0107390000000001</v>
      </c>
      <c r="CG69" s="43">
        <v>1.0906670000000001</v>
      </c>
      <c r="CH69" s="43">
        <v>0.96580429999999995</v>
      </c>
      <c r="CI69" s="43">
        <v>1.033717</v>
      </c>
      <c r="CJ69" s="43">
        <v>0.92853269999999999</v>
      </c>
      <c r="CK69" s="43">
        <v>1.092333</v>
      </c>
      <c r="CL69" s="43">
        <v>1.052667</v>
      </c>
      <c r="CM69" s="43">
        <v>1.028</v>
      </c>
      <c r="CN69" s="43">
        <v>1.0338000000000001</v>
      </c>
      <c r="CO69" s="43">
        <v>1.004</v>
      </c>
      <c r="CP69" s="43">
        <v>0.83876629999999996</v>
      </c>
      <c r="CQ69" s="43">
        <v>1.0527610000000001</v>
      </c>
      <c r="CR69" s="43">
        <v>-0.52221740000000005</v>
      </c>
      <c r="CS69" s="43">
        <v>37.080605119779698</v>
      </c>
      <c r="CT69" s="43">
        <v>76.13588</v>
      </c>
      <c r="CU69" s="43">
        <v>22.387550000000001</v>
      </c>
      <c r="CV69" s="43">
        <v>26.696755993195499</v>
      </c>
      <c r="CW69" s="43">
        <v>1.0123329999999999</v>
      </c>
      <c r="CX69" s="43">
        <v>0.97799999999999998</v>
      </c>
      <c r="CY69" s="43">
        <v>1.099</v>
      </c>
      <c r="CZ69" s="43">
        <v>1.01033333333333</v>
      </c>
      <c r="DA69" s="43">
        <v>1.00766666666667</v>
      </c>
      <c r="DB69" s="43">
        <v>2.0074880570000002</v>
      </c>
      <c r="DC69" s="43">
        <v>1.0176666666666701</v>
      </c>
      <c r="DD69" s="43">
        <v>0.998</v>
      </c>
      <c r="DE69" s="43">
        <v>1.0009999999999999</v>
      </c>
      <c r="DF69" s="43">
        <v>1</v>
      </c>
      <c r="DG69" s="43">
        <v>1.006</v>
      </c>
      <c r="DH69" s="43">
        <v>1.028</v>
      </c>
      <c r="DI69" s="43">
        <v>1.0309999999999999</v>
      </c>
      <c r="DJ69" s="43">
        <v>1.034</v>
      </c>
      <c r="DK69" s="43">
        <v>1.107</v>
      </c>
      <c r="DL69" s="43">
        <v>1.110333</v>
      </c>
      <c r="DM69" s="43">
        <v>1.024</v>
      </c>
      <c r="DN69" s="43">
        <v>1.0093333333333301</v>
      </c>
      <c r="DO69" s="43">
        <v>0.9196666</v>
      </c>
      <c r="DP69" s="43">
        <v>0.99833329999999998</v>
      </c>
      <c r="DQ69" s="43">
        <v>1.128333</v>
      </c>
      <c r="DR69" s="43">
        <v>1.068667</v>
      </c>
      <c r="DS69" s="43">
        <v>0.94599999999999995</v>
      </c>
      <c r="DT69" s="43">
        <v>0.91900000000000004</v>
      </c>
      <c r="DU69" s="43">
        <v>539.97749999999996</v>
      </c>
      <c r="DV69" s="43">
        <v>292.28160000000003</v>
      </c>
      <c r="DW69" s="43">
        <v>103.4978</v>
      </c>
      <c r="DX69" s="43">
        <v>0.99533689999999997</v>
      </c>
      <c r="DY69" s="43">
        <v>0.99568480000000004</v>
      </c>
      <c r="DZ69" s="43">
        <v>1.0169999999999999</v>
      </c>
      <c r="EA69" s="43">
        <v>810.80489999999998</v>
      </c>
      <c r="EB69" s="43">
        <v>104.4526</v>
      </c>
      <c r="EC69" s="43">
        <v>1.028</v>
      </c>
      <c r="ED69" s="43">
        <v>1.004</v>
      </c>
      <c r="EE69" s="43">
        <v>0.97799999999999998</v>
      </c>
      <c r="EF69" s="43">
        <v>1.099</v>
      </c>
      <c r="EG69" s="43">
        <v>1.0123329999999999</v>
      </c>
      <c r="EH69" s="43">
        <v>0.48100115964437301</v>
      </c>
      <c r="EI69" s="43">
        <v>0.198690671031096</v>
      </c>
      <c r="EJ69" s="43">
        <v>22.759852678073901</v>
      </c>
      <c r="EK69" s="43">
        <v>12.9148936170212</v>
      </c>
      <c r="EL69" s="43">
        <v>0.56883605252685698</v>
      </c>
      <c r="EM69" s="43">
        <v>1330.51541193404</v>
      </c>
      <c r="EN69" s="43">
        <v>331.28758686463902</v>
      </c>
      <c r="EO69" s="43">
        <v>49235.243379018902</v>
      </c>
      <c r="EP69" s="43">
        <v>33378.959641299101</v>
      </c>
      <c r="EQ69" s="43">
        <v>2374.4877713718602</v>
      </c>
      <c r="ER69" s="43">
        <v>1.3156397896429499</v>
      </c>
      <c r="ES69" s="43">
        <v>1.40542271791651</v>
      </c>
      <c r="ET69" s="43">
        <v>1.2972735525416901</v>
      </c>
      <c r="EU69" s="43">
        <v>1.246821</v>
      </c>
      <c r="EV69" s="43">
        <v>1.4274</v>
      </c>
      <c r="EW69" s="43">
        <v>1.307218</v>
      </c>
      <c r="EX69" s="43">
        <v>1.250807</v>
      </c>
      <c r="EY69" s="43">
        <v>1.419165</v>
      </c>
      <c r="EZ69" s="43">
        <v>1.303728</v>
      </c>
      <c r="FA69" s="43">
        <v>9.4997985294267693</v>
      </c>
      <c r="FB69" s="43">
        <v>9.3579431211168203</v>
      </c>
      <c r="FC69" s="43">
        <v>40.624477913942201</v>
      </c>
      <c r="FD69" s="43">
        <v>11896.771754801301</v>
      </c>
      <c r="FE69" s="43">
        <v>83942.91</v>
      </c>
      <c r="FF69" s="43">
        <v>1.1598437500000001</v>
      </c>
      <c r="FG69" s="43">
        <v>5.4046880000000002</v>
      </c>
      <c r="FH69" s="43">
        <v>761.42550000000006</v>
      </c>
      <c r="FI69" s="43">
        <v>14386.79</v>
      </c>
      <c r="FJ69" s="43">
        <v>6.6252440000000004</v>
      </c>
      <c r="FK69" s="43">
        <v>20.556290000000001</v>
      </c>
      <c r="FL69" s="43">
        <v>1.0514520000000001</v>
      </c>
      <c r="FM69" s="43">
        <v>1.0571299999999999</v>
      </c>
    </row>
    <row r="70" spans="1:169" x14ac:dyDescent="0.25">
      <c r="A70" s="43" t="s">
        <v>297</v>
      </c>
      <c r="B70" s="43">
        <v>20990.54</v>
      </c>
      <c r="C70" s="43">
        <v>14290.76</v>
      </c>
      <c r="D70" s="43">
        <v>2.637372</v>
      </c>
      <c r="E70" s="43">
        <v>8.0000009999999996E-2</v>
      </c>
      <c r="F70" s="43">
        <v>1.3185560000000001</v>
      </c>
      <c r="G70" s="43">
        <v>6.234445</v>
      </c>
      <c r="H70" s="43">
        <v>0.97499590000000003</v>
      </c>
      <c r="I70" s="43">
        <v>0.95693329999999999</v>
      </c>
      <c r="J70" s="43">
        <v>0.95880240000000005</v>
      </c>
      <c r="K70" s="43">
        <v>0.95867970000000002</v>
      </c>
      <c r="L70" s="43">
        <v>2.1155889999999999</v>
      </c>
      <c r="M70" s="43">
        <v>57.748330000000003</v>
      </c>
      <c r="N70" s="43">
        <v>60.771333333333303</v>
      </c>
      <c r="O70" s="43">
        <v>3.5003333333333302</v>
      </c>
      <c r="P70" s="43">
        <v>1.599</v>
      </c>
      <c r="Q70" s="43">
        <v>-772.37189999999998</v>
      </c>
      <c r="R70" s="43">
        <v>3.25</v>
      </c>
      <c r="S70" s="43">
        <v>3215.6669999999999</v>
      </c>
      <c r="T70" s="43">
        <v>5.0333339999999997E-2</v>
      </c>
      <c r="U70" s="43">
        <v>2.064908</v>
      </c>
      <c r="V70" s="43">
        <v>2555.2910000000002</v>
      </c>
      <c r="W70" s="43">
        <v>1.4319999999999999</v>
      </c>
      <c r="X70" s="43">
        <v>18437.38</v>
      </c>
      <c r="Y70" s="43">
        <v>1.289882</v>
      </c>
      <c r="Z70" s="43">
        <v>0.75587859999999996</v>
      </c>
      <c r="AA70" s="43">
        <v>1.1076999999999999</v>
      </c>
      <c r="AB70" s="43">
        <v>0.99448999999999999</v>
      </c>
      <c r="AC70" s="43">
        <v>54.519109999999998</v>
      </c>
      <c r="AD70" s="43">
        <v>1.07731</v>
      </c>
      <c r="AE70" s="43">
        <v>1.0658399999999999</v>
      </c>
      <c r="AF70" s="43">
        <v>1.1831499999999999</v>
      </c>
      <c r="AG70" s="43">
        <v>331.98970000000003</v>
      </c>
      <c r="AH70" s="43">
        <v>130.42850000000001</v>
      </c>
      <c r="AI70" s="43">
        <v>2.0955110000000001</v>
      </c>
      <c r="AJ70" s="43">
        <v>2.1070000000000002</v>
      </c>
      <c r="AK70" s="43">
        <v>22600.19</v>
      </c>
      <c r="AM70" s="43">
        <v>1.8687888888888899</v>
      </c>
      <c r="AN70" s="43">
        <v>1.4094</v>
      </c>
      <c r="AO70" s="43">
        <v>2.1827444444444399</v>
      </c>
      <c r="AP70" s="43">
        <v>2.0684111111111099</v>
      </c>
      <c r="AQ70" s="43">
        <v>3.0437560000000001</v>
      </c>
      <c r="AR70" s="43">
        <v>1.9928889999999999</v>
      </c>
      <c r="AS70" s="43">
        <v>1.7244550000000001</v>
      </c>
      <c r="AT70" s="43">
        <v>1.757622</v>
      </c>
      <c r="AU70" s="43">
        <v>2.1684559999999999</v>
      </c>
      <c r="AV70" s="43">
        <v>2088.8679999999999</v>
      </c>
      <c r="AW70" s="43">
        <v>1142.579</v>
      </c>
      <c r="AX70" s="43">
        <v>1.0438750000000001</v>
      </c>
      <c r="AY70" s="43">
        <v>1.389</v>
      </c>
      <c r="AZ70" s="43">
        <v>283.01799999999997</v>
      </c>
      <c r="BA70" s="43">
        <v>0.78955430000000004</v>
      </c>
      <c r="BB70" s="43">
        <v>127.9</v>
      </c>
      <c r="BC70" s="43">
        <v>27.762329999999999</v>
      </c>
      <c r="BD70" s="43">
        <v>8.4311109999999996</v>
      </c>
      <c r="BE70" s="43">
        <v>1.0696669999999999</v>
      </c>
      <c r="BF70" s="43">
        <v>8.1983340000000002E-2</v>
      </c>
      <c r="BG70" s="43">
        <v>0.25</v>
      </c>
      <c r="BH70" s="43">
        <v>1.0390440000000001</v>
      </c>
      <c r="BI70" s="43">
        <v>1.165</v>
      </c>
      <c r="BJ70" s="43">
        <v>1.1599999999999999</v>
      </c>
      <c r="BK70" s="43">
        <v>69.052509999999998</v>
      </c>
      <c r="BL70" s="43">
        <v>73.142560000000003</v>
      </c>
      <c r="BM70" s="43">
        <v>1.014078</v>
      </c>
      <c r="BN70" s="43">
        <v>1.2643930000000001</v>
      </c>
      <c r="BO70" s="43">
        <v>38.167679999999997</v>
      </c>
      <c r="BP70" s="43">
        <v>1.2665743598513599</v>
      </c>
      <c r="BQ70" s="43">
        <v>2404.748</v>
      </c>
      <c r="BR70" s="43">
        <v>475.33948255496102</v>
      </c>
      <c r="BS70" s="43">
        <v>10991.79</v>
      </c>
      <c r="BT70" s="43">
        <v>5604.1369999999997</v>
      </c>
      <c r="BU70" s="43">
        <v>1.049644</v>
      </c>
      <c r="BV70" s="43">
        <v>1.058052</v>
      </c>
      <c r="BW70" s="43">
        <v>1.0393779999999999</v>
      </c>
      <c r="BX70" s="43">
        <v>1.2052670000000001</v>
      </c>
      <c r="BY70" s="43">
        <v>-0.66828889999999996</v>
      </c>
      <c r="BZ70" s="43">
        <v>-0.25471110000000002</v>
      </c>
      <c r="CA70" s="43">
        <v>-1.550578</v>
      </c>
      <c r="CB70" s="43">
        <v>0.72554110000000005</v>
      </c>
      <c r="CC70" s="43">
        <v>8.398873</v>
      </c>
      <c r="CD70" s="43">
        <v>0.97008890000000003</v>
      </c>
      <c r="CE70" s="43">
        <v>0.9853556</v>
      </c>
      <c r="CF70" s="43">
        <v>1.0322</v>
      </c>
      <c r="CG70" s="43">
        <v>1.0283329999999999</v>
      </c>
      <c r="CH70" s="43">
        <v>0.97163330000000003</v>
      </c>
      <c r="CI70" s="43">
        <v>1.047833</v>
      </c>
      <c r="CJ70" s="43">
        <v>0.95669999999999999</v>
      </c>
      <c r="CK70" s="43">
        <v>1.044667</v>
      </c>
      <c r="CL70" s="43">
        <v>1.0736669999999999</v>
      </c>
      <c r="CM70" s="43">
        <v>1.154636</v>
      </c>
      <c r="CN70" s="43">
        <v>1.029433</v>
      </c>
      <c r="CO70" s="43">
        <v>1.200286</v>
      </c>
      <c r="CP70" s="43">
        <v>0.82976879999999997</v>
      </c>
      <c r="CQ70" s="43">
        <v>1.058567</v>
      </c>
      <c r="CR70" s="43">
        <v>-0.49844440000000001</v>
      </c>
      <c r="CS70" s="43">
        <v>50.409386523881999</v>
      </c>
      <c r="CT70" s="43">
        <v>74.446560000000005</v>
      </c>
      <c r="CU70" s="43">
        <v>21.64912</v>
      </c>
      <c r="CV70" s="43">
        <v>26.092966426834899</v>
      </c>
      <c r="CW70" s="43">
        <v>1.054</v>
      </c>
      <c r="CX70" s="43">
        <v>1.0049999999999999</v>
      </c>
      <c r="CY70" s="43">
        <v>1.131667</v>
      </c>
      <c r="CZ70" s="43">
        <v>1.0316666666666701</v>
      </c>
      <c r="DA70" s="43">
        <v>1.02033333333333</v>
      </c>
      <c r="DB70" s="43">
        <v>2.1773908322</v>
      </c>
      <c r="DC70" s="43">
        <v>1.0129999999999999</v>
      </c>
      <c r="DD70" s="43">
        <v>0.98399999999999999</v>
      </c>
      <c r="DE70" s="43">
        <v>1.024</v>
      </c>
      <c r="DF70" s="43">
        <v>0.997</v>
      </c>
      <c r="DG70" s="43">
        <v>1.018</v>
      </c>
      <c r="DH70" s="43">
        <v>1.034</v>
      </c>
      <c r="DI70" s="43">
        <v>0.97899999999999998</v>
      </c>
      <c r="DJ70" s="43">
        <v>0.96399999999999997</v>
      </c>
      <c r="DK70" s="43">
        <v>1.2003330000000001</v>
      </c>
      <c r="DL70" s="43">
        <v>1.1220000000000001</v>
      </c>
      <c r="DM70" s="43">
        <v>1.071</v>
      </c>
      <c r="DN70" s="43">
        <v>1.04033333333333</v>
      </c>
      <c r="DO70" s="43">
        <v>0.95833330000000005</v>
      </c>
      <c r="DP70" s="43">
        <v>1.0656669999999999</v>
      </c>
      <c r="DQ70" s="43">
        <v>1.3036669999999999</v>
      </c>
      <c r="DR70" s="43">
        <v>1.086333</v>
      </c>
      <c r="DS70" s="43">
        <v>0.99033329999999997</v>
      </c>
      <c r="DT70" s="43">
        <v>0.99166666666666703</v>
      </c>
      <c r="DU70" s="43">
        <v>541.47829999999999</v>
      </c>
      <c r="DV70" s="43">
        <v>288.50670000000002</v>
      </c>
      <c r="DW70" s="43">
        <v>106.27889999999999</v>
      </c>
      <c r="DX70" s="43">
        <v>0.99834440000000002</v>
      </c>
      <c r="DY70" s="43">
        <v>1.009722</v>
      </c>
      <c r="DZ70" s="43">
        <v>1.018</v>
      </c>
      <c r="EA70" s="43">
        <v>827.64859999999999</v>
      </c>
      <c r="EB70" s="43">
        <v>106.0231</v>
      </c>
      <c r="EC70" s="43">
        <v>1.154636</v>
      </c>
      <c r="ED70" s="43">
        <v>1.200286</v>
      </c>
      <c r="EE70" s="43">
        <v>1.0049999999999999</v>
      </c>
      <c r="EF70" s="43">
        <v>1.131667</v>
      </c>
      <c r="EG70" s="43">
        <v>1.054</v>
      </c>
      <c r="EH70" s="43">
        <v>0.50857750289910797</v>
      </c>
      <c r="EI70" s="43">
        <v>0.210081833060555</v>
      </c>
      <c r="EJ70" s="43">
        <v>24.064700904098601</v>
      </c>
      <c r="EK70" s="43">
        <v>13.655319148936099</v>
      </c>
      <c r="EL70" s="43">
        <v>0.60144807003581002</v>
      </c>
      <c r="EM70" s="43">
        <v>1719.3163529661299</v>
      </c>
      <c r="EN70" s="43">
        <v>428.09587962840999</v>
      </c>
      <c r="EO70" s="43">
        <v>63622.682100890102</v>
      </c>
      <c r="EP70" s="43">
        <v>43132.902213331901</v>
      </c>
      <c r="EQ70" s="43">
        <v>3068.3565320776001</v>
      </c>
      <c r="ER70" s="43">
        <v>1.35166768472799</v>
      </c>
      <c r="ES70" s="43">
        <v>1.4439092570359899</v>
      </c>
      <c r="ET70" s="43">
        <v>1.33279850079539</v>
      </c>
      <c r="EU70" s="43">
        <v>1.366099</v>
      </c>
      <c r="EV70" s="43">
        <v>1.4605999999999999</v>
      </c>
      <c r="EW70" s="43">
        <v>1.403899</v>
      </c>
      <c r="EX70" s="43">
        <v>1.3678669999999999</v>
      </c>
      <c r="EY70" s="43">
        <v>1.4623630000000001</v>
      </c>
      <c r="EZ70" s="43">
        <v>1.399327</v>
      </c>
      <c r="FA70" s="43">
        <v>10.415964899856499</v>
      </c>
      <c r="FB70" s="43">
        <v>10.2562236532269</v>
      </c>
      <c r="FC70" s="43">
        <v>44.426422898318599</v>
      </c>
      <c r="FD70" s="43">
        <v>12258.898510863901</v>
      </c>
      <c r="FE70" s="43">
        <v>90098.21</v>
      </c>
      <c r="FF70" s="43">
        <v>1.202375</v>
      </c>
      <c r="FG70" s="43">
        <v>5.4718580000000001</v>
      </c>
      <c r="FH70" s="43">
        <v>724.48590000000002</v>
      </c>
      <c r="FI70" s="43">
        <v>14195.57</v>
      </c>
      <c r="FJ70" s="43">
        <v>6.4858950000000002</v>
      </c>
      <c r="FK70" s="43">
        <v>20.35708</v>
      </c>
      <c r="FL70" s="43">
        <v>1.0337670000000001</v>
      </c>
      <c r="FM70" s="43">
        <v>1.0424370000000001</v>
      </c>
    </row>
    <row r="71" spans="1:169" x14ac:dyDescent="0.25">
      <c r="A71" s="43" t="s">
        <v>298</v>
      </c>
      <c r="B71" s="43">
        <v>21309.54</v>
      </c>
      <c r="C71" s="43">
        <v>14744.95</v>
      </c>
      <c r="D71" s="43">
        <v>2.6855639999999998</v>
      </c>
      <c r="E71" s="43">
        <v>6.9890110000000005E-2</v>
      </c>
      <c r="F71" s="43">
        <v>1.593626</v>
      </c>
      <c r="G71" s="43">
        <v>5.9318689999999998</v>
      </c>
      <c r="H71" s="43">
        <v>0.98984839999999996</v>
      </c>
      <c r="I71" s="43">
        <v>0.97005470000000005</v>
      </c>
      <c r="J71" s="43">
        <v>0.95872279999999999</v>
      </c>
      <c r="K71" s="43">
        <v>0.98847189999999996</v>
      </c>
      <c r="L71" s="43">
        <v>2.1689560000000001</v>
      </c>
      <c r="M71" s="43">
        <v>66.079890000000006</v>
      </c>
      <c r="N71" s="43">
        <v>68.83</v>
      </c>
      <c r="O71" s="43">
        <v>2.9429670329670299</v>
      </c>
      <c r="P71" s="43">
        <v>1.5913330000000001</v>
      </c>
      <c r="Q71" s="43">
        <v>-812.25739999999996</v>
      </c>
      <c r="R71" s="43">
        <v>3.25</v>
      </c>
      <c r="S71" s="43">
        <v>3325.596</v>
      </c>
      <c r="T71" s="43">
        <v>2.6593410000000001E-2</v>
      </c>
      <c r="U71" s="43">
        <v>2.2399960000000001</v>
      </c>
      <c r="V71" s="43">
        <v>2733.4569999999999</v>
      </c>
      <c r="W71" s="43">
        <v>1.4419999999999999</v>
      </c>
      <c r="X71" s="43">
        <v>16955.810000000001</v>
      </c>
      <c r="Y71" s="43">
        <v>1.2815989999999999</v>
      </c>
      <c r="Z71" s="43">
        <v>0.77236280000000002</v>
      </c>
      <c r="AA71" s="43">
        <v>1.1100300000000001</v>
      </c>
      <c r="AB71" s="43">
        <v>1.0079199999999999</v>
      </c>
      <c r="AC71" s="43">
        <v>61.826700000000002</v>
      </c>
      <c r="AD71" s="43">
        <v>1.0933200000000001</v>
      </c>
      <c r="AE71" s="43">
        <v>1.0820700000000001</v>
      </c>
      <c r="AF71" s="43">
        <v>1.22618</v>
      </c>
      <c r="AG71" s="43">
        <v>332.14929999999998</v>
      </c>
      <c r="AH71" s="43">
        <v>130.68870000000001</v>
      </c>
      <c r="AI71" s="43">
        <v>2.2557469999999999</v>
      </c>
      <c r="AJ71" s="43">
        <v>2.238</v>
      </c>
      <c r="AK71" s="43">
        <v>23292.36</v>
      </c>
      <c r="AM71" s="43">
        <v>1.9009670329670301</v>
      </c>
      <c r="AN71" s="43">
        <v>1.268297</v>
      </c>
      <c r="AO71" s="43">
        <v>2.2045934065934101</v>
      </c>
      <c r="AP71" s="43">
        <v>2.2709120879120901</v>
      </c>
      <c r="AQ71" s="43">
        <v>3.2898130000000001</v>
      </c>
      <c r="AR71" s="43">
        <v>2.119011</v>
      </c>
      <c r="AS71" s="43">
        <v>1.800495</v>
      </c>
      <c r="AT71" s="43">
        <v>1.9068020000000001</v>
      </c>
      <c r="AU71" s="43">
        <v>2.245692</v>
      </c>
      <c r="AV71" s="43">
        <v>2076.5729999999999</v>
      </c>
      <c r="AW71" s="43">
        <v>1136.7280000000001</v>
      </c>
      <c r="AX71" s="43">
        <v>1.030375</v>
      </c>
      <c r="AY71" s="43">
        <v>1.409011</v>
      </c>
      <c r="AZ71" s="43">
        <v>276.89100000000002</v>
      </c>
      <c r="BA71" s="43">
        <v>0.81388879999999997</v>
      </c>
      <c r="BB71" s="43">
        <v>128.1</v>
      </c>
      <c r="BC71" s="43">
        <v>27.461099999999998</v>
      </c>
      <c r="BD71" s="43">
        <v>8.0681309999999993</v>
      </c>
      <c r="BE71" s="43">
        <v>1.137667</v>
      </c>
      <c r="BF71" s="43">
        <v>0.1059066</v>
      </c>
      <c r="BG71" s="43">
        <v>0.25</v>
      </c>
      <c r="BH71" s="43">
        <v>1.4561539999999999</v>
      </c>
      <c r="BI71" s="43">
        <v>1.2110000000000001</v>
      </c>
      <c r="BJ71" s="43">
        <v>1.1859999999999999</v>
      </c>
      <c r="BK71" s="43">
        <v>75.977339999999998</v>
      </c>
      <c r="BL71" s="43">
        <v>81.203980000000001</v>
      </c>
      <c r="BM71" s="43">
        <v>0.98725450000000003</v>
      </c>
      <c r="BN71" s="43">
        <v>1.2574050000000001</v>
      </c>
      <c r="BO71" s="43">
        <v>38.268830000000001</v>
      </c>
      <c r="BP71" s="43">
        <v>1.2288757974351101</v>
      </c>
      <c r="BQ71" s="43">
        <v>2455.0880000000002</v>
      </c>
      <c r="BR71" s="43">
        <v>518.30468082968105</v>
      </c>
      <c r="BS71" s="43">
        <v>11221.95</v>
      </c>
      <c r="BT71" s="43">
        <v>5798.4970000000003</v>
      </c>
      <c r="BU71" s="43">
        <v>1.0470109999999999</v>
      </c>
      <c r="BV71" s="43">
        <v>1.0742</v>
      </c>
      <c r="BW71" s="43">
        <v>1.0699890000000001</v>
      </c>
      <c r="BX71" s="43">
        <v>1.2045729999999999</v>
      </c>
      <c r="BY71" s="43">
        <v>-0.5089011</v>
      </c>
      <c r="BZ71" s="43">
        <v>2.923077E-2</v>
      </c>
      <c r="CA71" s="43">
        <v>-1.5215380000000001</v>
      </c>
      <c r="CB71" s="43">
        <v>0.71575049999999996</v>
      </c>
      <c r="CC71" s="43">
        <v>8.4246759999999998</v>
      </c>
      <c r="CD71" s="43">
        <v>0.96432969999999996</v>
      </c>
      <c r="CE71" s="43">
        <v>0.98032969999999997</v>
      </c>
      <c r="CF71" s="43">
        <v>1.039868</v>
      </c>
      <c r="CG71" s="43">
        <v>0.97166669999999999</v>
      </c>
      <c r="CH71" s="43">
        <v>0.98443959999999997</v>
      </c>
      <c r="CI71" s="43">
        <v>1.0313300000000001</v>
      </c>
      <c r="CJ71" s="43">
        <v>0.96758239999999995</v>
      </c>
      <c r="CK71" s="43">
        <v>1.117</v>
      </c>
      <c r="CL71" s="43">
        <v>1.0873330000000001</v>
      </c>
      <c r="CM71" s="43">
        <v>1.1638729999999999</v>
      </c>
      <c r="CN71" s="43">
        <v>1.046567</v>
      </c>
      <c r="CO71" s="43">
        <v>1.2108490000000001</v>
      </c>
      <c r="CP71" s="43">
        <v>0.83020439999999995</v>
      </c>
      <c r="CQ71" s="43">
        <v>1.111154</v>
      </c>
      <c r="CR71" s="43">
        <v>-0.48744510000000002</v>
      </c>
      <c r="CS71" s="43">
        <v>57.197552447552397</v>
      </c>
      <c r="CT71" s="43">
        <v>74.235569999999996</v>
      </c>
      <c r="CU71" s="43">
        <v>21.310829999999999</v>
      </c>
      <c r="CV71" s="43">
        <v>25.6704579846717</v>
      </c>
      <c r="CW71" s="43">
        <v>1.0976669999999999</v>
      </c>
      <c r="CX71" s="43">
        <v>1.0489999999999999</v>
      </c>
      <c r="CY71" s="43">
        <v>1.1803330000000001</v>
      </c>
      <c r="CZ71" s="43">
        <v>1.0616666666666701</v>
      </c>
      <c r="DA71" s="43">
        <v>1.0456666666666701</v>
      </c>
      <c r="DB71" s="43">
        <v>2.3737825469999998</v>
      </c>
      <c r="DC71" s="43">
        <v>1.0533333333333299</v>
      </c>
      <c r="DD71" s="43">
        <v>0.99199999999999999</v>
      </c>
      <c r="DE71" s="43">
        <v>1.0289999999999999</v>
      </c>
      <c r="DF71" s="43">
        <v>0.996</v>
      </c>
      <c r="DG71" s="43">
        <v>1.0089999999999999</v>
      </c>
      <c r="DH71" s="43">
        <v>1.034</v>
      </c>
      <c r="DI71" s="43">
        <v>0.98499999999999999</v>
      </c>
      <c r="DJ71" s="43">
        <v>0.999</v>
      </c>
      <c r="DK71" s="43">
        <v>1.1830000000000001</v>
      </c>
      <c r="DL71" s="43">
        <v>1.199667</v>
      </c>
      <c r="DM71" s="43">
        <v>1.115667</v>
      </c>
      <c r="DN71" s="43">
        <v>1.10466666666667</v>
      </c>
      <c r="DO71" s="43">
        <v>1.0956669999999999</v>
      </c>
      <c r="DP71" s="43">
        <v>1.1513329999999999</v>
      </c>
      <c r="DQ71" s="43">
        <v>1.1613329999999999</v>
      </c>
      <c r="DR71" s="43">
        <v>1.1859999999999999</v>
      </c>
      <c r="DS71" s="43">
        <v>1.109667</v>
      </c>
      <c r="DT71" s="43">
        <v>1.145</v>
      </c>
      <c r="DU71" s="43">
        <v>543.5009</v>
      </c>
      <c r="DV71" s="43">
        <v>289.51479999999998</v>
      </c>
      <c r="DW71" s="43">
        <v>107.5033</v>
      </c>
      <c r="DX71" s="43">
        <v>0.99334069999999997</v>
      </c>
      <c r="DY71" s="43">
        <v>1.03633</v>
      </c>
      <c r="DZ71" s="43">
        <v>1.0189999999999999</v>
      </c>
      <c r="EA71" s="43">
        <v>867.46749999999997</v>
      </c>
      <c r="EB71" s="43">
        <v>109.4725</v>
      </c>
      <c r="EC71" s="43">
        <v>1.1638729999999999</v>
      </c>
      <c r="ED71" s="43">
        <v>1.2108490000000001</v>
      </c>
      <c r="EE71" s="43">
        <v>1.0489999999999999</v>
      </c>
      <c r="EF71" s="43">
        <v>1.1803330000000001</v>
      </c>
      <c r="EG71" s="43">
        <v>1.0976669999999999</v>
      </c>
      <c r="EH71" s="43">
        <v>0.54090838809431496</v>
      </c>
      <c r="EI71" s="43">
        <v>0.22343698854336999</v>
      </c>
      <c r="EJ71" s="43">
        <v>25.5945229621965</v>
      </c>
      <c r="EK71" s="43">
        <v>14.5234042553191</v>
      </c>
      <c r="EL71" s="43">
        <v>0.63968284918423801</v>
      </c>
      <c r="EM71" s="43">
        <v>1949.7688032984599</v>
      </c>
      <c r="EN71" s="43">
        <v>485.47667768069601</v>
      </c>
      <c r="EO71" s="43">
        <v>72150.491983911605</v>
      </c>
      <c r="EP71" s="43">
        <v>48914.318174308901</v>
      </c>
      <c r="EQ71" s="43">
        <v>3479.6306295353502</v>
      </c>
      <c r="ER71" s="43">
        <v>1.3914760119171501</v>
      </c>
      <c r="ES71" s="43">
        <v>1.4864342154891499</v>
      </c>
      <c r="ET71" s="43">
        <v>1.3720511065921699</v>
      </c>
      <c r="EU71" s="43">
        <v>1.4779040000000001</v>
      </c>
      <c r="EV71" s="43">
        <v>1.4834000000000001</v>
      </c>
      <c r="EW71" s="43">
        <v>1.5318609999999999</v>
      </c>
      <c r="EX71" s="43">
        <v>1.469638</v>
      </c>
      <c r="EY71" s="43">
        <v>1.4909129999999999</v>
      </c>
      <c r="EZ71" s="43">
        <v>1.535496</v>
      </c>
      <c r="FA71" s="43">
        <v>11.274726647535401</v>
      </c>
      <c r="FB71" s="43">
        <v>11.094725905089801</v>
      </c>
      <c r="FC71" s="43">
        <v>47.731812147989402</v>
      </c>
      <c r="FD71" s="43">
        <v>12498.232455764801</v>
      </c>
      <c r="FE71" s="43">
        <v>98865.73</v>
      </c>
      <c r="FF71" s="43">
        <v>1.2246250000000001</v>
      </c>
      <c r="FG71" s="43">
        <v>5.309628</v>
      </c>
      <c r="FH71" s="43">
        <v>717.01689999999996</v>
      </c>
      <c r="FI71" s="43">
        <v>14409.58</v>
      </c>
      <c r="FJ71" s="43">
        <v>6.4616790000000002</v>
      </c>
      <c r="FK71" s="43">
        <v>20.03715</v>
      </c>
      <c r="FL71" s="43">
        <v>1.027962</v>
      </c>
      <c r="FM71" s="43">
        <v>1.0484230000000001</v>
      </c>
    </row>
    <row r="72" spans="1:169" x14ac:dyDescent="0.25">
      <c r="A72" s="43" t="s">
        <v>299</v>
      </c>
      <c r="B72" s="43">
        <v>21483.08</v>
      </c>
      <c r="C72" s="43">
        <v>14848.25</v>
      </c>
      <c r="D72" s="43">
        <v>2.7287490000000001</v>
      </c>
      <c r="E72" s="43">
        <v>9.01087E-2</v>
      </c>
      <c r="F72" s="43">
        <v>1.3228260000000001</v>
      </c>
      <c r="G72" s="43">
        <v>5.0706519999999999</v>
      </c>
      <c r="H72" s="43">
        <v>0.99777700000000003</v>
      </c>
      <c r="I72" s="43">
        <v>0.97824920000000004</v>
      </c>
      <c r="J72" s="43">
        <v>0.97036820000000001</v>
      </c>
      <c r="K72" s="43">
        <v>0.99345629999999996</v>
      </c>
      <c r="L72" s="43">
        <v>2.2392829999999999</v>
      </c>
      <c r="M72" s="43">
        <v>70.612170000000006</v>
      </c>
      <c r="N72" s="43">
        <v>73.458913043478304</v>
      </c>
      <c r="O72" s="43">
        <v>4.3479347826087</v>
      </c>
      <c r="P72" s="43">
        <v>1.5693330000000001</v>
      </c>
      <c r="Q72" s="43">
        <v>-871.16949999999997</v>
      </c>
      <c r="R72" s="43">
        <v>3.25</v>
      </c>
      <c r="S72" s="43">
        <v>3334.9090000000001</v>
      </c>
      <c r="T72" s="43">
        <v>4.6739129999999997E-2</v>
      </c>
      <c r="U72" s="43">
        <v>1.9431039999999999</v>
      </c>
      <c r="V72" s="43">
        <v>2666.8069999999998</v>
      </c>
      <c r="W72" s="43">
        <v>1.4630000000000001</v>
      </c>
      <c r="X72" s="43">
        <v>16732.509999999998</v>
      </c>
      <c r="Y72" s="43">
        <v>1.275347</v>
      </c>
      <c r="Z72" s="43">
        <v>0.78235529999999998</v>
      </c>
      <c r="AA72" s="43">
        <v>1.10345</v>
      </c>
      <c r="AB72" s="43">
        <v>1.0031699999999999</v>
      </c>
      <c r="AC72" s="43">
        <v>67.287610000000001</v>
      </c>
      <c r="AD72" s="43">
        <v>1.1095699999999999</v>
      </c>
      <c r="AE72" s="43">
        <v>1.10578</v>
      </c>
      <c r="AF72" s="43">
        <v>1.2694000000000001</v>
      </c>
      <c r="AG72" s="43">
        <v>332.47910000000002</v>
      </c>
      <c r="AH72" s="43">
        <v>130.94880000000001</v>
      </c>
      <c r="AI72" s="43">
        <v>2.3670469999999999</v>
      </c>
      <c r="AJ72" s="43">
        <v>2.3504166666666699</v>
      </c>
      <c r="AK72" s="43">
        <v>23828.97</v>
      </c>
      <c r="AM72" s="43">
        <v>1.9074263043478299</v>
      </c>
      <c r="AN72" s="43">
        <v>1.792616</v>
      </c>
      <c r="AO72" s="43">
        <v>2.23482967391304</v>
      </c>
      <c r="AP72" s="43">
        <v>2.5075533695652199</v>
      </c>
      <c r="AQ72" s="43">
        <v>3.4268529999999999</v>
      </c>
      <c r="AR72" s="43">
        <v>2.2367300000000001</v>
      </c>
      <c r="AS72" s="43">
        <v>1.9333610000000001</v>
      </c>
      <c r="AT72" s="43">
        <v>2.0921949999999998</v>
      </c>
      <c r="AU72" s="43">
        <v>2.3093699999999999</v>
      </c>
      <c r="AV72" s="43">
        <v>2106.2860000000001</v>
      </c>
      <c r="AW72" s="43">
        <v>1191.441</v>
      </c>
      <c r="AX72" s="43">
        <v>1.0431950000000001</v>
      </c>
      <c r="AY72" s="43">
        <v>1.425967</v>
      </c>
      <c r="AZ72" s="43">
        <v>265.02</v>
      </c>
      <c r="BA72" s="43">
        <v>0.79406019999999999</v>
      </c>
      <c r="BB72" s="43">
        <v>127.2</v>
      </c>
      <c r="BC72" s="43">
        <v>27.739239999999999</v>
      </c>
      <c r="BD72" s="43">
        <v>7.268478</v>
      </c>
      <c r="BE72" s="43">
        <v>1.1519999999999999</v>
      </c>
      <c r="BF72" s="43">
        <v>0.15802720000000001</v>
      </c>
      <c r="BG72" s="43">
        <v>0.25</v>
      </c>
      <c r="BH72" s="43">
        <v>1.2237279999999999</v>
      </c>
      <c r="BI72" s="43">
        <v>1.256</v>
      </c>
      <c r="BJ72" s="43">
        <v>1.2010000000000001</v>
      </c>
      <c r="BK72" s="43">
        <v>84.740769999999998</v>
      </c>
      <c r="BL72" s="43">
        <v>88.927670000000006</v>
      </c>
      <c r="BM72" s="43">
        <v>0.98288889999999995</v>
      </c>
      <c r="BN72" s="43">
        <v>1.274953</v>
      </c>
      <c r="BO72" s="43">
        <v>38.370240000000003</v>
      </c>
      <c r="BP72" s="43">
        <v>1.2593814967391299</v>
      </c>
      <c r="BQ72" s="43">
        <v>2507.9720000000002</v>
      </c>
      <c r="BR72" s="43">
        <v>526.27239539854895</v>
      </c>
      <c r="BS72" s="43">
        <v>11455.18</v>
      </c>
      <c r="BT72" s="43">
        <v>6049.8019999999997</v>
      </c>
      <c r="BU72" s="43">
        <v>1.049717</v>
      </c>
      <c r="BV72" s="43">
        <v>1.0801829999999999</v>
      </c>
      <c r="BW72" s="43">
        <v>1.1207929999999999</v>
      </c>
      <c r="BX72" s="43">
        <v>1.1789559999999999</v>
      </c>
      <c r="BY72" s="43">
        <v>-0.64034780000000002</v>
      </c>
      <c r="BZ72" s="43">
        <v>-0.18826090000000001</v>
      </c>
      <c r="CA72" s="43">
        <v>-1.7028479999999999</v>
      </c>
      <c r="CB72" s="43">
        <v>0.7255142</v>
      </c>
      <c r="CC72" s="43">
        <v>8.651313</v>
      </c>
      <c r="CD72" s="43">
        <v>0.93816299999999997</v>
      </c>
      <c r="CE72" s="43">
        <v>0.9814022</v>
      </c>
      <c r="CF72" s="43">
        <v>1.049304</v>
      </c>
      <c r="CG72" s="43">
        <v>0.94866669999999997</v>
      </c>
      <c r="CH72" s="43">
        <v>1.004348</v>
      </c>
      <c r="CI72" s="43">
        <v>1.0530219999999999</v>
      </c>
      <c r="CJ72" s="43">
        <v>0.99180440000000003</v>
      </c>
      <c r="CK72" s="43">
        <v>1.148333</v>
      </c>
      <c r="CL72" s="43">
        <v>1.0986670000000001</v>
      </c>
      <c r="CM72" s="43">
        <v>1.1696930000000001</v>
      </c>
      <c r="CN72" s="43">
        <v>1.0474330000000001</v>
      </c>
      <c r="CO72" s="43">
        <v>1.217509</v>
      </c>
      <c r="CP72" s="43">
        <v>0.84821190000000002</v>
      </c>
      <c r="CQ72" s="43">
        <v>1.133402</v>
      </c>
      <c r="CR72" s="43">
        <v>-0.50557070000000004</v>
      </c>
      <c r="CS72" s="43">
        <v>62.253316138540903</v>
      </c>
      <c r="CT72" s="43">
        <v>73.493449999999996</v>
      </c>
      <c r="CU72" s="43">
        <v>21.639939999999999</v>
      </c>
      <c r="CV72" s="43">
        <v>25.6447875266871</v>
      </c>
      <c r="CW72" s="43">
        <v>1.1779999999999999</v>
      </c>
      <c r="CX72" s="43">
        <v>1.094333</v>
      </c>
      <c r="CY72" s="43">
        <v>1.254</v>
      </c>
      <c r="CZ72" s="43">
        <v>1.10066666666667</v>
      </c>
      <c r="DA72" s="43">
        <v>1.08266666666667</v>
      </c>
      <c r="DB72" s="43">
        <v>2.5176039047000001</v>
      </c>
      <c r="DC72" s="43">
        <v>1.0189999999999999</v>
      </c>
      <c r="DD72" s="43">
        <v>1.0349999999999999</v>
      </c>
      <c r="DE72" s="43">
        <v>1.04</v>
      </c>
      <c r="DF72" s="43">
        <v>1</v>
      </c>
      <c r="DG72" s="43">
        <v>1.0249999999999999</v>
      </c>
      <c r="DH72" s="43">
        <v>1.034</v>
      </c>
      <c r="DI72" s="43">
        <v>1.008</v>
      </c>
      <c r="DJ72" s="43">
        <v>1.0389999999999999</v>
      </c>
      <c r="DK72" s="43">
        <v>1.3440000000000001</v>
      </c>
      <c r="DL72" s="43">
        <v>1.290333</v>
      </c>
      <c r="DM72" s="43">
        <v>1.2743329999999999</v>
      </c>
      <c r="DN72" s="43">
        <v>1.1416666666666699</v>
      </c>
      <c r="DO72" s="43">
        <v>1.3660000000000001</v>
      </c>
      <c r="DP72" s="43">
        <v>1.177</v>
      </c>
      <c r="DQ72" s="43">
        <v>1.3873329999999999</v>
      </c>
      <c r="DR72" s="43">
        <v>1.2343329999999999</v>
      </c>
      <c r="DS72" s="43">
        <v>1.2936669999999999</v>
      </c>
      <c r="DT72" s="43">
        <v>1.206</v>
      </c>
      <c r="DU72" s="43">
        <v>541.14530000000002</v>
      </c>
      <c r="DV72" s="43">
        <v>286.18029999999999</v>
      </c>
      <c r="DW72" s="43">
        <v>103.3826</v>
      </c>
      <c r="DX72" s="43">
        <v>0.99830439999999998</v>
      </c>
      <c r="DY72" s="43">
        <v>1.05663</v>
      </c>
      <c r="DZ72" s="43">
        <v>1.018</v>
      </c>
      <c r="EA72" s="43">
        <v>866.65430000000003</v>
      </c>
      <c r="EB72" s="43">
        <v>110.0996</v>
      </c>
      <c r="EC72" s="43">
        <v>1.1696930000000001</v>
      </c>
      <c r="ED72" s="43">
        <v>1.217509</v>
      </c>
      <c r="EE72" s="43">
        <v>1.094333</v>
      </c>
      <c r="EF72" s="43">
        <v>1.254</v>
      </c>
      <c r="EG72" s="43">
        <v>1.1779999999999999</v>
      </c>
      <c r="EH72" s="43">
        <v>0.54772323154232705</v>
      </c>
      <c r="EI72" s="43">
        <v>0.22625204582651401</v>
      </c>
      <c r="EJ72" s="43">
        <v>25.916985454834901</v>
      </c>
      <c r="EK72" s="43">
        <v>14.706382978723401</v>
      </c>
      <c r="EL72" s="43">
        <v>0.64774214086748905</v>
      </c>
      <c r="EM72" s="43">
        <v>2121.9840827309999</v>
      </c>
      <c r="EN72" s="43">
        <v>528.35689074150798</v>
      </c>
      <c r="EO72" s="43">
        <v>78523.256343041998</v>
      </c>
      <c r="EP72" s="43">
        <v>53234.724244192701</v>
      </c>
      <c r="EQ72" s="43">
        <v>3786.9724847202801</v>
      </c>
      <c r="ER72" s="43">
        <v>1.4575444923495999</v>
      </c>
      <c r="ES72" s="43">
        <v>1.55701139327669</v>
      </c>
      <c r="ET72" s="43">
        <v>1.43719727577644</v>
      </c>
      <c r="EU72" s="43">
        <v>1.543666</v>
      </c>
      <c r="EV72" s="43">
        <v>1.5112000000000001</v>
      </c>
      <c r="EW72" s="43">
        <v>1.614457</v>
      </c>
      <c r="EX72" s="43">
        <v>1.5443480000000001</v>
      </c>
      <c r="EY72" s="43">
        <v>1.509395</v>
      </c>
      <c r="EZ72" s="43">
        <v>1.6196889999999999</v>
      </c>
      <c r="FA72" s="43">
        <v>11.779833100701399</v>
      </c>
      <c r="FB72" s="43">
        <v>11.587863510897099</v>
      </c>
      <c r="FC72" s="43">
        <v>50.158304174191898</v>
      </c>
      <c r="FD72" s="43">
        <v>12653.166939492299</v>
      </c>
      <c r="FE72" s="43">
        <v>104286.7</v>
      </c>
      <c r="FF72" s="43">
        <v>1.2461249999999999</v>
      </c>
      <c r="FG72" s="43">
        <v>5.2294140000000002</v>
      </c>
      <c r="FH72" s="43">
        <v>772.79690000000005</v>
      </c>
      <c r="FI72" s="43">
        <v>14389.31</v>
      </c>
      <c r="FJ72" s="43">
        <v>6.4722980000000003</v>
      </c>
      <c r="FK72" s="43">
        <v>20.023779999999999</v>
      </c>
      <c r="FL72" s="43">
        <v>1.0493129999999999</v>
      </c>
      <c r="FM72" s="43">
        <v>1.0688519999999999</v>
      </c>
    </row>
    <row r="73" spans="1:169" x14ac:dyDescent="0.25">
      <c r="A73" s="43" t="s">
        <v>300</v>
      </c>
      <c r="B73" s="43">
        <v>21847.599999999999</v>
      </c>
      <c r="C73" s="43">
        <v>14995.38</v>
      </c>
      <c r="D73" s="43">
        <v>2.7870659999999998</v>
      </c>
      <c r="E73" s="43">
        <v>8.0000009999999996E-2</v>
      </c>
      <c r="F73" s="43">
        <v>1.536413</v>
      </c>
      <c r="G73" s="43">
        <v>4.1673910000000003</v>
      </c>
      <c r="H73" s="43">
        <v>1.0079149999999999</v>
      </c>
      <c r="I73" s="43">
        <v>0.98983900000000002</v>
      </c>
      <c r="J73" s="43">
        <v>0.98539060000000001</v>
      </c>
      <c r="K73" s="43">
        <v>1.001881</v>
      </c>
      <c r="L73" s="43">
        <v>2.319839</v>
      </c>
      <c r="M73" s="43">
        <v>77.428150000000002</v>
      </c>
      <c r="N73" s="43">
        <v>79.570760869565206</v>
      </c>
      <c r="O73" s="43">
        <v>4.7703260869565201</v>
      </c>
      <c r="P73" s="43">
        <v>1.679</v>
      </c>
      <c r="Q73" s="43">
        <v>-909.11699999999996</v>
      </c>
      <c r="R73" s="43">
        <v>3.25</v>
      </c>
      <c r="S73" s="43">
        <v>3356.2420000000002</v>
      </c>
      <c r="T73" s="43">
        <v>5.3369569999999998E-2</v>
      </c>
      <c r="U73" s="43">
        <v>1.9451719999999999</v>
      </c>
      <c r="V73" s="43">
        <v>2649.91</v>
      </c>
      <c r="W73" s="43">
        <v>1.48</v>
      </c>
      <c r="X73" s="43">
        <v>16488.45</v>
      </c>
      <c r="Y73" s="43">
        <v>1.272251</v>
      </c>
      <c r="Z73" s="43">
        <v>0.79223030000000005</v>
      </c>
      <c r="AA73" s="43">
        <v>1.111</v>
      </c>
      <c r="AB73" s="43">
        <v>0.99763000000000002</v>
      </c>
      <c r="AC73" s="43">
        <v>72.360209999999995</v>
      </c>
      <c r="AD73" s="43">
        <v>1.1285799999999999</v>
      </c>
      <c r="AE73" s="43">
        <v>1.16466</v>
      </c>
      <c r="AF73" s="43">
        <v>1.3055099999999999</v>
      </c>
      <c r="AG73" s="43">
        <v>332.78590000000003</v>
      </c>
      <c r="AH73" s="43">
        <v>131.209</v>
      </c>
      <c r="AI73" s="43">
        <v>2.4797690000000001</v>
      </c>
      <c r="AJ73" s="43">
        <v>2.4418933333333301</v>
      </c>
      <c r="AK73" s="43">
        <v>24654.6</v>
      </c>
      <c r="AM73" s="43">
        <v>1.9009922826087</v>
      </c>
      <c r="AN73" s="43">
        <v>2.3612649999999999</v>
      </c>
      <c r="AO73" s="43">
        <v>2.29017402173913</v>
      </c>
      <c r="AP73" s="43">
        <v>2.7960660869565199</v>
      </c>
      <c r="AQ73" s="43">
        <v>3.4959769999999999</v>
      </c>
      <c r="AR73" s="43">
        <v>2.3453529999999998</v>
      </c>
      <c r="AS73" s="43">
        <v>2.0946009999999999</v>
      </c>
      <c r="AT73" s="43">
        <v>2.2462309999999999</v>
      </c>
      <c r="AU73" s="43">
        <v>2.389256</v>
      </c>
      <c r="AV73" s="43">
        <v>2141.4940000000001</v>
      </c>
      <c r="AW73" s="43">
        <v>1195.2660000000001</v>
      </c>
      <c r="AX73" s="43">
        <v>1.0606370000000001</v>
      </c>
      <c r="AY73" s="43">
        <v>1.440315</v>
      </c>
      <c r="AZ73" s="43">
        <v>267.63799999999998</v>
      </c>
      <c r="BA73" s="43">
        <v>0.79315400000000003</v>
      </c>
      <c r="BB73" s="43">
        <v>124.1</v>
      </c>
      <c r="BC73" s="43">
        <v>27.737500000000001</v>
      </c>
      <c r="BD73" s="43">
        <v>6.2673909999999999</v>
      </c>
      <c r="BE73" s="43">
        <v>1.1779999999999999</v>
      </c>
      <c r="BF73" s="43">
        <v>0.1031793</v>
      </c>
      <c r="BG73" s="43">
        <v>0.25</v>
      </c>
      <c r="BH73" s="43">
        <v>1.5702389999999999</v>
      </c>
      <c r="BI73" s="43">
        <v>1.2809999999999999</v>
      </c>
      <c r="BJ73" s="43">
        <v>1.224</v>
      </c>
      <c r="BK73" s="43">
        <v>91.243480000000005</v>
      </c>
      <c r="BL73" s="43">
        <v>97.633960000000002</v>
      </c>
      <c r="BM73" s="43">
        <v>1.0111760000000001</v>
      </c>
      <c r="BN73" s="43">
        <v>1.2973779999999999</v>
      </c>
      <c r="BO73" s="43">
        <v>38.471919999999997</v>
      </c>
      <c r="BP73" s="43">
        <v>1.2609619673913</v>
      </c>
      <c r="BQ73" s="43">
        <v>2612.3560000000002</v>
      </c>
      <c r="BR73" s="43">
        <v>540.76391051856103</v>
      </c>
      <c r="BS73" s="43">
        <v>11511.21</v>
      </c>
      <c r="BT73" s="43">
        <v>6067.1369999999997</v>
      </c>
      <c r="BU73" s="43">
        <v>1.065739</v>
      </c>
      <c r="BV73" s="43">
        <v>1.0989329999999999</v>
      </c>
      <c r="BW73" s="43">
        <v>1.208696</v>
      </c>
      <c r="BX73" s="43">
        <v>1.1434949999999999</v>
      </c>
      <c r="BY73" s="43">
        <v>-0.51949999999999996</v>
      </c>
      <c r="BZ73" s="43">
        <v>-6.8760870000000002E-2</v>
      </c>
      <c r="CA73" s="43">
        <v>-1.864109</v>
      </c>
      <c r="CB73" s="43">
        <v>0.7420968</v>
      </c>
      <c r="CC73" s="43">
        <v>8.8646809999999991</v>
      </c>
      <c r="CD73" s="43">
        <v>0.96101080000000005</v>
      </c>
      <c r="CE73" s="43">
        <v>0.98138040000000004</v>
      </c>
      <c r="CF73" s="43">
        <v>1.0581739999999999</v>
      </c>
      <c r="CG73" s="43">
        <v>0.98499999999999999</v>
      </c>
      <c r="CH73" s="43">
        <v>1.0015540000000001</v>
      </c>
      <c r="CI73" s="43">
        <v>1.045609</v>
      </c>
      <c r="CJ73" s="43">
        <v>1.0109459999999999</v>
      </c>
      <c r="CK73" s="43">
        <v>1.2130000000000001</v>
      </c>
      <c r="CL73" s="43">
        <v>1.1100000000000001</v>
      </c>
      <c r="CM73" s="43">
        <v>1.1688529999999999</v>
      </c>
      <c r="CN73" s="43">
        <v>1.0587329999999999</v>
      </c>
      <c r="CO73" s="43">
        <v>1.216548</v>
      </c>
      <c r="CP73" s="43">
        <v>0.87461409999999995</v>
      </c>
      <c r="CQ73" s="43">
        <v>1.104565</v>
      </c>
      <c r="CR73" s="43">
        <v>-0.57127720000000004</v>
      </c>
      <c r="CS73" s="43">
        <v>69.567189478153296</v>
      </c>
      <c r="CT73" s="43">
        <v>72.74342</v>
      </c>
      <c r="CU73" s="43">
        <v>22.20392</v>
      </c>
      <c r="CV73" s="43">
        <v>26.008943509565999</v>
      </c>
      <c r="CW73" s="43">
        <v>1.2370000000000001</v>
      </c>
      <c r="CX73" s="43">
        <v>1.1613329999999999</v>
      </c>
      <c r="CY73" s="43">
        <v>1.298667</v>
      </c>
      <c r="CZ73" s="43">
        <v>1.16566666666667</v>
      </c>
      <c r="DA73" s="43">
        <v>1.1183333333333301</v>
      </c>
      <c r="DB73" s="43">
        <v>2.5767285761999998</v>
      </c>
      <c r="DC73" s="43">
        <v>1.0253333333333301</v>
      </c>
      <c r="DD73" s="43">
        <v>1.0309999999999999</v>
      </c>
      <c r="DE73" s="43">
        <v>1.04</v>
      </c>
      <c r="DF73" s="43">
        <v>1.006</v>
      </c>
      <c r="DG73" s="43">
        <v>1.0389999999999999</v>
      </c>
      <c r="DH73" s="43">
        <v>1.048</v>
      </c>
      <c r="DI73" s="43">
        <v>1.048</v>
      </c>
      <c r="DJ73" s="43">
        <v>1.0509999999999999</v>
      </c>
      <c r="DK73" s="43">
        <v>1.521333</v>
      </c>
      <c r="DL73" s="43">
        <v>1.3680000000000001</v>
      </c>
      <c r="DM73" s="43">
        <v>1.6746669999999999</v>
      </c>
      <c r="DN73" s="43">
        <v>1.19533333333333</v>
      </c>
      <c r="DO73" s="43">
        <v>1.8993329999999999</v>
      </c>
      <c r="DP73" s="43">
        <v>1.2463329999999999</v>
      </c>
      <c r="DQ73" s="43">
        <v>1.705667</v>
      </c>
      <c r="DR73" s="43">
        <v>1.2993330000000001</v>
      </c>
      <c r="DS73" s="43">
        <v>1.696</v>
      </c>
      <c r="DT73" s="43">
        <v>1.26433333333333</v>
      </c>
      <c r="DU73" s="43">
        <v>547.21730000000002</v>
      </c>
      <c r="DV73" s="43">
        <v>294.4665</v>
      </c>
      <c r="DW73" s="43">
        <v>104.57389999999999</v>
      </c>
      <c r="DX73" s="43">
        <v>1.000326</v>
      </c>
      <c r="DY73" s="43">
        <v>1.0816410000000001</v>
      </c>
      <c r="DZ73" s="43">
        <v>1.0149999999999999</v>
      </c>
      <c r="EA73" s="43">
        <v>862.86760000000004</v>
      </c>
      <c r="EB73" s="43">
        <v>113.6352</v>
      </c>
      <c r="EC73" s="43">
        <v>1.1688529999999999</v>
      </c>
      <c r="ED73" s="43">
        <v>1.216548</v>
      </c>
      <c r="EE73" s="43">
        <v>1.1613329999999999</v>
      </c>
      <c r="EF73" s="43">
        <v>1.298667</v>
      </c>
      <c r="EG73" s="43">
        <v>1.2370000000000001</v>
      </c>
      <c r="EH73" s="43">
        <v>0.56008504058755304</v>
      </c>
      <c r="EI73" s="43">
        <v>0.23135842880523799</v>
      </c>
      <c r="EJ73" s="43">
        <v>26.5019174182253</v>
      </c>
      <c r="EK73" s="43">
        <v>15.038297872340401</v>
      </c>
      <c r="EL73" s="43">
        <v>0.66236132113012403</v>
      </c>
      <c r="EM73" s="43">
        <v>2281.9540254701401</v>
      </c>
      <c r="EN73" s="43">
        <v>568.18811390929397</v>
      </c>
      <c r="EO73" s="43">
        <v>84442.886430332903</v>
      </c>
      <c r="EP73" s="43">
        <v>57247.928611926298</v>
      </c>
      <c r="EQ73" s="43">
        <v>4072.4608521710502</v>
      </c>
      <c r="ER73" s="43">
        <v>1.57185867303328</v>
      </c>
      <c r="ES73" s="43">
        <v>1.6791266924471899</v>
      </c>
      <c r="ET73" s="43">
        <v>1.5499156386967801</v>
      </c>
      <c r="EU73" s="43">
        <v>1.6061099999999999</v>
      </c>
      <c r="EV73" s="43">
        <v>1.5526</v>
      </c>
      <c r="EW73" s="43">
        <v>1.738505</v>
      </c>
      <c r="EX73" s="43">
        <v>1.615618</v>
      </c>
      <c r="EY73" s="43">
        <v>1.5478829999999999</v>
      </c>
      <c r="EZ73" s="43">
        <v>1.731414</v>
      </c>
      <c r="FA73" s="43">
        <v>12.2594615495805</v>
      </c>
      <c r="FB73" s="43">
        <v>12.0569402311734</v>
      </c>
      <c r="FC73" s="43">
        <v>52.473062716054798</v>
      </c>
      <c r="FD73" s="43">
        <v>12975.802094785</v>
      </c>
      <c r="FE73" s="43">
        <v>111480.2</v>
      </c>
      <c r="FF73" s="43">
        <v>1.266875</v>
      </c>
      <c r="FG73" s="43">
        <v>5.5836389999999998</v>
      </c>
      <c r="FH73" s="43">
        <v>827.02930000000003</v>
      </c>
      <c r="FI73" s="43">
        <v>14276.91</v>
      </c>
      <c r="FJ73" s="43">
        <v>6.3954659999999999</v>
      </c>
      <c r="FK73" s="43">
        <v>20.755859999999998</v>
      </c>
      <c r="FL73" s="43">
        <v>1.0690599999999999</v>
      </c>
      <c r="FM73" s="43">
        <v>1.091969</v>
      </c>
    </row>
    <row r="74" spans="1:169" x14ac:dyDescent="0.25">
      <c r="A74" s="43" t="s">
        <v>301</v>
      </c>
      <c r="B74" s="43">
        <v>21738.87</v>
      </c>
      <c r="C74" s="43">
        <v>14995.72</v>
      </c>
      <c r="D74" s="43">
        <v>2.8490310000000001</v>
      </c>
      <c r="E74" s="43">
        <v>0.12133330000000001</v>
      </c>
      <c r="F74" s="43">
        <v>1.9403330000000001</v>
      </c>
      <c r="G74" s="43">
        <v>3.8</v>
      </c>
      <c r="H74" s="43">
        <v>1.017274</v>
      </c>
      <c r="I74" s="43">
        <v>0.99707780000000001</v>
      </c>
      <c r="J74" s="43">
        <v>0.99888069999999995</v>
      </c>
      <c r="K74" s="43">
        <v>1.003433</v>
      </c>
      <c r="L74" s="43">
        <v>2.4138280000000001</v>
      </c>
      <c r="M74" s="43">
        <v>94.547110000000004</v>
      </c>
      <c r="N74" s="43">
        <v>100.40222222222199</v>
      </c>
      <c r="O74" s="43">
        <v>4.6555555555555603</v>
      </c>
      <c r="P74" s="43">
        <v>1.7196670000000001</v>
      </c>
      <c r="Q74" s="43">
        <v>-1106.0119999999999</v>
      </c>
      <c r="R74" s="43">
        <v>3.2913329999999998</v>
      </c>
      <c r="S74" s="43">
        <v>3333.65</v>
      </c>
      <c r="T74" s="43">
        <v>0.30588890000000002</v>
      </c>
      <c r="U74" s="43">
        <v>2.2038959999999999</v>
      </c>
      <c r="V74" s="43">
        <v>2628.0830000000001</v>
      </c>
      <c r="W74" s="43">
        <v>1.5009999999999999</v>
      </c>
      <c r="X74" s="43">
        <v>16066.35</v>
      </c>
      <c r="Y74" s="43">
        <v>1.2722420000000001</v>
      </c>
      <c r="Z74" s="43">
        <v>0.79958989999999996</v>
      </c>
      <c r="AA74" s="43">
        <v>1.0929899999999999</v>
      </c>
      <c r="AB74" s="43">
        <v>0.98782999999999999</v>
      </c>
      <c r="AC74" s="43">
        <v>86.103669999999994</v>
      </c>
      <c r="AD74" s="43">
        <v>1.1518200000000001</v>
      </c>
      <c r="AE74" s="43">
        <v>1.20339</v>
      </c>
      <c r="AF74" s="43">
        <v>1.3619000000000001</v>
      </c>
      <c r="AG74" s="43">
        <v>332.97829999999999</v>
      </c>
      <c r="AH74" s="43">
        <v>131.4639</v>
      </c>
      <c r="AI74" s="43">
        <v>2.5864259999999999</v>
      </c>
      <c r="AJ74" s="43">
        <v>2.5477666666666701</v>
      </c>
      <c r="AK74" s="43">
        <v>25029.119999999999</v>
      </c>
      <c r="AM74" s="43">
        <v>2.29265433333333</v>
      </c>
      <c r="AN74" s="43">
        <v>2.246874</v>
      </c>
      <c r="AO74" s="43">
        <v>2.3798673333333298</v>
      </c>
      <c r="AP74" s="43">
        <v>3.2624222222222201</v>
      </c>
      <c r="AQ74" s="43">
        <v>3.5772189999999999</v>
      </c>
      <c r="AR74" s="43">
        <v>2.4325990000000002</v>
      </c>
      <c r="AS74" s="43">
        <v>2.2732939999999999</v>
      </c>
      <c r="AT74" s="43">
        <v>2.4440300000000001</v>
      </c>
      <c r="AU74" s="43">
        <v>2.473179</v>
      </c>
      <c r="AV74" s="43">
        <v>2155.25</v>
      </c>
      <c r="AW74" s="43">
        <v>1201.06</v>
      </c>
      <c r="AX74" s="43">
        <v>1.076017</v>
      </c>
      <c r="AY74" s="43">
        <v>1.470067</v>
      </c>
      <c r="AZ74" s="43">
        <v>235.904</v>
      </c>
      <c r="BA74" s="43">
        <v>0.78941039999999996</v>
      </c>
      <c r="BB74" s="43">
        <v>127.3</v>
      </c>
      <c r="BC74" s="43">
        <v>28.404669999999999</v>
      </c>
      <c r="BD74" s="43">
        <v>5.7444439999999997</v>
      </c>
      <c r="BE74" s="43">
        <v>1.2496670000000001</v>
      </c>
      <c r="BF74" s="43">
        <v>0.40224169999999998</v>
      </c>
      <c r="BG74" s="43">
        <v>0.3333333</v>
      </c>
      <c r="BH74" s="43">
        <v>1.902933</v>
      </c>
      <c r="BI74" s="43">
        <v>1.3009999999999999</v>
      </c>
      <c r="BJ74" s="43">
        <v>1.26</v>
      </c>
      <c r="BK74" s="43">
        <v>109.0748</v>
      </c>
      <c r="BL74" s="43">
        <v>119.77079999999999</v>
      </c>
      <c r="BM74" s="43">
        <v>1.0447230000000001</v>
      </c>
      <c r="BN74" s="43">
        <v>1.3198920000000001</v>
      </c>
      <c r="BO74" s="43">
        <v>38.573869999999999</v>
      </c>
      <c r="BP74" s="43">
        <v>1.26678450777778</v>
      </c>
      <c r="BQ74" s="43">
        <v>2694.6080000000002</v>
      </c>
      <c r="BR74" s="43">
        <v>584.25703179121899</v>
      </c>
      <c r="BS74" s="43">
        <v>11586.1</v>
      </c>
      <c r="BT74" s="43">
        <v>6063.4920000000002</v>
      </c>
      <c r="BU74" s="43">
        <v>1.0655889999999999</v>
      </c>
      <c r="BV74" s="43">
        <v>1.1231869999999999</v>
      </c>
      <c r="BW74" s="43">
        <v>1.314533</v>
      </c>
      <c r="BX74" s="43">
        <v>1.1217790000000001</v>
      </c>
      <c r="BY74" s="43">
        <v>-0.16622219999999999</v>
      </c>
      <c r="BZ74" s="43">
        <v>0.30066670000000001</v>
      </c>
      <c r="CA74" s="43">
        <v>-1.9347780000000001</v>
      </c>
      <c r="CB74" s="43">
        <v>0.74558999999999997</v>
      </c>
      <c r="CC74" s="43">
        <v>9.3494139999999994</v>
      </c>
      <c r="CD74" s="43">
        <v>0.95691110000000001</v>
      </c>
      <c r="CE74" s="43">
        <v>0.98413340000000005</v>
      </c>
      <c r="CF74" s="43">
        <v>1.0469109999999999</v>
      </c>
      <c r="CG74" s="43">
        <v>0.9726667</v>
      </c>
      <c r="CH74" s="43">
        <v>1.0148999999999999</v>
      </c>
      <c r="CI74" s="43">
        <v>1.0639110000000001</v>
      </c>
      <c r="CJ74" s="43">
        <v>1.0048779999999999</v>
      </c>
      <c r="CK74" s="43">
        <v>1.080667</v>
      </c>
      <c r="CL74" s="43">
        <v>1.139</v>
      </c>
      <c r="CM74" s="43">
        <v>1.1613020000000001</v>
      </c>
      <c r="CN74" s="43">
        <v>1.0749329999999999</v>
      </c>
      <c r="CO74" s="43">
        <v>1.207902</v>
      </c>
      <c r="CP74" s="43">
        <v>0.89161120000000005</v>
      </c>
      <c r="CQ74" s="43">
        <v>1.132944</v>
      </c>
      <c r="CR74" s="43">
        <v>-0.56403329999999996</v>
      </c>
      <c r="CS74" s="43">
        <v>89.826249217842104</v>
      </c>
      <c r="CT74" s="43">
        <v>88.890320000000003</v>
      </c>
      <c r="CU74" s="43">
        <v>21.996449999999999</v>
      </c>
      <c r="CV74" s="43">
        <v>25.4887646393747</v>
      </c>
      <c r="CW74" s="43">
        <v>1.306333</v>
      </c>
      <c r="CX74" s="43">
        <v>1.228</v>
      </c>
      <c r="CY74" s="43">
        <v>1.372333</v>
      </c>
      <c r="CZ74" s="43">
        <v>1.23366666666667</v>
      </c>
      <c r="DA74" s="43">
        <v>1.18766666666667</v>
      </c>
      <c r="DB74" s="43">
        <v>2.7371904216999998</v>
      </c>
      <c r="DC74" s="43">
        <v>1.0269999999999999</v>
      </c>
      <c r="DD74" s="43">
        <v>1.03</v>
      </c>
      <c r="DE74" s="43">
        <v>1.06</v>
      </c>
      <c r="DF74" s="43">
        <v>1.018</v>
      </c>
      <c r="DG74" s="43">
        <v>1.034</v>
      </c>
      <c r="DH74" s="43">
        <v>1.0640000000000001</v>
      </c>
      <c r="DI74" s="43">
        <v>1.0429999999999999</v>
      </c>
      <c r="DJ74" s="43">
        <v>1.032</v>
      </c>
      <c r="DK74" s="43">
        <v>1.5116670000000001</v>
      </c>
      <c r="DL74" s="43">
        <v>1.534</v>
      </c>
      <c r="DM74" s="43">
        <v>1.9666669999999999</v>
      </c>
      <c r="DN74" s="43">
        <v>1.2849999999999999</v>
      </c>
      <c r="DO74" s="43">
        <v>2.3443329999999998</v>
      </c>
      <c r="DP74" s="43">
        <v>1.3380000000000001</v>
      </c>
      <c r="DQ74" s="43">
        <v>1.762667</v>
      </c>
      <c r="DR74" s="43">
        <v>1.415</v>
      </c>
      <c r="DS74" s="43">
        <v>1.7723329999999999</v>
      </c>
      <c r="DT74" s="43">
        <v>1.35066666666667</v>
      </c>
      <c r="DU74" s="43">
        <v>543.95240000000001</v>
      </c>
      <c r="DV74" s="43">
        <v>291.32100000000003</v>
      </c>
      <c r="DW74" s="43">
        <v>105.4144</v>
      </c>
      <c r="DX74" s="43">
        <v>1.0069999999999999</v>
      </c>
      <c r="DY74" s="43">
        <v>1.104689</v>
      </c>
      <c r="DZ74" s="43">
        <v>1.02</v>
      </c>
      <c r="EA74" s="43">
        <v>861.37159999999994</v>
      </c>
      <c r="EB74" s="43">
        <v>116.2632</v>
      </c>
      <c r="EC74" s="43">
        <v>1.1613020000000001</v>
      </c>
      <c r="ED74" s="43">
        <v>1.207902</v>
      </c>
      <c r="EE74" s="43">
        <v>1.228</v>
      </c>
      <c r="EF74" s="43">
        <v>1.372333</v>
      </c>
      <c r="EG74" s="43">
        <v>1.306333</v>
      </c>
      <c r="EH74" s="43">
        <v>0.59415925782759704</v>
      </c>
      <c r="EI74" s="43">
        <v>0.24543371522094801</v>
      </c>
      <c r="EJ74" s="43">
        <v>28.114229881416499</v>
      </c>
      <c r="EK74" s="43">
        <v>15.9531914893616</v>
      </c>
      <c r="EL74" s="43">
        <v>0.702657779546356</v>
      </c>
      <c r="EM74" s="43">
        <v>2715.36786153092</v>
      </c>
      <c r="EN74" s="43">
        <v>676.10465705824402</v>
      </c>
      <c r="EO74" s="43">
        <v>100481.209256874</v>
      </c>
      <c r="EP74" s="43">
        <v>68121.085594621094</v>
      </c>
      <c r="EQ74" s="43">
        <v>4845.9474607731599</v>
      </c>
      <c r="ER74" s="43">
        <v>1.7094952717957701</v>
      </c>
      <c r="ES74" s="43">
        <v>1.82615599654726</v>
      </c>
      <c r="ET74" s="43">
        <v>1.6856308404123099</v>
      </c>
      <c r="EU74" s="43">
        <v>1.6552720000000001</v>
      </c>
      <c r="EV74" s="43">
        <v>1.5929</v>
      </c>
      <c r="EW74" s="43">
        <v>1.803944</v>
      </c>
      <c r="EX74" s="43">
        <v>1.6534629999999999</v>
      </c>
      <c r="EY74" s="43">
        <v>1.5922540000000001</v>
      </c>
      <c r="EZ74" s="43">
        <v>1.8029999999999999</v>
      </c>
      <c r="FA74" s="43">
        <v>12.637065584376</v>
      </c>
      <c r="FB74" s="43">
        <v>12.4338286751218</v>
      </c>
      <c r="FC74" s="43">
        <v>53.702187710006697</v>
      </c>
      <c r="FD74" s="43">
        <v>13347.7660007496</v>
      </c>
      <c r="FE74" s="43">
        <v>116089.5</v>
      </c>
      <c r="FF74" s="43">
        <v>1.3004687500000001</v>
      </c>
      <c r="FG74" s="43">
        <v>5.2394809999999996</v>
      </c>
      <c r="FH74" s="43">
        <v>810.40260000000001</v>
      </c>
      <c r="FI74" s="43">
        <v>14351.06</v>
      </c>
      <c r="FJ74" s="43">
        <v>6.3509200000000003</v>
      </c>
      <c r="FK74" s="43">
        <v>20.52009</v>
      </c>
      <c r="FL74" s="43">
        <v>1.0832820000000001</v>
      </c>
      <c r="FM74" s="43">
        <v>1.1025240000000001</v>
      </c>
    </row>
    <row r="75" spans="1:169" x14ac:dyDescent="0.25">
      <c r="A75" s="43" t="s">
        <v>302</v>
      </c>
      <c r="B75" s="43">
        <v>21708.16</v>
      </c>
      <c r="C75" s="43">
        <v>15069.07</v>
      </c>
      <c r="D75" s="43">
        <v>2.915327</v>
      </c>
      <c r="E75" s="43">
        <v>0.77</v>
      </c>
      <c r="F75" s="43">
        <v>2.9296700000000002</v>
      </c>
      <c r="G75" s="43">
        <v>3.6329669999999998</v>
      </c>
      <c r="H75" s="43">
        <v>1.027531</v>
      </c>
      <c r="I75" s="43">
        <v>1.0037130000000001</v>
      </c>
      <c r="J75" s="43">
        <v>1.012046</v>
      </c>
      <c r="K75" s="43">
        <v>1.0050619999999999</v>
      </c>
      <c r="L75" s="43">
        <v>2.5281289999999998</v>
      </c>
      <c r="M75" s="43">
        <v>108.7324</v>
      </c>
      <c r="N75" s="43">
        <v>113.54109890109901</v>
      </c>
      <c r="O75" s="43">
        <v>7.4872527472527501</v>
      </c>
      <c r="P75" s="43">
        <v>1.635667</v>
      </c>
      <c r="Q75" s="43">
        <v>-1003.824</v>
      </c>
      <c r="R75" s="43">
        <v>3.94</v>
      </c>
      <c r="S75" s="43">
        <v>3333.393</v>
      </c>
      <c r="T75" s="43">
        <v>1.075604</v>
      </c>
      <c r="U75" s="43">
        <v>2.991943</v>
      </c>
      <c r="V75" s="43">
        <v>2769.66</v>
      </c>
      <c r="W75" s="43">
        <v>1.5209999999999999</v>
      </c>
      <c r="X75" s="43">
        <v>16009.88</v>
      </c>
      <c r="Y75" s="43">
        <v>1.2747820000000001</v>
      </c>
      <c r="Z75" s="43">
        <v>0.80604549999999997</v>
      </c>
      <c r="AA75" s="43">
        <v>1.08304</v>
      </c>
      <c r="AB75" s="43">
        <v>0.99329000000000001</v>
      </c>
      <c r="AC75" s="43">
        <v>101.3729</v>
      </c>
      <c r="AD75" s="43">
        <v>1.1770400000000001</v>
      </c>
      <c r="AE75" s="43">
        <v>1.2490399999999999</v>
      </c>
      <c r="AF75" s="43">
        <v>1.4116500000000001</v>
      </c>
      <c r="AG75" s="43">
        <v>333.32029999999997</v>
      </c>
      <c r="AH75" s="43">
        <v>131.71879999999999</v>
      </c>
      <c r="AI75" s="43">
        <v>2.7443179999999998</v>
      </c>
      <c r="AJ75" s="43">
        <v>2.7498133333333299</v>
      </c>
      <c r="AK75" s="43">
        <v>25544.27</v>
      </c>
      <c r="AM75" s="43">
        <v>2.8280292307692299</v>
      </c>
      <c r="AN75" s="43">
        <v>3.0362019999999998</v>
      </c>
      <c r="AO75" s="43">
        <v>2.4413578021978002</v>
      </c>
      <c r="AP75" s="43">
        <v>4.0403273626373597</v>
      </c>
      <c r="AQ75" s="43">
        <v>3.7603430000000002</v>
      </c>
      <c r="AR75" s="43">
        <v>2.521137</v>
      </c>
      <c r="AS75" s="43">
        <v>2.5095070000000002</v>
      </c>
      <c r="AT75" s="43">
        <v>2.9776850000000001</v>
      </c>
      <c r="AU75" s="43">
        <v>2.5677979999999998</v>
      </c>
      <c r="AV75" s="43">
        <v>2174.5819999999999</v>
      </c>
      <c r="AW75" s="43">
        <v>1227.2760000000001</v>
      </c>
      <c r="AX75" s="43">
        <v>1.093534</v>
      </c>
      <c r="AY75" s="43">
        <v>1.515374</v>
      </c>
      <c r="AZ75" s="43">
        <v>268.755</v>
      </c>
      <c r="BA75" s="43">
        <v>0.7834257</v>
      </c>
      <c r="BB75" s="43">
        <v>125.6</v>
      </c>
      <c r="BC75" s="43">
        <v>28.771319999999999</v>
      </c>
      <c r="BD75" s="43">
        <v>5.1340659999999998</v>
      </c>
      <c r="BE75" s="43">
        <v>1.3160000000000001</v>
      </c>
      <c r="BF75" s="43">
        <v>1.4523520000000001</v>
      </c>
      <c r="BG75" s="43">
        <v>1.1666669999999999</v>
      </c>
      <c r="BH75" s="43">
        <v>2.9496479999999998</v>
      </c>
      <c r="BI75" s="43">
        <v>1.325</v>
      </c>
      <c r="BJ75" s="43">
        <v>1.2989999999999999</v>
      </c>
      <c r="BK75" s="43">
        <v>129.40459999999999</v>
      </c>
      <c r="BL75" s="43">
        <v>138.79920000000001</v>
      </c>
      <c r="BM75" s="43">
        <v>1.067688</v>
      </c>
      <c r="BN75" s="43">
        <v>1.294945</v>
      </c>
      <c r="BO75" s="43">
        <v>38.676090000000002</v>
      </c>
      <c r="BP75" s="43">
        <v>1.2765209109890101</v>
      </c>
      <c r="BQ75" s="43">
        <v>2804.04</v>
      </c>
      <c r="BR75" s="43">
        <v>623.96096142029</v>
      </c>
      <c r="BS75" s="43">
        <v>11679.67</v>
      </c>
      <c r="BT75" s="43">
        <v>6110.2669999999998</v>
      </c>
      <c r="BU75" s="43">
        <v>1.0674950000000001</v>
      </c>
      <c r="BV75" s="43">
        <v>1.1606339999999999</v>
      </c>
      <c r="BW75" s="43">
        <v>1.389637</v>
      </c>
      <c r="BX75" s="43">
        <v>1.0651900000000001</v>
      </c>
      <c r="BY75" s="43">
        <v>0.93547250000000004</v>
      </c>
      <c r="BZ75" s="43">
        <v>1.2621100000000001</v>
      </c>
      <c r="CA75" s="43">
        <v>-1.251231</v>
      </c>
      <c r="CB75" s="43">
        <v>0.79596920000000004</v>
      </c>
      <c r="CC75" s="43">
        <v>9.8377540000000003</v>
      </c>
      <c r="CD75" s="43">
        <v>0.95199999999999996</v>
      </c>
      <c r="CE75" s="43">
        <v>0.97663739999999999</v>
      </c>
      <c r="CF75" s="43">
        <v>1.0613300000000001</v>
      </c>
      <c r="CG75" s="43">
        <v>0.94466660000000002</v>
      </c>
      <c r="CH75" s="43">
        <v>0.99137370000000002</v>
      </c>
      <c r="CI75" s="43">
        <v>1.0699669999999999</v>
      </c>
      <c r="CJ75" s="43">
        <v>1.0336810000000001</v>
      </c>
      <c r="CK75" s="43">
        <v>1.129</v>
      </c>
      <c r="CL75" s="43">
        <v>1.177333</v>
      </c>
      <c r="CM75" s="43">
        <v>1.1604620000000001</v>
      </c>
      <c r="CN75" s="43">
        <v>1.1320330000000001</v>
      </c>
      <c r="CO75" s="43">
        <v>1.206942</v>
      </c>
      <c r="CP75" s="43">
        <v>0.93891539999999996</v>
      </c>
      <c r="CQ75" s="43">
        <v>1.1466700000000001</v>
      </c>
      <c r="CR75" s="43">
        <v>-0.47763739999999999</v>
      </c>
      <c r="CS75" s="43">
        <v>106.51192204022399</v>
      </c>
      <c r="CT75" s="43">
        <v>67.785269999999997</v>
      </c>
      <c r="CU75" s="43">
        <v>23.139189999999999</v>
      </c>
      <c r="CV75" s="43">
        <v>24.978989346587198</v>
      </c>
      <c r="CW75" s="43">
        <v>1.4383330000000001</v>
      </c>
      <c r="CX75" s="43">
        <v>1.3136669999999999</v>
      </c>
      <c r="CY75" s="43">
        <v>1.4750000000000001</v>
      </c>
      <c r="CZ75" s="43">
        <v>1.28666666666667</v>
      </c>
      <c r="DA75" s="43">
        <v>1.26833333333333</v>
      </c>
      <c r="DB75" s="43">
        <v>2.8791779298</v>
      </c>
      <c r="DC75" s="43">
        <v>0.94499999999999995</v>
      </c>
      <c r="DD75" s="43">
        <v>1.0640000000000001</v>
      </c>
      <c r="DE75" s="43">
        <v>1.0489999999999999</v>
      </c>
      <c r="DF75" s="43">
        <v>1.02</v>
      </c>
      <c r="DG75" s="43">
        <v>1.0569999999999999</v>
      </c>
      <c r="DH75" s="43">
        <v>1.0640000000000001</v>
      </c>
      <c r="DI75" s="43">
        <v>1.056</v>
      </c>
      <c r="DJ75" s="43">
        <v>1.0429999999999999</v>
      </c>
      <c r="DK75" s="43">
        <v>1.538</v>
      </c>
      <c r="DL75" s="43">
        <v>1.7783329999999999</v>
      </c>
      <c r="DM75" s="43">
        <v>2.218</v>
      </c>
      <c r="DN75" s="43">
        <v>1.397</v>
      </c>
      <c r="DO75" s="43">
        <v>2.403</v>
      </c>
      <c r="DP75" s="43">
        <v>1.4656670000000001</v>
      </c>
      <c r="DQ75" s="43">
        <v>1.8109999999999999</v>
      </c>
      <c r="DR75" s="43">
        <v>1.5580000000000001</v>
      </c>
      <c r="DS75" s="43">
        <v>1.560667</v>
      </c>
      <c r="DT75" s="43">
        <v>1.49766666666667</v>
      </c>
      <c r="DU75" s="43">
        <v>549.83659999999998</v>
      </c>
      <c r="DV75" s="43">
        <v>297.15800000000002</v>
      </c>
      <c r="DW75" s="43">
        <v>103.8648</v>
      </c>
      <c r="DX75" s="43">
        <v>1.0170110000000001</v>
      </c>
      <c r="DY75" s="43">
        <v>1.1382969999999999</v>
      </c>
      <c r="DZ75" s="43">
        <v>1.018</v>
      </c>
      <c r="EA75" s="43">
        <v>855.56880000000001</v>
      </c>
      <c r="EB75" s="43">
        <v>129.6722</v>
      </c>
      <c r="EC75" s="43">
        <v>1.1604620000000001</v>
      </c>
      <c r="ED75" s="43">
        <v>1.206942</v>
      </c>
      <c r="EE75" s="43">
        <v>1.3136669999999999</v>
      </c>
      <c r="EF75" s="43">
        <v>1.4750000000000001</v>
      </c>
      <c r="EG75" s="43">
        <v>1.4383330000000001</v>
      </c>
      <c r="EH75" s="43">
        <v>0.625697719366062</v>
      </c>
      <c r="EI75" s="43">
        <v>0.25846153846153902</v>
      </c>
      <c r="EJ75" s="43">
        <v>29.606556300835699</v>
      </c>
      <c r="EK75" s="43">
        <v>16.8</v>
      </c>
      <c r="EL75" s="43">
        <v>0.73995543175487499</v>
      </c>
      <c r="EM75" s="43">
        <v>3196.8975186958301</v>
      </c>
      <c r="EN75" s="43">
        <v>796.00165088113704</v>
      </c>
      <c r="EO75" s="43">
        <v>118300.040705258</v>
      </c>
      <c r="EP75" s="43">
        <v>80201.335735604007</v>
      </c>
      <c r="EQ75" s="43">
        <v>5705.3033706975202</v>
      </c>
      <c r="ER75" s="43">
        <v>1.80716488746381</v>
      </c>
      <c r="ES75" s="43">
        <v>1.9304908591674299</v>
      </c>
      <c r="ET75" s="43">
        <v>1.7819369952508199</v>
      </c>
      <c r="EU75" s="43">
        <v>1.7541530000000001</v>
      </c>
      <c r="EV75" s="43">
        <v>1.6579999999999999</v>
      </c>
      <c r="EW75" s="43">
        <v>1.8865400000000001</v>
      </c>
      <c r="EX75" s="43">
        <v>1.742796</v>
      </c>
      <c r="EY75" s="43">
        <v>1.6633450000000001</v>
      </c>
      <c r="EZ75" s="43">
        <v>1.89076</v>
      </c>
      <c r="FA75" s="43">
        <v>13.396560867386199</v>
      </c>
      <c r="FB75" s="43">
        <v>13.1782552262605</v>
      </c>
      <c r="FC75" s="43">
        <v>56.6036271413534</v>
      </c>
      <c r="FD75" s="43">
        <v>13943.714663345399</v>
      </c>
      <c r="FE75" s="43">
        <v>121740.1</v>
      </c>
      <c r="FF75" s="43">
        <v>1.3142812500000001</v>
      </c>
      <c r="FG75" s="43">
        <v>4.9149450000000003</v>
      </c>
      <c r="FH75" s="43">
        <v>843.50070000000005</v>
      </c>
      <c r="FI75" s="43">
        <v>14566.34</v>
      </c>
      <c r="FJ75" s="43">
        <v>6.6100060000000003</v>
      </c>
      <c r="FK75" s="43">
        <v>20.031140000000001</v>
      </c>
      <c r="FL75" s="43">
        <v>1.1349340000000001</v>
      </c>
      <c r="FM75" s="43">
        <v>1.1367830000000001</v>
      </c>
    </row>
    <row r="76" spans="1:169" x14ac:dyDescent="0.25">
      <c r="A76" s="43" t="s">
        <v>303</v>
      </c>
      <c r="B76" s="43">
        <v>21851.13</v>
      </c>
      <c r="C76" s="43">
        <v>15126.83</v>
      </c>
      <c r="D76" s="43">
        <v>2.9548429999999999</v>
      </c>
      <c r="E76" s="43">
        <v>2.185978</v>
      </c>
      <c r="F76" s="43">
        <v>3.1021740000000002</v>
      </c>
      <c r="G76" s="43">
        <v>3.5336949999999998</v>
      </c>
      <c r="H76" s="43">
        <v>1.0329600000000001</v>
      </c>
      <c r="I76" s="43">
        <v>1.0039290000000001</v>
      </c>
      <c r="J76" s="43">
        <v>1.017048</v>
      </c>
      <c r="K76" s="43">
        <v>1.001965</v>
      </c>
      <c r="L76" s="43">
        <v>2.5336259999999999</v>
      </c>
      <c r="M76" s="43">
        <v>93.280330000000006</v>
      </c>
      <c r="N76" s="43">
        <v>100.83239130434799</v>
      </c>
      <c r="O76" s="43">
        <v>7.9911956521739098</v>
      </c>
      <c r="P76" s="43">
        <v>1.4463330000000001</v>
      </c>
      <c r="Q76" s="43">
        <v>-842.65790000000004</v>
      </c>
      <c r="R76" s="43">
        <v>5.3559780000000003</v>
      </c>
      <c r="S76" s="43">
        <v>3319.4830000000002</v>
      </c>
      <c r="T76" s="43">
        <v>2.658261</v>
      </c>
      <c r="U76" s="43">
        <v>3.2376429999999998</v>
      </c>
      <c r="V76" s="43">
        <v>2772.9839999999999</v>
      </c>
      <c r="W76" s="43">
        <v>1.538</v>
      </c>
      <c r="X76" s="43">
        <v>16151.51</v>
      </c>
      <c r="Y76" s="43">
        <v>1.2790589999999999</v>
      </c>
      <c r="Z76" s="43">
        <v>0.80759329999999996</v>
      </c>
      <c r="AA76" s="43">
        <v>1.08416</v>
      </c>
      <c r="AB76" s="43">
        <v>0.98633000000000004</v>
      </c>
      <c r="AC76" s="43">
        <v>94.766739999999999</v>
      </c>
      <c r="AD76" s="43">
        <v>1.1898</v>
      </c>
      <c r="AE76" s="43">
        <v>1.2966200000000001</v>
      </c>
      <c r="AF76" s="43">
        <v>1.44034</v>
      </c>
      <c r="AG76" s="43">
        <v>333.7978</v>
      </c>
      <c r="AH76" s="43">
        <v>131.97370000000001</v>
      </c>
      <c r="AI76" s="43">
        <v>2.7171470000000002</v>
      </c>
      <c r="AJ76" s="43">
        <v>2.7183000000000002</v>
      </c>
      <c r="AK76" s="43">
        <v>25994.639999999999</v>
      </c>
      <c r="AM76" s="43">
        <v>3.08074413043478</v>
      </c>
      <c r="AN76" s="43">
        <v>3.271668</v>
      </c>
      <c r="AO76" s="43">
        <v>2.5334755434782599</v>
      </c>
      <c r="AP76" s="43">
        <v>3.6832563043478301</v>
      </c>
      <c r="AQ76" s="43">
        <v>3.7268469999999998</v>
      </c>
      <c r="AR76" s="43">
        <v>2.5919409999999998</v>
      </c>
      <c r="AS76" s="43">
        <v>2.3924970000000001</v>
      </c>
      <c r="AT76" s="43">
        <v>2.8874590000000002</v>
      </c>
      <c r="AU76" s="43">
        <v>2.629569</v>
      </c>
      <c r="AV76" s="43">
        <v>2186.7240000000002</v>
      </c>
      <c r="AW76" s="43">
        <v>1228.1659999999999</v>
      </c>
      <c r="AX76" s="43">
        <v>1.092692</v>
      </c>
      <c r="AY76" s="43">
        <v>1.528011</v>
      </c>
      <c r="AZ76" s="43">
        <v>279.755</v>
      </c>
      <c r="BA76" s="43">
        <v>0.76644140000000005</v>
      </c>
      <c r="BB76" s="43">
        <v>125.4</v>
      </c>
      <c r="BC76" s="43">
        <v>29.453150000000001</v>
      </c>
      <c r="BD76" s="43">
        <v>5.1326090000000004</v>
      </c>
      <c r="BE76" s="43">
        <v>1.270667</v>
      </c>
      <c r="BF76" s="43">
        <v>2.918946</v>
      </c>
      <c r="BG76" s="43">
        <v>2.75</v>
      </c>
      <c r="BH76" s="43">
        <v>3.028543</v>
      </c>
      <c r="BI76" s="43">
        <v>1.329</v>
      </c>
      <c r="BJ76" s="43">
        <v>1.2829999999999999</v>
      </c>
      <c r="BK76" s="43">
        <v>123.6677</v>
      </c>
      <c r="BL76" s="43">
        <v>121.72799999999999</v>
      </c>
      <c r="BM76" s="43">
        <v>1.055045</v>
      </c>
      <c r="BN76" s="43">
        <v>1.293291</v>
      </c>
      <c r="BO76" s="43">
        <v>38.778579999999998</v>
      </c>
      <c r="BP76" s="43">
        <v>1.3049695173913001</v>
      </c>
      <c r="BQ76" s="43">
        <v>2775.2640000000001</v>
      </c>
      <c r="BR76" s="43">
        <v>595.05860007081299</v>
      </c>
      <c r="BS76" s="43">
        <v>11734.3</v>
      </c>
      <c r="BT76" s="43">
        <v>6189.87</v>
      </c>
      <c r="BU76" s="43">
        <v>1.088163</v>
      </c>
      <c r="BV76" s="43">
        <v>1.1807049999999999</v>
      </c>
      <c r="BW76" s="43">
        <v>1.492</v>
      </c>
      <c r="BX76" s="43">
        <v>1.007617</v>
      </c>
      <c r="BY76" s="43">
        <v>1.1451960000000001</v>
      </c>
      <c r="BZ76" s="43">
        <v>1.6492610000000001</v>
      </c>
      <c r="CA76" s="43">
        <v>-1.061239</v>
      </c>
      <c r="CB76" s="43">
        <v>0.85023470000000001</v>
      </c>
      <c r="CC76" s="43">
        <v>10.548019999999999</v>
      </c>
      <c r="CD76" s="43">
        <v>0.95658699999999997</v>
      </c>
      <c r="CE76" s="43">
        <v>0.98427180000000003</v>
      </c>
      <c r="CF76" s="43">
        <v>1.052087</v>
      </c>
      <c r="CG76" s="43">
        <v>0.92466660000000001</v>
      </c>
      <c r="CH76" s="43">
        <v>0.98881520000000001</v>
      </c>
      <c r="CI76" s="43">
        <v>1.0759460000000001</v>
      </c>
      <c r="CJ76" s="43">
        <v>1.022141</v>
      </c>
      <c r="CK76" s="43">
        <v>1.131667</v>
      </c>
      <c r="CL76" s="43">
        <v>1.202</v>
      </c>
      <c r="CM76" s="43">
        <v>1.1621410000000001</v>
      </c>
      <c r="CN76" s="43">
        <v>1.147267</v>
      </c>
      <c r="CO76" s="43">
        <v>1.2088620000000001</v>
      </c>
      <c r="CP76" s="43">
        <v>0.99258809999999997</v>
      </c>
      <c r="CQ76" s="43">
        <v>1.162696</v>
      </c>
      <c r="CR76" s="43">
        <v>0.4031902</v>
      </c>
      <c r="CS76" s="43">
        <v>100.053401407916</v>
      </c>
      <c r="CT76" s="43">
        <v>60.024149999999999</v>
      </c>
      <c r="CU76" s="43">
        <v>24.39668</v>
      </c>
      <c r="CV76" s="43">
        <v>24.229619666189599</v>
      </c>
      <c r="CW76" s="43">
        <v>1.480667</v>
      </c>
      <c r="CX76" s="43">
        <v>1.340333</v>
      </c>
      <c r="CY76" s="43">
        <v>1.522667</v>
      </c>
      <c r="CZ76" s="43">
        <v>1.337</v>
      </c>
      <c r="DA76" s="43">
        <v>1.306</v>
      </c>
      <c r="DB76" s="43">
        <v>2.6481128723</v>
      </c>
      <c r="DC76" s="43">
        <v>0.98066666666666702</v>
      </c>
      <c r="DD76" s="43">
        <v>1.056</v>
      </c>
      <c r="DE76" s="43">
        <v>1.0580000000000001</v>
      </c>
      <c r="DF76" s="43">
        <v>1.028</v>
      </c>
      <c r="DG76" s="43">
        <v>1.0649999999999999</v>
      </c>
      <c r="DH76" s="43">
        <v>1.073</v>
      </c>
      <c r="DI76" s="43">
        <v>1.0740000000000001</v>
      </c>
      <c r="DJ76" s="43">
        <v>1.0569999999999999</v>
      </c>
      <c r="DK76" s="43">
        <v>2.120333</v>
      </c>
      <c r="DL76" s="43">
        <v>1.8080000000000001</v>
      </c>
      <c r="DM76" s="43">
        <v>3.1716669999999998</v>
      </c>
      <c r="DN76" s="43">
        <v>1.4379999999999999</v>
      </c>
      <c r="DO76" s="43">
        <v>2.8570000000000002</v>
      </c>
      <c r="DP76" s="43">
        <v>1.4650000000000001</v>
      </c>
      <c r="DQ76" s="43">
        <v>2.2789999999999999</v>
      </c>
      <c r="DR76" s="43">
        <v>1.6046670000000001</v>
      </c>
      <c r="DS76" s="43">
        <v>1.4</v>
      </c>
      <c r="DT76" s="43">
        <v>1.498</v>
      </c>
      <c r="DU76" s="43">
        <v>549.30870000000004</v>
      </c>
      <c r="DV76" s="43">
        <v>297.5215</v>
      </c>
      <c r="DW76" s="43">
        <v>107.1315</v>
      </c>
      <c r="DX76" s="43">
        <v>1.0269569999999999</v>
      </c>
      <c r="DY76" s="43">
        <v>1.1609020000000001</v>
      </c>
      <c r="DZ76" s="43">
        <v>1.0149999999999999</v>
      </c>
      <c r="EA76" s="43">
        <v>866.6173</v>
      </c>
      <c r="EB76" s="43">
        <v>138.18289999999999</v>
      </c>
      <c r="EC76" s="43">
        <v>1.1621410000000001</v>
      </c>
      <c r="ED76" s="43">
        <v>1.2088620000000001</v>
      </c>
      <c r="EE76" s="43">
        <v>1.340333</v>
      </c>
      <c r="EF76" s="43">
        <v>1.522667</v>
      </c>
      <c r="EG76" s="43">
        <v>1.480667</v>
      </c>
      <c r="EH76" s="43">
        <v>0.60414379590258704</v>
      </c>
      <c r="EI76" s="43">
        <v>0.24955810147299401</v>
      </c>
      <c r="EJ76" s="43">
        <v>28.5866749287703</v>
      </c>
      <c r="EK76" s="43">
        <v>16.221276595744602</v>
      </c>
      <c r="EL76" s="43">
        <v>0.714465578989253</v>
      </c>
      <c r="EM76" s="43">
        <v>2988.5667793109901</v>
      </c>
      <c r="EN76" s="43">
        <v>744.12898010898596</v>
      </c>
      <c r="EO76" s="43">
        <v>110590.836764484</v>
      </c>
      <c r="EP76" s="43">
        <v>74974.892449343693</v>
      </c>
      <c r="EQ76" s="43">
        <v>5333.5085093730004</v>
      </c>
      <c r="ER76" s="43">
        <v>1.9402836943000199</v>
      </c>
      <c r="ES76" s="43">
        <v>2.0726940646210501</v>
      </c>
      <c r="ET76" s="43">
        <v>1.9131974730913299</v>
      </c>
      <c r="EU76" s="43">
        <v>1.749107</v>
      </c>
      <c r="EV76" s="43">
        <v>1.6727000000000001</v>
      </c>
      <c r="EW76" s="43">
        <v>1.911411</v>
      </c>
      <c r="EX76" s="43">
        <v>1.7527980000000001</v>
      </c>
      <c r="EY76" s="43">
        <v>1.6722379999999999</v>
      </c>
      <c r="EZ76" s="43">
        <v>1.915346</v>
      </c>
      <c r="FA76" s="43">
        <v>13.357806455105299</v>
      </c>
      <c r="FB76" s="43">
        <v>13.134564865500099</v>
      </c>
      <c r="FC76" s="43">
        <v>56.928454458347403</v>
      </c>
      <c r="FD76" s="43">
        <v>14018.267272466101</v>
      </c>
      <c r="FE76" s="43">
        <v>123323.1</v>
      </c>
      <c r="FF76" s="43">
        <v>1.3219062500000001</v>
      </c>
      <c r="FG76" s="43">
        <v>5.2426050000000002</v>
      </c>
      <c r="FH76" s="43">
        <v>931.21529999999996</v>
      </c>
      <c r="FI76" s="43">
        <v>14939.4</v>
      </c>
      <c r="FJ76" s="43">
        <v>6.8473759999999997</v>
      </c>
      <c r="FK76" s="43">
        <v>20.23752</v>
      </c>
      <c r="FL76" s="43">
        <v>1.1875100000000001</v>
      </c>
      <c r="FM76" s="43">
        <v>1.1774260000000001</v>
      </c>
    </row>
    <row r="77" spans="1:169" x14ac:dyDescent="0.25">
      <c r="A77" s="43" t="s">
        <v>304</v>
      </c>
      <c r="B77" s="43">
        <v>21990</v>
      </c>
      <c r="C77" s="43">
        <v>15171.63</v>
      </c>
      <c r="D77" s="43">
        <v>2.985242</v>
      </c>
      <c r="E77" s="43">
        <v>3.6519569999999999</v>
      </c>
      <c r="F77" s="43">
        <v>3.829348</v>
      </c>
      <c r="G77" s="43">
        <v>3.5663040000000001</v>
      </c>
      <c r="H77" s="43">
        <v>1.026511</v>
      </c>
      <c r="I77" s="43">
        <v>0.99549549999999998</v>
      </c>
      <c r="J77" s="43">
        <v>1.010227</v>
      </c>
      <c r="K77" s="43">
        <v>0.99011280000000002</v>
      </c>
      <c r="L77" s="43">
        <v>2.5558139999999998</v>
      </c>
      <c r="M77" s="43">
        <v>82.769450000000006</v>
      </c>
      <c r="N77" s="43">
        <v>88.5255434782609</v>
      </c>
      <c r="O77" s="43">
        <v>5.5477173913043503</v>
      </c>
      <c r="P77" s="43">
        <v>1.4053329999999999</v>
      </c>
      <c r="Q77" s="43">
        <v>-855.09199999999998</v>
      </c>
      <c r="R77" s="43">
        <v>6.8219570000000003</v>
      </c>
      <c r="S77" s="43">
        <v>3323.7420000000002</v>
      </c>
      <c r="T77" s="43">
        <v>4.038805</v>
      </c>
      <c r="U77" s="43">
        <v>3.859381</v>
      </c>
      <c r="V77" s="43">
        <v>2704.3969999999999</v>
      </c>
      <c r="W77" s="43">
        <v>1.5549999999999999</v>
      </c>
      <c r="X77" s="43">
        <v>16239.51</v>
      </c>
      <c r="Y77" s="43">
        <v>1.2841720000000001</v>
      </c>
      <c r="Z77" s="43">
        <v>0.79936430000000003</v>
      </c>
      <c r="AA77" s="43">
        <v>1.0883400000000001</v>
      </c>
      <c r="AB77" s="43">
        <v>0.97838000000000003</v>
      </c>
      <c r="AC77" s="43">
        <v>84.285550000000001</v>
      </c>
      <c r="AD77" s="43">
        <v>1.2011499999999999</v>
      </c>
      <c r="AE77" s="43">
        <v>1.31864</v>
      </c>
      <c r="AF77" s="43">
        <v>1.4575199999999999</v>
      </c>
      <c r="AG77" s="43">
        <v>334.2826</v>
      </c>
      <c r="AH77" s="43">
        <v>132.2287</v>
      </c>
      <c r="AI77" s="43">
        <v>2.6653389999999999</v>
      </c>
      <c r="AJ77" s="43">
        <v>2.6195766666666702</v>
      </c>
      <c r="AK77" s="43">
        <v>26408.400000000001</v>
      </c>
      <c r="AM77" s="43">
        <v>2.9787617391304302</v>
      </c>
      <c r="AN77" s="43">
        <v>2.214753</v>
      </c>
      <c r="AO77" s="43">
        <v>2.57206836956522</v>
      </c>
      <c r="AP77" s="43">
        <v>3.5078147826086998</v>
      </c>
      <c r="AQ77" s="43">
        <v>3.6081059999999998</v>
      </c>
      <c r="AR77" s="43">
        <v>2.5753300000000001</v>
      </c>
      <c r="AS77" s="43">
        <v>2.3347099999999998</v>
      </c>
      <c r="AT77" s="43">
        <v>2.604298</v>
      </c>
      <c r="AU77" s="43">
        <v>2.740866</v>
      </c>
      <c r="AV77" s="43">
        <v>2185.91</v>
      </c>
      <c r="AW77" s="43">
        <v>1231.4390000000001</v>
      </c>
      <c r="AX77" s="43">
        <v>1.0779129999999999</v>
      </c>
      <c r="AY77" s="43">
        <v>1.536294</v>
      </c>
      <c r="AZ77" s="43">
        <v>265.78300000000002</v>
      </c>
      <c r="BA77" s="43">
        <v>0.73649290000000001</v>
      </c>
      <c r="BB77" s="43">
        <v>127</v>
      </c>
      <c r="BC77" s="43">
        <v>30.019570000000002</v>
      </c>
      <c r="BD77" s="43">
        <v>5.0999990000000004</v>
      </c>
      <c r="BE77" s="43">
        <v>1.2816669999999999</v>
      </c>
      <c r="BF77" s="43">
        <v>3.9716580000000001</v>
      </c>
      <c r="BG77" s="43">
        <v>3.75</v>
      </c>
      <c r="BH77" s="43">
        <v>3.1426959999999999</v>
      </c>
      <c r="BI77" s="43">
        <v>1.34</v>
      </c>
      <c r="BJ77" s="43">
        <v>1.274</v>
      </c>
      <c r="BK77" s="43">
        <v>114.4504</v>
      </c>
      <c r="BL77" s="43">
        <v>112.3917</v>
      </c>
      <c r="BM77" s="43">
        <v>1.048861</v>
      </c>
      <c r="BN77" s="43">
        <v>1.263385</v>
      </c>
      <c r="BO77" s="43">
        <v>38.881340000000002</v>
      </c>
      <c r="BP77" s="43">
        <v>1.3578890869565201</v>
      </c>
      <c r="BQ77" s="43">
        <v>2744.884</v>
      </c>
      <c r="BR77" s="43">
        <v>602.19332524833499</v>
      </c>
      <c r="BS77" s="43">
        <v>11723.6</v>
      </c>
      <c r="BT77" s="43">
        <v>6142.94</v>
      </c>
      <c r="BU77" s="43">
        <v>1.082543</v>
      </c>
      <c r="BV77" s="43">
        <v>1.208321</v>
      </c>
      <c r="BW77" s="43">
        <v>1.4834130000000001</v>
      </c>
      <c r="BX77" s="43">
        <v>1.020777</v>
      </c>
      <c r="BY77" s="43">
        <v>2.0576310000000002</v>
      </c>
      <c r="BZ77" s="43">
        <v>2.612196</v>
      </c>
      <c r="CA77" s="43">
        <v>-0.1908696</v>
      </c>
      <c r="CB77" s="43">
        <v>0.85306409999999999</v>
      </c>
      <c r="CC77" s="43">
        <v>10.73204</v>
      </c>
      <c r="CD77" s="43">
        <v>0.9528913</v>
      </c>
      <c r="CE77" s="43">
        <v>0.97761960000000003</v>
      </c>
      <c r="CF77" s="43">
        <v>1.036348</v>
      </c>
      <c r="CG77" s="43">
        <v>0.95599990000000001</v>
      </c>
      <c r="CH77" s="43">
        <v>0.98836950000000001</v>
      </c>
      <c r="CI77" s="43">
        <v>1.07925</v>
      </c>
      <c r="CJ77" s="43">
        <v>1.000348</v>
      </c>
      <c r="CK77" s="43">
        <v>1.1823330000000001</v>
      </c>
      <c r="CL77" s="43">
        <v>1.23</v>
      </c>
      <c r="CM77" s="43">
        <v>1.166336</v>
      </c>
      <c r="CN77" s="43">
        <v>1.1668000000000001</v>
      </c>
      <c r="CO77" s="43">
        <v>1.213662</v>
      </c>
      <c r="CP77" s="43">
        <v>0.98055219999999998</v>
      </c>
      <c r="CQ77" s="43">
        <v>1.2265109999999999</v>
      </c>
      <c r="CR77" s="43">
        <v>1.6415759999999999</v>
      </c>
      <c r="CS77" s="43">
        <v>87.039427625028694</v>
      </c>
      <c r="CT77" s="43">
        <v>63.050870000000003</v>
      </c>
      <c r="CU77" s="43">
        <v>23.917210000000001</v>
      </c>
      <c r="CV77" s="43">
        <v>24.205390046523402</v>
      </c>
      <c r="CW77" s="43">
        <v>1.459333</v>
      </c>
      <c r="CX77" s="43">
        <v>1.320667</v>
      </c>
      <c r="CY77" s="43">
        <v>1.552333</v>
      </c>
      <c r="CZ77" s="43">
        <v>1.34866666666667</v>
      </c>
      <c r="DA77" s="43">
        <v>1.2996666666666701</v>
      </c>
      <c r="DB77" s="43">
        <v>2.5451116496999999</v>
      </c>
      <c r="DC77" s="43">
        <v>1.00433333333333</v>
      </c>
      <c r="DD77" s="43">
        <v>1.1020000000000001</v>
      </c>
      <c r="DE77" s="43">
        <v>1.081</v>
      </c>
      <c r="DF77" s="43">
        <v>1.0429999999999999</v>
      </c>
      <c r="DG77" s="43">
        <v>1.069</v>
      </c>
      <c r="DH77" s="43">
        <v>1.081</v>
      </c>
      <c r="DI77" s="43">
        <v>1.085</v>
      </c>
      <c r="DJ77" s="43">
        <v>1.079</v>
      </c>
      <c r="DK77" s="43">
        <v>2.040333</v>
      </c>
      <c r="DL77" s="43">
        <v>1.757333</v>
      </c>
      <c r="DM77" s="43">
        <v>2.818667</v>
      </c>
      <c r="DN77" s="43">
        <v>1.42566666666667</v>
      </c>
      <c r="DO77" s="43">
        <v>2.4626670000000002</v>
      </c>
      <c r="DP77" s="43">
        <v>1.413667</v>
      </c>
      <c r="DQ77" s="43">
        <v>2.5023330000000001</v>
      </c>
      <c r="DR77" s="43">
        <v>1.600333</v>
      </c>
      <c r="DS77" s="43">
        <v>1.2243329999999999</v>
      </c>
      <c r="DT77" s="43">
        <v>1.3856666666666699</v>
      </c>
      <c r="DU77" s="43">
        <v>550.67139999999995</v>
      </c>
      <c r="DV77" s="43">
        <v>297.44909999999999</v>
      </c>
      <c r="DW77" s="43">
        <v>105.2978</v>
      </c>
      <c r="DX77" s="43">
        <v>1.0389999999999999</v>
      </c>
      <c r="DY77" s="43">
        <v>1.1909890000000001</v>
      </c>
      <c r="DZ77" s="43">
        <v>1.03</v>
      </c>
      <c r="EA77" s="43">
        <v>853.9479</v>
      </c>
      <c r="EB77" s="43">
        <v>141.29499999999999</v>
      </c>
      <c r="EC77" s="43">
        <v>1.166336</v>
      </c>
      <c r="ED77" s="43">
        <v>1.213662</v>
      </c>
      <c r="EE77" s="43">
        <v>1.320667</v>
      </c>
      <c r="EF77" s="43">
        <v>1.552333</v>
      </c>
      <c r="EG77" s="43">
        <v>1.459333</v>
      </c>
      <c r="EH77" s="43">
        <v>0.60937379203710595</v>
      </c>
      <c r="EI77" s="43">
        <v>0.25171849427168502</v>
      </c>
      <c r="EJ77" s="43">
        <v>28.834146144050798</v>
      </c>
      <c r="EK77" s="43">
        <v>16.361702127659498</v>
      </c>
      <c r="EL77" s="43">
        <v>0.72065061679267495</v>
      </c>
      <c r="EM77" s="43">
        <v>2658.0314731374601</v>
      </c>
      <c r="EN77" s="43">
        <v>661.82835963242701</v>
      </c>
      <c r="EO77" s="43">
        <v>98359.496865040797</v>
      </c>
      <c r="EP77" s="43">
        <v>66682.673850572697</v>
      </c>
      <c r="EQ77" s="43">
        <v>4743.6227887898403</v>
      </c>
      <c r="ER77" s="43">
        <v>1.92911665939188</v>
      </c>
      <c r="ES77" s="43">
        <v>2.0607649601083802</v>
      </c>
      <c r="ET77" s="43">
        <v>1.90218632918957</v>
      </c>
      <c r="EU77" s="43">
        <v>1.789344</v>
      </c>
      <c r="EV77" s="43">
        <v>1.70478</v>
      </c>
      <c r="EW77" s="43">
        <v>1.9764470000000001</v>
      </c>
      <c r="EX77" s="43">
        <v>1.692021</v>
      </c>
      <c r="EY77" s="43">
        <v>1.684893</v>
      </c>
      <c r="EZ77" s="43">
        <v>1.913673</v>
      </c>
      <c r="FA77" s="43">
        <v>13.6668575299976</v>
      </c>
      <c r="FB77" s="43">
        <v>12.621753792713699</v>
      </c>
      <c r="FC77" s="43">
        <v>54.954503961912103</v>
      </c>
      <c r="FD77" s="43">
        <v>14124.352942772201</v>
      </c>
      <c r="FE77" s="43">
        <v>123215.3</v>
      </c>
      <c r="FF77" s="43">
        <v>1.32334375</v>
      </c>
      <c r="FG77" s="43">
        <v>5.265466</v>
      </c>
      <c r="FH77" s="43">
        <v>916.53579999999999</v>
      </c>
      <c r="FI77" s="43">
        <v>15559.48</v>
      </c>
      <c r="FJ77" s="43">
        <v>7.1132350000000004</v>
      </c>
      <c r="FK77" s="43">
        <v>19.687080000000002</v>
      </c>
      <c r="FL77" s="43">
        <v>1.1979649999999999</v>
      </c>
      <c r="FM77" s="43">
        <v>1.1861090000000001</v>
      </c>
    </row>
    <row r="78" spans="1:169" x14ac:dyDescent="0.25">
      <c r="A78" s="43" t="s">
        <v>305</v>
      </c>
      <c r="B78" s="43">
        <v>22112.3</v>
      </c>
      <c r="C78" s="43">
        <v>15312.41</v>
      </c>
      <c r="D78" s="43">
        <v>3.013201</v>
      </c>
      <c r="E78" s="43">
        <v>4.5148890000000002</v>
      </c>
      <c r="F78" s="43">
        <v>3.6432220000000002</v>
      </c>
      <c r="G78" s="43">
        <v>3.496667</v>
      </c>
      <c r="H78" s="43">
        <v>1.025922</v>
      </c>
      <c r="I78" s="43">
        <v>0.99483160000000004</v>
      </c>
      <c r="J78" s="43">
        <v>1.0056419999999999</v>
      </c>
      <c r="K78" s="43">
        <v>0.99239560000000004</v>
      </c>
      <c r="L78" s="43">
        <v>2.5594169999999998</v>
      </c>
      <c r="M78" s="43">
        <v>76.051550000000006</v>
      </c>
      <c r="N78" s="43">
        <v>81.126111111111101</v>
      </c>
      <c r="O78" s="43">
        <v>2.6624444444444402</v>
      </c>
      <c r="P78" s="43">
        <v>1.3853329999999999</v>
      </c>
      <c r="Q78" s="43">
        <v>-799.27480000000003</v>
      </c>
      <c r="R78" s="43">
        <v>7.6848890000000001</v>
      </c>
      <c r="S78" s="43">
        <v>3327.44</v>
      </c>
      <c r="T78" s="43">
        <v>4.6258889999999999</v>
      </c>
      <c r="U78" s="43">
        <v>3.7623739999999999</v>
      </c>
      <c r="V78" s="43">
        <v>2610.1060000000002</v>
      </c>
      <c r="W78" s="43">
        <v>1.573</v>
      </c>
      <c r="X78" s="43">
        <v>16662.96</v>
      </c>
      <c r="Y78" s="43">
        <v>1.289407</v>
      </c>
      <c r="Z78" s="43">
        <v>0.79565509999999995</v>
      </c>
      <c r="AA78" s="43">
        <v>1.0861700000000001</v>
      </c>
      <c r="AB78" s="43">
        <v>0.97365999999999997</v>
      </c>
      <c r="AC78" s="43">
        <v>79.121780000000001</v>
      </c>
      <c r="AD78" s="43">
        <v>1.2126399999999999</v>
      </c>
      <c r="AE78" s="43">
        <v>1.34161</v>
      </c>
      <c r="AF78" s="43">
        <v>1.4481299999999999</v>
      </c>
      <c r="AG78" s="43">
        <v>334.64109999999999</v>
      </c>
      <c r="AH78" s="43">
        <v>132.47829999999999</v>
      </c>
      <c r="AI78" s="43">
        <v>2.6292800000000001</v>
      </c>
      <c r="AJ78" s="43">
        <v>2.5881666666666701</v>
      </c>
      <c r="AK78" s="43">
        <v>26813.599999999999</v>
      </c>
      <c r="AM78" s="43">
        <v>2.8649909999999998</v>
      </c>
      <c r="AN78" s="43">
        <v>1.6070469999999999</v>
      </c>
      <c r="AO78" s="43">
        <v>2.6582574444444398</v>
      </c>
      <c r="AP78" s="43">
        <v>3.2012114444444402</v>
      </c>
      <c r="AQ78" s="43">
        <v>3.5960640000000001</v>
      </c>
      <c r="AR78" s="43">
        <v>2.5555370000000002</v>
      </c>
      <c r="AS78" s="43">
        <v>2.3178719999999999</v>
      </c>
      <c r="AT78" s="43">
        <v>2.4381050000000002</v>
      </c>
      <c r="AU78" s="43">
        <v>2.6831399999999999</v>
      </c>
      <c r="AV78" s="43">
        <v>2200.0639999999999</v>
      </c>
      <c r="AW78" s="43">
        <v>1245.808</v>
      </c>
      <c r="AX78" s="43">
        <v>1.0880829999999999</v>
      </c>
      <c r="AY78" s="43">
        <v>1.5456890000000001</v>
      </c>
      <c r="AZ78" s="43">
        <v>220.226</v>
      </c>
      <c r="BA78" s="43">
        <v>0.73948340000000001</v>
      </c>
      <c r="BB78" s="43">
        <v>125.3</v>
      </c>
      <c r="BC78" s="43">
        <v>30.939330000000002</v>
      </c>
      <c r="BD78" s="43">
        <v>5</v>
      </c>
      <c r="BE78" s="43">
        <v>1.2656670000000001</v>
      </c>
      <c r="BF78" s="43">
        <v>4.389411</v>
      </c>
      <c r="BG78" s="43">
        <v>4.5</v>
      </c>
      <c r="BH78" s="43">
        <v>3.027622</v>
      </c>
      <c r="BI78" s="43">
        <v>1.339</v>
      </c>
      <c r="BJ78" s="43">
        <v>1.276</v>
      </c>
      <c r="BK78" s="43">
        <v>107.0047</v>
      </c>
      <c r="BL78" s="43">
        <v>102.85250000000001</v>
      </c>
      <c r="BM78" s="43">
        <v>1.0745659999999999</v>
      </c>
      <c r="BN78" s="43">
        <v>1.2514510000000001</v>
      </c>
      <c r="BO78" s="43">
        <v>38.984380000000002</v>
      </c>
      <c r="BP78" s="43">
        <v>1.35240454555556</v>
      </c>
      <c r="BQ78" s="43">
        <v>2771.3040000000001</v>
      </c>
      <c r="BR78" s="43">
        <v>590.36665320910004</v>
      </c>
      <c r="BS78" s="43">
        <v>11791.84</v>
      </c>
      <c r="BT78" s="43">
        <v>6180.1869999999999</v>
      </c>
      <c r="BU78" s="43">
        <v>1.0646439999999999</v>
      </c>
      <c r="BV78" s="43">
        <v>1.2128479999999999</v>
      </c>
      <c r="BW78" s="43">
        <v>1.4359</v>
      </c>
      <c r="BX78" s="43">
        <v>1.0727599999999999</v>
      </c>
      <c r="BY78" s="43">
        <v>2.2981560000000001</v>
      </c>
      <c r="BZ78" s="43">
        <v>2.8001330000000002</v>
      </c>
      <c r="CA78" s="43">
        <v>0.30282219999999999</v>
      </c>
      <c r="CB78" s="43">
        <v>0.82330210000000004</v>
      </c>
      <c r="CC78" s="43">
        <v>10.44862</v>
      </c>
      <c r="CD78" s="43">
        <v>0.96156660000000005</v>
      </c>
      <c r="CE78" s="43">
        <v>0.98004449999999999</v>
      </c>
      <c r="CF78" s="43">
        <v>1.0332779999999999</v>
      </c>
      <c r="CG78" s="43">
        <v>0.96</v>
      </c>
      <c r="CH78" s="43">
        <v>0.96666660000000004</v>
      </c>
      <c r="CI78" s="43">
        <v>1.0668439999999999</v>
      </c>
      <c r="CJ78" s="43">
        <v>1.0007999999999999</v>
      </c>
      <c r="CK78" s="43">
        <v>1.107667</v>
      </c>
      <c r="CL78" s="43">
        <v>1.2383329999999999</v>
      </c>
      <c r="CM78" s="43">
        <v>1.175667</v>
      </c>
      <c r="CN78" s="43">
        <v>1.1651670000000001</v>
      </c>
      <c r="CO78" s="43">
        <v>1.224343</v>
      </c>
      <c r="CP78" s="43">
        <v>0.9321855</v>
      </c>
      <c r="CQ78" s="43">
        <v>1.1817</v>
      </c>
      <c r="CR78" s="43">
        <v>2.7057609999999999</v>
      </c>
      <c r="CS78" s="43">
        <v>75.572891427252799</v>
      </c>
      <c r="CT78" s="43">
        <v>73.309250000000006</v>
      </c>
      <c r="CU78" s="43">
        <v>22.178439999999998</v>
      </c>
      <c r="CV78" s="43">
        <v>24.302211606709498</v>
      </c>
      <c r="CW78" s="43">
        <v>1.4066669999999999</v>
      </c>
      <c r="CX78" s="43">
        <v>1.3056669999999999</v>
      </c>
      <c r="CY78" s="43">
        <v>1.488</v>
      </c>
      <c r="CZ78" s="43">
        <v>1.3716666666666699</v>
      </c>
      <c r="DA78" s="43">
        <v>1.321</v>
      </c>
      <c r="DB78" s="43">
        <v>2.47188837162803</v>
      </c>
      <c r="DC78" s="43">
        <v>1.0176666666666701</v>
      </c>
      <c r="DD78" s="43">
        <v>1.091</v>
      </c>
      <c r="DE78" s="43">
        <v>1.07</v>
      </c>
      <c r="DF78" s="43">
        <v>1.0620000000000001</v>
      </c>
      <c r="DG78" s="43">
        <v>1.095</v>
      </c>
      <c r="DH78" s="43">
        <v>1.093</v>
      </c>
      <c r="DI78" s="43">
        <v>1.099</v>
      </c>
      <c r="DJ78" s="43">
        <v>1.099</v>
      </c>
      <c r="DK78" s="43">
        <v>1.726667</v>
      </c>
      <c r="DL78" s="43">
        <v>1.642333</v>
      </c>
      <c r="DM78" s="43">
        <v>2.4306670000000001</v>
      </c>
      <c r="DN78" s="43">
        <v>1.409</v>
      </c>
      <c r="DO78" s="43">
        <v>2.1143329999999998</v>
      </c>
      <c r="DP78" s="43">
        <v>1.373667</v>
      </c>
      <c r="DQ78" s="43">
        <v>1.8176669999999999</v>
      </c>
      <c r="DR78" s="43">
        <v>1.603</v>
      </c>
      <c r="DS78" s="43">
        <v>1.1583330000000001</v>
      </c>
      <c r="DT78" s="43">
        <v>1.3420000000000001</v>
      </c>
      <c r="DU78" s="43">
        <v>557.43029999999999</v>
      </c>
      <c r="DV78" s="43">
        <v>300.07</v>
      </c>
      <c r="DW78" s="43">
        <v>103.3289</v>
      </c>
      <c r="DX78" s="43">
        <v>1.0437890000000001</v>
      </c>
      <c r="DY78" s="43">
        <v>1.1973780000000001</v>
      </c>
      <c r="DZ78" s="43">
        <v>1.0409999999999999</v>
      </c>
      <c r="EA78" s="43">
        <v>863.77840000000003</v>
      </c>
      <c r="EB78" s="43">
        <v>132.3058</v>
      </c>
      <c r="EC78" s="43">
        <v>1.175667</v>
      </c>
      <c r="ED78" s="43">
        <v>1.224343</v>
      </c>
      <c r="EE78" s="43">
        <v>1.3056669999999999</v>
      </c>
      <c r="EF78" s="43">
        <v>1.488</v>
      </c>
      <c r="EG78" s="43">
        <v>1.4066669999999999</v>
      </c>
      <c r="EH78" s="43">
        <v>0.60176652493235105</v>
      </c>
      <c r="EI78" s="43">
        <v>0.248576104746317</v>
      </c>
      <c r="EJ78" s="43">
        <v>28.474188012733698</v>
      </c>
      <c r="EK78" s="43">
        <v>16.157446808510599</v>
      </c>
      <c r="EL78" s="43">
        <v>0.71165419816951503</v>
      </c>
      <c r="EM78" s="43">
        <v>2495.1868003101199</v>
      </c>
      <c r="EN78" s="43">
        <v>621.28135190080604</v>
      </c>
      <c r="EO78" s="43">
        <v>92333.488426719807</v>
      </c>
      <c r="EP78" s="43">
        <v>62597.3504387957</v>
      </c>
      <c r="EQ78" s="43">
        <v>4453.0040700637701</v>
      </c>
      <c r="ER78" s="43">
        <v>1.8673279870277499</v>
      </c>
      <c r="ES78" s="43">
        <v>1.9947596564271901</v>
      </c>
      <c r="ET78" s="43">
        <v>1.8412602222599499</v>
      </c>
      <c r="EU78" s="43">
        <v>1.769641</v>
      </c>
      <c r="EV78" s="43">
        <v>1.6953</v>
      </c>
      <c r="EW78" s="43">
        <v>1.9567000000000001</v>
      </c>
      <c r="EX78" s="43">
        <v>1.65801</v>
      </c>
      <c r="EY78" s="43">
        <v>1.6992370000000001</v>
      </c>
      <c r="EZ78" s="43">
        <v>1.817663</v>
      </c>
      <c r="FA78" s="43">
        <v>13.515523760855</v>
      </c>
      <c r="FB78" s="43">
        <v>12.475520886084899</v>
      </c>
      <c r="FC78" s="43">
        <v>53.849884989378999</v>
      </c>
      <c r="FD78" s="43">
        <v>14244.596603544</v>
      </c>
      <c r="FE78" s="43">
        <v>117033.60000000001</v>
      </c>
      <c r="FF78" s="43">
        <v>1.2987500000000001</v>
      </c>
      <c r="FG78" s="43">
        <v>5.1973710000000004</v>
      </c>
      <c r="FH78" s="43">
        <v>812.5222</v>
      </c>
      <c r="FI78" s="43">
        <v>15245.05</v>
      </c>
      <c r="FJ78" s="43">
        <v>6.844309</v>
      </c>
      <c r="FK78" s="43">
        <v>18.675339999999998</v>
      </c>
      <c r="FL78" s="43">
        <v>1.1546920000000001</v>
      </c>
      <c r="FM78" s="43">
        <v>1.145481</v>
      </c>
    </row>
    <row r="79" spans="1:169" x14ac:dyDescent="0.25">
      <c r="A79" s="43" t="s">
        <v>306</v>
      </c>
      <c r="B79" s="43">
        <v>22225.4</v>
      </c>
      <c r="C79" s="43">
        <v>15343.47</v>
      </c>
      <c r="D79" s="43">
        <v>3.0335040000000002</v>
      </c>
      <c r="E79" s="43">
        <v>4.9907690000000002</v>
      </c>
      <c r="F79" s="43">
        <v>3.5930770000000001</v>
      </c>
      <c r="G79" s="43">
        <v>3.5681319999999999</v>
      </c>
      <c r="H79" s="43">
        <v>1.027933</v>
      </c>
      <c r="I79" s="43">
        <v>0.99599780000000004</v>
      </c>
      <c r="J79" s="43">
        <v>1.0154540000000001</v>
      </c>
      <c r="K79" s="43">
        <v>0.98832129999999996</v>
      </c>
      <c r="L79" s="43">
        <v>2.5201289999999998</v>
      </c>
      <c r="M79" s="43">
        <v>73.736050000000006</v>
      </c>
      <c r="N79" s="43">
        <v>78.285384615384601</v>
      </c>
      <c r="O79" s="43">
        <v>2.1631868131868099</v>
      </c>
      <c r="P79" s="43">
        <v>1.449667</v>
      </c>
      <c r="Q79" s="43">
        <v>-808.49210000000005</v>
      </c>
      <c r="R79" s="43">
        <v>8.1607690000000002</v>
      </c>
      <c r="S79" s="43">
        <v>3335.4</v>
      </c>
      <c r="T79" s="43">
        <v>5.0740660000000002</v>
      </c>
      <c r="U79" s="43">
        <v>3.8067959999999998</v>
      </c>
      <c r="V79" s="43">
        <v>2604.5529999999999</v>
      </c>
      <c r="W79" s="43">
        <v>1.589</v>
      </c>
      <c r="X79" s="43">
        <v>16797.53</v>
      </c>
      <c r="Y79" s="43">
        <v>1.294392</v>
      </c>
      <c r="Z79" s="43">
        <v>0.79414609999999997</v>
      </c>
      <c r="AA79" s="43">
        <v>1.0956999999999999</v>
      </c>
      <c r="AB79" s="43">
        <v>0.98148000000000002</v>
      </c>
      <c r="AC79" s="43">
        <v>75.456379999999996</v>
      </c>
      <c r="AD79" s="43">
        <v>1.2178899999999999</v>
      </c>
      <c r="AE79" s="43">
        <v>1.3446400000000001</v>
      </c>
      <c r="AF79" s="43">
        <v>1.4449000000000001</v>
      </c>
      <c r="AG79" s="43">
        <v>334.96260000000001</v>
      </c>
      <c r="AH79" s="43">
        <v>132.7278</v>
      </c>
      <c r="AI79" s="43">
        <v>2.563015</v>
      </c>
      <c r="AJ79" s="43">
        <v>2.6740891450065298</v>
      </c>
      <c r="AK79" s="43">
        <v>27063.01</v>
      </c>
      <c r="AM79" s="43">
        <v>2.79115252747253</v>
      </c>
      <c r="AN79" s="43">
        <v>0.94886879999999996</v>
      </c>
      <c r="AO79" s="43">
        <v>2.6418012087912102</v>
      </c>
      <c r="AP79" s="43">
        <v>2.7938295604395602</v>
      </c>
      <c r="AQ79" s="43">
        <v>3.5539909999999999</v>
      </c>
      <c r="AR79" s="43">
        <v>2.5430820000000001</v>
      </c>
      <c r="AS79" s="43">
        <v>2.1727300000000001</v>
      </c>
      <c r="AT79" s="43">
        <v>2.2737029999999998</v>
      </c>
      <c r="AU79" s="43">
        <v>2.641502</v>
      </c>
      <c r="AV79" s="43">
        <v>2198.9839999999999</v>
      </c>
      <c r="AW79" s="43">
        <v>1246.4490000000001</v>
      </c>
      <c r="AX79" s="43">
        <v>1.0951679999999999</v>
      </c>
      <c r="AY79" s="43">
        <v>1.568681</v>
      </c>
      <c r="AZ79" s="43">
        <v>243.61699999999999</v>
      </c>
      <c r="BA79" s="43">
        <v>0.74440379999999995</v>
      </c>
      <c r="BB79" s="43">
        <v>127.3</v>
      </c>
      <c r="BC79" s="43">
        <v>31.30198</v>
      </c>
      <c r="BD79" s="43">
        <v>5.2</v>
      </c>
      <c r="BE79" s="43">
        <v>1.251333</v>
      </c>
      <c r="BF79" s="43">
        <v>4.55844</v>
      </c>
      <c r="BG79" s="43">
        <v>4.7275289999999996</v>
      </c>
      <c r="BH79" s="43">
        <v>3.0861100000000001</v>
      </c>
      <c r="BI79" s="43">
        <v>1.347</v>
      </c>
      <c r="BJ79" s="43">
        <v>1.2849999999999999</v>
      </c>
      <c r="BK79" s="43">
        <v>101.37050000000001</v>
      </c>
      <c r="BL79" s="43">
        <v>99.059349999999995</v>
      </c>
      <c r="BM79" s="43">
        <v>1.083026</v>
      </c>
      <c r="BN79" s="43">
        <v>1.257125</v>
      </c>
      <c r="BO79" s="43">
        <v>39.087690000000002</v>
      </c>
      <c r="BP79" s="43">
        <v>1.34343186813187</v>
      </c>
      <c r="BQ79" s="43">
        <v>2804.0479999999998</v>
      </c>
      <c r="BR79" s="43">
        <v>580.57185304652899</v>
      </c>
      <c r="BS79" s="43">
        <v>11807.48</v>
      </c>
      <c r="BT79" s="43">
        <v>6181.1850000000004</v>
      </c>
      <c r="BU79" s="43">
        <v>1.0516810000000001</v>
      </c>
      <c r="BV79" s="43">
        <v>1.232456</v>
      </c>
      <c r="BW79" s="43">
        <v>1.3642749999999999</v>
      </c>
      <c r="BX79" s="43">
        <v>1.0884640000000001</v>
      </c>
      <c r="BY79" s="43">
        <v>2.3130989999999998</v>
      </c>
      <c r="BZ79" s="43">
        <v>2.830549</v>
      </c>
      <c r="CA79" s="43">
        <v>0.62470329999999996</v>
      </c>
      <c r="CB79" s="43">
        <v>0.79908789999999996</v>
      </c>
      <c r="CC79" s="43">
        <v>10.52998</v>
      </c>
      <c r="CD79" s="43">
        <v>0.94970330000000003</v>
      </c>
      <c r="CE79" s="43">
        <v>0.98973630000000001</v>
      </c>
      <c r="CF79" s="43">
        <v>1.0203739999999999</v>
      </c>
      <c r="CG79" s="43">
        <v>0.94099999999999995</v>
      </c>
      <c r="CH79" s="43">
        <v>0.96885710000000003</v>
      </c>
      <c r="CI79" s="43">
        <v>1.0629999999999999</v>
      </c>
      <c r="CJ79" s="43">
        <v>0.98737370000000002</v>
      </c>
      <c r="CK79" s="43">
        <v>1.141667</v>
      </c>
      <c r="CL79" s="43">
        <v>1.2583329999999999</v>
      </c>
      <c r="CM79" s="43">
        <v>1.186248</v>
      </c>
      <c r="CN79" s="43">
        <v>1.1960329999999999</v>
      </c>
      <c r="CO79" s="43">
        <v>1.236464</v>
      </c>
      <c r="CP79" s="43">
        <v>0.91874719999999999</v>
      </c>
      <c r="CQ79" s="43">
        <v>1.1310880000000001</v>
      </c>
      <c r="CR79" s="43">
        <v>3.1974840000000002</v>
      </c>
      <c r="CS79" s="43">
        <v>71.798318908410593</v>
      </c>
      <c r="CT79" s="43">
        <v>81.173159999999996</v>
      </c>
      <c r="CU79" s="43">
        <v>21.665649999999999</v>
      </c>
      <c r="CV79" s="43">
        <v>24.399420453136301</v>
      </c>
      <c r="CW79" s="43">
        <v>1.352333</v>
      </c>
      <c r="CX79" s="43">
        <v>1.2669999999999999</v>
      </c>
      <c r="CY79" s="43">
        <v>1.457667</v>
      </c>
      <c r="CZ79" s="43">
        <v>1.32033333333333</v>
      </c>
      <c r="DA79" s="43">
        <v>1.2893333333333299</v>
      </c>
      <c r="DB79" s="43">
        <v>2.3905989580983098</v>
      </c>
      <c r="DC79" s="43">
        <v>1.1140000000000001</v>
      </c>
      <c r="DD79" s="43">
        <v>1.103</v>
      </c>
      <c r="DE79" s="43">
        <v>1.1080000000000001</v>
      </c>
      <c r="DF79" s="43">
        <v>1.077</v>
      </c>
      <c r="DG79" s="43">
        <v>1.099</v>
      </c>
      <c r="DH79" s="43">
        <v>1.115</v>
      </c>
      <c r="DI79" s="43">
        <v>1.129</v>
      </c>
      <c r="DJ79" s="43">
        <v>1.119</v>
      </c>
      <c r="DK79" s="43">
        <v>1.401667</v>
      </c>
      <c r="DL79" s="43">
        <v>1.556</v>
      </c>
      <c r="DM79" s="43">
        <v>2.1930000000000001</v>
      </c>
      <c r="DN79" s="43">
        <v>1.35666666666667</v>
      </c>
      <c r="DO79" s="43">
        <v>1.8839999999999999</v>
      </c>
      <c r="DP79" s="43">
        <v>1.3273330000000001</v>
      </c>
      <c r="DQ79" s="43">
        <v>1.461333</v>
      </c>
      <c r="DR79" s="43">
        <v>1.5740000000000001</v>
      </c>
      <c r="DS79" s="43">
        <v>1.071</v>
      </c>
      <c r="DT79" s="43">
        <v>1.2836666666666701</v>
      </c>
      <c r="DU79" s="43">
        <v>562.33799999999997</v>
      </c>
      <c r="DV79" s="43">
        <v>298.20330000000001</v>
      </c>
      <c r="DW79" s="43">
        <v>104.7824</v>
      </c>
      <c r="DX79" s="43">
        <v>1.0513300000000001</v>
      </c>
      <c r="DY79" s="43">
        <v>1.195308</v>
      </c>
      <c r="DZ79" s="43">
        <v>1.0580000000000001</v>
      </c>
      <c r="EA79" s="43">
        <v>818.24839999999995</v>
      </c>
      <c r="EB79" s="43">
        <v>137.3503</v>
      </c>
      <c r="EC79" s="43">
        <v>1.186248</v>
      </c>
      <c r="ED79" s="43">
        <v>1.236464</v>
      </c>
      <c r="EE79" s="43">
        <v>1.2669999999999999</v>
      </c>
      <c r="EF79" s="43">
        <v>1.457667</v>
      </c>
      <c r="EG79" s="43">
        <v>1.352333</v>
      </c>
      <c r="EH79" s="43">
        <v>0.59495168148434396</v>
      </c>
      <c r="EI79" s="43">
        <v>0.24576104746317501</v>
      </c>
      <c r="EJ79" s="43">
        <v>28.1517255200955</v>
      </c>
      <c r="EK79" s="43">
        <v>15.9744680851064</v>
      </c>
      <c r="EL79" s="43">
        <v>0.70359490648626999</v>
      </c>
      <c r="EM79" s="43">
        <v>2379.5945030531898</v>
      </c>
      <c r="EN79" s="43">
        <v>592.49980388196502</v>
      </c>
      <c r="EO79" s="43">
        <v>88056.037119401197</v>
      </c>
      <c r="EP79" s="43">
        <v>59697.458719859802</v>
      </c>
      <c r="EQ79" s="43">
        <v>4246.7137153339499</v>
      </c>
      <c r="ER79" s="43">
        <v>1.77418266557719</v>
      </c>
      <c r="ES79" s="43">
        <v>1.8952578384791501</v>
      </c>
      <c r="ET79" s="43">
        <v>1.74941520281614</v>
      </c>
      <c r="EU79" s="43">
        <v>1.753808</v>
      </c>
      <c r="EV79" s="43">
        <v>1.683578</v>
      </c>
      <c r="EW79" s="43">
        <v>1.936415</v>
      </c>
      <c r="EX79" s="43">
        <v>1.5914109999999999</v>
      </c>
      <c r="EY79" s="43">
        <v>1.6873940000000001</v>
      </c>
      <c r="EZ79" s="43">
        <v>1.7532760000000001</v>
      </c>
      <c r="FA79" s="43">
        <v>13.3939066175862</v>
      </c>
      <c r="FB79" s="43">
        <v>12.0209251106788</v>
      </c>
      <c r="FC79" s="43">
        <v>51.6868366616985</v>
      </c>
      <c r="FD79" s="43">
        <v>14145.320913806399</v>
      </c>
      <c r="FE79" s="43">
        <v>112887.9</v>
      </c>
      <c r="FF79" s="43">
        <v>1.29575</v>
      </c>
      <c r="FG79" s="43">
        <v>4.9523229999999998</v>
      </c>
      <c r="FH79" s="43">
        <v>800.92330000000004</v>
      </c>
      <c r="FI79" s="43">
        <v>14893</v>
      </c>
      <c r="FJ79" s="43">
        <v>7.0103650000000002</v>
      </c>
      <c r="FK79" s="43">
        <v>17.691600000000001</v>
      </c>
      <c r="FL79" s="43">
        <v>1.145567</v>
      </c>
      <c r="FM79" s="43">
        <v>1.1374899999999999</v>
      </c>
    </row>
    <row r="80" spans="1:169" x14ac:dyDescent="0.25">
      <c r="A80" s="43" t="s">
        <v>307</v>
      </c>
      <c r="B80" s="43">
        <v>22490.7</v>
      </c>
      <c r="C80" s="43">
        <v>15460.99</v>
      </c>
      <c r="D80" s="43">
        <v>3.0601690000000001</v>
      </c>
      <c r="E80" s="43">
        <v>5.259239</v>
      </c>
      <c r="F80" s="43">
        <v>4.1475</v>
      </c>
      <c r="G80" s="43">
        <v>3.6989130000000001</v>
      </c>
      <c r="H80" s="43">
        <v>1.0325439999999999</v>
      </c>
      <c r="I80" s="43">
        <v>0.99534060000000002</v>
      </c>
      <c r="J80" s="43">
        <v>1.0188900000000001</v>
      </c>
      <c r="K80" s="43">
        <v>0.98353270000000004</v>
      </c>
      <c r="L80" s="43">
        <v>2.5623800000000001</v>
      </c>
      <c r="M80" s="43">
        <v>82.219130000000007</v>
      </c>
      <c r="N80" s="43">
        <v>86.583260869565194</v>
      </c>
      <c r="O80" s="43">
        <v>2.5894565217391299</v>
      </c>
      <c r="P80" s="43">
        <v>1.3673329999999999</v>
      </c>
      <c r="Q80" s="43">
        <v>-732.43589999999995</v>
      </c>
      <c r="R80" s="43">
        <v>8.4292390000000008</v>
      </c>
      <c r="S80" s="43">
        <v>3367.2040000000002</v>
      </c>
      <c r="T80" s="43">
        <v>5.2896739999999998</v>
      </c>
      <c r="U80" s="43">
        <v>4.1737989999999998</v>
      </c>
      <c r="V80" s="43">
        <v>2671.79</v>
      </c>
      <c r="W80" s="43">
        <v>1.605</v>
      </c>
      <c r="X80" s="43">
        <v>16809.22</v>
      </c>
      <c r="Y80" s="43">
        <v>1.298926</v>
      </c>
      <c r="Z80" s="43">
        <v>0.79492149999999995</v>
      </c>
      <c r="AA80" s="43">
        <v>1.10877</v>
      </c>
      <c r="AB80" s="43">
        <v>0.97962000000000005</v>
      </c>
      <c r="AC80" s="43">
        <v>79.834350000000001</v>
      </c>
      <c r="AD80" s="43">
        <v>1.2279199999999999</v>
      </c>
      <c r="AE80" s="43">
        <v>1.3366800000000001</v>
      </c>
      <c r="AF80" s="43">
        <v>1.4619500000000001</v>
      </c>
      <c r="AG80" s="43">
        <v>335.42829999999998</v>
      </c>
      <c r="AH80" s="43">
        <v>132.97739999999999</v>
      </c>
      <c r="AI80" s="43">
        <v>2.5736840000000001</v>
      </c>
      <c r="AJ80" s="43">
        <v>2.6142960759837899</v>
      </c>
      <c r="AK80" s="43">
        <v>27610.13</v>
      </c>
      <c r="AM80" s="43">
        <v>2.7932158695652198</v>
      </c>
      <c r="AN80" s="43">
        <v>1.1559060000000001</v>
      </c>
      <c r="AO80" s="43">
        <v>2.6666988043478299</v>
      </c>
      <c r="AP80" s="43">
        <v>3.1159977173912998</v>
      </c>
      <c r="AQ80" s="43">
        <v>3.4659390000000001</v>
      </c>
      <c r="AR80" s="43">
        <v>2.5132940000000001</v>
      </c>
      <c r="AS80" s="43">
        <v>2.3059669999999999</v>
      </c>
      <c r="AT80" s="43">
        <v>2.4435099999999998</v>
      </c>
      <c r="AU80" s="43">
        <v>2.6371790000000002</v>
      </c>
      <c r="AV80" s="43">
        <v>2195.6779999999999</v>
      </c>
      <c r="AW80" s="43">
        <v>1246.0429999999999</v>
      </c>
      <c r="AX80" s="43">
        <v>1.0902529999999999</v>
      </c>
      <c r="AY80" s="43">
        <v>1.5843259999999999</v>
      </c>
      <c r="AZ80" s="43">
        <v>223.8725</v>
      </c>
      <c r="BA80" s="43">
        <v>0.74533780000000005</v>
      </c>
      <c r="BB80" s="43">
        <v>129.839</v>
      </c>
      <c r="BC80" s="43">
        <v>30.355319999999999</v>
      </c>
      <c r="BD80" s="43">
        <v>5.5</v>
      </c>
      <c r="BE80" s="43">
        <v>1.259333</v>
      </c>
      <c r="BF80" s="43">
        <v>5.0085220000000001</v>
      </c>
      <c r="BG80" s="43">
        <v>5</v>
      </c>
      <c r="BH80" s="43">
        <v>3.5872609999999998</v>
      </c>
      <c r="BI80" s="43">
        <v>1.3581399999999999</v>
      </c>
      <c r="BJ80" s="43">
        <v>1.2932380000000001</v>
      </c>
      <c r="BK80" s="43">
        <v>107.1116</v>
      </c>
      <c r="BL80" s="43">
        <v>110.3112</v>
      </c>
      <c r="BM80" s="43">
        <v>1.0685100000000001</v>
      </c>
      <c r="BN80" s="43">
        <v>1.2466919999999999</v>
      </c>
      <c r="BO80" s="43">
        <v>39.191270000000003</v>
      </c>
      <c r="BP80" s="43">
        <v>1.34181753623188</v>
      </c>
      <c r="BQ80" s="43">
        <v>2827.98</v>
      </c>
      <c r="BR80" s="43">
        <v>587.23807111665496</v>
      </c>
      <c r="BS80" s="43">
        <v>11792.94</v>
      </c>
      <c r="BT80" s="43">
        <v>6198.0360000000001</v>
      </c>
      <c r="BU80" s="43">
        <v>1.037717</v>
      </c>
      <c r="BV80" s="43">
        <v>1.239347</v>
      </c>
      <c r="BW80" s="43">
        <v>1.3559129999999999</v>
      </c>
      <c r="BX80" s="43">
        <v>1.088168</v>
      </c>
      <c r="BY80" s="43">
        <v>2.5222829999999998</v>
      </c>
      <c r="BZ80" s="43">
        <v>2.9981520000000002</v>
      </c>
      <c r="CA80" s="43">
        <v>0.99806519999999999</v>
      </c>
      <c r="CB80" s="43">
        <v>0.79013480000000003</v>
      </c>
      <c r="CC80" s="43">
        <v>10.82133</v>
      </c>
      <c r="CD80" s="43">
        <v>0.9284348</v>
      </c>
      <c r="CE80" s="43">
        <v>0.99170659999999999</v>
      </c>
      <c r="CF80" s="43">
        <v>1.021326</v>
      </c>
      <c r="CG80" s="43">
        <v>0.92733330000000003</v>
      </c>
      <c r="CH80" s="43">
        <v>0.95002180000000003</v>
      </c>
      <c r="CI80" s="43">
        <v>1.062783</v>
      </c>
      <c r="CJ80" s="43">
        <v>0.97509780000000001</v>
      </c>
      <c r="CK80" s="43">
        <v>1.1593329999999999</v>
      </c>
      <c r="CL80" s="43">
        <v>1.2709999999999999</v>
      </c>
      <c r="CM80" s="43">
        <v>1.195738</v>
      </c>
      <c r="CN80" s="43">
        <v>1.2024999999999999</v>
      </c>
      <c r="CO80" s="43">
        <v>1.247344</v>
      </c>
      <c r="CP80" s="43">
        <v>0.9191587</v>
      </c>
      <c r="CQ80" s="43">
        <v>1.129739</v>
      </c>
      <c r="CR80" s="43">
        <v>3.7498969999999998</v>
      </c>
      <c r="CS80" s="43">
        <v>79.5120377433378</v>
      </c>
      <c r="CT80" s="43">
        <v>94.374769999999998</v>
      </c>
      <c r="CU80" s="43">
        <v>22.180820000000001</v>
      </c>
      <c r="CV80" s="43">
        <v>24.3750210326832</v>
      </c>
      <c r="CW80" s="43">
        <v>1.341</v>
      </c>
      <c r="CX80" s="43">
        <v>1.2616670000000001</v>
      </c>
      <c r="CY80" s="43">
        <v>1.4563330000000001</v>
      </c>
      <c r="CZ80" s="43">
        <v>1.3036666666666701</v>
      </c>
      <c r="DA80" s="43">
        <v>1.2916666666666701</v>
      </c>
      <c r="DB80" s="43">
        <v>2.4398885946912801</v>
      </c>
      <c r="DC80" s="43">
        <v>1.08633333333333</v>
      </c>
      <c r="DD80" s="43">
        <v>1.115</v>
      </c>
      <c r="DE80" s="43">
        <v>1.1040000000000001</v>
      </c>
      <c r="DF80" s="43">
        <v>1.087</v>
      </c>
      <c r="DG80" s="43">
        <v>1.109</v>
      </c>
      <c r="DH80" s="43">
        <v>1.1319999999999999</v>
      </c>
      <c r="DI80" s="43">
        <v>1.133</v>
      </c>
      <c r="DJ80" s="43">
        <v>1.137</v>
      </c>
      <c r="DK80" s="43">
        <v>1.4059999999999999</v>
      </c>
      <c r="DL80" s="43">
        <v>1.506</v>
      </c>
      <c r="DM80" s="43">
        <v>2.1110000000000002</v>
      </c>
      <c r="DN80" s="43">
        <v>1.31233333333333</v>
      </c>
      <c r="DO80" s="43">
        <v>1.923</v>
      </c>
      <c r="DP80" s="43">
        <v>1.2973330000000001</v>
      </c>
      <c r="DQ80" s="43">
        <v>1.1386670000000001</v>
      </c>
      <c r="DR80" s="43">
        <v>1.570333</v>
      </c>
      <c r="DS80" s="43">
        <v>1.145667</v>
      </c>
      <c r="DT80" s="43">
        <v>1.22766666666667</v>
      </c>
      <c r="DU80" s="43">
        <v>558.24030000000005</v>
      </c>
      <c r="DV80" s="43">
        <v>297.75409999999999</v>
      </c>
      <c r="DW80" s="43">
        <v>103.49890000000001</v>
      </c>
      <c r="DX80" s="43">
        <v>1.059304</v>
      </c>
      <c r="DY80" s="43">
        <v>1.196337</v>
      </c>
      <c r="DZ80" s="43">
        <v>1.0660000000000001</v>
      </c>
      <c r="EA80" s="43">
        <v>800.11360000000002</v>
      </c>
      <c r="EB80" s="43">
        <v>144.5633</v>
      </c>
      <c r="EC80" s="43">
        <v>1.195738</v>
      </c>
      <c r="ED80" s="43">
        <v>1.247344</v>
      </c>
      <c r="EE80" s="43">
        <v>1.2616670000000001</v>
      </c>
      <c r="EF80" s="43">
        <v>1.4563330000000001</v>
      </c>
      <c r="EG80" s="43">
        <v>1.341</v>
      </c>
      <c r="EH80" s="43">
        <v>0.59875531503672097</v>
      </c>
      <c r="EI80" s="43">
        <v>0.24733224222585901</v>
      </c>
      <c r="EJ80" s="43">
        <v>28.3317045857541</v>
      </c>
      <c r="EK80" s="43">
        <v>16.076595744680802</v>
      </c>
      <c r="EL80" s="43">
        <v>0.70809311579784995</v>
      </c>
      <c r="EM80" s="43">
        <v>2517.6584311148699</v>
      </c>
      <c r="EN80" s="43">
        <v>626.87660639800595</v>
      </c>
      <c r="EO80" s="43">
        <v>93165.043027193693</v>
      </c>
      <c r="EP80" s="43">
        <v>63161.101636999003</v>
      </c>
      <c r="EQ80" s="43">
        <v>4493.1077863154196</v>
      </c>
      <c r="ER80" s="43">
        <v>1.7633082337730701</v>
      </c>
      <c r="ES80" s="43">
        <v>1.88364130512234</v>
      </c>
      <c r="ET80" s="43">
        <v>1.7386925773000601</v>
      </c>
      <c r="EU80" s="43">
        <v>1.7076359999999999</v>
      </c>
      <c r="EV80" s="43">
        <v>1.645545</v>
      </c>
      <c r="EW80" s="43">
        <v>1.873203</v>
      </c>
      <c r="EX80" s="43">
        <v>1.561938</v>
      </c>
      <c r="EY80" s="43">
        <v>1.6852009999999999</v>
      </c>
      <c r="EZ80" s="43">
        <v>1.788063</v>
      </c>
      <c r="FA80" s="43">
        <v>13.0392715776735</v>
      </c>
      <c r="FB80" s="43">
        <v>11.7004316622467</v>
      </c>
      <c r="FC80" s="43">
        <v>50.7296074158862</v>
      </c>
      <c r="FD80" s="43">
        <v>14126.936495013801</v>
      </c>
      <c r="FE80" s="43">
        <v>115127.7</v>
      </c>
      <c r="FF80" s="43">
        <v>1.2945</v>
      </c>
      <c r="FG80" s="43">
        <v>4.8834669999999996</v>
      </c>
      <c r="FH80" s="43">
        <v>852.15200000000004</v>
      </c>
      <c r="FI80" s="43">
        <v>15236.21</v>
      </c>
      <c r="FJ80" s="43">
        <v>7.2387499999999996</v>
      </c>
      <c r="FK80" s="43">
        <v>17.067630000000001</v>
      </c>
      <c r="FL80" s="43">
        <v>1.1502330000000001</v>
      </c>
      <c r="FM80" s="43">
        <v>1.1402350000000001</v>
      </c>
    </row>
    <row r="81" spans="1:169" x14ac:dyDescent="0.25">
      <c r="A81" s="43" t="s">
        <v>308</v>
      </c>
      <c r="B81" s="43">
        <v>22672.9</v>
      </c>
      <c r="C81" s="43">
        <v>15569.92</v>
      </c>
      <c r="D81" s="43">
        <v>3.0813100000000002</v>
      </c>
      <c r="E81" s="43">
        <v>5.33</v>
      </c>
      <c r="F81" s="43">
        <v>4.4393479999999998</v>
      </c>
      <c r="G81" s="43">
        <v>3.7336960000000001</v>
      </c>
      <c r="H81" s="43">
        <v>1.024581</v>
      </c>
      <c r="I81" s="43">
        <v>0.98975860000000004</v>
      </c>
      <c r="J81" s="43">
        <v>1.007522</v>
      </c>
      <c r="K81" s="43">
        <v>0.98288089999999995</v>
      </c>
      <c r="L81" s="43">
        <v>2.5425819999999999</v>
      </c>
      <c r="M81" s="43">
        <v>78.417820000000006</v>
      </c>
      <c r="N81" s="43">
        <v>83.731847826087005</v>
      </c>
      <c r="O81" s="43">
        <v>2.7369565217391298</v>
      </c>
      <c r="P81" s="43">
        <v>1.3710990000000001</v>
      </c>
      <c r="Q81" s="43">
        <v>-752.18309999999997</v>
      </c>
      <c r="R81" s="43">
        <v>8.4999990000000007</v>
      </c>
      <c r="S81" s="43">
        <v>3395.502</v>
      </c>
      <c r="T81" s="43">
        <v>5.2834779999999997</v>
      </c>
      <c r="U81" s="43">
        <v>4.6424240000000001</v>
      </c>
      <c r="V81" s="43">
        <v>2680.8420000000001</v>
      </c>
      <c r="W81" s="43">
        <v>1.619</v>
      </c>
      <c r="X81" s="43">
        <v>16914.36</v>
      </c>
      <c r="Y81" s="43">
        <v>1.3030870000000001</v>
      </c>
      <c r="Z81" s="43">
        <v>0.78627199999999997</v>
      </c>
      <c r="AA81" s="43">
        <v>1.11758</v>
      </c>
      <c r="AB81" s="43">
        <v>0.98531000000000002</v>
      </c>
      <c r="AC81" s="43">
        <v>81.578800000000001</v>
      </c>
      <c r="AD81" s="43">
        <v>1.2400230000000001</v>
      </c>
      <c r="AE81" s="43">
        <v>1.3604579999999999</v>
      </c>
      <c r="AF81" s="43">
        <v>1.484715</v>
      </c>
      <c r="AG81" s="43">
        <v>335.92259999999999</v>
      </c>
      <c r="AH81" s="43">
        <v>133.2269</v>
      </c>
      <c r="AI81" s="43">
        <v>2.5618080000000001</v>
      </c>
      <c r="AJ81" s="43">
        <v>2.6103583467965001</v>
      </c>
      <c r="AK81" s="43">
        <v>27957</v>
      </c>
      <c r="AM81" s="43">
        <v>2.79529695652174</v>
      </c>
      <c r="AN81" s="43">
        <v>1.1796340000000001</v>
      </c>
      <c r="AO81" s="43">
        <v>2.7109320652173898</v>
      </c>
      <c r="AP81" s="43">
        <v>2.8963028260869601</v>
      </c>
      <c r="AQ81" s="43">
        <v>3.4541249999999999</v>
      </c>
      <c r="AR81" s="43">
        <v>2.5124119999999999</v>
      </c>
      <c r="AS81" s="43">
        <v>2.2042060000000001</v>
      </c>
      <c r="AT81" s="43">
        <v>2.2926489999999999</v>
      </c>
      <c r="AU81" s="43">
        <v>2.6510400000000001</v>
      </c>
      <c r="AV81" s="43">
        <v>2210.8890000000001</v>
      </c>
      <c r="AW81" s="43">
        <v>1255.6210000000001</v>
      </c>
      <c r="AX81" s="43">
        <v>1.0854539999999999</v>
      </c>
      <c r="AY81" s="43">
        <v>1.5856410000000001</v>
      </c>
      <c r="AZ81" s="43">
        <v>226.89340000000001</v>
      </c>
      <c r="BA81" s="43">
        <v>0.73482829999999999</v>
      </c>
      <c r="BB81" s="43">
        <v>135.946</v>
      </c>
      <c r="BC81" s="43">
        <v>30.21</v>
      </c>
      <c r="BD81" s="43">
        <v>5.7663039999999999</v>
      </c>
      <c r="BE81" s="43">
        <v>1.2555000000000001</v>
      </c>
      <c r="BF81" s="43">
        <v>5.0018209999999996</v>
      </c>
      <c r="BG81" s="43">
        <v>5</v>
      </c>
      <c r="BH81" s="43">
        <v>3.6601520000000001</v>
      </c>
      <c r="BI81" s="43">
        <v>1.358252</v>
      </c>
      <c r="BJ81" s="43">
        <v>1.2918050000000001</v>
      </c>
      <c r="BK81" s="43">
        <v>111.0175</v>
      </c>
      <c r="BL81" s="43">
        <v>106.7159</v>
      </c>
      <c r="BM81" s="43">
        <v>1.0572079999999999</v>
      </c>
      <c r="BN81" s="43">
        <v>1.2521409999999999</v>
      </c>
      <c r="BO81" s="43">
        <v>39.29513</v>
      </c>
      <c r="BP81" s="43">
        <v>1.36100859891304</v>
      </c>
      <c r="BQ81" s="43">
        <v>2847.9989999999998</v>
      </c>
      <c r="BR81" s="43">
        <v>585.08292607992996</v>
      </c>
      <c r="BS81" s="43">
        <v>11796.54</v>
      </c>
      <c r="BT81" s="43">
        <v>6199.585</v>
      </c>
      <c r="BU81" s="43">
        <v>1.0245249999999999</v>
      </c>
      <c r="BV81" s="43">
        <v>1.2414989999999999</v>
      </c>
      <c r="BW81" s="43">
        <v>1.3593150000000001</v>
      </c>
      <c r="BX81" s="43">
        <v>1.0761160000000001</v>
      </c>
      <c r="BY81" s="43">
        <v>2.464413</v>
      </c>
      <c r="BZ81" s="43">
        <v>2.9591310000000002</v>
      </c>
      <c r="CA81" s="43">
        <v>1.149848</v>
      </c>
      <c r="CB81" s="43">
        <v>0.80564340000000001</v>
      </c>
      <c r="CC81" s="43">
        <v>10.65813</v>
      </c>
      <c r="CD81" s="43">
        <v>0.91463039999999995</v>
      </c>
      <c r="CE81" s="43">
        <v>0.98935870000000004</v>
      </c>
      <c r="CF81" s="43">
        <v>1.016087</v>
      </c>
      <c r="CG81" s="43">
        <v>0.97383699999999995</v>
      </c>
      <c r="CH81" s="43">
        <v>0.92030440000000002</v>
      </c>
      <c r="CI81" s="43">
        <v>1.0653589999999999</v>
      </c>
      <c r="CJ81" s="43">
        <v>0.96752170000000004</v>
      </c>
      <c r="CK81" s="43">
        <v>1.1215757892970299</v>
      </c>
      <c r="CL81" s="43">
        <v>1.2669999999999999</v>
      </c>
      <c r="CM81" s="43">
        <v>1.204108</v>
      </c>
      <c r="CN81" s="43">
        <v>1.195333</v>
      </c>
      <c r="CO81" s="43">
        <v>1.2569490000000001</v>
      </c>
      <c r="CP81" s="43">
        <v>0.92944459999999995</v>
      </c>
      <c r="CQ81" s="43">
        <v>1.144377</v>
      </c>
      <c r="CR81" s="43">
        <v>3.9144670000000001</v>
      </c>
      <c r="CS81" s="43">
        <v>77.840621939909994</v>
      </c>
      <c r="CT81" s="43">
        <v>92.970240000000004</v>
      </c>
      <c r="CU81" s="43">
        <v>22.787030000000001</v>
      </c>
      <c r="CV81" s="43">
        <v>24.3506460116505</v>
      </c>
      <c r="CW81" s="43">
        <v>1.336333</v>
      </c>
      <c r="CX81" s="43">
        <v>1.2509999999999999</v>
      </c>
      <c r="CY81" s="43">
        <v>1.4670000000000001</v>
      </c>
      <c r="CZ81" s="43">
        <v>1.3049999999999999</v>
      </c>
      <c r="DA81" s="43">
        <v>1.2751568793908701</v>
      </c>
      <c r="DB81" s="43">
        <v>2.4337631851680701</v>
      </c>
      <c r="DC81" s="43">
        <v>1.07423709764744</v>
      </c>
      <c r="DD81" s="43">
        <v>1.1193673338447701</v>
      </c>
      <c r="DE81" s="43">
        <v>1.22340039693137</v>
      </c>
      <c r="DF81" s="43">
        <v>1.11693090400999</v>
      </c>
      <c r="DG81" s="43">
        <v>1.1349414886096501</v>
      </c>
      <c r="DH81" s="43">
        <v>1.13394813648496</v>
      </c>
      <c r="DI81" s="43">
        <v>1.30829906189961</v>
      </c>
      <c r="DJ81" s="43">
        <v>1.1356540792812</v>
      </c>
      <c r="DK81" s="43">
        <v>1.497333</v>
      </c>
      <c r="DL81" s="43">
        <v>1.5263329999999999</v>
      </c>
      <c r="DM81" s="43">
        <v>2.0573329999999999</v>
      </c>
      <c r="DN81" s="43">
        <v>1.30466666666667</v>
      </c>
      <c r="DO81" s="43">
        <v>1.808333</v>
      </c>
      <c r="DP81" s="43">
        <v>1.2929999999999999</v>
      </c>
      <c r="DQ81" s="43">
        <v>1.473333</v>
      </c>
      <c r="DR81" s="43">
        <v>1.5449999999999999</v>
      </c>
      <c r="DS81" s="43">
        <v>1.0116670000000001</v>
      </c>
      <c r="DT81" s="43">
        <v>1.2253333333333301</v>
      </c>
      <c r="DU81" s="43">
        <v>560.92830000000004</v>
      </c>
      <c r="DV81" s="43">
        <v>299.24979999999999</v>
      </c>
      <c r="DW81" s="43">
        <v>104.9435</v>
      </c>
      <c r="DX81" s="43">
        <v>1.069337</v>
      </c>
      <c r="DY81" s="43">
        <v>1.196</v>
      </c>
      <c r="DZ81" s="43">
        <v>1.0723720000000001</v>
      </c>
      <c r="EA81" s="43">
        <v>803.10360000000003</v>
      </c>
      <c r="EB81" s="43">
        <v>147.73519999999999</v>
      </c>
      <c r="EC81" s="43">
        <v>1.204108</v>
      </c>
      <c r="ED81" s="43">
        <v>1.2569490000000001</v>
      </c>
      <c r="EE81" s="43">
        <v>1.2509999999999999</v>
      </c>
      <c r="EF81" s="43">
        <v>1.4670000000000001</v>
      </c>
      <c r="EG81" s="43">
        <v>1.336333</v>
      </c>
      <c r="EH81" s="43">
        <v>0.59693274062620805</v>
      </c>
      <c r="EI81" s="43">
        <v>0.24657937806874</v>
      </c>
      <c r="EJ81" s="43">
        <v>28.245464616792699</v>
      </c>
      <c r="EK81" s="43">
        <v>16.0276595744681</v>
      </c>
      <c r="EL81" s="43">
        <v>0.70593772383605302</v>
      </c>
      <c r="EM81" s="43">
        <v>2572.6716652586101</v>
      </c>
      <c r="EN81" s="43">
        <v>640.57445718697898</v>
      </c>
      <c r="EO81" s="43">
        <v>95200.787933144893</v>
      </c>
      <c r="EP81" s="43">
        <v>64541.231852516197</v>
      </c>
      <c r="EQ81" s="43">
        <v>4591.2864699791098</v>
      </c>
      <c r="ER81" s="43">
        <v>1.76773239270606</v>
      </c>
      <c r="ES81" s="43">
        <v>1.8883673809988999</v>
      </c>
      <c r="ET81" s="43">
        <v>1.74305497529165</v>
      </c>
      <c r="EU81" s="43">
        <v>1.721924</v>
      </c>
      <c r="EV81" s="43">
        <v>1.6569750000000001</v>
      </c>
      <c r="EW81" s="43">
        <v>1.8918919999999999</v>
      </c>
      <c r="EX81" s="43">
        <v>1.5948180000000001</v>
      </c>
      <c r="EY81" s="43">
        <v>1.6856629999999999</v>
      </c>
      <c r="EZ81" s="43">
        <v>1.823915</v>
      </c>
      <c r="FA81" s="43">
        <v>13.149015994499299</v>
      </c>
      <c r="FB81" s="43">
        <v>11.9012634361687</v>
      </c>
      <c r="FC81" s="43">
        <v>51.797503720376497</v>
      </c>
      <c r="FD81" s="43">
        <v>14130.8073533394</v>
      </c>
      <c r="FE81" s="43">
        <v>117436.1</v>
      </c>
      <c r="FF81" s="43">
        <v>1.2949999999999999</v>
      </c>
      <c r="FG81" s="43">
        <v>4.9573460000000003</v>
      </c>
      <c r="FH81" s="43">
        <v>896.49099999999999</v>
      </c>
      <c r="FI81" s="43">
        <v>15631.02</v>
      </c>
      <c r="FJ81" s="43">
        <v>7.2083839999999997</v>
      </c>
      <c r="FK81" s="43">
        <v>17.550850000000001</v>
      </c>
      <c r="FL81" s="43">
        <v>1.165692</v>
      </c>
      <c r="FM81" s="43">
        <v>1.1558079999999999</v>
      </c>
    </row>
    <row r="82" spans="1:169" x14ac:dyDescent="0.25">
      <c r="A82" s="43" t="s">
        <v>309</v>
      </c>
      <c r="B82" s="43">
        <v>22718.11</v>
      </c>
      <c r="C82" s="43">
        <v>15627.98</v>
      </c>
      <c r="D82" s="43">
        <v>3.1019009999999998</v>
      </c>
      <c r="E82" s="43">
        <v>5.33</v>
      </c>
      <c r="F82" s="43">
        <v>4.4695970000000003</v>
      </c>
      <c r="G82" s="43">
        <v>3.7336960000000001</v>
      </c>
      <c r="H82" s="43">
        <v>1.0285770000000001</v>
      </c>
      <c r="I82" s="43">
        <v>0.99385029999999996</v>
      </c>
      <c r="J82" s="43">
        <v>1.0108459999999999</v>
      </c>
      <c r="K82" s="43">
        <v>0.98792539999999995</v>
      </c>
      <c r="L82" s="43">
        <v>2.5564520000000002</v>
      </c>
      <c r="M82" s="43">
        <v>77.749979999999994</v>
      </c>
      <c r="N82" s="43">
        <v>83.0187442768719</v>
      </c>
      <c r="O82" s="43">
        <v>2.8093033891416401</v>
      </c>
      <c r="P82" s="43">
        <v>1.3836630000000001</v>
      </c>
      <c r="Q82" s="43">
        <v>-748.85929999999996</v>
      </c>
      <c r="R82" s="43">
        <v>8.33</v>
      </c>
      <c r="S82" s="43">
        <v>3404.1480000000001</v>
      </c>
      <c r="T82" s="43">
        <v>5.1102559999999997</v>
      </c>
      <c r="U82" s="43">
        <v>4.636482</v>
      </c>
      <c r="V82" s="43">
        <v>2681.569</v>
      </c>
      <c r="W82" s="43">
        <v>1.6314740000000001</v>
      </c>
      <c r="X82" s="43">
        <v>17221.330000000002</v>
      </c>
      <c r="Y82" s="43">
        <v>1.3034889999999999</v>
      </c>
      <c r="Z82" s="43">
        <v>0.78915360000000001</v>
      </c>
      <c r="AA82" s="43">
        <v>1.129615</v>
      </c>
      <c r="AB82" s="43">
        <v>0.9911295</v>
      </c>
      <c r="AC82" s="43">
        <v>75.848039999999997</v>
      </c>
      <c r="AD82" s="43">
        <v>1.246742</v>
      </c>
      <c r="AE82" s="43">
        <v>1.3754919999999999</v>
      </c>
      <c r="AF82" s="43">
        <v>1.4995849999999999</v>
      </c>
      <c r="AG82" s="43">
        <v>336.53859999999997</v>
      </c>
      <c r="AH82" s="43">
        <v>133.47120000000001</v>
      </c>
      <c r="AI82" s="43">
        <v>2.5832160000000002</v>
      </c>
      <c r="AJ82" s="43">
        <v>2.6259174263712501</v>
      </c>
      <c r="AK82" s="43">
        <f t="shared" ref="AK82:AK141" si="4">(AK81*AL82)+AK81</f>
        <v>28164.537687107058</v>
      </c>
      <c r="AL82" s="47">
        <v>7.4234605682677035E-3</v>
      </c>
      <c r="AM82" s="43">
        <v>2.7851565184450302</v>
      </c>
      <c r="AN82" s="43">
        <v>1.06688045331722</v>
      </c>
      <c r="AO82" s="43">
        <v>2.7198352636248302</v>
      </c>
      <c r="AP82" s="43">
        <v>2.44956659988949</v>
      </c>
      <c r="AQ82" s="43">
        <v>3.6180601929216798</v>
      </c>
      <c r="AR82" s="43">
        <v>2.4860063181279299</v>
      </c>
      <c r="AS82" s="43">
        <v>2.1625286149246401</v>
      </c>
      <c r="AT82" s="43">
        <v>2.2258681521214001</v>
      </c>
      <c r="AU82" s="43">
        <v>2.6539676738715299</v>
      </c>
      <c r="AV82" s="43">
        <v>2219.6799999999998</v>
      </c>
      <c r="AW82" s="43">
        <v>1261.5440000000001</v>
      </c>
      <c r="AX82" s="43">
        <v>1.088157</v>
      </c>
      <c r="AY82" s="43">
        <v>1.5935109999999999</v>
      </c>
      <c r="AZ82" s="43">
        <v>230.08150000000001</v>
      </c>
      <c r="BA82" s="43">
        <v>0.73740510000000004</v>
      </c>
      <c r="BB82" s="43">
        <v>140.4348</v>
      </c>
      <c r="BC82" s="43">
        <v>30.257999999999999</v>
      </c>
      <c r="BD82" s="43">
        <v>5.786524</v>
      </c>
      <c r="BE82" s="43">
        <v>1.260858</v>
      </c>
      <c r="BF82" s="43">
        <v>4.7678760000000002</v>
      </c>
      <c r="BG82" s="43">
        <v>4.8567920000000004</v>
      </c>
      <c r="BH82" s="43">
        <v>3.6497809999999999</v>
      </c>
      <c r="BI82" s="43">
        <v>1.3640369999999999</v>
      </c>
      <c r="BJ82" s="43">
        <v>1.2965139999999999</v>
      </c>
      <c r="BK82" s="43">
        <v>102.858</v>
      </c>
      <c r="BL82" s="43">
        <v>105.43729999999999</v>
      </c>
      <c r="BM82" s="43">
        <v>1.062252</v>
      </c>
      <c r="BN82" s="43">
        <v>1.254637</v>
      </c>
      <c r="BO82" s="43">
        <v>39.399259999999998</v>
      </c>
      <c r="BP82" s="43">
        <v>1.3561067890842</v>
      </c>
      <c r="BQ82" s="43">
        <v>2873.2629999999999</v>
      </c>
      <c r="BR82" s="43">
        <v>587.805802060151</v>
      </c>
      <c r="BS82" s="43">
        <v>11802.43</v>
      </c>
      <c r="BT82" s="43">
        <v>6194.3090000000002</v>
      </c>
      <c r="BU82" s="43">
        <v>1.0291140000000001</v>
      </c>
      <c r="BV82" s="43">
        <v>1.244899</v>
      </c>
      <c r="BW82" s="43">
        <v>1.369397</v>
      </c>
      <c r="BX82" s="43">
        <v>1.099791</v>
      </c>
      <c r="BY82" s="43">
        <v>2.5164900000000001</v>
      </c>
      <c r="BZ82" s="43">
        <v>2.9704730000000001</v>
      </c>
      <c r="CA82" s="43">
        <v>1.260481</v>
      </c>
      <c r="CB82" s="43">
        <v>0.80161519999999997</v>
      </c>
      <c r="CC82" s="43">
        <v>9.2886609719890991</v>
      </c>
      <c r="CD82" s="43">
        <v>0.92016529999999996</v>
      </c>
      <c r="CE82" s="43">
        <v>0.99420889999999995</v>
      </c>
      <c r="CF82" s="43">
        <v>1.0253559999999999</v>
      </c>
      <c r="CG82" s="43">
        <v>1.007973</v>
      </c>
      <c r="CH82" s="43">
        <v>0.94684644543947705</v>
      </c>
      <c r="CI82" s="43">
        <v>1.0595924228714799</v>
      </c>
      <c r="CJ82" s="43">
        <v>0.97810139023093001</v>
      </c>
      <c r="CK82" s="43">
        <v>1.09619262913103</v>
      </c>
      <c r="CL82" s="43">
        <v>1.262694</v>
      </c>
      <c r="CM82" s="43">
        <v>1.206728</v>
      </c>
      <c r="CN82" s="43">
        <v>1.2001539999999999</v>
      </c>
      <c r="CO82" s="43">
        <v>1.3647450000000001</v>
      </c>
      <c r="CP82" s="43">
        <v>0.90926373466029597</v>
      </c>
      <c r="CQ82" s="43">
        <v>1.137529</v>
      </c>
      <c r="CR82" s="43">
        <v>4.10601299902613</v>
      </c>
      <c r="CS82" s="43">
        <v>75.485933467996603</v>
      </c>
      <c r="CT82" s="43">
        <v>93.528061440000002</v>
      </c>
      <c r="CU82" s="43">
        <v>22.074735855942301</v>
      </c>
      <c r="CV82" s="43">
        <v>24.2775940736155</v>
      </c>
      <c r="CW82" s="43">
        <v>1.33358</v>
      </c>
      <c r="CX82" s="43">
        <v>1.2577240000000001</v>
      </c>
      <c r="CY82" s="43">
        <v>1.4363809999999999</v>
      </c>
      <c r="CZ82" s="43">
        <v>1.3085143143058799</v>
      </c>
      <c r="DA82" s="43">
        <v>1.2637704003261601</v>
      </c>
      <c r="DB82" s="43">
        <v>2.4371920539257501</v>
      </c>
      <c r="DC82" s="43">
        <v>1.06346012657705</v>
      </c>
      <c r="DD82" s="43">
        <v>1.1281887219471001</v>
      </c>
      <c r="DE82" s="43">
        <v>1.3150267071236099</v>
      </c>
      <c r="DF82" s="43">
        <v>1.1425700807911601</v>
      </c>
      <c r="DG82" s="43">
        <v>1.1627836982850701</v>
      </c>
      <c r="DH82" s="43">
        <v>1.1396745056176201</v>
      </c>
      <c r="DI82" s="43">
        <v>1.44562877848738</v>
      </c>
      <c r="DJ82" s="43">
        <v>1.1303166802365301</v>
      </c>
      <c r="DK82" s="43">
        <v>1.511887</v>
      </c>
      <c r="DL82" s="43">
        <v>1.6173900000000001</v>
      </c>
      <c r="DM82" s="43">
        <v>2.0673750000000002</v>
      </c>
      <c r="DN82" s="43">
        <v>1.3576714481054899</v>
      </c>
      <c r="DO82" s="43">
        <v>1.878053</v>
      </c>
      <c r="DP82" s="43">
        <v>1.326365</v>
      </c>
      <c r="DQ82" s="43">
        <v>1.453001</v>
      </c>
      <c r="DR82" s="43">
        <v>1.59276</v>
      </c>
      <c r="DS82" s="43">
        <v>1.011117</v>
      </c>
      <c r="DT82" s="43">
        <v>1.33650337833641</v>
      </c>
      <c r="DU82" s="43">
        <v>563.22799999999995</v>
      </c>
      <c r="DV82" s="43">
        <v>300.13</v>
      </c>
      <c r="DW82" s="43">
        <v>104.733</v>
      </c>
      <c r="DX82" s="43">
        <v>1.0708040000000001</v>
      </c>
      <c r="DY82" s="43">
        <v>1.197289</v>
      </c>
      <c r="DZ82" s="43">
        <v>1.0726739999999999</v>
      </c>
      <c r="EA82" s="43">
        <v>816.32410000000004</v>
      </c>
      <c r="EB82" s="43">
        <v>144.04182</v>
      </c>
      <c r="EC82" s="43">
        <v>1.2130389554641401</v>
      </c>
      <c r="ED82" s="43">
        <v>1.2672041690493401</v>
      </c>
      <c r="EE82" s="43">
        <v>1.2607021598784001</v>
      </c>
      <c r="EF82" s="43">
        <v>1.48002841234205</v>
      </c>
      <c r="EG82" s="43">
        <v>1.3468324578748601</v>
      </c>
      <c r="EH82" s="43">
        <v>0.59948018809311499</v>
      </c>
      <c r="EI82" s="43">
        <v>0.24763167084697499</v>
      </c>
      <c r="EJ82" s="43">
        <v>28.3660038876227</v>
      </c>
      <c r="EK82" s="43">
        <v>16.096058605053301</v>
      </c>
      <c r="EL82" s="43">
        <v>0.70895035682464302</v>
      </c>
      <c r="EM82" s="43">
        <v>2391.9460344535701</v>
      </c>
      <c r="EN82" s="43">
        <v>595.57523539896295</v>
      </c>
      <c r="EO82" s="43">
        <v>88513.101088105803</v>
      </c>
      <c r="EP82" s="43">
        <v>60007.324554124803</v>
      </c>
      <c r="EQ82" s="43">
        <v>4268.7567221302997</v>
      </c>
      <c r="ER82" s="43">
        <v>1.7808437907465799</v>
      </c>
      <c r="ES82" s="43">
        <v>1.9023735374065001</v>
      </c>
      <c r="ET82" s="43">
        <v>1.7559833391559201</v>
      </c>
      <c r="EU82" s="43">
        <v>1.7415130000000001</v>
      </c>
      <c r="EV82" s="43">
        <v>1.666974</v>
      </c>
      <c r="EW82" s="43">
        <v>1.9198850000000001</v>
      </c>
      <c r="EX82" s="43">
        <v>1.736297</v>
      </c>
      <c r="EY82" s="43">
        <v>1.6669080000000001</v>
      </c>
      <c r="EZ82" s="43">
        <v>1.9229620000000001</v>
      </c>
      <c r="FA82" s="43">
        <v>13.299473492940599</v>
      </c>
      <c r="FB82" s="43">
        <v>13.069425714602501</v>
      </c>
      <c r="FC82" s="43">
        <v>56.392551939597098</v>
      </c>
      <c r="FD82" s="43">
        <v>13973.583798539201</v>
      </c>
      <c r="FE82" s="43">
        <v>123813.4</v>
      </c>
      <c r="FF82" s="43">
        <v>1.2983437499999999</v>
      </c>
      <c r="FG82" s="43">
        <v>5.0069194599999998</v>
      </c>
      <c r="FH82" s="43">
        <v>892.00854500000003</v>
      </c>
      <c r="FI82" s="43">
        <v>15521.602860000001</v>
      </c>
      <c r="FJ82" s="43">
        <v>7.28046784</v>
      </c>
      <c r="FK82" s="43">
        <v>17.7263585</v>
      </c>
      <c r="FL82" s="43">
        <v>1.1584490000000001</v>
      </c>
      <c r="FM82" s="43">
        <v>1.1479159999999999</v>
      </c>
    </row>
    <row r="83" spans="1:169" x14ac:dyDescent="0.25">
      <c r="A83" s="43" t="s">
        <v>310</v>
      </c>
      <c r="B83" s="43">
        <v>22763.41</v>
      </c>
      <c r="C83" s="43">
        <v>15697.06</v>
      </c>
      <c r="D83" s="43">
        <v>3.1203470000000002</v>
      </c>
      <c r="E83" s="43">
        <v>4.4819779999999998</v>
      </c>
      <c r="F83" s="43">
        <v>4.0662219999999998</v>
      </c>
      <c r="G83" s="43">
        <v>3.788484</v>
      </c>
      <c r="H83" s="43">
        <v>1.0281260000000001</v>
      </c>
      <c r="I83" s="43">
        <v>0.99370729999999996</v>
      </c>
      <c r="J83" s="43">
        <v>1.0115430000000001</v>
      </c>
      <c r="K83" s="43">
        <v>0.98870709999999995</v>
      </c>
      <c r="L83" s="43">
        <v>2.5685730000000002</v>
      </c>
      <c r="M83" s="43">
        <v>77.181399999999996</v>
      </c>
      <c r="N83" s="43">
        <v>82.4116426065941</v>
      </c>
      <c r="O83" s="43">
        <v>2.5224756482141402</v>
      </c>
      <c r="P83" s="43">
        <v>1.4092960000000001</v>
      </c>
      <c r="Q83" s="43">
        <v>-747.19100000000003</v>
      </c>
      <c r="R83" s="43">
        <v>7.4819779999999998</v>
      </c>
      <c r="S83" s="43">
        <v>3418.7249999999999</v>
      </c>
      <c r="T83" s="43">
        <v>4.3071919999999997</v>
      </c>
      <c r="U83" s="43">
        <v>4.3992610000000001</v>
      </c>
      <c r="V83" s="43">
        <v>2681.0030000000002</v>
      </c>
      <c r="W83" s="43">
        <v>1.6467259999999999</v>
      </c>
      <c r="X83" s="43">
        <v>17502.64</v>
      </c>
      <c r="Y83" s="43">
        <v>1.3044009999999999</v>
      </c>
      <c r="Z83" s="43">
        <v>0.7882749</v>
      </c>
      <c r="AA83" s="43">
        <v>1.142299</v>
      </c>
      <c r="AB83" s="43">
        <v>0.99493489999999996</v>
      </c>
      <c r="AC83" s="43">
        <v>75.291749999999993</v>
      </c>
      <c r="AD83" s="43">
        <v>1.2528239999999999</v>
      </c>
      <c r="AE83" s="43">
        <v>1.388382</v>
      </c>
      <c r="AF83" s="43">
        <v>1.5073799999999999</v>
      </c>
      <c r="AG83" s="43">
        <v>337.15449999999998</v>
      </c>
      <c r="AH83" s="43">
        <v>133.71549999999999</v>
      </c>
      <c r="AI83" s="43">
        <v>2.5972179999999998</v>
      </c>
      <c r="AJ83" s="43">
        <v>2.6343806042105902</v>
      </c>
      <c r="AK83" s="43">
        <f t="shared" si="4"/>
        <v>28358.352888075086</v>
      </c>
      <c r="AL83" s="47">
        <v>6.8815331933089752E-3</v>
      </c>
      <c r="AM83" s="43">
        <v>2.7774498848603</v>
      </c>
      <c r="AN83" s="43">
        <v>0.96073252142434995</v>
      </c>
      <c r="AO83" s="43">
        <v>2.72927987620684</v>
      </c>
      <c r="AP83" s="43">
        <v>2.3878561557007698</v>
      </c>
      <c r="AQ83" s="43">
        <v>3.7378302298910699</v>
      </c>
      <c r="AR83" s="43">
        <v>2.47319541795886</v>
      </c>
      <c r="AS83" s="43">
        <v>2.15126366781677</v>
      </c>
      <c r="AT83" s="43">
        <v>2.1932785012966201</v>
      </c>
      <c r="AU83" s="43">
        <v>2.6681462548894501</v>
      </c>
      <c r="AV83" s="43">
        <v>2226.3090000000002</v>
      </c>
      <c r="AW83" s="43">
        <v>1266.248</v>
      </c>
      <c r="AX83" s="43">
        <v>1.0922149999999999</v>
      </c>
      <c r="AY83" s="43">
        <v>1.601027</v>
      </c>
      <c r="AZ83" s="43">
        <v>232.1379</v>
      </c>
      <c r="BA83" s="43">
        <v>0.74102849999999998</v>
      </c>
      <c r="BB83" s="43">
        <v>143.32470000000001</v>
      </c>
      <c r="BC83" s="43">
        <v>30.418209999999998</v>
      </c>
      <c r="BD83" s="43">
        <v>5.757371</v>
      </c>
      <c r="BE83" s="43">
        <v>1.2651760000000001</v>
      </c>
      <c r="BF83" s="43">
        <v>4.0466829999999998</v>
      </c>
      <c r="BG83" s="43">
        <v>4.1912839999999996</v>
      </c>
      <c r="BH83" s="43">
        <v>3.3387220000000002</v>
      </c>
      <c r="BI83" s="43">
        <v>1.3693709999999999</v>
      </c>
      <c r="BJ83" s="43">
        <v>1.3008189999999999</v>
      </c>
      <c r="BK83" s="43">
        <v>101.6044</v>
      </c>
      <c r="BL83" s="43">
        <v>104.1544</v>
      </c>
      <c r="BM83" s="43">
        <v>1.0626199999999999</v>
      </c>
      <c r="BN83" s="43">
        <v>1.2557670000000001</v>
      </c>
      <c r="BO83" s="43">
        <v>39.50367</v>
      </c>
      <c r="BP83" s="43">
        <v>1.3494758015500901</v>
      </c>
      <c r="BQ83" s="43">
        <v>2895.4870000000001</v>
      </c>
      <c r="BR83" s="43">
        <v>589.75330274673399</v>
      </c>
      <c r="BS83" s="43">
        <v>11823.03</v>
      </c>
      <c r="BT83" s="43">
        <v>6205.4279999999999</v>
      </c>
      <c r="BU83" s="43">
        <v>1.0339400000000001</v>
      </c>
      <c r="BV83" s="43">
        <v>1.2539800000000001</v>
      </c>
      <c r="BW83" s="43">
        <v>1.3810579999999999</v>
      </c>
      <c r="BX83" s="43">
        <v>1.1052900000000001</v>
      </c>
      <c r="BY83" s="43">
        <v>2.37365</v>
      </c>
      <c r="BZ83" s="43">
        <v>2.8535729999999999</v>
      </c>
      <c r="CA83" s="43">
        <v>1.2106170000000001</v>
      </c>
      <c r="CB83" s="43">
        <v>0.80081360000000001</v>
      </c>
      <c r="CC83" s="43">
        <v>9.1500242410638908</v>
      </c>
      <c r="CD83" s="43">
        <v>0.92418009999999995</v>
      </c>
      <c r="CE83" s="43">
        <v>0.99948170000000003</v>
      </c>
      <c r="CF83" s="43">
        <v>1.03484</v>
      </c>
      <c r="CG83" s="43">
        <v>1.030367</v>
      </c>
      <c r="CH83" s="43">
        <v>0.96656525804720395</v>
      </c>
      <c r="CI83" s="43">
        <v>1.0561011102504001</v>
      </c>
      <c r="CJ83" s="43">
        <v>0.98850160877580795</v>
      </c>
      <c r="CK83" s="43">
        <v>1.0804994164520301</v>
      </c>
      <c r="CL83" s="43">
        <v>1.2666090000000001</v>
      </c>
      <c r="CM83" s="43">
        <v>1.2092210000000001</v>
      </c>
      <c r="CN83" s="43">
        <v>1.211792</v>
      </c>
      <c r="CO83" s="43">
        <v>1.443813</v>
      </c>
      <c r="CP83" s="43">
        <v>0.904740034487856</v>
      </c>
      <c r="CQ83" s="43">
        <v>1.1331819999999999</v>
      </c>
      <c r="CR83" s="43">
        <v>3.66938198938354</v>
      </c>
      <c r="CS83" s="43">
        <v>74.561112374090897</v>
      </c>
      <c r="CT83" s="43">
        <v>92.966893071360005</v>
      </c>
      <c r="CU83" s="43">
        <v>21.899016565546798</v>
      </c>
      <c r="CV83" s="43">
        <v>24.2047612913947</v>
      </c>
      <c r="CW83" s="43">
        <v>1.3340339999999999</v>
      </c>
      <c r="CX83" s="43">
        <v>1.2656210000000001</v>
      </c>
      <c r="CY83" s="43">
        <v>1.412388</v>
      </c>
      <c r="CZ83" s="43">
        <v>1.3132978923913701</v>
      </c>
      <c r="DA83" s="43">
        <v>1.25500950660165</v>
      </c>
      <c r="DB83" s="43">
        <v>2.4454182685979098</v>
      </c>
      <c r="DC83" s="43">
        <v>1.05476992142404</v>
      </c>
      <c r="DD83" s="43">
        <v>1.1387288918373</v>
      </c>
      <c r="DE83" s="43">
        <v>1.3881365372058101</v>
      </c>
      <c r="DF83" s="43">
        <v>1.16930132929178</v>
      </c>
      <c r="DG83" s="43">
        <v>1.1919103317092801</v>
      </c>
      <c r="DH83" s="43">
        <v>1.1458762935681801</v>
      </c>
      <c r="DI83" s="43">
        <v>1.5600762408203801</v>
      </c>
      <c r="DJ83" s="43">
        <v>1.1299086127307501</v>
      </c>
      <c r="DK83" s="43">
        <v>1.535722</v>
      </c>
      <c r="DL83" s="43">
        <v>1.685918</v>
      </c>
      <c r="DM83" s="43">
        <v>2.0839120000000002</v>
      </c>
      <c r="DN83" s="43">
        <v>1.3984702432929901</v>
      </c>
      <c r="DO83" s="43">
        <v>1.945651</v>
      </c>
      <c r="DP83" s="43">
        <v>1.360034</v>
      </c>
      <c r="DQ83" s="43">
        <v>1.4451210000000001</v>
      </c>
      <c r="DR83" s="43">
        <v>1.63557</v>
      </c>
      <c r="DS83" s="43">
        <v>1.014985</v>
      </c>
      <c r="DT83" s="43">
        <v>1.34813403339841</v>
      </c>
      <c r="DU83" s="43">
        <v>564.28099999999995</v>
      </c>
      <c r="DV83" s="43">
        <v>300.70839999999998</v>
      </c>
      <c r="DW83" s="43">
        <v>104.75920000000001</v>
      </c>
      <c r="DX83" s="43">
        <v>1.0723400000000001</v>
      </c>
      <c r="DY83" s="43">
        <v>1.1967909999999999</v>
      </c>
      <c r="DZ83" s="43">
        <v>1.073477</v>
      </c>
      <c r="EA83" s="43">
        <v>824.85889999999995</v>
      </c>
      <c r="EB83" s="43">
        <v>139.7205654</v>
      </c>
      <c r="EC83" s="43">
        <v>1.22336871946311</v>
      </c>
      <c r="ED83" s="43">
        <v>1.2790742841354299</v>
      </c>
      <c r="EE83" s="43">
        <v>1.27192867764649</v>
      </c>
      <c r="EF83" s="43">
        <v>1.4951144746102301</v>
      </c>
      <c r="EG83" s="43">
        <v>1.35898052463434</v>
      </c>
      <c r="EH83" s="43">
        <v>0.60153310032395502</v>
      </c>
      <c r="EI83" s="43">
        <v>0.24847968233413001</v>
      </c>
      <c r="EJ83" s="43">
        <v>28.463142904853999</v>
      </c>
      <c r="EK83" s="43">
        <v>16.151179351718401</v>
      </c>
      <c r="EL83" s="43">
        <v>0.711378148247097</v>
      </c>
      <c r="EM83" s="43">
        <v>2374.40287787849</v>
      </c>
      <c r="EN83" s="43">
        <v>591.20713116235004</v>
      </c>
      <c r="EO83" s="43">
        <v>87863.922900567995</v>
      </c>
      <c r="EP83" s="43">
        <v>59567.215172415803</v>
      </c>
      <c r="EQ83" s="43">
        <v>4237.4485460767501</v>
      </c>
      <c r="ER83" s="43">
        <v>1.79600875803356</v>
      </c>
      <c r="ES83" s="43">
        <v>1.9185734043528799</v>
      </c>
      <c r="ET83" s="43">
        <v>1.7709366045872601</v>
      </c>
      <c r="EU83" s="43">
        <v>1.7555810000000001</v>
      </c>
      <c r="EV83" s="43">
        <v>1.675678</v>
      </c>
      <c r="EW83" s="43">
        <v>1.9444269999999999</v>
      </c>
      <c r="EX83" s="43">
        <v>1.746021</v>
      </c>
      <c r="EY83" s="43">
        <v>1.6780839999999999</v>
      </c>
      <c r="EZ83" s="43">
        <v>1.9478819999999999</v>
      </c>
      <c r="FA83" s="43">
        <v>13.407531626898299</v>
      </c>
      <c r="FB83" s="43">
        <v>13.1741663531749</v>
      </c>
      <c r="FC83" s="43">
        <v>56.708361661962201</v>
      </c>
      <c r="FD83" s="43">
        <v>14067.2763767749</v>
      </c>
      <c r="FE83" s="43">
        <v>125417.9</v>
      </c>
      <c r="FF83" s="43">
        <v>1.30190625</v>
      </c>
      <c r="FG83" s="43">
        <v>5.0119263794600002</v>
      </c>
      <c r="FH83" s="43">
        <v>887.54850227500003</v>
      </c>
      <c r="FI83" s="43">
        <v>15366.386831399999</v>
      </c>
      <c r="FJ83" s="43">
        <v>7.3023092435199999</v>
      </c>
      <c r="FK83" s="43">
        <v>17.744084858499999</v>
      </c>
      <c r="FL83" s="43">
        <v>1.1525970000000001</v>
      </c>
      <c r="FM83" s="43">
        <v>1.1465110000000001</v>
      </c>
    </row>
    <row r="84" spans="1:169" x14ac:dyDescent="0.25">
      <c r="A84" s="43" t="s">
        <v>311</v>
      </c>
      <c r="B84" s="43">
        <v>22831.4</v>
      </c>
      <c r="C84" s="43">
        <v>15758.95</v>
      </c>
      <c r="D84" s="43">
        <v>3.135834</v>
      </c>
      <c r="E84" s="43">
        <v>4.3654630000000001</v>
      </c>
      <c r="F84" s="43">
        <v>4.0862350000000003</v>
      </c>
      <c r="G84" s="43">
        <v>3.8717090000000001</v>
      </c>
      <c r="H84" s="43">
        <v>1.032705</v>
      </c>
      <c r="I84" s="43">
        <v>0.99826970000000004</v>
      </c>
      <c r="J84" s="43">
        <v>1.015455</v>
      </c>
      <c r="K84" s="43">
        <v>0.99341489999999999</v>
      </c>
      <c r="L84" s="43">
        <v>2.5820829999999999</v>
      </c>
      <c r="M84" s="43">
        <v>76.721140000000005</v>
      </c>
      <c r="N84" s="43">
        <v>81.920179349702593</v>
      </c>
      <c r="O84" s="43">
        <v>2.3474280951947901</v>
      </c>
      <c r="P84" s="43">
        <v>1.4273199999999999</v>
      </c>
      <c r="Q84" s="43">
        <v>-745.22270000000003</v>
      </c>
      <c r="R84" s="43">
        <v>7.3654630000000001</v>
      </c>
      <c r="S84" s="43">
        <v>3428.6030000000001</v>
      </c>
      <c r="T84" s="43">
        <v>4.1273229999999996</v>
      </c>
      <c r="U84" s="43">
        <v>4.3617629999999998</v>
      </c>
      <c r="V84" s="43">
        <v>2687.1289999999999</v>
      </c>
      <c r="W84" s="43">
        <v>1.656841</v>
      </c>
      <c r="X84" s="43">
        <v>17704.55</v>
      </c>
      <c r="Y84" s="43">
        <v>1.304986</v>
      </c>
      <c r="Z84" s="43">
        <v>0.79152730000000004</v>
      </c>
      <c r="AA84" s="43">
        <v>1.1528970000000001</v>
      </c>
      <c r="AB84" s="43">
        <v>0.99821230000000005</v>
      </c>
      <c r="AC84" s="43">
        <v>74.841419999999999</v>
      </c>
      <c r="AD84" s="43">
        <v>1.2575559999999999</v>
      </c>
      <c r="AE84" s="43">
        <v>1.399187</v>
      </c>
      <c r="AF84" s="43">
        <v>1.5174510000000001</v>
      </c>
      <c r="AG84" s="43">
        <v>337.7706</v>
      </c>
      <c r="AH84" s="43">
        <v>133.9598</v>
      </c>
      <c r="AI84" s="43">
        <v>2.6178319999999999</v>
      </c>
      <c r="AJ84" s="43">
        <v>2.64735499103756</v>
      </c>
      <c r="AK84" s="43">
        <f t="shared" si="4"/>
        <v>28550.487581682606</v>
      </c>
      <c r="AL84" s="47">
        <v>6.7752416498179091E-3</v>
      </c>
      <c r="AM84" s="43">
        <v>2.7674179102486001</v>
      </c>
      <c r="AN84" s="43">
        <v>0.89908962876273502</v>
      </c>
      <c r="AO84" s="43">
        <v>2.73866489541571</v>
      </c>
      <c r="AP84" s="43">
        <v>2.3746388867143402</v>
      </c>
      <c r="AQ84" s="43">
        <v>3.8313949508549201</v>
      </c>
      <c r="AR84" s="43">
        <v>2.47223498789642</v>
      </c>
      <c r="AS84" s="43">
        <v>2.1503831157369802</v>
      </c>
      <c r="AT84" s="43">
        <v>2.18432646643888</v>
      </c>
      <c r="AU84" s="43">
        <v>2.6755818681068502</v>
      </c>
      <c r="AV84" s="43">
        <v>2233.5100000000002</v>
      </c>
      <c r="AW84" s="43">
        <v>1273.5360000000001</v>
      </c>
      <c r="AX84" s="43">
        <v>1.0941209999999999</v>
      </c>
      <c r="AY84" s="43">
        <v>1.6104099999999999</v>
      </c>
      <c r="AZ84" s="43">
        <v>233.9008</v>
      </c>
      <c r="BA84" s="43">
        <v>0.7447973</v>
      </c>
      <c r="BB84" s="43">
        <v>145.66669999999999</v>
      </c>
      <c r="BC84" s="43">
        <v>30.457709999999999</v>
      </c>
      <c r="BD84" s="43">
        <v>5.7283660000000003</v>
      </c>
      <c r="BE84" s="43">
        <v>1.2700750000000001</v>
      </c>
      <c r="BF84" s="43">
        <v>3.8342800000000001</v>
      </c>
      <c r="BG84" s="43">
        <v>3.9990320000000001</v>
      </c>
      <c r="BH84" s="43">
        <v>3.3314650000000001</v>
      </c>
      <c r="BI84" s="43">
        <v>1.3760840000000001</v>
      </c>
      <c r="BJ84" s="43">
        <v>1.3064199999999999</v>
      </c>
      <c r="BK84" s="43">
        <v>100.48560000000001</v>
      </c>
      <c r="BL84" s="43">
        <v>103.0094</v>
      </c>
      <c r="BM84" s="43">
        <v>1.067957</v>
      </c>
      <c r="BN84" s="43">
        <v>1.2581500000000001</v>
      </c>
      <c r="BO84" s="43">
        <v>39.608359999999998</v>
      </c>
      <c r="BP84" s="43">
        <v>1.3426470800997501</v>
      </c>
      <c r="BQ84" s="43">
        <v>2921.4940000000001</v>
      </c>
      <c r="BR84" s="43">
        <v>592.311390093162</v>
      </c>
      <c r="BS84" s="43">
        <v>11858.34</v>
      </c>
      <c r="BT84" s="43">
        <v>6228.5690000000004</v>
      </c>
      <c r="BU84" s="43">
        <v>1.038333</v>
      </c>
      <c r="BV84" s="43">
        <v>1.261099</v>
      </c>
      <c r="BW84" s="43">
        <v>1.3870610000000001</v>
      </c>
      <c r="BX84" s="43">
        <v>1.113027</v>
      </c>
      <c r="BY84" s="43">
        <v>2.341402</v>
      </c>
      <c r="BZ84" s="43">
        <v>2.811207</v>
      </c>
      <c r="CA84" s="43">
        <v>1.2465869999999999</v>
      </c>
      <c r="CB84" s="43">
        <v>0.79600870000000001</v>
      </c>
      <c r="CC84" s="43">
        <v>8.9955551128632099</v>
      </c>
      <c r="CD84" s="43">
        <v>0.92847500000000005</v>
      </c>
      <c r="CE84" s="43">
        <v>1.0041819999999999</v>
      </c>
      <c r="CF84" s="43">
        <v>1.043345</v>
      </c>
      <c r="CG84" s="43">
        <v>1.0439020000000001</v>
      </c>
      <c r="CH84" s="43">
        <v>0.98158765683865001</v>
      </c>
      <c r="CI84" s="43">
        <v>1.05406810523698</v>
      </c>
      <c r="CJ84" s="43">
        <v>0.99811940534350596</v>
      </c>
      <c r="CK84" s="43">
        <v>1.0707875619543099</v>
      </c>
      <c r="CL84" s="43">
        <v>1.2702560000000001</v>
      </c>
      <c r="CM84" s="43">
        <v>1.21245</v>
      </c>
      <c r="CN84" s="43">
        <v>1.2210669999999999</v>
      </c>
      <c r="CO84" s="43">
        <v>1.493725</v>
      </c>
      <c r="CP84" s="43">
        <v>0.89845087833948001</v>
      </c>
      <c r="CQ84" s="43">
        <v>1.130736</v>
      </c>
      <c r="CR84" s="43">
        <v>3.4687216747072398</v>
      </c>
      <c r="CS84" s="43">
        <v>73.601257090467996</v>
      </c>
      <c r="CT84" s="43">
        <v>92.409091712931797</v>
      </c>
      <c r="CU84" s="43">
        <v>21.681548675124301</v>
      </c>
      <c r="CV84" s="43">
        <v>24.132147007520501</v>
      </c>
      <c r="CW84" s="43">
        <v>1.331691</v>
      </c>
      <c r="CX84" s="43">
        <v>1.269568</v>
      </c>
      <c r="CY84" s="43">
        <v>1.3898919999999999</v>
      </c>
      <c r="CZ84" s="43">
        <v>1.31440841981705</v>
      </c>
      <c r="DA84" s="43">
        <v>1.2454770701911999</v>
      </c>
      <c r="DB84" s="43">
        <v>2.4466342534626802</v>
      </c>
      <c r="DC84" s="43">
        <v>1.04746659833167</v>
      </c>
      <c r="DD84" s="43">
        <v>1.14534418027381</v>
      </c>
      <c r="DE84" s="43">
        <v>1.43766163313673</v>
      </c>
      <c r="DF84" s="43">
        <v>1.1907437851874001</v>
      </c>
      <c r="DG84" s="43">
        <v>1.2154657811701399</v>
      </c>
      <c r="DH84" s="43">
        <v>1.1489468716583799</v>
      </c>
      <c r="DI84" s="43">
        <v>1.64121966466455</v>
      </c>
      <c r="DJ84" s="43">
        <v>1.13190356826871</v>
      </c>
      <c r="DK84" s="43">
        <v>1.5443530000000001</v>
      </c>
      <c r="DL84" s="43">
        <v>1.7273860000000001</v>
      </c>
      <c r="DM84" s="43">
        <v>2.0800580000000002</v>
      </c>
      <c r="DN84" s="43">
        <v>1.4255103655438</v>
      </c>
      <c r="DO84" s="43">
        <v>1.9783599999999999</v>
      </c>
      <c r="DP84" s="43">
        <v>1.3839520000000001</v>
      </c>
      <c r="DQ84" s="43">
        <v>1.422042</v>
      </c>
      <c r="DR84" s="43">
        <v>1.6680630000000001</v>
      </c>
      <c r="DS84" s="43">
        <v>1.000246</v>
      </c>
      <c r="DT84" s="43">
        <v>1.34966414931406</v>
      </c>
      <c r="DU84" s="43">
        <v>564.84450000000004</v>
      </c>
      <c r="DV84" s="43">
        <v>301.02760000000001</v>
      </c>
      <c r="DW84" s="43">
        <v>104.81829999999999</v>
      </c>
      <c r="DX84" s="43">
        <v>1.073617</v>
      </c>
      <c r="DY84" s="43">
        <v>1.1954229999999999</v>
      </c>
      <c r="DZ84" s="43">
        <v>1.0742320000000001</v>
      </c>
      <c r="EA84" s="43">
        <v>831.68539999999996</v>
      </c>
      <c r="EB84" s="43">
        <v>138.7425214422</v>
      </c>
      <c r="EC84" s="43">
        <v>1.228686187848</v>
      </c>
      <c r="ED84" s="43">
        <v>1.2851898408401099</v>
      </c>
      <c r="EE84" s="43">
        <v>1.2777080563733001</v>
      </c>
      <c r="EF84" s="43">
        <v>1.50290275841701</v>
      </c>
      <c r="EG84" s="43">
        <v>1.3652394250567801</v>
      </c>
      <c r="EH84" s="43">
        <v>0.60386263127268702</v>
      </c>
      <c r="EI84" s="43">
        <v>0.24944195874055999</v>
      </c>
      <c r="EJ84" s="43">
        <v>28.5733708744525</v>
      </c>
      <c r="EK84" s="43">
        <v>16.213727318136399</v>
      </c>
      <c r="EL84" s="43">
        <v>0.71413307131234705</v>
      </c>
      <c r="EM84" s="43">
        <v>2360.20127493675</v>
      </c>
      <c r="EN84" s="43">
        <v>587.67104678033002</v>
      </c>
      <c r="EO84" s="43">
        <v>87338.397701132606</v>
      </c>
      <c r="EP84" s="43">
        <v>59210.936149127498</v>
      </c>
      <c r="EQ84" s="43">
        <v>4212.1038321286296</v>
      </c>
      <c r="ER84" s="43">
        <v>1.8038152513972401</v>
      </c>
      <c r="ES84" s="43">
        <v>1.92691263459429</v>
      </c>
      <c r="ET84" s="43">
        <v>1.7786341198635001</v>
      </c>
      <c r="EU84" s="43">
        <v>1.771833</v>
      </c>
      <c r="EV84" s="43">
        <v>1.6850540000000001</v>
      </c>
      <c r="EW84" s="43">
        <v>1.9712209999999999</v>
      </c>
      <c r="EX84" s="43">
        <v>1.7772479999999999</v>
      </c>
      <c r="EY84" s="43">
        <v>1.684658</v>
      </c>
      <c r="EZ84" s="43">
        <v>1.972078</v>
      </c>
      <c r="FA84" s="43">
        <v>13.5323606889194</v>
      </c>
      <c r="FB84" s="43">
        <v>13.2952624874011</v>
      </c>
      <c r="FC84" s="43">
        <v>57.722581929664202</v>
      </c>
      <c r="FD84" s="43">
        <v>14122.3851191414</v>
      </c>
      <c r="FE84" s="43">
        <v>126975.8</v>
      </c>
      <c r="FF84" s="43">
        <v>1.30678125</v>
      </c>
      <c r="FG84" s="43">
        <v>5.0269621585983799</v>
      </c>
      <c r="FH84" s="43">
        <v>891.09869628410001</v>
      </c>
      <c r="FI84" s="43">
        <v>15289.554897243001</v>
      </c>
      <c r="FJ84" s="43">
        <v>7.2804023157894404</v>
      </c>
      <c r="FK84" s="43">
        <v>17.815061197934</v>
      </c>
      <c r="FL84" s="43">
        <v>1.1480330000000001</v>
      </c>
      <c r="FM84" s="43">
        <v>1.1447909999999999</v>
      </c>
    </row>
    <row r="85" spans="1:169" x14ac:dyDescent="0.25">
      <c r="A85" s="43" t="s">
        <v>312</v>
      </c>
      <c r="B85" s="43">
        <v>22922.18</v>
      </c>
      <c r="C85" s="43">
        <v>15833.21</v>
      </c>
      <c r="D85" s="43">
        <v>3.1537109999999999</v>
      </c>
      <c r="E85" s="43">
        <v>3.919753</v>
      </c>
      <c r="F85" s="43">
        <v>3.9800080000000002</v>
      </c>
      <c r="G85" s="43">
        <v>3.852204</v>
      </c>
      <c r="H85" s="43">
        <v>1.034775</v>
      </c>
      <c r="I85" s="43">
        <v>1.0005250000000001</v>
      </c>
      <c r="J85" s="43">
        <v>1.0178419999999999</v>
      </c>
      <c r="K85" s="43">
        <v>0.99577709999999997</v>
      </c>
      <c r="L85" s="43">
        <v>2.5931829999999998</v>
      </c>
      <c r="M85" s="43">
        <v>75.665210000000002</v>
      </c>
      <c r="N85" s="43">
        <v>80.792704819186696</v>
      </c>
      <c r="O85" s="43">
        <v>2.4324798377743102</v>
      </c>
      <c r="P85" s="43">
        <v>1.4343330000000001</v>
      </c>
      <c r="Q85" s="43">
        <v>-742.66110000000003</v>
      </c>
      <c r="R85" s="43">
        <v>6.919753</v>
      </c>
      <c r="S85" s="43">
        <v>3442.2469999999998</v>
      </c>
      <c r="T85" s="43">
        <v>3.724205</v>
      </c>
      <c r="U85" s="43">
        <v>4.2717809999999998</v>
      </c>
      <c r="V85" s="43">
        <v>2694.6089999999999</v>
      </c>
      <c r="W85" s="43">
        <v>1.6704270000000001</v>
      </c>
      <c r="X85" s="43">
        <v>17904.96</v>
      </c>
      <c r="Y85" s="43">
        <v>1.306189</v>
      </c>
      <c r="Z85" s="43">
        <v>0.79248890000000005</v>
      </c>
      <c r="AA85" s="43">
        <v>1.165413</v>
      </c>
      <c r="AB85" s="43">
        <v>1.0010950000000001</v>
      </c>
      <c r="AC85" s="43">
        <v>73.808310000000006</v>
      </c>
      <c r="AD85" s="43">
        <v>1.263682</v>
      </c>
      <c r="AE85" s="43">
        <v>1.412315</v>
      </c>
      <c r="AF85" s="43">
        <v>1.526977</v>
      </c>
      <c r="AG85" s="43">
        <v>338.38650000000001</v>
      </c>
      <c r="AH85" s="43">
        <v>134.20410000000001</v>
      </c>
      <c r="AI85" s="43">
        <v>2.631799</v>
      </c>
      <c r="AJ85" s="43">
        <v>2.6573331259652999</v>
      </c>
      <c r="AK85" s="43">
        <f t="shared" si="4"/>
        <v>28803.637619456145</v>
      </c>
      <c r="AL85" s="47">
        <v>8.8667500703545343E-3</v>
      </c>
      <c r="AM85" s="43">
        <v>2.75777794450048</v>
      </c>
      <c r="AN85" s="43">
        <v>0.907643268107727</v>
      </c>
      <c r="AO85" s="43">
        <v>2.7478510893291199</v>
      </c>
      <c r="AP85" s="43">
        <v>2.35036060414898</v>
      </c>
      <c r="AQ85" s="43">
        <v>3.8998360649225199</v>
      </c>
      <c r="AR85" s="43">
        <v>2.4729071352469401</v>
      </c>
      <c r="AS85" s="43">
        <v>2.1488750224637898</v>
      </c>
      <c r="AT85" s="43">
        <v>2.1782505947486599</v>
      </c>
      <c r="AU85" s="43">
        <v>2.6875239889381999</v>
      </c>
      <c r="AV85" s="43">
        <v>2242.942</v>
      </c>
      <c r="AW85" s="43">
        <v>1281.0309999999999</v>
      </c>
      <c r="AX85" s="43">
        <v>1.0973889999999999</v>
      </c>
      <c r="AY85" s="43">
        <v>1.61843</v>
      </c>
      <c r="AZ85" s="43">
        <v>235.37039999999999</v>
      </c>
      <c r="BA85" s="43">
        <v>0.75224530000000001</v>
      </c>
      <c r="BB85" s="43">
        <v>147.1832</v>
      </c>
      <c r="BC85" s="43">
        <v>30.634150000000002</v>
      </c>
      <c r="BD85" s="43">
        <v>5.7502940000000002</v>
      </c>
      <c r="BE85" s="43">
        <v>1.2721309999999999</v>
      </c>
      <c r="BF85" s="43">
        <v>3.4562590000000002</v>
      </c>
      <c r="BG85" s="43">
        <v>3.6314380000000002</v>
      </c>
      <c r="BH85" s="43">
        <v>3.2486299999999999</v>
      </c>
      <c r="BI85" s="43">
        <v>1.381505</v>
      </c>
      <c r="BJ85" s="43">
        <v>1.310676</v>
      </c>
      <c r="BK85" s="43">
        <v>98.117339999999999</v>
      </c>
      <c r="BL85" s="43">
        <v>100.58580000000001</v>
      </c>
      <c r="BM85" s="43">
        <v>1.0707260000000001</v>
      </c>
      <c r="BN85" s="43">
        <v>1.2599959999999999</v>
      </c>
      <c r="BO85" s="43">
        <v>39.713320000000003</v>
      </c>
      <c r="BP85" s="43">
        <v>1.32935358525831</v>
      </c>
      <c r="BQ85" s="43">
        <v>2948.319</v>
      </c>
      <c r="BR85" s="43">
        <v>592.86840585080199</v>
      </c>
      <c r="BS85" s="43">
        <v>11902.57</v>
      </c>
      <c r="BT85" s="43">
        <v>6259.3280000000004</v>
      </c>
      <c r="BU85" s="43">
        <v>1.0401130000000001</v>
      </c>
      <c r="BV85" s="43">
        <v>1.2673570000000001</v>
      </c>
      <c r="BW85" s="43">
        <v>1.3878539999999999</v>
      </c>
      <c r="BX85" s="43">
        <v>1.1208180000000001</v>
      </c>
      <c r="BY85" s="43">
        <v>2.3133560000000002</v>
      </c>
      <c r="BZ85" s="43">
        <v>2.7726850000000001</v>
      </c>
      <c r="CA85" s="43">
        <v>1.2828329999999999</v>
      </c>
      <c r="CB85" s="43">
        <v>0.79043660000000004</v>
      </c>
      <c r="CC85" s="43">
        <v>8.8436937057940206</v>
      </c>
      <c r="CD85" s="43">
        <v>0.93080130000000005</v>
      </c>
      <c r="CE85" s="43">
        <v>1.0060990000000001</v>
      </c>
      <c r="CF85" s="43">
        <v>1.0480590000000001</v>
      </c>
      <c r="CG85" s="43">
        <v>1.0502929999999999</v>
      </c>
      <c r="CH85" s="43">
        <v>0.99264581869351698</v>
      </c>
      <c r="CI85" s="43">
        <v>1.05235878474415</v>
      </c>
      <c r="CJ85" s="43">
        <v>1.00558007941898</v>
      </c>
      <c r="CK85" s="43">
        <v>1.0640850070069601</v>
      </c>
      <c r="CL85" s="43">
        <v>1.274184</v>
      </c>
      <c r="CM85" s="43">
        <v>1.215406</v>
      </c>
      <c r="CN85" s="43">
        <v>1.229303</v>
      </c>
      <c r="CO85" s="43">
        <v>1.522087</v>
      </c>
      <c r="CP85" s="43">
        <v>0.89220544025767701</v>
      </c>
      <c r="CQ85" s="43">
        <v>1.1295759999999999</v>
      </c>
      <c r="CR85" s="43">
        <v>3.54979373418846</v>
      </c>
      <c r="CS85" s="43">
        <v>72.083690772810996</v>
      </c>
      <c r="CT85" s="43">
        <v>92.593909896357701</v>
      </c>
      <c r="CU85" s="43">
        <v>21.466240346672201</v>
      </c>
      <c r="CV85" s="43">
        <v>24.059750566498</v>
      </c>
      <c r="CW85" s="43">
        <v>1.3266020000000001</v>
      </c>
      <c r="CX85" s="43">
        <v>1.2698750000000001</v>
      </c>
      <c r="CY85" s="43">
        <v>1.368404</v>
      </c>
      <c r="CZ85" s="43">
        <v>1.3121407941722401</v>
      </c>
      <c r="DA85" s="43">
        <v>1.2351604481729199</v>
      </c>
      <c r="DB85" s="43">
        <v>2.4413649845350598</v>
      </c>
      <c r="DC85" s="43">
        <v>1.0404911684115501</v>
      </c>
      <c r="DD85" s="43">
        <v>1.1484640669301001</v>
      </c>
      <c r="DE85" s="43">
        <v>1.46998594547515</v>
      </c>
      <c r="DF85" s="43">
        <v>1.2086236741735701</v>
      </c>
      <c r="DG85" s="43">
        <v>1.2343142545219701</v>
      </c>
      <c r="DH85" s="43">
        <v>1.14906080851974</v>
      </c>
      <c r="DI85" s="43">
        <v>1.69808767519008</v>
      </c>
      <c r="DJ85" s="43">
        <v>1.1371445467428101</v>
      </c>
      <c r="DK85" s="43">
        <v>1.5512790000000001</v>
      </c>
      <c r="DL85" s="43">
        <v>1.7487220000000001</v>
      </c>
      <c r="DM85" s="43">
        <v>2.0654789999999998</v>
      </c>
      <c r="DN85" s="43">
        <v>1.4403096783418501</v>
      </c>
      <c r="DO85" s="43">
        <v>1.9913400000000001</v>
      </c>
      <c r="DP85" s="43">
        <v>1.3990100000000001</v>
      </c>
      <c r="DQ85" s="43">
        <v>1.400638</v>
      </c>
      <c r="DR85" s="43">
        <v>1.6881649999999999</v>
      </c>
      <c r="DS85" s="43">
        <v>0.98548539999999996</v>
      </c>
      <c r="DT85" s="43">
        <v>1.3468299484272099</v>
      </c>
      <c r="DU85" s="43">
        <v>565.87249999999995</v>
      </c>
      <c r="DV85" s="43">
        <v>301.6481</v>
      </c>
      <c r="DW85" s="43">
        <v>104.9046</v>
      </c>
      <c r="DX85" s="43">
        <v>1.0752409999999999</v>
      </c>
      <c r="DY85" s="43">
        <v>1.1964969999999999</v>
      </c>
      <c r="DZ85" s="43">
        <v>1.0746530000000001</v>
      </c>
      <c r="EA85" s="43">
        <v>837.70479999999998</v>
      </c>
      <c r="EB85" s="43">
        <v>137.35509622777801</v>
      </c>
      <c r="EC85" s="43">
        <v>1.2293885116588299</v>
      </c>
      <c r="ED85" s="43">
        <v>1.28599792461214</v>
      </c>
      <c r="EE85" s="43">
        <v>1.27847130283512</v>
      </c>
      <c r="EF85" s="43">
        <v>1.5039334628755601</v>
      </c>
      <c r="EG85" s="43">
        <v>1.36606658364485</v>
      </c>
      <c r="EH85" s="43">
        <v>0.60483992211517201</v>
      </c>
      <c r="EI85" s="43">
        <v>0.24984565542484599</v>
      </c>
      <c r="EJ85" s="43">
        <v>28.619613997057598</v>
      </c>
      <c r="EK85" s="43">
        <v>16.239967602615</v>
      </c>
      <c r="EL85" s="43">
        <v>0.71528882375464997</v>
      </c>
      <c r="EM85" s="43">
        <v>2327.6211270116</v>
      </c>
      <c r="EN85" s="43">
        <v>579.55885319804895</v>
      </c>
      <c r="EO85" s="43">
        <v>86132.781067133794</v>
      </c>
      <c r="EP85" s="43">
        <v>58393.5901545249</v>
      </c>
      <c r="EQ85" s="43">
        <v>4153.9600766005997</v>
      </c>
      <c r="ER85" s="43">
        <v>1.80484632215716</v>
      </c>
      <c r="ES85" s="43">
        <v>1.92801406849829</v>
      </c>
      <c r="ET85" s="43">
        <v>1.7796507969495501</v>
      </c>
      <c r="EU85" s="43">
        <v>1.7868440000000001</v>
      </c>
      <c r="EV85" s="43">
        <v>1.6930069999999999</v>
      </c>
      <c r="EW85" s="43">
        <v>1.995109</v>
      </c>
      <c r="EX85" s="43">
        <v>1.7952429999999999</v>
      </c>
      <c r="EY85" s="43">
        <v>1.691368</v>
      </c>
      <c r="EZ85" s="43">
        <v>1.989268</v>
      </c>
      <c r="FA85" s="43">
        <v>13.647658795322601</v>
      </c>
      <c r="FB85" s="43">
        <v>13.4067934990306</v>
      </c>
      <c r="FC85" s="43">
        <v>58.307030024934797</v>
      </c>
      <c r="FD85" s="43">
        <v>14178.633661514899</v>
      </c>
      <c r="FE85" s="43">
        <v>128082.7</v>
      </c>
      <c r="FF85" s="43">
        <v>1.31296875</v>
      </c>
      <c r="FG85" s="43">
        <v>5.0520969693913704</v>
      </c>
      <c r="FH85" s="43">
        <v>893.77199237295201</v>
      </c>
      <c r="FI85" s="43">
        <v>15304.8444521402</v>
      </c>
      <c r="FJ85" s="43">
        <v>7.2949631204210199</v>
      </c>
      <c r="FK85" s="43">
        <v>17.868506381527801</v>
      </c>
      <c r="FL85" s="43">
        <v>1.1430370000000001</v>
      </c>
      <c r="FM85" s="43">
        <v>1.142814</v>
      </c>
    </row>
    <row r="86" spans="1:169" x14ac:dyDescent="0.25">
      <c r="A86" s="43" t="s">
        <v>313</v>
      </c>
      <c r="B86" s="43">
        <v>23027.47</v>
      </c>
      <c r="C86" s="43">
        <v>15905.55</v>
      </c>
      <c r="D86" s="43">
        <v>3.1747860000000001</v>
      </c>
      <c r="E86" s="43">
        <v>3.752567</v>
      </c>
      <c r="F86" s="43">
        <v>3.9700199999999999</v>
      </c>
      <c r="G86" s="43">
        <v>3.8327969999999998</v>
      </c>
      <c r="H86" s="43">
        <v>1.038859</v>
      </c>
      <c r="I86" s="43">
        <v>1.004648</v>
      </c>
      <c r="J86" s="43">
        <v>1.0215270000000001</v>
      </c>
      <c r="K86" s="43">
        <v>0.99958060000000004</v>
      </c>
      <c r="L86" s="43">
        <v>2.6041349999999999</v>
      </c>
      <c r="M86" s="43">
        <v>74.537090000000006</v>
      </c>
      <c r="N86" s="43">
        <v>79.588138013080098</v>
      </c>
      <c r="O86" s="43">
        <v>2.40979937308644</v>
      </c>
      <c r="P86" s="43">
        <v>1.5156829999999999</v>
      </c>
      <c r="Q86" s="43">
        <v>-739.62400000000002</v>
      </c>
      <c r="R86" s="43">
        <v>6.752567</v>
      </c>
      <c r="S86" s="43">
        <v>3454.2739999999999</v>
      </c>
      <c r="T86" s="43">
        <v>3.5481060000000002</v>
      </c>
      <c r="U86" s="43">
        <v>4.2199710000000001</v>
      </c>
      <c r="V86" s="43">
        <v>2705.5129999999999</v>
      </c>
      <c r="W86" s="43">
        <v>1.6846890000000001</v>
      </c>
      <c r="X86" s="43">
        <v>18113.560000000001</v>
      </c>
      <c r="Y86" s="43">
        <v>1.3073360000000001</v>
      </c>
      <c r="Z86" s="43">
        <v>0.7950682</v>
      </c>
      <c r="AA86" s="43">
        <v>1.177861</v>
      </c>
      <c r="AB86" s="43">
        <v>1.0053129999999999</v>
      </c>
      <c r="AC86" s="43">
        <v>72.704560000000001</v>
      </c>
      <c r="AD86" s="43">
        <v>1.27119</v>
      </c>
      <c r="AE86" s="43">
        <v>1.428512</v>
      </c>
      <c r="AF86" s="43">
        <v>1.5402940000000001</v>
      </c>
      <c r="AG86" s="43">
        <v>338.98880000000003</v>
      </c>
      <c r="AH86" s="43">
        <v>134.44300000000001</v>
      </c>
      <c r="AI86" s="43">
        <v>2.6453549999999999</v>
      </c>
      <c r="AJ86" s="43">
        <v>2.6664992456655301</v>
      </c>
      <c r="AK86" s="43">
        <f t="shared" si="4"/>
        <v>29107.859170860167</v>
      </c>
      <c r="AL86" s="47">
        <v>1.0561914277053885E-2</v>
      </c>
      <c r="AM86" s="43">
        <v>2.7470536874892701</v>
      </c>
      <c r="AN86" s="43">
        <v>0.88348984916483297</v>
      </c>
      <c r="AO86" s="43">
        <v>2.7570248734090601</v>
      </c>
      <c r="AP86" s="43">
        <v>2.3261956576874998</v>
      </c>
      <c r="AQ86" s="43">
        <v>3.95344283733849</v>
      </c>
      <c r="AR86" s="43">
        <v>2.4779819695635599</v>
      </c>
      <c r="AS86" s="43">
        <v>2.1460655676935199</v>
      </c>
      <c r="AT86" s="43">
        <v>2.1666979587655901</v>
      </c>
      <c r="AU86" s="43">
        <v>2.6976936890844998</v>
      </c>
      <c r="AV86" s="43">
        <v>2252.9679999999998</v>
      </c>
      <c r="AW86" s="43">
        <v>1287.3879999999999</v>
      </c>
      <c r="AX86" s="43">
        <v>1.100015</v>
      </c>
      <c r="AY86" s="43">
        <v>1.6268609999999999</v>
      </c>
      <c r="AZ86" s="43">
        <v>228.00919999999999</v>
      </c>
      <c r="BA86" s="43">
        <v>0.75751100000000005</v>
      </c>
      <c r="BB86" s="43">
        <v>148.53309999999999</v>
      </c>
      <c r="BC86" s="43">
        <v>30.851009999999999</v>
      </c>
      <c r="BD86" s="43">
        <v>5.7745790000000001</v>
      </c>
      <c r="BE86" s="43">
        <v>1.2746770000000001</v>
      </c>
      <c r="BF86" s="43">
        <v>3.268694</v>
      </c>
      <c r="BG86" s="43">
        <v>3.4615969999999998</v>
      </c>
      <c r="BH86" s="43">
        <v>3.2341259999999998</v>
      </c>
      <c r="BI86" s="43">
        <v>1.3873009999999999</v>
      </c>
      <c r="BJ86" s="43">
        <v>1.315439</v>
      </c>
      <c r="BK86" s="43">
        <v>95.978229999999996</v>
      </c>
      <c r="BL86" s="43">
        <v>98.397379999999998</v>
      </c>
      <c r="BM86" s="43">
        <v>1.0757140000000001</v>
      </c>
      <c r="BN86" s="43">
        <v>1.2624820000000001</v>
      </c>
      <c r="BO86" s="43">
        <v>39.818559999999998</v>
      </c>
      <c r="BP86" s="43">
        <v>1.3201127956884899</v>
      </c>
      <c r="BQ86" s="43">
        <v>2976.1790000000001</v>
      </c>
      <c r="BR86" s="43">
        <v>593.81956695000201</v>
      </c>
      <c r="BS86" s="43">
        <v>11946.95</v>
      </c>
      <c r="BT86" s="43">
        <v>6283.4880000000003</v>
      </c>
      <c r="BU86" s="43">
        <v>1.041085</v>
      </c>
      <c r="BV86" s="43">
        <v>1.2727409999999999</v>
      </c>
      <c r="BW86" s="43">
        <v>1.3884019999999999</v>
      </c>
      <c r="BX86" s="43">
        <v>1.126422</v>
      </c>
      <c r="BY86" s="43">
        <v>2.3067380000000002</v>
      </c>
      <c r="BZ86" s="43">
        <v>2.7493910000000001</v>
      </c>
      <c r="CA86" s="43">
        <v>1.333391</v>
      </c>
      <c r="CB86" s="43">
        <v>0.78806529999999997</v>
      </c>
      <c r="CC86" s="43">
        <v>8.7732961439568502</v>
      </c>
      <c r="CD86" s="43">
        <v>0.93225670000000005</v>
      </c>
      <c r="CE86" s="43">
        <v>1.0071870000000001</v>
      </c>
      <c r="CF86" s="43">
        <v>1.051569</v>
      </c>
      <c r="CG86" s="43">
        <v>1.053261</v>
      </c>
      <c r="CH86" s="43">
        <v>1.00097364168293</v>
      </c>
      <c r="CI86" s="43">
        <v>1.0513645306675199</v>
      </c>
      <c r="CJ86" s="43">
        <v>1.01213659996311</v>
      </c>
      <c r="CK86" s="43">
        <v>1.05997250605086</v>
      </c>
      <c r="CL86" s="43">
        <v>1.278003</v>
      </c>
      <c r="CM86" s="43">
        <v>1.2183930000000001</v>
      </c>
      <c r="CN86" s="43">
        <v>1.236483</v>
      </c>
      <c r="CO86" s="43">
        <v>1.5409619999999999</v>
      </c>
      <c r="CP86" s="43">
        <v>0.88776660722156897</v>
      </c>
      <c r="CQ86" s="43">
        <v>1.12957</v>
      </c>
      <c r="CR86" s="43">
        <v>3.6036091280857998</v>
      </c>
      <c r="CS86" s="43">
        <v>70.655691258954107</v>
      </c>
      <c r="CT86" s="43">
        <v>92.316128166668605</v>
      </c>
      <c r="CU86" s="43">
        <v>21.2953648016241</v>
      </c>
      <c r="CV86" s="43">
        <v>23.987571314798501</v>
      </c>
      <c r="CW86" s="43">
        <v>1.322387</v>
      </c>
      <c r="CX86" s="43">
        <v>1.2700450000000001</v>
      </c>
      <c r="CY86" s="43">
        <v>1.3502000000000001</v>
      </c>
      <c r="CZ86" s="43">
        <v>1.30986842238516</v>
      </c>
      <c r="DA86" s="43">
        <v>1.22604473294628</v>
      </c>
      <c r="DB86" s="43">
        <v>2.43501626026534</v>
      </c>
      <c r="DC86" s="43">
        <v>1.0345509720622701</v>
      </c>
      <c r="DD86" s="43">
        <v>1.1512955565943399</v>
      </c>
      <c r="DE86" s="43">
        <v>1.49325053292625</v>
      </c>
      <c r="DF86" s="43">
        <v>1.2233817550053601</v>
      </c>
      <c r="DG86" s="43">
        <v>1.2512099987873699</v>
      </c>
      <c r="DH86" s="43">
        <v>1.1491000720868401</v>
      </c>
      <c r="DI86" s="43">
        <v>1.7405520225522899</v>
      </c>
      <c r="DJ86" s="43">
        <v>1.14163311696698</v>
      </c>
      <c r="DK86" s="43">
        <v>1.557979</v>
      </c>
      <c r="DL86" s="43">
        <v>1.7629189999999999</v>
      </c>
      <c r="DM86" s="43">
        <v>2.053191</v>
      </c>
      <c r="DN86" s="43">
        <v>1.45036673468947</v>
      </c>
      <c r="DO86" s="43">
        <v>2.0021550000000001</v>
      </c>
      <c r="DP86" s="43">
        <v>1.412418</v>
      </c>
      <c r="DQ86" s="43">
        <v>1.3858509999999999</v>
      </c>
      <c r="DR86" s="43">
        <v>1.7042759999999999</v>
      </c>
      <c r="DS86" s="43">
        <v>0.97519639999999996</v>
      </c>
      <c r="DT86" s="43">
        <v>1.3448741507059301</v>
      </c>
      <c r="DU86" s="43">
        <v>567.49239999999998</v>
      </c>
      <c r="DV86" s="43">
        <v>303.08359999999999</v>
      </c>
      <c r="DW86" s="43">
        <v>105.4631</v>
      </c>
      <c r="DX86" s="43">
        <v>1.0768690000000001</v>
      </c>
      <c r="DY86" s="43">
        <v>1.1984669999999999</v>
      </c>
      <c r="DZ86" s="43">
        <v>1.074867</v>
      </c>
      <c r="EA86" s="43">
        <v>842.98</v>
      </c>
      <c r="EB86" s="43">
        <v>135.98154526549999</v>
      </c>
      <c r="EC86" s="43">
        <v>1.2298742902719</v>
      </c>
      <c r="ED86" s="43">
        <v>1.28655688649484</v>
      </c>
      <c r="EE86" s="43">
        <v>1.2789992259313701</v>
      </c>
      <c r="EF86" s="43">
        <v>1.5046464926530601</v>
      </c>
      <c r="EG86" s="43">
        <v>1.36663873580174</v>
      </c>
      <c r="EH86" s="43">
        <v>0.60605071965247803</v>
      </c>
      <c r="EI86" s="43">
        <v>0.250345808429358</v>
      </c>
      <c r="EJ86" s="43">
        <v>28.676906111680399</v>
      </c>
      <c r="EK86" s="43">
        <v>16.272477547908299</v>
      </c>
      <c r="EL86" s="43">
        <v>0.71672072319547397</v>
      </c>
      <c r="EM86" s="43">
        <v>2292.8132766642102</v>
      </c>
      <c r="EN86" s="43">
        <v>570.89197971270698</v>
      </c>
      <c r="EO86" s="43">
        <v>84844.729107733496</v>
      </c>
      <c r="EP86" s="43">
        <v>57520.357254308503</v>
      </c>
      <c r="EQ86" s="43">
        <v>4091.8406796689601</v>
      </c>
      <c r="ER86" s="43">
        <v>1.8055594862504101</v>
      </c>
      <c r="ES86" s="43">
        <v>1.92877590089812</v>
      </c>
      <c r="ET86" s="43">
        <v>1.7803540053232201</v>
      </c>
      <c r="EU86" s="43">
        <v>1.800951</v>
      </c>
      <c r="EV86" s="43">
        <v>1.7010400000000001</v>
      </c>
      <c r="EW86" s="43">
        <v>2.018926</v>
      </c>
      <c r="EX86" s="43">
        <v>1.795828</v>
      </c>
      <c r="EY86" s="43">
        <v>1.7012419999999999</v>
      </c>
      <c r="EZ86" s="43">
        <v>2.0203920000000002</v>
      </c>
      <c r="FA86" s="43">
        <v>13.756007223821999</v>
      </c>
      <c r="FB86" s="43">
        <v>13.5115331582185</v>
      </c>
      <c r="FC86" s="43">
        <v>58.326037941775198</v>
      </c>
      <c r="FD86" s="43">
        <v>14261.405994823799</v>
      </c>
      <c r="FE86" s="43">
        <v>130086.6</v>
      </c>
      <c r="FF86" s="43">
        <v>1.3243750000000001</v>
      </c>
      <c r="FG86" s="43">
        <v>5.0672532602995402</v>
      </c>
      <c r="FH86" s="43">
        <v>891.98444838820603</v>
      </c>
      <c r="FI86" s="43">
        <v>15228.3202298795</v>
      </c>
      <c r="FJ86" s="43">
        <v>7.2876681573006001</v>
      </c>
      <c r="FK86" s="43">
        <v>17.904243394290901</v>
      </c>
      <c r="FL86" s="43">
        <v>1.13855</v>
      </c>
      <c r="FM86" s="43">
        <v>1.1434550000000001</v>
      </c>
    </row>
    <row r="87" spans="1:169" x14ac:dyDescent="0.25">
      <c r="A87" s="43" t="s">
        <v>314</v>
      </c>
      <c r="B87" s="43">
        <v>23138.91</v>
      </c>
      <c r="C87" s="43">
        <v>15974.29</v>
      </c>
      <c r="D87" s="43">
        <v>3.194445</v>
      </c>
      <c r="E87" s="43">
        <v>3.752567</v>
      </c>
      <c r="F87" s="43">
        <v>3.9793970000000001</v>
      </c>
      <c r="G87" s="43">
        <v>3.795105</v>
      </c>
      <c r="H87" s="43">
        <v>1.0404139999999999</v>
      </c>
      <c r="I87" s="43">
        <v>1.006891</v>
      </c>
      <c r="J87" s="43">
        <v>1.0234650000000001</v>
      </c>
      <c r="K87" s="43">
        <v>1.0020739999999999</v>
      </c>
      <c r="L87" s="43">
        <v>2.6139920000000001</v>
      </c>
      <c r="M87" s="43">
        <v>73.562399999999997</v>
      </c>
      <c r="N87" s="43">
        <v>78.547392292603803</v>
      </c>
      <c r="O87" s="43">
        <v>2.2917604112163601</v>
      </c>
      <c r="P87" s="43">
        <v>1.5340469999999999</v>
      </c>
      <c r="Q87" s="43">
        <v>-736.65480000000002</v>
      </c>
      <c r="R87" s="43">
        <v>6.752567</v>
      </c>
      <c r="S87" s="43">
        <v>3464.904</v>
      </c>
      <c r="T87" s="43">
        <v>3.5011950000000001</v>
      </c>
      <c r="U87" s="43">
        <v>4.2143750000000004</v>
      </c>
      <c r="V87" s="43">
        <v>2717.4209999999998</v>
      </c>
      <c r="W87" s="43">
        <v>1.697325</v>
      </c>
      <c r="X87" s="43">
        <v>18287.87</v>
      </c>
      <c r="Y87" s="43">
        <v>1.308827</v>
      </c>
      <c r="Z87" s="43">
        <v>0.79550480000000001</v>
      </c>
      <c r="AA87" s="43">
        <v>1.1908780000000001</v>
      </c>
      <c r="AB87" s="43">
        <v>1.0079629999999999</v>
      </c>
      <c r="AC87" s="43">
        <v>71.750919999999994</v>
      </c>
      <c r="AD87" s="43">
        <v>1.278287</v>
      </c>
      <c r="AE87" s="43">
        <v>1.443681</v>
      </c>
      <c r="AF87" s="43">
        <v>1.5534829999999999</v>
      </c>
      <c r="AG87" s="43">
        <v>339.59120000000001</v>
      </c>
      <c r="AH87" s="43">
        <v>134.68190000000001</v>
      </c>
      <c r="AI87" s="43">
        <v>2.6581410000000001</v>
      </c>
      <c r="AJ87" s="43">
        <v>2.6743019962446799</v>
      </c>
      <c r="AK87" s="43">
        <f t="shared" si="4"/>
        <v>29412.021059280974</v>
      </c>
      <c r="AL87" s="47">
        <v>1.0449476432993876E-2</v>
      </c>
      <c r="AM87" s="43">
        <v>2.73788013850689</v>
      </c>
      <c r="AN87" s="43">
        <v>0.83264896593530802</v>
      </c>
      <c r="AO87" s="43">
        <v>2.7662935208599602</v>
      </c>
      <c r="AP87" s="43">
        <v>2.30418192945762</v>
      </c>
      <c r="AQ87" s="43">
        <v>3.9952244137297899</v>
      </c>
      <c r="AR87" s="43">
        <v>2.48434979356345</v>
      </c>
      <c r="AS87" s="43">
        <v>2.1431911603426399</v>
      </c>
      <c r="AT87" s="43">
        <v>2.15321168105468</v>
      </c>
      <c r="AU87" s="43">
        <v>2.7053119085605899</v>
      </c>
      <c r="AV87" s="43">
        <v>2264.038</v>
      </c>
      <c r="AW87" s="43">
        <v>1293.46</v>
      </c>
      <c r="AX87" s="43">
        <v>1.101362</v>
      </c>
      <c r="AY87" s="43">
        <v>1.6339490000000001</v>
      </c>
      <c r="AZ87" s="43">
        <v>229.04499999999999</v>
      </c>
      <c r="BA87" s="43">
        <v>0.76508609999999999</v>
      </c>
      <c r="BB87" s="43">
        <v>149.4494</v>
      </c>
      <c r="BC87" s="43">
        <v>31.06897</v>
      </c>
      <c r="BD87" s="43">
        <v>5.614884</v>
      </c>
      <c r="BE87" s="43">
        <v>1.27599</v>
      </c>
      <c r="BF87" s="43">
        <v>3.1988639999999999</v>
      </c>
      <c r="BG87" s="43">
        <v>3.418463</v>
      </c>
      <c r="BH87" s="43">
        <v>3.2359200000000001</v>
      </c>
      <c r="BI87" s="43">
        <v>1.3920300000000001</v>
      </c>
      <c r="BJ87" s="43">
        <v>1.3192969999999999</v>
      </c>
      <c r="BK87" s="43">
        <v>93.781490000000005</v>
      </c>
      <c r="BL87" s="43">
        <v>96.149180000000001</v>
      </c>
      <c r="BM87" s="43">
        <v>1.077086</v>
      </c>
      <c r="BN87" s="43">
        <v>1.2632209999999999</v>
      </c>
      <c r="BO87" s="43">
        <v>39.924079999999996</v>
      </c>
      <c r="BP87" s="43">
        <v>1.30704237196881</v>
      </c>
      <c r="BQ87" s="43">
        <v>3003.3029999999999</v>
      </c>
      <c r="BR87" s="43">
        <v>594.17707591968997</v>
      </c>
      <c r="BS87" s="43">
        <v>11991.5</v>
      </c>
      <c r="BT87" s="43">
        <v>6316.4650000000001</v>
      </c>
      <c r="BU87" s="43">
        <v>1.0425789999999999</v>
      </c>
      <c r="BV87" s="43">
        <v>1.2780530000000001</v>
      </c>
      <c r="BW87" s="43">
        <v>1.37751</v>
      </c>
      <c r="BX87" s="43">
        <v>1.126422</v>
      </c>
      <c r="BY87" s="43">
        <v>2.3027989999999998</v>
      </c>
      <c r="BZ87" s="43">
        <v>2.7288250000000001</v>
      </c>
      <c r="CA87" s="43">
        <v>1.3833009999999999</v>
      </c>
      <c r="CB87" s="43">
        <v>0.78570110000000004</v>
      </c>
      <c r="CC87" s="43">
        <v>8.7469762555249808</v>
      </c>
      <c r="CD87" s="43">
        <v>0.93410820000000006</v>
      </c>
      <c r="CE87" s="43">
        <v>1.0087660000000001</v>
      </c>
      <c r="CF87" s="43">
        <v>1.0553760000000001</v>
      </c>
      <c r="CG87" s="43">
        <v>1.0554190000000001</v>
      </c>
      <c r="CH87" s="43">
        <v>1.0073568219819</v>
      </c>
      <c r="CI87" s="43">
        <v>1.0509753811551901</v>
      </c>
      <c r="CJ87" s="43">
        <v>1.01833190988237</v>
      </c>
      <c r="CK87" s="43">
        <v>1.0573063304038901</v>
      </c>
      <c r="CL87" s="43">
        <v>1.282267</v>
      </c>
      <c r="CM87" s="43">
        <v>1.2220759999999999</v>
      </c>
      <c r="CN87" s="43">
        <v>1.243571</v>
      </c>
      <c r="CO87" s="43">
        <v>1.536602</v>
      </c>
      <c r="CP87" s="43">
        <v>0.88776660722156897</v>
      </c>
      <c r="CQ87" s="43">
        <v>1.1298569999999999</v>
      </c>
      <c r="CR87" s="43">
        <v>3.63981050283207</v>
      </c>
      <c r="CS87" s="43">
        <v>69.731751961706493</v>
      </c>
      <c r="CT87" s="43">
        <v>93.054657192001997</v>
      </c>
      <c r="CU87" s="43">
        <v>21.2314787072192</v>
      </c>
      <c r="CV87" s="43">
        <v>23.9156086008541</v>
      </c>
      <c r="CW87" s="43">
        <v>1.3101320000000001</v>
      </c>
      <c r="CX87" s="43">
        <v>1.262162</v>
      </c>
      <c r="CY87" s="43">
        <v>1.328184</v>
      </c>
      <c r="CZ87" s="43">
        <v>1.29995357618031</v>
      </c>
      <c r="DA87" s="43">
        <v>1.2130816132886599</v>
      </c>
      <c r="DB87" s="43">
        <v>2.4194981970714999</v>
      </c>
      <c r="DC87" s="43">
        <v>1.0294722587921901</v>
      </c>
      <c r="DD87" s="43">
        <v>1.1467056793254999</v>
      </c>
      <c r="DE87" s="43">
        <v>1.5002249052091901</v>
      </c>
      <c r="DF87" s="43">
        <v>1.2364294446506601</v>
      </c>
      <c r="DG87" s="43">
        <v>1.26073414956411</v>
      </c>
      <c r="DH87" s="43">
        <v>1.14250712948216</v>
      </c>
      <c r="DI87" s="43">
        <v>1.7621743967057699</v>
      </c>
      <c r="DJ87" s="43">
        <v>1.15522181776421</v>
      </c>
      <c r="DK87" s="43">
        <v>1.5373619999999999</v>
      </c>
      <c r="DL87" s="43">
        <v>1.7496769999999999</v>
      </c>
      <c r="DM87" s="43">
        <v>1.990103</v>
      </c>
      <c r="DN87" s="43">
        <v>1.44973483817658</v>
      </c>
      <c r="DO87" s="43">
        <v>1.941603</v>
      </c>
      <c r="DP87" s="43">
        <v>1.407996</v>
      </c>
      <c r="DQ87" s="43">
        <v>1.313693</v>
      </c>
      <c r="DR87" s="43">
        <v>1.707735</v>
      </c>
      <c r="DS87" s="43">
        <v>0.90918580000000004</v>
      </c>
      <c r="DT87" s="43">
        <v>1.3195600797579601</v>
      </c>
      <c r="DU87" s="43">
        <v>569.4683</v>
      </c>
      <c r="DV87" s="43">
        <v>304.06670000000003</v>
      </c>
      <c r="DW87" s="43">
        <v>105.71899999999999</v>
      </c>
      <c r="DX87" s="43">
        <v>1.0775950000000001</v>
      </c>
      <c r="DY87" s="43">
        <v>1.2007969999999999</v>
      </c>
      <c r="DZ87" s="43">
        <v>1.0743819999999999</v>
      </c>
      <c r="EA87" s="43">
        <v>851.04049999999995</v>
      </c>
      <c r="EB87" s="43">
        <v>134.62172981284499</v>
      </c>
      <c r="EC87" s="43">
        <v>1.2202258542189</v>
      </c>
      <c r="ED87" s="43">
        <v>1.2754544607098</v>
      </c>
      <c r="EE87" s="43">
        <v>1.2685207579212301</v>
      </c>
      <c r="EF87" s="43">
        <v>1.49044773994554</v>
      </c>
      <c r="EG87" s="43">
        <v>1.35526595365053</v>
      </c>
      <c r="EH87" s="43">
        <v>0.60667474014774803</v>
      </c>
      <c r="EI87" s="43">
        <v>0.25060357714458098</v>
      </c>
      <c r="EJ87" s="43">
        <v>28.706433305649998</v>
      </c>
      <c r="EK87" s="43">
        <v>16.289232514397799</v>
      </c>
      <c r="EL87" s="43">
        <v>0.71745869512778204</v>
      </c>
      <c r="EM87" s="43">
        <v>2262.7392939640699</v>
      </c>
      <c r="EN87" s="43">
        <v>563.40380102136999</v>
      </c>
      <c r="EO87" s="43">
        <v>83731.852214811501</v>
      </c>
      <c r="EP87" s="43">
        <v>56765.884028521497</v>
      </c>
      <c r="EQ87" s="43">
        <v>4038.16952072</v>
      </c>
      <c r="ER87" s="43">
        <v>1.79139476601781</v>
      </c>
      <c r="ES87" s="43">
        <v>1.9136445406545799</v>
      </c>
      <c r="ET87" s="43">
        <v>1.7663870235691199</v>
      </c>
      <c r="EU87" s="43">
        <v>1.813377</v>
      </c>
      <c r="EV87" s="43">
        <v>1.708132</v>
      </c>
      <c r="EW87" s="43">
        <v>2.0403479999999998</v>
      </c>
      <c r="EX87" s="43">
        <v>1.806578</v>
      </c>
      <c r="EY87" s="43">
        <v>1.7095089999999999</v>
      </c>
      <c r="EZ87" s="43">
        <v>2.0434480000000002</v>
      </c>
      <c r="FA87" s="43">
        <v>13.851452209702099</v>
      </c>
      <c r="FB87" s="43">
        <v>13.603808802355699</v>
      </c>
      <c r="FC87" s="43">
        <v>58.675167690147497</v>
      </c>
      <c r="FD87" s="43">
        <v>14330.7094281258</v>
      </c>
      <c r="FE87" s="43">
        <v>131571.20000000001</v>
      </c>
      <c r="FF87" s="43">
        <v>1.3316250000000001</v>
      </c>
      <c r="FG87" s="43">
        <v>5.0773877668201397</v>
      </c>
      <c r="FH87" s="43">
        <v>892.87643283659497</v>
      </c>
      <c r="FI87" s="43">
        <v>15152.1786287301</v>
      </c>
      <c r="FJ87" s="43">
        <v>7.2803804891433002</v>
      </c>
      <c r="FK87" s="43">
        <v>17.9221476376851</v>
      </c>
      <c r="FL87" s="43">
        <v>1.1343650000000001</v>
      </c>
      <c r="FM87" s="43">
        <v>1.146665</v>
      </c>
    </row>
    <row r="88" spans="1:169" x14ac:dyDescent="0.25">
      <c r="A88" s="43" t="s">
        <v>315</v>
      </c>
      <c r="B88" s="43">
        <v>23265.71</v>
      </c>
      <c r="C88" s="43">
        <v>16056.57</v>
      </c>
      <c r="D88" s="43">
        <v>3.2110859999999999</v>
      </c>
      <c r="E88" s="43">
        <v>3.752567</v>
      </c>
      <c r="F88" s="43">
        <v>3.9830589999999999</v>
      </c>
      <c r="G88" s="43">
        <v>3.7759849999999999</v>
      </c>
      <c r="H88" s="43">
        <v>1.04223</v>
      </c>
      <c r="I88" s="43">
        <v>1.0093099999999999</v>
      </c>
      <c r="J88" s="43">
        <v>1.025606</v>
      </c>
      <c r="K88" s="43">
        <v>1.0047459999999999</v>
      </c>
      <c r="L88" s="43">
        <v>2.623494</v>
      </c>
      <c r="M88" s="43">
        <v>72.614779999999996</v>
      </c>
      <c r="N88" s="43">
        <v>77.535556175474298</v>
      </c>
      <c r="O88" s="43">
        <v>2.2587061745161301</v>
      </c>
      <c r="P88" s="43">
        <v>1.5465120000000001</v>
      </c>
      <c r="Q88" s="43">
        <v>-731.70929999999998</v>
      </c>
      <c r="R88" s="43">
        <v>6.752567</v>
      </c>
      <c r="S88" s="43">
        <v>3477.741</v>
      </c>
      <c r="T88" s="43">
        <v>3.4649899999999998</v>
      </c>
      <c r="U88" s="43">
        <v>4.20878</v>
      </c>
      <c r="V88" s="43">
        <v>2731.5880000000002</v>
      </c>
      <c r="W88" s="43">
        <v>1.7083029999999999</v>
      </c>
      <c r="X88" s="43">
        <v>18417.8</v>
      </c>
      <c r="Y88" s="43">
        <v>1.3104769999999999</v>
      </c>
      <c r="Z88" s="43">
        <v>0.79603279999999998</v>
      </c>
      <c r="AA88" s="43">
        <v>1.203049</v>
      </c>
      <c r="AB88" s="43">
        <v>1.0095350000000001</v>
      </c>
      <c r="AC88" s="43">
        <v>70.823779999999999</v>
      </c>
      <c r="AD88" s="43">
        <v>1.2842340000000001</v>
      </c>
      <c r="AE88" s="43">
        <v>1.456118</v>
      </c>
      <c r="AF88" s="43">
        <v>1.5647599999999999</v>
      </c>
      <c r="AG88" s="43">
        <v>340.19349999999997</v>
      </c>
      <c r="AH88" s="43">
        <v>134.92070000000001</v>
      </c>
      <c r="AI88" s="43">
        <v>2.671084</v>
      </c>
      <c r="AJ88" s="43">
        <v>2.6824230216821801</v>
      </c>
      <c r="AK88" s="43">
        <f t="shared" si="4"/>
        <v>29710.803335382061</v>
      </c>
      <c r="AL88" s="47">
        <v>1.0158508845715897E-2</v>
      </c>
      <c r="AM88" s="43">
        <v>2.7286574077091998</v>
      </c>
      <c r="AN88" s="43">
        <v>0.80563242177556404</v>
      </c>
      <c r="AO88" s="43">
        <v>2.7754761291208698</v>
      </c>
      <c r="AP88" s="43">
        <v>2.2830367565017902</v>
      </c>
      <c r="AQ88" s="43">
        <v>4.0293829363959404</v>
      </c>
      <c r="AR88" s="43">
        <v>2.4910407983546201</v>
      </c>
      <c r="AS88" s="43">
        <v>2.14131785156885</v>
      </c>
      <c r="AT88" s="43">
        <v>2.1447577540114202</v>
      </c>
      <c r="AU88" s="43">
        <v>2.7126444444267199</v>
      </c>
      <c r="AV88" s="43">
        <v>2278.6129999999998</v>
      </c>
      <c r="AW88" s="43">
        <v>1303.6890000000001</v>
      </c>
      <c r="AX88" s="43">
        <v>1.1057140000000001</v>
      </c>
      <c r="AY88" s="43">
        <v>1.6407119999999999</v>
      </c>
      <c r="AZ88" s="43">
        <v>230.1687</v>
      </c>
      <c r="BA88" s="43">
        <v>0.77273700000000001</v>
      </c>
      <c r="BB88" s="43">
        <v>150.0564</v>
      </c>
      <c r="BC88" s="43">
        <v>31.25346</v>
      </c>
      <c r="BD88" s="43">
        <v>5.614884</v>
      </c>
      <c r="BE88" s="43">
        <v>1.27691</v>
      </c>
      <c r="BF88" s="43">
        <v>3.144301</v>
      </c>
      <c r="BG88" s="43">
        <v>3.3796309999999998</v>
      </c>
      <c r="BH88" s="43">
        <v>3.232777</v>
      </c>
      <c r="BI88" s="43">
        <v>1.396576</v>
      </c>
      <c r="BJ88" s="43">
        <v>1.3231139999999999</v>
      </c>
      <c r="BK88" s="43">
        <v>91.653139999999993</v>
      </c>
      <c r="BL88" s="43">
        <v>93.970889999999997</v>
      </c>
      <c r="BM88" s="43">
        <v>1.080023</v>
      </c>
      <c r="BN88" s="43">
        <v>1.265468</v>
      </c>
      <c r="BO88" s="43">
        <v>40.029879999999999</v>
      </c>
      <c r="BP88" s="43">
        <v>1.2941013305809299</v>
      </c>
      <c r="BQ88" s="43">
        <v>3033.9810000000002</v>
      </c>
      <c r="BR88" s="43">
        <v>593.96283419464498</v>
      </c>
      <c r="BS88" s="43">
        <v>12036.22</v>
      </c>
      <c r="BT88" s="43">
        <v>6332.01</v>
      </c>
      <c r="BU88" s="43">
        <v>1.048875</v>
      </c>
      <c r="BV88" s="43">
        <v>1.284427</v>
      </c>
      <c r="BW88" s="43">
        <v>1.3784350000000001</v>
      </c>
      <c r="BX88" s="43">
        <v>1.1320539999999999</v>
      </c>
      <c r="BY88" s="43">
        <v>2.3123149999999999</v>
      </c>
      <c r="BZ88" s="43">
        <v>2.7180949999999999</v>
      </c>
      <c r="CA88" s="43">
        <v>1.4413899999999999</v>
      </c>
      <c r="CB88" s="43">
        <v>0.78334400000000004</v>
      </c>
      <c r="CC88" s="43">
        <v>8.6338312890356104</v>
      </c>
      <c r="CD88" s="43">
        <v>0.94092909999999996</v>
      </c>
      <c r="CE88" s="43">
        <v>1.0152239999999999</v>
      </c>
      <c r="CF88" s="43">
        <v>1.065347</v>
      </c>
      <c r="CG88" s="43">
        <v>1.059842</v>
      </c>
      <c r="CH88" s="43">
        <v>1.01371571300843</v>
      </c>
      <c r="CI88" s="43">
        <v>1.0530186439328399</v>
      </c>
      <c r="CJ88" s="43">
        <v>1.0272934248463399</v>
      </c>
      <c r="CK88" s="43">
        <v>1.0581053053009299</v>
      </c>
      <c r="CL88" s="43">
        <v>1.2879430000000001</v>
      </c>
      <c r="CM88" s="43">
        <v>1.2246459999999999</v>
      </c>
      <c r="CN88" s="43">
        <v>1.2519290000000001</v>
      </c>
      <c r="CO88" s="43">
        <v>1.5459590000000001</v>
      </c>
      <c r="CP88" s="43">
        <v>0.88334985793190901</v>
      </c>
      <c r="CQ88" s="43">
        <v>1.131672</v>
      </c>
      <c r="CR88" s="43">
        <v>3.6667163611662801</v>
      </c>
      <c r="CS88" s="43">
        <v>68.491022532276801</v>
      </c>
      <c r="CT88" s="43">
        <v>93.612985135154005</v>
      </c>
      <c r="CU88" s="43">
        <v>21.062471911539799</v>
      </c>
      <c r="CV88" s="43">
        <v>23.843861775051501</v>
      </c>
      <c r="CW88" s="43">
        <v>1.3077799999999999</v>
      </c>
      <c r="CX88" s="43">
        <v>1.262656</v>
      </c>
      <c r="CY88" s="43">
        <v>1.3155319999999999</v>
      </c>
      <c r="CZ88" s="43">
        <v>1.2982341126658401</v>
      </c>
      <c r="DA88" s="43">
        <v>1.2062842287439</v>
      </c>
      <c r="DB88" s="43">
        <v>2.4163258953325002</v>
      </c>
      <c r="DC88" s="43">
        <v>1.0245535065931299</v>
      </c>
      <c r="DD88" s="43">
        <v>1.14986719367563</v>
      </c>
      <c r="DE88" s="43">
        <v>1.51494285234049</v>
      </c>
      <c r="DF88" s="43">
        <v>1.2487961185548899</v>
      </c>
      <c r="DG88" s="43">
        <v>1.27572644580487</v>
      </c>
      <c r="DH88" s="43">
        <v>1.1426869997492901</v>
      </c>
      <c r="DI88" s="43">
        <v>1.79080589820378</v>
      </c>
      <c r="DJ88" s="43">
        <v>1.16049782072595</v>
      </c>
      <c r="DK88" s="43">
        <v>1.5462210000000001</v>
      </c>
      <c r="DL88" s="43">
        <v>1.7574920000000001</v>
      </c>
      <c r="DM88" s="43">
        <v>1.9807630000000001</v>
      </c>
      <c r="DN88" s="43">
        <v>1.4557051126670799</v>
      </c>
      <c r="DO88" s="43">
        <v>1.9483189999999999</v>
      </c>
      <c r="DP88" s="43">
        <v>1.4197040000000001</v>
      </c>
      <c r="DQ88" s="43">
        <v>1.3032999999999999</v>
      </c>
      <c r="DR88" s="43">
        <v>1.7206539999999999</v>
      </c>
      <c r="DS88" s="43">
        <v>0.90064999999999995</v>
      </c>
      <c r="DT88" s="43">
        <v>1.3183361802837199</v>
      </c>
      <c r="DU88" s="43">
        <v>570.46230000000003</v>
      </c>
      <c r="DV88" s="43">
        <v>304.6533</v>
      </c>
      <c r="DW88" s="43">
        <v>105.8857</v>
      </c>
      <c r="DX88" s="43">
        <v>1.078921</v>
      </c>
      <c r="DY88" s="43">
        <v>1.2031909999999999</v>
      </c>
      <c r="DZ88" s="43">
        <v>1.0742940000000001</v>
      </c>
      <c r="EA88" s="43">
        <v>855.18949999999995</v>
      </c>
      <c r="EB88" s="43">
        <v>133.41013424453001</v>
      </c>
      <c r="EC88" s="43">
        <v>1.22104529054171</v>
      </c>
      <c r="ED88" s="43">
        <v>1.2763966379965099</v>
      </c>
      <c r="EE88" s="43">
        <v>1.26941100978143</v>
      </c>
      <c r="EF88" s="43">
        <v>1.4916485812262501</v>
      </c>
      <c r="EG88" s="43">
        <v>1.3562306245207101</v>
      </c>
      <c r="EH88" s="43">
        <v>0.60711213262735397</v>
      </c>
      <c r="EI88" s="43">
        <v>0.25078425405883398</v>
      </c>
      <c r="EJ88" s="43">
        <v>28.727129697329602</v>
      </c>
      <c r="EK88" s="43">
        <v>16.3009765138242</v>
      </c>
      <c r="EL88" s="43">
        <v>0.71797595918529</v>
      </c>
      <c r="EM88" s="43">
        <v>2233.50069967226</v>
      </c>
      <c r="EN88" s="43">
        <v>556.12362729368203</v>
      </c>
      <c r="EO88" s="43">
        <v>82649.888568915296</v>
      </c>
      <c r="EP88" s="43">
        <v>56032.368392339798</v>
      </c>
      <c r="EQ88" s="43">
        <v>3985.9892272974198</v>
      </c>
      <c r="ER88" s="43">
        <v>1.79259776785118</v>
      </c>
      <c r="ES88" s="43">
        <v>1.91492963868796</v>
      </c>
      <c r="ET88" s="43">
        <v>1.76757323158318</v>
      </c>
      <c r="EU88" s="43">
        <v>1.8254079999999999</v>
      </c>
      <c r="EV88" s="43">
        <v>1.7151110000000001</v>
      </c>
      <c r="EW88" s="43">
        <v>2.0610460000000002</v>
      </c>
      <c r="EX88" s="43">
        <v>1.8295250000000001</v>
      </c>
      <c r="EY88" s="43">
        <v>1.7148540000000001</v>
      </c>
      <c r="EZ88" s="43">
        <v>2.0608379999999999</v>
      </c>
      <c r="FA88" s="43">
        <v>13.943857518067899</v>
      </c>
      <c r="FB88" s="43">
        <v>13.6931436972074</v>
      </c>
      <c r="FC88" s="43">
        <v>59.420446576359502</v>
      </c>
      <c r="FD88" s="43">
        <v>14375.5138085862</v>
      </c>
      <c r="FE88" s="43">
        <v>132690.79999999999</v>
      </c>
      <c r="FF88" s="43">
        <v>1.338625</v>
      </c>
      <c r="FG88" s="43">
        <v>5.0875425423537797</v>
      </c>
      <c r="FH88" s="43">
        <v>889.304927105248</v>
      </c>
      <c r="FI88" s="43">
        <v>15076.417735586499</v>
      </c>
      <c r="FJ88" s="43">
        <v>7.2876608696324396</v>
      </c>
      <c r="FK88" s="43">
        <v>17.9579919329605</v>
      </c>
      <c r="FL88" s="43">
        <v>1.1296600000000001</v>
      </c>
      <c r="FM88" s="43">
        <v>1.1456789999999999</v>
      </c>
    </row>
    <row r="89" spans="1:169" x14ac:dyDescent="0.25">
      <c r="A89" s="43" t="s">
        <v>316</v>
      </c>
      <c r="B89" s="43">
        <v>23401.21</v>
      </c>
      <c r="C89" s="43">
        <v>16140.21</v>
      </c>
      <c r="D89" s="43">
        <v>3.2293919999999998</v>
      </c>
      <c r="E89" s="43">
        <v>3.752567</v>
      </c>
      <c r="F89" s="43">
        <v>4.0028269999999999</v>
      </c>
      <c r="G89" s="43">
        <v>3.7569620000000001</v>
      </c>
      <c r="H89" s="43">
        <v>1.044567</v>
      </c>
      <c r="I89" s="43">
        <v>1.012256</v>
      </c>
      <c r="J89" s="43">
        <v>1.028219</v>
      </c>
      <c r="K89" s="43">
        <v>1.0075499999999999</v>
      </c>
      <c r="L89" s="43">
        <v>2.6352229999999999</v>
      </c>
      <c r="M89" s="43">
        <v>72.398179999999996</v>
      </c>
      <c r="N89" s="43">
        <v>77.304279348701797</v>
      </c>
      <c r="O89" s="43">
        <v>2.2697242534162001</v>
      </c>
      <c r="P89" s="43">
        <v>1.563078</v>
      </c>
      <c r="Q89" s="43">
        <v>-727.24599999999998</v>
      </c>
      <c r="R89" s="43">
        <v>6.752567</v>
      </c>
      <c r="S89" s="43">
        <v>3490.7060000000001</v>
      </c>
      <c r="T89" s="43">
        <v>3.4426410000000001</v>
      </c>
      <c r="U89" s="43">
        <v>4.2604319999999998</v>
      </c>
      <c r="V89" s="43">
        <v>2749.221</v>
      </c>
      <c r="W89" s="43">
        <v>1.7198910000000001</v>
      </c>
      <c r="X89" s="43">
        <v>18546.75</v>
      </c>
      <c r="Y89" s="43">
        <v>1.3121050000000001</v>
      </c>
      <c r="Z89" s="43">
        <v>0.79697720000000005</v>
      </c>
      <c r="AA89" s="43">
        <v>1.21509</v>
      </c>
      <c r="AB89" s="43">
        <v>1.0112639999999999</v>
      </c>
      <c r="AC89" s="43">
        <v>70.611850000000004</v>
      </c>
      <c r="AD89" s="43">
        <v>1.290581</v>
      </c>
      <c r="AE89" s="43">
        <v>1.4693579999999999</v>
      </c>
      <c r="AF89" s="43">
        <v>1.576427</v>
      </c>
      <c r="AG89" s="43">
        <v>340.79590000000002</v>
      </c>
      <c r="AH89" s="43">
        <v>135.15960000000001</v>
      </c>
      <c r="AI89" s="43">
        <v>2.687087</v>
      </c>
      <c r="AJ89" s="43">
        <v>2.6944601872062499</v>
      </c>
      <c r="AK89" s="43">
        <f t="shared" si="4"/>
        <v>30031.501813983457</v>
      </c>
      <c r="AL89" s="47">
        <v>1.0794002268510905E-2</v>
      </c>
      <c r="AM89" s="43">
        <v>2.7203339693189501</v>
      </c>
      <c r="AN89" s="43">
        <v>0.79710271085003903</v>
      </c>
      <c r="AO89" s="43">
        <v>2.78556007353159</v>
      </c>
      <c r="AP89" s="43">
        <v>2.27975581001943</v>
      </c>
      <c r="AQ89" s="43">
        <v>4.0638095973268697</v>
      </c>
      <c r="AR89" s="43">
        <v>2.5001927086104399</v>
      </c>
      <c r="AS89" s="43">
        <v>2.1463709095871799</v>
      </c>
      <c r="AT89" s="43">
        <v>2.1463560388753602</v>
      </c>
      <c r="AU89" s="43">
        <v>2.7223583997754299</v>
      </c>
      <c r="AV89" s="43">
        <v>2289.3609999999999</v>
      </c>
      <c r="AW89" s="43">
        <v>1311.8219999999999</v>
      </c>
      <c r="AX89" s="43">
        <v>1.110331</v>
      </c>
      <c r="AY89" s="43">
        <v>1.648617</v>
      </c>
      <c r="AZ89" s="43">
        <v>234.5104</v>
      </c>
      <c r="BA89" s="43">
        <v>0.77706430000000004</v>
      </c>
      <c r="BB89" s="43">
        <v>151.0428</v>
      </c>
      <c r="BC89" s="43">
        <v>31.432919999999999</v>
      </c>
      <c r="BD89" s="43">
        <v>5.510904</v>
      </c>
      <c r="BE89" s="43">
        <v>1.2805610000000001</v>
      </c>
      <c r="BF89" s="43">
        <v>3.1010179999999998</v>
      </c>
      <c r="BG89" s="43">
        <v>3.3434110000000001</v>
      </c>
      <c r="BH89" s="43">
        <v>3.2411150000000002</v>
      </c>
      <c r="BI89" s="43">
        <v>1.402212</v>
      </c>
      <c r="BJ89" s="43">
        <v>1.3282750000000001</v>
      </c>
      <c r="BK89" s="43">
        <v>90.87003</v>
      </c>
      <c r="BL89" s="43">
        <v>93.168840000000003</v>
      </c>
      <c r="BM89" s="43">
        <v>1.08388</v>
      </c>
      <c r="BN89" s="43">
        <v>1.2681229999999999</v>
      </c>
      <c r="BO89" s="43">
        <v>40.135959999999997</v>
      </c>
      <c r="BP89" s="43">
        <v>1.2868947201481</v>
      </c>
      <c r="BQ89" s="43">
        <v>3061.5569999999998</v>
      </c>
      <c r="BR89" s="43">
        <v>595.50640439095605</v>
      </c>
      <c r="BS89" s="43">
        <v>12099.65</v>
      </c>
      <c r="BT89" s="43">
        <v>6360.82</v>
      </c>
      <c r="BU89" s="43">
        <v>1.054081</v>
      </c>
      <c r="BV89" s="43">
        <v>1.2891809999999999</v>
      </c>
      <c r="BW89" s="43">
        <v>1.380722</v>
      </c>
      <c r="BX89" s="43">
        <v>1.1354500000000001</v>
      </c>
      <c r="BY89" s="43">
        <v>2.3165689999999999</v>
      </c>
      <c r="BZ89" s="43">
        <v>2.7047289999999999</v>
      </c>
      <c r="CA89" s="43">
        <v>1.4927079999999999</v>
      </c>
      <c r="CB89" s="43">
        <v>0.78256060000000005</v>
      </c>
      <c r="CC89" s="43">
        <v>8.5907912526994394</v>
      </c>
      <c r="CD89" s="43">
        <v>0.94659269999999995</v>
      </c>
      <c r="CE89" s="43">
        <v>1.0205679999999999</v>
      </c>
      <c r="CF89" s="43">
        <v>1.0737699999999999</v>
      </c>
      <c r="CG89" s="43">
        <v>1.062991</v>
      </c>
      <c r="CH89" s="43">
        <v>1.01910821174458</v>
      </c>
      <c r="CI89" s="43">
        <v>1.0556066515595599</v>
      </c>
      <c r="CJ89" s="43">
        <v>1.03548567304356</v>
      </c>
      <c r="CK89" s="43">
        <v>1.0596858391759501</v>
      </c>
      <c r="CL89" s="43">
        <v>1.2922279999999999</v>
      </c>
      <c r="CM89" s="43">
        <v>1.2277800000000001</v>
      </c>
      <c r="CN89" s="43">
        <v>1.258335</v>
      </c>
      <c r="CO89" s="43">
        <v>1.554686</v>
      </c>
      <c r="CP89" s="43">
        <v>0.88070773472772601</v>
      </c>
      <c r="CQ89" s="43">
        <v>1.134971</v>
      </c>
      <c r="CR89" s="43">
        <v>3.6851000262465901</v>
      </c>
      <c r="CS89" s="43">
        <v>68.082476749954495</v>
      </c>
      <c r="CT89" s="43">
        <v>94.081050060829796</v>
      </c>
      <c r="CU89" s="43">
        <v>20.9784740175756</v>
      </c>
      <c r="CV89" s="43">
        <v>23.820017913276399</v>
      </c>
      <c r="CW89" s="43">
        <v>1.307061</v>
      </c>
      <c r="CX89" s="43">
        <v>1.2641340000000001</v>
      </c>
      <c r="CY89" s="43">
        <v>1.3057380000000001</v>
      </c>
      <c r="CZ89" s="43">
        <v>1.29757799295941</v>
      </c>
      <c r="DA89" s="43">
        <v>1.20096454435042</v>
      </c>
      <c r="DB89" s="43">
        <v>2.4177348931959202</v>
      </c>
      <c r="DC89" s="43">
        <v>1.02074814534148</v>
      </c>
      <c r="DD89" s="43">
        <v>1.1536846787792201</v>
      </c>
      <c r="DE89" s="43">
        <v>1.52693934083614</v>
      </c>
      <c r="DF89" s="43">
        <v>1.25837765590332</v>
      </c>
      <c r="DG89" s="43">
        <v>1.2896630185265501</v>
      </c>
      <c r="DH89" s="43">
        <v>1.14378185256038</v>
      </c>
      <c r="DI89" s="43">
        <v>1.8133637062452399</v>
      </c>
      <c r="DJ89" s="43">
        <v>1.16292124829215</v>
      </c>
      <c r="DK89" s="43">
        <v>1.553477</v>
      </c>
      <c r="DL89" s="43">
        <v>1.765584</v>
      </c>
      <c r="DM89" s="43">
        <v>1.9771000000000001</v>
      </c>
      <c r="DN89" s="43">
        <v>1.4614731593433099</v>
      </c>
      <c r="DO89" s="43">
        <v>1.9595</v>
      </c>
      <c r="DP89" s="43">
        <v>1.43228</v>
      </c>
      <c r="DQ89" s="43">
        <v>1.298448</v>
      </c>
      <c r="DR89" s="43">
        <v>1.7323299999999999</v>
      </c>
      <c r="DS89" s="43">
        <v>0.89657350000000002</v>
      </c>
      <c r="DT89" s="43">
        <v>1.3192713297763099</v>
      </c>
      <c r="DU89" s="43">
        <v>572.58950000000004</v>
      </c>
      <c r="DV89" s="43">
        <v>305.86470000000003</v>
      </c>
      <c r="DW89" s="43">
        <v>106.3642</v>
      </c>
      <c r="DX89" s="43">
        <v>1.0796079999999999</v>
      </c>
      <c r="DY89" s="43">
        <v>1.2052909999999999</v>
      </c>
      <c r="DZ89" s="43">
        <v>1.073815</v>
      </c>
      <c r="EA89" s="43">
        <v>862.05089999999996</v>
      </c>
      <c r="EB89" s="43">
        <v>133.41013424453001</v>
      </c>
      <c r="EC89" s="43">
        <v>1.2230710556802</v>
      </c>
      <c r="ED89" s="43">
        <v>1.27872599286597</v>
      </c>
      <c r="EE89" s="43">
        <v>1.27161208630556</v>
      </c>
      <c r="EF89" s="43">
        <v>1.49461675716835</v>
      </c>
      <c r="EG89" s="43">
        <v>1.3586153153142999</v>
      </c>
      <c r="EH89" s="43">
        <v>0.60884792577390601</v>
      </c>
      <c r="EI89" s="43">
        <v>0.25150127084381402</v>
      </c>
      <c r="EJ89" s="43">
        <v>28.809263379344699</v>
      </c>
      <c r="EK89" s="43">
        <v>16.347582604847901</v>
      </c>
      <c r="EL89" s="43">
        <v>0.720028722888018</v>
      </c>
      <c r="EM89" s="43">
        <v>2226.8175924055699</v>
      </c>
      <c r="EN89" s="43">
        <v>554.45958758449603</v>
      </c>
      <c r="EO89" s="43">
        <v>82402.582592710402</v>
      </c>
      <c r="EP89" s="43">
        <v>55864.707675498197</v>
      </c>
      <c r="EQ89" s="43">
        <v>3974.0623030865399</v>
      </c>
      <c r="ER89" s="43">
        <v>1.79557176242254</v>
      </c>
      <c r="ES89" s="43">
        <v>1.9181065869426801</v>
      </c>
      <c r="ET89" s="43">
        <v>1.7705057094036301</v>
      </c>
      <c r="EU89" s="43">
        <v>1.8387819999999999</v>
      </c>
      <c r="EV89" s="43">
        <v>1.7232620000000001</v>
      </c>
      <c r="EW89" s="43">
        <v>2.0839460000000001</v>
      </c>
      <c r="EX89" s="43">
        <v>1.844905</v>
      </c>
      <c r="EY89" s="43">
        <v>1.722153</v>
      </c>
      <c r="EZ89" s="43">
        <v>2.0815139999999999</v>
      </c>
      <c r="FA89" s="43">
        <v>14.0465890774597</v>
      </c>
      <c r="FB89" s="43">
        <v>13.7928852114068</v>
      </c>
      <c r="FC89" s="43">
        <v>59.919968130865399</v>
      </c>
      <c r="FD89" s="43">
        <v>14436.6992344026</v>
      </c>
      <c r="FE89" s="43">
        <v>134022.1</v>
      </c>
      <c r="FF89" s="43">
        <v>1.345375</v>
      </c>
      <c r="FG89" s="43">
        <v>5.0926300848961397</v>
      </c>
      <c r="FH89" s="43">
        <v>888.41562217814305</v>
      </c>
      <c r="FI89" s="43">
        <v>15031.188482379701</v>
      </c>
      <c r="FJ89" s="43">
        <v>7.27308554789317</v>
      </c>
      <c r="FK89" s="43">
        <v>17.975949924893499</v>
      </c>
      <c r="FL89" s="43">
        <v>1.127046</v>
      </c>
      <c r="FM89" s="43">
        <v>1.1451009999999999</v>
      </c>
    </row>
    <row r="90" spans="1:169" x14ac:dyDescent="0.25">
      <c r="A90" s="43" t="s">
        <v>317</v>
      </c>
      <c r="B90" s="43">
        <v>23532.32</v>
      </c>
      <c r="C90" s="43">
        <v>16228.25</v>
      </c>
      <c r="D90" s="43">
        <v>3.24939</v>
      </c>
      <c r="E90" s="43">
        <v>3.5925129999999998</v>
      </c>
      <c r="F90" s="43">
        <v>3.8434529999999998</v>
      </c>
      <c r="G90" s="43">
        <v>3.7380339999999999</v>
      </c>
      <c r="H90" s="43">
        <v>1.050009</v>
      </c>
      <c r="I90" s="43">
        <v>1.01755</v>
      </c>
      <c r="J90" s="43">
        <v>1.0329680000000001</v>
      </c>
      <c r="K90" s="43">
        <v>1.009927</v>
      </c>
      <c r="L90" s="43">
        <v>2.6487669999999999</v>
      </c>
      <c r="M90" s="43">
        <v>72.425250000000005</v>
      </c>
      <c r="N90" s="43">
        <v>77.333188952048303</v>
      </c>
      <c r="O90" s="43">
        <v>2.2917604112163601</v>
      </c>
      <c r="P90" s="43">
        <v>1.582932</v>
      </c>
      <c r="Q90" s="43">
        <v>-724.70249999999999</v>
      </c>
      <c r="R90" s="43">
        <v>6.5925130000000003</v>
      </c>
      <c r="S90" s="43">
        <v>3505.1190000000001</v>
      </c>
      <c r="T90" s="43">
        <v>3.2743679999999999</v>
      </c>
      <c r="U90" s="43">
        <v>4.210426</v>
      </c>
      <c r="V90" s="43">
        <v>2767.68</v>
      </c>
      <c r="W90" s="43">
        <v>1.733026</v>
      </c>
      <c r="X90" s="43">
        <v>18703.8</v>
      </c>
      <c r="Y90" s="43">
        <v>1.313307</v>
      </c>
      <c r="Z90" s="43">
        <v>0.8005563</v>
      </c>
      <c r="AA90" s="43">
        <v>1.22529</v>
      </c>
      <c r="AB90" s="43">
        <v>1.0146999999999999</v>
      </c>
      <c r="AC90" s="43">
        <v>70.638339999999999</v>
      </c>
      <c r="AD90" s="43">
        <v>1.297355</v>
      </c>
      <c r="AE90" s="43">
        <v>1.4834039999999999</v>
      </c>
      <c r="AF90" s="43">
        <v>1.5882000000000001</v>
      </c>
      <c r="AG90" s="43">
        <v>342.14909999999998</v>
      </c>
      <c r="AH90" s="43">
        <v>135.393</v>
      </c>
      <c r="AI90" s="43">
        <v>2.7043750000000002</v>
      </c>
      <c r="AJ90" s="43">
        <v>2.70845593395096</v>
      </c>
      <c r="AK90" s="43">
        <f t="shared" si="4"/>
        <v>30358.275973042066</v>
      </c>
      <c r="AL90" s="47">
        <v>1.0881046212162904E-2</v>
      </c>
      <c r="AM90" s="43">
        <v>2.7108612291160998</v>
      </c>
      <c r="AN90" s="43">
        <v>0.79414391219329405</v>
      </c>
      <c r="AO90" s="43">
        <v>2.79580120449676</v>
      </c>
      <c r="AP90" s="43">
        <v>2.2842597530165598</v>
      </c>
      <c r="AQ90" s="43">
        <v>4.0983640982136302</v>
      </c>
      <c r="AR90" s="43">
        <v>2.5118670295751802</v>
      </c>
      <c r="AS90" s="43">
        <v>2.1539780295680999</v>
      </c>
      <c r="AT90" s="43">
        <v>2.1518737891496702</v>
      </c>
      <c r="AU90" s="43">
        <v>2.7366092877366599</v>
      </c>
      <c r="AV90" s="43">
        <v>2301.2860000000001</v>
      </c>
      <c r="AW90" s="43">
        <v>1318.9780000000001</v>
      </c>
      <c r="AX90" s="43">
        <v>1.113372</v>
      </c>
      <c r="AY90" s="43">
        <v>1.656253</v>
      </c>
      <c r="AZ90" s="43">
        <v>236</v>
      </c>
      <c r="BA90" s="43">
        <v>0.7817267</v>
      </c>
      <c r="BB90" s="43">
        <v>151.91390000000001</v>
      </c>
      <c r="BC90" s="43">
        <v>31.67192</v>
      </c>
      <c r="BD90" s="43">
        <v>5.510904</v>
      </c>
      <c r="BE90" s="43">
        <v>1.285023</v>
      </c>
      <c r="BF90" s="43">
        <v>2.9514640000000001</v>
      </c>
      <c r="BG90" s="43">
        <v>3.217902</v>
      </c>
      <c r="BH90" s="43">
        <v>3.1197680000000001</v>
      </c>
      <c r="BI90" s="43">
        <v>1.4078219999999999</v>
      </c>
      <c r="BJ90" s="43">
        <v>1.3336840000000001</v>
      </c>
      <c r="BK90" s="43">
        <v>90.361940000000004</v>
      </c>
      <c r="BL90" s="43">
        <v>92.647800000000004</v>
      </c>
      <c r="BM90" s="43">
        <v>1.0906880000000001</v>
      </c>
      <c r="BN90" s="43">
        <v>1.271436</v>
      </c>
      <c r="BO90" s="43">
        <v>40.242310000000003</v>
      </c>
      <c r="BP90" s="43">
        <v>1.27921940372575</v>
      </c>
      <c r="BQ90" s="43">
        <v>3090.0790000000002</v>
      </c>
      <c r="BR90" s="43">
        <v>597.74778581245403</v>
      </c>
      <c r="BS90" s="43">
        <v>12180.51</v>
      </c>
      <c r="BT90" s="43">
        <v>6410.95</v>
      </c>
      <c r="BU90" s="43">
        <v>1.058792</v>
      </c>
      <c r="BV90" s="43">
        <v>1.295579</v>
      </c>
      <c r="BW90" s="43">
        <v>1.3892720000000001</v>
      </c>
      <c r="BX90" s="43">
        <v>1.1399919999999999</v>
      </c>
      <c r="BY90" s="43">
        <v>2.237498</v>
      </c>
      <c r="BZ90" s="43">
        <v>2.6368559999999999</v>
      </c>
      <c r="CA90" s="43">
        <v>1.474485</v>
      </c>
      <c r="CB90" s="43">
        <v>0.78177810000000003</v>
      </c>
      <c r="CC90" s="43">
        <v>8.5480084277357999</v>
      </c>
      <c r="CD90" s="43">
        <v>0.95042950000000004</v>
      </c>
      <c r="CE90" s="43">
        <v>1.025725</v>
      </c>
      <c r="CF90" s="43">
        <v>1.0824260000000001</v>
      </c>
      <c r="CG90" s="43">
        <v>1.0665100000000001</v>
      </c>
      <c r="CH90" s="43">
        <v>1.0234857469933401</v>
      </c>
      <c r="CI90" s="43">
        <v>1.0586441879087101</v>
      </c>
      <c r="CJ90" s="43">
        <v>1.0435990631156999</v>
      </c>
      <c r="CK90" s="43">
        <v>1.0623480897394</v>
      </c>
      <c r="CL90" s="43">
        <v>1.298319</v>
      </c>
      <c r="CM90" s="43">
        <v>1.2309129999999999</v>
      </c>
      <c r="CN90" s="43">
        <v>1.2667109999999999</v>
      </c>
      <c r="CO90" s="43">
        <v>1.57104</v>
      </c>
      <c r="CP90" s="43">
        <v>0.87719893897183898</v>
      </c>
      <c r="CQ90" s="43">
        <v>1.1390499999999999</v>
      </c>
      <c r="CR90" s="43">
        <v>3.1074119888917</v>
      </c>
      <c r="CS90" s="43">
        <v>67.836591296045498</v>
      </c>
      <c r="CT90" s="43">
        <v>94.175131110890604</v>
      </c>
      <c r="CU90" s="43">
        <v>20.8531046509367</v>
      </c>
      <c r="CV90" s="43">
        <v>23.772377877449902</v>
      </c>
      <c r="CW90" s="43">
        <v>1.3116829999999999</v>
      </c>
      <c r="CX90" s="43">
        <v>1.270057</v>
      </c>
      <c r="CY90" s="43">
        <v>1.3013509999999999</v>
      </c>
      <c r="CZ90" s="43">
        <v>1.3013166930832301</v>
      </c>
      <c r="DA90" s="43">
        <v>1.1991539208019899</v>
      </c>
      <c r="DB90" s="43">
        <v>2.4263014236795399</v>
      </c>
      <c r="DC90" s="43">
        <v>1.0175003553811499</v>
      </c>
      <c r="DD90" s="43">
        <v>1.1617383834369801</v>
      </c>
      <c r="DE90" s="43">
        <v>1.5440385362904401</v>
      </c>
      <c r="DF90" s="43">
        <v>1.2684548702804399</v>
      </c>
      <c r="DG90" s="43">
        <v>1.30660109928815</v>
      </c>
      <c r="DH90" s="43">
        <v>1.1483821037270801</v>
      </c>
      <c r="DI90" s="43">
        <v>1.84145904693041</v>
      </c>
      <c r="DJ90" s="43">
        <v>1.1621196717772899</v>
      </c>
      <c r="DK90" s="43">
        <v>1.561896</v>
      </c>
      <c r="DL90" s="43">
        <v>1.7848809999999999</v>
      </c>
      <c r="DM90" s="43">
        <v>1.987616</v>
      </c>
      <c r="DN90" s="43">
        <v>1.47437413569807</v>
      </c>
      <c r="DO90" s="43">
        <v>1.985552</v>
      </c>
      <c r="DP90" s="43">
        <v>1.453039</v>
      </c>
      <c r="DQ90" s="43">
        <v>1.2957129999999999</v>
      </c>
      <c r="DR90" s="43">
        <v>1.7560519999999999</v>
      </c>
      <c r="DS90" s="43">
        <v>0.89212020000000003</v>
      </c>
      <c r="DT90" s="43">
        <v>1.3254039087194001</v>
      </c>
      <c r="DU90" s="43">
        <v>573.44650000000001</v>
      </c>
      <c r="DV90" s="43">
        <v>306.62650000000002</v>
      </c>
      <c r="DW90" s="43">
        <v>106.6634</v>
      </c>
      <c r="DX90" s="43">
        <v>1.0807469999999999</v>
      </c>
      <c r="DY90" s="43">
        <v>1.207635</v>
      </c>
      <c r="DZ90" s="43">
        <v>1.0735749999999999</v>
      </c>
      <c r="EA90" s="43">
        <v>864.63729999999998</v>
      </c>
      <c r="EB90" s="43">
        <v>134.07718491575201</v>
      </c>
      <c r="EC90" s="43">
        <v>1.23064461293073</v>
      </c>
      <c r="ED90" s="43">
        <v>1.2874359978298799</v>
      </c>
      <c r="EE90" s="43">
        <v>1.2798447172827101</v>
      </c>
      <c r="EF90" s="43">
        <v>1.50570243693647</v>
      </c>
      <c r="EG90" s="43">
        <v>1.36752805404658</v>
      </c>
      <c r="EH90" s="43">
        <v>0.61096944448073998</v>
      </c>
      <c r="EI90" s="43">
        <v>0.25237762211036302</v>
      </c>
      <c r="EJ90" s="43">
        <v>28.9096486949582</v>
      </c>
      <c r="EK90" s="43">
        <v>16.404545437173599</v>
      </c>
      <c r="EL90" s="43">
        <v>0.72253764891108596</v>
      </c>
      <c r="EM90" s="43">
        <v>2227.6529808138998</v>
      </c>
      <c r="EN90" s="43">
        <v>554.66759254814394</v>
      </c>
      <c r="EO90" s="43">
        <v>82433.495839735901</v>
      </c>
      <c r="EP90" s="43">
        <v>55885.6652651033</v>
      </c>
      <c r="EQ90" s="43">
        <v>3975.5531686129002</v>
      </c>
      <c r="ER90" s="43">
        <v>1.80669038507082</v>
      </c>
      <c r="ES90" s="43">
        <v>1.92998397540786</v>
      </c>
      <c r="ET90" s="43">
        <v>1.7814691168772001</v>
      </c>
      <c r="EU90" s="43">
        <v>1.8542810000000001</v>
      </c>
      <c r="EV90" s="43">
        <v>1.7325429999999999</v>
      </c>
      <c r="EW90" s="43">
        <v>2.1095489999999999</v>
      </c>
      <c r="EX90" s="43">
        <v>1.8502620000000001</v>
      </c>
      <c r="EY90" s="43">
        <v>1.7331540000000001</v>
      </c>
      <c r="EZ90" s="43">
        <v>2.1095489999999999</v>
      </c>
      <c r="FA90" s="43">
        <v>14.165631345946601</v>
      </c>
      <c r="FB90" s="43">
        <v>13.9086034064466</v>
      </c>
      <c r="FC90" s="43">
        <v>60.093971045271502</v>
      </c>
      <c r="FD90" s="43">
        <v>14528.918467290199</v>
      </c>
      <c r="FE90" s="43">
        <v>135827.20000000001</v>
      </c>
      <c r="FF90" s="43">
        <v>1.3534375000000001</v>
      </c>
      <c r="FG90" s="43">
        <v>5.1028153450659302</v>
      </c>
      <c r="FH90" s="43">
        <v>889.304037800321</v>
      </c>
      <c r="FI90" s="43">
        <v>14956.0325399678</v>
      </c>
      <c r="FJ90" s="43">
        <v>7.2439932057016003</v>
      </c>
      <c r="FK90" s="43">
        <v>17.993925874818402</v>
      </c>
      <c r="FL90" s="43">
        <v>1.1242700000000001</v>
      </c>
      <c r="FM90" s="43">
        <v>1.1427400000000001</v>
      </c>
    </row>
    <row r="91" spans="1:169" x14ac:dyDescent="0.25">
      <c r="A91" s="43" t="s">
        <v>318</v>
      </c>
      <c r="B91" s="43">
        <v>23629.38</v>
      </c>
      <c r="C91" s="43">
        <v>16339.09</v>
      </c>
      <c r="D91" s="43">
        <v>3.270308</v>
      </c>
      <c r="E91" s="43">
        <v>3.5925129999999998</v>
      </c>
      <c r="F91" s="43">
        <v>3.7330950000000001</v>
      </c>
      <c r="G91" s="43">
        <v>3.7669600000000001</v>
      </c>
      <c r="H91" s="43">
        <v>1.054443</v>
      </c>
      <c r="I91" s="43">
        <v>1.0217309999999999</v>
      </c>
      <c r="J91" s="43">
        <v>1.036559</v>
      </c>
      <c r="K91" s="43">
        <v>1.0128509999999999</v>
      </c>
      <c r="L91" s="43">
        <v>2.6624949999999998</v>
      </c>
      <c r="M91" s="43">
        <v>72.262810000000002</v>
      </c>
      <c r="N91" s="43">
        <v>77.159731331968999</v>
      </c>
      <c r="O91" s="43">
        <v>2.3027784901164399</v>
      </c>
      <c r="P91" s="43">
        <v>1.5920259999999999</v>
      </c>
      <c r="Q91" s="43">
        <v>-721.17139999999995</v>
      </c>
      <c r="R91" s="43">
        <v>6.5925130000000003</v>
      </c>
      <c r="S91" s="43">
        <v>3522.33</v>
      </c>
      <c r="T91" s="43">
        <v>3.2278630000000001</v>
      </c>
      <c r="U91" s="43">
        <v>4.2058210000000003</v>
      </c>
      <c r="V91" s="43">
        <v>2778.5259999999998</v>
      </c>
      <c r="W91" s="43">
        <v>1.7457940000000001</v>
      </c>
      <c r="X91" s="43">
        <v>18971.5</v>
      </c>
      <c r="Y91" s="43">
        <v>1.3142609999999999</v>
      </c>
      <c r="Z91" s="43">
        <v>0.80338909999999997</v>
      </c>
      <c r="AA91" s="43">
        <v>1.232237</v>
      </c>
      <c r="AB91" s="43">
        <v>1.020478</v>
      </c>
      <c r="AC91" s="43">
        <v>70.479399999999998</v>
      </c>
      <c r="AD91" s="43">
        <v>1.304381</v>
      </c>
      <c r="AE91" s="43">
        <v>1.4968269999999999</v>
      </c>
      <c r="AF91" s="43">
        <v>1.6032280000000001</v>
      </c>
      <c r="AG91" s="43">
        <v>342.73869999999999</v>
      </c>
      <c r="AH91" s="43">
        <v>135.62629999999999</v>
      </c>
      <c r="AI91" s="43">
        <v>2.7222050000000002</v>
      </c>
      <c r="AJ91" s="43">
        <v>2.72266589600429</v>
      </c>
      <c r="AK91" s="43">
        <f t="shared" si="4"/>
        <v>30648.576161696346</v>
      </c>
      <c r="AL91" s="47">
        <v>9.5624728134122705E-3</v>
      </c>
      <c r="AM91" s="43">
        <v>2.70164514202781</v>
      </c>
      <c r="AN91" s="43">
        <v>0.78870481563970396</v>
      </c>
      <c r="AO91" s="43">
        <v>2.8060108183571901</v>
      </c>
      <c r="AP91" s="43">
        <v>2.2834805240306499</v>
      </c>
      <c r="AQ91" s="43">
        <v>4.1307329039817597</v>
      </c>
      <c r="AR91" s="43">
        <v>2.52322993328373</v>
      </c>
      <c r="AS91" s="43">
        <v>2.1600879655803702</v>
      </c>
      <c r="AT91" s="43">
        <v>2.15489911840019</v>
      </c>
      <c r="AU91" s="43">
        <v>2.74933022737354</v>
      </c>
      <c r="AV91" s="43">
        <v>2315.5360000000001</v>
      </c>
      <c r="AW91" s="43">
        <v>1325.5239999999999</v>
      </c>
      <c r="AX91" s="43">
        <v>1.1155919999999999</v>
      </c>
      <c r="AY91" s="43">
        <v>1.6643920000000001</v>
      </c>
      <c r="AZ91" s="43">
        <v>238</v>
      </c>
      <c r="BA91" s="43">
        <v>0.78641709999999998</v>
      </c>
      <c r="BB91" s="43">
        <v>152.77350000000001</v>
      </c>
      <c r="BC91" s="43">
        <v>31.921299999999999</v>
      </c>
      <c r="BD91" s="43">
        <v>5.4845389999999998</v>
      </c>
      <c r="BE91" s="43">
        <v>1.2892920000000001</v>
      </c>
      <c r="BF91" s="43">
        <v>2.9057729999999999</v>
      </c>
      <c r="BG91" s="43">
        <v>3.2008800000000002</v>
      </c>
      <c r="BH91" s="43">
        <v>3.0316830000000001</v>
      </c>
      <c r="BI91" s="43">
        <v>1.413813</v>
      </c>
      <c r="BJ91" s="43">
        <v>1.3394299999999999</v>
      </c>
      <c r="BK91" s="43">
        <v>89.620900000000006</v>
      </c>
      <c r="BL91" s="43">
        <v>91.888660000000002</v>
      </c>
      <c r="BM91" s="43">
        <v>1.095982</v>
      </c>
      <c r="BN91" s="43">
        <v>1.2739259999999999</v>
      </c>
      <c r="BO91" s="43">
        <v>40.348959999999998</v>
      </c>
      <c r="BP91" s="43">
        <v>1.27158986453852</v>
      </c>
      <c r="BQ91" s="43">
        <v>3122.1529999999998</v>
      </c>
      <c r="BR91" s="43">
        <v>599.940532846265</v>
      </c>
      <c r="BS91" s="43">
        <v>12247.25</v>
      </c>
      <c r="BT91" s="43">
        <v>6448.2460000000001</v>
      </c>
      <c r="BU91" s="43">
        <v>1.063264</v>
      </c>
      <c r="BV91" s="43">
        <v>1.3015840000000001</v>
      </c>
      <c r="BW91" s="43">
        <v>1.3968510000000001</v>
      </c>
      <c r="BX91" s="43">
        <v>1.144552</v>
      </c>
      <c r="BY91" s="43">
        <v>2.2446320000000002</v>
      </c>
      <c r="BZ91" s="43">
        <v>2.626989</v>
      </c>
      <c r="CA91" s="43">
        <v>1.5234380000000001</v>
      </c>
      <c r="CB91" s="43">
        <v>0.78099629999999998</v>
      </c>
      <c r="CC91" s="43">
        <v>8.5309805225012596</v>
      </c>
      <c r="CD91" s="43">
        <v>0.95536670000000001</v>
      </c>
      <c r="CE91" s="43">
        <v>1.030338</v>
      </c>
      <c r="CF91" s="43">
        <v>1.0898330000000001</v>
      </c>
      <c r="CG91" s="43">
        <v>1.0686230000000001</v>
      </c>
      <c r="CH91" s="43">
        <v>1.0273538864065199</v>
      </c>
      <c r="CI91" s="43">
        <v>1.06141428805907</v>
      </c>
      <c r="CJ91" s="43">
        <v>1.0506610287104401</v>
      </c>
      <c r="CK91" s="43">
        <v>1.06452272418852</v>
      </c>
      <c r="CL91" s="43">
        <v>1.3041210000000001</v>
      </c>
      <c r="CM91" s="43">
        <v>1.234162</v>
      </c>
      <c r="CN91" s="43">
        <v>1.274608</v>
      </c>
      <c r="CO91" s="43">
        <v>1.5847560000000001</v>
      </c>
      <c r="CP91" s="43">
        <v>0.87370412248191098</v>
      </c>
      <c r="CQ91" s="43">
        <v>1.142685</v>
      </c>
      <c r="CR91" s="43">
        <v>3.1227871300412202</v>
      </c>
      <c r="CS91" s="43">
        <v>67.414775354338005</v>
      </c>
      <c r="CT91" s="43">
        <v>94.269306242001406</v>
      </c>
      <c r="CU91" s="43">
        <v>20.686944454514901</v>
      </c>
      <c r="CV91" s="43">
        <v>23.6772883659401</v>
      </c>
      <c r="CW91" s="43">
        <v>1.315928</v>
      </c>
      <c r="CX91" s="43">
        <v>1.2753110000000001</v>
      </c>
      <c r="CY91" s="43">
        <v>1.2978620000000001</v>
      </c>
      <c r="CZ91" s="43">
        <v>1.3045141001518501</v>
      </c>
      <c r="DA91" s="43">
        <v>1.1975992033488601</v>
      </c>
      <c r="DB91" s="43">
        <v>2.43304415035244</v>
      </c>
      <c r="DC91" s="43">
        <v>1.01453536158628</v>
      </c>
      <c r="DD91" s="43">
        <v>1.1690962815822601</v>
      </c>
      <c r="DE91" s="43">
        <v>1.5586128176373999</v>
      </c>
      <c r="DF91" s="43">
        <v>1.27738645816986</v>
      </c>
      <c r="DG91" s="43">
        <v>1.32196510113747</v>
      </c>
      <c r="DH91" s="43">
        <v>1.1524489006131</v>
      </c>
      <c r="DI91" s="43">
        <v>1.86543016918517</v>
      </c>
      <c r="DJ91" s="43">
        <v>1.16167330125276</v>
      </c>
      <c r="DK91" s="43">
        <v>1.573178</v>
      </c>
      <c r="DL91" s="43">
        <v>1.801652</v>
      </c>
      <c r="DM91" s="43">
        <v>1.9994369999999999</v>
      </c>
      <c r="DN91" s="43">
        <v>1.4848685328186499</v>
      </c>
      <c r="DO91" s="43">
        <v>2.0118640000000001</v>
      </c>
      <c r="DP91" s="43">
        <v>1.471641</v>
      </c>
      <c r="DQ91" s="43">
        <v>1.2992109999999999</v>
      </c>
      <c r="DR91" s="43">
        <v>1.775744</v>
      </c>
      <c r="DS91" s="43">
        <v>0.89396640000000005</v>
      </c>
      <c r="DT91" s="43">
        <v>1.33227346553713</v>
      </c>
      <c r="DU91" s="43">
        <v>575.05970000000002</v>
      </c>
      <c r="DV91" s="43">
        <v>307.37720000000002</v>
      </c>
      <c r="DW91" s="43">
        <v>106.9902</v>
      </c>
      <c r="DX91" s="43">
        <v>1.0824659999999999</v>
      </c>
      <c r="DY91" s="43">
        <v>1.20902</v>
      </c>
      <c r="DZ91" s="43">
        <v>1.0739799999999999</v>
      </c>
      <c r="EA91" s="43">
        <v>868.13329999999996</v>
      </c>
      <c r="EB91" s="43">
        <v>134.345339285584</v>
      </c>
      <c r="EC91" s="43">
        <v>1.2373580237591799</v>
      </c>
      <c r="ED91" s="43">
        <v>1.2951615388558999</v>
      </c>
      <c r="EE91" s="43">
        <v>1.2871439590675999</v>
      </c>
      <c r="EF91" s="43">
        <v>1.51554317854944</v>
      </c>
      <c r="EG91" s="43">
        <v>1.3754319549357199</v>
      </c>
      <c r="EH91" s="43">
        <v>0.61299910966707305</v>
      </c>
      <c r="EI91" s="43">
        <v>0.25321603077062299</v>
      </c>
      <c r="EJ91" s="43">
        <v>29.005687716279599</v>
      </c>
      <c r="EK91" s="43">
        <v>16.459042000090498</v>
      </c>
      <c r="EL91" s="43">
        <v>0.72493794818146196</v>
      </c>
      <c r="EM91" s="43">
        <v>2222.64065036388</v>
      </c>
      <c r="EN91" s="43">
        <v>553.41956276625501</v>
      </c>
      <c r="EO91" s="43">
        <v>82248.016357582295</v>
      </c>
      <c r="EP91" s="43">
        <v>55759.919727472203</v>
      </c>
      <c r="EQ91" s="43">
        <v>3966.60797545475</v>
      </c>
      <c r="ER91" s="43">
        <v>1.81654624001656</v>
      </c>
      <c r="ES91" s="43">
        <v>1.9405124213809</v>
      </c>
      <c r="ET91" s="43">
        <v>1.7911873847947899</v>
      </c>
      <c r="EU91" s="43">
        <v>1.871362</v>
      </c>
      <c r="EV91" s="43">
        <v>1.7420420000000001</v>
      </c>
      <c r="EW91" s="43">
        <v>2.1359689999999998</v>
      </c>
      <c r="EX91" s="43">
        <v>1.8672029999999999</v>
      </c>
      <c r="EY91" s="43">
        <v>1.7422930000000001</v>
      </c>
      <c r="EZ91" s="43">
        <v>2.137489</v>
      </c>
      <c r="FA91" s="43">
        <v>14.2968327481156</v>
      </c>
      <c r="FB91" s="43">
        <v>14.036043910208001</v>
      </c>
      <c r="FC91" s="43">
        <v>60.644187187035101</v>
      </c>
      <c r="FD91" s="43">
        <v>14605.5335295433</v>
      </c>
      <c r="FE91" s="43">
        <v>137626.20000000001</v>
      </c>
      <c r="FF91" s="43">
        <v>1.3590625000000001</v>
      </c>
      <c r="FG91" s="43">
        <v>5.1283294217912596</v>
      </c>
      <c r="FH91" s="43">
        <v>890.193341838121</v>
      </c>
      <c r="FI91" s="43">
        <v>14903.6864260779</v>
      </c>
      <c r="FJ91" s="43">
        <v>7.2439932057016003</v>
      </c>
      <c r="FK91" s="43">
        <v>18.0119198006932</v>
      </c>
      <c r="FL91" s="43">
        <v>1.1222749999999999</v>
      </c>
      <c r="FM91" s="43">
        <v>1.1395789999999999</v>
      </c>
    </row>
    <row r="92" spans="1:169" x14ac:dyDescent="0.25">
      <c r="A92" s="43" t="s">
        <v>319</v>
      </c>
      <c r="B92" s="43">
        <v>23752.46</v>
      </c>
      <c r="C92" s="43">
        <v>16403.650000000001</v>
      </c>
      <c r="D92" s="43">
        <v>3.2857319999999999</v>
      </c>
      <c r="E92" s="43">
        <v>3.5925129999999998</v>
      </c>
      <c r="F92" s="43">
        <v>3.7298170000000002</v>
      </c>
      <c r="G92" s="43">
        <v>3.614401</v>
      </c>
      <c r="H92" s="43">
        <v>1.0594159999999999</v>
      </c>
      <c r="I92" s="43">
        <v>1.0268269999999999</v>
      </c>
      <c r="J92" s="43">
        <v>1.0409109999999999</v>
      </c>
      <c r="K92" s="43">
        <v>1.0149820000000001</v>
      </c>
      <c r="L92" s="43">
        <v>2.6723560000000002</v>
      </c>
      <c r="M92" s="43">
        <v>72.280860000000004</v>
      </c>
      <c r="N92" s="43">
        <v>77.179004400866702</v>
      </c>
      <c r="O92" s="43">
        <v>2.3137965690165201</v>
      </c>
      <c r="P92" s="43">
        <v>1.5995470000000001</v>
      </c>
      <c r="Q92" s="43">
        <v>-718.12850000000003</v>
      </c>
      <c r="R92" s="43">
        <v>6.5925130000000003</v>
      </c>
      <c r="S92" s="43">
        <v>3532.2049999999999</v>
      </c>
      <c r="T92" s="43">
        <v>3.2158869999999999</v>
      </c>
      <c r="U92" s="43">
        <v>4.2010079999999999</v>
      </c>
      <c r="V92" s="43">
        <v>2796.9720000000002</v>
      </c>
      <c r="W92" s="43">
        <v>1.755549</v>
      </c>
      <c r="X92" s="43">
        <v>19052.18</v>
      </c>
      <c r="Y92" s="43">
        <v>1.3154030000000001</v>
      </c>
      <c r="Z92" s="43">
        <v>0.8066835</v>
      </c>
      <c r="AA92" s="43">
        <v>1.241676</v>
      </c>
      <c r="AB92" s="43">
        <v>1.0224599999999999</v>
      </c>
      <c r="AC92" s="43">
        <v>70.497060000000005</v>
      </c>
      <c r="AD92" s="43">
        <v>1.3097639999999999</v>
      </c>
      <c r="AE92" s="43">
        <v>1.5084649999999999</v>
      </c>
      <c r="AF92" s="43">
        <v>1.613019</v>
      </c>
      <c r="AG92" s="43">
        <v>343.32839999999999</v>
      </c>
      <c r="AH92" s="43">
        <v>135.8597</v>
      </c>
      <c r="AI92" s="43">
        <v>2.735633</v>
      </c>
      <c r="AJ92" s="43">
        <v>2.7329662567481998</v>
      </c>
      <c r="AK92" s="43">
        <f t="shared" si="4"/>
        <v>30935.386065832656</v>
      </c>
      <c r="AL92" s="47">
        <v>9.3580172410996365E-3</v>
      </c>
      <c r="AM92" s="43">
        <v>2.6924743658155599</v>
      </c>
      <c r="AN92" s="43">
        <v>0.78315066288499602</v>
      </c>
      <c r="AO92" s="43">
        <v>2.8134996329724</v>
      </c>
      <c r="AP92" s="43">
        <v>2.2874470132110098</v>
      </c>
      <c r="AQ92" s="43">
        <v>4.1538792992885298</v>
      </c>
      <c r="AR92" s="43">
        <v>2.5322415805146798</v>
      </c>
      <c r="AS92" s="43">
        <v>2.1655703593921598</v>
      </c>
      <c r="AT92" s="43">
        <v>2.15808640534464</v>
      </c>
      <c r="AU92" s="43">
        <v>2.7584454599427501</v>
      </c>
      <c r="AV92" s="43">
        <v>2332.1439999999998</v>
      </c>
      <c r="AW92" s="43">
        <v>1334.7070000000001</v>
      </c>
      <c r="AX92" s="43">
        <v>1.120303</v>
      </c>
      <c r="AY92" s="43">
        <v>1.670669</v>
      </c>
      <c r="AZ92" s="43">
        <v>240</v>
      </c>
      <c r="BA92" s="43">
        <v>0.79034919999999997</v>
      </c>
      <c r="BB92" s="43">
        <v>153.1583</v>
      </c>
      <c r="BC92" s="43">
        <v>32.119480000000003</v>
      </c>
      <c r="BD92" s="43">
        <v>5.5518470000000004</v>
      </c>
      <c r="BE92" s="43">
        <v>1.2919659999999999</v>
      </c>
      <c r="BF92" s="43">
        <v>2.8835060000000001</v>
      </c>
      <c r="BG92" s="43">
        <v>3.1843370000000002</v>
      </c>
      <c r="BH92" s="43">
        <v>3.0241730000000002</v>
      </c>
      <c r="BI92" s="43">
        <v>1.418364</v>
      </c>
      <c r="BJ92" s="43">
        <v>1.3439000000000001</v>
      </c>
      <c r="BK92" s="43">
        <v>89.197360000000003</v>
      </c>
      <c r="BL92" s="43">
        <v>91.454329999999999</v>
      </c>
      <c r="BM92" s="43">
        <v>1.1029979999999999</v>
      </c>
      <c r="BN92" s="43">
        <v>1.277822</v>
      </c>
      <c r="BO92" s="43">
        <v>40.455880000000001</v>
      </c>
      <c r="BP92" s="43">
        <v>1.2652635468044899</v>
      </c>
      <c r="BQ92" s="43">
        <v>3153.7379999999998</v>
      </c>
      <c r="BR92" s="43">
        <v>600.93637563100106</v>
      </c>
      <c r="BS92" s="43">
        <v>12290.12</v>
      </c>
      <c r="BT92" s="43">
        <v>6470.5389999999998</v>
      </c>
      <c r="BU92" s="43">
        <v>1.066433</v>
      </c>
      <c r="BV92" s="43">
        <v>1.308044</v>
      </c>
      <c r="BW92" s="43">
        <v>1.3979269999999999</v>
      </c>
      <c r="BX92" s="43">
        <v>1.14913</v>
      </c>
      <c r="BY92" s="43">
        <v>2.251865</v>
      </c>
      <c r="BZ92" s="43">
        <v>2.6179230000000002</v>
      </c>
      <c r="CA92" s="43">
        <v>1.5703009999999999</v>
      </c>
      <c r="CB92" s="43">
        <v>0.78021529999999994</v>
      </c>
      <c r="CC92" s="43">
        <v>8.5139865373966792</v>
      </c>
      <c r="CD92" s="43">
        <v>0.95898410000000001</v>
      </c>
      <c r="CE92" s="43">
        <v>1.0336399999999999</v>
      </c>
      <c r="CF92" s="43">
        <v>1.095545</v>
      </c>
      <c r="CG92" s="43">
        <v>1.069709</v>
      </c>
      <c r="CH92" s="43">
        <v>1.0300753466494901</v>
      </c>
      <c r="CI92" s="43">
        <v>1.0632218448682</v>
      </c>
      <c r="CJ92" s="43">
        <v>1.0562536978781101</v>
      </c>
      <c r="CK92" s="43">
        <v>1.06590163308241</v>
      </c>
      <c r="CL92" s="43">
        <v>1.3104499999999999</v>
      </c>
      <c r="CM92" s="43">
        <v>1.236855</v>
      </c>
      <c r="CN92" s="43">
        <v>1.283047</v>
      </c>
      <c r="CO92" s="43">
        <v>1.587925</v>
      </c>
      <c r="CP92" s="43">
        <v>0.87022322956365705</v>
      </c>
      <c r="CQ92" s="43">
        <v>1.144943</v>
      </c>
      <c r="CR92" s="43">
        <v>3.1303536411006698</v>
      </c>
      <c r="CS92" s="43">
        <v>67.162962464229906</v>
      </c>
      <c r="CT92" s="43">
        <v>94.269306242001406</v>
      </c>
      <c r="CU92" s="43">
        <v>20.522108243721899</v>
      </c>
      <c r="CV92" s="43">
        <v>23.582579212476301</v>
      </c>
      <c r="CW92" s="43">
        <v>1.315421</v>
      </c>
      <c r="CX92" s="43">
        <v>1.2759849999999999</v>
      </c>
      <c r="CY92" s="43">
        <v>1.291801</v>
      </c>
      <c r="CZ92" s="43">
        <v>1.30339456709173</v>
      </c>
      <c r="DA92" s="43">
        <v>1.1938021946600601</v>
      </c>
      <c r="DB92" s="43">
        <v>2.4323789966915101</v>
      </c>
      <c r="DC92" s="43">
        <v>1.0123604238289501</v>
      </c>
      <c r="DD92" s="43">
        <v>1.1722915359977699</v>
      </c>
      <c r="DE92" s="43">
        <v>1.5666076261404001</v>
      </c>
      <c r="DF92" s="43">
        <v>1.2862366093497499</v>
      </c>
      <c r="DG92" s="43">
        <v>1.3332845501250801</v>
      </c>
      <c r="DH92" s="43">
        <v>1.1527076706809101</v>
      </c>
      <c r="DI92" s="43">
        <v>1.8817825809491999</v>
      </c>
      <c r="DJ92" s="43">
        <v>1.16694072257679</v>
      </c>
      <c r="DK92" s="43">
        <v>1.5867500000000001</v>
      </c>
      <c r="DL92" s="43">
        <v>1.8048599999999999</v>
      </c>
      <c r="DM92" s="43">
        <v>1.9966729999999999</v>
      </c>
      <c r="DN92" s="43">
        <v>1.48694065612538</v>
      </c>
      <c r="DO92" s="43">
        <v>2.0187179999999998</v>
      </c>
      <c r="DP92" s="43">
        <v>1.4800819999999999</v>
      </c>
      <c r="DQ92" s="43">
        <v>1.2993859999999999</v>
      </c>
      <c r="DR92" s="43">
        <v>1.781093</v>
      </c>
      <c r="DS92" s="43">
        <v>0.89437849999999997</v>
      </c>
      <c r="DT92" s="43">
        <v>1.3332691492902999</v>
      </c>
      <c r="DU92" s="43">
        <v>576.97990000000004</v>
      </c>
      <c r="DV92" s="43">
        <v>308.33510000000001</v>
      </c>
      <c r="DW92" s="43">
        <v>107.294</v>
      </c>
      <c r="DX92" s="43">
        <v>1.0826769999999999</v>
      </c>
      <c r="DY92" s="43">
        <v>1.2104079999999999</v>
      </c>
      <c r="DZ92" s="43">
        <v>1.0733820000000001</v>
      </c>
      <c r="EA92" s="43">
        <v>874.34119999999996</v>
      </c>
      <c r="EB92" s="43">
        <v>133.67361258915599</v>
      </c>
      <c r="EC92" s="43">
        <v>1.2383115815527701</v>
      </c>
      <c r="ED92" s="43">
        <v>1.2962594527104101</v>
      </c>
      <c r="EE92" s="43">
        <v>1.28818058633607</v>
      </c>
      <c r="EF92" s="43">
        <v>1.51694438119673</v>
      </c>
      <c r="EG92" s="43">
        <v>1.37655543801414</v>
      </c>
      <c r="EH92" s="43">
        <v>0.61427075267168496</v>
      </c>
      <c r="EI92" s="43">
        <v>0.25374131765784202</v>
      </c>
      <c r="EJ92" s="43">
        <v>29.065858896460298</v>
      </c>
      <c r="EK92" s="43">
        <v>16.493185647759699</v>
      </c>
      <c r="EL92" s="43">
        <v>0.72644180398817504</v>
      </c>
      <c r="EM92" s="43">
        <v>2223.1975759694401</v>
      </c>
      <c r="EN92" s="43">
        <v>553.55823274201998</v>
      </c>
      <c r="EO92" s="43">
        <v>82268.625188932696</v>
      </c>
      <c r="EP92" s="43">
        <v>55773.891453875702</v>
      </c>
      <c r="EQ92" s="43">
        <v>3967.60188580565</v>
      </c>
      <c r="ER92" s="43">
        <v>1.8179461435136299</v>
      </c>
      <c r="ES92" s="43">
        <v>1.94200785819663</v>
      </c>
      <c r="ET92" s="43">
        <v>1.79256774573945</v>
      </c>
      <c r="EU92" s="43">
        <v>1.884242</v>
      </c>
      <c r="EV92" s="43">
        <v>1.7486950000000001</v>
      </c>
      <c r="EW92" s="43">
        <v>2.1548479999999999</v>
      </c>
      <c r="EX92" s="43">
        <v>1.886612</v>
      </c>
      <c r="EY92" s="43">
        <v>1.7485619999999999</v>
      </c>
      <c r="EZ92" s="43">
        <v>2.1547519999999998</v>
      </c>
      <c r="FA92" s="43">
        <v>14.3957597079577</v>
      </c>
      <c r="FB92" s="43">
        <v>14.132206234158</v>
      </c>
      <c r="FC92" s="43">
        <v>61.274553159751598</v>
      </c>
      <c r="FD92" s="43">
        <v>14658.083668040401</v>
      </c>
      <c r="FE92" s="43">
        <v>138737.70000000001</v>
      </c>
      <c r="FF92" s="43">
        <v>1.3638125000000001</v>
      </c>
      <c r="FG92" s="43">
        <v>5.1539710689002103</v>
      </c>
      <c r="FH92" s="43">
        <v>891.08353517995897</v>
      </c>
      <c r="FI92" s="43">
        <v>14844.0716803736</v>
      </c>
      <c r="FJ92" s="43">
        <v>7.2295052192901998</v>
      </c>
      <c r="FK92" s="43">
        <v>18.065955560095301</v>
      </c>
      <c r="FL92" s="43">
        <v>1.119429</v>
      </c>
      <c r="FM92" s="43">
        <v>1.1393610000000001</v>
      </c>
    </row>
    <row r="93" spans="1:169" x14ac:dyDescent="0.25">
      <c r="A93" s="43" t="s">
        <v>320</v>
      </c>
      <c r="B93" s="43">
        <v>23846.91</v>
      </c>
      <c r="C93" s="43">
        <v>16472.96</v>
      </c>
      <c r="D93" s="43">
        <v>3.3004190000000002</v>
      </c>
      <c r="E93" s="43">
        <v>3.5925129999999998</v>
      </c>
      <c r="F93" s="43">
        <v>3.7282769999999998</v>
      </c>
      <c r="G93" s="43">
        <v>3.5463520000000002</v>
      </c>
      <c r="H93" s="43">
        <v>1.0647329999999999</v>
      </c>
      <c r="I93" s="43">
        <v>1.031989</v>
      </c>
      <c r="J93" s="43">
        <v>1.045256</v>
      </c>
      <c r="K93" s="43">
        <v>1.017563</v>
      </c>
      <c r="L93" s="43">
        <v>2.6817739999999999</v>
      </c>
      <c r="M93" s="43">
        <v>72.362080000000006</v>
      </c>
      <c r="N93" s="43">
        <v>77.265733210906404</v>
      </c>
      <c r="O93" s="43">
        <v>2.3248146479165901</v>
      </c>
      <c r="P93" s="43">
        <v>1.6054949999999999</v>
      </c>
      <c r="Q93" s="43">
        <v>-715.72260000000006</v>
      </c>
      <c r="R93" s="43">
        <v>6.5925130000000003</v>
      </c>
      <c r="S93" s="43">
        <v>3542.76</v>
      </c>
      <c r="T93" s="43">
        <v>3.2067290000000002</v>
      </c>
      <c r="U93" s="43">
        <v>4.2598349999999998</v>
      </c>
      <c r="V93" s="43">
        <v>2810.6930000000002</v>
      </c>
      <c r="W93" s="43">
        <v>1.764659</v>
      </c>
      <c r="X93" s="43">
        <v>19182.57</v>
      </c>
      <c r="Y93" s="43">
        <v>1.316168</v>
      </c>
      <c r="Z93" s="43">
        <v>0.81040710000000005</v>
      </c>
      <c r="AA93" s="43">
        <v>1.248472</v>
      </c>
      <c r="AB93" s="43">
        <v>1.0258860000000001</v>
      </c>
      <c r="AC93" s="43">
        <v>70.576539999999994</v>
      </c>
      <c r="AD93" s="43">
        <v>1.314821</v>
      </c>
      <c r="AE93" s="43">
        <v>1.5190140000000001</v>
      </c>
      <c r="AF93" s="43">
        <v>1.623275</v>
      </c>
      <c r="AG93" s="43">
        <v>343.91809999999998</v>
      </c>
      <c r="AH93" s="43">
        <v>136.09299999999999</v>
      </c>
      <c r="AI93" s="43">
        <v>2.7485210000000002</v>
      </c>
      <c r="AJ93" s="43">
        <v>2.7429657151683502</v>
      </c>
      <c r="AK93" s="43">
        <f t="shared" si="4"/>
        <v>31178.303901985131</v>
      </c>
      <c r="AL93" s="47">
        <v>7.8524262032977354E-3</v>
      </c>
      <c r="AM93" s="43">
        <v>2.68326732539352</v>
      </c>
      <c r="AN93" s="43">
        <v>0.78016136566974303</v>
      </c>
      <c r="AO93" s="43">
        <v>2.8198664420755999</v>
      </c>
      <c r="AP93" s="43">
        <v>2.2930529410029199</v>
      </c>
      <c r="AQ93" s="43">
        <v>4.1749838775892298</v>
      </c>
      <c r="AR93" s="43">
        <v>2.5405689861691498</v>
      </c>
      <c r="AS93" s="43">
        <v>2.17106055988984</v>
      </c>
      <c r="AT93" s="43">
        <v>2.16175304585922</v>
      </c>
      <c r="AU93" s="43">
        <v>2.7671633804740701</v>
      </c>
      <c r="AV93" s="43">
        <v>2348.3009999999999</v>
      </c>
      <c r="AW93" s="43">
        <v>1344.28</v>
      </c>
      <c r="AX93" s="43">
        <v>1.12724</v>
      </c>
      <c r="AY93" s="43">
        <v>1.67736</v>
      </c>
      <c r="AZ93" s="43">
        <v>242</v>
      </c>
      <c r="BA93" s="43">
        <v>0.78244570000000002</v>
      </c>
      <c r="BB93" s="43">
        <v>153.6942</v>
      </c>
      <c r="BC93" s="43">
        <v>32.285559999999997</v>
      </c>
      <c r="BD93" s="43">
        <v>5.6857220000000002</v>
      </c>
      <c r="BE93" s="43">
        <v>1.2982039999999999</v>
      </c>
      <c r="BF93" s="43">
        <v>2.8514490000000001</v>
      </c>
      <c r="BG93" s="43">
        <v>3.1543009999999998</v>
      </c>
      <c r="BH93" s="43">
        <v>3.004359</v>
      </c>
      <c r="BI93" s="43">
        <v>1.423724</v>
      </c>
      <c r="BJ93" s="43">
        <v>1.349753</v>
      </c>
      <c r="BK93" s="43">
        <v>90.199910000000003</v>
      </c>
      <c r="BL93" s="43">
        <v>92.481930000000006</v>
      </c>
      <c r="BM93" s="43">
        <v>1.1120460000000001</v>
      </c>
      <c r="BN93" s="43">
        <v>1.2830729999999999</v>
      </c>
      <c r="BO93" s="43">
        <v>40.563090000000003</v>
      </c>
      <c r="BP93" s="43">
        <v>1.2780439866712101</v>
      </c>
      <c r="BQ93" s="43">
        <v>3183.7730000000001</v>
      </c>
      <c r="BR93" s="43">
        <v>603.96907979530897</v>
      </c>
      <c r="BS93" s="43">
        <v>12350.51</v>
      </c>
      <c r="BT93" s="43">
        <v>6503.4049999999997</v>
      </c>
      <c r="BU93" s="43">
        <v>1.0705899999999999</v>
      </c>
      <c r="BV93" s="43">
        <v>1.3123119999999999</v>
      </c>
      <c r="BW93" s="43">
        <v>1.400857</v>
      </c>
      <c r="BX93" s="43">
        <v>1.1537269999999999</v>
      </c>
      <c r="BY93" s="43">
        <v>2.2591950000000001</v>
      </c>
      <c r="BZ93" s="43">
        <v>2.6096180000000002</v>
      </c>
      <c r="CA93" s="43">
        <v>1.6151819999999999</v>
      </c>
      <c r="CB93" s="43">
        <v>0.77943510000000005</v>
      </c>
      <c r="CC93" s="43">
        <v>8.4546260734905303</v>
      </c>
      <c r="CD93" s="43">
        <v>0.96359399999999995</v>
      </c>
      <c r="CE93" s="43">
        <v>1.037938</v>
      </c>
      <c r="CF93" s="43">
        <v>1.10242</v>
      </c>
      <c r="CG93" s="43">
        <v>1.0715030000000001</v>
      </c>
      <c r="CH93" s="43">
        <v>1.03306440732243</v>
      </c>
      <c r="CI93" s="43">
        <v>1.06601280637287</v>
      </c>
      <c r="CJ93" s="43">
        <v>1.0624712960370299</v>
      </c>
      <c r="CK93" s="43">
        <v>1.0682293711629001</v>
      </c>
      <c r="CL93" s="43">
        <v>1.31463</v>
      </c>
      <c r="CM93" s="43">
        <v>1.23929</v>
      </c>
      <c r="CN93" s="43">
        <v>1.2888470000000001</v>
      </c>
      <c r="CO93" s="43">
        <v>1.5933539999999999</v>
      </c>
      <c r="CP93" s="43">
        <v>0.86675620474467796</v>
      </c>
      <c r="CQ93" s="43">
        <v>1.1485259999999999</v>
      </c>
      <c r="CR93" s="43">
        <v>3.1359633040833899</v>
      </c>
      <c r="CS93" s="43">
        <v>66.9705536747</v>
      </c>
      <c r="CT93" s="43">
        <v>95.211999304421497</v>
      </c>
      <c r="CU93" s="43">
        <v>20.3585854688715</v>
      </c>
      <c r="CV93" s="43">
        <v>23.488248895626398</v>
      </c>
      <c r="CW93" s="43">
        <v>1.3166059999999999</v>
      </c>
      <c r="CX93" s="43">
        <v>1.2779799999999999</v>
      </c>
      <c r="CY93" s="43">
        <v>1.287871</v>
      </c>
      <c r="CZ93" s="43">
        <v>1.3036443101713</v>
      </c>
      <c r="DA93" s="43">
        <v>1.1913374138369299</v>
      </c>
      <c r="DB93" s="43">
        <v>2.4365126635948799</v>
      </c>
      <c r="DC93" s="43">
        <v>1.0099757524316999</v>
      </c>
      <c r="DD93" s="43">
        <v>1.17638858504774</v>
      </c>
      <c r="DE93" s="43">
        <v>1.5740095577642299</v>
      </c>
      <c r="DF93" s="43">
        <v>1.2924355846639299</v>
      </c>
      <c r="DG93" s="43">
        <v>1.3439145987593799</v>
      </c>
      <c r="DH93" s="43">
        <v>1.1542105572420001</v>
      </c>
      <c r="DI93" s="43">
        <v>1.8951124247215401</v>
      </c>
      <c r="DJ93" s="43">
        <v>1.1683391570625099</v>
      </c>
      <c r="DK93" s="43">
        <v>1.5952519999999999</v>
      </c>
      <c r="DL93" s="43">
        <v>1.8114060000000001</v>
      </c>
      <c r="DM93" s="43">
        <v>1.998602</v>
      </c>
      <c r="DN93" s="43">
        <v>1.4910612980034901</v>
      </c>
      <c r="DO93" s="43">
        <v>2.029998</v>
      </c>
      <c r="DP93" s="43">
        <v>1.4905550000000001</v>
      </c>
      <c r="DQ93" s="43">
        <v>1.3007010000000001</v>
      </c>
      <c r="DR93" s="43">
        <v>1.789631</v>
      </c>
      <c r="DS93" s="43">
        <v>0.89519110000000002</v>
      </c>
      <c r="DT93" s="43">
        <v>1.3359275139526601</v>
      </c>
      <c r="DU93" s="43">
        <v>579.2029</v>
      </c>
      <c r="DV93" s="43">
        <v>309.25599999999997</v>
      </c>
      <c r="DW93" s="43">
        <v>107.8318</v>
      </c>
      <c r="DX93" s="43">
        <v>1.0833090000000001</v>
      </c>
      <c r="DY93" s="43">
        <v>1.2110430000000001</v>
      </c>
      <c r="DZ93" s="43">
        <v>1.073229</v>
      </c>
      <c r="EA93" s="43">
        <v>880.49620000000004</v>
      </c>
      <c r="EB93" s="43">
        <v>134.20830703951199</v>
      </c>
      <c r="EC93" s="43">
        <v>1.2409066312722199</v>
      </c>
      <c r="ED93" s="43">
        <v>1.2992475887798101</v>
      </c>
      <c r="EE93" s="43">
        <v>1.29100210936819</v>
      </c>
      <c r="EF93" s="43">
        <v>1.5207567485801901</v>
      </c>
      <c r="EG93" s="43">
        <v>1.3796127074195901</v>
      </c>
      <c r="EH93" s="43">
        <v>0.61723642892790398</v>
      </c>
      <c r="EI93" s="43">
        <v>0.25496637126445898</v>
      </c>
      <c r="EJ93" s="43">
        <v>29.2061877778549</v>
      </c>
      <c r="EK93" s="43">
        <v>16.572814132189801</v>
      </c>
      <c r="EL93" s="43">
        <v>0.72994903789153498</v>
      </c>
      <c r="EM93" s="43">
        <v>2225.7037411944498</v>
      </c>
      <c r="EN93" s="43">
        <v>554.18224763296598</v>
      </c>
      <c r="EO93" s="43">
        <v>82361.3649300096</v>
      </c>
      <c r="EP93" s="43">
        <v>55836.764222691301</v>
      </c>
      <c r="EQ93" s="43">
        <v>3972.0744823847299</v>
      </c>
      <c r="ER93" s="43">
        <v>1.8217558960024001</v>
      </c>
      <c r="ES93" s="43">
        <v>1.94607759881979</v>
      </c>
      <c r="ET93" s="43">
        <v>1.79632431435673</v>
      </c>
      <c r="EU93" s="43">
        <v>1.895365</v>
      </c>
      <c r="EV93" s="43">
        <v>1.755066</v>
      </c>
      <c r="EW93" s="43">
        <v>2.1727539999999999</v>
      </c>
      <c r="EX93" s="43">
        <v>1.899103</v>
      </c>
      <c r="EY93" s="43">
        <v>1.7548459999999999</v>
      </c>
      <c r="EZ93" s="43">
        <v>2.1726930000000002</v>
      </c>
      <c r="FA93" s="43">
        <v>14.4811937248537</v>
      </c>
      <c r="FB93" s="43">
        <v>14.215285904616801</v>
      </c>
      <c r="FC93" s="43">
        <v>61.680259926453701</v>
      </c>
      <c r="FD93" s="43">
        <v>14710.7642760376</v>
      </c>
      <c r="FE93" s="43">
        <v>139892.79999999999</v>
      </c>
      <c r="FF93" s="43">
        <v>1.3676874999999999</v>
      </c>
      <c r="FG93" s="43">
        <v>5.1642790110380101</v>
      </c>
      <c r="FH93" s="43">
        <v>890.192451644779</v>
      </c>
      <c r="FI93" s="43">
        <v>14777.273357812001</v>
      </c>
      <c r="FJ93" s="43">
        <v>7.2150462088516196</v>
      </c>
      <c r="FK93" s="43">
        <v>18.084021515655401</v>
      </c>
      <c r="FL93" s="43">
        <v>1.1210910000000001</v>
      </c>
      <c r="FM93" s="43">
        <v>1.139967</v>
      </c>
    </row>
    <row r="94" spans="1:169" x14ac:dyDescent="0.25">
      <c r="A94" s="43" t="s">
        <v>321</v>
      </c>
      <c r="B94" s="43">
        <v>23982.86</v>
      </c>
      <c r="C94" s="43">
        <v>16554.72</v>
      </c>
      <c r="D94" s="43">
        <v>3.3200460000000001</v>
      </c>
      <c r="E94" s="43">
        <v>3.2257199999999999</v>
      </c>
      <c r="F94" s="43">
        <v>3.5798350000000001</v>
      </c>
      <c r="G94" s="43">
        <v>3.5374530000000002</v>
      </c>
      <c r="H94" s="43">
        <v>1.070017</v>
      </c>
      <c r="I94" s="43">
        <v>1.0370170000000001</v>
      </c>
      <c r="J94" s="43">
        <v>1.0499860000000001</v>
      </c>
      <c r="K94" s="43">
        <v>1.0193939999999999</v>
      </c>
      <c r="L94" s="43">
        <v>2.6939320000000002</v>
      </c>
      <c r="M94" s="43">
        <v>72.578680000000006</v>
      </c>
      <c r="N94" s="43">
        <v>77.497010037678905</v>
      </c>
      <c r="O94" s="43">
        <v>2.3358327268166699</v>
      </c>
      <c r="P94" s="43">
        <v>1.6073440000000001</v>
      </c>
      <c r="Q94" s="43">
        <v>-714.90869999999995</v>
      </c>
      <c r="R94" s="43">
        <v>6.2257199999999999</v>
      </c>
      <c r="S94" s="43">
        <v>3557.2049999999999</v>
      </c>
      <c r="T94" s="43">
        <v>2.923216</v>
      </c>
      <c r="U94" s="43">
        <v>4.1944480000000004</v>
      </c>
      <c r="V94" s="43">
        <v>2831.136</v>
      </c>
      <c r="W94" s="43">
        <v>1.778535</v>
      </c>
      <c r="X94" s="43">
        <v>19303.740000000002</v>
      </c>
      <c r="Y94" s="43">
        <v>1.317421</v>
      </c>
      <c r="Z94" s="43">
        <v>0.81385870000000005</v>
      </c>
      <c r="AA94" s="43">
        <v>1.2579480000000001</v>
      </c>
      <c r="AB94" s="43">
        <v>1.028885</v>
      </c>
      <c r="AC94" s="43">
        <v>70.788449999999997</v>
      </c>
      <c r="AD94" s="43">
        <v>1.3216509999999999</v>
      </c>
      <c r="AE94" s="43">
        <v>1.5331159999999999</v>
      </c>
      <c r="AF94" s="43">
        <v>1.633003</v>
      </c>
      <c r="AG94" s="43">
        <v>344.50139999999999</v>
      </c>
      <c r="AH94" s="43">
        <v>135.49680000000001</v>
      </c>
      <c r="AI94" s="43">
        <v>2.7618079999999998</v>
      </c>
      <c r="AJ94" s="43">
        <v>2.7548034615090198</v>
      </c>
      <c r="AK94" s="43">
        <f t="shared" si="4"/>
        <v>31518.939760810266</v>
      </c>
      <c r="AL94" s="47">
        <v>1.0925413386693172E-2</v>
      </c>
      <c r="AM94" s="43">
        <v>2.6743235943713599</v>
      </c>
      <c r="AN94" s="43">
        <v>0.77536978919897004</v>
      </c>
      <c r="AO94" s="43">
        <v>2.8291988292477601</v>
      </c>
      <c r="AP94" s="43">
        <v>2.3020115530651601</v>
      </c>
      <c r="AQ94" s="43">
        <v>4.2008227559542899</v>
      </c>
      <c r="AR94" s="43">
        <v>2.5514394618520999</v>
      </c>
      <c r="AS94" s="43">
        <v>2.17928498325126</v>
      </c>
      <c r="AT94" s="43">
        <v>2.1668784833861201</v>
      </c>
      <c r="AU94" s="43">
        <v>2.7842667861500701</v>
      </c>
      <c r="AV94" s="43">
        <v>2362.2649999999999</v>
      </c>
      <c r="AW94" s="43">
        <v>1354.25</v>
      </c>
      <c r="AX94" s="43">
        <v>1.131318</v>
      </c>
      <c r="AY94" s="43">
        <v>1.685594</v>
      </c>
      <c r="AZ94" s="43">
        <v>243</v>
      </c>
      <c r="BA94" s="43">
        <v>0.77462120000000001</v>
      </c>
      <c r="BB94" s="43">
        <v>154.61250000000001</v>
      </c>
      <c r="BC94" s="43">
        <v>32.5274</v>
      </c>
      <c r="BD94" s="43">
        <v>5.5</v>
      </c>
      <c r="BE94" s="43">
        <v>1.305882</v>
      </c>
      <c r="BF94" s="43">
        <v>2.5990489999999999</v>
      </c>
      <c r="BG94" s="43">
        <v>2.8959480000000002</v>
      </c>
      <c r="BH94" s="43">
        <v>2.8852980000000001</v>
      </c>
      <c r="BI94" s="43">
        <v>1.4302950000000001</v>
      </c>
      <c r="BJ94" s="43">
        <v>1.3567530000000001</v>
      </c>
      <c r="BK94" s="43">
        <v>91.384600000000006</v>
      </c>
      <c r="BL94" s="43">
        <v>93.695700000000002</v>
      </c>
      <c r="BM94" s="43">
        <v>1.1198630000000001</v>
      </c>
      <c r="BN94" s="43">
        <v>1.286994</v>
      </c>
      <c r="BO94" s="43">
        <v>40.670580000000001</v>
      </c>
      <c r="BP94" s="43">
        <v>1.29095346141421</v>
      </c>
      <c r="BQ94" s="43">
        <v>3213.7939999999999</v>
      </c>
      <c r="BR94" s="43">
        <v>608.21062900422305</v>
      </c>
      <c r="BS94" s="43">
        <v>12417.88</v>
      </c>
      <c r="BT94" s="43">
        <v>6542.8559999999998</v>
      </c>
      <c r="BU94" s="43">
        <v>1.0748470000000001</v>
      </c>
      <c r="BV94" s="43">
        <v>1.3181</v>
      </c>
      <c r="BW94" s="43">
        <v>1.405813</v>
      </c>
      <c r="BX94" s="43">
        <v>1.14219</v>
      </c>
      <c r="BY94" s="43">
        <v>2.193203</v>
      </c>
      <c r="BZ94" s="43">
        <v>2.553296</v>
      </c>
      <c r="CA94" s="43">
        <v>1.599032</v>
      </c>
      <c r="CB94" s="43">
        <v>0.78177339999999995</v>
      </c>
      <c r="CC94" s="43">
        <v>8.5571063895328301</v>
      </c>
      <c r="CD94" s="43">
        <v>0.96794040000000003</v>
      </c>
      <c r="CE94" s="43">
        <v>1.0422309999999999</v>
      </c>
      <c r="CF94" s="43">
        <v>1.108603</v>
      </c>
      <c r="CG94" s="43">
        <v>1.074236</v>
      </c>
      <c r="CH94" s="43">
        <v>1.03599297017379</v>
      </c>
      <c r="CI94" s="43">
        <v>1.0692417996500001</v>
      </c>
      <c r="CJ94" s="43">
        <v>1.0683522068095599</v>
      </c>
      <c r="CK94" s="43">
        <v>1.0702394857589299</v>
      </c>
      <c r="CL94" s="43">
        <v>1.3203659999999999</v>
      </c>
      <c r="CM94" s="43">
        <v>1.242723</v>
      </c>
      <c r="CN94" s="43">
        <v>1.296468</v>
      </c>
      <c r="CO94" s="43">
        <v>1.60148</v>
      </c>
      <c r="CP94" s="43">
        <v>0.87551131792391701</v>
      </c>
      <c r="CQ94" s="43">
        <v>1.1529469999999999</v>
      </c>
      <c r="CR94" s="43">
        <v>3.1477860722741799</v>
      </c>
      <c r="CS94" s="43">
        <v>67.849509393251296</v>
      </c>
      <c r="CT94" s="43">
        <v>95.307211303725893</v>
      </c>
      <c r="CU94" s="43">
        <v>20.5230992908422</v>
      </c>
      <c r="CV94" s="43">
        <v>23.441272397835199</v>
      </c>
      <c r="CW94" s="43">
        <v>1.3195730000000001</v>
      </c>
      <c r="CX94" s="43">
        <v>1.281417</v>
      </c>
      <c r="CY94" s="43">
        <v>1.286009</v>
      </c>
      <c r="CZ94" s="43">
        <v>1.3053753537905499</v>
      </c>
      <c r="DA94" s="43">
        <v>1.19021641069882</v>
      </c>
      <c r="DB94" s="43">
        <v>2.4456130248401902</v>
      </c>
      <c r="DC94" s="43">
        <v>1.00851537864318</v>
      </c>
      <c r="DD94" s="43">
        <v>1.1819693070808199</v>
      </c>
      <c r="DE94" s="43">
        <v>1.5839799737229701</v>
      </c>
      <c r="DF94" s="43">
        <v>1.29964502899122</v>
      </c>
      <c r="DG94" s="43">
        <v>1.35558108393439</v>
      </c>
      <c r="DH94" s="43">
        <v>1.1567707008972199</v>
      </c>
      <c r="DI94" s="43">
        <v>1.9120273604635301</v>
      </c>
      <c r="DJ94" s="43">
        <v>1.16977386158327</v>
      </c>
      <c r="DK94" s="43">
        <v>1.6059909999999999</v>
      </c>
      <c r="DL94" s="43">
        <v>1.8209280000000001</v>
      </c>
      <c r="DM94" s="43">
        <v>2.005074</v>
      </c>
      <c r="DN94" s="43">
        <v>1.49733143035535</v>
      </c>
      <c r="DO94" s="43">
        <v>2.0456370000000001</v>
      </c>
      <c r="DP94" s="43">
        <v>1.5031859999999999</v>
      </c>
      <c r="DQ94" s="43">
        <v>1.3021119999999999</v>
      </c>
      <c r="DR94" s="43">
        <v>1.7998559999999999</v>
      </c>
      <c r="DS94" s="43">
        <v>0.89533969999999996</v>
      </c>
      <c r="DT94" s="43">
        <v>1.34003058629858</v>
      </c>
      <c r="DU94" s="43">
        <v>580.88260000000002</v>
      </c>
      <c r="DV94" s="43">
        <v>310.56209999999999</v>
      </c>
      <c r="DW94" s="43">
        <v>108.1699</v>
      </c>
      <c r="DX94" s="43">
        <v>1.08456</v>
      </c>
      <c r="DY94" s="43">
        <v>1.2125539999999999</v>
      </c>
      <c r="DZ94" s="43">
        <v>1.0732969999999999</v>
      </c>
      <c r="EA94" s="43">
        <v>882.83939999999996</v>
      </c>
      <c r="EB94" s="43">
        <v>134.61093196063101</v>
      </c>
      <c r="EC94" s="43">
        <v>1.2452964916506399</v>
      </c>
      <c r="ED94" s="43">
        <v>1.30430346236837</v>
      </c>
      <c r="EE94" s="43">
        <v>1.2957760917966901</v>
      </c>
      <c r="EF94" s="43">
        <v>1.5272057860614601</v>
      </c>
      <c r="EG94" s="43">
        <v>1.3847844540095899</v>
      </c>
      <c r="EH94" s="43">
        <v>0.62088708428524597</v>
      </c>
      <c r="EI94" s="43">
        <v>0.25647437420397301</v>
      </c>
      <c r="EJ94" s="43">
        <v>29.3789282722291</v>
      </c>
      <c r="EK94" s="43">
        <v>16.670834323258202</v>
      </c>
      <c r="EL94" s="43">
        <v>0.73426633389169804</v>
      </c>
      <c r="EM94" s="43">
        <v>2232.3868484611498</v>
      </c>
      <c r="EN94" s="43">
        <v>555.84628734215096</v>
      </c>
      <c r="EO94" s="43">
        <v>82608.670906214393</v>
      </c>
      <c r="EP94" s="43">
        <v>56004.424939532801</v>
      </c>
      <c r="EQ94" s="43">
        <v>3984.0014065956102</v>
      </c>
      <c r="ER94" s="43">
        <v>1.82820058235146</v>
      </c>
      <c r="ES94" s="43">
        <v>1.95296208853811</v>
      </c>
      <c r="ET94" s="43">
        <v>1.8026790333465901</v>
      </c>
      <c r="EU94" s="43">
        <v>1.9071769999999999</v>
      </c>
      <c r="EV94" s="43">
        <v>1.763336</v>
      </c>
      <c r="EW94" s="43">
        <v>2.1953309999999999</v>
      </c>
      <c r="EX94" s="43">
        <v>1.905619</v>
      </c>
      <c r="EY94" s="43">
        <v>1.763587</v>
      </c>
      <c r="EZ94" s="43">
        <v>2.194855</v>
      </c>
      <c r="FA94" s="43">
        <v>14.5719171769714</v>
      </c>
      <c r="FB94" s="43">
        <v>14.303575202442</v>
      </c>
      <c r="FC94" s="43">
        <v>61.891895009080301</v>
      </c>
      <c r="FD94" s="43">
        <v>14784.037800521301</v>
      </c>
      <c r="FE94" s="43">
        <v>141319.79999999999</v>
      </c>
      <c r="FF94" s="43">
        <v>1.3650625000000001</v>
      </c>
      <c r="FG94" s="43">
        <v>5.1487861740048997</v>
      </c>
      <c r="FH94" s="43">
        <v>889.30225919313398</v>
      </c>
      <c r="FI94" s="43">
        <v>14703.3869910229</v>
      </c>
      <c r="FJ94" s="43">
        <v>7.1934010702250601</v>
      </c>
      <c r="FK94" s="43">
        <v>18.138273580202299</v>
      </c>
      <c r="FL94" s="43">
        <v>1.1261330000000001</v>
      </c>
      <c r="FM94" s="43">
        <v>1.1432180000000001</v>
      </c>
    </row>
    <row r="95" spans="1:169" x14ac:dyDescent="0.25">
      <c r="A95" s="43" t="s">
        <v>322</v>
      </c>
      <c r="B95" s="43">
        <v>24113.69</v>
      </c>
      <c r="C95" s="43">
        <v>16657.23</v>
      </c>
      <c r="D95" s="43">
        <v>3.3365230000000001</v>
      </c>
      <c r="E95" s="43">
        <v>3.2257199999999999</v>
      </c>
      <c r="F95" s="43">
        <v>3.572028</v>
      </c>
      <c r="G95" s="43">
        <v>3.5285760000000002</v>
      </c>
      <c r="H95" s="43">
        <v>1.0773699999999999</v>
      </c>
      <c r="I95" s="43">
        <v>1.043731</v>
      </c>
      <c r="J95" s="43">
        <v>1.0557240000000001</v>
      </c>
      <c r="K95" s="43">
        <v>1.022654</v>
      </c>
      <c r="L95" s="43">
        <v>2.7048619999999999</v>
      </c>
      <c r="M95" s="43">
        <v>72.795280000000005</v>
      </c>
      <c r="N95" s="43">
        <v>77.728286864451306</v>
      </c>
      <c r="O95" s="43">
        <v>2.3468508057167501</v>
      </c>
      <c r="P95" s="43">
        <v>1.611156</v>
      </c>
      <c r="Q95" s="43">
        <v>-713.08370000000002</v>
      </c>
      <c r="R95" s="43">
        <v>6.2257199999999999</v>
      </c>
      <c r="S95" s="43">
        <v>3573.1509999999998</v>
      </c>
      <c r="T95" s="43">
        <v>2.9184960000000002</v>
      </c>
      <c r="U95" s="43">
        <v>4.1898929999999996</v>
      </c>
      <c r="V95" s="43">
        <v>2850.3829999999998</v>
      </c>
      <c r="W95" s="43">
        <v>1.7888299999999999</v>
      </c>
      <c r="X95" s="43">
        <v>19435.57</v>
      </c>
      <c r="Y95" s="43">
        <v>1.3183929999999999</v>
      </c>
      <c r="Z95" s="43">
        <v>0.8190096</v>
      </c>
      <c r="AA95" s="43">
        <v>1.264265</v>
      </c>
      <c r="AB95" s="43">
        <v>1.032899</v>
      </c>
      <c r="AC95" s="43">
        <v>71.000370000000004</v>
      </c>
      <c r="AD95" s="43">
        <v>1.3273410000000001</v>
      </c>
      <c r="AE95" s="43">
        <v>1.5442499999999999</v>
      </c>
      <c r="AF95" s="43">
        <v>1.6444939999999999</v>
      </c>
      <c r="AG95" s="43">
        <v>345.08539999999999</v>
      </c>
      <c r="AH95" s="43">
        <v>134.28880000000001</v>
      </c>
      <c r="AI95" s="43">
        <v>2.7759499999999999</v>
      </c>
      <c r="AJ95" s="43">
        <v>2.76639902524966</v>
      </c>
      <c r="AK95" s="43">
        <f t="shared" si="4"/>
        <v>31827.307889547603</v>
      </c>
      <c r="AL95" s="47">
        <v>9.7835819059102214E-3</v>
      </c>
      <c r="AM95" s="43">
        <v>2.6643772023927399</v>
      </c>
      <c r="AN95" s="43">
        <v>0.77097527440563096</v>
      </c>
      <c r="AO95" s="43">
        <v>2.8368988935735699</v>
      </c>
      <c r="AP95" s="43">
        <v>2.3122622878143702</v>
      </c>
      <c r="AQ95" s="43">
        <v>4.2234472804536001</v>
      </c>
      <c r="AR95" s="43">
        <v>2.5603708606521698</v>
      </c>
      <c r="AS95" s="43">
        <v>2.1866507269842801</v>
      </c>
      <c r="AT95" s="43">
        <v>2.1725937040163101</v>
      </c>
      <c r="AU95" s="43">
        <v>2.79441696986729</v>
      </c>
      <c r="AV95" s="43">
        <v>2373.5729999999999</v>
      </c>
      <c r="AW95" s="43">
        <v>1362.9680000000001</v>
      </c>
      <c r="AX95" s="43">
        <v>1.134417</v>
      </c>
      <c r="AY95" s="43">
        <v>1.6930970000000001</v>
      </c>
      <c r="AZ95" s="43">
        <v>244</v>
      </c>
      <c r="BA95" s="43">
        <v>0.76764969999999999</v>
      </c>
      <c r="BB95" s="43">
        <v>155.51240000000001</v>
      </c>
      <c r="BC95" s="43">
        <v>32.686979999999998</v>
      </c>
      <c r="BD95" s="43">
        <v>5.6</v>
      </c>
      <c r="BE95" s="43">
        <v>1.3128409999999999</v>
      </c>
      <c r="BF95" s="43">
        <v>2.5753629999999998</v>
      </c>
      <c r="BG95" s="43">
        <v>2.8733110000000002</v>
      </c>
      <c r="BH95" s="43">
        <v>2.8649580000000001</v>
      </c>
      <c r="BI95" s="43">
        <v>1.4361930000000001</v>
      </c>
      <c r="BJ95" s="43">
        <v>1.363067</v>
      </c>
      <c r="BK95" s="43">
        <v>92.490589999999997</v>
      </c>
      <c r="BL95" s="43">
        <v>94.828779999999995</v>
      </c>
      <c r="BM95" s="43">
        <v>1.12964</v>
      </c>
      <c r="BN95" s="43">
        <v>1.2913790000000001</v>
      </c>
      <c r="BO95" s="43">
        <v>40.778359999999999</v>
      </c>
      <c r="BP95" s="43">
        <v>1.30267756976855</v>
      </c>
      <c r="BQ95" s="43">
        <v>3239.549</v>
      </c>
      <c r="BR95" s="43">
        <v>612.12790625596097</v>
      </c>
      <c r="BS95" s="43">
        <v>12485.32</v>
      </c>
      <c r="BT95" s="43">
        <v>6576.1869999999999</v>
      </c>
      <c r="BU95" s="43">
        <v>1.07989</v>
      </c>
      <c r="BV95" s="43">
        <v>1.32283</v>
      </c>
      <c r="BW95" s="43">
        <v>1.4099900000000001</v>
      </c>
      <c r="BX95" s="43">
        <v>1.136479</v>
      </c>
      <c r="BY95" s="43">
        <v>2.1761180000000002</v>
      </c>
      <c r="BZ95" s="43">
        <v>2.5300720000000001</v>
      </c>
      <c r="CA95" s="43">
        <v>1.6204270000000001</v>
      </c>
      <c r="CB95" s="43">
        <v>0.7841188</v>
      </c>
      <c r="CC95" s="43">
        <v>8.6259072449260596</v>
      </c>
      <c r="CD95" s="43">
        <v>0.97320499999999999</v>
      </c>
      <c r="CE95" s="43">
        <v>1.047356</v>
      </c>
      <c r="CF95" s="43">
        <v>1.115974</v>
      </c>
      <c r="CG95" s="43">
        <v>1.0771729999999999</v>
      </c>
      <c r="CH95" s="43">
        <v>1.0390370334590699</v>
      </c>
      <c r="CI95" s="43">
        <v>1.0729115827479501</v>
      </c>
      <c r="CJ95" s="43">
        <v>1.0746615353953399</v>
      </c>
      <c r="CK95" s="43">
        <v>1.07303443803561</v>
      </c>
      <c r="CL95" s="43">
        <v>1.3250630000000001</v>
      </c>
      <c r="CM95" s="43">
        <v>1.245733</v>
      </c>
      <c r="CN95" s="43">
        <v>1.302813</v>
      </c>
      <c r="CO95" s="43">
        <v>1.6082080000000001</v>
      </c>
      <c r="CP95" s="43">
        <v>0.87991087228534404</v>
      </c>
      <c r="CQ95" s="43">
        <v>1.157699</v>
      </c>
      <c r="CR95" s="43">
        <v>3.1493720530859202</v>
      </c>
      <c r="CS95" s="43">
        <v>68.393964696144806</v>
      </c>
      <c r="CT95" s="43">
        <v>95.402518515029598</v>
      </c>
      <c r="CU95" s="43">
        <v>20.584977982171399</v>
      </c>
      <c r="CV95" s="43">
        <v>23.394389853039499</v>
      </c>
      <c r="CW95" s="43">
        <v>1.322101</v>
      </c>
      <c r="CX95" s="43">
        <v>1.284314</v>
      </c>
      <c r="CY95" s="43">
        <v>1.284435</v>
      </c>
      <c r="CZ95" s="43">
        <v>1.30667101942576</v>
      </c>
      <c r="DA95" s="43">
        <v>1.1891584738499901</v>
      </c>
      <c r="DB95" s="43">
        <v>2.4522976663844198</v>
      </c>
      <c r="DC95" s="43">
        <v>1.00722030919473</v>
      </c>
      <c r="DD95" s="43">
        <v>1.1868954717106599</v>
      </c>
      <c r="DE95" s="43">
        <v>1.5921210512769399</v>
      </c>
      <c r="DF95" s="43">
        <v>1.30551785454155</v>
      </c>
      <c r="DG95" s="43">
        <v>1.3657820695073399</v>
      </c>
      <c r="DH95" s="43">
        <v>1.1589607233816099</v>
      </c>
      <c r="DI95" s="43">
        <v>1.9257464682524601</v>
      </c>
      <c r="DJ95" s="43">
        <v>1.1706847210793501</v>
      </c>
      <c r="DK95" s="43">
        <v>1.613856</v>
      </c>
      <c r="DL95" s="43">
        <v>1.8290420000000001</v>
      </c>
      <c r="DM95" s="43">
        <v>2.0094370000000001</v>
      </c>
      <c r="DN95" s="43">
        <v>1.5028093546064401</v>
      </c>
      <c r="DO95" s="43">
        <v>2.057633</v>
      </c>
      <c r="DP95" s="43">
        <v>1.514224</v>
      </c>
      <c r="DQ95" s="43">
        <v>1.3017730000000001</v>
      </c>
      <c r="DR95" s="43">
        <v>1.8092600000000001</v>
      </c>
      <c r="DS95" s="43">
        <v>0.89390910000000001</v>
      </c>
      <c r="DT95" s="43">
        <v>1.3431245925306601</v>
      </c>
      <c r="DU95" s="43">
        <v>582.17079999999999</v>
      </c>
      <c r="DV95" s="43">
        <v>311.28160000000003</v>
      </c>
      <c r="DW95" s="43">
        <v>108.592</v>
      </c>
      <c r="DX95" s="43">
        <v>1.0857060000000001</v>
      </c>
      <c r="DY95" s="43">
        <v>1.2136009999999999</v>
      </c>
      <c r="DZ95" s="43">
        <v>1.073421</v>
      </c>
      <c r="EA95" s="43">
        <v>885.10149999999999</v>
      </c>
      <c r="EB95" s="43">
        <v>134.61093196063101</v>
      </c>
      <c r="EC95" s="43">
        <v>1.2489970339518099</v>
      </c>
      <c r="ED95" s="43">
        <v>1.3085669395284301</v>
      </c>
      <c r="EE95" s="43">
        <v>1.2998008962268199</v>
      </c>
      <c r="EF95" s="43">
        <v>1.5326468836723799</v>
      </c>
      <c r="EG95" s="43">
        <v>1.3891452433571601</v>
      </c>
      <c r="EH95" s="43">
        <v>0.62419592667996804</v>
      </c>
      <c r="EI95" s="43">
        <v>0.25784118196017403</v>
      </c>
      <c r="EJ95" s="43">
        <v>29.5354949746764</v>
      </c>
      <c r="EK95" s="43">
        <v>16.759676827411301</v>
      </c>
      <c r="EL95" s="43">
        <v>0.73817939898210105</v>
      </c>
      <c r="EM95" s="43">
        <v>2239.0699557278499</v>
      </c>
      <c r="EN95" s="43">
        <v>557.51032705133696</v>
      </c>
      <c r="EO95" s="43">
        <v>82855.976882419302</v>
      </c>
      <c r="EP95" s="43">
        <v>56172.085656374402</v>
      </c>
      <c r="EQ95" s="43">
        <v>3995.9283308064801</v>
      </c>
      <c r="ER95" s="43">
        <v>1.8336332914575699</v>
      </c>
      <c r="ES95" s="43">
        <v>1.9587655408642499</v>
      </c>
      <c r="ET95" s="43">
        <v>1.80803590222323</v>
      </c>
      <c r="EU95" s="43">
        <v>1.921025</v>
      </c>
      <c r="EV95" s="43">
        <v>1.770699</v>
      </c>
      <c r="EW95" s="43">
        <v>2.21563</v>
      </c>
      <c r="EX95" s="43">
        <v>1.9181619999999999</v>
      </c>
      <c r="EY95" s="43">
        <v>1.7704759999999999</v>
      </c>
      <c r="EZ95" s="43">
        <v>2.2151179999999999</v>
      </c>
      <c r="FA95" s="43">
        <v>14.678287678275201</v>
      </c>
      <c r="FB95" s="43">
        <v>14.407072828763299</v>
      </c>
      <c r="FC95" s="43">
        <v>62.299247793634301</v>
      </c>
      <c r="FD95" s="43">
        <v>14841.784177121101</v>
      </c>
      <c r="FE95" s="43">
        <v>142624.4</v>
      </c>
      <c r="FF95" s="43">
        <v>1.3694375000000001</v>
      </c>
      <c r="FG95" s="43">
        <v>5.1745301048749202</v>
      </c>
      <c r="FH95" s="43">
        <v>889.30225919313398</v>
      </c>
      <c r="FI95" s="43">
        <v>14776.903925978</v>
      </c>
      <c r="FJ95" s="43">
        <v>7.1862076691548404</v>
      </c>
      <c r="FK95" s="43">
        <v>18.156411853782501</v>
      </c>
      <c r="FL95" s="43">
        <v>1.1299699999999999</v>
      </c>
      <c r="FM95" s="43">
        <v>1.146285</v>
      </c>
    </row>
    <row r="96" spans="1:169" x14ac:dyDescent="0.25">
      <c r="A96" s="43" t="s">
        <v>323</v>
      </c>
      <c r="B96" s="43">
        <v>24239.3</v>
      </c>
      <c r="C96" s="43">
        <v>16768.55</v>
      </c>
      <c r="D96" s="43">
        <v>3.3563640000000001</v>
      </c>
      <c r="E96" s="43">
        <v>3.2257199999999999</v>
      </c>
      <c r="F96" s="43">
        <v>3.563936</v>
      </c>
      <c r="G96" s="43">
        <v>3.5197210000000001</v>
      </c>
      <c r="H96" s="43">
        <v>1.084336</v>
      </c>
      <c r="I96" s="43">
        <v>1.0500119999999999</v>
      </c>
      <c r="J96" s="43">
        <v>1.061091</v>
      </c>
      <c r="K96" s="43">
        <v>1.0252190000000001</v>
      </c>
      <c r="L96" s="43">
        <v>2.7182460000000002</v>
      </c>
      <c r="M96" s="43">
        <v>73.011880000000005</v>
      </c>
      <c r="N96" s="43">
        <v>77.959563691223806</v>
      </c>
      <c r="O96" s="43">
        <v>2.3578688846168299</v>
      </c>
      <c r="P96" s="43">
        <v>1.614406</v>
      </c>
      <c r="Q96" s="43">
        <v>-710.76030000000003</v>
      </c>
      <c r="R96" s="43">
        <v>6.2257199999999999</v>
      </c>
      <c r="S96" s="43">
        <v>3590.4969999999998</v>
      </c>
      <c r="T96" s="43">
        <v>2.9151400000000001</v>
      </c>
      <c r="U96" s="43">
        <v>4.1855650000000004</v>
      </c>
      <c r="V96" s="43">
        <v>2868.2020000000002</v>
      </c>
      <c r="W96" s="43">
        <v>1.8009850000000001</v>
      </c>
      <c r="X96" s="43">
        <v>19627.689999999999</v>
      </c>
      <c r="Y96" s="43">
        <v>1.319356</v>
      </c>
      <c r="Z96" s="43">
        <v>0.82383430000000002</v>
      </c>
      <c r="AA96" s="43">
        <v>1.270138</v>
      </c>
      <c r="AB96" s="43">
        <v>1.0380320000000001</v>
      </c>
      <c r="AC96" s="43">
        <v>71.212299999999999</v>
      </c>
      <c r="AD96" s="43">
        <v>1.334055</v>
      </c>
      <c r="AE96" s="43">
        <v>1.5570889999999999</v>
      </c>
      <c r="AF96" s="43">
        <v>1.658061</v>
      </c>
      <c r="AG96" s="43">
        <v>345.67059999999998</v>
      </c>
      <c r="AH96" s="43">
        <v>133.3749</v>
      </c>
      <c r="AI96" s="43">
        <v>2.7925939999999998</v>
      </c>
      <c r="AJ96" s="43">
        <v>2.7805516755465201</v>
      </c>
      <c r="AK96" s="43">
        <f t="shared" si="4"/>
        <v>32154.937218032264</v>
      </c>
      <c r="AL96" s="47">
        <v>1.0293969242439749E-2</v>
      </c>
      <c r="AM96" s="43">
        <v>2.6546645544069198</v>
      </c>
      <c r="AN96" s="43">
        <v>0.76686536649186998</v>
      </c>
      <c r="AO96" s="43">
        <v>2.8465352080522499</v>
      </c>
      <c r="AP96" s="43">
        <v>2.32225198522511</v>
      </c>
      <c r="AQ96" s="43">
        <v>4.2505537814855003</v>
      </c>
      <c r="AR96" s="43">
        <v>2.57176529935473</v>
      </c>
      <c r="AS96" s="43">
        <v>2.1953394400090498</v>
      </c>
      <c r="AT96" s="43">
        <v>2.1793254099983699</v>
      </c>
      <c r="AU96" s="43">
        <v>2.8076796851086701</v>
      </c>
      <c r="AV96" s="43">
        <v>2386.145</v>
      </c>
      <c r="AW96" s="43">
        <v>1370.739</v>
      </c>
      <c r="AX96" s="43">
        <v>1.138563</v>
      </c>
      <c r="AY96" s="43">
        <v>1.702132</v>
      </c>
      <c r="AZ96" s="43">
        <v>244</v>
      </c>
      <c r="BA96" s="43">
        <v>0.76841729999999997</v>
      </c>
      <c r="BB96" s="43">
        <v>156.61500000000001</v>
      </c>
      <c r="BC96" s="43">
        <v>32.894730000000003</v>
      </c>
      <c r="BD96" s="43">
        <v>5.6</v>
      </c>
      <c r="BE96" s="43">
        <v>1.318432</v>
      </c>
      <c r="BF96" s="43">
        <v>2.564368</v>
      </c>
      <c r="BG96" s="43">
        <v>2.8616890000000001</v>
      </c>
      <c r="BH96" s="43">
        <v>2.8531789999999999</v>
      </c>
      <c r="BI96" s="43">
        <v>1.4429670000000001</v>
      </c>
      <c r="BJ96" s="43">
        <v>1.3697509999999999</v>
      </c>
      <c r="BK96" s="43">
        <v>92.67398</v>
      </c>
      <c r="BL96" s="43">
        <v>95.015919999999994</v>
      </c>
      <c r="BM96" s="43">
        <v>1.138957</v>
      </c>
      <c r="BN96" s="43">
        <v>1.2959689999999999</v>
      </c>
      <c r="BO96" s="43">
        <v>40.886420000000001</v>
      </c>
      <c r="BP96" s="43">
        <v>1.3013761958436201</v>
      </c>
      <c r="BQ96" s="43">
        <v>3270.433</v>
      </c>
      <c r="BR96" s="43">
        <v>614.99770170023999</v>
      </c>
      <c r="BS96" s="43">
        <v>12559.57</v>
      </c>
      <c r="BT96" s="43">
        <v>6601.5</v>
      </c>
      <c r="BU96" s="43">
        <v>1.0886910000000001</v>
      </c>
      <c r="BV96" s="43">
        <v>1.331216</v>
      </c>
      <c r="BW96" s="43">
        <v>1.4197580000000001</v>
      </c>
      <c r="BX96" s="43">
        <v>1.134206</v>
      </c>
      <c r="BY96" s="43">
        <v>2.1672630000000002</v>
      </c>
      <c r="BZ96" s="43">
        <v>2.5129100000000002</v>
      </c>
      <c r="CA96" s="43">
        <v>1.64669</v>
      </c>
      <c r="CB96" s="43">
        <v>0.78647109999999998</v>
      </c>
      <c r="CC96" s="43">
        <v>8.6086208576616805</v>
      </c>
      <c r="CD96" s="43">
        <v>0.98233570000000003</v>
      </c>
      <c r="CE96" s="43">
        <v>1.0562929999999999</v>
      </c>
      <c r="CF96" s="43">
        <v>1.1281300000000001</v>
      </c>
      <c r="CG96" s="43">
        <v>1.0826750000000001</v>
      </c>
      <c r="CH96" s="43">
        <v>1.0431620201290499</v>
      </c>
      <c r="CI96" s="43">
        <v>1.0783515175041101</v>
      </c>
      <c r="CJ96" s="43">
        <v>1.0833482025463299</v>
      </c>
      <c r="CK96" s="43">
        <v>1.0778074809268501</v>
      </c>
      <c r="CL96" s="43">
        <v>1.3334379999999999</v>
      </c>
      <c r="CM96" s="43">
        <v>1.2489030000000001</v>
      </c>
      <c r="CN96" s="43">
        <v>1.313544</v>
      </c>
      <c r="CO96" s="43">
        <v>1.6231770000000001</v>
      </c>
      <c r="CP96" s="43">
        <v>0.88167422072679702</v>
      </c>
      <c r="CQ96" s="43">
        <v>1.163716</v>
      </c>
      <c r="CR96" s="43">
        <v>3.1506954898210902</v>
      </c>
      <c r="CS96" s="43">
        <v>68.7349375656609</v>
      </c>
      <c r="CT96" s="43">
        <v>95.4979210335446</v>
      </c>
      <c r="CU96" s="43">
        <v>20.584977982171399</v>
      </c>
      <c r="CV96" s="43">
        <v>23.347601073333401</v>
      </c>
      <c r="CW96" s="43">
        <v>1.3291139999999999</v>
      </c>
      <c r="CX96" s="43">
        <v>1.291169</v>
      </c>
      <c r="CY96" s="43">
        <v>1.286764</v>
      </c>
      <c r="CZ96" s="43">
        <v>1.3118650162726799</v>
      </c>
      <c r="DA96" s="43">
        <v>1.1908945578097301</v>
      </c>
      <c r="DB96" s="43">
        <v>2.46480492155619</v>
      </c>
      <c r="DC96" s="43">
        <v>1.0058345759321701</v>
      </c>
      <c r="DD96" s="43">
        <v>1.1958789507242999</v>
      </c>
      <c r="DE96" s="43">
        <v>1.60796286335345</v>
      </c>
      <c r="DF96" s="43">
        <v>1.31453359413335</v>
      </c>
      <c r="DG96" s="43">
        <v>1.3799144694962799</v>
      </c>
      <c r="DH96" s="43">
        <v>1.16411017886713</v>
      </c>
      <c r="DI96" s="43">
        <v>1.9505874688741101</v>
      </c>
      <c r="DJ96" s="43">
        <v>1.1711015358708701</v>
      </c>
      <c r="DK96" s="43">
        <v>1.62982</v>
      </c>
      <c r="DL96" s="43">
        <v>1.848374</v>
      </c>
      <c r="DM96" s="43">
        <v>2.0283169999999999</v>
      </c>
      <c r="DN96" s="43">
        <v>1.5148783015029199</v>
      </c>
      <c r="DO96" s="43">
        <v>2.0868679999999999</v>
      </c>
      <c r="DP96" s="43">
        <v>1.5329219999999999</v>
      </c>
      <c r="DQ96" s="43">
        <v>1.307186</v>
      </c>
      <c r="DR96" s="43">
        <v>1.8296460000000001</v>
      </c>
      <c r="DS96" s="43">
        <v>0.89640819999999999</v>
      </c>
      <c r="DT96" s="43">
        <v>1.3519363994290301</v>
      </c>
      <c r="DU96" s="43">
        <v>583.67859999999996</v>
      </c>
      <c r="DV96" s="43">
        <v>312.2285</v>
      </c>
      <c r="DW96" s="43">
        <v>108.99160000000001</v>
      </c>
      <c r="DX96" s="43">
        <v>1.0878810000000001</v>
      </c>
      <c r="DY96" s="43">
        <v>1.2160329999999999</v>
      </c>
      <c r="DZ96" s="43">
        <v>1.073922</v>
      </c>
      <c r="EA96" s="43">
        <v>885.59010000000001</v>
      </c>
      <c r="EB96" s="43">
        <v>134.61093196063101</v>
      </c>
      <c r="EC96" s="43">
        <v>1.2576496830575601</v>
      </c>
      <c r="ED96" s="43">
        <v>1.3185388027726801</v>
      </c>
      <c r="EE96" s="43">
        <v>1.30921602035031</v>
      </c>
      <c r="EF96" s="43">
        <v>1.54536200992812</v>
      </c>
      <c r="EG96" s="43">
        <v>1.39933992563156</v>
      </c>
      <c r="EH96" s="43">
        <v>0.62685417771709695</v>
      </c>
      <c r="EI96" s="43">
        <v>0.25893924518049299</v>
      </c>
      <c r="EJ96" s="43">
        <v>29.6612772119399</v>
      </c>
      <c r="EK96" s="43">
        <v>16.831050936732002</v>
      </c>
      <c r="EL96" s="43">
        <v>0.74132306921296598</v>
      </c>
      <c r="EM96" s="43">
        <v>2245.75306299454</v>
      </c>
      <c r="EN96" s="43">
        <v>559.17436676052296</v>
      </c>
      <c r="EO96" s="43">
        <v>83103.282858624196</v>
      </c>
      <c r="EP96" s="43">
        <v>56339.746373215901</v>
      </c>
      <c r="EQ96" s="43">
        <v>4007.8552550173599</v>
      </c>
      <c r="ER96" s="43">
        <v>1.8463361122236199</v>
      </c>
      <c r="ES96" s="43">
        <v>1.97233523754474</v>
      </c>
      <c r="ET96" s="43">
        <v>1.8205613925224799</v>
      </c>
      <c r="EU96" s="43">
        <v>1.937465</v>
      </c>
      <c r="EV96" s="43">
        <v>1.7798179999999999</v>
      </c>
      <c r="EW96" s="43">
        <v>2.2404229999999998</v>
      </c>
      <c r="EX96" s="43">
        <v>1.9376720000000001</v>
      </c>
      <c r="EY96" s="43">
        <v>1.7799419999999999</v>
      </c>
      <c r="EZ96" s="43">
        <v>2.2411720000000002</v>
      </c>
      <c r="FA96" s="43">
        <v>14.804559266722601</v>
      </c>
      <c r="FB96" s="43">
        <v>14.5299135444498</v>
      </c>
      <c r="FC96" s="43">
        <v>62.932936215617303</v>
      </c>
      <c r="FD96" s="43">
        <v>14921.144747026399</v>
      </c>
      <c r="FE96" s="43">
        <v>144302</v>
      </c>
      <c r="FF96" s="43">
        <v>1.3751875</v>
      </c>
      <c r="FG96" s="43">
        <v>5.2004027553993</v>
      </c>
      <c r="FH96" s="43">
        <v>889.30225919313398</v>
      </c>
      <c r="FI96" s="43">
        <v>14850.788445607899</v>
      </c>
      <c r="FJ96" s="43">
        <v>7.1933938768239898</v>
      </c>
      <c r="FK96" s="43">
        <v>18.120099030075</v>
      </c>
      <c r="FL96" s="43">
        <v>1.130495</v>
      </c>
      <c r="FM96" s="43">
        <v>1.145392</v>
      </c>
    </row>
    <row r="97" spans="1:169" x14ac:dyDescent="0.25">
      <c r="A97" s="43" t="s">
        <v>324</v>
      </c>
      <c r="B97" s="43">
        <v>24377.49</v>
      </c>
      <c r="C97" s="43">
        <v>16864.97</v>
      </c>
      <c r="D97" s="43">
        <v>3.3804379999999998</v>
      </c>
      <c r="E97" s="43">
        <v>2.6708599999999998</v>
      </c>
      <c r="F97" s="43">
        <v>3.3213729999999999</v>
      </c>
      <c r="G97" s="43">
        <v>3.6287099999999999</v>
      </c>
      <c r="H97" s="43">
        <v>1.089669</v>
      </c>
      <c r="I97" s="43">
        <v>1.0547880000000001</v>
      </c>
      <c r="J97" s="43">
        <v>1.0658049999999999</v>
      </c>
      <c r="K97" s="43">
        <v>1.026562</v>
      </c>
      <c r="L97" s="43">
        <v>2.732138</v>
      </c>
      <c r="M97" s="43">
        <v>73.228480000000005</v>
      </c>
      <c r="N97" s="43">
        <v>78.190840517996307</v>
      </c>
      <c r="O97" s="43">
        <v>2.3743960029669502</v>
      </c>
      <c r="P97" s="43">
        <v>1.617094</v>
      </c>
      <c r="Q97" s="43">
        <v>-709.71609999999998</v>
      </c>
      <c r="R97" s="43">
        <v>5.6708600000000002</v>
      </c>
      <c r="S97" s="43">
        <v>3608.241</v>
      </c>
      <c r="T97" s="43">
        <v>2.4887609999999998</v>
      </c>
      <c r="U97" s="43">
        <v>4.1439300000000001</v>
      </c>
      <c r="V97" s="43">
        <v>2888.43</v>
      </c>
      <c r="W97" s="43">
        <v>1.8183149999999999</v>
      </c>
      <c r="X97" s="43">
        <v>19810.599999999999</v>
      </c>
      <c r="Y97" s="43">
        <v>1.32064</v>
      </c>
      <c r="Z97" s="43">
        <v>0.82726869999999997</v>
      </c>
      <c r="AA97" s="43">
        <v>1.2790010000000001</v>
      </c>
      <c r="AB97" s="43">
        <v>1.042662</v>
      </c>
      <c r="AC97" s="43">
        <v>71.424210000000002</v>
      </c>
      <c r="AD97" s="43">
        <v>1.342481</v>
      </c>
      <c r="AE97" s="43">
        <v>1.5738749999999999</v>
      </c>
      <c r="AF97" s="43">
        <v>1.6693899999999999</v>
      </c>
      <c r="AG97" s="43">
        <v>346.2482</v>
      </c>
      <c r="AH97" s="43">
        <v>133.36170000000001</v>
      </c>
      <c r="AI97" s="43">
        <v>2.8055370000000002</v>
      </c>
      <c r="AJ97" s="43">
        <v>2.7934858064136598</v>
      </c>
      <c r="AK97" s="43">
        <f t="shared" si="4"/>
        <v>32542.488069324037</v>
      </c>
      <c r="AL97" s="47">
        <v>1.2052607929659898E-2</v>
      </c>
      <c r="AM97" s="43">
        <v>2.6458134290999502</v>
      </c>
      <c r="AN97" s="43">
        <v>0.76345924941458798</v>
      </c>
      <c r="AO97" s="43">
        <v>2.85735736346528</v>
      </c>
      <c r="AP97" s="43">
        <v>2.3312482650365398</v>
      </c>
      <c r="AQ97" s="43">
        <v>4.2785273659269896</v>
      </c>
      <c r="AR97" s="43">
        <v>2.58395707958196</v>
      </c>
      <c r="AS97" s="43">
        <v>2.2045932257845702</v>
      </c>
      <c r="AT97" s="43">
        <v>2.1838035462000001</v>
      </c>
      <c r="AU97" s="43">
        <v>2.8301320609338099</v>
      </c>
      <c r="AV97" s="43">
        <v>2398.34</v>
      </c>
      <c r="AW97" s="43">
        <v>1379.9190000000001</v>
      </c>
      <c r="AX97" s="43">
        <v>1.1429750000000001</v>
      </c>
      <c r="AY97" s="43">
        <v>1.7129589999999999</v>
      </c>
      <c r="AZ97" s="43">
        <v>244</v>
      </c>
      <c r="BA97" s="43">
        <v>0.76995409999999997</v>
      </c>
      <c r="BB97" s="43">
        <v>158.059</v>
      </c>
      <c r="BC97" s="43">
        <v>33.189540000000001</v>
      </c>
      <c r="BD97" s="43">
        <v>5.7</v>
      </c>
      <c r="BE97" s="43">
        <v>1.3240259999999999</v>
      </c>
      <c r="BF97" s="43">
        <v>2.2141289999999998</v>
      </c>
      <c r="BG97" s="43">
        <v>2.4967039999999998</v>
      </c>
      <c r="BH97" s="43">
        <v>2.6792029999999998</v>
      </c>
      <c r="BI97" s="43">
        <v>1.450955</v>
      </c>
      <c r="BJ97" s="43">
        <v>1.3773029999999999</v>
      </c>
      <c r="BK97" s="43">
        <v>92.764240000000001</v>
      </c>
      <c r="BL97" s="43">
        <v>95.107579999999999</v>
      </c>
      <c r="BM97" s="43">
        <v>1.1464399999999999</v>
      </c>
      <c r="BN97" s="43">
        <v>1.2999480000000001</v>
      </c>
      <c r="BO97" s="43">
        <v>40.994770000000003</v>
      </c>
      <c r="BP97" s="43">
        <v>1.2987786192450399</v>
      </c>
      <c r="BQ97" s="43">
        <v>3303.9609999999998</v>
      </c>
      <c r="BR97" s="43">
        <v>617.82731263160497</v>
      </c>
      <c r="BS97" s="43">
        <v>12647.48</v>
      </c>
      <c r="BT97" s="43">
        <v>6649.7079999999996</v>
      </c>
      <c r="BU97" s="43">
        <v>1.095683</v>
      </c>
      <c r="BV97" s="43">
        <v>1.338363</v>
      </c>
      <c r="BW97" s="43">
        <v>1.4278900000000001</v>
      </c>
      <c r="BX97" s="43">
        <v>1.1330720000000001</v>
      </c>
      <c r="BY97" s="43">
        <v>2.108231</v>
      </c>
      <c r="BZ97" s="43">
        <v>2.4630030000000001</v>
      </c>
      <c r="CA97" s="43">
        <v>1.6308480000000001</v>
      </c>
      <c r="CB97" s="43">
        <v>0.78883049999999999</v>
      </c>
      <c r="CC97" s="43">
        <v>8.58276914337441</v>
      </c>
      <c r="CD97" s="43">
        <v>0.98965979999999998</v>
      </c>
      <c r="CE97" s="43">
        <v>1.0634140000000001</v>
      </c>
      <c r="CF97" s="43">
        <v>1.138026</v>
      </c>
      <c r="CG97" s="43">
        <v>1.086794</v>
      </c>
      <c r="CH97" s="43">
        <v>1.0468013585692399</v>
      </c>
      <c r="CI97" s="43">
        <v>1.0832766149576001</v>
      </c>
      <c r="CJ97" s="43">
        <v>1.0908260758533499</v>
      </c>
      <c r="CK97" s="43">
        <v>1.0820868951839699</v>
      </c>
      <c r="CL97" s="43">
        <v>1.3405830000000001</v>
      </c>
      <c r="CM97" s="43">
        <v>1.2523</v>
      </c>
      <c r="CN97" s="43">
        <v>1.3227819999999999</v>
      </c>
      <c r="CO97" s="43">
        <v>1.6355869999999999</v>
      </c>
      <c r="CP97" s="43">
        <v>0.88255677750430195</v>
      </c>
      <c r="CQ97" s="43">
        <v>1.1697599999999999</v>
      </c>
      <c r="CR97" s="43">
        <v>3.16763583745939</v>
      </c>
      <c r="CS97" s="43">
        <v>69.007856237915604</v>
      </c>
      <c r="CT97" s="43">
        <v>96.070908559745902</v>
      </c>
      <c r="CU97" s="43">
        <v>20.564372398605599</v>
      </c>
      <c r="CV97" s="43">
        <v>23.300905871186799</v>
      </c>
      <c r="CW97" s="43">
        <v>1.334965</v>
      </c>
      <c r="CX97" s="43">
        <v>1.2968740000000001</v>
      </c>
      <c r="CY97" s="43">
        <v>1.2886649999999999</v>
      </c>
      <c r="CZ97" s="43">
        <v>1.3160286771851</v>
      </c>
      <c r="DA97" s="43">
        <v>1.1922265477585801</v>
      </c>
      <c r="DB97" s="43">
        <v>2.4762362135459899</v>
      </c>
      <c r="DC97" s="43">
        <v>1.00442101892275</v>
      </c>
      <c r="DD97" s="43">
        <v>1.20363126089048</v>
      </c>
      <c r="DE97" s="43">
        <v>1.6212093643615599</v>
      </c>
      <c r="DF97" s="43">
        <v>1.3221710220257801</v>
      </c>
      <c r="DG97" s="43">
        <v>1.3921611122603801</v>
      </c>
      <c r="DH97" s="43">
        <v>1.1684059367255499</v>
      </c>
      <c r="DI97" s="43">
        <v>1.97139919470249</v>
      </c>
      <c r="DJ97" s="43">
        <v>1.17148569683509</v>
      </c>
      <c r="DK97" s="43">
        <v>1.6434820000000001</v>
      </c>
      <c r="DL97" s="43">
        <v>1.8644499999999999</v>
      </c>
      <c r="DM97" s="43">
        <v>2.0437129999999999</v>
      </c>
      <c r="DN97" s="43">
        <v>1.52490382141995</v>
      </c>
      <c r="DO97" s="43">
        <v>2.1111589999999998</v>
      </c>
      <c r="DP97" s="43">
        <v>1.548829</v>
      </c>
      <c r="DQ97" s="43">
        <v>1.311739</v>
      </c>
      <c r="DR97" s="43">
        <v>1.8466089999999999</v>
      </c>
      <c r="DS97" s="43">
        <v>0.89854270000000003</v>
      </c>
      <c r="DT97" s="43">
        <v>1.3592819206837901</v>
      </c>
      <c r="DU97" s="43">
        <v>585.2482</v>
      </c>
      <c r="DV97" s="43">
        <v>313.28460000000001</v>
      </c>
      <c r="DW97" s="43">
        <v>109.4357</v>
      </c>
      <c r="DX97" s="43">
        <v>1.0903210000000001</v>
      </c>
      <c r="DY97" s="43">
        <v>1.21946</v>
      </c>
      <c r="DZ97" s="43">
        <v>1.0744389999999999</v>
      </c>
      <c r="EA97" s="43">
        <v>885.39639999999997</v>
      </c>
      <c r="EB97" s="43">
        <v>131.91871332141801</v>
      </c>
      <c r="EC97" s="43">
        <v>1.2648530268498599</v>
      </c>
      <c r="ED97" s="43">
        <v>1.32684610588784</v>
      </c>
      <c r="EE97" s="43">
        <v>1.31705582498521</v>
      </c>
      <c r="EF97" s="43">
        <v>1.5559654814672299</v>
      </c>
      <c r="EG97" s="43">
        <v>1.40783137673075</v>
      </c>
      <c r="EH97" s="43">
        <v>0.62951392070467305</v>
      </c>
      <c r="EI97" s="43">
        <v>0.260037924691707</v>
      </c>
      <c r="EJ97" s="43">
        <v>29.787130044817701</v>
      </c>
      <c r="EK97" s="43">
        <v>16.902465104960999</v>
      </c>
      <c r="EL97" s="43">
        <v>0.74446850383708796</v>
      </c>
      <c r="EM97" s="43">
        <v>2252.43617026124</v>
      </c>
      <c r="EN97" s="43">
        <v>560.83840646970896</v>
      </c>
      <c r="EO97" s="43">
        <v>83350.588834829003</v>
      </c>
      <c r="EP97" s="43">
        <v>56507.407090057503</v>
      </c>
      <c r="EQ97" s="43">
        <v>4019.7821792282398</v>
      </c>
      <c r="ER97" s="43">
        <v>1.8569112302009401</v>
      </c>
      <c r="ES97" s="43">
        <v>1.9836320310644899</v>
      </c>
      <c r="ET97" s="43">
        <v>1.8309888826113201</v>
      </c>
      <c r="EU97" s="43">
        <v>1.950248</v>
      </c>
      <c r="EV97" s="43">
        <v>1.7893330000000001</v>
      </c>
      <c r="EW97" s="43">
        <v>2.2661769999999999</v>
      </c>
      <c r="EX97" s="43">
        <v>1.9533210000000001</v>
      </c>
      <c r="EY97" s="43">
        <v>1.7893269999999999</v>
      </c>
      <c r="EZ97" s="43">
        <v>2.2666740000000001</v>
      </c>
      <c r="FA97" s="43">
        <v>14.9027469657327</v>
      </c>
      <c r="FB97" s="43">
        <v>14.625457802451001</v>
      </c>
      <c r="FC97" s="43">
        <v>63.441165696456501</v>
      </c>
      <c r="FD97" s="43">
        <v>14999.814928289399</v>
      </c>
      <c r="FE97" s="43">
        <v>145944</v>
      </c>
      <c r="FF97" s="43">
        <v>1.3823125000000001</v>
      </c>
      <c r="FG97" s="43">
        <v>5.1744007416222999</v>
      </c>
      <c r="FH97" s="43">
        <v>888.41295693394102</v>
      </c>
      <c r="FI97" s="43">
        <v>14754.2583207114</v>
      </c>
      <c r="FJ97" s="43">
        <v>7.1790070890703399</v>
      </c>
      <c r="FK97" s="43">
        <v>18.083858832014801</v>
      </c>
      <c r="FL97" s="43">
        <v>1.126784</v>
      </c>
      <c r="FM97" s="43">
        <v>1.1480980000000001</v>
      </c>
    </row>
    <row r="98" spans="1:169" x14ac:dyDescent="0.25">
      <c r="A98" s="43" t="s">
        <v>325</v>
      </c>
      <c r="B98" s="43">
        <v>24509.279999999999</v>
      </c>
      <c r="C98" s="43">
        <v>16948.669999999998</v>
      </c>
      <c r="D98" s="43">
        <v>3.4038560000000002</v>
      </c>
      <c r="E98" s="43">
        <v>2.6708599999999998</v>
      </c>
      <c r="F98" s="43">
        <v>3.311191</v>
      </c>
      <c r="G98" s="43">
        <v>3.651332</v>
      </c>
      <c r="H98" s="43">
        <v>1.0958810000000001</v>
      </c>
      <c r="I98" s="43">
        <v>1.0606359999999999</v>
      </c>
      <c r="J98" s="43">
        <v>1.070773</v>
      </c>
      <c r="K98" s="43">
        <v>1.0285500000000001</v>
      </c>
      <c r="L98" s="43">
        <v>2.7442150000000001</v>
      </c>
      <c r="M98" s="43">
        <v>73.318730000000002</v>
      </c>
      <c r="N98" s="43">
        <v>78.287205862484797</v>
      </c>
      <c r="O98" s="43">
        <v>2.38541408186703</v>
      </c>
      <c r="P98" s="43">
        <v>1.6327339999999999</v>
      </c>
      <c r="Q98" s="43">
        <v>-706.81179999999995</v>
      </c>
      <c r="R98" s="43">
        <v>5.6708600000000002</v>
      </c>
      <c r="S98" s="43">
        <v>3621.2350000000001</v>
      </c>
      <c r="T98" s="43">
        <v>2.4873539999999998</v>
      </c>
      <c r="U98" s="43">
        <v>4.139653</v>
      </c>
      <c r="V98" s="43">
        <v>2908.3119999999999</v>
      </c>
      <c r="W98" s="43">
        <v>1.8326899999999999</v>
      </c>
      <c r="X98" s="43">
        <v>19985.98</v>
      </c>
      <c r="Y98" s="43">
        <v>1.3217490000000001</v>
      </c>
      <c r="Z98" s="43">
        <v>0.83150120000000005</v>
      </c>
      <c r="AA98" s="43">
        <v>1.2870699999999999</v>
      </c>
      <c r="AB98" s="43">
        <v>1.047866</v>
      </c>
      <c r="AC98" s="43">
        <v>71.512510000000006</v>
      </c>
      <c r="AD98" s="43">
        <v>1.3508720000000001</v>
      </c>
      <c r="AE98" s="43">
        <v>1.5908910000000001</v>
      </c>
      <c r="AF98" s="43">
        <v>1.6843189999999999</v>
      </c>
      <c r="AG98" s="43">
        <v>346.83530000000002</v>
      </c>
      <c r="AH98" s="43">
        <v>134.0232</v>
      </c>
      <c r="AI98" s="43">
        <v>2.818603</v>
      </c>
      <c r="AJ98" s="43">
        <v>2.8056329572481999</v>
      </c>
      <c r="AK98" s="43">
        <f t="shared" si="4"/>
        <v>32922.929081782902</v>
      </c>
      <c r="AL98" s="47">
        <v>1.1690593898303847E-2</v>
      </c>
      <c r="AM98" s="43">
        <v>2.6363640495957501</v>
      </c>
      <c r="AN98" s="43">
        <v>0.757857330096673</v>
      </c>
      <c r="AO98" s="43">
        <v>2.8665626991676301</v>
      </c>
      <c r="AP98" s="43">
        <v>2.33775482914597</v>
      </c>
      <c r="AQ98" s="43">
        <v>4.3024817735521603</v>
      </c>
      <c r="AR98" s="43">
        <v>2.5948060976048701</v>
      </c>
      <c r="AS98" s="43">
        <v>2.21180428925781</v>
      </c>
      <c r="AT98" s="43">
        <v>2.18483932420247</v>
      </c>
      <c r="AU98" s="43">
        <v>2.84381285848603</v>
      </c>
      <c r="AV98" s="43">
        <v>2411.424</v>
      </c>
      <c r="AW98" s="43">
        <v>1387.4459999999999</v>
      </c>
      <c r="AX98" s="43">
        <v>1.1469549999999999</v>
      </c>
      <c r="AY98" s="43">
        <v>1.7218830000000001</v>
      </c>
      <c r="AZ98" s="43">
        <v>223.54089999999999</v>
      </c>
      <c r="BA98" s="43">
        <v>0.7676442</v>
      </c>
      <c r="BB98" s="43">
        <v>159.13470000000001</v>
      </c>
      <c r="BC98" s="43">
        <v>33.454059999999998</v>
      </c>
      <c r="BD98" s="43">
        <v>5.9</v>
      </c>
      <c r="BE98" s="43">
        <v>1.3298449999999999</v>
      </c>
      <c r="BF98" s="43">
        <v>2.2030090000000002</v>
      </c>
      <c r="BG98" s="43">
        <v>2.4955440000000002</v>
      </c>
      <c r="BH98" s="43">
        <v>2.665616</v>
      </c>
      <c r="BI98" s="43">
        <v>1.4577089999999999</v>
      </c>
      <c r="BJ98" s="43">
        <v>1.384061</v>
      </c>
      <c r="BK98" s="43">
        <v>93.1584</v>
      </c>
      <c r="BL98" s="43">
        <v>95.511340000000004</v>
      </c>
      <c r="BM98" s="43">
        <v>1.1550009999999999</v>
      </c>
      <c r="BN98" s="43">
        <v>1.304179</v>
      </c>
      <c r="BO98" s="43">
        <v>41.103400000000001</v>
      </c>
      <c r="BP98" s="43">
        <v>1.3026867755554901</v>
      </c>
      <c r="BQ98" s="43">
        <v>3334.768</v>
      </c>
      <c r="BR98" s="43">
        <v>620.87739522469803</v>
      </c>
      <c r="BS98" s="43">
        <v>12710.72</v>
      </c>
      <c r="BT98" s="43">
        <v>6680.2129999999997</v>
      </c>
      <c r="BU98" s="43">
        <v>1.100851</v>
      </c>
      <c r="BV98" s="43">
        <v>1.3450059999999999</v>
      </c>
      <c r="BW98" s="43">
        <v>1.4359249999999999</v>
      </c>
      <c r="BX98" s="43">
        <v>1.1376040000000001</v>
      </c>
      <c r="BY98" s="43">
        <v>2.080247</v>
      </c>
      <c r="BZ98" s="43">
        <v>2.434247</v>
      </c>
      <c r="CA98" s="43">
        <v>1.6384289999999999</v>
      </c>
      <c r="CB98" s="43">
        <v>0.78488639999999998</v>
      </c>
      <c r="CC98" s="43">
        <v>8.5571234188424103</v>
      </c>
      <c r="CD98" s="43">
        <v>0.99458939999999996</v>
      </c>
      <c r="CE98" s="43">
        <v>1.0688839999999999</v>
      </c>
      <c r="CF98" s="43">
        <v>1.1462939999999999</v>
      </c>
      <c r="CG98" s="43">
        <v>1.0902270000000001</v>
      </c>
      <c r="CH98" s="43">
        <v>1.0493752628114601</v>
      </c>
      <c r="CI98" s="43">
        <v>1.08696341219315</v>
      </c>
      <c r="CJ98" s="43">
        <v>1.09696649589398</v>
      </c>
      <c r="CK98" s="43">
        <v>1.08534136722423</v>
      </c>
      <c r="CL98" s="43">
        <v>1.347227</v>
      </c>
      <c r="CM98" s="43">
        <v>1.2550699999999999</v>
      </c>
      <c r="CN98" s="43">
        <v>1.3314079999999999</v>
      </c>
      <c r="CO98" s="43">
        <v>1.6477850000000001</v>
      </c>
      <c r="CP98" s="43">
        <v>0.87904061504412501</v>
      </c>
      <c r="CQ98" s="43">
        <v>1.174196</v>
      </c>
      <c r="CR98" s="43">
        <v>2.8686947710848401</v>
      </c>
      <c r="CS98" s="43">
        <v>68.817633591444704</v>
      </c>
      <c r="CT98" s="43">
        <v>95.974837651186107</v>
      </c>
      <c r="CU98" s="43">
        <v>20.441477742837101</v>
      </c>
      <c r="CV98" s="43">
        <v>23.254304059444401</v>
      </c>
      <c r="CW98" s="43">
        <v>1.340829</v>
      </c>
      <c r="CX98" s="43">
        <v>1.3025169999999999</v>
      </c>
      <c r="CY98" s="43">
        <v>1.290956</v>
      </c>
      <c r="CZ98" s="43">
        <v>1.32020571029561</v>
      </c>
      <c r="DA98" s="43">
        <v>1.19378829078017</v>
      </c>
      <c r="DB98" s="43">
        <v>2.4839492458533399</v>
      </c>
      <c r="DC98" s="43">
        <v>1.0033089972918701</v>
      </c>
      <c r="DD98" s="43">
        <v>1.21123973678457</v>
      </c>
      <c r="DE98" s="43">
        <v>1.6338792901224799</v>
      </c>
      <c r="DF98" s="43">
        <v>1.3291484184479001</v>
      </c>
      <c r="DG98" s="43">
        <v>1.4036873145378499</v>
      </c>
      <c r="DH98" s="43">
        <v>1.17268407427465</v>
      </c>
      <c r="DI98" s="43">
        <v>1.99102967134993</v>
      </c>
      <c r="DJ98" s="43">
        <v>1.17140142173406</v>
      </c>
      <c r="DK98" s="43">
        <v>1.6560729999999999</v>
      </c>
      <c r="DL98" s="43">
        <v>1.8806700000000001</v>
      </c>
      <c r="DM98" s="43">
        <v>2.0591569999999999</v>
      </c>
      <c r="DN98" s="43">
        <v>1.5349255258556</v>
      </c>
      <c r="DO98" s="43">
        <v>2.1349330000000002</v>
      </c>
      <c r="DP98" s="43">
        <v>1.564289</v>
      </c>
      <c r="DQ98" s="43">
        <v>1.316257</v>
      </c>
      <c r="DR98" s="43">
        <v>1.864225</v>
      </c>
      <c r="DS98" s="43">
        <v>0.90065070000000003</v>
      </c>
      <c r="DT98" s="43">
        <v>1.3665880865340001</v>
      </c>
      <c r="DU98" s="43">
        <v>586.2115</v>
      </c>
      <c r="DV98" s="43">
        <v>313.87819999999999</v>
      </c>
      <c r="DW98" s="43">
        <v>109.7847</v>
      </c>
      <c r="DX98" s="43">
        <v>1.093472</v>
      </c>
      <c r="DY98" s="43">
        <v>1.2226790000000001</v>
      </c>
      <c r="DZ98" s="43">
        <v>1.07548</v>
      </c>
      <c r="EA98" s="43">
        <v>882.89980000000003</v>
      </c>
      <c r="EB98" s="43">
        <v>129.93993262159699</v>
      </c>
      <c r="EC98" s="43">
        <v>1.27197076139443</v>
      </c>
      <c r="ED98" s="43">
        <v>1.3350593543673099</v>
      </c>
      <c r="EE98" s="43">
        <v>1.32480440023485</v>
      </c>
      <c r="EF98" s="43">
        <v>1.56645505533848</v>
      </c>
      <c r="EG98" s="43">
        <v>1.4162248253519301</v>
      </c>
      <c r="EH98" s="43">
        <v>0.63228028899591704</v>
      </c>
      <c r="EI98" s="43">
        <v>0.26118064869784702</v>
      </c>
      <c r="EJ98" s="43">
        <v>29.918028138303701</v>
      </c>
      <c r="EK98" s="43">
        <v>16.976742165360001</v>
      </c>
      <c r="EL98" s="43">
        <v>0.74774003445000903</v>
      </c>
      <c r="EM98" s="43">
        <v>2255.22079828903</v>
      </c>
      <c r="EN98" s="43">
        <v>561.53175634853596</v>
      </c>
      <c r="EO98" s="43">
        <v>83453.632991581006</v>
      </c>
      <c r="EP98" s="43">
        <v>56577.265722074801</v>
      </c>
      <c r="EQ98" s="43">
        <v>4024.7517309827699</v>
      </c>
      <c r="ER98" s="43">
        <v>1.8673606665614</v>
      </c>
      <c r="ES98" s="43">
        <v>1.9947945661033599</v>
      </c>
      <c r="ET98" s="43">
        <v>1.84129244558966</v>
      </c>
      <c r="EU98" s="43">
        <v>1.9716830000000001</v>
      </c>
      <c r="EV98" s="43">
        <v>1.797547</v>
      </c>
      <c r="EW98" s="43">
        <v>2.2889189999999999</v>
      </c>
      <c r="EX98" s="43">
        <v>1.971508</v>
      </c>
      <c r="EY98" s="43">
        <v>1.797771</v>
      </c>
      <c r="EZ98" s="43">
        <v>2.2885870000000001</v>
      </c>
      <c r="FA98" s="43">
        <v>15.0673813734338</v>
      </c>
      <c r="FB98" s="43">
        <v>14.78552176568</v>
      </c>
      <c r="FC98" s="43">
        <v>64.031879315952196</v>
      </c>
      <c r="FD98" s="43">
        <v>15070.6039988386</v>
      </c>
      <c r="FE98" s="43">
        <v>147354.9</v>
      </c>
      <c r="FF98" s="43">
        <v>1.39378125</v>
      </c>
      <c r="FG98" s="43">
        <v>5.2778887564547601</v>
      </c>
      <c r="FH98" s="43">
        <v>889.30136989087498</v>
      </c>
      <c r="FI98" s="43">
        <v>14724.749804069999</v>
      </c>
      <c r="FJ98" s="43">
        <v>7.2077229810254897</v>
      </c>
      <c r="FK98" s="43">
        <v>18.120027924052</v>
      </c>
      <c r="FL98" s="43">
        <v>1.1262620000000001</v>
      </c>
      <c r="FM98" s="43">
        <v>1.1485609999999999</v>
      </c>
    </row>
    <row r="99" spans="1:169" x14ac:dyDescent="0.25">
      <c r="A99" s="43" t="s">
        <v>326</v>
      </c>
      <c r="B99" s="43">
        <v>24644.79</v>
      </c>
      <c r="C99" s="43">
        <v>17040.71</v>
      </c>
      <c r="D99" s="43">
        <v>3.4232619999999998</v>
      </c>
      <c r="E99" s="43">
        <v>3.1149</v>
      </c>
      <c r="F99" s="43">
        <v>3.3276240000000001</v>
      </c>
      <c r="G99" s="43">
        <v>3.5856849999999998</v>
      </c>
      <c r="H99" s="43">
        <v>1.1013200000000001</v>
      </c>
      <c r="I99" s="43">
        <v>1.066098</v>
      </c>
      <c r="J99" s="43">
        <v>1.0749709999999999</v>
      </c>
      <c r="K99" s="43">
        <v>1.030832</v>
      </c>
      <c r="L99" s="43">
        <v>2.759388</v>
      </c>
      <c r="M99" s="43">
        <v>73.535319999999999</v>
      </c>
      <c r="N99" s="43">
        <v>78.518482689257297</v>
      </c>
      <c r="O99" s="43">
        <v>2.3964321607671</v>
      </c>
      <c r="P99" s="43">
        <v>1.6288910000000001</v>
      </c>
      <c r="Q99" s="43">
        <v>-701.77719999999999</v>
      </c>
      <c r="R99" s="43">
        <v>6.1148999999999996</v>
      </c>
      <c r="S99" s="43">
        <v>3633.3690000000001</v>
      </c>
      <c r="T99" s="43">
        <v>2.7829449999999998</v>
      </c>
      <c r="U99" s="43">
        <v>4.2664650000000002</v>
      </c>
      <c r="V99" s="43">
        <v>2928.4349999999999</v>
      </c>
      <c r="W99" s="43">
        <v>1.8425009999999999</v>
      </c>
      <c r="X99" s="43">
        <v>20127.310000000001</v>
      </c>
      <c r="Y99" s="43">
        <v>1.3229850000000001</v>
      </c>
      <c r="Z99" s="43">
        <v>0.83503550000000004</v>
      </c>
      <c r="AA99" s="43">
        <v>1.293822</v>
      </c>
      <c r="AB99" s="43">
        <v>1.0509770000000001</v>
      </c>
      <c r="AC99" s="43">
        <v>71.724429999999998</v>
      </c>
      <c r="AD99" s="43">
        <v>1.357183</v>
      </c>
      <c r="AE99" s="43">
        <v>1.6032500000000001</v>
      </c>
      <c r="AF99" s="43">
        <v>1.6990350000000001</v>
      </c>
      <c r="AG99" s="43">
        <v>347.42340000000002</v>
      </c>
      <c r="AH99" s="43">
        <v>133.95419999999999</v>
      </c>
      <c r="AI99" s="43">
        <v>2.8398870000000001</v>
      </c>
      <c r="AJ99" s="43">
        <v>2.8228987231154998</v>
      </c>
      <c r="AK99" s="43">
        <f t="shared" si="4"/>
        <v>33259.627183715973</v>
      </c>
      <c r="AL99" s="47">
        <v>1.0226857431083536E-2</v>
      </c>
      <c r="AM99" s="43">
        <v>2.6275362796888801</v>
      </c>
      <c r="AN99" s="43">
        <v>0.752999369752545</v>
      </c>
      <c r="AO99" s="43">
        <v>2.87835674053705</v>
      </c>
      <c r="AP99" s="43">
        <v>2.3468098120902101</v>
      </c>
      <c r="AQ99" s="43">
        <v>4.3326281421824699</v>
      </c>
      <c r="AR99" s="43">
        <v>2.60928298824847</v>
      </c>
      <c r="AS99" s="43">
        <v>2.2216781760882398</v>
      </c>
      <c r="AT99" s="43">
        <v>2.19447593864466</v>
      </c>
      <c r="AU99" s="43">
        <v>2.8538268258714599</v>
      </c>
      <c r="AV99" s="43">
        <v>2422.797</v>
      </c>
      <c r="AW99" s="43">
        <v>1394.674</v>
      </c>
      <c r="AX99" s="43">
        <v>1.1515150000000001</v>
      </c>
      <c r="AY99" s="43">
        <v>1.7291540000000001</v>
      </c>
      <c r="AZ99" s="43">
        <v>226.83109999999999</v>
      </c>
      <c r="BA99" s="43">
        <v>0.75996779999999997</v>
      </c>
      <c r="BB99" s="43">
        <v>160.00110000000001</v>
      </c>
      <c r="BC99" s="43">
        <v>33.618220000000001</v>
      </c>
      <c r="BD99" s="43">
        <v>5.8</v>
      </c>
      <c r="BE99" s="43">
        <v>1.3389599999999999</v>
      </c>
      <c r="BF99" s="43">
        <v>2.4344510000000001</v>
      </c>
      <c r="BG99" s="43">
        <v>2.7744770000000001</v>
      </c>
      <c r="BH99" s="43">
        <v>2.653902</v>
      </c>
      <c r="BI99" s="43">
        <v>1.4637899999999999</v>
      </c>
      <c r="BJ99" s="43">
        <v>1.391035</v>
      </c>
      <c r="BK99" s="43">
        <v>94.378249999999994</v>
      </c>
      <c r="BL99" s="43">
        <v>96.761110000000002</v>
      </c>
      <c r="BM99" s="43">
        <v>1.163222</v>
      </c>
      <c r="BN99" s="43">
        <v>1.3084150000000001</v>
      </c>
      <c r="BO99" s="43">
        <v>41.212330000000001</v>
      </c>
      <c r="BP99" s="43">
        <v>1.31584519358829</v>
      </c>
      <c r="BQ99" s="43">
        <v>3359.998</v>
      </c>
      <c r="BR99" s="43">
        <v>625.92246894657103</v>
      </c>
      <c r="BS99" s="43">
        <v>12761.56</v>
      </c>
      <c r="BT99" s="43">
        <v>6700.3559999999998</v>
      </c>
      <c r="BU99" s="43">
        <v>1.1064499999999999</v>
      </c>
      <c r="BV99" s="43">
        <v>1.3538950000000001</v>
      </c>
      <c r="BW99" s="43">
        <v>1.4455560000000001</v>
      </c>
      <c r="BX99" s="43">
        <v>1.1421539999999999</v>
      </c>
      <c r="BY99" s="43">
        <v>2.1301369999999999</v>
      </c>
      <c r="BZ99" s="43">
        <v>2.4577059999999999</v>
      </c>
      <c r="CA99" s="43">
        <v>1.707244</v>
      </c>
      <c r="CB99" s="43">
        <v>0.78096189999999999</v>
      </c>
      <c r="CC99" s="43">
        <v>8.4383594647149707</v>
      </c>
      <c r="CD99" s="43">
        <v>1.000624</v>
      </c>
      <c r="CE99" s="43">
        <v>1.0746389999999999</v>
      </c>
      <c r="CF99" s="43">
        <v>1.1546110000000001</v>
      </c>
      <c r="CG99" s="43">
        <v>1.0934649999999999</v>
      </c>
      <c r="CH99" s="43">
        <v>1.0519671638430601</v>
      </c>
      <c r="CI99" s="43">
        <v>1.0904727863878001</v>
      </c>
      <c r="CJ99" s="43">
        <v>1.10284261465294</v>
      </c>
      <c r="CK99" s="43">
        <v>1.08829310515943</v>
      </c>
      <c r="CL99" s="43">
        <v>1.356128</v>
      </c>
      <c r="CM99" s="43">
        <v>1.2585550000000001</v>
      </c>
      <c r="CN99" s="43">
        <v>1.342727</v>
      </c>
      <c r="CO99" s="43">
        <v>1.6623349999999999</v>
      </c>
      <c r="CP99" s="43">
        <v>0.87553846119932799</v>
      </c>
      <c r="CQ99" s="43">
        <v>1.1780470000000001</v>
      </c>
      <c r="CR99" s="43">
        <v>2.8640401952119099</v>
      </c>
      <c r="CS99" s="43">
        <v>68.745951509458394</v>
      </c>
      <c r="CT99" s="43">
        <v>95.398988625279003</v>
      </c>
      <c r="CU99" s="43">
        <v>20.3396775548748</v>
      </c>
      <c r="CV99" s="43">
        <v>23.231049755384898</v>
      </c>
      <c r="CW99" s="43">
        <v>1.3480080000000001</v>
      </c>
      <c r="CX99" s="43">
        <v>1.3092919999999999</v>
      </c>
      <c r="CY99" s="43">
        <v>1.294559</v>
      </c>
      <c r="CZ99" s="43">
        <v>1.32554493095427</v>
      </c>
      <c r="DA99" s="43">
        <v>1.1962854661981599</v>
      </c>
      <c r="DB99" s="43">
        <v>2.49283721987464</v>
      </c>
      <c r="DC99" s="43">
        <v>1.00258915762098</v>
      </c>
      <c r="DD99" s="43">
        <v>1.2201467092357099</v>
      </c>
      <c r="DE99" s="43">
        <v>1.64964597747148</v>
      </c>
      <c r="DF99" s="43">
        <v>1.33811416770459</v>
      </c>
      <c r="DG99" s="43">
        <v>1.41658762465029</v>
      </c>
      <c r="DH99" s="43">
        <v>1.1777134590337299</v>
      </c>
      <c r="DI99" s="43">
        <v>2.0157583452501102</v>
      </c>
      <c r="DJ99" s="43">
        <v>1.1724907195677701</v>
      </c>
      <c r="DK99" s="43">
        <v>1.67344</v>
      </c>
      <c r="DL99" s="43">
        <v>1.899953</v>
      </c>
      <c r="DM99" s="43">
        <v>2.0788160000000002</v>
      </c>
      <c r="DN99" s="43">
        <v>1.5467954796787999</v>
      </c>
      <c r="DO99" s="43">
        <v>2.163421</v>
      </c>
      <c r="DP99" s="43">
        <v>1.581685</v>
      </c>
      <c r="DQ99" s="43">
        <v>1.322228</v>
      </c>
      <c r="DR99" s="43">
        <v>1.884571</v>
      </c>
      <c r="DS99" s="43">
        <v>0.90368499999999996</v>
      </c>
      <c r="DT99" s="43">
        <v>1.3754613425717299</v>
      </c>
      <c r="DU99" s="43">
        <v>587.75879999999995</v>
      </c>
      <c r="DV99" s="43">
        <v>314.69889999999998</v>
      </c>
      <c r="DW99" s="43">
        <v>110.1696</v>
      </c>
      <c r="DX99" s="43">
        <v>1.09684</v>
      </c>
      <c r="DY99" s="43">
        <v>1.2249350000000001</v>
      </c>
      <c r="DZ99" s="43">
        <v>1.0768899999999999</v>
      </c>
      <c r="EA99" s="43">
        <v>881.21540000000005</v>
      </c>
      <c r="EB99" s="43">
        <v>128.640533295381</v>
      </c>
      <c r="EC99" s="43">
        <v>1.28050214607955</v>
      </c>
      <c r="ED99" s="43">
        <v>1.34490934133462</v>
      </c>
      <c r="EE99" s="43">
        <v>1.3340950904130999</v>
      </c>
      <c r="EF99" s="43">
        <v>1.5790379100697101</v>
      </c>
      <c r="EG99" s="43">
        <v>1.4262876838819301</v>
      </c>
      <c r="EH99" s="43">
        <v>0.63661426866144799</v>
      </c>
      <c r="EI99" s="43">
        <v>0.26297091741282502</v>
      </c>
      <c r="EJ99" s="43">
        <v>30.123101944716499</v>
      </c>
      <c r="EK99" s="43">
        <v>17.093109631833599</v>
      </c>
      <c r="EL99" s="43">
        <v>0.752865435574811</v>
      </c>
      <c r="EM99" s="43">
        <v>2261.90390555573</v>
      </c>
      <c r="EN99" s="43">
        <v>563.19579605772196</v>
      </c>
      <c r="EO99" s="43">
        <v>83700.938967786002</v>
      </c>
      <c r="EP99" s="43">
        <v>56744.9264389163</v>
      </c>
      <c r="EQ99" s="43">
        <v>4036.6786551936498</v>
      </c>
      <c r="ER99" s="43">
        <v>1.8798854609008899</v>
      </c>
      <c r="ES99" s="43">
        <v>2.0081740873374501</v>
      </c>
      <c r="ET99" s="43">
        <v>1.8536423946984799</v>
      </c>
      <c r="EU99" s="43">
        <v>1.9964360000000001</v>
      </c>
      <c r="EV99" s="43">
        <v>1.8078890000000001</v>
      </c>
      <c r="EW99" s="43">
        <v>2.3170120000000001</v>
      </c>
      <c r="EX99" s="43">
        <v>1.9940739999999999</v>
      </c>
      <c r="EY99" s="43">
        <v>1.807385</v>
      </c>
      <c r="EZ99" s="43">
        <v>2.3159139999999998</v>
      </c>
      <c r="FA99" s="43">
        <v>15.257511239195001</v>
      </c>
      <c r="FB99" s="43">
        <v>14.9704302646931</v>
      </c>
      <c r="FC99" s="43">
        <v>64.764793740117895</v>
      </c>
      <c r="FD99" s="43">
        <v>15151.195843990199</v>
      </c>
      <c r="FE99" s="43">
        <v>149114.4</v>
      </c>
      <c r="FF99" s="43">
        <v>1.4024687499999999</v>
      </c>
      <c r="FG99" s="43">
        <v>5.38344653158385</v>
      </c>
      <c r="FH99" s="43">
        <v>891.07997263065704</v>
      </c>
      <c r="FI99" s="43">
        <v>14651.126055049701</v>
      </c>
      <c r="FJ99" s="43">
        <v>7.2509707316253502</v>
      </c>
      <c r="FK99" s="43">
        <v>18.301228203292499</v>
      </c>
      <c r="FL99" s="43">
        <v>1.129632</v>
      </c>
      <c r="FM99" s="43">
        <v>1.147926</v>
      </c>
    </row>
    <row r="100" spans="1:169" x14ac:dyDescent="0.25">
      <c r="A100" s="43" t="s">
        <v>327</v>
      </c>
      <c r="B100" s="43">
        <v>24777.41</v>
      </c>
      <c r="C100" s="43">
        <v>17138.830000000002</v>
      </c>
      <c r="D100" s="43">
        <v>3.4402509999999999</v>
      </c>
      <c r="E100" s="43">
        <v>3.1149</v>
      </c>
      <c r="F100" s="43">
        <v>3.3167979999999999</v>
      </c>
      <c r="G100" s="43">
        <v>3.6421540000000001</v>
      </c>
      <c r="H100" s="43">
        <v>1.1080159999999999</v>
      </c>
      <c r="I100" s="43">
        <v>1.0721959999999999</v>
      </c>
      <c r="J100" s="43">
        <v>1.080147</v>
      </c>
      <c r="K100" s="43">
        <v>1.033048</v>
      </c>
      <c r="L100" s="43">
        <v>2.7743730000000002</v>
      </c>
      <c r="M100" s="43">
        <v>73.760949999999994</v>
      </c>
      <c r="N100" s="43">
        <v>78.759396050478699</v>
      </c>
      <c r="O100" s="43">
        <v>2.40745023966719</v>
      </c>
      <c r="P100" s="43">
        <v>1.619078</v>
      </c>
      <c r="Q100" s="43">
        <v>-698.90049999999997</v>
      </c>
      <c r="R100" s="43">
        <v>6.1148999999999996</v>
      </c>
      <c r="S100" s="43">
        <v>3648.66</v>
      </c>
      <c r="T100" s="43">
        <v>2.7827929999999999</v>
      </c>
      <c r="U100" s="43">
        <v>4.2624219999999999</v>
      </c>
      <c r="V100" s="43">
        <v>2948.2280000000001</v>
      </c>
      <c r="W100" s="43">
        <v>1.852997</v>
      </c>
      <c r="X100" s="43">
        <v>20247.45</v>
      </c>
      <c r="Y100" s="43">
        <v>1.3240460000000001</v>
      </c>
      <c r="Z100" s="43">
        <v>0.83963149999999998</v>
      </c>
      <c r="AA100" s="43">
        <v>1.2993570000000001</v>
      </c>
      <c r="AB100" s="43">
        <v>1.0538339999999999</v>
      </c>
      <c r="AC100" s="43">
        <v>71.945179999999993</v>
      </c>
      <c r="AD100" s="43">
        <v>1.3625160000000001</v>
      </c>
      <c r="AE100" s="43">
        <v>1.613475</v>
      </c>
      <c r="AF100" s="43">
        <v>1.7093929999999999</v>
      </c>
      <c r="AG100" s="43">
        <v>348.01249999999999</v>
      </c>
      <c r="AH100" s="43">
        <v>134.52780000000001</v>
      </c>
      <c r="AI100" s="43">
        <v>2.8591690000000001</v>
      </c>
      <c r="AJ100" s="43">
        <v>2.8388944923925101</v>
      </c>
      <c r="AK100" s="43">
        <f t="shared" si="4"/>
        <v>33570.003966221491</v>
      </c>
      <c r="AL100" s="47">
        <v>9.3319381119665312E-3</v>
      </c>
      <c r="AM100" s="43">
        <v>2.61812722881263</v>
      </c>
      <c r="AN100" s="43">
        <v>0.74842734913042497</v>
      </c>
      <c r="AO100" s="43">
        <v>2.88958805896308</v>
      </c>
      <c r="AP100" s="43">
        <v>2.3568668738115499</v>
      </c>
      <c r="AQ100" s="43">
        <v>4.3621969454520801</v>
      </c>
      <c r="AR100" s="43">
        <v>2.62350982814747</v>
      </c>
      <c r="AS100" s="43">
        <v>2.2313960476260801</v>
      </c>
      <c r="AT100" s="43">
        <v>2.20573460375316</v>
      </c>
      <c r="AU100" s="43">
        <v>2.8691034687983801</v>
      </c>
      <c r="AV100" s="43">
        <v>2438.9879999999998</v>
      </c>
      <c r="AW100" s="43">
        <v>1402.2819999999999</v>
      </c>
      <c r="AX100" s="43">
        <v>1.1553530000000001</v>
      </c>
      <c r="AY100" s="43">
        <v>1.741557</v>
      </c>
      <c r="AZ100" s="43">
        <v>229.78360000000001</v>
      </c>
      <c r="BA100" s="43">
        <v>0.75692800000000005</v>
      </c>
      <c r="BB100" s="43">
        <v>161.60210000000001</v>
      </c>
      <c r="BC100" s="43">
        <v>33.775550000000003</v>
      </c>
      <c r="BD100" s="43">
        <v>5.7</v>
      </c>
      <c r="BE100" s="43">
        <v>1.346276</v>
      </c>
      <c r="BF100" s="43">
        <v>2.424973</v>
      </c>
      <c r="BG100" s="43">
        <v>2.7373409999999998</v>
      </c>
      <c r="BH100" s="43">
        <v>2.6277439999999999</v>
      </c>
      <c r="BI100" s="43">
        <v>1.4732289999999999</v>
      </c>
      <c r="BJ100" s="43">
        <v>1.4001330000000001</v>
      </c>
      <c r="BK100" s="43">
        <v>95.048910000000006</v>
      </c>
      <c r="BL100" s="43">
        <v>97.447779999999995</v>
      </c>
      <c r="BM100" s="43">
        <v>1.1723429999999999</v>
      </c>
      <c r="BN100" s="43">
        <v>1.3128169999999999</v>
      </c>
      <c r="BO100" s="43">
        <v>41.321539999999999</v>
      </c>
      <c r="BP100" s="43">
        <v>1.32112965345481</v>
      </c>
      <c r="BQ100" s="43">
        <v>3400.1509999999998</v>
      </c>
      <c r="BR100" s="43">
        <v>629.913070247939</v>
      </c>
      <c r="BS100" s="43">
        <v>12825.37</v>
      </c>
      <c r="BT100" s="43">
        <v>6723.7380000000003</v>
      </c>
      <c r="BU100" s="43">
        <v>1.1133010000000001</v>
      </c>
      <c r="BV100" s="43">
        <v>1.360781</v>
      </c>
      <c r="BW100" s="43">
        <v>1.456278</v>
      </c>
      <c r="BX100" s="43">
        <v>1.1467229999999999</v>
      </c>
      <c r="BY100" s="43">
        <v>2.1377549999999998</v>
      </c>
      <c r="BZ100" s="43">
        <v>2.4535849999999999</v>
      </c>
      <c r="CA100" s="43">
        <v>1.7405630000000001</v>
      </c>
      <c r="CB100" s="43">
        <v>0.77939999999999998</v>
      </c>
      <c r="CC100" s="43">
        <v>8.3046421709770097</v>
      </c>
      <c r="CD100" s="43">
        <v>1.007919</v>
      </c>
      <c r="CE100" s="43">
        <v>1.081658</v>
      </c>
      <c r="CF100" s="43">
        <v>1.1644399999999999</v>
      </c>
      <c r="CG100" s="43">
        <v>1.0974809999999999</v>
      </c>
      <c r="CH100" s="43">
        <v>1.0551378739778501</v>
      </c>
      <c r="CI100" s="43">
        <v>1.0949232457572999</v>
      </c>
      <c r="CJ100" s="43">
        <v>1.10962451172812</v>
      </c>
      <c r="CK100" s="43">
        <v>1.0922823940866899</v>
      </c>
      <c r="CL100" s="43">
        <v>1.363024</v>
      </c>
      <c r="CM100" s="43">
        <v>1.2619069999999999</v>
      </c>
      <c r="CN100" s="43">
        <v>1.3516360000000001</v>
      </c>
      <c r="CO100" s="43">
        <v>1.6784920000000001</v>
      </c>
      <c r="CP100" s="43">
        <v>0.87205026015869302</v>
      </c>
      <c r="CQ100" s="43">
        <v>1.1830719999999999</v>
      </c>
      <c r="CR100" s="43">
        <v>2.8648556070036602</v>
      </c>
      <c r="CS100" s="43">
        <v>68.6821518157615</v>
      </c>
      <c r="CT100" s="43">
        <v>95.303589636653697</v>
      </c>
      <c r="CU100" s="43">
        <v>20.1573497680283</v>
      </c>
      <c r="CV100" s="43">
        <v>23.114894506608</v>
      </c>
      <c r="CW100" s="43">
        <v>1.3560950000000001</v>
      </c>
      <c r="CX100" s="43">
        <v>1.3168420000000001</v>
      </c>
      <c r="CY100" s="43">
        <v>1.2991200000000001</v>
      </c>
      <c r="CZ100" s="43">
        <v>1.33169786534718</v>
      </c>
      <c r="DA100" s="43">
        <v>1.1994682784775299</v>
      </c>
      <c r="DB100" s="43">
        <v>2.50426917581491</v>
      </c>
      <c r="DC100" s="43">
        <v>1.00169295482298</v>
      </c>
      <c r="DD100" s="43">
        <v>1.2294882090197601</v>
      </c>
      <c r="DE100" s="43">
        <v>1.6648536249492401</v>
      </c>
      <c r="DF100" s="43">
        <v>1.34502087454873</v>
      </c>
      <c r="DG100" s="43">
        <v>1.4288406154262601</v>
      </c>
      <c r="DH100" s="43">
        <v>1.18353026331834</v>
      </c>
      <c r="DI100" s="43">
        <v>2.03817635295824</v>
      </c>
      <c r="DJ100" s="43">
        <v>1.17052726807706</v>
      </c>
      <c r="DK100" s="43">
        <v>1.685997</v>
      </c>
      <c r="DL100" s="43">
        <v>1.9213880000000001</v>
      </c>
      <c r="DM100" s="43">
        <v>2.100956</v>
      </c>
      <c r="DN100" s="43">
        <v>1.56006551061534</v>
      </c>
      <c r="DO100" s="43">
        <v>2.1944629999999998</v>
      </c>
      <c r="DP100" s="43">
        <v>1.600338</v>
      </c>
      <c r="DQ100" s="43">
        <v>1.3282240000000001</v>
      </c>
      <c r="DR100" s="43">
        <v>1.907178</v>
      </c>
      <c r="DS100" s="43">
        <v>0.90637409999999996</v>
      </c>
      <c r="DT100" s="43">
        <v>1.3851745449511701</v>
      </c>
      <c r="DU100" s="43">
        <v>590.05110000000002</v>
      </c>
      <c r="DV100" s="43">
        <v>315.67649999999998</v>
      </c>
      <c r="DW100" s="43">
        <v>110.5068</v>
      </c>
      <c r="DX100" s="43">
        <v>1.1002270000000001</v>
      </c>
      <c r="DY100" s="43">
        <v>1.2268289999999999</v>
      </c>
      <c r="DZ100" s="43">
        <v>1.0784050000000001</v>
      </c>
      <c r="EA100" s="43">
        <v>881.34069999999997</v>
      </c>
      <c r="EB100" s="43">
        <v>127.354127962427</v>
      </c>
      <c r="EC100" s="43">
        <v>1.28999972240856</v>
      </c>
      <c r="ED100" s="43">
        <v>1.35588215936576</v>
      </c>
      <c r="EE100" s="43">
        <v>1.3444416962165999</v>
      </c>
      <c r="EF100" s="43">
        <v>1.5930613299716301</v>
      </c>
      <c r="EG100" s="43">
        <v>1.4374939082693901</v>
      </c>
      <c r="EH100" s="43">
        <v>0.64009244915505503</v>
      </c>
      <c r="EI100" s="43">
        <v>0.26440767489747002</v>
      </c>
      <c r="EJ100" s="43">
        <v>30.287681330929999</v>
      </c>
      <c r="EK100" s="43">
        <v>17.186498868335502</v>
      </c>
      <c r="EL100" s="43">
        <v>0.75697876133773001</v>
      </c>
      <c r="EM100" s="43">
        <v>2268.8654756252099</v>
      </c>
      <c r="EN100" s="43">
        <v>564.92917075478999</v>
      </c>
      <c r="EO100" s="43">
        <v>83958.549359665994</v>
      </c>
      <c r="EP100" s="43">
        <v>56919.5730189596</v>
      </c>
      <c r="EQ100" s="43">
        <v>4049.1025345799799</v>
      </c>
      <c r="ER100" s="43">
        <v>1.8938287062983099</v>
      </c>
      <c r="ES100" s="43">
        <v>2.0230688586854102</v>
      </c>
      <c r="ET100" s="43">
        <v>1.86739099339021</v>
      </c>
      <c r="EU100" s="43">
        <v>2.0140359999999999</v>
      </c>
      <c r="EV100" s="43">
        <v>1.818114</v>
      </c>
      <c r="EW100" s="43">
        <v>2.3446690000000001</v>
      </c>
      <c r="EX100" s="43">
        <v>2.0133239999999999</v>
      </c>
      <c r="EY100" s="43">
        <v>1.818338</v>
      </c>
      <c r="EZ100" s="43">
        <v>2.3453879999999998</v>
      </c>
      <c r="FA100" s="43">
        <v>15.392691083377599</v>
      </c>
      <c r="FB100" s="43">
        <v>15.1019340281585</v>
      </c>
      <c r="FC100" s="43">
        <v>65.389977350027607</v>
      </c>
      <c r="FD100" s="43">
        <v>15243.011560237899</v>
      </c>
      <c r="FE100" s="43">
        <v>151012.1</v>
      </c>
      <c r="FF100" s="43">
        <v>1.4113437499999999</v>
      </c>
      <c r="FG100" s="43">
        <v>5.4029654928609201</v>
      </c>
      <c r="FH100" s="43">
        <v>892.28211525553297</v>
      </c>
      <c r="FI100" s="43">
        <v>14944.148576150699</v>
      </c>
      <c r="FJ100" s="43">
        <v>7.2364667816432</v>
      </c>
      <c r="FK100" s="43">
        <v>18.520842941731999</v>
      </c>
      <c r="FL100" s="43">
        <v>1.1297379999999999</v>
      </c>
      <c r="FM100" s="43">
        <v>1.148776</v>
      </c>
    </row>
    <row r="101" spans="1:169" x14ac:dyDescent="0.25">
      <c r="A101" s="43" t="s">
        <v>328</v>
      </c>
      <c r="B101" s="43">
        <v>24929.02</v>
      </c>
      <c r="C101" s="43">
        <v>17251.09</v>
      </c>
      <c r="D101" s="43">
        <v>3.4657680000000002</v>
      </c>
      <c r="E101" s="43">
        <v>3.3575889999999999</v>
      </c>
      <c r="F101" s="43">
        <v>3.4005570000000001</v>
      </c>
      <c r="G101" s="43">
        <v>3.686852</v>
      </c>
      <c r="H101" s="43">
        <v>1.116852</v>
      </c>
      <c r="I101" s="43">
        <v>1.0801190000000001</v>
      </c>
      <c r="J101" s="43">
        <v>1.0866009999999999</v>
      </c>
      <c r="K101" s="43">
        <v>1.0359879999999999</v>
      </c>
      <c r="L101" s="43">
        <v>2.7921670000000001</v>
      </c>
      <c r="M101" s="43">
        <v>73.977549999999994</v>
      </c>
      <c r="N101" s="43">
        <v>78.9906728772511</v>
      </c>
      <c r="O101" s="43">
        <v>2.4184683185672702</v>
      </c>
      <c r="P101" s="43">
        <v>1.603297</v>
      </c>
      <c r="Q101" s="43">
        <v>-695.44309999999996</v>
      </c>
      <c r="R101" s="43">
        <v>6.3575889999999999</v>
      </c>
      <c r="S101" s="43">
        <v>3665.0729999999999</v>
      </c>
      <c r="T101" s="43">
        <v>2.96746</v>
      </c>
      <c r="U101" s="43">
        <v>4.3297999999999996</v>
      </c>
      <c r="V101" s="43">
        <v>2971.2040000000002</v>
      </c>
      <c r="W101" s="43">
        <v>1.8673660000000001</v>
      </c>
      <c r="X101" s="43">
        <v>20455.02</v>
      </c>
      <c r="Y101" s="43">
        <v>1.3250980000000001</v>
      </c>
      <c r="Z101" s="43">
        <v>0.84588110000000005</v>
      </c>
      <c r="AA101" s="43">
        <v>1.305566</v>
      </c>
      <c r="AB101" s="43">
        <v>1.0597460000000001</v>
      </c>
      <c r="AC101" s="43">
        <v>72.1571</v>
      </c>
      <c r="AD101" s="43">
        <v>1.3710249999999999</v>
      </c>
      <c r="AE101" s="43">
        <v>1.630037</v>
      </c>
      <c r="AF101" s="43">
        <v>1.7267809999999999</v>
      </c>
      <c r="AG101" s="43">
        <v>348.59399999999999</v>
      </c>
      <c r="AH101" s="43">
        <v>135.6284</v>
      </c>
      <c r="AI101" s="43">
        <v>2.8811100000000001</v>
      </c>
      <c r="AJ101" s="43">
        <v>2.8581117354954002</v>
      </c>
      <c r="AK101" s="43">
        <f t="shared" si="4"/>
        <v>33986.322319252555</v>
      </c>
      <c r="AL101" s="47">
        <v>1.2401498476138695E-2</v>
      </c>
      <c r="AM101" s="43">
        <v>2.6076642101474099</v>
      </c>
      <c r="AN101" s="43">
        <v>0.74236180908399296</v>
      </c>
      <c r="AO101" s="43">
        <v>2.9028387334613699</v>
      </c>
      <c r="AP101" s="43">
        <v>2.3681214292127701</v>
      </c>
      <c r="AQ101" s="43">
        <v>4.3970544824153004</v>
      </c>
      <c r="AR101" s="43">
        <v>2.6403825784806498</v>
      </c>
      <c r="AS101" s="43">
        <v>2.24250160781195</v>
      </c>
      <c r="AT101" s="43">
        <v>2.2145677551911902</v>
      </c>
      <c r="AU101" s="43">
        <v>2.8852406748514201</v>
      </c>
      <c r="AV101" s="43">
        <v>2448.6860000000001</v>
      </c>
      <c r="AW101" s="43">
        <v>1410.3879999999999</v>
      </c>
      <c r="AX101" s="43">
        <v>1.160166</v>
      </c>
      <c r="AY101" s="43">
        <v>1.7533510000000001</v>
      </c>
      <c r="AZ101" s="43">
        <v>232.18100000000001</v>
      </c>
      <c r="BA101" s="43">
        <v>0.75541409999999998</v>
      </c>
      <c r="BB101" s="43">
        <v>163.36009999999999</v>
      </c>
      <c r="BC101" s="43">
        <v>33.980640000000001</v>
      </c>
      <c r="BD101" s="43">
        <v>5.8</v>
      </c>
      <c r="BE101" s="43">
        <v>1.3547480000000001</v>
      </c>
      <c r="BF101" s="43">
        <v>2.5671529999999998</v>
      </c>
      <c r="BG101" s="43">
        <v>2.8853800000000001</v>
      </c>
      <c r="BH101" s="43">
        <v>2.6788630000000002</v>
      </c>
      <c r="BI101" s="43">
        <v>1.482256</v>
      </c>
      <c r="BJ101" s="43">
        <v>1.409027</v>
      </c>
      <c r="BK101" s="43">
        <v>95.519940000000005</v>
      </c>
      <c r="BL101" s="43">
        <v>97.9298</v>
      </c>
      <c r="BM101" s="43">
        <v>1.184285</v>
      </c>
      <c r="BN101" s="43">
        <v>1.318605</v>
      </c>
      <c r="BO101" s="43">
        <v>41.431049999999999</v>
      </c>
      <c r="BP101" s="43">
        <v>1.3237772822698499</v>
      </c>
      <c r="BQ101" s="43">
        <v>3431.8229999999999</v>
      </c>
      <c r="BR101" s="43">
        <v>634.45526158757104</v>
      </c>
      <c r="BS101" s="43">
        <v>12876.67</v>
      </c>
      <c r="BT101" s="43">
        <v>6741.8190000000004</v>
      </c>
      <c r="BU101" s="43">
        <v>1.1200639999999999</v>
      </c>
      <c r="BV101" s="43">
        <v>1.3683099999999999</v>
      </c>
      <c r="BW101" s="43">
        <v>1.4658610000000001</v>
      </c>
      <c r="BX101" s="43">
        <v>1.1513100000000001</v>
      </c>
      <c r="BY101" s="43">
        <v>2.1686179999999999</v>
      </c>
      <c r="BZ101" s="43">
        <v>2.4653589999999999</v>
      </c>
      <c r="CA101" s="43">
        <v>1.7912459999999999</v>
      </c>
      <c r="CB101" s="43">
        <v>0.77784120000000001</v>
      </c>
      <c r="CC101" s="43">
        <v>8.2219265960786707</v>
      </c>
      <c r="CD101" s="43">
        <v>1.0151209999999999</v>
      </c>
      <c r="CE101" s="43">
        <v>1.0885879999999999</v>
      </c>
      <c r="CF101" s="43">
        <v>1.174112</v>
      </c>
      <c r="CG101" s="43">
        <v>1.101461</v>
      </c>
      <c r="CH101" s="43">
        <v>1.0579937288638499</v>
      </c>
      <c r="CI101" s="43">
        <v>1.0989257707578199</v>
      </c>
      <c r="CJ101" s="43">
        <v>1.11598694377817</v>
      </c>
      <c r="CK101" s="43">
        <v>1.09591033140779</v>
      </c>
      <c r="CL101" s="43">
        <v>1.3705670000000001</v>
      </c>
      <c r="CM101" s="43">
        <v>1.2660979999999999</v>
      </c>
      <c r="CN101" s="43">
        <v>1.3613109999999999</v>
      </c>
      <c r="CO101" s="43">
        <v>1.6929190000000001</v>
      </c>
      <c r="CP101" s="43">
        <v>0.86857595633336004</v>
      </c>
      <c r="CQ101" s="43">
        <v>1.187187</v>
      </c>
      <c r="CR101" s="43">
        <v>2.8586911699685298</v>
      </c>
      <c r="CS101" s="43">
        <v>68.609399235774006</v>
      </c>
      <c r="CT101" s="43">
        <v>94.731768098833797</v>
      </c>
      <c r="CU101" s="43">
        <v>19.976656393613698</v>
      </c>
      <c r="CV101" s="43">
        <v>22.999320034075001</v>
      </c>
      <c r="CW101" s="43">
        <v>1.3633439999999999</v>
      </c>
      <c r="CX101" s="43">
        <v>1.323591</v>
      </c>
      <c r="CY101" s="43">
        <v>1.3032820000000001</v>
      </c>
      <c r="CZ101" s="43">
        <v>1.3371411674190501</v>
      </c>
      <c r="DA101" s="43">
        <v>1.20233755585425</v>
      </c>
      <c r="DB101" s="43">
        <v>2.5131233189855302</v>
      </c>
      <c r="DC101" s="43">
        <v>1.00116348022977</v>
      </c>
      <c r="DD101" s="43">
        <v>1.2381583160023699</v>
      </c>
      <c r="DE101" s="43">
        <v>1.67946145972625</v>
      </c>
      <c r="DF101" s="43">
        <v>1.3524729334952399</v>
      </c>
      <c r="DG101" s="43">
        <v>1.44042424334675</v>
      </c>
      <c r="DH101" s="43">
        <v>1.1886359118954799</v>
      </c>
      <c r="DI101" s="43">
        <v>2.06040094792256</v>
      </c>
      <c r="DJ101" s="43">
        <v>1.17018233958966</v>
      </c>
      <c r="DK101" s="43">
        <v>1.700159</v>
      </c>
      <c r="DL101" s="43">
        <v>1.9405520000000001</v>
      </c>
      <c r="DM101" s="43">
        <v>2.1206770000000001</v>
      </c>
      <c r="DN101" s="43">
        <v>1.5719224678757999</v>
      </c>
      <c r="DO101" s="43">
        <v>2.2221609999999998</v>
      </c>
      <c r="DP101" s="43">
        <v>1.6170500000000001</v>
      </c>
      <c r="DQ101" s="43">
        <v>1.333607</v>
      </c>
      <c r="DR101" s="43">
        <v>1.927373</v>
      </c>
      <c r="DS101" s="43">
        <v>0.90880850000000002</v>
      </c>
      <c r="DT101" s="43">
        <v>1.3938628168941201</v>
      </c>
      <c r="DU101" s="43">
        <v>592.94230000000005</v>
      </c>
      <c r="DV101" s="43">
        <v>316.9932</v>
      </c>
      <c r="DW101" s="43">
        <v>110.76009999999999</v>
      </c>
      <c r="DX101" s="43">
        <v>1.102776</v>
      </c>
      <c r="DY101" s="43">
        <v>1.2278089999999999</v>
      </c>
      <c r="DZ101" s="43">
        <v>1.0795380000000001</v>
      </c>
      <c r="EA101" s="43">
        <v>883.93499999999995</v>
      </c>
      <c r="EB101" s="43">
        <v>127.354127962427</v>
      </c>
      <c r="EC101" s="43">
        <v>1.29848839218103</v>
      </c>
      <c r="ED101" s="43">
        <v>1.36569657968806</v>
      </c>
      <c r="EE101" s="43">
        <v>1.35369168855821</v>
      </c>
      <c r="EF101" s="43">
        <v>1.6056163516044999</v>
      </c>
      <c r="EG101" s="43">
        <v>1.44751482945836</v>
      </c>
      <c r="EH101" s="43">
        <v>0.64412078143699103</v>
      </c>
      <c r="EI101" s="43">
        <v>0.26607168760967598</v>
      </c>
      <c r="EJ101" s="43">
        <v>30.4782926162396</v>
      </c>
      <c r="EK101" s="43">
        <v>17.294659694628901</v>
      </c>
      <c r="EL101" s="43">
        <v>0.76174270127337895</v>
      </c>
      <c r="EM101" s="43">
        <v>2275.54858289191</v>
      </c>
      <c r="EN101" s="43">
        <v>566.59321046397599</v>
      </c>
      <c r="EO101" s="43">
        <v>84205.855335870903</v>
      </c>
      <c r="EP101" s="43">
        <v>57087.233735801099</v>
      </c>
      <c r="EQ101" s="43">
        <v>4061.0294587908502</v>
      </c>
      <c r="ER101" s="43">
        <v>1.9062907915330001</v>
      </c>
      <c r="ES101" s="43">
        <v>2.03638139137052</v>
      </c>
      <c r="ET101" s="43">
        <v>1.87967910880885</v>
      </c>
      <c r="EU101" s="43">
        <v>2.024292</v>
      </c>
      <c r="EV101" s="43">
        <v>1.8303320000000001</v>
      </c>
      <c r="EW101" s="43">
        <v>2.3775179999999998</v>
      </c>
      <c r="EX101" s="43">
        <v>2.027215</v>
      </c>
      <c r="EY101" s="43">
        <v>1.830538</v>
      </c>
      <c r="EZ101" s="43">
        <v>2.3783150000000002</v>
      </c>
      <c r="FA101" s="43">
        <v>15.471466091610999</v>
      </c>
      <c r="FB101" s="43">
        <v>15.178609899231599</v>
      </c>
      <c r="FC101" s="43">
        <v>65.841142455020901</v>
      </c>
      <c r="FD101" s="43">
        <v>15345.2805944462</v>
      </c>
      <c r="FE101" s="43">
        <v>153132.20000000001</v>
      </c>
      <c r="FF101" s="43">
        <v>1.4204062500000001</v>
      </c>
      <c r="FG101" s="43">
        <v>5.2949061830037003</v>
      </c>
      <c r="FH101" s="43">
        <v>894.06667948604399</v>
      </c>
      <c r="FI101" s="43">
        <v>15093.5900619122</v>
      </c>
      <c r="FJ101" s="43">
        <v>7.2002851424358001</v>
      </c>
      <c r="FK101" s="43">
        <v>18.428237282397699</v>
      </c>
      <c r="FL101" s="43">
        <v>1.126722</v>
      </c>
      <c r="FM101" s="43">
        <v>1.1492690000000001</v>
      </c>
    </row>
    <row r="102" spans="1:169" x14ac:dyDescent="0.25">
      <c r="A102" s="43" t="s">
        <v>329</v>
      </c>
      <c r="B102" s="43">
        <v>24999.14</v>
      </c>
      <c r="C102" s="43">
        <v>17294.060000000001</v>
      </c>
      <c r="D102" s="43">
        <v>3.4940129999999998</v>
      </c>
      <c r="E102" s="43">
        <v>3.3575889999999999</v>
      </c>
      <c r="F102" s="43">
        <v>3.3955639999999998</v>
      </c>
      <c r="G102" s="43">
        <v>3.951438</v>
      </c>
      <c r="H102" s="43">
        <v>1.119961</v>
      </c>
      <c r="I102" s="43">
        <v>1.0834010000000001</v>
      </c>
      <c r="J102" s="43">
        <v>1.089637</v>
      </c>
      <c r="K102" s="43">
        <v>1.0822080000000001</v>
      </c>
      <c r="L102" s="43">
        <v>2.8116539999999999</v>
      </c>
      <c r="M102" s="43">
        <v>74.284390000000002</v>
      </c>
      <c r="N102" s="43">
        <v>79.318315048512204</v>
      </c>
      <c r="O102" s="43">
        <v>2.4294863974673402</v>
      </c>
      <c r="P102" s="43">
        <v>1.5819380000000001</v>
      </c>
      <c r="Q102" s="43">
        <v>-686.65030000000002</v>
      </c>
      <c r="R102" s="43">
        <v>6.3575889999999999</v>
      </c>
      <c r="S102" s="43">
        <v>3671.3969999999999</v>
      </c>
      <c r="T102" s="43">
        <v>2.9673949999999998</v>
      </c>
      <c r="U102" s="43">
        <v>4.3269650000000004</v>
      </c>
      <c r="V102" s="43">
        <v>2982.4070000000002</v>
      </c>
      <c r="W102" s="43">
        <v>1.8838330000000001</v>
      </c>
      <c r="X102" s="43">
        <v>20729.05</v>
      </c>
      <c r="Y102" s="43">
        <v>1.3257840000000001</v>
      </c>
      <c r="Z102" s="43">
        <v>0.84793499999999999</v>
      </c>
      <c r="AA102" s="43">
        <v>1.31246</v>
      </c>
      <c r="AB102" s="43">
        <v>1.0656220000000001</v>
      </c>
      <c r="AC102" s="43">
        <v>72.457319999999996</v>
      </c>
      <c r="AD102" s="43">
        <v>1.380177</v>
      </c>
      <c r="AE102" s="43">
        <v>1.6491610000000001</v>
      </c>
      <c r="AF102" s="43">
        <v>1.7427250000000001</v>
      </c>
      <c r="AG102" s="43">
        <v>349.17649999999998</v>
      </c>
      <c r="AH102" s="43">
        <v>137.31290000000001</v>
      </c>
      <c r="AI102" s="43">
        <v>2.9037199999999999</v>
      </c>
      <c r="AJ102" s="43">
        <v>2.8788830954090101</v>
      </c>
      <c r="AK102" s="43">
        <f t="shared" si="4"/>
        <v>34309.437148674086</v>
      </c>
      <c r="AL102" s="47">
        <v>9.5072019380717521E-3</v>
      </c>
      <c r="AM102" s="43">
        <v>2.6002617166326201</v>
      </c>
      <c r="AN102" s="43">
        <v>0.74271456463946195</v>
      </c>
      <c r="AO102" s="43">
        <v>2.9171350899639701</v>
      </c>
      <c r="AP102" s="43">
        <v>2.3776577442204099</v>
      </c>
      <c r="AQ102" s="43">
        <v>4.4358326344400396</v>
      </c>
      <c r="AR102" s="43">
        <v>2.6612840218610501</v>
      </c>
      <c r="AS102" s="43">
        <v>2.2551132799773699</v>
      </c>
      <c r="AT102" s="43">
        <v>2.2246037519134201</v>
      </c>
      <c r="AU102" s="43">
        <v>2.9085041105848299</v>
      </c>
      <c r="AV102" s="43">
        <v>2466.2489999999998</v>
      </c>
      <c r="AW102" s="43">
        <v>1420.7860000000001</v>
      </c>
      <c r="AX102" s="43">
        <v>1.168701</v>
      </c>
      <c r="AY102" s="43">
        <v>1.765698</v>
      </c>
      <c r="AZ102" s="43">
        <v>234.70830000000001</v>
      </c>
      <c r="BA102" s="43">
        <v>0.75972070000000003</v>
      </c>
      <c r="BB102" s="43">
        <v>164.83519999999999</v>
      </c>
      <c r="BC102" s="43">
        <v>34.269710000000003</v>
      </c>
      <c r="BD102" s="43">
        <v>5.6</v>
      </c>
      <c r="BE102" s="43">
        <v>1.361823</v>
      </c>
      <c r="BF102" s="43">
        <v>2.5692560000000002</v>
      </c>
      <c r="BG102" s="43">
        <v>2.8886379999999998</v>
      </c>
      <c r="BH102" s="43">
        <v>2.673692</v>
      </c>
      <c r="BI102" s="43">
        <v>1.4916659999999999</v>
      </c>
      <c r="BJ102" s="43">
        <v>1.4180969999999999</v>
      </c>
      <c r="BK102" s="43">
        <v>95.373630000000006</v>
      </c>
      <c r="BL102" s="43">
        <v>97.778559999999999</v>
      </c>
      <c r="BM102" s="43">
        <v>1.190766</v>
      </c>
      <c r="BN102" s="43">
        <v>1.3234790000000001</v>
      </c>
      <c r="BO102" s="43">
        <v>41.540840000000003</v>
      </c>
      <c r="BP102" s="43">
        <v>1.31627310597345</v>
      </c>
      <c r="BQ102" s="43">
        <v>3474.4940000000001</v>
      </c>
      <c r="BR102" s="43">
        <v>637.66100954659305</v>
      </c>
      <c r="BS102" s="43">
        <v>12915.3</v>
      </c>
      <c r="BT102" s="43">
        <v>6754.3310000000001</v>
      </c>
      <c r="BU102" s="43">
        <v>1.1234379999999999</v>
      </c>
      <c r="BV102" s="43">
        <v>1.3782909999999999</v>
      </c>
      <c r="BW102" s="43">
        <v>1.478626</v>
      </c>
      <c r="BX102" s="43">
        <v>1.155915</v>
      </c>
      <c r="BY102" s="43">
        <v>2.070163</v>
      </c>
      <c r="BZ102" s="43">
        <v>2.3917139999999999</v>
      </c>
      <c r="CA102" s="43">
        <v>1.73644</v>
      </c>
      <c r="CB102" s="43">
        <v>0.77628549999999996</v>
      </c>
      <c r="CC102" s="43">
        <v>8.2219265782017104</v>
      </c>
      <c r="CD102" s="43">
        <v>1.0168740000000001</v>
      </c>
      <c r="CE102" s="43">
        <v>1.0925549999999999</v>
      </c>
      <c r="CF102" s="43">
        <v>1.180825</v>
      </c>
      <c r="CG102" s="43">
        <v>1.104598</v>
      </c>
      <c r="CH102" s="43">
        <v>1.0593260621821301</v>
      </c>
      <c r="CI102" s="43">
        <v>1.10153975371441</v>
      </c>
      <c r="CJ102" s="43">
        <v>1.1205977111374701</v>
      </c>
      <c r="CK102" s="43">
        <v>1.0987529312851601</v>
      </c>
      <c r="CL102" s="43">
        <v>1.380568</v>
      </c>
      <c r="CM102" s="43">
        <v>1.270508</v>
      </c>
      <c r="CN102" s="43">
        <v>1.3739269999999999</v>
      </c>
      <c r="CO102" s="43">
        <v>1.7121120000000001</v>
      </c>
      <c r="CP102" s="43">
        <v>0.86511549435593604</v>
      </c>
      <c r="CQ102" s="43">
        <v>1.1902379999999999</v>
      </c>
      <c r="CR102" s="43">
        <v>1.9585032067366399</v>
      </c>
      <c r="CS102" s="43">
        <v>68.619503334673496</v>
      </c>
      <c r="CT102" s="43">
        <v>94.921231635031504</v>
      </c>
      <c r="CU102" s="43">
        <v>19.897068121129099</v>
      </c>
      <c r="CV102" s="43">
        <v>22.999320034075001</v>
      </c>
      <c r="CW102" s="43">
        <v>1.3731089999999999</v>
      </c>
      <c r="CX102" s="43">
        <v>1.332592</v>
      </c>
      <c r="CY102" s="43">
        <v>1.309536</v>
      </c>
      <c r="CZ102" s="43">
        <v>1.3448155294865101</v>
      </c>
      <c r="DA102" s="43">
        <v>1.20675748658823</v>
      </c>
      <c r="DB102" s="43">
        <v>2.5280179837970498</v>
      </c>
      <c r="DC102" s="43">
        <v>1.0002677671448199</v>
      </c>
      <c r="DD102" s="43">
        <v>1.2491786767241599</v>
      </c>
      <c r="DE102" s="43">
        <v>1.69883245999029</v>
      </c>
      <c r="DF102" s="43">
        <v>1.3621490331089301</v>
      </c>
      <c r="DG102" s="43">
        <v>1.4544076176953</v>
      </c>
      <c r="DH102" s="43">
        <v>1.19539745212798</v>
      </c>
      <c r="DI102" s="43">
        <v>2.0897735967395099</v>
      </c>
      <c r="DJ102" s="43">
        <v>1.1699618132832701</v>
      </c>
      <c r="DK102" s="43">
        <v>1.7188859999999999</v>
      </c>
      <c r="DL102" s="43">
        <v>1.965983</v>
      </c>
      <c r="DM102" s="43">
        <v>2.1479520000000001</v>
      </c>
      <c r="DN102" s="43">
        <v>1.5876804756529701</v>
      </c>
      <c r="DO102" s="43">
        <v>2.2587790000000001</v>
      </c>
      <c r="DP102" s="43">
        <v>1.6380950000000001</v>
      </c>
      <c r="DQ102" s="43">
        <v>1.3407199999999999</v>
      </c>
      <c r="DR102" s="43">
        <v>1.9538530000000001</v>
      </c>
      <c r="DS102" s="43">
        <v>0.91193709999999994</v>
      </c>
      <c r="DT102" s="43">
        <v>1.4054089596652</v>
      </c>
      <c r="DU102" s="43">
        <v>593.84439999999995</v>
      </c>
      <c r="DV102" s="43">
        <v>317.21780000000001</v>
      </c>
      <c r="DW102" s="43">
        <v>110.7805</v>
      </c>
      <c r="DX102" s="43">
        <v>1.1062639999999999</v>
      </c>
      <c r="DY102" s="43">
        <v>1.232839</v>
      </c>
      <c r="DZ102" s="43">
        <v>1.080328</v>
      </c>
      <c r="EA102" s="43">
        <v>880.94150000000002</v>
      </c>
      <c r="EB102" s="43">
        <v>127.902398350222</v>
      </c>
      <c r="EC102" s="43">
        <v>1.3097962145719799</v>
      </c>
      <c r="ED102" s="43">
        <v>1.37877899143824</v>
      </c>
      <c r="EE102" s="43">
        <v>1.3660194520741</v>
      </c>
      <c r="EF102" s="43">
        <v>1.6223522331335201</v>
      </c>
      <c r="EG102" s="43">
        <v>1.46086646777983</v>
      </c>
      <c r="EH102" s="43">
        <v>0.64748436234581497</v>
      </c>
      <c r="EI102" s="43">
        <v>0.26746110660470601</v>
      </c>
      <c r="EJ102" s="43">
        <v>30.637449417466801</v>
      </c>
      <c r="EK102" s="43">
        <v>17.384971929305902</v>
      </c>
      <c r="EL102" s="43">
        <v>0.76572050059499497</v>
      </c>
      <c r="EM102" s="43">
        <v>2285.0163181864</v>
      </c>
      <c r="EN102" s="43">
        <v>568.95060005199002</v>
      </c>
      <c r="EO102" s="43">
        <v>84556.2054688278</v>
      </c>
      <c r="EP102" s="43">
        <v>57324.753084659998</v>
      </c>
      <c r="EQ102" s="43">
        <v>4077.9259347562702</v>
      </c>
      <c r="ER102" s="43">
        <v>1.9228916312678499</v>
      </c>
      <c r="ES102" s="43">
        <v>2.0541151187049498</v>
      </c>
      <c r="ET102" s="43">
        <v>1.89604820201167</v>
      </c>
      <c r="EU102" s="43">
        <v>2.0466929999999999</v>
      </c>
      <c r="EV102" s="43">
        <v>1.8437220000000001</v>
      </c>
      <c r="EW102" s="43">
        <v>2.413278</v>
      </c>
      <c r="EX102" s="43">
        <v>2.046916</v>
      </c>
      <c r="EY102" s="43">
        <v>1.843815</v>
      </c>
      <c r="EZ102" s="43">
        <v>2.4130180000000001</v>
      </c>
      <c r="FA102" s="43">
        <v>15.643524667172599</v>
      </c>
      <c r="FB102" s="43">
        <v>15.345999467808999</v>
      </c>
      <c r="FC102" s="43">
        <v>66.481009777950405</v>
      </c>
      <c r="FD102" s="43">
        <v>15456.5839142202</v>
      </c>
      <c r="FE102" s="43">
        <v>155366.6</v>
      </c>
      <c r="FF102" s="43">
        <v>1.42996875</v>
      </c>
      <c r="FG102" s="43">
        <v>5.3160858077357203</v>
      </c>
      <c r="FH102" s="43">
        <v>895.854812845016</v>
      </c>
      <c r="FI102" s="43">
        <v>15018.122111602601</v>
      </c>
      <c r="FJ102" s="43">
        <v>7.1858848385614804</v>
      </c>
      <c r="FK102" s="43">
        <v>18.465093756962499</v>
      </c>
      <c r="FL102" s="43">
        <v>1.1246579999999999</v>
      </c>
      <c r="FM102" s="43">
        <v>1.1462509999999999</v>
      </c>
    </row>
    <row r="103" spans="1:169" x14ac:dyDescent="0.25">
      <c r="A103" s="43" t="s">
        <v>330</v>
      </c>
      <c r="B103" s="43">
        <v>25066.37</v>
      </c>
      <c r="C103" s="43">
        <v>17328.54</v>
      </c>
      <c r="D103" s="43">
        <v>3.5156489999999998</v>
      </c>
      <c r="E103" s="43">
        <v>3.6522420000000002</v>
      </c>
      <c r="F103" s="43">
        <v>3.5083350000000002</v>
      </c>
      <c r="G103" s="43">
        <v>4.0110200000000003</v>
      </c>
      <c r="H103" s="43">
        <v>1.124233</v>
      </c>
      <c r="I103" s="43">
        <v>1.0878129999999999</v>
      </c>
      <c r="J103" s="43">
        <v>1.093343</v>
      </c>
      <c r="K103" s="43">
        <v>1.0850679999999999</v>
      </c>
      <c r="L103" s="43">
        <v>2.8266979999999999</v>
      </c>
      <c r="M103" s="43">
        <v>74.591250000000002</v>
      </c>
      <c r="N103" s="43">
        <v>79.645957219773194</v>
      </c>
      <c r="O103" s="43">
        <v>2.4460135158174601</v>
      </c>
      <c r="P103" s="43">
        <v>1.540063</v>
      </c>
      <c r="Q103" s="43">
        <v>-676.31079999999997</v>
      </c>
      <c r="R103" s="43">
        <v>6.6522420000000002</v>
      </c>
      <c r="S103" s="43">
        <v>3674.915</v>
      </c>
      <c r="T103" s="43">
        <v>3.191252</v>
      </c>
      <c r="U103" s="43">
        <v>4.4112179999999999</v>
      </c>
      <c r="V103" s="43">
        <v>2993.9940000000001</v>
      </c>
      <c r="W103" s="43">
        <v>1.8951450000000001</v>
      </c>
      <c r="X103" s="43">
        <v>20923.48</v>
      </c>
      <c r="Y103" s="43">
        <v>1.326295</v>
      </c>
      <c r="Z103" s="43">
        <v>0.85099990000000003</v>
      </c>
      <c r="AA103" s="43">
        <v>1.3178609999999999</v>
      </c>
      <c r="AB103" s="43">
        <v>1.070457</v>
      </c>
      <c r="AC103" s="43">
        <v>72.757540000000006</v>
      </c>
      <c r="AD103" s="43">
        <v>1.387222</v>
      </c>
      <c r="AE103" s="43">
        <v>1.6642840000000001</v>
      </c>
      <c r="AF103" s="43">
        <v>1.757077</v>
      </c>
      <c r="AG103" s="43">
        <v>349.75110000000001</v>
      </c>
      <c r="AH103" s="43">
        <v>138.49189999999999</v>
      </c>
      <c r="AI103" s="43">
        <v>2.9230849999999999</v>
      </c>
      <c r="AJ103" s="43">
        <v>2.89585154566057</v>
      </c>
      <c r="AK103" s="43">
        <f t="shared" si="4"/>
        <v>34577.294111809671</v>
      </c>
      <c r="AL103" s="47">
        <v>7.8070928991016419E-3</v>
      </c>
      <c r="AM103" s="43">
        <v>2.5923110287764799</v>
      </c>
      <c r="AN103" s="43">
        <v>0.74501090053697805</v>
      </c>
      <c r="AO103" s="43">
        <v>2.9275931604293799</v>
      </c>
      <c r="AP103" s="43">
        <v>2.3879201214002399</v>
      </c>
      <c r="AQ103" s="43">
        <v>4.4656732525475302</v>
      </c>
      <c r="AR103" s="43">
        <v>2.6775236484062801</v>
      </c>
      <c r="AS103" s="43">
        <v>2.2652903352856302</v>
      </c>
      <c r="AT103" s="43">
        <v>2.23337819331545</v>
      </c>
      <c r="AU103" s="43">
        <v>2.9223733260448199</v>
      </c>
      <c r="AV103" s="43">
        <v>2470.5540000000001</v>
      </c>
      <c r="AW103" s="43">
        <v>1424.0509999999999</v>
      </c>
      <c r="AX103" s="43">
        <v>1.170544</v>
      </c>
      <c r="AY103" s="43">
        <v>1.775004</v>
      </c>
      <c r="AZ103" s="43">
        <v>236.1412</v>
      </c>
      <c r="BA103" s="43">
        <v>0.76498379999999999</v>
      </c>
      <c r="BB103" s="43">
        <v>166.35830000000001</v>
      </c>
      <c r="BC103" s="43">
        <v>34.436239999999998</v>
      </c>
      <c r="BD103" s="43">
        <v>5.5</v>
      </c>
      <c r="BE103" s="43">
        <v>1.3672070000000001</v>
      </c>
      <c r="BF103" s="43">
        <v>2.7540369999999998</v>
      </c>
      <c r="BG103" s="43">
        <v>3.0835089999999998</v>
      </c>
      <c r="BH103" s="43">
        <v>2.7568299999999999</v>
      </c>
      <c r="BI103" s="43">
        <v>1.4983960000000001</v>
      </c>
      <c r="BJ103" s="43">
        <v>1.4245380000000001</v>
      </c>
      <c r="BK103" s="43">
        <v>95.109909999999999</v>
      </c>
      <c r="BL103" s="43">
        <v>97.506960000000007</v>
      </c>
      <c r="BM103" s="43">
        <v>1.1957549999999999</v>
      </c>
      <c r="BN103" s="43">
        <v>1.3257749999999999</v>
      </c>
      <c r="BO103" s="43">
        <v>41.650919999999999</v>
      </c>
      <c r="BP103" s="43">
        <v>1.30721714589321</v>
      </c>
      <c r="BQ103" s="43">
        <v>3496.549</v>
      </c>
      <c r="BR103" s="43">
        <v>640.61869643620298</v>
      </c>
      <c r="BS103" s="43">
        <v>12948.11</v>
      </c>
      <c r="BT103" s="43">
        <v>6769.8270000000002</v>
      </c>
      <c r="BU103" s="43">
        <v>1.1247480000000001</v>
      </c>
      <c r="BV103" s="43">
        <v>1.3849929999999999</v>
      </c>
      <c r="BW103" s="43">
        <v>1.4856389999999999</v>
      </c>
      <c r="BX103" s="43">
        <v>1.160539</v>
      </c>
      <c r="BY103" s="43">
        <v>2.1061649999999998</v>
      </c>
      <c r="BZ103" s="43">
        <v>2.4077540000000002</v>
      </c>
      <c r="CA103" s="43">
        <v>1.7887379999999999</v>
      </c>
      <c r="CB103" s="43">
        <v>0.77240410000000004</v>
      </c>
      <c r="CC103" s="43">
        <v>8.2096428199471099</v>
      </c>
      <c r="CD103" s="43">
        <v>1.018561</v>
      </c>
      <c r="CE103" s="43">
        <v>1.093988</v>
      </c>
      <c r="CF103" s="43">
        <v>1.183611</v>
      </c>
      <c r="CG103" s="43">
        <v>1.1047830000000001</v>
      </c>
      <c r="CH103" s="43">
        <v>1.0603921159923899</v>
      </c>
      <c r="CI103" s="43">
        <v>1.1030130694634801</v>
      </c>
      <c r="CJ103" s="43">
        <v>1.1230868012183299</v>
      </c>
      <c r="CK103" s="43">
        <v>1.0997293196678199</v>
      </c>
      <c r="CL103" s="43">
        <v>1.387284</v>
      </c>
      <c r="CM103" s="43">
        <v>1.2741480000000001</v>
      </c>
      <c r="CN103" s="43">
        <v>1.3825989999999999</v>
      </c>
      <c r="CO103" s="43">
        <v>1.7226589999999999</v>
      </c>
      <c r="CP103" s="43">
        <v>0.86166881907961701</v>
      </c>
      <c r="CQ103" s="43">
        <v>1.1924779999999999</v>
      </c>
      <c r="CR103" s="43">
        <v>1.95082148674449</v>
      </c>
      <c r="CS103" s="43">
        <v>68.628437902027599</v>
      </c>
      <c r="CT103" s="43">
        <v>95.870443951381802</v>
      </c>
      <c r="CU103" s="43">
        <v>19.619618964061601</v>
      </c>
      <c r="CV103" s="43">
        <v>22.769326833734201</v>
      </c>
      <c r="CW103" s="43">
        <v>1.3784289999999999</v>
      </c>
      <c r="CX103" s="43">
        <v>1.337531</v>
      </c>
      <c r="CY103" s="43">
        <v>1.3126100000000001</v>
      </c>
      <c r="CZ103" s="43">
        <v>1.3486290912396699</v>
      </c>
      <c r="DA103" s="43">
        <v>1.2088072161044601</v>
      </c>
      <c r="DB103" s="43">
        <v>2.5378952970483799</v>
      </c>
      <c r="DC103" s="43">
        <v>0.99929185682458899</v>
      </c>
      <c r="DD103" s="43">
        <v>1.2560502775472899</v>
      </c>
      <c r="DE103" s="43">
        <v>1.71040319493926</v>
      </c>
      <c r="DF103" s="43">
        <v>1.3687169429742601</v>
      </c>
      <c r="DG103" s="43">
        <v>1.4636983634935401</v>
      </c>
      <c r="DH103" s="43">
        <v>1.19907483751449</v>
      </c>
      <c r="DI103" s="43">
        <v>2.1079341642592402</v>
      </c>
      <c r="DJ103" s="43">
        <v>1.1707859282742501</v>
      </c>
      <c r="DK103" s="43">
        <v>1.7318210000000001</v>
      </c>
      <c r="DL103" s="43">
        <v>1.979951</v>
      </c>
      <c r="DM103" s="43">
        <v>2.1621109999999999</v>
      </c>
      <c r="DN103" s="43">
        <v>1.59632645669716</v>
      </c>
      <c r="DO103" s="43">
        <v>2.2790349999999999</v>
      </c>
      <c r="DP103" s="43">
        <v>1.6505650000000001</v>
      </c>
      <c r="DQ103" s="43">
        <v>1.3447169999999999</v>
      </c>
      <c r="DR103" s="43">
        <v>1.968451</v>
      </c>
      <c r="DS103" s="43">
        <v>0.9137982</v>
      </c>
      <c r="DT103" s="43">
        <v>1.41177374053409</v>
      </c>
      <c r="DU103" s="43">
        <v>594.15589999999997</v>
      </c>
      <c r="DV103" s="43">
        <v>317.15890000000002</v>
      </c>
      <c r="DW103" s="43">
        <v>110.5749</v>
      </c>
      <c r="DX103" s="43">
        <v>1.1085860000000001</v>
      </c>
      <c r="DY103" s="43">
        <v>1.236213</v>
      </c>
      <c r="DZ103" s="43">
        <v>1.0807279999999999</v>
      </c>
      <c r="EA103" s="43">
        <v>878.62009999999998</v>
      </c>
      <c r="EB103" s="43">
        <v>128.312780377015</v>
      </c>
      <c r="EC103" s="43">
        <v>1.3160080591383501</v>
      </c>
      <c r="ED103" s="43">
        <v>1.3859718942424999</v>
      </c>
      <c r="EE103" s="43">
        <v>1.3727921007937001</v>
      </c>
      <c r="EF103" s="43">
        <v>1.63157223690537</v>
      </c>
      <c r="EG103" s="43">
        <v>1.4682073693361599</v>
      </c>
      <c r="EH103" s="43">
        <v>0.65004431602752299</v>
      </c>
      <c r="EI103" s="43">
        <v>0.26851856541666302</v>
      </c>
      <c r="EJ103" s="43">
        <v>30.758580453203699</v>
      </c>
      <c r="EK103" s="43">
        <v>17.453706752083001</v>
      </c>
      <c r="EL103" s="43">
        <v>0.76874792353931998</v>
      </c>
      <c r="EM103" s="43">
        <v>2294.48405348088</v>
      </c>
      <c r="EN103" s="43">
        <v>571.30798964000201</v>
      </c>
      <c r="EO103" s="43">
        <v>84906.555601784698</v>
      </c>
      <c r="EP103" s="43">
        <v>57562.272433518898</v>
      </c>
      <c r="EQ103" s="43">
        <v>4094.8224107216702</v>
      </c>
      <c r="ER103" s="43">
        <v>1.9320111445161701</v>
      </c>
      <c r="ES103" s="43">
        <v>2.0638569729696399</v>
      </c>
      <c r="ET103" s="43">
        <v>1.9050404075091301</v>
      </c>
      <c r="EU103" s="43">
        <v>2.0648569999999999</v>
      </c>
      <c r="EV103" s="43">
        <v>1.854058</v>
      </c>
      <c r="EW103" s="43">
        <v>2.4408940000000001</v>
      </c>
      <c r="EX103" s="43">
        <v>2.0624669999999998</v>
      </c>
      <c r="EY103" s="43">
        <v>1.8534280000000001</v>
      </c>
      <c r="EZ103" s="43">
        <v>2.4395319999999998</v>
      </c>
      <c r="FA103" s="43">
        <v>15.783038117678201</v>
      </c>
      <c r="FB103" s="43">
        <v>15.481756429694199</v>
      </c>
      <c r="FC103" s="43">
        <v>66.986103359360001</v>
      </c>
      <c r="FD103" s="43">
        <v>15537.1713019131</v>
      </c>
      <c r="FE103" s="43">
        <v>157073.70000000001</v>
      </c>
      <c r="FF103" s="43">
        <v>1.4392812500000001</v>
      </c>
      <c r="FG103" s="43">
        <v>5.3426662367743996</v>
      </c>
      <c r="FH103" s="43">
        <v>894.06310321932597</v>
      </c>
      <c r="FI103" s="43">
        <v>14980.576806323599</v>
      </c>
      <c r="FJ103" s="43">
        <v>7.2002567375845201</v>
      </c>
      <c r="FK103" s="43">
        <v>18.4096978663434</v>
      </c>
      <c r="FL103" s="43">
        <v>1.1222540000000001</v>
      </c>
      <c r="FM103" s="43">
        <v>1.14297</v>
      </c>
    </row>
    <row r="104" spans="1:169" x14ac:dyDescent="0.25">
      <c r="A104" s="43" t="s">
        <v>331</v>
      </c>
      <c r="B104" s="43">
        <v>25022.39</v>
      </c>
      <c r="C104" s="43">
        <v>17319.87</v>
      </c>
      <c r="D104" s="43">
        <v>3.5301490000000002</v>
      </c>
      <c r="E104" s="43">
        <v>3.6522420000000002</v>
      </c>
      <c r="F104" s="43">
        <v>3.5148130000000002</v>
      </c>
      <c r="G104" s="43">
        <v>4.438822</v>
      </c>
      <c r="H104" s="43">
        <v>1.1217379999999999</v>
      </c>
      <c r="I104" s="43">
        <v>1.0864119999999999</v>
      </c>
      <c r="J104" s="43">
        <v>1.0917790000000001</v>
      </c>
      <c r="K104" s="43">
        <v>1.0855189999999999</v>
      </c>
      <c r="L104" s="43">
        <v>2.8361930000000002</v>
      </c>
      <c r="M104" s="43">
        <v>74.889070000000004</v>
      </c>
      <c r="N104" s="43">
        <v>79.963962856585397</v>
      </c>
      <c r="O104" s="43">
        <v>2.4570315947175398</v>
      </c>
      <c r="P104" s="43">
        <v>1.518062</v>
      </c>
      <c r="Q104" s="43">
        <v>-669.57460000000003</v>
      </c>
      <c r="R104" s="43">
        <v>6.6522420000000002</v>
      </c>
      <c r="S104" s="43">
        <v>3672.7080000000001</v>
      </c>
      <c r="T104" s="43">
        <v>3.190531</v>
      </c>
      <c r="U104" s="43">
        <v>4.4103820000000002</v>
      </c>
      <c r="V104" s="43">
        <v>2986.7919999999999</v>
      </c>
      <c r="W104" s="43">
        <v>1.9030899999999999</v>
      </c>
      <c r="X104" s="43">
        <v>21167.97</v>
      </c>
      <c r="Y104" s="43">
        <v>1.3262419999999999</v>
      </c>
      <c r="Z104" s="43">
        <v>0.84910560000000002</v>
      </c>
      <c r="AA104" s="43">
        <v>1.3199909999999999</v>
      </c>
      <c r="AB104" s="43">
        <v>1.0747439999999999</v>
      </c>
      <c r="AC104" s="43">
        <v>73.048929999999999</v>
      </c>
      <c r="AD104" s="43">
        <v>1.3917759999999999</v>
      </c>
      <c r="AE104" s="43">
        <v>1.673986</v>
      </c>
      <c r="AF104" s="43">
        <v>1.766483</v>
      </c>
      <c r="AG104" s="43">
        <v>350.33550000000002</v>
      </c>
      <c r="AH104" s="43">
        <v>139.12350000000001</v>
      </c>
      <c r="AI104" s="43">
        <v>2.9349660000000002</v>
      </c>
      <c r="AJ104" s="43">
        <v>2.90652010381433</v>
      </c>
      <c r="AK104" s="43">
        <f t="shared" si="4"/>
        <v>34629.956638325843</v>
      </c>
      <c r="AL104" s="47">
        <v>1.523037816258288E-3</v>
      </c>
      <c r="AM104" s="43">
        <v>2.5877915354821401</v>
      </c>
      <c r="AN104" s="43">
        <v>0.75356953148849604</v>
      </c>
      <c r="AO104" s="43">
        <v>2.9332332129168699</v>
      </c>
      <c r="AP104" s="43">
        <v>2.39333570318969</v>
      </c>
      <c r="AQ104" s="43">
        <v>4.4850958235722098</v>
      </c>
      <c r="AR104" s="43">
        <v>2.6881438921696099</v>
      </c>
      <c r="AS104" s="43">
        <v>2.27221940880262</v>
      </c>
      <c r="AT104" s="43">
        <v>2.2392349234487998</v>
      </c>
      <c r="AU104" s="43">
        <v>2.93437533324582</v>
      </c>
      <c r="AV104" s="43">
        <v>2477.9319999999998</v>
      </c>
      <c r="AW104" s="43">
        <v>1428.3030000000001</v>
      </c>
      <c r="AX104" s="43">
        <v>1.1733530000000001</v>
      </c>
      <c r="AY104" s="43">
        <v>1.781131</v>
      </c>
      <c r="AZ104" s="43">
        <v>236.9658</v>
      </c>
      <c r="BA104" s="43">
        <v>0.76953300000000002</v>
      </c>
      <c r="BB104" s="43">
        <v>167.1429</v>
      </c>
      <c r="BC104" s="43">
        <v>34.573749999999997</v>
      </c>
      <c r="BD104" s="43">
        <v>5.5</v>
      </c>
      <c r="BE104" s="43">
        <v>1.3700540000000001</v>
      </c>
      <c r="BF104" s="43">
        <v>2.7584300000000002</v>
      </c>
      <c r="BG104" s="43">
        <v>3.088314</v>
      </c>
      <c r="BH104" s="43">
        <v>2.764942</v>
      </c>
      <c r="BI104" s="43">
        <v>1.5026660000000001</v>
      </c>
      <c r="BJ104" s="43">
        <v>1.428752</v>
      </c>
      <c r="BK104" s="43">
        <v>94.926310000000001</v>
      </c>
      <c r="BL104" s="43">
        <v>97.317549999999997</v>
      </c>
      <c r="BM104" s="43">
        <v>1.1932990000000001</v>
      </c>
      <c r="BN104" s="43">
        <v>1.325512</v>
      </c>
      <c r="BO104" s="43">
        <v>41.761299999999999</v>
      </c>
      <c r="BP104" s="43">
        <v>1.29948934236973</v>
      </c>
      <c r="BQ104" s="43">
        <v>3516.7640000000001</v>
      </c>
      <c r="BR104" s="43">
        <v>641.96543877242595</v>
      </c>
      <c r="BS104" s="43">
        <v>12980.68</v>
      </c>
      <c r="BT104" s="43">
        <v>6800.8689999999997</v>
      </c>
      <c r="BU104" s="43">
        <v>1.119739</v>
      </c>
      <c r="BV104" s="43">
        <v>1.3902829999999999</v>
      </c>
      <c r="BW104" s="43">
        <v>1.4887729999999999</v>
      </c>
      <c r="BX104" s="43">
        <v>1.165181</v>
      </c>
      <c r="BY104" s="43">
        <v>2.1141459999999999</v>
      </c>
      <c r="BZ104" s="43">
        <v>2.405586</v>
      </c>
      <c r="CA104" s="43">
        <v>1.8172889999999999</v>
      </c>
      <c r="CB104" s="43">
        <v>0.76854210000000001</v>
      </c>
      <c r="CC104" s="43">
        <v>8.1524042168567892</v>
      </c>
      <c r="CD104" s="43">
        <v>1.013863</v>
      </c>
      <c r="CE104" s="43">
        <v>1.0890519999999999</v>
      </c>
      <c r="CF104" s="43">
        <v>1.1784790000000001</v>
      </c>
      <c r="CG104" s="43">
        <v>1.1003289999999999</v>
      </c>
      <c r="CH104" s="43">
        <v>1.0597150466072001</v>
      </c>
      <c r="CI104" s="43">
        <v>1.1020288686316899</v>
      </c>
      <c r="CJ104" s="43">
        <v>1.1215167058809099</v>
      </c>
      <c r="CK104" s="43">
        <v>1.09817747374423</v>
      </c>
      <c r="CL104" s="43">
        <v>1.392585</v>
      </c>
      <c r="CM104" s="43">
        <v>1.276581</v>
      </c>
      <c r="CN104" s="43">
        <v>1.38957</v>
      </c>
      <c r="CO104" s="43">
        <v>1.727376</v>
      </c>
      <c r="CP104" s="43">
        <v>0.85823587557730796</v>
      </c>
      <c r="CQ104" s="43">
        <v>1.19357</v>
      </c>
      <c r="CR104" s="43">
        <v>1.9515061886336</v>
      </c>
      <c r="CS104" s="43">
        <v>68.627941676852899</v>
      </c>
      <c r="CT104" s="43">
        <v>96.445666615090104</v>
      </c>
      <c r="CU104" s="43">
        <v>19.443745885698501</v>
      </c>
      <c r="CV104" s="43">
        <v>22.655480199565599</v>
      </c>
      <c r="CW104" s="43">
        <v>1.380755</v>
      </c>
      <c r="CX104" s="43">
        <v>1.3397319999999999</v>
      </c>
      <c r="CY104" s="43">
        <v>1.313574</v>
      </c>
      <c r="CZ104" s="43">
        <v>1.34985586295772</v>
      </c>
      <c r="DA104" s="43">
        <v>1.2092879087016899</v>
      </c>
      <c r="DB104" s="43">
        <v>2.5421578188390401</v>
      </c>
      <c r="DC104" s="43">
        <v>0.99871158478783095</v>
      </c>
      <c r="DD104" s="43">
        <v>1.26022098024165</v>
      </c>
      <c r="DE104" s="43">
        <v>1.717318549492</v>
      </c>
      <c r="DF104" s="43">
        <v>1.37394841372022</v>
      </c>
      <c r="DG104" s="43">
        <v>1.47009684962585</v>
      </c>
      <c r="DH104" s="43">
        <v>1.2006111499374701</v>
      </c>
      <c r="DI104" s="43">
        <v>2.1198394884563001</v>
      </c>
      <c r="DJ104" s="43">
        <v>1.1731854648634401</v>
      </c>
      <c r="DK104" s="43">
        <v>1.742551</v>
      </c>
      <c r="DL104" s="43">
        <v>1.9862</v>
      </c>
      <c r="DM104" s="43">
        <v>2.1674720000000001</v>
      </c>
      <c r="DN104" s="43">
        <v>1.60018086714605</v>
      </c>
      <c r="DO104" s="43">
        <v>2.288252</v>
      </c>
      <c r="DP104" s="43">
        <v>1.6572</v>
      </c>
      <c r="DQ104" s="43">
        <v>1.346614</v>
      </c>
      <c r="DR104" s="43">
        <v>1.9750490000000001</v>
      </c>
      <c r="DS104" s="43">
        <v>0.9148037</v>
      </c>
      <c r="DT104" s="43">
        <v>1.4146465938139801</v>
      </c>
      <c r="DU104" s="43">
        <v>595.05999999999995</v>
      </c>
      <c r="DV104" s="43">
        <v>317.13299999999998</v>
      </c>
      <c r="DW104" s="43">
        <v>110.249</v>
      </c>
      <c r="DX104" s="43">
        <v>1.110052</v>
      </c>
      <c r="DY104" s="43">
        <v>1.2372000000000001</v>
      </c>
      <c r="DZ104" s="43">
        <v>1.081151</v>
      </c>
      <c r="EA104" s="43">
        <v>879.44420000000002</v>
      </c>
      <c r="EB104" s="43">
        <v>127.645553919054</v>
      </c>
      <c r="EC104" s="43">
        <v>1.31878456240514</v>
      </c>
      <c r="ED104" s="43">
        <v>1.3891884178890399</v>
      </c>
      <c r="EE104" s="43">
        <v>1.3758192652583801</v>
      </c>
      <c r="EF104" s="43">
        <v>1.6357003677751401</v>
      </c>
      <c r="EG104" s="43">
        <v>1.4714902171170099</v>
      </c>
      <c r="EH104" s="43">
        <v>0.65139772113091798</v>
      </c>
      <c r="EI104" s="43">
        <v>0.26907762637270999</v>
      </c>
      <c r="EJ104" s="43">
        <v>30.822620425144301</v>
      </c>
      <c r="EK104" s="43">
        <v>17.490045714226099</v>
      </c>
      <c r="EL104" s="43">
        <v>0.770348471897778</v>
      </c>
      <c r="EM104" s="43">
        <v>2303.6733259726002</v>
      </c>
      <c r="EN104" s="43">
        <v>573.59604424013298</v>
      </c>
      <c r="EO104" s="43">
        <v>85246.601319066394</v>
      </c>
      <c r="EP104" s="43">
        <v>57792.805919175997</v>
      </c>
      <c r="EQ104" s="43">
        <v>4111.2219315116299</v>
      </c>
      <c r="ER104" s="43">
        <v>1.93608728616059</v>
      </c>
      <c r="ES104" s="43">
        <v>2.0682112818873302</v>
      </c>
      <c r="ET104" s="43">
        <v>1.9090596465085501</v>
      </c>
      <c r="EU104" s="43">
        <v>2.0793590000000002</v>
      </c>
      <c r="EV104" s="43">
        <v>1.860279</v>
      </c>
      <c r="EW104" s="43">
        <v>2.4583719999999998</v>
      </c>
      <c r="EX104" s="43">
        <v>2.0786920000000002</v>
      </c>
      <c r="EY104" s="43">
        <v>1.860592</v>
      </c>
      <c r="EZ104" s="43">
        <v>2.4591750000000001</v>
      </c>
      <c r="FA104" s="43">
        <v>15.8944329048339</v>
      </c>
      <c r="FB104" s="43">
        <v>15.590178568306399</v>
      </c>
      <c r="FC104" s="43">
        <v>67.513063645644095</v>
      </c>
      <c r="FD104" s="43">
        <v>15597.229055755501</v>
      </c>
      <c r="FE104" s="43">
        <v>158338.5</v>
      </c>
      <c r="FF104" s="43">
        <v>1.44865625</v>
      </c>
      <c r="FG104" s="43">
        <v>5.3960928991421397</v>
      </c>
      <c r="FH104" s="43">
        <v>896.74529252898401</v>
      </c>
      <c r="FI104" s="43">
        <v>14943.1253643078</v>
      </c>
      <c r="FJ104" s="43">
        <v>7.1786562841830701</v>
      </c>
      <c r="FK104" s="43">
        <v>18.31764948747</v>
      </c>
      <c r="FL104" s="43">
        <v>1.117632</v>
      </c>
      <c r="FM104" s="43">
        <v>1.1428229999999999</v>
      </c>
    </row>
    <row r="105" spans="1:169" x14ac:dyDescent="0.25">
      <c r="A105" s="43" t="s">
        <v>332</v>
      </c>
      <c r="B105" s="43">
        <v>25047.37</v>
      </c>
      <c r="C105" s="43">
        <v>17324.2</v>
      </c>
      <c r="D105" s="43">
        <v>3.544883</v>
      </c>
      <c r="E105" s="43">
        <v>3.6522420000000002</v>
      </c>
      <c r="F105" s="43">
        <v>3.5137679999999998</v>
      </c>
      <c r="G105" s="43">
        <v>4.6196789999999996</v>
      </c>
      <c r="H105" s="43">
        <v>1.122906</v>
      </c>
      <c r="I105" s="43">
        <v>1.0881529999999999</v>
      </c>
      <c r="J105" s="43">
        <v>1.093259</v>
      </c>
      <c r="K105" s="43">
        <v>1.08667</v>
      </c>
      <c r="L105" s="43">
        <v>2.8458929999999998</v>
      </c>
      <c r="M105" s="43">
        <v>75.195920000000001</v>
      </c>
      <c r="N105" s="43">
        <v>80.291605027846302</v>
      </c>
      <c r="O105" s="43">
        <v>2.4680496736176099</v>
      </c>
      <c r="P105" s="43">
        <v>1.465937</v>
      </c>
      <c r="Q105" s="43">
        <v>-663.29</v>
      </c>
      <c r="R105" s="43">
        <v>6.6522420000000002</v>
      </c>
      <c r="S105" s="43">
        <v>3672.7669999999998</v>
      </c>
      <c r="T105" s="43">
        <v>3.1905420000000002</v>
      </c>
      <c r="U105" s="43">
        <v>4.4085450000000002</v>
      </c>
      <c r="V105" s="43">
        <v>2991.8249999999998</v>
      </c>
      <c r="W105" s="43">
        <v>1.911632</v>
      </c>
      <c r="X105" s="43">
        <v>21307.35</v>
      </c>
      <c r="Y105" s="43">
        <v>1.326587</v>
      </c>
      <c r="Z105" s="43">
        <v>0.84988889999999995</v>
      </c>
      <c r="AA105" s="43">
        <v>1.3243830000000001</v>
      </c>
      <c r="AB105" s="43">
        <v>1.077685</v>
      </c>
      <c r="AC105" s="43">
        <v>73.349149999999995</v>
      </c>
      <c r="AD105" s="43">
        <v>1.396603</v>
      </c>
      <c r="AE105" s="43">
        <v>1.6847030000000001</v>
      </c>
      <c r="AF105" s="43">
        <v>1.7749919999999999</v>
      </c>
      <c r="AG105" s="43">
        <v>350.91219999999998</v>
      </c>
      <c r="AH105" s="43">
        <v>140.31059999999999</v>
      </c>
      <c r="AI105" s="43">
        <v>2.9467289999999999</v>
      </c>
      <c r="AJ105" s="43">
        <v>2.91714326681543</v>
      </c>
      <c r="AK105" s="43">
        <f t="shared" si="4"/>
        <v>34784.752248272445</v>
      </c>
      <c r="AL105" s="47">
        <v>4.4699914459402912E-3</v>
      </c>
      <c r="AM105" s="43">
        <v>2.5814782289067599</v>
      </c>
      <c r="AN105" s="43">
        <v>0.757388269097926</v>
      </c>
      <c r="AO105" s="43">
        <v>2.93954136501356</v>
      </c>
      <c r="AP105" s="43">
        <v>2.4015016717547999</v>
      </c>
      <c r="AQ105" s="43">
        <v>4.5045863373233104</v>
      </c>
      <c r="AR105" s="43">
        <v>2.69899200155383</v>
      </c>
      <c r="AS105" s="43">
        <v>2.2794771901124902</v>
      </c>
      <c r="AT105" s="43">
        <v>2.24529374867548</v>
      </c>
      <c r="AU105" s="43">
        <v>2.94631104681448</v>
      </c>
      <c r="AV105" s="43">
        <v>2485.3330000000001</v>
      </c>
      <c r="AW105" s="43">
        <v>1432.394</v>
      </c>
      <c r="AX105" s="43">
        <v>1.1768430000000001</v>
      </c>
      <c r="AY105" s="43">
        <v>1.787304</v>
      </c>
      <c r="AZ105" s="43">
        <v>237.73159999999999</v>
      </c>
      <c r="BA105" s="43">
        <v>0.77467560000000002</v>
      </c>
      <c r="BB105" s="43">
        <v>167.93360000000001</v>
      </c>
      <c r="BC105" s="43">
        <v>34.726379999999999</v>
      </c>
      <c r="BD105" s="43">
        <v>5.3</v>
      </c>
      <c r="BE105" s="43">
        <v>1.3728100000000001</v>
      </c>
      <c r="BF105" s="43">
        <v>2.7633869999999998</v>
      </c>
      <c r="BG105" s="43">
        <v>3.0946020000000001</v>
      </c>
      <c r="BH105" s="43">
        <v>2.7680829999999998</v>
      </c>
      <c r="BI105" s="43">
        <v>1.5069589999999999</v>
      </c>
      <c r="BJ105" s="43">
        <v>1.432965</v>
      </c>
      <c r="BK105" s="43">
        <v>94.683689999999999</v>
      </c>
      <c r="BL105" s="43">
        <v>97.067620000000005</v>
      </c>
      <c r="BM105" s="43">
        <v>1.1953739999999999</v>
      </c>
      <c r="BN105" s="43">
        <v>1.327194</v>
      </c>
      <c r="BO105" s="43">
        <v>41.871960000000001</v>
      </c>
      <c r="BP105" s="43">
        <v>1.29086287300145</v>
      </c>
      <c r="BQ105" s="43">
        <v>3537.1460000000002</v>
      </c>
      <c r="BR105" s="43">
        <v>643.17284008454999</v>
      </c>
      <c r="BS105" s="43">
        <v>13032.6</v>
      </c>
      <c r="BT105" s="43">
        <v>6837.1</v>
      </c>
      <c r="BU105" s="43">
        <v>1.1194219999999999</v>
      </c>
      <c r="BV105" s="43">
        <v>1.395103</v>
      </c>
      <c r="BW105" s="43">
        <v>1.4918979999999999</v>
      </c>
      <c r="BX105" s="43">
        <v>1.169842</v>
      </c>
      <c r="BY105" s="43">
        <v>2.1222150000000002</v>
      </c>
      <c r="BZ105" s="43">
        <v>2.4038520000000001</v>
      </c>
      <c r="CA105" s="43">
        <v>1.8448020000000001</v>
      </c>
      <c r="CB105" s="43">
        <v>0.76623649999999999</v>
      </c>
      <c r="CC105" s="43">
        <v>8.1524046135475796</v>
      </c>
      <c r="CD105" s="43">
        <v>1.0139</v>
      </c>
      <c r="CE105" s="43">
        <v>1.0888469999999999</v>
      </c>
      <c r="CF105" s="43">
        <v>1.1791579999999999</v>
      </c>
      <c r="CG105" s="43">
        <v>1.099248</v>
      </c>
      <c r="CH105" s="43">
        <v>1.0605969169349201</v>
      </c>
      <c r="CI105" s="43">
        <v>1.1033301270281499</v>
      </c>
      <c r="CJ105" s="43">
        <v>1.12307867407397</v>
      </c>
      <c r="CK105" s="43">
        <v>1.09899998106387</v>
      </c>
      <c r="CL105" s="43">
        <v>1.397416</v>
      </c>
      <c r="CM105" s="43">
        <v>1.279069</v>
      </c>
      <c r="CN105" s="43">
        <v>1.395972</v>
      </c>
      <c r="CO105" s="43">
        <v>1.7320759999999999</v>
      </c>
      <c r="CP105" s="43">
        <v>0.85481660914074498</v>
      </c>
      <c r="CQ105" s="43">
        <v>1.196485</v>
      </c>
      <c r="CR105" s="43">
        <v>1.9520511022820899</v>
      </c>
      <c r="CS105" s="43">
        <v>68.634597552371602</v>
      </c>
      <c r="CT105" s="43">
        <v>97.024340614780598</v>
      </c>
      <c r="CU105" s="43">
        <v>19.269449358834699</v>
      </c>
      <c r="CV105" s="43">
        <v>22.5422027985677</v>
      </c>
      <c r="CW105" s="43">
        <v>1.3830960000000001</v>
      </c>
      <c r="CX105" s="43">
        <v>1.341928</v>
      </c>
      <c r="CY105" s="43">
        <v>1.3146679999999999</v>
      </c>
      <c r="CZ105" s="43">
        <v>1.3511288479049</v>
      </c>
      <c r="DA105" s="43">
        <v>1.20987351344537</v>
      </c>
      <c r="DB105" s="43">
        <v>2.54645659242227</v>
      </c>
      <c r="DC105" s="43">
        <v>0.99818536021709003</v>
      </c>
      <c r="DD105" s="43">
        <v>1.2643104786555801</v>
      </c>
      <c r="DE105" s="43">
        <v>1.7238627418058401</v>
      </c>
      <c r="DF105" s="43">
        <v>1.3786899058511599</v>
      </c>
      <c r="DG105" s="43">
        <v>1.4760607481332999</v>
      </c>
      <c r="DH105" s="43">
        <v>1.20217797940391</v>
      </c>
      <c r="DI105" s="43">
        <v>2.1309421929607502</v>
      </c>
      <c r="DJ105" s="43">
        <v>1.1750857260502701</v>
      </c>
      <c r="DK105" s="43">
        <v>1.7523390000000001</v>
      </c>
      <c r="DL105" s="43">
        <v>1.9924230000000001</v>
      </c>
      <c r="DM105" s="43">
        <v>2.1730149999999999</v>
      </c>
      <c r="DN105" s="43">
        <v>1.6040083557275799</v>
      </c>
      <c r="DO105" s="43">
        <v>2.2974670000000001</v>
      </c>
      <c r="DP105" s="43">
        <v>1.6636230000000001</v>
      </c>
      <c r="DQ105" s="43">
        <v>1.348608</v>
      </c>
      <c r="DR105" s="43">
        <v>1.9815480000000001</v>
      </c>
      <c r="DS105" s="43">
        <v>0.91590490000000002</v>
      </c>
      <c r="DT105" s="43">
        <v>1.4175354321692599</v>
      </c>
      <c r="DU105" s="43">
        <v>595.50580000000002</v>
      </c>
      <c r="DV105" s="43">
        <v>317.01240000000001</v>
      </c>
      <c r="DW105" s="43">
        <v>109.9896</v>
      </c>
      <c r="DX105" s="43">
        <v>1.1114550000000001</v>
      </c>
      <c r="DY105" s="43">
        <v>1.238561</v>
      </c>
      <c r="DZ105" s="43">
        <v>1.0814319999999999</v>
      </c>
      <c r="EA105" s="43">
        <v>879.09519999999998</v>
      </c>
      <c r="EB105" s="43">
        <v>127.517908365135</v>
      </c>
      <c r="EC105" s="43">
        <v>1.321553002758</v>
      </c>
      <c r="ED105" s="43">
        <v>1.39239627603493</v>
      </c>
      <c r="EE105" s="43">
        <v>1.37883792339881</v>
      </c>
      <c r="EF105" s="43">
        <v>1.6398182501934</v>
      </c>
      <c r="EG105" s="43">
        <v>1.4747639467625699</v>
      </c>
      <c r="EH105" s="43">
        <v>0.65270835925055304</v>
      </c>
      <c r="EI105" s="43">
        <v>0.26961902125762399</v>
      </c>
      <c r="EJ105" s="43">
        <v>30.884636763190599</v>
      </c>
      <c r="EK105" s="43">
        <v>17.525236381745501</v>
      </c>
      <c r="EL105" s="43">
        <v>0.77189844365837701</v>
      </c>
      <c r="EM105" s="43">
        <v>2313.1410612670802</v>
      </c>
      <c r="EN105" s="43">
        <v>575.95343382814599</v>
      </c>
      <c r="EO105" s="43">
        <v>85596.951452023306</v>
      </c>
      <c r="EP105" s="43">
        <v>58030.325268034903</v>
      </c>
      <c r="EQ105" s="43">
        <v>4128.1184074770399</v>
      </c>
      <c r="ER105" s="43">
        <v>1.9401515907653399</v>
      </c>
      <c r="ES105" s="43">
        <v>2.0725529459727601</v>
      </c>
      <c r="ET105" s="43">
        <v>1.91306721371252</v>
      </c>
      <c r="EU105" s="43">
        <v>2.0894940000000002</v>
      </c>
      <c r="EV105" s="43">
        <v>1.866798</v>
      </c>
      <c r="EW105" s="43">
        <v>2.4762040000000001</v>
      </c>
      <c r="EX105" s="43">
        <v>2.0924040000000002</v>
      </c>
      <c r="EY105" s="43">
        <v>1.8670960000000001</v>
      </c>
      <c r="EZ105" s="43">
        <v>2.4771040000000002</v>
      </c>
      <c r="FA105" s="43">
        <v>15.9722789700095</v>
      </c>
      <c r="FB105" s="43">
        <v>15.665997209397799</v>
      </c>
      <c r="FC105" s="43">
        <v>67.958407889627907</v>
      </c>
      <c r="FD105" s="43">
        <v>15651.751689906199</v>
      </c>
      <c r="FE105" s="43">
        <v>159492.9</v>
      </c>
      <c r="FF105" s="43">
        <v>1.45809375</v>
      </c>
      <c r="FG105" s="43">
        <v>5.3928552455610799</v>
      </c>
      <c r="FH105" s="43">
        <v>894.95180194392594</v>
      </c>
      <c r="FI105" s="43">
        <v>14905.767550897001</v>
      </c>
      <c r="FJ105" s="43">
        <v>7.1642993377261703</v>
      </c>
      <c r="FK105" s="43">
        <v>18.281014188495099</v>
      </c>
      <c r="FL105" s="43">
        <v>1.113907</v>
      </c>
      <c r="FM105" s="43">
        <v>1.1421049999999999</v>
      </c>
    </row>
    <row r="106" spans="1:169" x14ac:dyDescent="0.25">
      <c r="A106" s="43" t="s">
        <v>333</v>
      </c>
      <c r="B106" s="43">
        <v>25094.83</v>
      </c>
      <c r="C106" s="43">
        <v>17358.75</v>
      </c>
      <c r="D106" s="43">
        <v>3.5554700000000001</v>
      </c>
      <c r="E106" s="43">
        <v>3.6522420000000002</v>
      </c>
      <c r="F106" s="43">
        <v>3.5101420000000001</v>
      </c>
      <c r="G106" s="43">
        <v>4.6425739999999998</v>
      </c>
      <c r="H106" s="43">
        <v>1.1256649999999999</v>
      </c>
      <c r="I106" s="43">
        <v>1.0910359999999999</v>
      </c>
      <c r="J106" s="43">
        <v>1.0958760000000001</v>
      </c>
      <c r="K106" s="43">
        <v>1.088679</v>
      </c>
      <c r="L106" s="43">
        <v>2.8526799999999999</v>
      </c>
      <c r="M106" s="43">
        <v>75.511790000000005</v>
      </c>
      <c r="N106" s="43">
        <v>80.628883733556194</v>
      </c>
      <c r="O106" s="43">
        <v>2.4790677525176901</v>
      </c>
      <c r="P106" s="43">
        <v>1.3297810000000001</v>
      </c>
      <c r="Q106" s="43">
        <v>-656.40719999999999</v>
      </c>
      <c r="R106" s="43">
        <v>6.6522420000000002</v>
      </c>
      <c r="S106" s="43">
        <v>3677.7150000000001</v>
      </c>
      <c r="T106" s="43">
        <v>3.190839</v>
      </c>
      <c r="U106" s="43">
        <v>4.4064350000000001</v>
      </c>
      <c r="V106" s="43">
        <v>2999.6080000000002</v>
      </c>
      <c r="W106" s="43">
        <v>1.9179820000000001</v>
      </c>
      <c r="X106" s="43">
        <v>21404.9</v>
      </c>
      <c r="Y106" s="43">
        <v>1.3270379999999999</v>
      </c>
      <c r="Z106" s="43">
        <v>0.85179890000000003</v>
      </c>
      <c r="AA106" s="43">
        <v>1.3274859999999999</v>
      </c>
      <c r="AB106" s="43">
        <v>1.0804</v>
      </c>
      <c r="AC106" s="43">
        <v>73.658199999999994</v>
      </c>
      <c r="AD106" s="43">
        <v>1.4001980000000001</v>
      </c>
      <c r="AE106" s="43">
        <v>1.6922980000000001</v>
      </c>
      <c r="AF106" s="43">
        <v>1.7819910000000001</v>
      </c>
      <c r="AG106" s="43">
        <v>351.48110000000003</v>
      </c>
      <c r="AH106" s="43">
        <v>142.07409999999999</v>
      </c>
      <c r="AI106" s="43">
        <v>2.9551780000000001</v>
      </c>
      <c r="AJ106" s="43">
        <v>2.92463060059247</v>
      </c>
      <c r="AK106" s="43">
        <f t="shared" si="4"/>
        <v>34940.363252322968</v>
      </c>
      <c r="AL106" s="47">
        <v>4.4735406749447648E-3</v>
      </c>
      <c r="AM106" s="43">
        <v>2.5744141006528301</v>
      </c>
      <c r="AN106" s="43">
        <v>0.75981196113497396</v>
      </c>
      <c r="AO106" s="43">
        <v>2.9436437652254099</v>
      </c>
      <c r="AP106" s="43">
        <v>2.4109610946736701</v>
      </c>
      <c r="AQ106" s="43">
        <v>4.5181578002573604</v>
      </c>
      <c r="AR106" s="43">
        <v>2.7053298194439099</v>
      </c>
      <c r="AS106" s="43">
        <v>2.2852599904630599</v>
      </c>
      <c r="AT106" s="43">
        <v>2.2503424152506102</v>
      </c>
      <c r="AU106" s="43">
        <v>2.95379939732367</v>
      </c>
      <c r="AV106" s="43">
        <v>2493.3710000000001</v>
      </c>
      <c r="AW106" s="43">
        <v>1437.664</v>
      </c>
      <c r="AX106" s="43">
        <v>1.1808639999999999</v>
      </c>
      <c r="AY106" s="43">
        <v>1.7919929999999999</v>
      </c>
      <c r="AZ106" s="43">
        <v>238.50020000000001</v>
      </c>
      <c r="BA106" s="43">
        <v>0.7762249</v>
      </c>
      <c r="BB106" s="43">
        <v>168.4254</v>
      </c>
      <c r="BC106" s="43">
        <v>34.83766</v>
      </c>
      <c r="BD106" s="43">
        <v>5.4</v>
      </c>
      <c r="BE106" s="43">
        <v>1.3753059999999999</v>
      </c>
      <c r="BF106" s="43">
        <v>2.7638340000000001</v>
      </c>
      <c r="BG106" s="43">
        <v>3.0949490000000002</v>
      </c>
      <c r="BH106" s="43">
        <v>2.7642829999999998</v>
      </c>
      <c r="BI106" s="43">
        <v>1.510224</v>
      </c>
      <c r="BJ106" s="43">
        <v>1.4364060000000001</v>
      </c>
      <c r="BK106" s="43">
        <v>94.892849999999996</v>
      </c>
      <c r="BL106" s="43">
        <v>97.280820000000006</v>
      </c>
      <c r="BM106" s="43">
        <v>1.199743</v>
      </c>
      <c r="BN106" s="43">
        <v>1.3298859999999999</v>
      </c>
      <c r="BO106" s="43">
        <v>41.982930000000003</v>
      </c>
      <c r="BP106" s="43">
        <v>1.2882863796437201</v>
      </c>
      <c r="BQ106" s="43">
        <v>3555.2579999999998</v>
      </c>
      <c r="BR106" s="43">
        <v>644.21911594154994</v>
      </c>
      <c r="BS106" s="43">
        <v>13084.1</v>
      </c>
      <c r="BT106" s="43">
        <v>6883.9570000000003</v>
      </c>
      <c r="BU106" s="43">
        <v>1.117057</v>
      </c>
      <c r="BV106" s="43">
        <v>1.3959490000000001</v>
      </c>
      <c r="BW106" s="43">
        <v>1.488531</v>
      </c>
      <c r="BX106" s="43">
        <v>1.1745209999999999</v>
      </c>
      <c r="BY106" s="43">
        <v>2.1657929999999999</v>
      </c>
      <c r="BZ106" s="43">
        <v>2.4260489999999999</v>
      </c>
      <c r="CA106" s="43">
        <v>1.8998699999999999</v>
      </c>
      <c r="CB106" s="43">
        <v>0.76470400000000005</v>
      </c>
      <c r="CC106" s="43">
        <v>8.0955649189785799</v>
      </c>
      <c r="CD106" s="43">
        <v>1.0125379999999999</v>
      </c>
      <c r="CE106" s="43">
        <v>1.0864259999999999</v>
      </c>
      <c r="CF106" s="43">
        <v>1.1768099999999999</v>
      </c>
      <c r="CG106" s="43">
        <v>1.0960780000000001</v>
      </c>
      <c r="CH106" s="43">
        <v>1.06095948169011</v>
      </c>
      <c r="CI106" s="43">
        <v>1.10363107033615</v>
      </c>
      <c r="CJ106" s="43">
        <v>1.1229876561683501</v>
      </c>
      <c r="CK106" s="43">
        <v>1.0986852448561599</v>
      </c>
      <c r="CL106" s="43">
        <v>1.398264</v>
      </c>
      <c r="CM106" s="43">
        <v>1.2812520000000001</v>
      </c>
      <c r="CN106" s="43">
        <v>1.3975949999999999</v>
      </c>
      <c r="CO106" s="43">
        <v>1.727026</v>
      </c>
      <c r="CP106" s="43">
        <v>0.85141096527962701</v>
      </c>
      <c r="CQ106" s="43">
        <v>1.1986889999999999</v>
      </c>
      <c r="CR106" s="43">
        <v>2.2528156464208502</v>
      </c>
      <c r="CS106" s="43">
        <v>68.648315729005901</v>
      </c>
      <c r="CT106" s="43">
        <v>96.2481458898624</v>
      </c>
      <c r="CU106" s="43">
        <v>19.0967152510364</v>
      </c>
      <c r="CV106" s="43">
        <v>22.4294917845749</v>
      </c>
      <c r="CW106" s="43">
        <v>1.380401</v>
      </c>
      <c r="CX106" s="43">
        <v>1.339539</v>
      </c>
      <c r="CY106" s="43">
        <v>1.312073</v>
      </c>
      <c r="CZ106" s="43">
        <v>1.3480276570204499</v>
      </c>
      <c r="DA106" s="43">
        <v>1.2077202219432299</v>
      </c>
      <c r="DB106" s="43">
        <v>2.5396237473483598</v>
      </c>
      <c r="DC106" s="43">
        <v>0.99865326163457302</v>
      </c>
      <c r="DD106" s="43">
        <v>1.2636859757946399</v>
      </c>
      <c r="DE106" s="43">
        <v>1.7214105568582501</v>
      </c>
      <c r="DF106" s="43">
        <v>1.3796966961796</v>
      </c>
      <c r="DG106" s="43">
        <v>1.4767201834217101</v>
      </c>
      <c r="DH106" s="43">
        <v>1.20028561275406</v>
      </c>
      <c r="DI106" s="43">
        <v>2.1289814054792502</v>
      </c>
      <c r="DJ106" s="43">
        <v>1.1778654282749399</v>
      </c>
      <c r="DK106" s="43">
        <v>1.7549509999999999</v>
      </c>
      <c r="DL106" s="43">
        <v>1.9857070000000001</v>
      </c>
      <c r="DM106" s="43">
        <v>2.1636449999999998</v>
      </c>
      <c r="DN106" s="43">
        <v>1.5998221593280899</v>
      </c>
      <c r="DO106" s="43">
        <v>2.2881960000000001</v>
      </c>
      <c r="DP106" s="43">
        <v>1.660461</v>
      </c>
      <c r="DQ106" s="43">
        <v>1.346983</v>
      </c>
      <c r="DR106" s="43">
        <v>1.9746809999999999</v>
      </c>
      <c r="DS106" s="43">
        <v>0.91547500000000004</v>
      </c>
      <c r="DT106" s="43">
        <v>1.41455127493388</v>
      </c>
      <c r="DU106" s="43">
        <v>596.41189999999995</v>
      </c>
      <c r="DV106" s="43">
        <v>317.19369999999998</v>
      </c>
      <c r="DW106" s="43">
        <v>109.85339999999999</v>
      </c>
      <c r="DX106" s="43">
        <v>1.1117109999999999</v>
      </c>
      <c r="DY106" s="43">
        <v>1.2385109999999999</v>
      </c>
      <c r="DZ106" s="43">
        <v>1.0812919999999999</v>
      </c>
      <c r="EA106" s="43">
        <v>881.45079999999996</v>
      </c>
      <c r="EB106" s="43">
        <v>126.625283006576</v>
      </c>
      <c r="EC106" s="43">
        <v>1.3185705404116399</v>
      </c>
      <c r="ED106" s="43">
        <v>1.3889397015340199</v>
      </c>
      <c r="EE106" s="43">
        <v>1.3755867606149801</v>
      </c>
      <c r="EF106" s="43">
        <v>1.6353743663353</v>
      </c>
      <c r="EG106" s="43">
        <v>1.47123530700801</v>
      </c>
      <c r="EH106" s="43">
        <v>0.65389497720934797</v>
      </c>
      <c r="EI106" s="43">
        <v>0.27010918622659102</v>
      </c>
      <c r="EJ106" s="43">
        <v>30.940784756570299</v>
      </c>
      <c r="EK106" s="43">
        <v>17.557097104728399</v>
      </c>
      <c r="EL106" s="43">
        <v>0.77330174812449803</v>
      </c>
      <c r="EM106" s="43">
        <v>2322.88725936435</v>
      </c>
      <c r="EN106" s="43">
        <v>578.38015840404205</v>
      </c>
      <c r="EO106" s="43">
        <v>85957.606000655403</v>
      </c>
      <c r="EP106" s="43">
        <v>58274.830480095501</v>
      </c>
      <c r="EQ106" s="43">
        <v>4145.5118386179001</v>
      </c>
      <c r="ER106" s="43">
        <v>1.9357730837712099</v>
      </c>
      <c r="ES106" s="43">
        <v>2.06787563745065</v>
      </c>
      <c r="ET106" s="43">
        <v>1.9087498303619801</v>
      </c>
      <c r="EU106" s="43">
        <v>2.0989960000000001</v>
      </c>
      <c r="EV106" s="43">
        <v>1.8710770000000001</v>
      </c>
      <c r="EW106" s="43">
        <v>2.488677</v>
      </c>
      <c r="EX106" s="43">
        <v>2.098894</v>
      </c>
      <c r="EY106" s="43">
        <v>1.871067</v>
      </c>
      <c r="EZ106" s="43">
        <v>2.4882010000000001</v>
      </c>
      <c r="FA106" s="43">
        <v>16.045262910918701</v>
      </c>
      <c r="FB106" s="43">
        <v>15.737094619859301</v>
      </c>
      <c r="FC106" s="43">
        <v>68.169201750077804</v>
      </c>
      <c r="FD106" s="43">
        <v>15685.0352572062</v>
      </c>
      <c r="FE106" s="43">
        <v>160207.4</v>
      </c>
      <c r="FF106" s="43">
        <v>1.468375</v>
      </c>
      <c r="FG106" s="43">
        <v>5.4198195217888898</v>
      </c>
      <c r="FH106" s="43">
        <v>897.636657349757</v>
      </c>
      <c r="FI106" s="43">
        <v>14868.5031320198</v>
      </c>
      <c r="FJ106" s="43">
        <v>7.1786278790872302</v>
      </c>
      <c r="FK106" s="43">
        <v>18.317576216872101</v>
      </c>
      <c r="FL106" s="43">
        <v>1.112352</v>
      </c>
      <c r="FM106" s="43">
        <v>1.14303</v>
      </c>
    </row>
    <row r="107" spans="1:169" x14ac:dyDescent="0.25">
      <c r="A107" s="43" t="s">
        <v>334</v>
      </c>
      <c r="B107" s="43">
        <v>25156.21</v>
      </c>
      <c r="C107" s="43">
        <v>17420.900000000001</v>
      </c>
      <c r="D107" s="43">
        <v>3.5704859999999998</v>
      </c>
      <c r="E107" s="43">
        <v>3.6522420000000002</v>
      </c>
      <c r="F107" s="43">
        <v>3.5048650000000001</v>
      </c>
      <c r="G107" s="43">
        <v>4.695811</v>
      </c>
      <c r="H107" s="43">
        <v>1.1291150000000001</v>
      </c>
      <c r="I107" s="43">
        <v>1.09432</v>
      </c>
      <c r="J107" s="43">
        <v>1.098932</v>
      </c>
      <c r="K107" s="43">
        <v>1.0912649999999999</v>
      </c>
      <c r="L107" s="43">
        <v>2.8627500000000001</v>
      </c>
      <c r="M107" s="43">
        <v>75.818640000000002</v>
      </c>
      <c r="N107" s="43">
        <v>80.956525904817298</v>
      </c>
      <c r="O107" s="43">
        <v>2.49559487086781</v>
      </c>
      <c r="P107" s="43">
        <v>1.286969</v>
      </c>
      <c r="Q107" s="43">
        <v>-648.1223</v>
      </c>
      <c r="R107" s="43">
        <v>6.6522420000000002</v>
      </c>
      <c r="S107" s="43">
        <v>3687.1170000000002</v>
      </c>
      <c r="T107" s="43">
        <v>3.191322</v>
      </c>
      <c r="U107" s="43">
        <v>4.4041839999999999</v>
      </c>
      <c r="V107" s="43">
        <v>3008.4839999999999</v>
      </c>
      <c r="W107" s="43">
        <v>1.9269259999999999</v>
      </c>
      <c r="X107" s="43">
        <v>21570.2</v>
      </c>
      <c r="Y107" s="43">
        <v>1.327596</v>
      </c>
      <c r="Z107" s="43">
        <v>0.85412719999999998</v>
      </c>
      <c r="AA107" s="43">
        <v>1.3303700000000001</v>
      </c>
      <c r="AB107" s="43">
        <v>1.0846769999999999</v>
      </c>
      <c r="AC107" s="43">
        <v>73.958420000000004</v>
      </c>
      <c r="AD107" s="43">
        <v>1.405197</v>
      </c>
      <c r="AE107" s="43">
        <v>1.70211</v>
      </c>
      <c r="AF107" s="43">
        <v>1.7919080000000001</v>
      </c>
      <c r="AG107" s="43">
        <v>352.05070000000001</v>
      </c>
      <c r="AH107" s="43">
        <v>143.3931</v>
      </c>
      <c r="AI107" s="43">
        <v>2.9670909999999999</v>
      </c>
      <c r="AJ107" s="43">
        <v>2.9355361342337201</v>
      </c>
      <c r="AK107" s="43">
        <f t="shared" si="4"/>
        <v>35150.884088590683</v>
      </c>
      <c r="AL107" s="47">
        <v>6.0251473273884582E-3</v>
      </c>
      <c r="AM107" s="43">
        <v>2.5670249710829598</v>
      </c>
      <c r="AN107" s="43">
        <v>0.76267660385715397</v>
      </c>
      <c r="AO107" s="43">
        <v>2.95042409798056</v>
      </c>
      <c r="AP107" s="43">
        <v>2.42068499146608</v>
      </c>
      <c r="AQ107" s="43">
        <v>4.5381561282655296</v>
      </c>
      <c r="AR107" s="43">
        <v>2.7143865149942599</v>
      </c>
      <c r="AS107" s="43">
        <v>2.29282902109966</v>
      </c>
      <c r="AT107" s="43">
        <v>2.25690972814269</v>
      </c>
      <c r="AU107" s="43">
        <v>2.9647971344065902</v>
      </c>
      <c r="AV107" s="43">
        <v>2503.2849999999999</v>
      </c>
      <c r="AW107" s="43">
        <v>1444.837</v>
      </c>
      <c r="AX107" s="43">
        <v>1.1846270000000001</v>
      </c>
      <c r="AY107" s="43">
        <v>1.7983849999999999</v>
      </c>
      <c r="AZ107" s="43">
        <v>237.45769999999999</v>
      </c>
      <c r="BA107" s="43">
        <v>0.77777739999999995</v>
      </c>
      <c r="BB107" s="43">
        <v>169.14400000000001</v>
      </c>
      <c r="BC107" s="43">
        <v>34.988390000000003</v>
      </c>
      <c r="BD107" s="43">
        <v>5.4</v>
      </c>
      <c r="BE107" s="43">
        <v>1.379227</v>
      </c>
      <c r="BF107" s="43">
        <v>2.7644060000000001</v>
      </c>
      <c r="BG107" s="43">
        <v>3.0973950000000001</v>
      </c>
      <c r="BH107" s="43">
        <v>2.758985</v>
      </c>
      <c r="BI107" s="43">
        <v>1.5149159999999999</v>
      </c>
      <c r="BJ107" s="43">
        <v>1.441228</v>
      </c>
      <c r="BK107" s="43">
        <v>95.089449999999999</v>
      </c>
      <c r="BL107" s="43">
        <v>97.481160000000003</v>
      </c>
      <c r="BM107" s="43">
        <v>1.204815</v>
      </c>
      <c r="BN107" s="43">
        <v>1.3327720000000001</v>
      </c>
      <c r="BO107" s="43">
        <v>42.094180000000001</v>
      </c>
      <c r="BP107" s="43">
        <v>1.28571492870391</v>
      </c>
      <c r="BQ107" s="43">
        <v>3578.42</v>
      </c>
      <c r="BR107" s="43">
        <v>646.14128811127398</v>
      </c>
      <c r="BS107" s="43">
        <v>13117.34</v>
      </c>
      <c r="BT107" s="43">
        <v>6900.6149999999998</v>
      </c>
      <c r="BU107" s="43">
        <v>1.117769</v>
      </c>
      <c r="BV107" s="43">
        <v>1.4006890000000001</v>
      </c>
      <c r="BW107" s="43">
        <v>1.4917149999999999</v>
      </c>
      <c r="BX107" s="43">
        <v>1.179219</v>
      </c>
      <c r="BY107" s="43">
        <v>2.1740390000000001</v>
      </c>
      <c r="BZ107" s="43">
        <v>2.425128</v>
      </c>
      <c r="CA107" s="43">
        <v>1.9254690000000001</v>
      </c>
      <c r="CB107" s="43">
        <v>0.76088049999999996</v>
      </c>
      <c r="CC107" s="43">
        <v>8.0068686766684998</v>
      </c>
      <c r="CD107" s="43">
        <v>1.0136050000000001</v>
      </c>
      <c r="CE107" s="43">
        <v>1.087259</v>
      </c>
      <c r="CF107" s="43">
        <v>1.1786989999999999</v>
      </c>
      <c r="CG107" s="43">
        <v>1.095917</v>
      </c>
      <c r="CH107" s="43">
        <v>1.06185474200498</v>
      </c>
      <c r="CI107" s="43">
        <v>1.10492389369232</v>
      </c>
      <c r="CJ107" s="43">
        <v>1.1248240436799799</v>
      </c>
      <c r="CK107" s="43">
        <v>1.0995131079068701</v>
      </c>
      <c r="CL107" s="43">
        <v>1.403014</v>
      </c>
      <c r="CM107" s="43">
        <v>1.2838320000000001</v>
      </c>
      <c r="CN107" s="43">
        <v>1.4038900000000001</v>
      </c>
      <c r="CO107" s="43">
        <v>1.7318100000000001</v>
      </c>
      <c r="CP107" s="43">
        <v>0.84801888972074402</v>
      </c>
      <c r="CQ107" s="43">
        <v>1.200914</v>
      </c>
      <c r="CR107" s="43">
        <v>2.2532638941946002</v>
      </c>
      <c r="CS107" s="43">
        <v>68.652663213451802</v>
      </c>
      <c r="CT107" s="43">
        <v>96.729386619311697</v>
      </c>
      <c r="CU107" s="43">
        <v>18.925529556554999</v>
      </c>
      <c r="CV107" s="43">
        <v>22.317344325652002</v>
      </c>
      <c r="CW107" s="43">
        <v>1.3828180000000001</v>
      </c>
      <c r="CX107" s="43">
        <v>1.3417790000000001</v>
      </c>
      <c r="CY107" s="43">
        <v>1.3134140000000001</v>
      </c>
      <c r="CZ107" s="43">
        <v>1.34943632967149</v>
      </c>
      <c r="DA107" s="43">
        <v>1.2085106475209499</v>
      </c>
      <c r="DB107" s="43">
        <v>2.5437642445606201</v>
      </c>
      <c r="DC107" s="43">
        <v>0.99825097216353198</v>
      </c>
      <c r="DD107" s="43">
        <v>1.26777146073243</v>
      </c>
      <c r="DE107" s="43">
        <v>1.7279374655525901</v>
      </c>
      <c r="DF107" s="43">
        <v>1.3843015419795399</v>
      </c>
      <c r="DG107" s="43">
        <v>1.4822789567057799</v>
      </c>
      <c r="DH107" s="43">
        <v>1.20189150827383</v>
      </c>
      <c r="DI107" s="43">
        <v>2.1399774375919001</v>
      </c>
      <c r="DJ107" s="43">
        <v>1.17963946458122</v>
      </c>
      <c r="DK107" s="43">
        <v>1.7644979999999999</v>
      </c>
      <c r="DL107" s="43">
        <v>1.992046</v>
      </c>
      <c r="DM107" s="43">
        <v>2.1695489999999999</v>
      </c>
      <c r="DN107" s="43">
        <v>1.60373256186777</v>
      </c>
      <c r="DO107" s="43">
        <v>2.2974459999999999</v>
      </c>
      <c r="DP107" s="43">
        <v>1.6666300000000001</v>
      </c>
      <c r="DQ107" s="43">
        <v>1.3489089999999999</v>
      </c>
      <c r="DR107" s="43">
        <v>1.981274</v>
      </c>
      <c r="DS107" s="43">
        <v>0.9164795</v>
      </c>
      <c r="DT107" s="43">
        <v>1.4174680777412001</v>
      </c>
      <c r="DU107" s="43">
        <v>598.2011</v>
      </c>
      <c r="DV107" s="43">
        <v>317.81279999999998</v>
      </c>
      <c r="DW107" s="43">
        <v>110.03530000000001</v>
      </c>
      <c r="DX107" s="43">
        <v>1.1128260000000001</v>
      </c>
      <c r="DY107" s="43">
        <v>1.239447</v>
      </c>
      <c r="DZ107" s="43">
        <v>1.0815140000000001</v>
      </c>
      <c r="EA107" s="43">
        <v>884.11</v>
      </c>
      <c r="EB107" s="43">
        <v>125.485655459518</v>
      </c>
      <c r="EC107" s="43">
        <v>1.32139073378098</v>
      </c>
      <c r="ED107" s="43">
        <v>1.3922074723951801</v>
      </c>
      <c r="EE107" s="43">
        <v>1.3786618386684499</v>
      </c>
      <c r="EF107" s="43">
        <v>1.6395690234300699</v>
      </c>
      <c r="EG107" s="43">
        <v>1.47457018720816</v>
      </c>
      <c r="EH107" s="43">
        <v>0.65575916803108703</v>
      </c>
      <c r="EI107" s="43">
        <v>0.27087924117942203</v>
      </c>
      <c r="EJ107" s="43">
        <v>31.028993917017999</v>
      </c>
      <c r="EK107" s="43">
        <v>17.6071506766624</v>
      </c>
      <c r="EL107" s="43">
        <v>0.77550635600731299</v>
      </c>
      <c r="EM107" s="43">
        <v>2332.35499465884</v>
      </c>
      <c r="EN107" s="43">
        <v>580.73754799205597</v>
      </c>
      <c r="EO107" s="43">
        <v>86307.956133612301</v>
      </c>
      <c r="EP107" s="43">
        <v>58512.3498289544</v>
      </c>
      <c r="EQ107" s="43">
        <v>4162.4083145833101</v>
      </c>
      <c r="ER107" s="43">
        <v>1.9399133661816499</v>
      </c>
      <c r="ES107" s="43">
        <v>2.07229846427912</v>
      </c>
      <c r="ET107" s="43">
        <v>1.9128323147269399</v>
      </c>
      <c r="EU107" s="43">
        <v>2.1119680000000001</v>
      </c>
      <c r="EV107" s="43">
        <v>1.8777699999999999</v>
      </c>
      <c r="EW107" s="43">
        <v>2.5071889999999999</v>
      </c>
      <c r="EX107" s="43">
        <v>2.1096529999999998</v>
      </c>
      <c r="EY107" s="43">
        <v>1.87714</v>
      </c>
      <c r="EZ107" s="43">
        <v>2.5059559999999999</v>
      </c>
      <c r="FA107" s="43">
        <v>16.144893485935601</v>
      </c>
      <c r="FB107" s="43">
        <v>15.8340869645577</v>
      </c>
      <c r="FC107" s="43">
        <v>68.518619984973796</v>
      </c>
      <c r="FD107" s="43">
        <v>15735.946268624301</v>
      </c>
      <c r="FE107" s="43">
        <v>161350.6</v>
      </c>
      <c r="FF107" s="43">
        <v>1.477625</v>
      </c>
      <c r="FG107" s="43">
        <v>5.4469186193978301</v>
      </c>
      <c r="FH107" s="43">
        <v>898.53424454732794</v>
      </c>
      <c r="FI107" s="43">
        <v>14794.160616359701</v>
      </c>
      <c r="FJ107" s="43">
        <v>7.1929848261644098</v>
      </c>
      <c r="FK107" s="43">
        <v>18.280941064438299</v>
      </c>
      <c r="FL107" s="43">
        <v>1.1096919999999999</v>
      </c>
      <c r="FM107" s="43">
        <v>1.142725</v>
      </c>
    </row>
    <row r="108" spans="1:169" x14ac:dyDescent="0.25">
      <c r="A108" s="43" t="s">
        <v>335</v>
      </c>
      <c r="B108" s="43">
        <v>25267.41</v>
      </c>
      <c r="C108" s="43">
        <v>17503.07</v>
      </c>
      <c r="D108" s="43">
        <v>3.5821390000000002</v>
      </c>
      <c r="E108" s="43">
        <v>4.1703429999999999</v>
      </c>
      <c r="F108" s="43">
        <v>3.7012499999999999</v>
      </c>
      <c r="G108" s="43">
        <v>4.3401820000000004</v>
      </c>
      <c r="H108" s="43">
        <v>1.1372930000000001</v>
      </c>
      <c r="I108" s="43">
        <v>1.101761</v>
      </c>
      <c r="J108" s="43">
        <v>1.105318</v>
      </c>
      <c r="K108" s="43">
        <v>1.0961989999999999</v>
      </c>
      <c r="L108" s="43">
        <v>2.8709310000000001</v>
      </c>
      <c r="M108" s="43">
        <v>76.125489999999999</v>
      </c>
      <c r="N108" s="43">
        <v>81.284168076078203</v>
      </c>
      <c r="O108" s="43">
        <v>2.5066129497678902</v>
      </c>
      <c r="P108" s="43">
        <v>1.2635940000000001</v>
      </c>
      <c r="Q108" s="43">
        <v>-635.46090000000004</v>
      </c>
      <c r="R108" s="43">
        <v>7.1703429999999999</v>
      </c>
      <c r="S108" s="43">
        <v>3697.3020000000001</v>
      </c>
      <c r="T108" s="43">
        <v>3.5857030000000001</v>
      </c>
      <c r="U108" s="43">
        <v>4.5540929999999999</v>
      </c>
      <c r="V108" s="43">
        <v>3026.33</v>
      </c>
      <c r="W108" s="43">
        <v>1.9318360000000001</v>
      </c>
      <c r="X108" s="43">
        <v>21644.58</v>
      </c>
      <c r="Y108" s="43">
        <v>1.3282119999999999</v>
      </c>
      <c r="Z108" s="43">
        <v>0.86009000000000002</v>
      </c>
      <c r="AA108" s="43">
        <v>1.3326979999999999</v>
      </c>
      <c r="AB108" s="43">
        <v>1.088632</v>
      </c>
      <c r="AC108" s="43">
        <v>74.25864</v>
      </c>
      <c r="AD108" s="43">
        <v>1.4092249999999999</v>
      </c>
      <c r="AE108" s="43">
        <v>1.7101999999999999</v>
      </c>
      <c r="AF108" s="43">
        <v>1.803396</v>
      </c>
      <c r="AG108" s="43">
        <v>352.61709999999999</v>
      </c>
      <c r="AH108" s="43">
        <v>145.3039</v>
      </c>
      <c r="AI108" s="43">
        <v>2.9796320000000001</v>
      </c>
      <c r="AJ108" s="43">
        <v>2.9456587482604699</v>
      </c>
      <c r="AK108" s="43">
        <f t="shared" si="4"/>
        <v>35407.454804068439</v>
      </c>
      <c r="AL108" s="47">
        <v>7.2991255307013336E-3</v>
      </c>
      <c r="AM108" s="43">
        <v>2.5572907293528702</v>
      </c>
      <c r="AN108" s="43">
        <v>0.76052849405571898</v>
      </c>
      <c r="AO108" s="43">
        <v>2.95551631237984</v>
      </c>
      <c r="AP108" s="43">
        <v>2.43355671388223</v>
      </c>
      <c r="AQ108" s="43">
        <v>4.55397370956078</v>
      </c>
      <c r="AR108" s="43">
        <v>2.7211214185427699</v>
      </c>
      <c r="AS108" s="43">
        <v>2.2992627631782998</v>
      </c>
      <c r="AT108" s="43">
        <v>2.2630881492124399</v>
      </c>
      <c r="AU108" s="43">
        <v>2.9658631008159899</v>
      </c>
      <c r="AV108" s="43">
        <v>2518.7860000000001</v>
      </c>
      <c r="AW108" s="43">
        <v>1455.0640000000001</v>
      </c>
      <c r="AX108" s="43">
        <v>1.1929510000000001</v>
      </c>
      <c r="AY108" s="43">
        <v>1.803261</v>
      </c>
      <c r="AZ108" s="43">
        <v>232.89359999999999</v>
      </c>
      <c r="BA108" s="43">
        <v>0.7793329</v>
      </c>
      <c r="BB108" s="43">
        <v>169.31100000000001</v>
      </c>
      <c r="BC108" s="43">
        <v>35.078209999999999</v>
      </c>
      <c r="BD108" s="43">
        <v>5.5</v>
      </c>
      <c r="BE108" s="43">
        <v>1.3819710000000001</v>
      </c>
      <c r="BF108" s="43">
        <v>3.0827559999999998</v>
      </c>
      <c r="BG108" s="43">
        <v>3.4333999999999998</v>
      </c>
      <c r="BH108" s="43">
        <v>2.891159</v>
      </c>
      <c r="BI108" s="43">
        <v>1.518554</v>
      </c>
      <c r="BJ108" s="43">
        <v>1.4451879999999999</v>
      </c>
      <c r="BK108" s="43">
        <v>95.284869999999998</v>
      </c>
      <c r="BL108" s="43">
        <v>97.680310000000006</v>
      </c>
      <c r="BM108" s="43">
        <v>1.217317</v>
      </c>
      <c r="BN108" s="43">
        <v>1.3398760000000001</v>
      </c>
      <c r="BO108" s="43">
        <v>42.205730000000003</v>
      </c>
      <c r="BP108" s="43">
        <v>1.28314861935324</v>
      </c>
      <c r="BQ108" s="43">
        <v>3605.6</v>
      </c>
      <c r="BR108" s="43">
        <v>646.83727423518201</v>
      </c>
      <c r="BS108" s="43">
        <v>13171.78</v>
      </c>
      <c r="BT108" s="43">
        <v>6926.5990000000002</v>
      </c>
      <c r="BU108" s="43">
        <v>1.122662</v>
      </c>
      <c r="BV108" s="43">
        <v>1.4038820000000001</v>
      </c>
      <c r="BW108" s="43">
        <v>1.493134</v>
      </c>
      <c r="BX108" s="43">
        <v>1.1839360000000001</v>
      </c>
      <c r="BY108" s="43">
        <v>2.2318020000000001</v>
      </c>
      <c r="BZ108" s="43">
        <v>2.4574029999999998</v>
      </c>
      <c r="CA108" s="43">
        <v>1.9900139999999999</v>
      </c>
      <c r="CB108" s="43">
        <v>0.75707610000000003</v>
      </c>
      <c r="CC108" s="43">
        <v>7.8154692420091099</v>
      </c>
      <c r="CD108" s="43">
        <v>1.018891</v>
      </c>
      <c r="CE108" s="43">
        <v>1.0923080000000001</v>
      </c>
      <c r="CF108" s="43">
        <v>1.185767</v>
      </c>
      <c r="CG108" s="43">
        <v>1.098862</v>
      </c>
      <c r="CH108" s="43">
        <v>1.0641792540786801</v>
      </c>
      <c r="CI108" s="43">
        <v>1.10831028240498</v>
      </c>
      <c r="CJ108" s="43">
        <v>1.1294973480441399</v>
      </c>
      <c r="CK108" s="43">
        <v>1.1024164817200299</v>
      </c>
      <c r="CL108" s="43">
        <v>1.4062140000000001</v>
      </c>
      <c r="CM108" s="43">
        <v>1.286033</v>
      </c>
      <c r="CN108" s="43">
        <v>1.408323</v>
      </c>
      <c r="CO108" s="43">
        <v>1.733943</v>
      </c>
      <c r="CP108" s="43">
        <v>0.844640328407115</v>
      </c>
      <c r="CQ108" s="43">
        <v>1.204888</v>
      </c>
      <c r="CR108" s="43">
        <v>2.23910987976278</v>
      </c>
      <c r="CS108" s="43">
        <v>68.655886418077898</v>
      </c>
      <c r="CT108" s="43">
        <v>97.309762939027493</v>
      </c>
      <c r="CU108" s="43">
        <v>18.897483240411301</v>
      </c>
      <c r="CV108" s="43">
        <v>22.3734086626547</v>
      </c>
      <c r="CW108" s="43">
        <v>1.3838729999999999</v>
      </c>
      <c r="CX108" s="43">
        <v>1.3427750000000001</v>
      </c>
      <c r="CY108" s="43">
        <v>1.3138030000000001</v>
      </c>
      <c r="CZ108" s="43">
        <v>1.34968656378354</v>
      </c>
      <c r="DA108" s="43">
        <v>1.20860423098926</v>
      </c>
      <c r="DB108" s="43">
        <v>2.5460376392376798</v>
      </c>
      <c r="DC108" s="43">
        <v>0.99790199219717801</v>
      </c>
      <c r="DD108" s="43">
        <v>1.2705055210282501</v>
      </c>
      <c r="DE108" s="43">
        <v>1.73166547898795</v>
      </c>
      <c r="DF108" s="43">
        <v>1.38743102635423</v>
      </c>
      <c r="DG108" s="43">
        <v>1.4860828799733901</v>
      </c>
      <c r="DH108" s="43">
        <v>1.2025929556822601</v>
      </c>
      <c r="DI108" s="43">
        <v>2.1466553031238602</v>
      </c>
      <c r="DJ108" s="43">
        <v>1.18114751733264</v>
      </c>
      <c r="DK108" s="43">
        <v>1.7711159999999999</v>
      </c>
      <c r="DL108" s="43">
        <v>1.994872</v>
      </c>
      <c r="DM108" s="43">
        <v>2.1714950000000002</v>
      </c>
      <c r="DN108" s="43">
        <v>1.60546246483112</v>
      </c>
      <c r="DO108" s="43">
        <v>2.301679</v>
      </c>
      <c r="DP108" s="43">
        <v>1.6700969999999999</v>
      </c>
      <c r="DQ108" s="43">
        <v>1.3498790000000001</v>
      </c>
      <c r="DR108" s="43">
        <v>1.984221</v>
      </c>
      <c r="DS108" s="43">
        <v>0.91709289999999999</v>
      </c>
      <c r="DT108" s="43">
        <v>1.41879573244835</v>
      </c>
      <c r="DU108" s="43">
        <v>600.89290000000005</v>
      </c>
      <c r="DV108" s="43">
        <v>318.92790000000002</v>
      </c>
      <c r="DW108" s="43">
        <v>110.6986</v>
      </c>
      <c r="DX108" s="43">
        <v>1.113229</v>
      </c>
      <c r="DY108" s="43">
        <v>1.2395590000000001</v>
      </c>
      <c r="DZ108" s="43">
        <v>1.081461</v>
      </c>
      <c r="EA108" s="43">
        <v>889.7047</v>
      </c>
      <c r="EB108" s="43">
        <v>124.04257042173499</v>
      </c>
      <c r="EC108" s="43">
        <v>1.32264784773737</v>
      </c>
      <c r="ED108" s="43">
        <v>1.39366440692552</v>
      </c>
      <c r="EE108" s="43">
        <v>1.3800325672413301</v>
      </c>
      <c r="EF108" s="43">
        <v>1.64144026830663</v>
      </c>
      <c r="EG108" s="43">
        <v>1.47605707290003</v>
      </c>
      <c r="EH108" s="43">
        <v>0.65706384543782803</v>
      </c>
      <c r="EI108" s="43">
        <v>0.27141817382901501</v>
      </c>
      <c r="EJ108" s="43">
        <v>31.090728208036701</v>
      </c>
      <c r="EK108" s="43">
        <v>17.642181298885902</v>
      </c>
      <c r="EL108" s="43">
        <v>0.777049278578269</v>
      </c>
      <c r="EM108" s="43">
        <v>2341.8227299533301</v>
      </c>
      <c r="EN108" s="43">
        <v>583.09493758006897</v>
      </c>
      <c r="EO108" s="43">
        <v>86658.306266569198</v>
      </c>
      <c r="EP108" s="43">
        <v>58749.869177813198</v>
      </c>
      <c r="EQ108" s="43">
        <v>4179.3047905487201</v>
      </c>
      <c r="ER108" s="43">
        <v>1.94175891580181</v>
      </c>
      <c r="ES108" s="43">
        <v>2.0742699593521898</v>
      </c>
      <c r="ET108" s="43">
        <v>1.91465210060677</v>
      </c>
      <c r="EU108" s="43">
        <v>2.1176849999999998</v>
      </c>
      <c r="EV108" s="43">
        <v>1.883114</v>
      </c>
      <c r="EW108" s="43">
        <v>2.5222370000000001</v>
      </c>
      <c r="EX108" s="43">
        <v>2.1176200000000001</v>
      </c>
      <c r="EY108" s="43">
        <v>1.883464</v>
      </c>
      <c r="EZ108" s="43">
        <v>2.523193</v>
      </c>
      <c r="FA108" s="43">
        <v>16.188803947212499</v>
      </c>
      <c r="FB108" s="43">
        <v>15.876921507135201</v>
      </c>
      <c r="FC108" s="43">
        <v>68.777385944053194</v>
      </c>
      <c r="FD108" s="43">
        <v>15788.9577238317</v>
      </c>
      <c r="FE108" s="43">
        <v>162460.4</v>
      </c>
      <c r="FF108" s="43">
        <v>1.4866250000000001</v>
      </c>
      <c r="FG108" s="43">
        <v>5.4087901890620396</v>
      </c>
      <c r="FH108" s="43">
        <v>899.43278598015297</v>
      </c>
      <c r="FI108" s="43">
        <v>14757.175214818801</v>
      </c>
      <c r="FJ108" s="43">
        <v>7.1785959865111302</v>
      </c>
      <c r="FK108" s="43">
        <v>18.317502946567199</v>
      </c>
      <c r="FL108" s="43">
        <v>1.1058060000000001</v>
      </c>
      <c r="FM108" s="43">
        <v>1.1442019999999999</v>
      </c>
    </row>
    <row r="109" spans="1:169" x14ac:dyDescent="0.25">
      <c r="A109" s="43" t="s">
        <v>336</v>
      </c>
      <c r="B109" s="43">
        <v>25398.41</v>
      </c>
      <c r="C109" s="43">
        <v>17600.099999999999</v>
      </c>
      <c r="D109" s="43">
        <v>3.595072</v>
      </c>
      <c r="E109" s="43">
        <v>4.1703429999999999</v>
      </c>
      <c r="F109" s="43">
        <v>3.688326</v>
      </c>
      <c r="G109" s="43">
        <v>4.1015490000000003</v>
      </c>
      <c r="H109" s="43">
        <v>1.144709</v>
      </c>
      <c r="I109" s="43">
        <v>1.10825</v>
      </c>
      <c r="J109" s="43">
        <v>1.1114999999999999</v>
      </c>
      <c r="K109" s="43">
        <v>1.099979</v>
      </c>
      <c r="L109" s="43">
        <v>2.8795579999999998</v>
      </c>
      <c r="M109" s="43">
        <v>76.441360000000003</v>
      </c>
      <c r="N109" s="43">
        <v>81.621446781788194</v>
      </c>
      <c r="O109" s="43">
        <v>2.51763102866797</v>
      </c>
      <c r="P109" s="43">
        <v>1.2596560000000001</v>
      </c>
      <c r="Q109" s="43">
        <v>-627.84910000000002</v>
      </c>
      <c r="R109" s="43">
        <v>7.1703429999999999</v>
      </c>
      <c r="S109" s="43">
        <v>3712.47</v>
      </c>
      <c r="T109" s="43">
        <v>3.5868820000000001</v>
      </c>
      <c r="U109" s="43">
        <v>4.5508850000000001</v>
      </c>
      <c r="V109" s="43">
        <v>3046.4830000000002</v>
      </c>
      <c r="W109" s="43">
        <v>1.9400740000000001</v>
      </c>
      <c r="X109" s="43">
        <v>21711.29</v>
      </c>
      <c r="Y109" s="43">
        <v>1.329159</v>
      </c>
      <c r="Z109" s="43">
        <v>0.86528389999999999</v>
      </c>
      <c r="AA109" s="43">
        <v>1.3363590000000001</v>
      </c>
      <c r="AB109" s="43">
        <v>1.091925</v>
      </c>
      <c r="AC109" s="43">
        <v>74.567689999999999</v>
      </c>
      <c r="AD109" s="43">
        <v>1.413775</v>
      </c>
      <c r="AE109" s="43">
        <v>1.7189220000000001</v>
      </c>
      <c r="AF109" s="43">
        <v>1.8120050000000001</v>
      </c>
      <c r="AG109" s="43">
        <v>353.18439999999998</v>
      </c>
      <c r="AH109" s="43">
        <v>147.79560000000001</v>
      </c>
      <c r="AI109" s="43">
        <v>2.9895689999999999</v>
      </c>
      <c r="AJ109" s="43">
        <v>2.9547393136402702</v>
      </c>
      <c r="AK109" s="43">
        <f t="shared" si="4"/>
        <v>35705.958652914531</v>
      </c>
      <c r="AL109" s="47">
        <v>8.4305367470749459E-3</v>
      </c>
      <c r="AM109" s="43">
        <v>2.5479898923912101</v>
      </c>
      <c r="AN109" s="43">
        <v>0.75706354666040598</v>
      </c>
      <c r="AO109" s="43">
        <v>2.96163113616538</v>
      </c>
      <c r="AP109" s="43">
        <v>2.4462256184928002</v>
      </c>
      <c r="AQ109" s="43">
        <v>4.5707477998399604</v>
      </c>
      <c r="AR109" s="43">
        <v>2.7275784393519702</v>
      </c>
      <c r="AS109" s="43">
        <v>2.30620325427659</v>
      </c>
      <c r="AT109" s="43">
        <v>2.2690299778517402</v>
      </c>
      <c r="AU109" s="43">
        <v>2.9741610292699598</v>
      </c>
      <c r="AV109" s="43">
        <v>2537.4679999999998</v>
      </c>
      <c r="AW109" s="43">
        <v>1467.336</v>
      </c>
      <c r="AX109" s="43">
        <v>1.2027019999999999</v>
      </c>
      <c r="AY109" s="43">
        <v>1.8092109999999999</v>
      </c>
      <c r="AZ109" s="43">
        <v>226.80680000000001</v>
      </c>
      <c r="BA109" s="43">
        <v>0.7793329</v>
      </c>
      <c r="BB109" s="43">
        <v>169.5359</v>
      </c>
      <c r="BC109" s="43">
        <v>35.23847</v>
      </c>
      <c r="BD109" s="43">
        <v>5.4</v>
      </c>
      <c r="BE109" s="43">
        <v>1.3852500000000001</v>
      </c>
      <c r="BF109" s="43">
        <v>3.0810979999999999</v>
      </c>
      <c r="BG109" s="43">
        <v>3.4316580000000001</v>
      </c>
      <c r="BH109" s="43">
        <v>2.8739430000000001</v>
      </c>
      <c r="BI109" s="43">
        <v>1.523093</v>
      </c>
      <c r="BJ109" s="43">
        <v>1.4499919999999999</v>
      </c>
      <c r="BK109" s="43">
        <v>95.681430000000006</v>
      </c>
      <c r="BL109" s="43">
        <v>98.085620000000006</v>
      </c>
      <c r="BM109" s="43">
        <v>1.2296240000000001</v>
      </c>
      <c r="BN109" s="43">
        <v>1.3473250000000001</v>
      </c>
      <c r="BO109" s="43">
        <v>42.317570000000003</v>
      </c>
      <c r="BP109" s="43">
        <v>1.28314861935324</v>
      </c>
      <c r="BQ109" s="43">
        <v>3638.0940000000001</v>
      </c>
      <c r="BR109" s="43">
        <v>647.71167964315396</v>
      </c>
      <c r="BS109" s="43">
        <v>13239.61</v>
      </c>
      <c r="BT109" s="43">
        <v>6974.3789999999999</v>
      </c>
      <c r="BU109" s="43">
        <v>1.1249929999999999</v>
      </c>
      <c r="BV109" s="43">
        <v>1.4051149999999999</v>
      </c>
      <c r="BW109" s="43">
        <v>1.4907859999999999</v>
      </c>
      <c r="BX109" s="43">
        <v>1.18512</v>
      </c>
      <c r="BY109" s="43">
        <v>2.2317749999999998</v>
      </c>
      <c r="BZ109" s="43">
        <v>2.451616</v>
      </c>
      <c r="CA109" s="43">
        <v>2.0070920000000001</v>
      </c>
      <c r="CB109" s="43">
        <v>0.75556190000000001</v>
      </c>
      <c r="CC109" s="43">
        <v>7.6905465075803097</v>
      </c>
      <c r="CD109" s="43">
        <v>1.0215080000000001</v>
      </c>
      <c r="CE109" s="43">
        <v>1.094751</v>
      </c>
      <c r="CF109" s="43">
        <v>1.1894450000000001</v>
      </c>
      <c r="CG109" s="43">
        <v>1.1000080000000001</v>
      </c>
      <c r="CH109" s="43">
        <v>1.0659423446480401</v>
      </c>
      <c r="CI109" s="43">
        <v>1.1109519817823701</v>
      </c>
      <c r="CJ109" s="43">
        <v>1.1325809901960999</v>
      </c>
      <c r="CK109" s="43">
        <v>1.1044494585789699</v>
      </c>
      <c r="CL109" s="43">
        <v>1.4074500000000001</v>
      </c>
      <c r="CM109" s="43">
        <v>1.2887219999999999</v>
      </c>
      <c r="CN109" s="43">
        <v>1.4103969999999999</v>
      </c>
      <c r="CO109" s="43">
        <v>1.730418</v>
      </c>
      <c r="CP109" s="43">
        <v>0.84379653187523995</v>
      </c>
      <c r="CQ109" s="43">
        <v>1.2089460000000001</v>
      </c>
      <c r="CR109" s="43">
        <v>2.2389284307388602</v>
      </c>
      <c r="CS109" s="43">
        <v>68.8718937211124</v>
      </c>
      <c r="CT109" s="43">
        <v>97.212453176088502</v>
      </c>
      <c r="CU109" s="43">
        <v>18.878604635775499</v>
      </c>
      <c r="CV109" s="43">
        <v>22.3734086626547</v>
      </c>
      <c r="CW109" s="43">
        <v>1.3820049999999999</v>
      </c>
      <c r="CX109" s="43">
        <v>1.3411090000000001</v>
      </c>
      <c r="CY109" s="43">
        <v>1.3120529999999999</v>
      </c>
      <c r="CZ109" s="43">
        <v>1.3474108624102801</v>
      </c>
      <c r="DA109" s="43">
        <v>1.2071173423369099</v>
      </c>
      <c r="DB109" s="43">
        <v>2.5429953897218498</v>
      </c>
      <c r="DC109" s="43">
        <v>0.99813253798370005</v>
      </c>
      <c r="DD109" s="43">
        <v>1.2705415122122301</v>
      </c>
      <c r="DE109" s="43">
        <v>1.7304359001737499</v>
      </c>
      <c r="DF109" s="43">
        <v>1.3887280039441501</v>
      </c>
      <c r="DG109" s="43">
        <v>1.4869193361648001</v>
      </c>
      <c r="DH109" s="43">
        <v>1.20125973135752</v>
      </c>
      <c r="DI109" s="43">
        <v>2.1463227696373299</v>
      </c>
      <c r="DJ109" s="43">
        <v>1.18354574081172</v>
      </c>
      <c r="DK109" s="43">
        <v>1.774346</v>
      </c>
      <c r="DL109" s="43">
        <v>1.9900199999999999</v>
      </c>
      <c r="DM109" s="43">
        <v>2.1648429999999999</v>
      </c>
      <c r="DN109" s="43">
        <v>1.60246977567347</v>
      </c>
      <c r="DO109" s="43">
        <v>2.2952249999999998</v>
      </c>
      <c r="DP109" s="43">
        <v>1.667932</v>
      </c>
      <c r="DQ109" s="43">
        <v>1.348808</v>
      </c>
      <c r="DR109" s="43">
        <v>1.9789369999999999</v>
      </c>
      <c r="DS109" s="43">
        <v>0.91687569999999996</v>
      </c>
      <c r="DT109" s="43">
        <v>1.4167077946892499</v>
      </c>
      <c r="DU109" s="43">
        <v>602.69550000000004</v>
      </c>
      <c r="DV109" s="43">
        <v>319.60430000000002</v>
      </c>
      <c r="DW109" s="43">
        <v>110.9894</v>
      </c>
      <c r="DX109" s="43">
        <v>1.1137570000000001</v>
      </c>
      <c r="DY109" s="43">
        <v>1.240753</v>
      </c>
      <c r="DZ109" s="43">
        <v>1.0811820000000001</v>
      </c>
      <c r="EA109" s="43">
        <v>893.21109999999999</v>
      </c>
      <c r="EB109" s="43">
        <v>124.662783273841</v>
      </c>
      <c r="EC109" s="43">
        <v>1.3205673476841899</v>
      </c>
      <c r="ED109" s="43">
        <v>1.3912529783918799</v>
      </c>
      <c r="EE109" s="43">
        <v>1.37776441284877</v>
      </c>
      <c r="EF109" s="43">
        <v>1.6383404558895001</v>
      </c>
      <c r="EG109" s="43">
        <v>1.47359560503571</v>
      </c>
      <c r="EH109" s="43">
        <v>0.65862291824615005</v>
      </c>
      <c r="EI109" s="43">
        <v>0.27206219144988902</v>
      </c>
      <c r="EJ109" s="43">
        <v>31.1644998959429</v>
      </c>
      <c r="EK109" s="43">
        <v>17.684042444242699</v>
      </c>
      <c r="EL109" s="43">
        <v>0.77889305130959297</v>
      </c>
      <c r="EM109" s="43">
        <v>2351.5689280505999</v>
      </c>
      <c r="EN109" s="43">
        <v>585.52166215596606</v>
      </c>
      <c r="EO109" s="43">
        <v>87018.960815201397</v>
      </c>
      <c r="EP109" s="43">
        <v>58994.374389873898</v>
      </c>
      <c r="EQ109" s="43">
        <v>4196.6982216895904</v>
      </c>
      <c r="ER109" s="43">
        <v>1.93870456574599</v>
      </c>
      <c r="ES109" s="43">
        <v>2.07100717193065</v>
      </c>
      <c r="ET109" s="43">
        <v>1.91164038905865</v>
      </c>
      <c r="EU109" s="43">
        <v>2.12432</v>
      </c>
      <c r="EV109" s="43">
        <v>1.8889579999999999</v>
      </c>
      <c r="EW109" s="43">
        <v>2.5380750000000001</v>
      </c>
      <c r="EX109" s="43">
        <v>2.126932</v>
      </c>
      <c r="EY109" s="43">
        <v>1.889346</v>
      </c>
      <c r="EZ109" s="43">
        <v>2.5388510000000002</v>
      </c>
      <c r="FA109" s="43">
        <v>16.2397692362686</v>
      </c>
      <c r="FB109" s="43">
        <v>15.926617636982099</v>
      </c>
      <c r="FC109" s="43">
        <v>69.079813876547803</v>
      </c>
      <c r="FD109" s="43">
        <v>15838.267193338999</v>
      </c>
      <c r="FE109" s="43">
        <v>163468.5</v>
      </c>
      <c r="FF109" s="43">
        <v>1.4953749999999999</v>
      </c>
      <c r="FG109" s="43">
        <v>5.3763374479276704</v>
      </c>
      <c r="FH109" s="43">
        <v>894.93565442983004</v>
      </c>
      <c r="FI109" s="43">
        <v>14720.2822767817</v>
      </c>
      <c r="FJ109" s="43">
        <v>7.1570628043819404</v>
      </c>
      <c r="FK109" s="43">
        <v>18.244231872365798</v>
      </c>
      <c r="FL109" s="43">
        <v>1.1043069999999999</v>
      </c>
      <c r="FM109" s="43">
        <v>1.145761</v>
      </c>
    </row>
    <row r="110" spans="1:169" x14ac:dyDescent="0.25">
      <c r="A110" s="43" t="s">
        <v>337</v>
      </c>
      <c r="B110" s="43">
        <v>25543.21</v>
      </c>
      <c r="C110" s="43">
        <v>17704.759999999998</v>
      </c>
      <c r="D110" s="43">
        <v>3.614684</v>
      </c>
      <c r="E110" s="43">
        <v>3.5913889999999999</v>
      </c>
      <c r="F110" s="43">
        <v>3.4424199999999998</v>
      </c>
      <c r="G110" s="43">
        <v>4.1201819999999998</v>
      </c>
      <c r="H110" s="43">
        <v>1.1505110000000001</v>
      </c>
      <c r="I110" s="43">
        <v>1.1131059999999999</v>
      </c>
      <c r="J110" s="43">
        <v>1.1169039999999999</v>
      </c>
      <c r="K110" s="43">
        <v>1.102131</v>
      </c>
      <c r="L110" s="43">
        <v>2.8924409999999998</v>
      </c>
      <c r="M110" s="43">
        <v>76.757230000000007</v>
      </c>
      <c r="N110" s="43">
        <v>81.958725487498</v>
      </c>
      <c r="O110" s="43">
        <v>2.5286491075680502</v>
      </c>
      <c r="P110" s="43">
        <v>1.3296870000000001</v>
      </c>
      <c r="Q110" s="43">
        <v>-624.923</v>
      </c>
      <c r="R110" s="43">
        <v>6.5913890000000004</v>
      </c>
      <c r="S110" s="43">
        <v>3731.7530000000002</v>
      </c>
      <c r="T110" s="43">
        <v>3.1485880000000002</v>
      </c>
      <c r="U110" s="43">
        <v>4.3766939999999996</v>
      </c>
      <c r="V110" s="43">
        <v>3068.002</v>
      </c>
      <c r="W110" s="43">
        <v>1.954939</v>
      </c>
      <c r="X110" s="43">
        <v>21830.63</v>
      </c>
      <c r="Y110" s="43">
        <v>1.3304579999999999</v>
      </c>
      <c r="Z110" s="43">
        <v>0.86904309999999996</v>
      </c>
      <c r="AA110" s="43">
        <v>1.3424119999999999</v>
      </c>
      <c r="AB110" s="43">
        <v>1.0954060000000001</v>
      </c>
      <c r="AC110" s="43">
        <v>74.876739999999998</v>
      </c>
      <c r="AD110" s="43">
        <v>1.42052</v>
      </c>
      <c r="AE110" s="43">
        <v>1.7317849999999999</v>
      </c>
      <c r="AF110" s="43">
        <v>1.8199129999999999</v>
      </c>
      <c r="AG110" s="43">
        <v>353.7525</v>
      </c>
      <c r="AH110" s="43">
        <v>150.85470000000001</v>
      </c>
      <c r="AI110" s="43">
        <v>3.0007130000000002</v>
      </c>
      <c r="AJ110" s="43">
        <v>2.9666158801550999</v>
      </c>
      <c r="AK110" s="43">
        <f t="shared" si="4"/>
        <v>36080.831120273499</v>
      </c>
      <c r="AL110" s="47">
        <v>1.0498876980253424E-2</v>
      </c>
      <c r="AM110" s="43">
        <v>2.5395382083208302</v>
      </c>
      <c r="AN110" s="43">
        <v>0.75249853990813598</v>
      </c>
      <c r="AO110" s="43">
        <v>2.9718455074157699</v>
      </c>
      <c r="AP110" s="43">
        <v>2.4579168764896102</v>
      </c>
      <c r="AQ110" s="43">
        <v>4.5960965162106699</v>
      </c>
      <c r="AR110" s="43">
        <v>2.7384156087301998</v>
      </c>
      <c r="AS110" s="43">
        <v>2.3156573750164302</v>
      </c>
      <c r="AT110" s="43">
        <v>2.2760993070844799</v>
      </c>
      <c r="AU110" s="43">
        <v>2.9955531967268501</v>
      </c>
      <c r="AV110" s="43">
        <v>2554.4250000000002</v>
      </c>
      <c r="AW110" s="43">
        <v>1478.883</v>
      </c>
      <c r="AX110" s="43">
        <v>1.2107190000000001</v>
      </c>
      <c r="AY110" s="43">
        <v>1.8185249999999999</v>
      </c>
      <c r="AZ110" s="43">
        <v>221.13210000000001</v>
      </c>
      <c r="BA110" s="43">
        <v>0.77543620000000002</v>
      </c>
      <c r="BB110" s="43">
        <v>170.49629999999999</v>
      </c>
      <c r="BC110" s="43">
        <v>35.505519999999997</v>
      </c>
      <c r="BD110" s="43">
        <v>5.3</v>
      </c>
      <c r="BE110" s="43">
        <v>1.391831</v>
      </c>
      <c r="BF110" s="43">
        <v>2.71909</v>
      </c>
      <c r="BG110" s="43">
        <v>3.0512519999999999</v>
      </c>
      <c r="BH110" s="43">
        <v>2.6904560000000002</v>
      </c>
      <c r="BI110" s="43">
        <v>1.5303770000000001</v>
      </c>
      <c r="BJ110" s="43">
        <v>1.45743</v>
      </c>
      <c r="BK110" s="43">
        <v>96.560789999999997</v>
      </c>
      <c r="BL110" s="43">
        <v>98.985879999999995</v>
      </c>
      <c r="BM110" s="43">
        <v>1.2395560000000001</v>
      </c>
      <c r="BN110" s="43">
        <v>1.3533139999999999</v>
      </c>
      <c r="BO110" s="43">
        <v>42.42971</v>
      </c>
      <c r="BP110" s="43">
        <v>1.28959668480279</v>
      </c>
      <c r="BQ110" s="43">
        <v>3673.6329999999998</v>
      </c>
      <c r="BR110" s="43">
        <v>650.80887629569895</v>
      </c>
      <c r="BS110" s="43">
        <v>13322.57</v>
      </c>
      <c r="BT110" s="43">
        <v>7017.7950000000001</v>
      </c>
      <c r="BU110" s="43">
        <v>1.131424</v>
      </c>
      <c r="BV110" s="43">
        <v>1.4109830000000001</v>
      </c>
      <c r="BW110" s="43">
        <v>1.4959800000000001</v>
      </c>
      <c r="BX110" s="43">
        <v>1.18512</v>
      </c>
      <c r="BY110" s="43">
        <v>2.2091569999999998</v>
      </c>
      <c r="BZ110" s="43">
        <v>2.4311210000000001</v>
      </c>
      <c r="CA110" s="43">
        <v>2.0051100000000002</v>
      </c>
      <c r="CB110" s="43">
        <v>0.75405080000000002</v>
      </c>
      <c r="CC110" s="43">
        <v>7.7290453918876203</v>
      </c>
      <c r="CD110" s="43">
        <v>1.028907</v>
      </c>
      <c r="CE110" s="43">
        <v>1.1011690000000001</v>
      </c>
      <c r="CF110" s="43">
        <v>1.1977089999999999</v>
      </c>
      <c r="CG110" s="43">
        <v>1.1037380000000001</v>
      </c>
      <c r="CH110" s="43">
        <v>1.06931330156921</v>
      </c>
      <c r="CI110" s="43">
        <v>1.1157003385631901</v>
      </c>
      <c r="CJ110" s="43">
        <v>1.1382853903043</v>
      </c>
      <c r="CK110" s="43">
        <v>1.1082836878295701</v>
      </c>
      <c r="CL110" s="43">
        <v>1.4133309999999999</v>
      </c>
      <c r="CM110" s="43">
        <v>1.2920259999999999</v>
      </c>
      <c r="CN110" s="43">
        <v>1.4180330000000001</v>
      </c>
      <c r="CO110" s="43">
        <v>1.738218</v>
      </c>
      <c r="CP110" s="43">
        <v>0.84379653187523995</v>
      </c>
      <c r="CQ110" s="43">
        <v>1.2149369999999999</v>
      </c>
      <c r="CR110" s="43">
        <v>2.5550533829061099</v>
      </c>
      <c r="CS110" s="43">
        <v>69.156488323265606</v>
      </c>
      <c r="CT110" s="43">
        <v>97.795727895145006</v>
      </c>
      <c r="CU110" s="43">
        <v>18.840847426503899</v>
      </c>
      <c r="CV110" s="43">
        <v>22.3286618453294</v>
      </c>
      <c r="CW110" s="43">
        <v>1.386015</v>
      </c>
      <c r="CX110" s="43">
        <v>1.344773</v>
      </c>
      <c r="CY110" s="43">
        <v>1.314781</v>
      </c>
      <c r="CZ110" s="43">
        <v>1.3503134625942299</v>
      </c>
      <c r="DA110" s="43">
        <v>1.20898013443527</v>
      </c>
      <c r="DB110" s="43">
        <v>2.5509989237734598</v>
      </c>
      <c r="DC110" s="43">
        <v>0.99775336201445797</v>
      </c>
      <c r="DD110" s="43">
        <v>1.2760229552548099</v>
      </c>
      <c r="DE110" s="43">
        <v>1.7396633943595501</v>
      </c>
      <c r="DF110" s="43">
        <v>1.39432991668785</v>
      </c>
      <c r="DG110" s="43">
        <v>1.4935382998615201</v>
      </c>
      <c r="DH110" s="43">
        <v>1.20394295847346</v>
      </c>
      <c r="DI110" s="43">
        <v>2.1611684064141299</v>
      </c>
      <c r="DJ110" s="43">
        <v>1.1849506077101799</v>
      </c>
      <c r="DK110" s="43">
        <v>1.7858890000000001</v>
      </c>
      <c r="DL110" s="43">
        <v>2.0001380000000002</v>
      </c>
      <c r="DM110" s="43">
        <v>2.1757300000000002</v>
      </c>
      <c r="DN110" s="43">
        <v>1.6087758358300399</v>
      </c>
      <c r="DO110" s="43">
        <v>2.310117</v>
      </c>
      <c r="DP110" s="43">
        <v>1.6765650000000001</v>
      </c>
      <c r="DQ110" s="43">
        <v>1.3518239999999999</v>
      </c>
      <c r="DR110" s="43">
        <v>1.988991</v>
      </c>
      <c r="DS110" s="43">
        <v>0.91831110000000005</v>
      </c>
      <c r="DT110" s="43">
        <v>1.4214063805843</v>
      </c>
      <c r="DU110" s="43">
        <v>606.59010000000001</v>
      </c>
      <c r="DV110" s="43">
        <v>321.22019999999998</v>
      </c>
      <c r="DW110" s="43">
        <v>111.9543</v>
      </c>
      <c r="DX110" s="43">
        <v>1.115577</v>
      </c>
      <c r="DY110" s="43">
        <v>1.243538</v>
      </c>
      <c r="DZ110" s="43">
        <v>1.081402</v>
      </c>
      <c r="EA110" s="43">
        <v>898.98950000000002</v>
      </c>
      <c r="EB110" s="43">
        <v>125.53542275676</v>
      </c>
      <c r="EC110" s="43">
        <v>1.32516847219786</v>
      </c>
      <c r="ED110" s="43">
        <v>1.39658512674032</v>
      </c>
      <c r="EE110" s="43">
        <v>1.38278227545485</v>
      </c>
      <c r="EF110" s="43">
        <v>1.64518332129134</v>
      </c>
      <c r="EG110" s="43">
        <v>1.47903627347251</v>
      </c>
      <c r="EH110" s="43">
        <v>0.66175182253918596</v>
      </c>
      <c r="EI110" s="43">
        <v>0.27335467085687198</v>
      </c>
      <c r="EJ110" s="43">
        <v>31.3125523472217</v>
      </c>
      <c r="EK110" s="43">
        <v>17.7680536056967</v>
      </c>
      <c r="EL110" s="43">
        <v>0.78259332007422799</v>
      </c>
      <c r="EM110" s="43">
        <v>2361.3151261478702</v>
      </c>
      <c r="EN110" s="43">
        <v>587.94838673186098</v>
      </c>
      <c r="EO110" s="43">
        <v>87379.615363833407</v>
      </c>
      <c r="EP110" s="43">
        <v>59238.879601934401</v>
      </c>
      <c r="EQ110" s="43">
        <v>4214.0916528304497</v>
      </c>
      <c r="ER110" s="43">
        <v>1.9454594057152299</v>
      </c>
      <c r="ES110" s="43">
        <v>2.07822298101715</v>
      </c>
      <c r="ET110" s="43">
        <v>1.9183009319464099</v>
      </c>
      <c r="EU110" s="43">
        <v>2.1397879999999998</v>
      </c>
      <c r="EV110" s="43">
        <v>1.89754</v>
      </c>
      <c r="EW110" s="43">
        <v>2.5617130000000001</v>
      </c>
      <c r="EX110" s="43">
        <v>2.1391580000000001</v>
      </c>
      <c r="EY110" s="43">
        <v>1.897284</v>
      </c>
      <c r="EZ110" s="43">
        <v>2.5610189999999999</v>
      </c>
      <c r="FA110" s="43">
        <v>16.358576298302101</v>
      </c>
      <c r="FB110" s="43">
        <v>16.042253354346499</v>
      </c>
      <c r="FC110" s="43">
        <v>69.476915140513199</v>
      </c>
      <c r="FD110" s="43">
        <v>15904.8101831564</v>
      </c>
      <c r="FE110" s="43">
        <v>164895.9</v>
      </c>
      <c r="FF110" s="43">
        <v>1.505125</v>
      </c>
      <c r="FG110" s="43">
        <v>5.3978427923430496</v>
      </c>
      <c r="FH110" s="43">
        <v>899.41031838301205</v>
      </c>
      <c r="FI110" s="43">
        <v>14646.680865397801</v>
      </c>
      <c r="FJ110" s="43">
        <v>7.14274870740143</v>
      </c>
      <c r="FK110" s="43">
        <v>18.298965133554201</v>
      </c>
      <c r="FL110" s="43">
        <v>1.106411</v>
      </c>
      <c r="FM110" s="43">
        <v>1.146889</v>
      </c>
    </row>
    <row r="111" spans="1:169" x14ac:dyDescent="0.25">
      <c r="A111" s="43" t="s">
        <v>338</v>
      </c>
      <c r="B111" s="43">
        <v>25676.27</v>
      </c>
      <c r="C111" s="43">
        <v>17794.37</v>
      </c>
      <c r="D111" s="43">
        <v>3.637067</v>
      </c>
      <c r="E111" s="43">
        <v>3.0928089999999999</v>
      </c>
      <c r="F111" s="43">
        <v>3.2297750000000001</v>
      </c>
      <c r="G111" s="43">
        <v>4.206556</v>
      </c>
      <c r="H111" s="43">
        <v>1.155734</v>
      </c>
      <c r="I111" s="43">
        <v>1.117583</v>
      </c>
      <c r="J111" s="43">
        <v>1.1218159999999999</v>
      </c>
      <c r="K111" s="43">
        <v>1.1040479999999999</v>
      </c>
      <c r="L111" s="43">
        <v>2.9074080000000002</v>
      </c>
      <c r="M111" s="43">
        <v>77.064080000000004</v>
      </c>
      <c r="N111" s="43">
        <v>82.286367658759104</v>
      </c>
      <c r="O111" s="43">
        <v>2.5451762259181701</v>
      </c>
      <c r="P111" s="43">
        <v>1.342813</v>
      </c>
      <c r="Q111" s="43">
        <v>-621.63340000000005</v>
      </c>
      <c r="R111" s="43">
        <v>6.0928089999999999</v>
      </c>
      <c r="S111" s="43">
        <v>3748.2150000000001</v>
      </c>
      <c r="T111" s="43">
        <v>2.7712319999999999</v>
      </c>
      <c r="U111" s="43">
        <v>4.2264670000000004</v>
      </c>
      <c r="V111" s="43">
        <v>3088.1329999999998</v>
      </c>
      <c r="W111" s="43">
        <v>1.970906</v>
      </c>
      <c r="X111" s="43">
        <v>21980.2</v>
      </c>
      <c r="Y111" s="43">
        <v>1.331674</v>
      </c>
      <c r="Z111" s="43">
        <v>0.87242050000000004</v>
      </c>
      <c r="AA111" s="43">
        <v>1.348881</v>
      </c>
      <c r="AB111" s="43">
        <v>1.0992759999999999</v>
      </c>
      <c r="AC111" s="43">
        <v>75.176959999999994</v>
      </c>
      <c r="AD111" s="43">
        <v>1.428078</v>
      </c>
      <c r="AE111" s="43">
        <v>1.7465949999999999</v>
      </c>
      <c r="AF111" s="43">
        <v>1.829447</v>
      </c>
      <c r="AG111" s="43">
        <v>354.32139999999998</v>
      </c>
      <c r="AH111" s="43">
        <v>153.80080000000001</v>
      </c>
      <c r="AI111" s="43">
        <v>3.0145569999999999</v>
      </c>
      <c r="AJ111" s="43">
        <v>2.9809738951865499</v>
      </c>
      <c r="AK111" s="43">
        <f t="shared" si="4"/>
        <v>36461.759380428608</v>
      </c>
      <c r="AL111" s="47">
        <v>1.0557635407158594E-2</v>
      </c>
      <c r="AM111" s="43">
        <v>2.5313996717771201</v>
      </c>
      <c r="AN111" s="43">
        <v>0.75020386485823398</v>
      </c>
      <c r="AO111" s="43">
        <v>2.98359159115076</v>
      </c>
      <c r="AP111" s="43">
        <v>2.4689890661365501</v>
      </c>
      <c r="AQ111" s="43">
        <v>4.6256207962084197</v>
      </c>
      <c r="AR111" s="43">
        <v>2.7522579897460302</v>
      </c>
      <c r="AS111" s="43">
        <v>2.32619251044839</v>
      </c>
      <c r="AT111" s="43">
        <v>2.28420294384917</v>
      </c>
      <c r="AU111" s="43">
        <v>3.0188957538054599</v>
      </c>
      <c r="AV111" s="43">
        <v>2570.87</v>
      </c>
      <c r="AW111" s="43">
        <v>1489.8130000000001</v>
      </c>
      <c r="AX111" s="43">
        <v>1.217913</v>
      </c>
      <c r="AY111" s="43">
        <v>1.828578</v>
      </c>
      <c r="AZ111" s="43">
        <v>211.60679999999999</v>
      </c>
      <c r="BA111" s="43">
        <v>0.77698710000000004</v>
      </c>
      <c r="BB111" s="43">
        <v>171.59610000000001</v>
      </c>
      <c r="BC111" s="43">
        <v>35.79477</v>
      </c>
      <c r="BD111" s="43">
        <v>5.3</v>
      </c>
      <c r="BE111" s="43">
        <v>1.3976900000000001</v>
      </c>
      <c r="BF111" s="43">
        <v>2.4136129999999998</v>
      </c>
      <c r="BG111" s="43">
        <v>2.7318500000000001</v>
      </c>
      <c r="BH111" s="43">
        <v>2.5374089999999998</v>
      </c>
      <c r="BI111" s="43">
        <v>1.538044</v>
      </c>
      <c r="BJ111" s="43">
        <v>1.4649669999999999</v>
      </c>
      <c r="BK111" s="43">
        <v>96.754440000000002</v>
      </c>
      <c r="BL111" s="43">
        <v>99.183210000000003</v>
      </c>
      <c r="BM111" s="43">
        <v>1.248154</v>
      </c>
      <c r="BN111" s="43">
        <v>1.3585910000000001</v>
      </c>
      <c r="BO111" s="43">
        <v>42.542149999999999</v>
      </c>
      <c r="BP111" s="43">
        <v>1.28702257249803</v>
      </c>
      <c r="BQ111" s="43">
        <v>3710.5630000000001</v>
      </c>
      <c r="BR111" s="43">
        <v>653.48776206347804</v>
      </c>
      <c r="BS111" s="43">
        <v>13408.66</v>
      </c>
      <c r="BT111" s="43">
        <v>7065.2969999999996</v>
      </c>
      <c r="BU111" s="43">
        <v>1.137635</v>
      </c>
      <c r="BV111" s="43">
        <v>1.417727</v>
      </c>
      <c r="BW111" s="43">
        <v>1.5029729999999999</v>
      </c>
      <c r="BX111" s="43">
        <v>1.18512</v>
      </c>
      <c r="BY111" s="43">
        <v>2.1588289999999999</v>
      </c>
      <c r="BZ111" s="43">
        <v>2.3925040000000002</v>
      </c>
      <c r="CA111" s="43">
        <v>1.9799869999999999</v>
      </c>
      <c r="CB111" s="43">
        <v>0.75254270000000001</v>
      </c>
      <c r="CC111" s="43">
        <v>7.7754815997848299</v>
      </c>
      <c r="CD111" s="43">
        <v>1.035406</v>
      </c>
      <c r="CE111" s="43">
        <v>1.1075170000000001</v>
      </c>
      <c r="CF111" s="43">
        <v>1.2061059999999999</v>
      </c>
      <c r="CG111" s="43">
        <v>1.107869</v>
      </c>
      <c r="CH111" s="43">
        <v>1.0725076614787701</v>
      </c>
      <c r="CI111" s="43">
        <v>1.1204626496664101</v>
      </c>
      <c r="CJ111" s="43">
        <v>1.1440426728267601</v>
      </c>
      <c r="CK111" s="43">
        <v>1.11232775669808</v>
      </c>
      <c r="CL111" s="43">
        <v>1.4200919999999999</v>
      </c>
      <c r="CM111" s="43">
        <v>1.295757</v>
      </c>
      <c r="CN111" s="43">
        <v>1.426717</v>
      </c>
      <c r="CO111" s="43">
        <v>1.7487189999999999</v>
      </c>
      <c r="CP111" s="43">
        <v>0.84379653187523995</v>
      </c>
      <c r="CQ111" s="43">
        <v>1.2210019999999999</v>
      </c>
      <c r="CR111" s="43">
        <v>2.5686620068490602</v>
      </c>
      <c r="CS111" s="43">
        <v>69.432951651071804</v>
      </c>
      <c r="CT111" s="43">
        <v>97.991319350935299</v>
      </c>
      <c r="CU111" s="43">
        <v>18.8031657316509</v>
      </c>
      <c r="CV111" s="43">
        <v>22.2840045216387</v>
      </c>
      <c r="CW111" s="43">
        <v>1.3914310000000001</v>
      </c>
      <c r="CX111" s="43">
        <v>1.34971</v>
      </c>
      <c r="CY111" s="43">
        <v>1.318613</v>
      </c>
      <c r="CZ111" s="43">
        <v>1.3544785835367299</v>
      </c>
      <c r="DA111" s="43">
        <v>1.2116780431526899</v>
      </c>
      <c r="DB111" s="43">
        <v>2.5601711523709101</v>
      </c>
      <c r="DC111" s="43">
        <v>0.99750805836819501</v>
      </c>
      <c r="DD111" s="43">
        <v>1.2827629416523301</v>
      </c>
      <c r="DE111" s="43">
        <v>1.7512117149162501</v>
      </c>
      <c r="DF111" s="43">
        <v>1.40073129289024</v>
      </c>
      <c r="DG111" s="43">
        <v>1.50134430972957</v>
      </c>
      <c r="DH111" s="43">
        <v>1.20760147358227</v>
      </c>
      <c r="DI111" s="43">
        <v>2.1792579683603002</v>
      </c>
      <c r="DJ111" s="43">
        <v>1.185872833391</v>
      </c>
      <c r="DK111" s="43">
        <v>1.798926</v>
      </c>
      <c r="DL111" s="43">
        <v>2.013846</v>
      </c>
      <c r="DM111" s="43">
        <v>2.1908720000000002</v>
      </c>
      <c r="DN111" s="43">
        <v>1.6173073785394201</v>
      </c>
      <c r="DO111" s="43">
        <v>2.3300930000000002</v>
      </c>
      <c r="DP111" s="43">
        <v>1.687697</v>
      </c>
      <c r="DQ111" s="43">
        <v>1.355815</v>
      </c>
      <c r="DR111" s="43">
        <v>2.0027499999999998</v>
      </c>
      <c r="DS111" s="43">
        <v>0.92013829999999996</v>
      </c>
      <c r="DT111" s="43">
        <v>1.4277262085312299</v>
      </c>
      <c r="DU111" s="43">
        <v>608.94719999999995</v>
      </c>
      <c r="DV111" s="43">
        <v>322.11329999999998</v>
      </c>
      <c r="DW111" s="43">
        <v>112.4716</v>
      </c>
      <c r="DX111" s="43">
        <v>1.117869</v>
      </c>
      <c r="DY111" s="43">
        <v>1.2470589999999999</v>
      </c>
      <c r="DZ111" s="43">
        <v>1.0817749999999999</v>
      </c>
      <c r="EA111" s="43">
        <v>900.68200000000002</v>
      </c>
      <c r="EB111" s="43">
        <v>126.2886352933</v>
      </c>
      <c r="EC111" s="43">
        <v>1.33136326047455</v>
      </c>
      <c r="ED111" s="43">
        <v>1.40376663179967</v>
      </c>
      <c r="EE111" s="43">
        <v>1.38953986177156</v>
      </c>
      <c r="EF111" s="43">
        <v>1.6543994270839</v>
      </c>
      <c r="EG111" s="43">
        <v>1.48636213724354</v>
      </c>
      <c r="EH111" s="43">
        <v>0.66453747284915299</v>
      </c>
      <c r="EI111" s="43">
        <v>0.27450535982767299</v>
      </c>
      <c r="EJ111" s="43">
        <v>31.4443628208479</v>
      </c>
      <c r="EK111" s="43">
        <v>17.8428483887987</v>
      </c>
      <c r="EL111" s="43">
        <v>0.78588765376609204</v>
      </c>
      <c r="EM111" s="43">
        <v>2370.7828614423602</v>
      </c>
      <c r="EN111" s="43">
        <v>590.30577631987501</v>
      </c>
      <c r="EO111" s="43">
        <v>87729.965496790406</v>
      </c>
      <c r="EP111" s="43">
        <v>59476.3989507933</v>
      </c>
      <c r="EQ111" s="43">
        <v>4230.9881287958597</v>
      </c>
      <c r="ER111" s="43">
        <v>1.95455387888762</v>
      </c>
      <c r="ES111" s="43">
        <v>2.08793808640129</v>
      </c>
      <c r="ET111" s="43">
        <v>1.9272684469255901</v>
      </c>
      <c r="EU111" s="43">
        <v>2.1574610000000001</v>
      </c>
      <c r="EV111" s="43">
        <v>1.9076789999999999</v>
      </c>
      <c r="EW111" s="43">
        <v>2.5891899999999999</v>
      </c>
      <c r="EX111" s="43">
        <v>2.155332</v>
      </c>
      <c r="EY111" s="43">
        <v>1.907214</v>
      </c>
      <c r="EZ111" s="43">
        <v>2.5882109999999998</v>
      </c>
      <c r="FA111" s="43">
        <v>16.494324583020301</v>
      </c>
      <c r="FB111" s="43">
        <v>16.174350720262101</v>
      </c>
      <c r="FC111" s="43">
        <v>70.002205204558805</v>
      </c>
      <c r="FD111" s="43">
        <v>15988.0578507479</v>
      </c>
      <c r="FE111" s="43">
        <v>166646.70000000001</v>
      </c>
      <c r="FF111" s="43">
        <v>1.512875</v>
      </c>
      <c r="FG111" s="43">
        <v>5.4194344765872797</v>
      </c>
      <c r="FH111" s="43">
        <v>902.108544841107</v>
      </c>
      <c r="FI111" s="43">
        <v>14573.4474610708</v>
      </c>
      <c r="FJ111" s="43">
        <v>7.1213206684189396</v>
      </c>
      <c r="FK111" s="43">
        <v>18.390460069015699</v>
      </c>
      <c r="FL111" s="43">
        <v>1.1066480000000001</v>
      </c>
      <c r="FM111" s="43">
        <v>1.1464399999999999</v>
      </c>
    </row>
    <row r="112" spans="1:169" x14ac:dyDescent="0.25">
      <c r="A112" s="43" t="s">
        <v>339</v>
      </c>
      <c r="B112" s="43">
        <v>25782.69</v>
      </c>
      <c r="C112" s="43">
        <v>17887.060000000001</v>
      </c>
      <c r="D112" s="43">
        <v>3.6476769999999998</v>
      </c>
      <c r="E112" s="43">
        <v>3.0928089999999999</v>
      </c>
      <c r="F112" s="43">
        <v>3.2191360000000002</v>
      </c>
      <c r="G112" s="43">
        <v>4.014545</v>
      </c>
      <c r="H112" s="43">
        <v>1.1619520000000001</v>
      </c>
      <c r="I112" s="43">
        <v>1.12297</v>
      </c>
      <c r="J112" s="43">
        <v>1.1269089999999999</v>
      </c>
      <c r="K112" s="43">
        <v>1.1075520000000001</v>
      </c>
      <c r="L112" s="43">
        <v>2.9143840000000001</v>
      </c>
      <c r="M112" s="43">
        <v>77.379959999999997</v>
      </c>
      <c r="N112" s="43">
        <v>82.623646364468996</v>
      </c>
      <c r="O112" s="43">
        <v>2.5561943048182498</v>
      </c>
      <c r="P112" s="43">
        <v>1.3535619999999999</v>
      </c>
      <c r="Q112" s="43">
        <v>-614.58780000000002</v>
      </c>
      <c r="R112" s="43">
        <v>6.0928089999999999</v>
      </c>
      <c r="S112" s="43">
        <v>3762.6469999999999</v>
      </c>
      <c r="T112" s="43">
        <v>2.7722329999999999</v>
      </c>
      <c r="U112" s="43">
        <v>4.2238340000000001</v>
      </c>
      <c r="V112" s="43">
        <v>3103.97</v>
      </c>
      <c r="W112" s="43">
        <v>1.9776659999999999</v>
      </c>
      <c r="X112" s="43">
        <v>22057.24</v>
      </c>
      <c r="Y112" s="43">
        <v>1.332465</v>
      </c>
      <c r="Z112" s="43">
        <v>0.87675049999999999</v>
      </c>
      <c r="AA112" s="43">
        <v>1.351102</v>
      </c>
      <c r="AB112" s="43">
        <v>1.102587</v>
      </c>
      <c r="AC112" s="43">
        <v>75.486009999999993</v>
      </c>
      <c r="AD112" s="43">
        <v>1.4318299999999999</v>
      </c>
      <c r="AE112" s="43">
        <v>1.753423</v>
      </c>
      <c r="AF112" s="43">
        <v>1.837143</v>
      </c>
      <c r="AG112" s="43">
        <v>354.89139999999998</v>
      </c>
      <c r="AH112" s="43">
        <v>157.47389999999999</v>
      </c>
      <c r="AI112" s="43">
        <v>3.02258</v>
      </c>
      <c r="AJ112" s="43">
        <v>2.9884015766868002</v>
      </c>
      <c r="AK112" s="43">
        <f t="shared" si="4"/>
        <v>36709.082333508326</v>
      </c>
      <c r="AL112" s="47">
        <v>6.7830778679449644E-3</v>
      </c>
      <c r="AM112" s="43">
        <v>2.52280933329684</v>
      </c>
      <c r="AN112" s="43">
        <v>0.74850711918245505</v>
      </c>
      <c r="AO112" s="43">
        <v>2.9882535450657799</v>
      </c>
      <c r="AP112" s="43">
        <v>2.4808224078804302</v>
      </c>
      <c r="AQ112" s="43">
        <v>4.6392277167373299</v>
      </c>
      <c r="AR112" s="43">
        <v>2.7567848744177299</v>
      </c>
      <c r="AS112" s="43">
        <v>2.3321987951018199</v>
      </c>
      <c r="AT112" s="43">
        <v>2.28950694152446</v>
      </c>
      <c r="AU112" s="43">
        <v>3.02524071429435</v>
      </c>
      <c r="AV112" s="43">
        <v>2588.6799999999998</v>
      </c>
      <c r="AW112" s="43">
        <v>1501.702</v>
      </c>
      <c r="AX112" s="43">
        <v>1.2268429999999999</v>
      </c>
      <c r="AY112" s="43">
        <v>1.83342</v>
      </c>
      <c r="AZ112" s="43">
        <v>210.31100000000001</v>
      </c>
      <c r="BA112" s="43">
        <v>0.77776400000000001</v>
      </c>
      <c r="BB112" s="43">
        <v>171.64840000000001</v>
      </c>
      <c r="BC112" s="43">
        <v>35.930500000000002</v>
      </c>
      <c r="BD112" s="43">
        <v>5.2</v>
      </c>
      <c r="BE112" s="43">
        <v>1.399993</v>
      </c>
      <c r="BF112" s="43">
        <v>2.4134500000000001</v>
      </c>
      <c r="BG112" s="43">
        <v>2.7317930000000001</v>
      </c>
      <c r="BH112" s="43">
        <v>2.5232600000000001</v>
      </c>
      <c r="BI112" s="43">
        <v>1.5416700000000001</v>
      </c>
      <c r="BJ112" s="43">
        <v>1.4688779999999999</v>
      </c>
      <c r="BK112" s="43">
        <v>97.055149999999998</v>
      </c>
      <c r="BL112" s="43">
        <v>99.490269999999995</v>
      </c>
      <c r="BM112" s="43">
        <v>1.2586900000000001</v>
      </c>
      <c r="BN112" s="43">
        <v>1.365129</v>
      </c>
      <c r="BO112" s="43">
        <v>42.654890000000002</v>
      </c>
      <c r="BP112" s="43">
        <v>1.28573700118116</v>
      </c>
      <c r="BQ112" s="43">
        <v>3740.2280000000001</v>
      </c>
      <c r="BR112" s="43">
        <v>653.86487212576299</v>
      </c>
      <c r="BS112" s="43">
        <v>13501.88</v>
      </c>
      <c r="BT112" s="43">
        <v>7122.0619999999999</v>
      </c>
      <c r="BU112" s="43">
        <v>1.143373</v>
      </c>
      <c r="BV112" s="43">
        <v>1.420855</v>
      </c>
      <c r="BW112" s="43">
        <v>1.503878</v>
      </c>
      <c r="BX112" s="43">
        <v>1.18512</v>
      </c>
      <c r="BY112" s="43">
        <v>2.1561089999999998</v>
      </c>
      <c r="BZ112" s="43">
        <v>2.3857560000000002</v>
      </c>
      <c r="CA112" s="43">
        <v>1.9924470000000001</v>
      </c>
      <c r="CB112" s="43">
        <v>0.74878</v>
      </c>
      <c r="CC112" s="43">
        <v>7.9483409392039297</v>
      </c>
      <c r="CD112" s="43">
        <v>1.041425</v>
      </c>
      <c r="CE112" s="43">
        <v>1.113388</v>
      </c>
      <c r="CF112" s="43">
        <v>1.213886</v>
      </c>
      <c r="CG112" s="43">
        <v>1.1118399999999999</v>
      </c>
      <c r="CH112" s="43">
        <v>1.0756446747713</v>
      </c>
      <c r="CI112" s="43">
        <v>1.12516050960407</v>
      </c>
      <c r="CJ112" s="43">
        <v>1.14953282044522</v>
      </c>
      <c r="CK112" s="43">
        <v>1.1161439237887201</v>
      </c>
      <c r="CL112" s="43">
        <v>1.423227</v>
      </c>
      <c r="CM112" s="43">
        <v>1.2977879999999999</v>
      </c>
      <c r="CN112" s="43">
        <v>1.4310529999999999</v>
      </c>
      <c r="CO112" s="43">
        <v>1.750078</v>
      </c>
      <c r="CP112" s="43">
        <v>0.84379653187523995</v>
      </c>
      <c r="CQ112" s="43">
        <v>1.2272339999999999</v>
      </c>
      <c r="CR112" s="43">
        <v>2.5683377803678602</v>
      </c>
      <c r="CS112" s="43">
        <v>69.717546253225194</v>
      </c>
      <c r="CT112" s="43">
        <v>97.011406157425995</v>
      </c>
      <c r="CU112" s="43">
        <v>18.765559400187598</v>
      </c>
      <c r="CV112" s="43">
        <v>22.2394365125955</v>
      </c>
      <c r="CW112" s="43">
        <v>1.3921140000000001</v>
      </c>
      <c r="CX112" s="43">
        <v>1.3503449999999999</v>
      </c>
      <c r="CY112" s="43">
        <v>1.318918</v>
      </c>
      <c r="CZ112" s="43">
        <v>1.35453016551193</v>
      </c>
      <c r="DA112" s="43">
        <v>1.2117615898181999</v>
      </c>
      <c r="DB112" s="43">
        <v>2.55913879101676</v>
      </c>
      <c r="DC112" s="43">
        <v>0.99812602175037701</v>
      </c>
      <c r="DD112" s="43">
        <v>1.28509641042108</v>
      </c>
      <c r="DE112" s="43">
        <v>1.7544119124158899</v>
      </c>
      <c r="DF112" s="43">
        <v>1.4037574916045801</v>
      </c>
      <c r="DG112" s="43">
        <v>1.50430219957179</v>
      </c>
      <c r="DH112" s="43">
        <v>1.2080076175302099</v>
      </c>
      <c r="DI112" s="43">
        <v>2.1852929152010798</v>
      </c>
      <c r="DJ112" s="43">
        <v>1.18774003155413</v>
      </c>
      <c r="DK112" s="43">
        <v>1.8055209999999999</v>
      </c>
      <c r="DL112" s="43">
        <v>2.0154200000000002</v>
      </c>
      <c r="DM112" s="43">
        <v>2.1920269999999999</v>
      </c>
      <c r="DN112" s="43">
        <v>1.6183135654965399</v>
      </c>
      <c r="DO112" s="43">
        <v>2.332821</v>
      </c>
      <c r="DP112" s="43">
        <v>1.689907</v>
      </c>
      <c r="DQ112" s="43">
        <v>1.3565069999999999</v>
      </c>
      <c r="DR112" s="43">
        <v>2.0039690000000001</v>
      </c>
      <c r="DS112" s="43">
        <v>0.92062560000000004</v>
      </c>
      <c r="DT112" s="43">
        <v>1.4285619006660299</v>
      </c>
      <c r="DU112" s="43">
        <v>610.42070000000001</v>
      </c>
      <c r="DV112" s="43">
        <v>322.52210000000002</v>
      </c>
      <c r="DW112" s="43">
        <v>112.7546</v>
      </c>
      <c r="DX112" s="43">
        <v>1.1185719999999999</v>
      </c>
      <c r="DY112" s="43">
        <v>1.247927</v>
      </c>
      <c r="DZ112" s="43">
        <v>1.0817060000000001</v>
      </c>
      <c r="EA112" s="43">
        <v>903.33889999999997</v>
      </c>
      <c r="EB112" s="43">
        <v>127.04636710506</v>
      </c>
      <c r="EC112" s="43">
        <v>1.33216516568445</v>
      </c>
      <c r="ED112" s="43">
        <v>1.4046966984387499</v>
      </c>
      <c r="EE112" s="43">
        <v>1.39041451383521</v>
      </c>
      <c r="EF112" s="43">
        <v>1.65559498247563</v>
      </c>
      <c r="EG112" s="43">
        <v>1.48731106565162</v>
      </c>
      <c r="EH112" s="43">
        <v>0.66563273344599205</v>
      </c>
      <c r="EI112" s="43">
        <v>0.27495778714219499</v>
      </c>
      <c r="EJ112" s="43">
        <v>31.496187997000501</v>
      </c>
      <c r="EK112" s="43">
        <v>17.8722561642427</v>
      </c>
      <c r="EL112" s="43">
        <v>0.78718291824082698</v>
      </c>
      <c r="EM112" s="43">
        <v>2380.52905953963</v>
      </c>
      <c r="EN112" s="43">
        <v>592.73250089577095</v>
      </c>
      <c r="EO112" s="43">
        <v>88090.620045422504</v>
      </c>
      <c r="EP112" s="43">
        <v>59720.904162853898</v>
      </c>
      <c r="EQ112" s="43">
        <v>4248.3815599367199</v>
      </c>
      <c r="ER112" s="43">
        <v>1.95573114356439</v>
      </c>
      <c r="ES112" s="43">
        <v>2.08919569090274</v>
      </c>
      <c r="ET112" s="43">
        <v>1.92842927707191</v>
      </c>
      <c r="EU112" s="43">
        <v>2.1667299999999998</v>
      </c>
      <c r="EV112" s="43">
        <v>1.912069</v>
      </c>
      <c r="EW112" s="43">
        <v>2.602004</v>
      </c>
      <c r="EX112" s="43">
        <v>2.1673770000000001</v>
      </c>
      <c r="EY112" s="43">
        <v>1.9125110000000001</v>
      </c>
      <c r="EZ112" s="43">
        <v>2.6029719999999998</v>
      </c>
      <c r="FA112" s="43">
        <v>16.565518560125</v>
      </c>
      <c r="FB112" s="43">
        <v>16.243708354922401</v>
      </c>
      <c r="FC112" s="43">
        <v>70.393438816360202</v>
      </c>
      <c r="FD112" s="43">
        <v>16032.459394632901</v>
      </c>
      <c r="FE112" s="43">
        <v>167597.1</v>
      </c>
      <c r="FF112" s="43">
        <v>1.5198750000000001</v>
      </c>
      <c r="FG112" s="43">
        <v>5.4411120952660799</v>
      </c>
      <c r="FH112" s="43">
        <v>905.71702412589605</v>
      </c>
      <c r="FI112" s="43">
        <v>14537.013842418201</v>
      </c>
      <c r="FJ112" s="43">
        <v>7.1070753423442099</v>
      </c>
      <c r="FK112" s="43">
        <v>18.592754578061001</v>
      </c>
      <c r="FL112" s="43">
        <v>1.1083050000000001</v>
      </c>
      <c r="FM112" s="43">
        <v>1.1472309999999999</v>
      </c>
    </row>
    <row r="113" spans="1:169" x14ac:dyDescent="0.25">
      <c r="A113" s="43" t="s">
        <v>340</v>
      </c>
      <c r="B113" s="43">
        <v>25907.23</v>
      </c>
      <c r="C113" s="43">
        <v>17998.7</v>
      </c>
      <c r="D113" s="43">
        <v>3.660396</v>
      </c>
      <c r="E113" s="43">
        <v>3.0928089999999999</v>
      </c>
      <c r="F113" s="43">
        <v>3.2065049999999999</v>
      </c>
      <c r="G113" s="43">
        <v>3.7951619999999999</v>
      </c>
      <c r="H113" s="43">
        <v>1.169135</v>
      </c>
      <c r="I113" s="43">
        <v>1.1290530000000001</v>
      </c>
      <c r="J113" s="43">
        <v>1.1326929999999999</v>
      </c>
      <c r="K113" s="43">
        <v>1.1115109999999999</v>
      </c>
      <c r="L113" s="43">
        <v>2.9229370000000001</v>
      </c>
      <c r="M113" s="43">
        <v>77.704859999999996</v>
      </c>
      <c r="N113" s="43">
        <v>82.970561604627704</v>
      </c>
      <c r="O113" s="43">
        <v>2.5672123837183198</v>
      </c>
      <c r="P113" s="43">
        <v>1.3619380000000001</v>
      </c>
      <c r="Q113" s="43">
        <v>-607.78340000000003</v>
      </c>
      <c r="R113" s="43">
        <v>6.0928089999999999</v>
      </c>
      <c r="S113" s="43">
        <v>3780.1579999999999</v>
      </c>
      <c r="T113" s="43">
        <v>2.7733989999999999</v>
      </c>
      <c r="U113" s="43">
        <v>4.2209690000000002</v>
      </c>
      <c r="V113" s="43">
        <v>3122.203</v>
      </c>
      <c r="W113" s="43">
        <v>1.9857309999999999</v>
      </c>
      <c r="X113" s="43">
        <v>22154.3</v>
      </c>
      <c r="Y113" s="43">
        <v>1.333372</v>
      </c>
      <c r="Z113" s="43">
        <v>0.88174070000000004</v>
      </c>
      <c r="AA113" s="43">
        <v>1.3534139999999999</v>
      </c>
      <c r="AB113" s="43">
        <v>1.106511</v>
      </c>
      <c r="AC113" s="43">
        <v>75.803889999999996</v>
      </c>
      <c r="AD113" s="43">
        <v>1.436283</v>
      </c>
      <c r="AE113" s="43">
        <v>1.7613460000000001</v>
      </c>
      <c r="AF113" s="43">
        <v>1.846187</v>
      </c>
      <c r="AG113" s="43">
        <v>355.46230000000003</v>
      </c>
      <c r="AH113" s="43">
        <v>161.471</v>
      </c>
      <c r="AI113" s="43">
        <v>3.0322170000000002</v>
      </c>
      <c r="AJ113" s="43">
        <v>2.9974303300360101</v>
      </c>
      <c r="AK113" s="43">
        <f t="shared" si="4"/>
        <v>37001.10280484525</v>
      </c>
      <c r="AL113" s="47">
        <v>7.9549924098856195E-3</v>
      </c>
      <c r="AM113" s="43">
        <v>2.5137819887605102</v>
      </c>
      <c r="AN113" s="43">
        <v>0.74557440452774204</v>
      </c>
      <c r="AO113" s="43">
        <v>2.9942680427392299</v>
      </c>
      <c r="AP113" s="43">
        <v>2.4935395368977602</v>
      </c>
      <c r="AQ113" s="43">
        <v>4.6558785846312798</v>
      </c>
      <c r="AR113" s="43">
        <v>2.76245895984589</v>
      </c>
      <c r="AS113" s="43">
        <v>2.3391549368481002</v>
      </c>
      <c r="AT113" s="43">
        <v>2.2955838694335999</v>
      </c>
      <c r="AU113" s="43">
        <v>3.0331021592597098</v>
      </c>
      <c r="AV113" s="43">
        <v>2606.3180000000002</v>
      </c>
      <c r="AW113" s="43">
        <v>1514.12</v>
      </c>
      <c r="AX113" s="43">
        <v>1.2349570000000001</v>
      </c>
      <c r="AY113" s="43">
        <v>1.8390420000000001</v>
      </c>
      <c r="AZ113" s="43">
        <v>205.00399999999999</v>
      </c>
      <c r="BA113" s="43">
        <v>0.78087499999999999</v>
      </c>
      <c r="BB113" s="43">
        <v>171.84030000000001</v>
      </c>
      <c r="BC113" s="43">
        <v>36.084009999999999</v>
      </c>
      <c r="BD113" s="43">
        <v>5.2</v>
      </c>
      <c r="BE113" s="43">
        <v>1.402312</v>
      </c>
      <c r="BF113" s="43">
        <v>2.416201</v>
      </c>
      <c r="BG113" s="43">
        <v>2.7354850000000002</v>
      </c>
      <c r="BH113" s="43">
        <v>2.5105849999999998</v>
      </c>
      <c r="BI113" s="43">
        <v>1.5458270000000001</v>
      </c>
      <c r="BJ113" s="43">
        <v>1.4731650000000001</v>
      </c>
      <c r="BK113" s="43">
        <v>97.075569999999999</v>
      </c>
      <c r="BL113" s="43">
        <v>99.509969999999996</v>
      </c>
      <c r="BM113" s="43">
        <v>1.269879</v>
      </c>
      <c r="BN113" s="43">
        <v>1.371691</v>
      </c>
      <c r="BO113" s="43">
        <v>42.76793</v>
      </c>
      <c r="BP113" s="43">
        <v>1.2806146269016101</v>
      </c>
      <c r="BQ113" s="43">
        <v>3771.3150000000001</v>
      </c>
      <c r="BR113" s="43">
        <v>654.31064058222898</v>
      </c>
      <c r="BS113" s="43">
        <v>13598.72</v>
      </c>
      <c r="BT113" s="43">
        <v>7179.1779999999999</v>
      </c>
      <c r="BU113" s="43">
        <v>1.1502349999999999</v>
      </c>
      <c r="BV113" s="43">
        <v>1.424682</v>
      </c>
      <c r="BW113" s="43">
        <v>1.5063569999999999</v>
      </c>
      <c r="BX113" s="43">
        <v>1.1815640000000001</v>
      </c>
      <c r="BY113" s="43">
        <v>2.1449699999999998</v>
      </c>
      <c r="BZ113" s="43">
        <v>2.3736670000000002</v>
      </c>
      <c r="CA113" s="43">
        <v>1.99739</v>
      </c>
      <c r="CB113" s="43">
        <v>0.75252390000000002</v>
      </c>
      <c r="CC113" s="43">
        <v>8.1336575881234996</v>
      </c>
      <c r="CD113" s="43">
        <v>1.048495</v>
      </c>
      <c r="CE113" s="43">
        <v>1.1203700000000001</v>
      </c>
      <c r="CF113" s="43">
        <v>1.222874</v>
      </c>
      <c r="CG113" s="43">
        <v>1.1163400000000001</v>
      </c>
      <c r="CH113" s="43">
        <v>1.0791490190944</v>
      </c>
      <c r="CI113" s="43">
        <v>1.13041555450816</v>
      </c>
      <c r="CJ113" s="43">
        <v>1.1556899002144301</v>
      </c>
      <c r="CK113" s="43">
        <v>1.1207953115621601</v>
      </c>
      <c r="CL113" s="43">
        <v>1.427063</v>
      </c>
      <c r="CM113" s="43">
        <v>1.300217</v>
      </c>
      <c r="CN113" s="43">
        <v>1.4362239999999999</v>
      </c>
      <c r="CO113" s="43">
        <v>1.7538</v>
      </c>
      <c r="CP113" s="43">
        <v>0.84633553849071197</v>
      </c>
      <c r="CQ113" s="43">
        <v>1.2339389999999999</v>
      </c>
      <c r="CR113" s="43">
        <v>2.5674760125827301</v>
      </c>
      <c r="CS113" s="43">
        <v>70.220934934529296</v>
      </c>
      <c r="CT113" s="43">
        <v>96.429337720481399</v>
      </c>
      <c r="CU113" s="43">
        <v>18.784381425664201</v>
      </c>
      <c r="CV113" s="43">
        <v>22.194957639570301</v>
      </c>
      <c r="CW113" s="43">
        <v>1.394026</v>
      </c>
      <c r="CX113" s="43">
        <v>1.352093</v>
      </c>
      <c r="CY113" s="43">
        <v>1.320181</v>
      </c>
      <c r="CZ113" s="43">
        <v>1.35568616001265</v>
      </c>
      <c r="DA113" s="43">
        <v>1.2125701435588101</v>
      </c>
      <c r="DB113" s="43">
        <v>2.5618843336101298</v>
      </c>
      <c r="DC113" s="43">
        <v>0.99855363452031998</v>
      </c>
      <c r="DD113" s="43">
        <v>1.2885202031849801</v>
      </c>
      <c r="DE113" s="43">
        <v>1.75959066982768</v>
      </c>
      <c r="DF113" s="43">
        <v>1.4074202246390499</v>
      </c>
      <c r="DG113" s="43">
        <v>1.5082760000864299</v>
      </c>
      <c r="DH113" s="43">
        <v>1.20927169484832</v>
      </c>
      <c r="DI113" s="43">
        <v>2.1940550621438</v>
      </c>
      <c r="DJ113" s="43">
        <v>1.1891121012183501</v>
      </c>
      <c r="DK113" s="43">
        <v>1.81334</v>
      </c>
      <c r="DL113" s="43">
        <v>2.019952</v>
      </c>
      <c r="DM113" s="43">
        <v>2.1969470000000002</v>
      </c>
      <c r="DN113" s="43">
        <v>1.6211832783878</v>
      </c>
      <c r="DO113" s="43">
        <v>2.3400660000000002</v>
      </c>
      <c r="DP113" s="43">
        <v>1.6942680000000001</v>
      </c>
      <c r="DQ113" s="43">
        <v>1.3581529999999999</v>
      </c>
      <c r="DR113" s="43">
        <v>2.0079039999999999</v>
      </c>
      <c r="DS113" s="43">
        <v>0.92155719999999997</v>
      </c>
      <c r="DT113" s="43">
        <v>1.43081668179485</v>
      </c>
      <c r="DU113" s="43">
        <v>612.19839999999999</v>
      </c>
      <c r="DV113" s="43">
        <v>323.10430000000002</v>
      </c>
      <c r="DW113" s="43">
        <v>113.1764</v>
      </c>
      <c r="DX113" s="43">
        <v>1.1195569999999999</v>
      </c>
      <c r="DY113" s="43">
        <v>1.2493829999999999</v>
      </c>
      <c r="DZ113" s="43">
        <v>1.0816889999999999</v>
      </c>
      <c r="EA113" s="43">
        <v>906.07389999999998</v>
      </c>
      <c r="EB113" s="43">
        <v>127.883320251103</v>
      </c>
      <c r="EC113" s="43">
        <v>1.33436056608224</v>
      </c>
      <c r="ED113" s="43">
        <v>1.40724312357203</v>
      </c>
      <c r="EE113" s="43">
        <v>1.3928093462357101</v>
      </c>
      <c r="EF113" s="43">
        <v>1.65886746245292</v>
      </c>
      <c r="EG113" s="43">
        <v>1.4899088261694</v>
      </c>
      <c r="EH113" s="43">
        <v>0.66673513118573002</v>
      </c>
      <c r="EI113" s="43">
        <v>0.275413162648595</v>
      </c>
      <c r="EJ113" s="43">
        <v>31.548350886103801</v>
      </c>
      <c r="EK113" s="43">
        <v>17.901855572158599</v>
      </c>
      <c r="EL113" s="43">
        <v>0.78848662316131202</v>
      </c>
      <c r="EM113" s="43">
        <v>2390.5537204396701</v>
      </c>
      <c r="EN113" s="43">
        <v>595.22856045954904</v>
      </c>
      <c r="EO113" s="43">
        <v>88461.579009729801</v>
      </c>
      <c r="EP113" s="43">
        <v>59972.395238116202</v>
      </c>
      <c r="EQ113" s="43">
        <v>4266.2719462530304</v>
      </c>
      <c r="ER113" s="43">
        <v>1.95895417704488</v>
      </c>
      <c r="ES113" s="43">
        <v>2.0926386731762698</v>
      </c>
      <c r="ET113" s="43">
        <v>1.9316073172361901</v>
      </c>
      <c r="EU113" s="43">
        <v>2.1776559999999998</v>
      </c>
      <c r="EV113" s="43">
        <v>1.9176150000000001</v>
      </c>
      <c r="EW113" s="43">
        <v>2.6176819999999998</v>
      </c>
      <c r="EX113" s="43">
        <v>2.1798679999999999</v>
      </c>
      <c r="EY113" s="43">
        <v>1.917907</v>
      </c>
      <c r="EZ113" s="43">
        <v>2.618506</v>
      </c>
      <c r="FA113" s="43">
        <v>16.6494375940729</v>
      </c>
      <c r="FB113" s="43">
        <v>16.3254388208717</v>
      </c>
      <c r="FC113" s="43">
        <v>70.799107521242206</v>
      </c>
      <c r="FD113" s="43">
        <v>16077.695473490199</v>
      </c>
      <c r="FE113" s="43">
        <v>168597.3</v>
      </c>
      <c r="FF113" s="43">
        <v>1.526125</v>
      </c>
      <c r="FG113" s="43">
        <v>5.4628764565893597</v>
      </c>
      <c r="FH113" s="43">
        <v>908.43416251823805</v>
      </c>
      <c r="FI113" s="43">
        <v>14500.671307812099</v>
      </c>
      <c r="FJ113" s="43">
        <v>7.09286389945522</v>
      </c>
      <c r="FK113" s="43">
        <v>18.555569106090399</v>
      </c>
      <c r="FL113" s="43">
        <v>1.1087560000000001</v>
      </c>
      <c r="FM113" s="43">
        <v>1.1477649999999999</v>
      </c>
    </row>
    <row r="114" spans="1:169" x14ac:dyDescent="0.25">
      <c r="A114" s="43" t="s">
        <v>341</v>
      </c>
      <c r="B114" s="43">
        <v>26060.02</v>
      </c>
      <c r="C114" s="43">
        <v>18101.310000000001</v>
      </c>
      <c r="D114" s="43">
        <v>3.6821630000000001</v>
      </c>
      <c r="E114" s="43">
        <v>3.0928089999999999</v>
      </c>
      <c r="F114" s="43">
        <v>3.19082</v>
      </c>
      <c r="G114" s="43">
        <v>3.6386820000000002</v>
      </c>
      <c r="H114" s="43">
        <v>1.1772579999999999</v>
      </c>
      <c r="I114" s="43">
        <v>1.136064</v>
      </c>
      <c r="J114" s="43">
        <v>1.139359</v>
      </c>
      <c r="K114" s="43">
        <v>1.115251</v>
      </c>
      <c r="L114" s="43">
        <v>2.9380280000000001</v>
      </c>
      <c r="M114" s="43">
        <v>78.02073</v>
      </c>
      <c r="N114" s="43">
        <v>83.307840310337497</v>
      </c>
      <c r="O114" s="43">
        <v>2.5837395020684402</v>
      </c>
      <c r="P114" s="43">
        <v>1.3645</v>
      </c>
      <c r="Q114" s="43">
        <v>-602.34379999999999</v>
      </c>
      <c r="R114" s="43">
        <v>6.0928089999999999</v>
      </c>
      <c r="S114" s="43">
        <v>3796.3119999999999</v>
      </c>
      <c r="T114" s="43">
        <v>2.7748200000000001</v>
      </c>
      <c r="U114" s="43">
        <v>4.2177090000000002</v>
      </c>
      <c r="V114" s="43">
        <v>3145.9949999999999</v>
      </c>
      <c r="W114" s="43">
        <v>1.999096</v>
      </c>
      <c r="X114" s="43">
        <v>22287.62</v>
      </c>
      <c r="Y114" s="43">
        <v>1.3344959999999999</v>
      </c>
      <c r="Z114" s="43">
        <v>0.8874031</v>
      </c>
      <c r="AA114" s="43">
        <v>1.3587260000000001</v>
      </c>
      <c r="AB114" s="43">
        <v>1.1069659999999999</v>
      </c>
      <c r="AC114" s="43">
        <v>76.112939999999995</v>
      </c>
      <c r="AD114" s="43">
        <v>1.4436279999999999</v>
      </c>
      <c r="AE114" s="43">
        <v>1.775755</v>
      </c>
      <c r="AF114" s="43">
        <v>1.85886</v>
      </c>
      <c r="AG114" s="43">
        <v>356.03410000000002</v>
      </c>
      <c r="AH114" s="43">
        <v>165.20179999999999</v>
      </c>
      <c r="AI114" s="43">
        <v>3.0488080000000002</v>
      </c>
      <c r="AJ114" s="43">
        <v>3.0132402378699599</v>
      </c>
      <c r="AK114" s="43">
        <f t="shared" si="4"/>
        <v>37409.655026228065</v>
      </c>
      <c r="AL114" s="47">
        <v>1.1041622827774544E-2</v>
      </c>
      <c r="AM114" s="43">
        <v>2.5043026255848102</v>
      </c>
      <c r="AN114" s="43">
        <v>0.74197786401923405</v>
      </c>
      <c r="AO114" s="43">
        <v>3.00573280071653</v>
      </c>
      <c r="AP114" s="43">
        <v>2.5067240701493301</v>
      </c>
      <c r="AQ114" s="43">
        <v>4.6853919919141402</v>
      </c>
      <c r="AR114" s="43">
        <v>2.7763227736828102</v>
      </c>
      <c r="AS114" s="43">
        <v>2.34971258932244</v>
      </c>
      <c r="AT114" s="43">
        <v>2.30440858180524</v>
      </c>
      <c r="AU114" s="43">
        <v>3.0494962610185299</v>
      </c>
      <c r="AV114" s="43">
        <v>2626.2869999999998</v>
      </c>
      <c r="AW114" s="43">
        <v>1526.8779999999999</v>
      </c>
      <c r="AX114" s="43">
        <v>1.2464040000000001</v>
      </c>
      <c r="AY114" s="43">
        <v>1.849507</v>
      </c>
      <c r="AZ114" s="43">
        <v>212.10560000000001</v>
      </c>
      <c r="BA114" s="43">
        <v>0.77462830000000005</v>
      </c>
      <c r="BB114" s="43">
        <v>172.89</v>
      </c>
      <c r="BC114" s="43">
        <v>36.313789999999997</v>
      </c>
      <c r="BD114" s="43">
        <v>5.3</v>
      </c>
      <c r="BE114" s="43">
        <v>1.410501</v>
      </c>
      <c r="BF114" s="43">
        <v>2.4067310000000002</v>
      </c>
      <c r="BG114" s="43">
        <v>2.7243580000000001</v>
      </c>
      <c r="BH114" s="43">
        <v>2.4827319999999999</v>
      </c>
      <c r="BI114" s="43">
        <v>1.5542309999999999</v>
      </c>
      <c r="BJ114" s="43">
        <v>1.48183</v>
      </c>
      <c r="BK114" s="43">
        <v>98.257369999999995</v>
      </c>
      <c r="BL114" s="43">
        <v>100.72020000000001</v>
      </c>
      <c r="BM114" s="43">
        <v>1.2841119999999999</v>
      </c>
      <c r="BN114" s="43">
        <v>1.380349</v>
      </c>
      <c r="BO114" s="43">
        <v>42.881259999999997</v>
      </c>
      <c r="BP114" s="43">
        <v>1.2909417396578999</v>
      </c>
      <c r="BQ114" s="43">
        <v>3811.9360000000001</v>
      </c>
      <c r="BR114" s="43">
        <v>658.005606023312</v>
      </c>
      <c r="BS114" s="43">
        <v>13659.51</v>
      </c>
      <c r="BT114" s="43">
        <v>7204.61</v>
      </c>
      <c r="BU114" s="43">
        <v>1.1568339999999999</v>
      </c>
      <c r="BV114" s="43">
        <v>1.431503</v>
      </c>
      <c r="BW114" s="43">
        <v>1.5144200000000001</v>
      </c>
      <c r="BX114" s="43">
        <v>1.1732929999999999</v>
      </c>
      <c r="BY114" s="43">
        <v>2.1580720000000002</v>
      </c>
      <c r="BZ114" s="43">
        <v>2.3779080000000001</v>
      </c>
      <c r="CA114" s="43">
        <v>2.0211649999999999</v>
      </c>
      <c r="CB114" s="43">
        <v>0.75402899999999995</v>
      </c>
      <c r="CC114" s="43">
        <v>8.2161079978050608</v>
      </c>
      <c r="CD114" s="43">
        <v>1.0558650000000001</v>
      </c>
      <c r="CE114" s="43">
        <v>1.126905</v>
      </c>
      <c r="CF114" s="43">
        <v>1.2308509999999999</v>
      </c>
      <c r="CG114" s="43">
        <v>1.120608</v>
      </c>
      <c r="CH114" s="43">
        <v>1.0822297523597899</v>
      </c>
      <c r="CI114" s="43">
        <v>1.13474889527892</v>
      </c>
      <c r="CJ114" s="43">
        <v>1.16090484582079</v>
      </c>
      <c r="CK114" s="43">
        <v>1.1240593006757</v>
      </c>
      <c r="CL114" s="43">
        <v>1.4339</v>
      </c>
      <c r="CM114" s="43">
        <v>1.304109</v>
      </c>
      <c r="CN114" s="43">
        <v>1.4449860000000001</v>
      </c>
      <c r="CO114" s="43">
        <v>1.765906</v>
      </c>
      <c r="CP114" s="43">
        <v>0.852301650040999</v>
      </c>
      <c r="CQ114" s="43">
        <v>1.238969</v>
      </c>
      <c r="CR114" s="43">
        <v>1.5978249910273601</v>
      </c>
      <c r="CS114" s="43">
        <v>71.003409757852694</v>
      </c>
      <c r="CT114" s="43">
        <v>96.718625733642895</v>
      </c>
      <c r="CU114" s="43">
        <v>18.897882219776999</v>
      </c>
      <c r="CV114" s="43">
        <v>22.172762681930699</v>
      </c>
      <c r="CW114" s="43">
        <v>1.4002870000000001</v>
      </c>
      <c r="CX114" s="43">
        <v>1.3577870000000001</v>
      </c>
      <c r="CY114" s="43">
        <v>1.324746</v>
      </c>
      <c r="CZ114" s="43">
        <v>1.3606779593547</v>
      </c>
      <c r="DA114" s="43">
        <v>1.2158503767614199</v>
      </c>
      <c r="DB114" s="43">
        <v>2.5746447461768298</v>
      </c>
      <c r="DC114" s="43">
        <v>0.99838920898012995</v>
      </c>
      <c r="DD114" s="43">
        <v>1.29591706277319</v>
      </c>
      <c r="DE114" s="43">
        <v>1.7721816202311</v>
      </c>
      <c r="DF114" s="43">
        <v>1.41385406974265</v>
      </c>
      <c r="DG114" s="43">
        <v>1.51635511669337</v>
      </c>
      <c r="DH114" s="43">
        <v>1.2135432477249599</v>
      </c>
      <c r="DI114" s="43">
        <v>2.2133416087494</v>
      </c>
      <c r="DJ114" s="43">
        <v>1.18927293340624</v>
      </c>
      <c r="DK114" s="43">
        <v>1.826333</v>
      </c>
      <c r="DL114" s="43">
        <v>2.0353840000000001</v>
      </c>
      <c r="DM114" s="43">
        <v>2.214804</v>
      </c>
      <c r="DN114" s="43">
        <v>1.6308782444013801</v>
      </c>
      <c r="DO114" s="43">
        <v>2.363051</v>
      </c>
      <c r="DP114" s="43">
        <v>1.706588</v>
      </c>
      <c r="DQ114" s="43">
        <v>1.362724</v>
      </c>
      <c r="DR114" s="43">
        <v>2.0227219999999999</v>
      </c>
      <c r="DS114" s="43">
        <v>0.92361020000000005</v>
      </c>
      <c r="DT114" s="43">
        <v>1.4380475952987599</v>
      </c>
      <c r="DU114" s="43">
        <v>615.49289999999996</v>
      </c>
      <c r="DV114" s="43">
        <v>324.54289999999997</v>
      </c>
      <c r="DW114" s="43">
        <v>114.0389</v>
      </c>
      <c r="DX114" s="43">
        <v>1.121548</v>
      </c>
      <c r="DY114" s="43">
        <v>1.252443</v>
      </c>
      <c r="DZ114" s="43">
        <v>1.0820099999999999</v>
      </c>
      <c r="EA114" s="43">
        <v>909.98500000000001</v>
      </c>
      <c r="EB114" s="43">
        <v>127.49967029035</v>
      </c>
      <c r="EC114" s="43">
        <v>1.3415028556364901</v>
      </c>
      <c r="ED114" s="43">
        <v>1.41552876384722</v>
      </c>
      <c r="EE114" s="43">
        <v>1.40060337884265</v>
      </c>
      <c r="EF114" s="43">
        <v>1.6695056375603701</v>
      </c>
      <c r="EG114" s="43">
        <v>1.4983581616396899</v>
      </c>
      <c r="EH114" s="43">
        <v>0.67062848302678701</v>
      </c>
      <c r="EI114" s="43">
        <v>0.27702141800172497</v>
      </c>
      <c r="EJ114" s="43">
        <v>31.732575211866099</v>
      </c>
      <c r="EK114" s="43">
        <v>18.0063921701121</v>
      </c>
      <c r="EL114" s="43">
        <v>0.79309093408231301</v>
      </c>
      <c r="EM114" s="43">
        <v>2400.2999185369399</v>
      </c>
      <c r="EN114" s="43">
        <v>597.65528503544601</v>
      </c>
      <c r="EO114" s="43">
        <v>88822.233558361899</v>
      </c>
      <c r="EP114" s="43">
        <v>60216.900450176799</v>
      </c>
      <c r="EQ114" s="43">
        <v>4283.6653773938997</v>
      </c>
      <c r="ER114" s="43">
        <v>1.96943966223652</v>
      </c>
      <c r="ES114" s="43">
        <v>2.1038397171190799</v>
      </c>
      <c r="ET114" s="43">
        <v>1.9419464258065999</v>
      </c>
      <c r="EU114" s="43">
        <v>2.198118</v>
      </c>
      <c r="EV114" s="43">
        <v>1.9279040000000001</v>
      </c>
      <c r="EW114" s="43">
        <v>2.6453329999999999</v>
      </c>
      <c r="EX114" s="43">
        <v>2.1969259999999999</v>
      </c>
      <c r="EY114" s="43">
        <v>1.9274199999999999</v>
      </c>
      <c r="EZ114" s="43">
        <v>2.6442239999999999</v>
      </c>
      <c r="FA114" s="43">
        <v>16.806607298435399</v>
      </c>
      <c r="FB114" s="43">
        <v>16.478361547408198</v>
      </c>
      <c r="FC114" s="43">
        <v>71.353117435111699</v>
      </c>
      <c r="FD114" s="43">
        <v>16157.4412234294</v>
      </c>
      <c r="FE114" s="43">
        <v>170253.3</v>
      </c>
      <c r="FF114" s="43">
        <v>1.52803125</v>
      </c>
      <c r="FG114" s="43">
        <v>5.5175052211552504</v>
      </c>
      <c r="FH114" s="43">
        <v>909.34259668075595</v>
      </c>
      <c r="FI114" s="43">
        <v>14573.1746643512</v>
      </c>
      <c r="FJ114" s="43">
        <v>7.1070496272541304</v>
      </c>
      <c r="FK114" s="43">
        <v>18.537013536984301</v>
      </c>
      <c r="FL114" s="43">
        <v>1.1129290000000001</v>
      </c>
      <c r="FM114" s="43">
        <v>1.149697</v>
      </c>
    </row>
    <row r="115" spans="1:169" x14ac:dyDescent="0.25">
      <c r="A115" s="43" t="s">
        <v>342</v>
      </c>
      <c r="B115" s="43">
        <v>26204.1</v>
      </c>
      <c r="C115" s="43">
        <v>18217.84</v>
      </c>
      <c r="D115" s="43">
        <v>3.7004380000000001</v>
      </c>
      <c r="E115" s="43">
        <v>3.0928089999999999</v>
      </c>
      <c r="F115" s="43">
        <v>3.175996</v>
      </c>
      <c r="G115" s="43">
        <v>3.4498009999999999</v>
      </c>
      <c r="H115" s="43">
        <v>1.185203</v>
      </c>
      <c r="I115" s="43">
        <v>1.142765</v>
      </c>
      <c r="J115" s="43">
        <v>1.1457329999999999</v>
      </c>
      <c r="K115" s="43">
        <v>1.1192770000000001</v>
      </c>
      <c r="L115" s="43">
        <v>2.9506070000000002</v>
      </c>
      <c r="M115" s="43">
        <v>78.336600000000004</v>
      </c>
      <c r="N115" s="43">
        <v>83.645119016047403</v>
      </c>
      <c r="O115" s="43">
        <v>2.5947575809685199</v>
      </c>
      <c r="P115" s="43">
        <v>1.3694999999999999</v>
      </c>
      <c r="Q115" s="43">
        <v>-596.47519999999997</v>
      </c>
      <c r="R115" s="43">
        <v>6.0928089999999999</v>
      </c>
      <c r="S115" s="43">
        <v>3814.67</v>
      </c>
      <c r="T115" s="43">
        <v>2.7761610000000001</v>
      </c>
      <c r="U115" s="43">
        <v>4.2146359999999996</v>
      </c>
      <c r="V115" s="43">
        <v>3167.51</v>
      </c>
      <c r="W115" s="43">
        <v>2.0104310000000001</v>
      </c>
      <c r="X115" s="43">
        <v>22418.79</v>
      </c>
      <c r="Y115" s="43">
        <v>1.3355490000000001</v>
      </c>
      <c r="Z115" s="43">
        <v>0.8929182</v>
      </c>
      <c r="AA115" s="43">
        <v>1.3623749999999999</v>
      </c>
      <c r="AB115" s="43">
        <v>1.107432</v>
      </c>
      <c r="AC115" s="43">
        <v>76.421989999999994</v>
      </c>
      <c r="AD115" s="43">
        <v>1.4498610000000001</v>
      </c>
      <c r="AE115" s="43">
        <v>1.787372</v>
      </c>
      <c r="AF115" s="43">
        <v>1.8704339999999999</v>
      </c>
      <c r="AG115" s="43">
        <v>356.60680000000002</v>
      </c>
      <c r="AH115" s="43">
        <v>169.41739999999999</v>
      </c>
      <c r="AI115" s="43">
        <v>3.0626380000000002</v>
      </c>
      <c r="AJ115" s="43">
        <v>3.0263987922032798</v>
      </c>
      <c r="AK115" s="43">
        <f t="shared" si="4"/>
        <v>37778.909229334458</v>
      </c>
      <c r="AL115" s="47">
        <v>9.8705588930854127E-3</v>
      </c>
      <c r="AM115" s="43">
        <v>2.4949477233956201</v>
      </c>
      <c r="AN115" s="43">
        <v>0.73747238374745805</v>
      </c>
      <c r="AO115" s="43">
        <v>3.0151216334094801</v>
      </c>
      <c r="AP115" s="43">
        <v>2.51976853000706</v>
      </c>
      <c r="AQ115" s="43">
        <v>4.709938191919</v>
      </c>
      <c r="AR115" s="43">
        <v>2.78662421959134</v>
      </c>
      <c r="AS115" s="43">
        <v>2.3588293972873902</v>
      </c>
      <c r="AT115" s="43">
        <v>2.3120424744872898</v>
      </c>
      <c r="AU115" s="43">
        <v>3.06236492619461</v>
      </c>
      <c r="AV115" s="43">
        <v>2638.0259999999998</v>
      </c>
      <c r="AW115" s="43">
        <v>1536.2719999999999</v>
      </c>
      <c r="AX115" s="43">
        <v>1.251171</v>
      </c>
      <c r="AY115" s="43">
        <v>1.85764</v>
      </c>
      <c r="AZ115" s="43">
        <v>209.37950000000001</v>
      </c>
      <c r="BA115" s="43">
        <v>0.77772669999999999</v>
      </c>
      <c r="BB115" s="43">
        <v>173.83519999999999</v>
      </c>
      <c r="BC115" s="43">
        <v>36.497059999999998</v>
      </c>
      <c r="BD115" s="43">
        <v>5.5</v>
      </c>
      <c r="BE115" s="43">
        <v>1.415003</v>
      </c>
      <c r="BF115" s="43">
        <v>2.4093909999999998</v>
      </c>
      <c r="BG115" s="43">
        <v>2.728205</v>
      </c>
      <c r="BH115" s="43">
        <v>2.4706700000000001</v>
      </c>
      <c r="BI115" s="43">
        <v>1.5602739999999999</v>
      </c>
      <c r="BJ115" s="43">
        <v>1.4877800000000001</v>
      </c>
      <c r="BK115" s="43">
        <v>98.263300000000001</v>
      </c>
      <c r="BL115" s="43">
        <v>100.7251</v>
      </c>
      <c r="BM115" s="43">
        <v>1.294802</v>
      </c>
      <c r="BN115" s="43">
        <v>1.3857139999999999</v>
      </c>
      <c r="BO115" s="43">
        <v>42.994900000000001</v>
      </c>
      <c r="BP115" s="43">
        <v>1.2857987847233401</v>
      </c>
      <c r="BQ115" s="43">
        <v>3840.2559999999999</v>
      </c>
      <c r="BR115" s="43">
        <v>660.13438969255901</v>
      </c>
      <c r="BS115" s="43">
        <v>13724.27</v>
      </c>
      <c r="BT115" s="43">
        <v>7234.3360000000002</v>
      </c>
      <c r="BU115" s="43">
        <v>1.162998</v>
      </c>
      <c r="BV115" s="43">
        <v>1.4373119999999999</v>
      </c>
      <c r="BW115" s="43">
        <v>1.520394</v>
      </c>
      <c r="BX115" s="43">
        <v>1.1650799999999999</v>
      </c>
      <c r="BY115" s="43">
        <v>2.1359309999999998</v>
      </c>
      <c r="BZ115" s="43">
        <v>2.3589760000000002</v>
      </c>
      <c r="CA115" s="43">
        <v>2.0158809999999998</v>
      </c>
      <c r="CB115" s="43">
        <v>0.75629100000000005</v>
      </c>
      <c r="CC115" s="43">
        <v>8.3997041062515105</v>
      </c>
      <c r="CD115" s="43">
        <v>1.06212</v>
      </c>
      <c r="CE115" s="43">
        <v>1.1331530000000001</v>
      </c>
      <c r="CF115" s="43">
        <v>1.238702</v>
      </c>
      <c r="CG115" s="43">
        <v>1.1250560000000001</v>
      </c>
      <c r="CH115" s="43">
        <v>1.08510477853987</v>
      </c>
      <c r="CI115" s="43">
        <v>1.1390582770471001</v>
      </c>
      <c r="CJ115" s="43">
        <v>1.1660791502007199</v>
      </c>
      <c r="CK115" s="43">
        <v>1.1275343095199399</v>
      </c>
      <c r="CL115" s="43">
        <v>1.4397230000000001</v>
      </c>
      <c r="CM115" s="43">
        <v>1.307477</v>
      </c>
      <c r="CN115" s="43">
        <v>1.452528</v>
      </c>
      <c r="CO115" s="43">
        <v>1.7748759999999999</v>
      </c>
      <c r="CP115" s="43">
        <v>0.85830981877240597</v>
      </c>
      <c r="CQ115" s="43">
        <v>1.244132</v>
      </c>
      <c r="CR115" s="43">
        <v>1.59695691183718</v>
      </c>
      <c r="CS115" s="43">
        <v>71.793426943859998</v>
      </c>
      <c r="CT115" s="43">
        <v>97.492374739512002</v>
      </c>
      <c r="CU115" s="43">
        <v>18.897882219776999</v>
      </c>
      <c r="CV115" s="43">
        <v>22.0175533431572</v>
      </c>
      <c r="CW115" s="43">
        <v>1.4049259999999999</v>
      </c>
      <c r="CX115" s="43">
        <v>1.362006</v>
      </c>
      <c r="CY115" s="43">
        <v>1.328111</v>
      </c>
      <c r="CZ115" s="43">
        <v>1.36427564596398</v>
      </c>
      <c r="DA115" s="43">
        <v>1.2182482081316901</v>
      </c>
      <c r="DB115" s="43">
        <v>2.58611637070547</v>
      </c>
      <c r="DC115" s="43">
        <v>0.99807654532773904</v>
      </c>
      <c r="DD115" s="43">
        <v>1.3018219124099699</v>
      </c>
      <c r="DE115" s="43">
        <v>1.7820815997386801</v>
      </c>
      <c r="DF115" s="43">
        <v>1.4193482390616601</v>
      </c>
      <c r="DG115" s="43">
        <v>1.52281984115811</v>
      </c>
      <c r="DH115" s="43">
        <v>1.2166809762587001</v>
      </c>
      <c r="DI115" s="43">
        <v>2.2288668150903899</v>
      </c>
      <c r="DJ115" s="43">
        <v>1.1900100763272701</v>
      </c>
      <c r="DK115" s="43">
        <v>1.837602</v>
      </c>
      <c r="DL115" s="43">
        <v>2.0466489999999999</v>
      </c>
      <c r="DM115" s="43">
        <v>2.2279010000000001</v>
      </c>
      <c r="DN115" s="43">
        <v>1.63799009230207</v>
      </c>
      <c r="DO115" s="43">
        <v>2.3801190000000001</v>
      </c>
      <c r="DP115" s="43">
        <v>1.7158070000000001</v>
      </c>
      <c r="DQ115" s="43">
        <v>1.366163</v>
      </c>
      <c r="DR115" s="43">
        <v>2.033226</v>
      </c>
      <c r="DS115" s="43">
        <v>0.92520170000000002</v>
      </c>
      <c r="DT115" s="43">
        <v>1.44339663761924</v>
      </c>
      <c r="DU115" s="43">
        <v>618.30489999999998</v>
      </c>
      <c r="DV115" s="43">
        <v>325.71030000000002</v>
      </c>
      <c r="DW115" s="43">
        <v>114.7252</v>
      </c>
      <c r="DX115" s="43">
        <v>1.1230709999999999</v>
      </c>
      <c r="DY115" s="43">
        <v>1.2546649999999999</v>
      </c>
      <c r="DZ115" s="43">
        <v>1.0822149999999999</v>
      </c>
      <c r="EA115" s="43">
        <v>913.75009999999997</v>
      </c>
      <c r="EB115" s="43">
        <v>127.244670949769</v>
      </c>
      <c r="EC115" s="43">
        <v>1.34679513050593</v>
      </c>
      <c r="ED115" s="43">
        <v>1.42167150443077</v>
      </c>
      <c r="EE115" s="43">
        <v>1.4063793182814499</v>
      </c>
      <c r="EF115" s="43">
        <v>1.67739987028905</v>
      </c>
      <c r="EG115" s="43">
        <v>1.5046216916297599</v>
      </c>
      <c r="EH115" s="43">
        <v>0.67276897749249098</v>
      </c>
      <c r="EI115" s="43">
        <v>0.27790560772393502</v>
      </c>
      <c r="EJ115" s="43">
        <v>31.833858416117899</v>
      </c>
      <c r="EK115" s="43">
        <v>18.0638645020558</v>
      </c>
      <c r="EL115" s="43">
        <v>0.79562230099882303</v>
      </c>
      <c r="EM115" s="43">
        <v>2410.0461166342102</v>
      </c>
      <c r="EN115" s="43">
        <v>600.08200961134196</v>
      </c>
      <c r="EO115" s="43">
        <v>89182.888106993996</v>
      </c>
      <c r="EP115" s="43">
        <v>60461.405662237397</v>
      </c>
      <c r="EQ115" s="43">
        <v>4301.0588085347599</v>
      </c>
      <c r="ER115" s="43">
        <v>1.9772091693885501</v>
      </c>
      <c r="ES115" s="43">
        <v>2.1121394371065998</v>
      </c>
      <c r="ET115" s="43">
        <v>1.9496074711960401</v>
      </c>
      <c r="EU115" s="43">
        <v>2.2099259999999998</v>
      </c>
      <c r="EV115" s="43">
        <v>1.936366</v>
      </c>
      <c r="EW115" s="43">
        <v>2.6683829999999999</v>
      </c>
      <c r="EX115" s="43">
        <v>2.2081659999999999</v>
      </c>
      <c r="EY115" s="43">
        <v>1.9362090000000001</v>
      </c>
      <c r="EZ115" s="43">
        <v>2.6678060000000001</v>
      </c>
      <c r="FA115" s="43">
        <v>16.897299313944899</v>
      </c>
      <c r="FB115" s="43">
        <v>16.566670523600202</v>
      </c>
      <c r="FC115" s="43">
        <v>71.718206418942898</v>
      </c>
      <c r="FD115" s="43">
        <v>16231.1215636776</v>
      </c>
      <c r="FE115" s="43">
        <v>171771.6</v>
      </c>
      <c r="FF115" s="43">
        <v>1.53421875</v>
      </c>
      <c r="FG115" s="43">
        <v>5.49769707394851</v>
      </c>
      <c r="FH115" s="43">
        <v>911.161281874118</v>
      </c>
      <c r="FI115" s="43">
        <v>14646.0405376729</v>
      </c>
      <c r="FJ115" s="43">
        <v>7.1212637265086398</v>
      </c>
      <c r="FK115" s="43">
        <v>18.5851194042393</v>
      </c>
      <c r="FL115" s="43">
        <v>1.1145620000000001</v>
      </c>
      <c r="FM115" s="43">
        <v>1.1508240000000001</v>
      </c>
    </row>
    <row r="116" spans="1:169" x14ac:dyDescent="0.25">
      <c r="A116" s="43" t="s">
        <v>343</v>
      </c>
      <c r="B116" s="43">
        <v>26345.119999999999</v>
      </c>
      <c r="C116" s="43">
        <v>18298.5</v>
      </c>
      <c r="D116" s="43">
        <v>3.7224430000000002</v>
      </c>
      <c r="E116" s="43">
        <v>2.8718949999999999</v>
      </c>
      <c r="F116" s="43">
        <v>3.0731459999999999</v>
      </c>
      <c r="G116" s="43">
        <v>3.411095</v>
      </c>
      <c r="H116" s="43">
        <v>1.1917610000000001</v>
      </c>
      <c r="I116" s="43">
        <v>1.148469</v>
      </c>
      <c r="J116" s="43">
        <v>1.1513979999999999</v>
      </c>
      <c r="K116" s="43">
        <v>1.1217649999999999</v>
      </c>
      <c r="L116" s="43">
        <v>2.9655999999999998</v>
      </c>
      <c r="M116" s="43">
        <v>78.661500000000004</v>
      </c>
      <c r="N116" s="43">
        <v>83.992034256206097</v>
      </c>
      <c r="O116" s="43">
        <v>2.6057756598686099</v>
      </c>
      <c r="P116" s="43">
        <v>1.3734999999999999</v>
      </c>
      <c r="Q116" s="43">
        <v>-593.87279999999998</v>
      </c>
      <c r="R116" s="43">
        <v>5.8718950000000003</v>
      </c>
      <c r="S116" s="43">
        <v>3828.3879999999999</v>
      </c>
      <c r="T116" s="43">
        <v>2.6097269999999999</v>
      </c>
      <c r="U116" s="43">
        <v>4.1464730000000003</v>
      </c>
      <c r="V116" s="43">
        <v>3189.9789999999998</v>
      </c>
      <c r="W116" s="43">
        <v>2.024902</v>
      </c>
      <c r="X116" s="43">
        <v>22537.3</v>
      </c>
      <c r="Y116" s="43">
        <v>1.336694</v>
      </c>
      <c r="Z116" s="43">
        <v>0.89740330000000001</v>
      </c>
      <c r="AA116" s="43">
        <v>1.3686860000000001</v>
      </c>
      <c r="AB116" s="43">
        <v>1.107793</v>
      </c>
      <c r="AC116" s="43">
        <v>76.739869999999996</v>
      </c>
      <c r="AD116" s="43">
        <v>1.457282</v>
      </c>
      <c r="AE116" s="43">
        <v>1.802271</v>
      </c>
      <c r="AF116" s="43">
        <v>1.881084</v>
      </c>
      <c r="AG116" s="43">
        <v>357.18049999999999</v>
      </c>
      <c r="AH116" s="43">
        <v>174.50030000000001</v>
      </c>
      <c r="AI116" s="43">
        <v>3.0777739999999998</v>
      </c>
      <c r="AJ116" s="43">
        <v>3.0414970529830301</v>
      </c>
      <c r="AK116" s="43">
        <f t="shared" si="4"/>
        <v>38176.632619264077</v>
      </c>
      <c r="AL116" s="47">
        <v>1.0527656781069705E-2</v>
      </c>
      <c r="AM116" s="43">
        <v>2.4863397523357702</v>
      </c>
      <c r="AN116" s="43">
        <v>0.73318178381150501</v>
      </c>
      <c r="AO116" s="43">
        <v>3.0267166463016202</v>
      </c>
      <c r="AP116" s="43">
        <v>2.5321423142554602</v>
      </c>
      <c r="AQ116" s="43">
        <v>4.7394028968706197</v>
      </c>
      <c r="AR116" s="43">
        <v>2.8011047979126</v>
      </c>
      <c r="AS116" s="43">
        <v>2.3694047995332599</v>
      </c>
      <c r="AT116" s="43">
        <v>2.32044045129317</v>
      </c>
      <c r="AU116" s="43">
        <v>3.08218436431719</v>
      </c>
      <c r="AV116" s="43">
        <v>2647.864</v>
      </c>
      <c r="AW116" s="43">
        <v>1543.2190000000001</v>
      </c>
      <c r="AX116" s="43">
        <v>1.2562450000000001</v>
      </c>
      <c r="AY116" s="43">
        <v>1.867853</v>
      </c>
      <c r="AZ116" s="43">
        <v>208.72</v>
      </c>
      <c r="BA116" s="43">
        <v>0.77539340000000001</v>
      </c>
      <c r="BB116" s="43">
        <v>175.30019999999999</v>
      </c>
      <c r="BC116" s="43">
        <v>36.731839999999998</v>
      </c>
      <c r="BD116" s="43">
        <v>5.5</v>
      </c>
      <c r="BE116" s="43">
        <v>1.4224460000000001</v>
      </c>
      <c r="BF116" s="43">
        <v>2.2695310000000002</v>
      </c>
      <c r="BG116" s="43">
        <v>2.5815990000000002</v>
      </c>
      <c r="BH116" s="43">
        <v>2.391391</v>
      </c>
      <c r="BI116" s="43">
        <v>1.568127</v>
      </c>
      <c r="BJ116" s="43">
        <v>1.4956149999999999</v>
      </c>
      <c r="BK116" s="43">
        <v>98.968940000000003</v>
      </c>
      <c r="BL116" s="43">
        <v>101.4472</v>
      </c>
      <c r="BM116" s="43">
        <v>1.304324</v>
      </c>
      <c r="BN116" s="43">
        <v>1.390684</v>
      </c>
      <c r="BO116" s="43">
        <v>43.108829999999998</v>
      </c>
      <c r="BP116" s="43">
        <v>1.2896678605559999</v>
      </c>
      <c r="BQ116" s="43">
        <v>3869.0419999999999</v>
      </c>
      <c r="BR116" s="43">
        <v>664.06262423275905</v>
      </c>
      <c r="BS116" s="43">
        <v>13802.85</v>
      </c>
      <c r="BT116" s="43">
        <v>7275.1509999999998</v>
      </c>
      <c r="BU116" s="43">
        <v>1.1692629999999999</v>
      </c>
      <c r="BV116" s="43">
        <v>1.4443239999999999</v>
      </c>
      <c r="BW116" s="43">
        <v>1.528157</v>
      </c>
      <c r="BX116" s="43">
        <v>1.156925</v>
      </c>
      <c r="BY116" s="43">
        <v>2.0928900000000001</v>
      </c>
      <c r="BZ116" s="43">
        <v>2.3263799999999999</v>
      </c>
      <c r="CA116" s="43">
        <v>1.993126</v>
      </c>
      <c r="CB116" s="43">
        <v>0.76007250000000004</v>
      </c>
      <c r="CC116" s="43">
        <v>8.5096702162511502</v>
      </c>
      <c r="CD116" s="43">
        <v>1.068473</v>
      </c>
      <c r="CE116" s="43">
        <v>1.1395029999999999</v>
      </c>
      <c r="CF116" s="43">
        <v>1.246656</v>
      </c>
      <c r="CG116" s="43">
        <v>1.129478</v>
      </c>
      <c r="CH116" s="43">
        <v>1.08821801804814</v>
      </c>
      <c r="CI116" s="43">
        <v>1.1437478152695699</v>
      </c>
      <c r="CJ116" s="43">
        <v>1.17148708634161</v>
      </c>
      <c r="CK116" s="43">
        <v>1.1314363171684201</v>
      </c>
      <c r="CL116" s="43">
        <v>1.4467509999999999</v>
      </c>
      <c r="CM116" s="43">
        <v>1.311361</v>
      </c>
      <c r="CN116" s="43">
        <v>1.461511</v>
      </c>
      <c r="CO116" s="43">
        <v>1.786532</v>
      </c>
      <c r="CP116" s="43">
        <v>0.86436034116052995</v>
      </c>
      <c r="CQ116" s="43">
        <v>1.250038</v>
      </c>
      <c r="CR116" s="43">
        <v>0.99383894954504404</v>
      </c>
      <c r="CS116" s="43">
        <v>72.599383384461206</v>
      </c>
      <c r="CT116" s="43">
        <v>97.394882364772499</v>
      </c>
      <c r="CU116" s="43">
        <v>18.935944419615399</v>
      </c>
      <c r="CV116" s="43">
        <v>21.9074655764414</v>
      </c>
      <c r="CW116" s="43">
        <v>1.4109579999999999</v>
      </c>
      <c r="CX116" s="43">
        <v>1.367489</v>
      </c>
      <c r="CY116" s="43">
        <v>1.3325450000000001</v>
      </c>
      <c r="CZ116" s="43">
        <v>1.36911887678808</v>
      </c>
      <c r="DA116" s="43">
        <v>1.221452474583</v>
      </c>
      <c r="DB116" s="43">
        <v>2.5976188053468698</v>
      </c>
      <c r="DC116" s="43">
        <v>0.99814243343075304</v>
      </c>
      <c r="DD116" s="43">
        <v>1.3090201846087099</v>
      </c>
      <c r="DE116" s="43">
        <v>1.79453936855826</v>
      </c>
      <c r="DF116" s="43">
        <v>1.42596250262562</v>
      </c>
      <c r="DG116" s="43">
        <v>1.53065312288556</v>
      </c>
      <c r="DH116" s="43">
        <v>1.2207623205518601</v>
      </c>
      <c r="DI116" s="43">
        <v>2.2481609714213202</v>
      </c>
      <c r="DJ116" s="43">
        <v>1.19062859509021</v>
      </c>
      <c r="DK116" s="43">
        <v>1.851065</v>
      </c>
      <c r="DL116" s="43">
        <v>2.0614629999999998</v>
      </c>
      <c r="DM116" s="43">
        <v>2.2451940000000001</v>
      </c>
      <c r="DN116" s="43">
        <v>1.64730632583944</v>
      </c>
      <c r="DO116" s="43">
        <v>2.4022459999999999</v>
      </c>
      <c r="DP116" s="43">
        <v>1.7275480000000001</v>
      </c>
      <c r="DQ116" s="43">
        <v>1.370571</v>
      </c>
      <c r="DR116" s="43">
        <v>2.0473659999999998</v>
      </c>
      <c r="DS116" s="43">
        <v>0.92718319999999999</v>
      </c>
      <c r="DT116" s="43">
        <v>1.45035444747987</v>
      </c>
      <c r="DU116" s="43">
        <v>620.71630000000005</v>
      </c>
      <c r="DV116" s="43">
        <v>326.66500000000002</v>
      </c>
      <c r="DW116" s="43">
        <v>115.2586</v>
      </c>
      <c r="DX116" s="43">
        <v>1.125084</v>
      </c>
      <c r="DY116" s="43">
        <v>1.2574700000000001</v>
      </c>
      <c r="DZ116" s="43">
        <v>1.0826279999999999</v>
      </c>
      <c r="EA116" s="43">
        <v>915.86509999999998</v>
      </c>
      <c r="EB116" s="43">
        <v>126.60844759502</v>
      </c>
      <c r="EC116" s="43">
        <v>1.3536712770969399</v>
      </c>
      <c r="ED116" s="43">
        <v>1.42965578028093</v>
      </c>
      <c r="EE116" s="43">
        <v>1.4138859249671301</v>
      </c>
      <c r="EF116" s="43">
        <v>1.6876611827925601</v>
      </c>
      <c r="EG116" s="43">
        <v>1.5127608405461299</v>
      </c>
      <c r="EH116" s="43">
        <v>0.676307851639947</v>
      </c>
      <c r="EI116" s="43">
        <v>0.27936743638059103</v>
      </c>
      <c r="EJ116" s="43">
        <v>32.001309684430602</v>
      </c>
      <c r="EK116" s="43">
        <v>18.158883364738401</v>
      </c>
      <c r="EL116" s="43">
        <v>0.79980740359174896</v>
      </c>
      <c r="EM116" s="43">
        <v>2420.0707775342598</v>
      </c>
      <c r="EN116" s="43">
        <v>602.57806917512005</v>
      </c>
      <c r="EO116" s="43">
        <v>89553.847071301396</v>
      </c>
      <c r="EP116" s="43">
        <v>60712.896737499803</v>
      </c>
      <c r="EQ116" s="43">
        <v>4318.9491948510804</v>
      </c>
      <c r="ER116" s="43">
        <v>1.9873039341986301</v>
      </c>
      <c r="ES116" s="43">
        <v>2.12292309681939</v>
      </c>
      <c r="ET116" s="43">
        <v>1.95956131381341</v>
      </c>
      <c r="EU116" s="43">
        <v>2.2249759999999998</v>
      </c>
      <c r="EV116" s="43">
        <v>1.9465509999999999</v>
      </c>
      <c r="EW116" s="43">
        <v>2.6958500000000001</v>
      </c>
      <c r="EX116" s="43">
        <v>2.2262019999999998</v>
      </c>
      <c r="EY116" s="43">
        <v>1.947009</v>
      </c>
      <c r="EZ116" s="43">
        <v>2.6968480000000001</v>
      </c>
      <c r="FA116" s="43">
        <v>17.012899534712499</v>
      </c>
      <c r="FB116" s="43">
        <v>16.679193881587501</v>
      </c>
      <c r="FC116" s="43">
        <v>72.303962668914494</v>
      </c>
      <c r="FD116" s="43">
        <v>16321.6542171169</v>
      </c>
      <c r="FE116" s="43">
        <v>173641.5</v>
      </c>
      <c r="FF116" s="43">
        <v>1.5410937499999999</v>
      </c>
      <c r="FG116" s="43">
        <v>5.4867016798005999</v>
      </c>
      <c r="FH116" s="43">
        <v>912.98360443786601</v>
      </c>
      <c r="FI116" s="43">
        <v>14609.4254363288</v>
      </c>
      <c r="FJ116" s="43">
        <v>7.1283836485890699</v>
      </c>
      <c r="FK116" s="43">
        <v>18.733799467387598</v>
      </c>
      <c r="FL116" s="43">
        <v>1.1180369999999999</v>
      </c>
      <c r="FM116" s="43">
        <v>1.1534249999999999</v>
      </c>
    </row>
    <row r="117" spans="1:169" x14ac:dyDescent="0.25">
      <c r="A117" s="43" t="s">
        <v>344</v>
      </c>
      <c r="B117" s="43">
        <v>26506.31</v>
      </c>
      <c r="C117" s="43">
        <v>18392.900000000001</v>
      </c>
      <c r="D117" s="43">
        <v>3.749142</v>
      </c>
      <c r="E117" s="43">
        <v>2.8718949999999999</v>
      </c>
      <c r="F117" s="43">
        <v>3.0564179999999999</v>
      </c>
      <c r="G117" s="43">
        <v>3.3142239999999998</v>
      </c>
      <c r="H117" s="43">
        <v>1.2000029999999999</v>
      </c>
      <c r="I117" s="43">
        <v>1.1556059999999999</v>
      </c>
      <c r="J117" s="43">
        <v>1.1581509999999999</v>
      </c>
      <c r="K117" s="43">
        <v>1.1252070000000001</v>
      </c>
      <c r="L117" s="43">
        <v>2.9842599999999999</v>
      </c>
      <c r="M117" s="43">
        <v>78.977369999999993</v>
      </c>
      <c r="N117" s="43">
        <v>84.329312961915903</v>
      </c>
      <c r="O117" s="43">
        <v>2.6223027782187098</v>
      </c>
      <c r="P117" s="43">
        <v>1.3765000000000001</v>
      </c>
      <c r="Q117" s="43">
        <v>-581.73649999999998</v>
      </c>
      <c r="R117" s="43">
        <v>5.8718950000000003</v>
      </c>
      <c r="S117" s="43">
        <v>3843.2750000000001</v>
      </c>
      <c r="T117" s="43">
        <v>2.6112169999999999</v>
      </c>
      <c r="U117" s="43">
        <v>4.1432190000000002</v>
      </c>
      <c r="V117" s="43">
        <v>3215.6750000000002</v>
      </c>
      <c r="W117" s="43">
        <v>2.0411030000000001</v>
      </c>
      <c r="X117" s="43">
        <v>22697.11</v>
      </c>
      <c r="Y117" s="43">
        <v>1.3378939999999999</v>
      </c>
      <c r="Z117" s="43">
        <v>0.90311810000000003</v>
      </c>
      <c r="AA117" s="43">
        <v>1.3753759999999999</v>
      </c>
      <c r="AB117" s="43">
        <v>1.108311</v>
      </c>
      <c r="AC117" s="43">
        <v>77.048919999999995</v>
      </c>
      <c r="AD117" s="43">
        <v>1.4661820000000001</v>
      </c>
      <c r="AE117" s="43">
        <v>1.8201290000000001</v>
      </c>
      <c r="AF117" s="43">
        <v>1.8957010000000001</v>
      </c>
      <c r="AG117" s="43">
        <v>357.755</v>
      </c>
      <c r="AH117" s="43">
        <v>180.67830000000001</v>
      </c>
      <c r="AI117" s="43">
        <v>3.0980639999999999</v>
      </c>
      <c r="AJ117" s="43">
        <v>3.0610143754497199</v>
      </c>
      <c r="AK117" s="43">
        <f t="shared" si="4"/>
        <v>38644.778217046318</v>
      </c>
      <c r="AL117" s="47">
        <v>1.2262621547873609E-2</v>
      </c>
      <c r="AM117" s="43">
        <v>2.4769046246550599</v>
      </c>
      <c r="AN117" s="43">
        <v>0.72888354941464195</v>
      </c>
      <c r="AO117" s="43">
        <v>3.0411327642912398</v>
      </c>
      <c r="AP117" s="43">
        <v>2.54542827094504</v>
      </c>
      <c r="AQ117" s="43">
        <v>4.7759750878251799</v>
      </c>
      <c r="AR117" s="43">
        <v>2.81952750737522</v>
      </c>
      <c r="AS117" s="43">
        <v>2.3819263456030302</v>
      </c>
      <c r="AT117" s="43">
        <v>2.3307129908228701</v>
      </c>
      <c r="AU117" s="43">
        <v>3.10331923010988</v>
      </c>
      <c r="AV117" s="43">
        <v>2659.0459999999998</v>
      </c>
      <c r="AW117" s="43">
        <v>1551.162</v>
      </c>
      <c r="AX117" s="43">
        <v>1.2623120000000001</v>
      </c>
      <c r="AY117" s="43">
        <v>1.8801909999999999</v>
      </c>
      <c r="AZ117" s="43">
        <v>210.12700000000001</v>
      </c>
      <c r="BA117" s="43">
        <v>0.77306719999999995</v>
      </c>
      <c r="BB117" s="43">
        <v>177.10140000000001</v>
      </c>
      <c r="BC117" s="43">
        <v>36.984749999999998</v>
      </c>
      <c r="BD117" s="43">
        <v>5.8</v>
      </c>
      <c r="BE117" s="43">
        <v>1.4315230000000001</v>
      </c>
      <c r="BF117" s="43">
        <v>2.2651270000000001</v>
      </c>
      <c r="BG117" s="43">
        <v>2.577156</v>
      </c>
      <c r="BH117" s="43">
        <v>2.371229</v>
      </c>
      <c r="BI117" s="43">
        <v>1.577712</v>
      </c>
      <c r="BJ117" s="43">
        <v>1.505077</v>
      </c>
      <c r="BK117" s="43">
        <v>99.666510000000002</v>
      </c>
      <c r="BL117" s="43">
        <v>102.1611</v>
      </c>
      <c r="BM117" s="43">
        <v>1.3162309999999999</v>
      </c>
      <c r="BN117" s="43">
        <v>1.396868</v>
      </c>
      <c r="BO117" s="43">
        <v>43.22307</v>
      </c>
      <c r="BP117" s="43">
        <v>1.29354852312019</v>
      </c>
      <c r="BQ117" s="43">
        <v>3902.9690000000001</v>
      </c>
      <c r="BR117" s="43">
        <v>668.84712918067203</v>
      </c>
      <c r="BS117" s="43">
        <v>13895.43</v>
      </c>
      <c r="BT117" s="43">
        <v>7323.134</v>
      </c>
      <c r="BU117" s="43">
        <v>1.177557</v>
      </c>
      <c r="BV117" s="43">
        <v>1.451298</v>
      </c>
      <c r="BW117" s="43">
        <v>1.5354000000000001</v>
      </c>
      <c r="BX117" s="43">
        <v>1.1742779999999999</v>
      </c>
      <c r="BY117" s="43">
        <v>2.1316470000000001</v>
      </c>
      <c r="BZ117" s="43">
        <v>2.348293</v>
      </c>
      <c r="CA117" s="43">
        <v>2.0356800000000002</v>
      </c>
      <c r="CB117" s="43">
        <v>0.76159259999999995</v>
      </c>
      <c r="CC117" s="43">
        <v>8.4342167998907307</v>
      </c>
      <c r="CD117" s="43">
        <v>1.07744</v>
      </c>
      <c r="CE117" s="43">
        <v>1.1480669999999999</v>
      </c>
      <c r="CF117" s="43">
        <v>1.258305</v>
      </c>
      <c r="CG117" s="43">
        <v>1.1338520000000001</v>
      </c>
      <c r="CH117" s="43">
        <v>1.0920318701648899</v>
      </c>
      <c r="CI117" s="43">
        <v>1.14931282888453</v>
      </c>
      <c r="CJ117" s="43">
        <v>1.17871804101557</v>
      </c>
      <c r="CK117" s="43">
        <v>1.1375441536634301</v>
      </c>
      <c r="CL117" s="43">
        <v>1.4537409999999999</v>
      </c>
      <c r="CM117" s="43">
        <v>1.3156209999999999</v>
      </c>
      <c r="CN117" s="43">
        <v>1.4704429999999999</v>
      </c>
      <c r="CO117" s="43">
        <v>1.797407</v>
      </c>
      <c r="CP117" s="43">
        <v>0.85158675694405095</v>
      </c>
      <c r="CQ117" s="43">
        <v>1.2563869999999999</v>
      </c>
      <c r="CR117" s="43">
        <v>0.99456498452235798</v>
      </c>
      <c r="CS117" s="43">
        <v>71.813726140557904</v>
      </c>
      <c r="CT117" s="43">
        <v>97.979251658961104</v>
      </c>
      <c r="CU117" s="43">
        <v>18.656107563105198</v>
      </c>
      <c r="CV117" s="43">
        <v>21.9074655764414</v>
      </c>
      <c r="CW117" s="43">
        <v>1.416588</v>
      </c>
      <c r="CX117" s="43">
        <v>1.3726050000000001</v>
      </c>
      <c r="CY117" s="43">
        <v>1.3366929999999999</v>
      </c>
      <c r="CZ117" s="43">
        <v>1.3736341289179601</v>
      </c>
      <c r="DA117" s="43">
        <v>1.2244527725627601</v>
      </c>
      <c r="DB117" s="43">
        <v>2.6037533880314898</v>
      </c>
      <c r="DC117" s="43">
        <v>0.99752474860513995</v>
      </c>
      <c r="DD117" s="43">
        <v>1.3158641027535201</v>
      </c>
      <c r="DE117" s="43">
        <v>1.8064891765553499</v>
      </c>
      <c r="DF117" s="43">
        <v>1.4325458759218901</v>
      </c>
      <c r="DG117" s="43">
        <v>1.5381242401008399</v>
      </c>
      <c r="DH117" s="43">
        <v>1.22454498816149</v>
      </c>
      <c r="DI117" s="43">
        <v>2.26686817914617</v>
      </c>
      <c r="DJ117" s="43">
        <v>1.1916255081243099</v>
      </c>
      <c r="DK117" s="43">
        <v>1.8645069999999999</v>
      </c>
      <c r="DL117" s="43">
        <v>2.076524</v>
      </c>
      <c r="DM117" s="43">
        <v>2.2613470000000002</v>
      </c>
      <c r="DN117" s="43">
        <v>1.6564785041507499</v>
      </c>
      <c r="DO117" s="43">
        <v>2.422901</v>
      </c>
      <c r="DP117" s="43">
        <v>1.738769</v>
      </c>
      <c r="DQ117" s="43">
        <v>1.3746989999999999</v>
      </c>
      <c r="DR117" s="43">
        <v>2.0639500000000002</v>
      </c>
      <c r="DS117" s="43">
        <v>0.92904799999999998</v>
      </c>
      <c r="DT117" s="43">
        <v>1.45700934403195</v>
      </c>
      <c r="DU117" s="43">
        <v>623.75779999999997</v>
      </c>
      <c r="DV117" s="43">
        <v>327.9203</v>
      </c>
      <c r="DW117" s="43">
        <v>116.0742</v>
      </c>
      <c r="DX117" s="43">
        <v>1.1275660000000001</v>
      </c>
      <c r="DY117" s="43">
        <v>1.2616369999999999</v>
      </c>
      <c r="DZ117" s="43">
        <v>1.083024</v>
      </c>
      <c r="EA117" s="43">
        <v>918.49120000000005</v>
      </c>
      <c r="EB117" s="43">
        <v>126.48183914742501</v>
      </c>
      <c r="EC117" s="43">
        <v>1.36008753016884</v>
      </c>
      <c r="ED117" s="43">
        <v>1.43710983267304</v>
      </c>
      <c r="EE117" s="43">
        <v>1.4208918803017201</v>
      </c>
      <c r="EF117" s="43">
        <v>1.69724686392924</v>
      </c>
      <c r="EG117" s="43">
        <v>1.5203581651003599</v>
      </c>
      <c r="EH117" s="43">
        <v>0.68062343814228998</v>
      </c>
      <c r="EI117" s="43">
        <v>0.28115010729697099</v>
      </c>
      <c r="EJ117" s="43">
        <v>32.205513169273402</v>
      </c>
      <c r="EK117" s="43">
        <v>18.274756974303099</v>
      </c>
      <c r="EL117" s="43">
        <v>0.80491105280570496</v>
      </c>
      <c r="EM117" s="43">
        <v>2429.8169756315201</v>
      </c>
      <c r="EN117" s="43">
        <v>605.004793751016</v>
      </c>
      <c r="EO117" s="43">
        <v>89914.501619933406</v>
      </c>
      <c r="EP117" s="43">
        <v>60957.401949560299</v>
      </c>
      <c r="EQ117" s="43">
        <v>4336.3426259919397</v>
      </c>
      <c r="ER117" s="43">
        <v>1.99672353642284</v>
      </c>
      <c r="ES117" s="43">
        <v>2.1329855189685598</v>
      </c>
      <c r="ET117" s="43">
        <v>1.9688494190661701</v>
      </c>
      <c r="EU117" s="43">
        <v>2.2453690000000002</v>
      </c>
      <c r="EV117" s="43">
        <v>1.959427</v>
      </c>
      <c r="EW117" s="43">
        <v>2.7300550000000001</v>
      </c>
      <c r="EX117" s="43">
        <v>2.2470859999999999</v>
      </c>
      <c r="EY117" s="43">
        <v>1.95963</v>
      </c>
      <c r="EZ117" s="43">
        <v>2.730747</v>
      </c>
      <c r="FA117" s="43">
        <v>17.169537386926901</v>
      </c>
      <c r="FB117" s="43">
        <v>16.8315996683429</v>
      </c>
      <c r="FC117" s="43">
        <v>72.9822447722145</v>
      </c>
      <c r="FD117" s="43">
        <v>16427.4512270501</v>
      </c>
      <c r="FE117" s="43">
        <v>175824.2</v>
      </c>
      <c r="FF117" s="43">
        <v>1.5486562500000001</v>
      </c>
      <c r="FG117" s="43">
        <v>5.4940286870642403</v>
      </c>
      <c r="FH117" s="43">
        <v>912.98364373530001</v>
      </c>
      <c r="FI117" s="43">
        <v>14572.901872737901</v>
      </c>
      <c r="FJ117" s="43">
        <v>7.1640276126781197</v>
      </c>
      <c r="FK117" s="43">
        <v>18.815430066607199</v>
      </c>
      <c r="FL117" s="43">
        <v>1.1172960000000001</v>
      </c>
      <c r="FM117" s="43">
        <v>1.148504</v>
      </c>
    </row>
    <row r="118" spans="1:169" x14ac:dyDescent="0.25">
      <c r="A118" s="43" t="s">
        <v>345</v>
      </c>
      <c r="B118" s="43">
        <v>26639.82</v>
      </c>
      <c r="C118" s="43">
        <v>18491.82</v>
      </c>
      <c r="D118" s="43">
        <v>3.7714370000000002</v>
      </c>
      <c r="E118" s="43">
        <v>2.9411459999999998</v>
      </c>
      <c r="F118" s="43">
        <v>3.070255</v>
      </c>
      <c r="G118" s="43">
        <v>3.2152289999999999</v>
      </c>
      <c r="H118" s="43">
        <v>1.207303</v>
      </c>
      <c r="I118" s="43">
        <v>1.1618550000000001</v>
      </c>
      <c r="J118" s="43">
        <v>1.1639600000000001</v>
      </c>
      <c r="K118" s="43">
        <v>1.128844</v>
      </c>
      <c r="L118" s="43">
        <v>2.9998140000000002</v>
      </c>
      <c r="M118" s="43">
        <v>79.302269999999993</v>
      </c>
      <c r="N118" s="43">
        <v>84.676228202074697</v>
      </c>
      <c r="O118" s="43">
        <v>2.6333208571187998</v>
      </c>
      <c r="P118" s="43">
        <v>1.373969</v>
      </c>
      <c r="Q118" s="43">
        <v>-570.99990000000003</v>
      </c>
      <c r="R118" s="43">
        <v>5.9411459999999998</v>
      </c>
      <c r="S118" s="43">
        <v>3858.473</v>
      </c>
      <c r="T118" s="43">
        <v>2.665041</v>
      </c>
      <c r="U118" s="43">
        <v>4.1608770000000002</v>
      </c>
      <c r="V118" s="43">
        <v>3236.154</v>
      </c>
      <c r="W118" s="43">
        <v>2.054297</v>
      </c>
      <c r="X118" s="43">
        <v>22865.75</v>
      </c>
      <c r="Y118" s="43">
        <v>1.3388800000000001</v>
      </c>
      <c r="Z118" s="43">
        <v>0.90818019999999999</v>
      </c>
      <c r="AA118" s="43">
        <v>1.3797710000000001</v>
      </c>
      <c r="AB118" s="43">
        <v>1.1134850000000001</v>
      </c>
      <c r="AC118" s="43">
        <v>77.366799999999998</v>
      </c>
      <c r="AD118" s="43">
        <v>1.4736210000000001</v>
      </c>
      <c r="AE118" s="43">
        <v>1.8345469999999999</v>
      </c>
      <c r="AF118" s="43">
        <v>1.9092990000000001</v>
      </c>
      <c r="AG118" s="43">
        <v>358.3306</v>
      </c>
      <c r="AH118" s="43">
        <v>182.94909999999999</v>
      </c>
      <c r="AI118" s="43">
        <v>3.1154229999999998</v>
      </c>
      <c r="AJ118" s="43">
        <v>3.0775393439546002</v>
      </c>
      <c r="AK118" s="43">
        <f t="shared" si="4"/>
        <v>39036.495533332476</v>
      </c>
      <c r="AL118" s="47">
        <v>1.0136358244472232E-2</v>
      </c>
      <c r="AM118" s="43">
        <v>2.4679912956784702</v>
      </c>
      <c r="AN118" s="43">
        <v>0.72509876255177996</v>
      </c>
      <c r="AO118" s="43">
        <v>3.05279042382399</v>
      </c>
      <c r="AP118" s="43">
        <v>2.5582479358607202</v>
      </c>
      <c r="AQ118" s="43">
        <v>4.8064818957682496</v>
      </c>
      <c r="AR118" s="43">
        <v>2.8339779263026101</v>
      </c>
      <c r="AS118" s="43">
        <v>2.3926913722852801</v>
      </c>
      <c r="AT118" s="43">
        <v>2.3397012481660502</v>
      </c>
      <c r="AU118" s="43">
        <v>3.1194562326118001</v>
      </c>
      <c r="AV118" s="43">
        <v>2677.4670000000001</v>
      </c>
      <c r="AW118" s="43">
        <v>1563.2370000000001</v>
      </c>
      <c r="AX118" s="43">
        <v>1.272176</v>
      </c>
      <c r="AY118" s="43">
        <v>1.890557</v>
      </c>
      <c r="AZ118" s="43">
        <v>213.92670000000001</v>
      </c>
      <c r="BA118" s="43">
        <v>0.77074810000000005</v>
      </c>
      <c r="BB118" s="43">
        <v>178.18539999999999</v>
      </c>
      <c r="BC118" s="43">
        <v>37.208739999999999</v>
      </c>
      <c r="BD118" s="43">
        <v>5.7</v>
      </c>
      <c r="BE118" s="43">
        <v>1.438774</v>
      </c>
      <c r="BF118" s="43">
        <v>2.3034840000000001</v>
      </c>
      <c r="BG118" s="43">
        <v>2.6172040000000001</v>
      </c>
      <c r="BH118" s="43">
        <v>2.3696100000000002</v>
      </c>
      <c r="BI118" s="43">
        <v>1.585879</v>
      </c>
      <c r="BJ118" s="43">
        <v>1.5133179999999999</v>
      </c>
      <c r="BK118" s="43">
        <v>100.3788</v>
      </c>
      <c r="BL118" s="43">
        <v>102.89</v>
      </c>
      <c r="BM118" s="43">
        <v>1.328632</v>
      </c>
      <c r="BN118" s="43">
        <v>1.4043870000000001</v>
      </c>
      <c r="BO118" s="43">
        <v>43.337609999999998</v>
      </c>
      <c r="BP118" s="43">
        <v>1.29744077083548</v>
      </c>
      <c r="BQ118" s="43">
        <v>3942.1010000000001</v>
      </c>
      <c r="BR118" s="43">
        <v>672.10967776771304</v>
      </c>
      <c r="BS118" s="43">
        <v>13951.01</v>
      </c>
      <c r="BT118" s="43">
        <v>7346.6980000000003</v>
      </c>
      <c r="BU118" s="43">
        <v>1.1820459999999999</v>
      </c>
      <c r="BV118" s="43">
        <v>1.4577230000000001</v>
      </c>
      <c r="BW118" s="43">
        <v>1.5408520000000001</v>
      </c>
      <c r="BX118" s="43">
        <v>1.1836720000000001</v>
      </c>
      <c r="BY118" s="43">
        <v>2.1581109999999999</v>
      </c>
      <c r="BZ118" s="43">
        <v>2.3622369999999999</v>
      </c>
      <c r="CA118" s="43">
        <v>2.067761</v>
      </c>
      <c r="CB118" s="43">
        <v>0.76276189999999999</v>
      </c>
      <c r="CC118" s="43">
        <v>8.3587644658648994</v>
      </c>
      <c r="CD118" s="43">
        <v>1.082384</v>
      </c>
      <c r="CE118" s="43">
        <v>1.1527419999999999</v>
      </c>
      <c r="CF118" s="43">
        <v>1.264818</v>
      </c>
      <c r="CG118" s="43">
        <v>1.1359999999999999</v>
      </c>
      <c r="CH118" s="43">
        <v>1.09431042476878</v>
      </c>
      <c r="CI118" s="43">
        <v>1.15265016838982</v>
      </c>
      <c r="CJ118" s="43">
        <v>1.1829433666809499</v>
      </c>
      <c r="CK118" s="43">
        <v>1.1410408537215</v>
      </c>
      <c r="CL118" s="43">
        <v>1.460181</v>
      </c>
      <c r="CM118" s="43">
        <v>1.31938</v>
      </c>
      <c r="CN118" s="43">
        <v>1.478712</v>
      </c>
      <c r="CO118" s="43">
        <v>1.8055939999999999</v>
      </c>
      <c r="CP118" s="43">
        <v>0.84482845734412204</v>
      </c>
      <c r="CQ118" s="43">
        <v>1.260489</v>
      </c>
      <c r="CR118" s="43">
        <v>0.99423766675444802</v>
      </c>
      <c r="CS118" s="43">
        <v>71.536887245677605</v>
      </c>
      <c r="CT118" s="43">
        <v>97.881272407302205</v>
      </c>
      <c r="CU118" s="43">
        <v>18.508050347264401</v>
      </c>
      <c r="CV118" s="43">
        <v>21.9074655764414</v>
      </c>
      <c r="CW118" s="43">
        <v>1.4208259999999999</v>
      </c>
      <c r="CX118" s="43">
        <v>1.3764559999999999</v>
      </c>
      <c r="CY118" s="43">
        <v>1.339807</v>
      </c>
      <c r="CZ118" s="43">
        <v>1.37695324709095</v>
      </c>
      <c r="DA118" s="43">
        <v>1.2266909974681199</v>
      </c>
      <c r="DB118" s="43">
        <v>2.6081213389806499</v>
      </c>
      <c r="DC118" s="43">
        <v>0.99744870063152902</v>
      </c>
      <c r="DD118" s="43">
        <v>1.32146741210344</v>
      </c>
      <c r="DE118" s="43">
        <v>1.8163731290251599</v>
      </c>
      <c r="DF118" s="43">
        <v>1.4386322320043201</v>
      </c>
      <c r="DG118" s="43">
        <v>1.5443555227586601</v>
      </c>
      <c r="DH118" s="43">
        <v>1.2273304940026999</v>
      </c>
      <c r="DI118" s="43">
        <v>2.28287332456072</v>
      </c>
      <c r="DJ118" s="43">
        <v>1.1934656582435701</v>
      </c>
      <c r="DK118" s="43">
        <v>1.8771679999999999</v>
      </c>
      <c r="DL118" s="43">
        <v>2.0876070000000002</v>
      </c>
      <c r="DM118" s="43">
        <v>2.273412</v>
      </c>
      <c r="DN118" s="43">
        <v>1.6632785443975899</v>
      </c>
      <c r="DO118" s="43">
        <v>2.4384830000000002</v>
      </c>
      <c r="DP118" s="43">
        <v>1.7472460000000001</v>
      </c>
      <c r="DQ118" s="43">
        <v>1.3778550000000001</v>
      </c>
      <c r="DR118" s="43">
        <v>2.0757270000000001</v>
      </c>
      <c r="DS118" s="43">
        <v>0.93051709999999999</v>
      </c>
      <c r="DT118" s="43">
        <v>1.4619984728034401</v>
      </c>
      <c r="DU118" s="43">
        <v>625.56669999999997</v>
      </c>
      <c r="DV118" s="43">
        <v>328.57</v>
      </c>
      <c r="DW118" s="43">
        <v>116.3186</v>
      </c>
      <c r="DX118" s="43">
        <v>1.129321</v>
      </c>
      <c r="DY118" s="43">
        <v>1.2640670000000001</v>
      </c>
      <c r="DZ118" s="43">
        <v>1.083372</v>
      </c>
      <c r="EA118" s="43">
        <v>919.79539999999997</v>
      </c>
      <c r="EB118" s="43">
        <v>125.34350259509699</v>
      </c>
      <c r="EC118" s="43">
        <v>1.3649173576759199</v>
      </c>
      <c r="ED118" s="43">
        <v>1.4427235095072499</v>
      </c>
      <c r="EE118" s="43">
        <v>1.4261662253002001</v>
      </c>
      <c r="EF118" s="43">
        <v>1.7044717597601799</v>
      </c>
      <c r="EG118" s="43">
        <v>1.52607925273774</v>
      </c>
      <c r="EH118" s="43">
        <v>0.68407107876509299</v>
      </c>
      <c r="EI118" s="43">
        <v>0.28257424945356202</v>
      </c>
      <c r="EJ118" s="43">
        <v>32.368647480051301</v>
      </c>
      <c r="EK118" s="43">
        <v>18.367326214481501</v>
      </c>
      <c r="EL118" s="43">
        <v>0.80898826185829098</v>
      </c>
      <c r="EM118" s="43">
        <v>2439.8416365315702</v>
      </c>
      <c r="EN118" s="43">
        <v>607.50085331479499</v>
      </c>
      <c r="EO118" s="43">
        <v>90285.460584240704</v>
      </c>
      <c r="EP118" s="43">
        <v>61208.893024822602</v>
      </c>
      <c r="EQ118" s="43">
        <v>4354.2330123082502</v>
      </c>
      <c r="ER118" s="43">
        <v>2.0038141317311098</v>
      </c>
      <c r="ES118" s="43">
        <v>2.1405599962747801</v>
      </c>
      <c r="ET118" s="43">
        <v>1.97584103017251</v>
      </c>
      <c r="EU118" s="43">
        <v>2.2678750000000001</v>
      </c>
      <c r="EV118" s="43">
        <v>1.9700470000000001</v>
      </c>
      <c r="EW118" s="43">
        <v>2.7585470000000001</v>
      </c>
      <c r="EX118" s="43">
        <v>2.2663129999999998</v>
      </c>
      <c r="EY118" s="43">
        <v>1.969384</v>
      </c>
      <c r="EZ118" s="43">
        <v>2.7571300000000001</v>
      </c>
      <c r="FA118" s="43">
        <v>17.342396411860602</v>
      </c>
      <c r="FB118" s="43">
        <v>16.999776376217099</v>
      </c>
      <c r="FC118" s="43">
        <v>73.606717905029697</v>
      </c>
      <c r="FD118" s="43">
        <v>16509.2223068317</v>
      </c>
      <c r="FE118" s="43">
        <v>177522.9</v>
      </c>
      <c r="FF118" s="43">
        <v>1.5589375000000001</v>
      </c>
      <c r="FG118" s="43">
        <v>5.5680625366518797</v>
      </c>
      <c r="FH118" s="43">
        <v>913.89662737903495</v>
      </c>
      <c r="FI118" s="43">
        <v>14536.4696180561</v>
      </c>
      <c r="FJ118" s="43">
        <v>7.19268121571917</v>
      </c>
      <c r="FK118" s="43">
        <v>18.758983776407401</v>
      </c>
      <c r="FL118" s="43">
        <v>1.116096</v>
      </c>
      <c r="FM118" s="43">
        <v>1.147176</v>
      </c>
    </row>
    <row r="119" spans="1:169" x14ac:dyDescent="0.25">
      <c r="A119" s="43" t="s">
        <v>346</v>
      </c>
      <c r="B119" s="43">
        <v>26779.9</v>
      </c>
      <c r="C119" s="43">
        <v>18595.62</v>
      </c>
      <c r="D119" s="43">
        <v>3.7901549999999999</v>
      </c>
      <c r="E119" s="43">
        <v>3.0293800000000002</v>
      </c>
      <c r="F119" s="43">
        <v>3.090951</v>
      </c>
      <c r="G119" s="43">
        <v>3.1973159999999998</v>
      </c>
      <c r="H119" s="43">
        <v>1.215228</v>
      </c>
      <c r="I119" s="43">
        <v>1.1685779999999999</v>
      </c>
      <c r="J119" s="43">
        <v>1.1701839999999999</v>
      </c>
      <c r="K119" s="43">
        <v>1.132725</v>
      </c>
      <c r="L119" s="43">
        <v>3.0128560000000002</v>
      </c>
      <c r="M119" s="43">
        <v>79.627170000000007</v>
      </c>
      <c r="N119" s="43">
        <v>85.023143442233504</v>
      </c>
      <c r="O119" s="43">
        <v>2.6498479754689201</v>
      </c>
      <c r="P119" s="43">
        <v>1.376781</v>
      </c>
      <c r="Q119" s="43">
        <v>-564.49980000000005</v>
      </c>
      <c r="R119" s="43">
        <v>6.0293799999999997</v>
      </c>
      <c r="S119" s="43">
        <v>3874.3789999999999</v>
      </c>
      <c r="T119" s="43">
        <v>2.7333340000000002</v>
      </c>
      <c r="U119" s="43">
        <v>4.1840710000000003</v>
      </c>
      <c r="V119" s="43">
        <v>3257.6959999999999</v>
      </c>
      <c r="W119" s="43">
        <v>2.065426</v>
      </c>
      <c r="X119" s="43">
        <v>22989.16</v>
      </c>
      <c r="Y119" s="43">
        <v>1.3398749999999999</v>
      </c>
      <c r="Z119" s="43">
        <v>0.91373340000000003</v>
      </c>
      <c r="AA119" s="43">
        <v>1.3835839999999999</v>
      </c>
      <c r="AB119" s="43">
        <v>1.117829</v>
      </c>
      <c r="AC119" s="43">
        <v>77.68468</v>
      </c>
      <c r="AD119" s="43">
        <v>1.4799580000000001</v>
      </c>
      <c r="AE119" s="43">
        <v>1.8466560000000001</v>
      </c>
      <c r="AF119" s="43">
        <v>1.921225</v>
      </c>
      <c r="AG119" s="43">
        <v>358.90690000000001</v>
      </c>
      <c r="AH119" s="43">
        <v>184.64760000000001</v>
      </c>
      <c r="AI119" s="43">
        <v>3.1301220000000001</v>
      </c>
      <c r="AJ119" s="43">
        <v>3.0915018248371702</v>
      </c>
      <c r="AK119" s="43">
        <f t="shared" si="4"/>
        <v>39410.522775095924</v>
      </c>
      <c r="AL119" s="47">
        <v>9.5814759151233719E-3</v>
      </c>
      <c r="AM119" s="43">
        <v>2.45879779187928</v>
      </c>
      <c r="AN119" s="43">
        <v>0.72253424624010798</v>
      </c>
      <c r="AO119" s="43">
        <v>3.0624682140845301</v>
      </c>
      <c r="AP119" s="43">
        <v>2.5714828841072999</v>
      </c>
      <c r="AQ119" s="43">
        <v>4.8319631920444701</v>
      </c>
      <c r="AR119" s="43">
        <v>2.8453473021389</v>
      </c>
      <c r="AS119" s="43">
        <v>2.4021622088528201</v>
      </c>
      <c r="AT119" s="43">
        <v>2.3479405840985099</v>
      </c>
      <c r="AU119" s="43">
        <v>3.13201280002556</v>
      </c>
      <c r="AV119" s="43">
        <v>2696.6709999999998</v>
      </c>
      <c r="AW119" s="43">
        <v>1575.8209999999999</v>
      </c>
      <c r="AX119" s="43">
        <v>1.282594</v>
      </c>
      <c r="AY119" s="43">
        <v>1.8993199999999999</v>
      </c>
      <c r="AZ119" s="43">
        <v>211.17330000000001</v>
      </c>
      <c r="BA119" s="43">
        <v>0.7684358</v>
      </c>
      <c r="BB119" s="43">
        <v>178.92850000000001</v>
      </c>
      <c r="BC119" s="43">
        <v>37.404319999999998</v>
      </c>
      <c r="BD119" s="43">
        <v>5.6</v>
      </c>
      <c r="BE119" s="43">
        <v>1.444809</v>
      </c>
      <c r="BF119" s="43">
        <v>2.3534619999999999</v>
      </c>
      <c r="BG119" s="43">
        <v>2.6694209999999998</v>
      </c>
      <c r="BH119" s="43">
        <v>2.3723610000000002</v>
      </c>
      <c r="BI119" s="43">
        <v>1.592797</v>
      </c>
      <c r="BJ119" s="43">
        <v>1.520419</v>
      </c>
      <c r="BK119" s="43">
        <v>101.0946</v>
      </c>
      <c r="BL119" s="43">
        <v>103.6224</v>
      </c>
      <c r="BM119" s="43">
        <v>1.3419970000000001</v>
      </c>
      <c r="BN119" s="43">
        <v>1.412445</v>
      </c>
      <c r="BO119" s="43">
        <v>43.452460000000002</v>
      </c>
      <c r="BP119" s="43">
        <v>1.30134480264375</v>
      </c>
      <c r="BQ119" s="43">
        <v>3979.453</v>
      </c>
      <c r="BR119" s="43">
        <v>674.585326456394</v>
      </c>
      <c r="BS119" s="43">
        <v>14006.81</v>
      </c>
      <c r="BT119" s="43">
        <v>7362.93</v>
      </c>
      <c r="BU119" s="43">
        <v>1.1893389999999999</v>
      </c>
      <c r="BV119" s="43">
        <v>1.4648600000000001</v>
      </c>
      <c r="BW119" s="43">
        <v>1.5490470000000001</v>
      </c>
      <c r="BX119" s="43">
        <v>1.177754</v>
      </c>
      <c r="BY119" s="43">
        <v>2.1499990000000002</v>
      </c>
      <c r="BZ119" s="43">
        <v>2.3534079999999999</v>
      </c>
      <c r="CA119" s="43">
        <v>2.0714429999999999</v>
      </c>
      <c r="CB119" s="43">
        <v>0.76467260000000004</v>
      </c>
      <c r="CC119" s="43">
        <v>8.2833053310571003</v>
      </c>
      <c r="CD119" s="43">
        <v>1.0898159999999999</v>
      </c>
      <c r="CE119" s="43">
        <v>1.160145</v>
      </c>
      <c r="CF119" s="43">
        <v>1.274095</v>
      </c>
      <c r="CG119" s="43">
        <v>1.1412150000000001</v>
      </c>
      <c r="CH119" s="43">
        <v>1.0974023694847199</v>
      </c>
      <c r="CI119" s="43">
        <v>1.15724383951861</v>
      </c>
      <c r="CJ119" s="43">
        <v>1.1886916294159</v>
      </c>
      <c r="CK119" s="43">
        <v>1.1449803732708901</v>
      </c>
      <c r="CL119" s="43">
        <v>1.4673350000000001</v>
      </c>
      <c r="CM119" s="43">
        <v>1.322648</v>
      </c>
      <c r="CN119" s="43">
        <v>1.4878309999999999</v>
      </c>
      <c r="CO119" s="43">
        <v>1.8178970000000001</v>
      </c>
      <c r="CP119" s="43">
        <v>0.84907346241769499</v>
      </c>
      <c r="CQ119" s="43">
        <v>1.2655160000000001</v>
      </c>
      <c r="CR119" s="43">
        <v>0.99296150750867096</v>
      </c>
      <c r="CS119" s="43">
        <v>72.190894788133505</v>
      </c>
      <c r="CT119" s="43">
        <v>98.174916224524097</v>
      </c>
      <c r="CU119" s="43">
        <v>18.470840316237101</v>
      </c>
      <c r="CV119" s="43">
        <v>21.754113317406301</v>
      </c>
      <c r="CW119" s="43">
        <v>1.4271990000000001</v>
      </c>
      <c r="CX119" s="43">
        <v>1.382244</v>
      </c>
      <c r="CY119" s="43">
        <v>1.3445400000000001</v>
      </c>
      <c r="CZ119" s="43">
        <v>1.3821633936755799</v>
      </c>
      <c r="DA119" s="43">
        <v>1.23014372519641</v>
      </c>
      <c r="DB119" s="43">
        <v>2.6205068242159602</v>
      </c>
      <c r="DC119" s="43">
        <v>0.99729192041699299</v>
      </c>
      <c r="DD119" s="43">
        <v>1.32891876199312</v>
      </c>
      <c r="DE119" s="43">
        <v>1.82932279532552</v>
      </c>
      <c r="DF119" s="43">
        <v>1.4453507765929201</v>
      </c>
      <c r="DG119" s="43">
        <v>1.5522698960336501</v>
      </c>
      <c r="DH119" s="43">
        <v>1.23165111960489</v>
      </c>
      <c r="DI119" s="43">
        <v>2.3028048773407099</v>
      </c>
      <c r="DJ119" s="43">
        <v>1.1938862407781301</v>
      </c>
      <c r="DK119" s="43">
        <v>1.890857</v>
      </c>
      <c r="DL119" s="43">
        <v>2.1034039999999998</v>
      </c>
      <c r="DM119" s="43">
        <v>2.2919130000000001</v>
      </c>
      <c r="DN119" s="43">
        <v>1.67316392085141</v>
      </c>
      <c r="DO119" s="43">
        <v>2.4618950000000002</v>
      </c>
      <c r="DP119" s="43">
        <v>1.759477</v>
      </c>
      <c r="DQ119" s="43">
        <v>1.382598</v>
      </c>
      <c r="DR119" s="43">
        <v>2.0910549999999999</v>
      </c>
      <c r="DS119" s="43">
        <v>0.9326875</v>
      </c>
      <c r="DT119" s="43">
        <v>1.46938576893118</v>
      </c>
      <c r="DU119" s="43">
        <v>626.75519999999995</v>
      </c>
      <c r="DV119" s="43">
        <v>329.00290000000001</v>
      </c>
      <c r="DW119" s="43">
        <v>116.5359</v>
      </c>
      <c r="DX119" s="43">
        <v>1.1309089999999999</v>
      </c>
      <c r="DY119" s="43">
        <v>1.2658739999999999</v>
      </c>
      <c r="DZ119" s="43">
        <v>1.083769</v>
      </c>
      <c r="EA119" s="43">
        <v>919.91200000000003</v>
      </c>
      <c r="EB119" s="43">
        <v>123.902052315253</v>
      </c>
      <c r="EC119" s="43">
        <v>1.37217589874937</v>
      </c>
      <c r="ED119" s="43">
        <v>1.45116304950704</v>
      </c>
      <c r="EE119" s="43">
        <v>1.43409522136385</v>
      </c>
      <c r="EF119" s="43">
        <v>1.71533172425745</v>
      </c>
      <c r="EG119" s="43">
        <v>1.5346776994937299</v>
      </c>
      <c r="EH119" s="43">
        <v>0.68694045162260398</v>
      </c>
      <c r="EI119" s="43">
        <v>0.28375952231011597</v>
      </c>
      <c r="EJ119" s="43">
        <v>32.504419509298998</v>
      </c>
      <c r="EK119" s="43">
        <v>18.4443689501575</v>
      </c>
      <c r="EL119" s="43">
        <v>0.81238160654523806</v>
      </c>
      <c r="EM119" s="43">
        <v>2449.8662974316198</v>
      </c>
      <c r="EN119" s="43">
        <v>609.99691287857399</v>
      </c>
      <c r="EO119" s="43">
        <v>90656.419548548103</v>
      </c>
      <c r="EP119" s="43">
        <v>61460.384100085001</v>
      </c>
      <c r="EQ119" s="43">
        <v>4372.1233986245697</v>
      </c>
      <c r="ER119" s="43">
        <v>2.01447028398599</v>
      </c>
      <c r="ES119" s="43">
        <v>2.15194335407717</v>
      </c>
      <c r="ET119" s="43">
        <v>1.9863484233062001</v>
      </c>
      <c r="EU119" s="43">
        <v>2.282368</v>
      </c>
      <c r="EV119" s="43">
        <v>1.9788730000000001</v>
      </c>
      <c r="EW119" s="43">
        <v>2.7824409999999999</v>
      </c>
      <c r="EX119" s="43">
        <v>2.2810199999999998</v>
      </c>
      <c r="EY119" s="43">
        <v>1.9789319999999999</v>
      </c>
      <c r="EZ119" s="43">
        <v>2.782362</v>
      </c>
      <c r="FA119" s="43">
        <v>17.4537205266295</v>
      </c>
      <c r="FB119" s="43">
        <v>17.108143524050099</v>
      </c>
      <c r="FC119" s="43">
        <v>74.084381222421698</v>
      </c>
      <c r="FD119" s="43">
        <v>16589.264147878701</v>
      </c>
      <c r="FE119" s="43">
        <v>179147.5</v>
      </c>
      <c r="FF119" s="43">
        <v>1.5670625</v>
      </c>
      <c r="FG119" s="43">
        <v>5.57560201627415</v>
      </c>
      <c r="FH119" s="43">
        <v>914.81052400641397</v>
      </c>
      <c r="FI119" s="43">
        <v>14500.128444010999</v>
      </c>
      <c r="FJ119" s="43">
        <v>7.2358387703204503</v>
      </c>
      <c r="FK119" s="43">
        <v>18.856571241132499</v>
      </c>
      <c r="FL119" s="43">
        <v>1.118784</v>
      </c>
      <c r="FM119" s="43">
        <v>1.148539</v>
      </c>
    </row>
    <row r="120" spans="1:169" x14ac:dyDescent="0.25">
      <c r="A120" s="43" t="s">
        <v>347</v>
      </c>
      <c r="B120" s="43">
        <v>26948.36</v>
      </c>
      <c r="C120" s="43">
        <v>18720.43</v>
      </c>
      <c r="D120" s="43">
        <v>3.812694</v>
      </c>
      <c r="E120" s="43">
        <v>3.0293800000000002</v>
      </c>
      <c r="F120" s="43">
        <v>3.073353</v>
      </c>
      <c r="G120" s="43">
        <v>3.1779730000000002</v>
      </c>
      <c r="H120" s="43">
        <v>1.224267</v>
      </c>
      <c r="I120" s="43">
        <v>1.1760900000000001</v>
      </c>
      <c r="J120" s="43">
        <v>1.177292</v>
      </c>
      <c r="K120" s="43">
        <v>1.1368659999999999</v>
      </c>
      <c r="L120" s="43">
        <v>3.0285920000000002</v>
      </c>
      <c r="M120" s="43">
        <v>79.961089999999999</v>
      </c>
      <c r="N120" s="43">
        <v>85.379695216841</v>
      </c>
      <c r="O120" s="43">
        <v>2.6608660543690101</v>
      </c>
      <c r="P120" s="43">
        <v>1.380406</v>
      </c>
      <c r="Q120" s="43">
        <v>-559.53110000000004</v>
      </c>
      <c r="R120" s="43">
        <v>6.0293799999999997</v>
      </c>
      <c r="S120" s="43">
        <v>3894.1570000000002</v>
      </c>
      <c r="T120" s="43">
        <v>2.7348789999999998</v>
      </c>
      <c r="U120" s="43">
        <v>4.1808170000000002</v>
      </c>
      <c r="V120" s="43">
        <v>3283.3049999999998</v>
      </c>
      <c r="W120" s="43">
        <v>2.0793200000000001</v>
      </c>
      <c r="X120" s="43">
        <v>23135.19</v>
      </c>
      <c r="Y120" s="43">
        <v>1.341091</v>
      </c>
      <c r="Z120" s="43">
        <v>0.92001770000000005</v>
      </c>
      <c r="AA120" s="43">
        <v>1.3883129999999999</v>
      </c>
      <c r="AB120" s="43">
        <v>1.122733</v>
      </c>
      <c r="AC120" s="43">
        <v>78.011380000000003</v>
      </c>
      <c r="AD120" s="43">
        <v>1.487576</v>
      </c>
      <c r="AE120" s="43">
        <v>1.8610819999999999</v>
      </c>
      <c r="AF120" s="43">
        <v>1.934626</v>
      </c>
      <c r="AG120" s="43">
        <v>359.48430000000002</v>
      </c>
      <c r="AH120" s="43">
        <v>187.10810000000001</v>
      </c>
      <c r="AI120" s="43">
        <v>3.1471110000000002</v>
      </c>
      <c r="AJ120" s="43">
        <v>3.1079075073658999</v>
      </c>
      <c r="AK120" s="43">
        <f t="shared" si="4"/>
        <v>39862.559367410613</v>
      </c>
      <c r="AL120" s="47">
        <v>1.1469946615383142E-2</v>
      </c>
      <c r="AM120" s="43">
        <v>2.4490902856039498</v>
      </c>
      <c r="AN120" s="43">
        <v>0.71638392720560395</v>
      </c>
      <c r="AO120" s="43">
        <v>3.0745599272249802</v>
      </c>
      <c r="AP120" s="43">
        <v>2.58572893907558</v>
      </c>
      <c r="AQ120" s="43">
        <v>4.8626822294799403</v>
      </c>
      <c r="AR120" s="43">
        <v>2.8591242638461098</v>
      </c>
      <c r="AS120" s="43">
        <v>2.4131793134291302</v>
      </c>
      <c r="AT120" s="43">
        <v>2.35708915525416</v>
      </c>
      <c r="AU120" s="43">
        <v>3.1486502166810402</v>
      </c>
      <c r="AV120" s="43">
        <v>2715.3530000000001</v>
      </c>
      <c r="AW120" s="43">
        <v>1588.6959999999999</v>
      </c>
      <c r="AX120" s="43">
        <v>1.2922499999999999</v>
      </c>
      <c r="AY120" s="43">
        <v>1.909837</v>
      </c>
      <c r="AZ120" s="43">
        <v>210.50720000000001</v>
      </c>
      <c r="BA120" s="43">
        <v>0.76613050000000005</v>
      </c>
      <c r="BB120" s="43">
        <v>180.0241</v>
      </c>
      <c r="BC120" s="43">
        <v>37.638420000000004</v>
      </c>
      <c r="BD120" s="43">
        <v>5.5</v>
      </c>
      <c r="BE120" s="43">
        <v>1.452132</v>
      </c>
      <c r="BF120" s="43">
        <v>2.3490709999999999</v>
      </c>
      <c r="BG120" s="43">
        <v>2.664758</v>
      </c>
      <c r="BH120" s="43">
        <v>2.3484500000000001</v>
      </c>
      <c r="BI120" s="43">
        <v>1.601092</v>
      </c>
      <c r="BJ120" s="43">
        <v>1.528769</v>
      </c>
      <c r="BK120" s="43">
        <v>101.8252</v>
      </c>
      <c r="BL120" s="43">
        <v>104.37009999999999</v>
      </c>
      <c r="BM120" s="43">
        <v>1.356349</v>
      </c>
      <c r="BN120" s="43">
        <v>1.420652</v>
      </c>
      <c r="BO120" s="43">
        <v>43.567610000000002</v>
      </c>
      <c r="BP120" s="43">
        <v>1.3052606214128699</v>
      </c>
      <c r="BQ120" s="43">
        <v>4019.1239999999998</v>
      </c>
      <c r="BR120" s="43">
        <v>677.91675202125202</v>
      </c>
      <c r="BS120" s="43">
        <v>14073.35</v>
      </c>
      <c r="BT120" s="43">
        <v>7390.6729999999998</v>
      </c>
      <c r="BU120" s="43">
        <v>1.1968589999999999</v>
      </c>
      <c r="BV120" s="43">
        <v>1.472011</v>
      </c>
      <c r="BW120" s="43">
        <v>1.557779</v>
      </c>
      <c r="BX120" s="43">
        <v>1.165977</v>
      </c>
      <c r="BY120" s="43">
        <v>2.119564</v>
      </c>
      <c r="BZ120" s="43">
        <v>2.3299310000000002</v>
      </c>
      <c r="CA120" s="43">
        <v>2.0566270000000002</v>
      </c>
      <c r="CB120" s="43">
        <v>0.76658349999999997</v>
      </c>
      <c r="CC120" s="43">
        <v>8.2078509769304198</v>
      </c>
      <c r="CD120" s="43">
        <v>1.097342</v>
      </c>
      <c r="CE120" s="43">
        <v>1.1677379999999999</v>
      </c>
      <c r="CF120" s="43">
        <v>1.283361</v>
      </c>
      <c r="CG120" s="43">
        <v>1.147011</v>
      </c>
      <c r="CH120" s="43">
        <v>1.1006807537160199</v>
      </c>
      <c r="CI120" s="43">
        <v>1.16216196640367</v>
      </c>
      <c r="CJ120" s="43">
        <v>1.1945796483261999</v>
      </c>
      <c r="CK120" s="43">
        <v>1.14887608669401</v>
      </c>
      <c r="CL120" s="43">
        <v>1.4745029999999999</v>
      </c>
      <c r="CM120" s="43">
        <v>1.326748</v>
      </c>
      <c r="CN120" s="43">
        <v>1.496964</v>
      </c>
      <c r="CO120" s="43">
        <v>1.831008</v>
      </c>
      <c r="CP120" s="43">
        <v>0.857650087080844</v>
      </c>
      <c r="CQ120" s="43">
        <v>1.27111</v>
      </c>
      <c r="CR120" s="43">
        <v>0.99223641474571</v>
      </c>
      <c r="CS120" s="43">
        <v>73.225903037659606</v>
      </c>
      <c r="CT120" s="43">
        <v>98.371266056973099</v>
      </c>
      <c r="CU120" s="43">
        <v>18.620102346677999</v>
      </c>
      <c r="CV120" s="43">
        <v>21.710605090771502</v>
      </c>
      <c r="CW120" s="43">
        <v>1.433991</v>
      </c>
      <c r="CX120" s="43">
        <v>1.3884129999999999</v>
      </c>
      <c r="CY120" s="43">
        <v>1.3495980000000001</v>
      </c>
      <c r="CZ120" s="43">
        <v>1.3877616059134099</v>
      </c>
      <c r="DA120" s="43">
        <v>1.2338466275247499</v>
      </c>
      <c r="DB120" s="43">
        <v>2.6348057044560198</v>
      </c>
      <c r="DC120" s="43">
        <v>0.997257688365912</v>
      </c>
      <c r="DD120" s="43">
        <v>1.33670612134162</v>
      </c>
      <c r="DE120" s="43">
        <v>1.84278016036498</v>
      </c>
      <c r="DF120" s="43">
        <v>1.4520729002171899</v>
      </c>
      <c r="DG120" s="43">
        <v>1.5604194901174799</v>
      </c>
      <c r="DH120" s="43">
        <v>1.2362821463425699</v>
      </c>
      <c r="DI120" s="43">
        <v>2.3233037046716798</v>
      </c>
      <c r="DJ120" s="43">
        <v>1.1938964330327</v>
      </c>
      <c r="DK120" s="43">
        <v>1.904423</v>
      </c>
      <c r="DL120" s="43">
        <v>2.1199650000000001</v>
      </c>
      <c r="DM120" s="43">
        <v>2.3116560000000002</v>
      </c>
      <c r="DN120" s="43">
        <v>1.68360685323074</v>
      </c>
      <c r="DO120" s="43">
        <v>2.486761</v>
      </c>
      <c r="DP120" s="43">
        <v>1.7723720000000001</v>
      </c>
      <c r="DQ120" s="43">
        <v>1.387532</v>
      </c>
      <c r="DR120" s="43">
        <v>2.1066729999999998</v>
      </c>
      <c r="DS120" s="43">
        <v>0.93487200000000004</v>
      </c>
      <c r="DT120" s="43">
        <v>1.47719333172519</v>
      </c>
      <c r="DU120" s="43">
        <v>629.19970000000001</v>
      </c>
      <c r="DV120" s="43">
        <v>330.0102</v>
      </c>
      <c r="DW120" s="43">
        <v>117.181</v>
      </c>
      <c r="DX120" s="43">
        <v>1.133359</v>
      </c>
      <c r="DY120" s="43">
        <v>1.2703340000000001</v>
      </c>
      <c r="DZ120" s="43">
        <v>1.084033</v>
      </c>
      <c r="EA120" s="43">
        <v>921.23490000000004</v>
      </c>
      <c r="EB120" s="43">
        <v>125.76058309998</v>
      </c>
      <c r="EC120" s="43">
        <v>1.3799110457255901</v>
      </c>
      <c r="ED120" s="43">
        <v>1.4601614989282099</v>
      </c>
      <c r="EE120" s="43">
        <v>1.44254709637114</v>
      </c>
      <c r="EF120" s="43">
        <v>1.7269158114277501</v>
      </c>
      <c r="EG120" s="43">
        <v>1.54384335780069</v>
      </c>
      <c r="EH120" s="43">
        <v>0.690422187191715</v>
      </c>
      <c r="EI120" s="43">
        <v>0.285197748315831</v>
      </c>
      <c r="EJ120" s="43">
        <v>32.669167113391197</v>
      </c>
      <c r="EK120" s="43">
        <v>18.537853640529001</v>
      </c>
      <c r="EL120" s="43">
        <v>0.81649913657061202</v>
      </c>
      <c r="EM120" s="43">
        <v>2460.1694211344502</v>
      </c>
      <c r="EN120" s="43">
        <v>612.56230743023502</v>
      </c>
      <c r="EO120" s="43">
        <v>91037.682928530601</v>
      </c>
      <c r="EP120" s="43">
        <v>61718.861038549097</v>
      </c>
      <c r="EQ120" s="43">
        <v>4390.5107401163395</v>
      </c>
      <c r="ER120" s="43">
        <v>2.02582613401955</v>
      </c>
      <c r="ES120" s="43">
        <v>2.1640741589859802</v>
      </c>
      <c r="ET120" s="43">
        <v>1.9975457464877699</v>
      </c>
      <c r="EU120" s="43">
        <v>2.2996889999999999</v>
      </c>
      <c r="EV120" s="43">
        <v>1.98959</v>
      </c>
      <c r="EW120" s="43">
        <v>2.811242</v>
      </c>
      <c r="EX120" s="43">
        <v>2.301196</v>
      </c>
      <c r="EY120" s="43">
        <v>1.990049</v>
      </c>
      <c r="EZ120" s="43">
        <v>2.8121640000000001</v>
      </c>
      <c r="FA120" s="43">
        <v>17.586760571401499</v>
      </c>
      <c r="FB120" s="43">
        <v>17.237622285217</v>
      </c>
      <c r="FC120" s="43">
        <v>74.739683319474096</v>
      </c>
      <c r="FD120" s="43">
        <v>16682.453710862799</v>
      </c>
      <c r="FE120" s="43">
        <v>181066.3</v>
      </c>
      <c r="FF120" s="43">
        <v>1.57506249999999</v>
      </c>
      <c r="FG120" s="43">
        <v>5.5831853033668599</v>
      </c>
      <c r="FH120" s="43">
        <v>916.64014505442697</v>
      </c>
      <c r="FI120" s="43">
        <v>14463.8781229009</v>
      </c>
      <c r="FJ120" s="43">
        <v>7.2213672085532297</v>
      </c>
      <c r="FK120" s="43">
        <v>18.954158705857399</v>
      </c>
      <c r="FL120" s="43">
        <v>1.1239250000000001</v>
      </c>
      <c r="FM120" s="43">
        <v>1.1499440000000001</v>
      </c>
    </row>
    <row r="121" spans="1:169" x14ac:dyDescent="0.25">
      <c r="A121" s="43" t="s">
        <v>348</v>
      </c>
      <c r="B121" s="43">
        <v>27102.65</v>
      </c>
      <c r="C121" s="43">
        <v>18834.759999999998</v>
      </c>
      <c r="D121" s="43">
        <v>3.8400400000000001</v>
      </c>
      <c r="E121" s="43">
        <v>3.0293800000000002</v>
      </c>
      <c r="F121" s="43">
        <v>3.0572249999999999</v>
      </c>
      <c r="G121" s="43">
        <v>3.110274</v>
      </c>
      <c r="H121" s="43">
        <v>1.232248</v>
      </c>
      <c r="I121" s="43">
        <v>1.1827589999999999</v>
      </c>
      <c r="J121" s="43">
        <v>1.1835899999999999</v>
      </c>
      <c r="K121" s="43">
        <v>1.140582</v>
      </c>
      <c r="L121" s="43">
        <v>3.047777</v>
      </c>
      <c r="M121" s="43">
        <v>80.285989999999998</v>
      </c>
      <c r="N121" s="43">
        <v>85.726610456999694</v>
      </c>
      <c r="O121" s="43">
        <v>2.6718841332690699</v>
      </c>
      <c r="P121" s="43">
        <v>1.384844</v>
      </c>
      <c r="Q121" s="43">
        <v>-549.99379999999996</v>
      </c>
      <c r="R121" s="43">
        <v>6.0293799999999997</v>
      </c>
      <c r="S121" s="43">
        <v>3912.23</v>
      </c>
      <c r="T121" s="43">
        <v>2.736294</v>
      </c>
      <c r="U121" s="43">
        <v>4.1778209999999998</v>
      </c>
      <c r="V121" s="43">
        <v>3306.7020000000002</v>
      </c>
      <c r="W121" s="43">
        <v>2.0958329999999998</v>
      </c>
      <c r="X121" s="43">
        <v>23345.35</v>
      </c>
      <c r="Y121" s="43">
        <v>1.3422540000000001</v>
      </c>
      <c r="Z121" s="43">
        <v>0.92549930000000002</v>
      </c>
      <c r="AA121" s="43">
        <v>1.3936489999999999</v>
      </c>
      <c r="AB121" s="43">
        <v>1.128708</v>
      </c>
      <c r="AC121" s="43">
        <v>78.329260000000005</v>
      </c>
      <c r="AD121" s="43">
        <v>1.4966470000000001</v>
      </c>
      <c r="AE121" s="43">
        <v>1.878573</v>
      </c>
      <c r="AF121" s="43">
        <v>1.950358</v>
      </c>
      <c r="AG121" s="43">
        <v>360.06259999999997</v>
      </c>
      <c r="AH121" s="43">
        <v>190.3167</v>
      </c>
      <c r="AI121" s="43">
        <v>3.1678510000000002</v>
      </c>
      <c r="AJ121" s="43">
        <v>3.1279710652575399</v>
      </c>
      <c r="AK121" s="43">
        <f t="shared" si="4"/>
        <v>40335.259239578125</v>
      </c>
      <c r="AL121" s="47">
        <v>1.1858241910928768E-2</v>
      </c>
      <c r="AM121" s="43">
        <v>2.4399358846888002</v>
      </c>
      <c r="AN121" s="43">
        <v>0.71103118459042902</v>
      </c>
      <c r="AO121" s="43">
        <v>3.0893306875178901</v>
      </c>
      <c r="AP121" s="43">
        <v>2.5990443712754798</v>
      </c>
      <c r="AQ121" s="43">
        <v>4.9003205183561098</v>
      </c>
      <c r="AR121" s="43">
        <v>2.8772489301817998</v>
      </c>
      <c r="AS121" s="43">
        <v>2.42597506752286</v>
      </c>
      <c r="AT121" s="43">
        <v>2.3675252383286902</v>
      </c>
      <c r="AU121" s="43">
        <v>3.1699490658634999</v>
      </c>
      <c r="AV121" s="43">
        <v>2728.0929999999998</v>
      </c>
      <c r="AW121" s="43">
        <v>1598.3789999999999</v>
      </c>
      <c r="AX121" s="43">
        <v>1.2976989999999999</v>
      </c>
      <c r="AY121" s="43">
        <v>1.9220999999999999</v>
      </c>
      <c r="AZ121" s="43">
        <v>211.92830000000001</v>
      </c>
      <c r="BA121" s="43">
        <v>0.76842889999999997</v>
      </c>
      <c r="BB121" s="43">
        <v>181.70820000000001</v>
      </c>
      <c r="BC121" s="43">
        <v>37.89987</v>
      </c>
      <c r="BD121" s="43">
        <v>5.4</v>
      </c>
      <c r="BE121" s="43">
        <v>1.4599200000000001</v>
      </c>
      <c r="BF121" s="43">
        <v>2.3507280000000002</v>
      </c>
      <c r="BG121" s="43">
        <v>2.667802</v>
      </c>
      <c r="BH121" s="43">
        <v>2.3339569999999998</v>
      </c>
      <c r="BI121" s="43">
        <v>1.610487</v>
      </c>
      <c r="BJ121" s="43">
        <v>1.5378449999999999</v>
      </c>
      <c r="BK121" s="43">
        <v>101.93429999999999</v>
      </c>
      <c r="BL121" s="43">
        <v>104.4807</v>
      </c>
      <c r="BM121" s="43">
        <v>1.36744</v>
      </c>
      <c r="BN121" s="43">
        <v>1.426382</v>
      </c>
      <c r="BO121" s="43">
        <v>43.683059999999998</v>
      </c>
      <c r="BP121" s="43">
        <v>1.3013565125650099</v>
      </c>
      <c r="BQ121" s="43">
        <v>4055.3649999999998</v>
      </c>
      <c r="BR121" s="43">
        <v>681.93422626930203</v>
      </c>
      <c r="BS121" s="43">
        <v>14143.71</v>
      </c>
      <c r="BT121" s="43">
        <v>7422.8729999999996</v>
      </c>
      <c r="BU121" s="43">
        <v>1.2039390000000001</v>
      </c>
      <c r="BV121" s="43">
        <v>1.4798990000000001</v>
      </c>
      <c r="BW121" s="43">
        <v>1.567245</v>
      </c>
      <c r="BX121" s="43">
        <v>1.170642</v>
      </c>
      <c r="BY121" s="43">
        <v>2.1282800000000002</v>
      </c>
      <c r="BZ121" s="43">
        <v>2.3326120000000001</v>
      </c>
      <c r="CA121" s="43">
        <v>2.0728680000000002</v>
      </c>
      <c r="CB121" s="43">
        <v>0.76275059999999995</v>
      </c>
      <c r="CC121" s="43">
        <v>8.1323886072714604</v>
      </c>
      <c r="CD121" s="43">
        <v>1.104789</v>
      </c>
      <c r="CE121" s="43">
        <v>1.1749970000000001</v>
      </c>
      <c r="CF121" s="43">
        <v>1.2928269999999999</v>
      </c>
      <c r="CG121" s="43">
        <v>1.1518090000000001</v>
      </c>
      <c r="CH121" s="43">
        <v>1.10385660175501</v>
      </c>
      <c r="CI121" s="43">
        <v>1.16684247893641</v>
      </c>
      <c r="CJ121" s="43">
        <v>1.2004732311209501</v>
      </c>
      <c r="CK121" s="43">
        <v>1.15311860418435</v>
      </c>
      <c r="CL121" s="43">
        <v>1.4824090000000001</v>
      </c>
      <c r="CM121" s="43">
        <v>1.3313029999999999</v>
      </c>
      <c r="CN121" s="43">
        <v>1.5069760000000001</v>
      </c>
      <c r="CO121" s="43">
        <v>1.845221</v>
      </c>
      <c r="CP121" s="43">
        <v>0.85423243936096904</v>
      </c>
      <c r="CQ121" s="43">
        <v>1.2764139999999999</v>
      </c>
      <c r="CR121" s="43">
        <v>0.992337942461891</v>
      </c>
      <c r="CS121" s="43">
        <v>73.230451568830404</v>
      </c>
      <c r="CT121" s="43">
        <v>98.961493653314903</v>
      </c>
      <c r="CU121" s="43">
        <v>18.508811340398999</v>
      </c>
      <c r="CV121" s="43">
        <v>21.667183880589899</v>
      </c>
      <c r="CW121" s="43">
        <v>1.4413560000000001</v>
      </c>
      <c r="CX121" s="43">
        <v>1.3951009999999999</v>
      </c>
      <c r="CY121" s="43">
        <v>1.3550960000000001</v>
      </c>
      <c r="CZ121" s="43">
        <v>1.3938800143310499</v>
      </c>
      <c r="DA121" s="43">
        <v>1.2378832861378199</v>
      </c>
      <c r="DB121" s="43">
        <v>2.6468518618673502</v>
      </c>
      <c r="DC121" s="43">
        <v>0.996757092213294</v>
      </c>
      <c r="DD121" s="43">
        <v>1.3450472347592599</v>
      </c>
      <c r="DE121" s="43">
        <v>1.8574699783459401</v>
      </c>
      <c r="DF121" s="43">
        <v>1.4594873092759</v>
      </c>
      <c r="DG121" s="43">
        <v>1.56921623567872</v>
      </c>
      <c r="DH121" s="43">
        <v>1.2412813593316501</v>
      </c>
      <c r="DI121" s="43">
        <v>2.3457448854727199</v>
      </c>
      <c r="DJ121" s="43">
        <v>1.1941239236266901</v>
      </c>
      <c r="DK121" s="43">
        <v>1.9193739999999999</v>
      </c>
      <c r="DL121" s="43">
        <v>2.138817</v>
      </c>
      <c r="DM121" s="43">
        <v>2.3331369999999998</v>
      </c>
      <c r="DN121" s="43">
        <v>1.69527842846221</v>
      </c>
      <c r="DO121" s="43">
        <v>2.5137040000000002</v>
      </c>
      <c r="DP121" s="43">
        <v>1.7864789999999999</v>
      </c>
      <c r="DQ121" s="43">
        <v>1.392863</v>
      </c>
      <c r="DR121" s="43">
        <v>2.1260729999999999</v>
      </c>
      <c r="DS121" s="43">
        <v>0.93721520000000003</v>
      </c>
      <c r="DT121" s="43">
        <v>1.4857683114806199</v>
      </c>
      <c r="DU121" s="43">
        <v>632.27589999999998</v>
      </c>
      <c r="DV121" s="43">
        <v>331.2824</v>
      </c>
      <c r="DW121" s="43">
        <v>117.9979</v>
      </c>
      <c r="DX121" s="43">
        <v>1.1363939999999999</v>
      </c>
      <c r="DY121" s="43">
        <v>1.275873</v>
      </c>
      <c r="DZ121" s="43">
        <v>1.084444</v>
      </c>
      <c r="EA121" s="43">
        <v>922.95029999999997</v>
      </c>
      <c r="EB121" s="43">
        <v>127.521231263381</v>
      </c>
      <c r="EC121" s="43">
        <v>1.3882961499900499</v>
      </c>
      <c r="ED121" s="43">
        <v>1.46992152447068</v>
      </c>
      <c r="EE121" s="43">
        <v>1.4517118141801499</v>
      </c>
      <c r="EF121" s="43">
        <v>1.7394855866882599</v>
      </c>
      <c r="EG121" s="43">
        <v>1.5537821012734101</v>
      </c>
      <c r="EH121" s="43">
        <v>0.69412515083805304</v>
      </c>
      <c r="EI121" s="43">
        <v>0.28672735862329601</v>
      </c>
      <c r="EJ121" s="43">
        <v>32.844382713963199</v>
      </c>
      <c r="EK121" s="43">
        <v>18.637278310514201</v>
      </c>
      <c r="EL121" s="43">
        <v>0.82087829279715996</v>
      </c>
      <c r="EM121" s="43">
        <v>2470.1940820344898</v>
      </c>
      <c r="EN121" s="43">
        <v>615.05836699401402</v>
      </c>
      <c r="EO121" s="43">
        <v>91408.641892837899</v>
      </c>
      <c r="EP121" s="43">
        <v>61970.352113811401</v>
      </c>
      <c r="EQ121" s="43">
        <v>4408.40112643266</v>
      </c>
      <c r="ER121" s="43">
        <v>2.0381361763284702</v>
      </c>
      <c r="ES121" s="43">
        <v>2.1772242729120399</v>
      </c>
      <c r="ET121" s="43">
        <v>2.0096839414889698</v>
      </c>
      <c r="EU121" s="43">
        <v>2.3245399999999998</v>
      </c>
      <c r="EV121" s="43">
        <v>2.0028419999999998</v>
      </c>
      <c r="EW121" s="43">
        <v>2.8463799999999999</v>
      </c>
      <c r="EX121" s="43">
        <v>2.3258909999999999</v>
      </c>
      <c r="EY121" s="43">
        <v>2.0029620000000001</v>
      </c>
      <c r="EZ121" s="43">
        <v>2.846924</v>
      </c>
      <c r="FA121" s="43">
        <v>17.777640040680701</v>
      </c>
      <c r="FB121" s="43">
        <v>17.4233141701698</v>
      </c>
      <c r="FC121" s="43">
        <v>75.541725586325896</v>
      </c>
      <c r="FD121" s="43">
        <v>16790.700639919502</v>
      </c>
      <c r="FE121" s="43">
        <v>183304.4</v>
      </c>
      <c r="FF121" s="43">
        <v>1.5829374999999899</v>
      </c>
      <c r="FG121" s="43">
        <v>5.6390171564004996</v>
      </c>
      <c r="FH121" s="43">
        <v>916.64018208262496</v>
      </c>
      <c r="FI121" s="43">
        <v>14427.7184275937</v>
      </c>
      <c r="FJ121" s="43">
        <v>7.1852613112882002</v>
      </c>
      <c r="FK121" s="43">
        <v>19.051746170582401</v>
      </c>
      <c r="FL121" s="43">
        <v>1.123321</v>
      </c>
      <c r="FM121" s="43">
        <v>1.1470050000000001</v>
      </c>
    </row>
    <row r="122" spans="1:169" x14ac:dyDescent="0.25">
      <c r="A122" s="43" t="s">
        <v>349</v>
      </c>
      <c r="B122" s="43">
        <v>27243.83</v>
      </c>
      <c r="C122" s="43">
        <v>18939.37</v>
      </c>
      <c r="D122" s="43">
        <v>3.8713359999999999</v>
      </c>
      <c r="E122" s="43">
        <v>3.1506509999999999</v>
      </c>
      <c r="F122" s="43">
        <v>3.0909309999999999</v>
      </c>
      <c r="G122" s="43">
        <v>3.1341830000000002</v>
      </c>
      <c r="H122" s="43">
        <v>1.2397009999999999</v>
      </c>
      <c r="I122" s="43">
        <v>1.1890750000000001</v>
      </c>
      <c r="J122" s="43">
        <v>1.1893849999999999</v>
      </c>
      <c r="K122" s="43">
        <v>1.144272</v>
      </c>
      <c r="L122" s="43">
        <v>3.069957</v>
      </c>
      <c r="M122" s="43">
        <v>80.610889999999998</v>
      </c>
      <c r="N122" s="43">
        <v>86.073525697158402</v>
      </c>
      <c r="O122" s="43">
        <v>2.6884112516191898</v>
      </c>
      <c r="P122" s="43">
        <v>1.415141</v>
      </c>
      <c r="Q122" s="43">
        <v>-540.01300000000003</v>
      </c>
      <c r="R122" s="43">
        <v>6.1506509999999999</v>
      </c>
      <c r="S122" s="43">
        <v>3928.1260000000002</v>
      </c>
      <c r="T122" s="43">
        <v>2.829672</v>
      </c>
      <c r="U122" s="43">
        <v>4.2108480000000004</v>
      </c>
      <c r="V122" s="43">
        <v>3328.2260000000001</v>
      </c>
      <c r="W122" s="43">
        <v>2.1139019999999999</v>
      </c>
      <c r="X122" s="43">
        <v>23611.11</v>
      </c>
      <c r="Y122" s="43">
        <v>1.343315</v>
      </c>
      <c r="Z122" s="43">
        <v>0.9306335</v>
      </c>
      <c r="AA122" s="43">
        <v>1.399208</v>
      </c>
      <c r="AB122" s="43">
        <v>1.135583</v>
      </c>
      <c r="AC122" s="43">
        <v>78.647139999999993</v>
      </c>
      <c r="AD122" s="43">
        <v>1.5068839999999999</v>
      </c>
      <c r="AE122" s="43">
        <v>1.8985920000000001</v>
      </c>
      <c r="AF122" s="43">
        <v>1.968831</v>
      </c>
      <c r="AG122" s="43">
        <v>360.61939999999998</v>
      </c>
      <c r="AH122" s="43">
        <v>194.2559</v>
      </c>
      <c r="AI122" s="43">
        <v>3.1925729999999999</v>
      </c>
      <c r="AJ122" s="43">
        <v>3.1516135532220901</v>
      </c>
      <c r="AK122" s="43">
        <f t="shared" si="4"/>
        <v>40822.705812429842</v>
      </c>
      <c r="AL122" s="47">
        <v>1.2084875169797282E-2</v>
      </c>
      <c r="AM122" s="43">
        <v>2.4310806250091601</v>
      </c>
      <c r="AN122" s="43">
        <v>0.70809466044457003</v>
      </c>
      <c r="AO122" s="43">
        <v>3.1062767425826698</v>
      </c>
      <c r="AP122" s="43">
        <v>2.61198465317546</v>
      </c>
      <c r="AQ122" s="43">
        <v>4.9439451494814097</v>
      </c>
      <c r="AR122" s="43">
        <v>2.89920660139241</v>
      </c>
      <c r="AS122" s="43">
        <v>2.4403883884323401</v>
      </c>
      <c r="AT122" s="43">
        <v>2.3795053323588</v>
      </c>
      <c r="AU122" s="43">
        <v>3.1936429142260798</v>
      </c>
      <c r="AV122" s="43">
        <v>2745.6550000000002</v>
      </c>
      <c r="AW122" s="43">
        <v>1610.2260000000001</v>
      </c>
      <c r="AX122" s="43">
        <v>1.3063659999999999</v>
      </c>
      <c r="AY122" s="43">
        <v>1.9362459999999999</v>
      </c>
      <c r="AZ122" s="43">
        <v>213.92670000000001</v>
      </c>
      <c r="BA122" s="43">
        <v>0.76919729999999997</v>
      </c>
      <c r="BB122" s="43">
        <v>183.5307</v>
      </c>
      <c r="BC122" s="43">
        <v>38.19247</v>
      </c>
      <c r="BD122" s="43">
        <v>5.5857140000000003</v>
      </c>
      <c r="BE122" s="43">
        <v>1.4693369999999999</v>
      </c>
      <c r="BF122" s="43">
        <v>2.424963</v>
      </c>
      <c r="BG122" s="43">
        <v>2.7465899999999999</v>
      </c>
      <c r="BH122" s="43">
        <v>2.350355</v>
      </c>
      <c r="BI122" s="43">
        <v>1.6215440000000001</v>
      </c>
      <c r="BJ122" s="43">
        <v>1.5485880000000001</v>
      </c>
      <c r="BK122" s="43">
        <v>102.2457</v>
      </c>
      <c r="BL122" s="43">
        <v>104.7987</v>
      </c>
      <c r="BM122" s="43">
        <v>1.379356</v>
      </c>
      <c r="BN122" s="43">
        <v>1.4333880000000001</v>
      </c>
      <c r="BO122" s="43">
        <v>43.798819999999999</v>
      </c>
      <c r="BP122" s="43">
        <v>1.3000564658207401</v>
      </c>
      <c r="BQ122" s="43">
        <v>4100.2219999999998</v>
      </c>
      <c r="BR122" s="43">
        <v>686.57392130684002</v>
      </c>
      <c r="BS122" s="43">
        <v>14202.41</v>
      </c>
      <c r="BT122" s="43">
        <v>7447.9849999999997</v>
      </c>
      <c r="BU122" s="43">
        <v>1.2100949999999999</v>
      </c>
      <c r="BV122" s="43">
        <v>1.4891939999999999</v>
      </c>
      <c r="BW122" s="43">
        <v>1.579545</v>
      </c>
      <c r="BX122" s="43">
        <v>1.1729830000000001</v>
      </c>
      <c r="BY122" s="43">
        <v>2.1076549999999998</v>
      </c>
      <c r="BZ122" s="43">
        <v>2.3159679999999998</v>
      </c>
      <c r="CA122" s="43">
        <v>2.0650050000000002</v>
      </c>
      <c r="CB122" s="43">
        <v>0.75893679999999997</v>
      </c>
      <c r="CC122" s="43">
        <v>8.1043032371481907</v>
      </c>
      <c r="CD122" s="43">
        <v>1.110571</v>
      </c>
      <c r="CE122" s="43">
        <v>1.1814579999999999</v>
      </c>
      <c r="CF122" s="43">
        <v>1.30145</v>
      </c>
      <c r="CG122" s="43">
        <v>1.1566380000000001</v>
      </c>
      <c r="CH122" s="43">
        <v>1.1064542835030799</v>
      </c>
      <c r="CI122" s="43">
        <v>1.1709376307108901</v>
      </c>
      <c r="CJ122" s="43">
        <v>1.2057693960829099</v>
      </c>
      <c r="CK122" s="43">
        <v>1.1568869668789701</v>
      </c>
      <c r="CL122" s="43">
        <v>1.4917260000000001</v>
      </c>
      <c r="CM122" s="43">
        <v>1.3365130000000001</v>
      </c>
      <c r="CN122" s="43">
        <v>1.518675</v>
      </c>
      <c r="CO122" s="43">
        <v>1.8636889999999999</v>
      </c>
      <c r="CP122" s="43">
        <v>0.85252738459178501</v>
      </c>
      <c r="CQ122" s="43">
        <v>1.280983</v>
      </c>
      <c r="CR122" s="43">
        <v>0.88714564759211301</v>
      </c>
      <c r="CS122" s="43">
        <v>73.380037745192297</v>
      </c>
      <c r="CT122" s="43">
        <v>98.862532159661598</v>
      </c>
      <c r="CU122" s="43">
        <v>18.453395737583399</v>
      </c>
      <c r="CV122" s="43">
        <v>21.6455166967094</v>
      </c>
      <c r="CW122" s="43">
        <v>1.4509270000000001</v>
      </c>
      <c r="CX122" s="43">
        <v>1.403791</v>
      </c>
      <c r="CY122" s="43">
        <v>1.3622620000000001</v>
      </c>
      <c r="CZ122" s="43">
        <v>1.4019484561836999</v>
      </c>
      <c r="DA122" s="43">
        <v>1.24316898072042</v>
      </c>
      <c r="DB122" s="43">
        <v>2.6611754143754101</v>
      </c>
      <c r="DC122" s="43">
        <v>0.99652321405615596</v>
      </c>
      <c r="DD122" s="43">
        <v>1.3553845644732001</v>
      </c>
      <c r="DE122" s="43">
        <v>1.8758375619894301</v>
      </c>
      <c r="DF122" s="43">
        <v>1.4682033311803999</v>
      </c>
      <c r="DG122" s="43">
        <v>1.58005395125973</v>
      </c>
      <c r="DH122" s="43">
        <v>1.2478150867189799</v>
      </c>
      <c r="DI122" s="43">
        <v>2.37334611449177</v>
      </c>
      <c r="DJ122" s="43">
        <v>1.1936179412982</v>
      </c>
      <c r="DK122" s="43">
        <v>1.936742</v>
      </c>
      <c r="DL122" s="43">
        <v>2.163198</v>
      </c>
      <c r="DM122" s="43">
        <v>2.3612069999999998</v>
      </c>
      <c r="DN122" s="43">
        <v>1.71040649418685</v>
      </c>
      <c r="DO122" s="43">
        <v>2.5486710000000001</v>
      </c>
      <c r="DP122" s="43">
        <v>1.8046279999999999</v>
      </c>
      <c r="DQ122" s="43">
        <v>1.3997299999999999</v>
      </c>
      <c r="DR122" s="43">
        <v>2.150976</v>
      </c>
      <c r="DS122" s="43">
        <v>0.94017850000000003</v>
      </c>
      <c r="DT122" s="43">
        <v>1.4968807567406801</v>
      </c>
      <c r="DU122" s="43">
        <v>634.86800000000005</v>
      </c>
      <c r="DV122" s="43">
        <v>332.40750000000003</v>
      </c>
      <c r="DW122" s="43">
        <v>118.64449999999999</v>
      </c>
      <c r="DX122" s="43">
        <v>1.139551</v>
      </c>
      <c r="DY122" s="43">
        <v>1.280818</v>
      </c>
      <c r="DZ122" s="43">
        <v>1.08517</v>
      </c>
      <c r="EA122" s="43">
        <v>923.26310000000001</v>
      </c>
      <c r="EB122" s="43">
        <v>126.05473710385201</v>
      </c>
      <c r="EC122" s="43">
        <v>1.39919166452115</v>
      </c>
      <c r="ED122" s="43">
        <v>1.4826112567461101</v>
      </c>
      <c r="EE122" s="43">
        <v>1.46362532355894</v>
      </c>
      <c r="EF122" s="43">
        <v>1.7558296810646401</v>
      </c>
      <c r="EG122" s="43">
        <v>1.56669902324803</v>
      </c>
      <c r="EH122" s="43">
        <v>0.69860236868039904</v>
      </c>
      <c r="EI122" s="43">
        <v>0.28857679578079798</v>
      </c>
      <c r="EJ122" s="43">
        <v>33.056234216722103</v>
      </c>
      <c r="EK122" s="43">
        <v>18.757491725751901</v>
      </c>
      <c r="EL122" s="43">
        <v>0.82617308860519001</v>
      </c>
      <c r="EM122" s="43">
        <v>2480.2187429345399</v>
      </c>
      <c r="EN122" s="43">
        <v>617.554426557792</v>
      </c>
      <c r="EO122" s="43">
        <v>91779.600857145197</v>
      </c>
      <c r="EP122" s="43">
        <v>62221.843189073697</v>
      </c>
      <c r="EQ122" s="43">
        <v>4426.2915127489696</v>
      </c>
      <c r="ER122" s="43">
        <v>2.0541317132502601</v>
      </c>
      <c r="ES122" s="43">
        <v>2.1943113898813902</v>
      </c>
      <c r="ET122" s="43">
        <v>2.02545618186259</v>
      </c>
      <c r="EU122" s="43">
        <v>2.3516750000000002</v>
      </c>
      <c r="EV122" s="43">
        <v>2.018173</v>
      </c>
      <c r="EW122" s="43">
        <v>2.8870019999999998</v>
      </c>
      <c r="EX122" s="43">
        <v>2.349872</v>
      </c>
      <c r="EY122" s="43">
        <v>2.0174729999999998</v>
      </c>
      <c r="EZ122" s="43">
        <v>2.885373</v>
      </c>
      <c r="FA122" s="43">
        <v>17.986056203903399</v>
      </c>
      <c r="FB122" s="43">
        <v>17.626051045462599</v>
      </c>
      <c r="FC122" s="43">
        <v>76.320620694483594</v>
      </c>
      <c r="FD122" s="43">
        <v>16912.349937792998</v>
      </c>
      <c r="FE122" s="43">
        <v>185780</v>
      </c>
      <c r="FF122" s="43">
        <v>1.59021875</v>
      </c>
      <c r="FG122" s="43">
        <v>5.6841292936517398</v>
      </c>
      <c r="FH122" s="43">
        <v>918.47346244678999</v>
      </c>
      <c r="FI122" s="43">
        <v>14391.6491315247</v>
      </c>
      <c r="FJ122" s="43">
        <v>7.2378823641288399</v>
      </c>
      <c r="FK122" s="43">
        <v>19.1493336353074</v>
      </c>
      <c r="FL122" s="43">
        <v>1.1235869999999999</v>
      </c>
      <c r="FM122" s="43">
        <v>1.144523</v>
      </c>
    </row>
    <row r="123" spans="1:169" x14ac:dyDescent="0.25">
      <c r="A123" s="43" t="s">
        <v>350</v>
      </c>
      <c r="B123" s="43">
        <v>27357.55</v>
      </c>
      <c r="C123" s="43">
        <v>19023.62</v>
      </c>
      <c r="D123" s="43">
        <v>3.901942</v>
      </c>
      <c r="E123" s="43">
        <v>3.1506509999999999</v>
      </c>
      <c r="F123" s="43">
        <v>3.0790489999999999</v>
      </c>
      <c r="G123" s="43">
        <v>3.3001770000000001</v>
      </c>
      <c r="H123" s="43">
        <v>1.245187</v>
      </c>
      <c r="I123" s="43">
        <v>1.1937850000000001</v>
      </c>
      <c r="J123" s="43">
        <v>1.193802</v>
      </c>
      <c r="K123" s="43">
        <v>1.147011</v>
      </c>
      <c r="L123" s="43">
        <v>3.0914649999999999</v>
      </c>
      <c r="M123" s="43">
        <v>80.944820000000007</v>
      </c>
      <c r="N123" s="43">
        <v>86.430077471765998</v>
      </c>
      <c r="O123" s="43">
        <v>2.69942933051927</v>
      </c>
      <c r="P123" s="43">
        <v>1.4111849999999999</v>
      </c>
      <c r="Q123" s="43">
        <v>-531.74739999999997</v>
      </c>
      <c r="R123" s="43">
        <v>6.1506509999999999</v>
      </c>
      <c r="S123" s="43">
        <v>3941.3020000000001</v>
      </c>
      <c r="T123" s="43">
        <v>2.8307169999999999</v>
      </c>
      <c r="U123" s="43">
        <v>4.2085569999999999</v>
      </c>
      <c r="V123" s="43">
        <v>3345.5509999999999</v>
      </c>
      <c r="W123" s="43">
        <v>2.1319720000000002</v>
      </c>
      <c r="X123" s="43">
        <v>23885.26</v>
      </c>
      <c r="Y123" s="43">
        <v>1.3442609999999999</v>
      </c>
      <c r="Z123" s="43">
        <v>0.93432610000000005</v>
      </c>
      <c r="AA123" s="43">
        <v>1.404722</v>
      </c>
      <c r="AB123" s="43">
        <v>1.142082</v>
      </c>
      <c r="AC123" s="43">
        <v>78.973849999999999</v>
      </c>
      <c r="AD123" s="43">
        <v>1.51685</v>
      </c>
      <c r="AE123" s="43">
        <v>1.91822</v>
      </c>
      <c r="AF123" s="43">
        <v>1.9859309999999999</v>
      </c>
      <c r="AG123" s="43">
        <v>361.17700000000002</v>
      </c>
      <c r="AH123" s="43">
        <v>198.0496</v>
      </c>
      <c r="AI123" s="43">
        <v>3.2159149999999999</v>
      </c>
      <c r="AJ123" s="43">
        <v>3.1742857260084101</v>
      </c>
      <c r="AK123" s="43">
        <f t="shared" si="4"/>
        <v>41264.201944376866</v>
      </c>
      <c r="AL123" s="47">
        <v>1.0814964935827343E-2</v>
      </c>
      <c r="AM123" s="43">
        <v>2.4232632723540002</v>
      </c>
      <c r="AN123" s="43">
        <v>0.70557758219187405</v>
      </c>
      <c r="AO123" s="43">
        <v>3.12265644653835</v>
      </c>
      <c r="AP123" s="43">
        <v>2.6238099944647799</v>
      </c>
      <c r="AQ123" s="43">
        <v>4.98642235863346</v>
      </c>
      <c r="AR123" s="43">
        <v>2.9209781965349499</v>
      </c>
      <c r="AS123" s="43">
        <v>2.4544380402705199</v>
      </c>
      <c r="AT123" s="43">
        <v>2.39092759661871</v>
      </c>
      <c r="AU123" s="43">
        <v>3.2186391093656699</v>
      </c>
      <c r="AV123" s="43">
        <v>2759.2809999999999</v>
      </c>
      <c r="AW123" s="43">
        <v>1619.547</v>
      </c>
      <c r="AX123" s="43">
        <v>1.312737</v>
      </c>
      <c r="AY123" s="43">
        <v>1.9500630000000001</v>
      </c>
      <c r="AZ123" s="43">
        <v>211.17330000000001</v>
      </c>
      <c r="BA123" s="43">
        <v>0.7699665</v>
      </c>
      <c r="BB123" s="43">
        <v>185.48009999999999</v>
      </c>
      <c r="BC123" s="43">
        <v>38.480719999999998</v>
      </c>
      <c r="BD123" s="43">
        <v>5.5964280000000004</v>
      </c>
      <c r="BE123" s="43">
        <v>1.47865</v>
      </c>
      <c r="BF123" s="43">
        <v>2.4249999999999998</v>
      </c>
      <c r="BG123" s="43">
        <v>2.7474850000000002</v>
      </c>
      <c r="BH123" s="43">
        <v>2.3368769999999999</v>
      </c>
      <c r="BI123" s="43">
        <v>1.632258</v>
      </c>
      <c r="BJ123" s="43">
        <v>1.5589569999999999</v>
      </c>
      <c r="BK123" s="43">
        <v>102.56789999999999</v>
      </c>
      <c r="BL123" s="43">
        <v>105.1277</v>
      </c>
      <c r="BM123" s="43">
        <v>1.3880209999999999</v>
      </c>
      <c r="BN123" s="43">
        <v>1.438461</v>
      </c>
      <c r="BO123" s="43">
        <v>43.91489</v>
      </c>
      <c r="BP123" s="43">
        <v>1.2987577071427701</v>
      </c>
      <c r="BQ123" s="43">
        <v>4139.8779999999997</v>
      </c>
      <c r="BR123" s="43">
        <v>691.41823956506005</v>
      </c>
      <c r="BS123" s="43">
        <v>14259.22</v>
      </c>
      <c r="BT123" s="43">
        <v>7475.52</v>
      </c>
      <c r="BU123" s="43">
        <v>1.2143660000000001</v>
      </c>
      <c r="BV123" s="43">
        <v>1.4985269999999999</v>
      </c>
      <c r="BW123" s="43">
        <v>1.591294</v>
      </c>
      <c r="BX123" s="43">
        <v>1.1753290000000001</v>
      </c>
      <c r="BY123" s="43">
        <v>2.1109249999999999</v>
      </c>
      <c r="BZ123" s="43">
        <v>2.315337</v>
      </c>
      <c r="CA123" s="43">
        <v>2.0759560000000001</v>
      </c>
      <c r="CB123" s="43">
        <v>0.75514219999999999</v>
      </c>
      <c r="CC123" s="43">
        <v>8.0564790514195206</v>
      </c>
      <c r="CD123" s="43">
        <v>1.1151219999999999</v>
      </c>
      <c r="CE123" s="43">
        <v>1.18587</v>
      </c>
      <c r="CF123" s="43">
        <v>1.3072710000000001</v>
      </c>
      <c r="CG123" s="43">
        <v>1.1595439999999999</v>
      </c>
      <c r="CH123" s="43">
        <v>1.1086655394429501</v>
      </c>
      <c r="CI123" s="43">
        <v>1.1742261251253201</v>
      </c>
      <c r="CJ123" s="43">
        <v>1.20964870139049</v>
      </c>
      <c r="CK123" s="43">
        <v>1.1596368248036399</v>
      </c>
      <c r="CL123" s="43">
        <v>1.5010810000000001</v>
      </c>
      <c r="CM123" s="43">
        <v>1.3415809999999999</v>
      </c>
      <c r="CN123" s="43">
        <v>1.5304139999999999</v>
      </c>
      <c r="CO123" s="43">
        <v>1.8813299999999999</v>
      </c>
      <c r="CP123" s="43">
        <v>0.850825733125534</v>
      </c>
      <c r="CQ123" s="43">
        <v>1.2851509999999999</v>
      </c>
      <c r="CR123" s="43">
        <v>0.88715432050950704</v>
      </c>
      <c r="CS123" s="43">
        <v>73.536934029012002</v>
      </c>
      <c r="CT123" s="43">
        <v>99.159119756140598</v>
      </c>
      <c r="CU123" s="43">
        <v>18.462827631962501</v>
      </c>
      <c r="CV123" s="43">
        <v>21.6998933073389</v>
      </c>
      <c r="CW123" s="43">
        <v>1.4600690000000001</v>
      </c>
      <c r="CX123" s="43">
        <v>1.412093</v>
      </c>
      <c r="CY123" s="43">
        <v>1.369111</v>
      </c>
      <c r="CZ123" s="43">
        <v>1.4096598461127501</v>
      </c>
      <c r="DA123" s="43">
        <v>1.24822469308149</v>
      </c>
      <c r="DB123" s="43">
        <v>2.6758558757538098</v>
      </c>
      <c r="DC123" s="43">
        <v>0.99612364914903295</v>
      </c>
      <c r="DD123" s="43">
        <v>1.3653577286429599</v>
      </c>
      <c r="DE123" s="43">
        <v>1.89372552195994</v>
      </c>
      <c r="DF123" s="43">
        <v>1.4769638977783</v>
      </c>
      <c r="DG123" s="43">
        <v>1.5905769080775201</v>
      </c>
      <c r="DH123" s="43">
        <v>1.25402609326723</v>
      </c>
      <c r="DI123" s="43">
        <v>2.4004529417733802</v>
      </c>
      <c r="DJ123" s="43">
        <v>1.19359779369997</v>
      </c>
      <c r="DK123" s="43">
        <v>1.954304</v>
      </c>
      <c r="DL123" s="43">
        <v>2.1864759999999999</v>
      </c>
      <c r="DM123" s="43">
        <v>2.3880409999999999</v>
      </c>
      <c r="DN123" s="43">
        <v>1.7248521185396599</v>
      </c>
      <c r="DO123" s="43">
        <v>2.5820789999999998</v>
      </c>
      <c r="DP123" s="43">
        <v>1.8219460000000001</v>
      </c>
      <c r="DQ123" s="43">
        <v>1.406299</v>
      </c>
      <c r="DR123" s="43">
        <v>2.174731</v>
      </c>
      <c r="DS123" s="43">
        <v>0.94301889999999999</v>
      </c>
      <c r="DT123" s="43">
        <v>1.5074966817290001</v>
      </c>
      <c r="DU123" s="43">
        <v>637.3347</v>
      </c>
      <c r="DV123" s="43">
        <v>333.38389999999998</v>
      </c>
      <c r="DW123" s="43">
        <v>119.15300000000001</v>
      </c>
      <c r="DX123" s="43">
        <v>1.1428179999999999</v>
      </c>
      <c r="DY123" s="43">
        <v>1.2859389999999999</v>
      </c>
      <c r="DZ123" s="43">
        <v>1.0859110000000001</v>
      </c>
      <c r="EA123" s="43">
        <v>923.30119999999999</v>
      </c>
      <c r="EB123" s="43">
        <v>125.424463418333</v>
      </c>
      <c r="EC123" s="43">
        <v>1.4095994849298401</v>
      </c>
      <c r="ED123" s="43">
        <v>1.49474242311604</v>
      </c>
      <c r="EE123" s="43">
        <v>1.47500924466651</v>
      </c>
      <c r="EF123" s="43">
        <v>1.77146803942308</v>
      </c>
      <c r="EG123" s="43">
        <v>1.57904390798427</v>
      </c>
      <c r="EH123" s="43">
        <v>0.70303050689119595</v>
      </c>
      <c r="EI123" s="43">
        <v>0.29040595925552298</v>
      </c>
      <c r="EJ123" s="43">
        <v>33.265763385821003</v>
      </c>
      <c r="EK123" s="43">
        <v>18.876387351609001</v>
      </c>
      <c r="EL123" s="43">
        <v>0.83140984242452698</v>
      </c>
      <c r="EM123" s="43">
        <v>2490.5218666373698</v>
      </c>
      <c r="EN123" s="43">
        <v>620.11982110945405</v>
      </c>
      <c r="EO123" s="43">
        <v>92160.864237127593</v>
      </c>
      <c r="EP123" s="43">
        <v>62480.3201275377</v>
      </c>
      <c r="EQ123" s="43">
        <v>4444.6788542407403</v>
      </c>
      <c r="ER123" s="43">
        <v>2.0694112739490498</v>
      </c>
      <c r="ES123" s="43">
        <v>2.21063367041359</v>
      </c>
      <c r="ET123" s="43">
        <v>2.0405224409899301</v>
      </c>
      <c r="EU123" s="43">
        <v>2.3761160000000001</v>
      </c>
      <c r="EV123" s="43">
        <v>2.0330219999999999</v>
      </c>
      <c r="EW123" s="43">
        <v>2.9263699999999999</v>
      </c>
      <c r="EX123" s="43">
        <v>2.3752059999999999</v>
      </c>
      <c r="EY123" s="43">
        <v>2.0332349999999999</v>
      </c>
      <c r="EZ123" s="43">
        <v>2.9266930000000002</v>
      </c>
      <c r="FA123" s="43">
        <v>18.173785590883501</v>
      </c>
      <c r="FB123" s="43">
        <v>17.8086857385656</v>
      </c>
      <c r="FC123" s="43">
        <v>77.143435986626699</v>
      </c>
      <c r="FD123" s="43">
        <v>17044.479723535998</v>
      </c>
      <c r="FE123" s="43">
        <v>188440.5</v>
      </c>
      <c r="FF123" s="43">
        <v>1.59803125</v>
      </c>
      <c r="FG123" s="43">
        <v>5.7047384515444799</v>
      </c>
      <c r="FH123" s="43">
        <v>920.31040937168302</v>
      </c>
      <c r="FI123" s="43">
        <v>14355.670008695901</v>
      </c>
      <c r="FJ123" s="43">
        <v>7.2521541001911398</v>
      </c>
      <c r="FK123" s="43">
        <v>19.053586967130901</v>
      </c>
      <c r="FL123" s="43">
        <v>1.121748</v>
      </c>
      <c r="FM123" s="43">
        <v>1.1428640000000001</v>
      </c>
    </row>
    <row r="124" spans="1:169" x14ac:dyDescent="0.25">
      <c r="A124" s="43" t="s">
        <v>351</v>
      </c>
      <c r="B124" s="43">
        <v>27489.279999999999</v>
      </c>
      <c r="C124" s="43">
        <v>19121.23</v>
      </c>
      <c r="D124" s="43">
        <v>3.9356439999999999</v>
      </c>
      <c r="E124" s="43">
        <v>3.1506509999999999</v>
      </c>
      <c r="F124" s="43">
        <v>3.0652460000000001</v>
      </c>
      <c r="G124" s="43">
        <v>3.4561739999999999</v>
      </c>
      <c r="H124" s="43">
        <v>1.2515430000000001</v>
      </c>
      <c r="I124" s="43">
        <v>1.199149</v>
      </c>
      <c r="J124" s="43">
        <v>1.1988490000000001</v>
      </c>
      <c r="K124" s="43">
        <v>1.1500589999999999</v>
      </c>
      <c r="L124" s="43">
        <v>3.1152730000000002</v>
      </c>
      <c r="M124" s="43">
        <v>81.278739999999999</v>
      </c>
      <c r="N124" s="43">
        <v>86.786629246373593</v>
      </c>
      <c r="O124" s="43">
        <v>2.7159564488693899</v>
      </c>
      <c r="P124" s="43">
        <v>1.3980220000000001</v>
      </c>
      <c r="Q124" s="43">
        <v>-522.92669999999998</v>
      </c>
      <c r="R124" s="43">
        <v>6.1506509999999999</v>
      </c>
      <c r="S124" s="43">
        <v>3956.663</v>
      </c>
      <c r="T124" s="43">
        <v>2.8319200000000002</v>
      </c>
      <c r="U124" s="43">
        <v>4.2060089999999999</v>
      </c>
      <c r="V124" s="43">
        <v>3365.5010000000002</v>
      </c>
      <c r="W124" s="43">
        <v>2.1519089999999998</v>
      </c>
      <c r="X124" s="43">
        <v>24182.33</v>
      </c>
      <c r="Y124" s="43">
        <v>1.345329</v>
      </c>
      <c r="Z124" s="43">
        <v>0.93861329999999998</v>
      </c>
      <c r="AA124" s="43">
        <v>1.4107940000000001</v>
      </c>
      <c r="AB124" s="43">
        <v>1.149184</v>
      </c>
      <c r="AC124" s="43">
        <v>79.300560000000004</v>
      </c>
      <c r="AD124" s="43">
        <v>1.5278210000000001</v>
      </c>
      <c r="AE124" s="43">
        <v>1.9397340000000001</v>
      </c>
      <c r="AF124" s="43">
        <v>2.0046810000000002</v>
      </c>
      <c r="AG124" s="43">
        <v>361.7355</v>
      </c>
      <c r="AH124" s="43">
        <v>202.77950000000001</v>
      </c>
      <c r="AI124" s="43">
        <v>3.2416990000000001</v>
      </c>
      <c r="AJ124" s="43">
        <v>3.1993515844176001</v>
      </c>
      <c r="AK124" s="43">
        <f t="shared" si="4"/>
        <v>41762.795551258903</v>
      </c>
      <c r="AL124" s="47">
        <v>1.2082957706394781E-2</v>
      </c>
      <c r="AM124" s="43">
        <v>2.4150403510671499</v>
      </c>
      <c r="AN124" s="43">
        <v>0.70332655502726105</v>
      </c>
      <c r="AO124" s="43">
        <v>3.1409730373425999</v>
      </c>
      <c r="AP124" s="43">
        <v>2.6362430616335599</v>
      </c>
      <c r="AQ124" s="43">
        <v>5.0333819737682797</v>
      </c>
      <c r="AR124" s="43">
        <v>2.9449653530182101</v>
      </c>
      <c r="AS124" s="43">
        <v>2.4698224123006098</v>
      </c>
      <c r="AT124" s="43">
        <v>2.4035311010395901</v>
      </c>
      <c r="AU124" s="43">
        <v>3.2462099511801701</v>
      </c>
      <c r="AV124" s="43">
        <v>2776.3679999999999</v>
      </c>
      <c r="AW124" s="43">
        <v>1630.9839999999999</v>
      </c>
      <c r="AX124" s="43">
        <v>1.3208789999999999</v>
      </c>
      <c r="AY124" s="43">
        <v>1.9652829999999999</v>
      </c>
      <c r="AZ124" s="43">
        <v>210.50720000000001</v>
      </c>
      <c r="BA124" s="43">
        <v>0.77073650000000005</v>
      </c>
      <c r="BB124" s="43">
        <v>187.52930000000001</v>
      </c>
      <c r="BC124" s="43">
        <v>38.804430000000004</v>
      </c>
      <c r="BD124" s="43">
        <v>5.6071429999999998</v>
      </c>
      <c r="BE124" s="43">
        <v>1.4888570000000001</v>
      </c>
      <c r="BF124" s="43">
        <v>2.424893</v>
      </c>
      <c r="BG124" s="43">
        <v>2.7483759999999999</v>
      </c>
      <c r="BH124" s="43">
        <v>2.320538</v>
      </c>
      <c r="BI124" s="43">
        <v>1.644158</v>
      </c>
      <c r="BJ124" s="43">
        <v>1.5704579999999999</v>
      </c>
      <c r="BK124" s="43">
        <v>102.88930000000001</v>
      </c>
      <c r="BL124" s="43">
        <v>105.4559</v>
      </c>
      <c r="BM124" s="43">
        <v>1.398447</v>
      </c>
      <c r="BN124" s="43">
        <v>1.4447430000000001</v>
      </c>
      <c r="BO124" s="43">
        <v>44.031260000000003</v>
      </c>
      <c r="BP124" s="43">
        <v>1.29746023623486</v>
      </c>
      <c r="BQ124" s="43">
        <v>4185.9570000000003</v>
      </c>
      <c r="BR124" s="43">
        <v>696.58963167740603</v>
      </c>
      <c r="BS124" s="43">
        <v>14316.26</v>
      </c>
      <c r="BT124" s="43">
        <v>7500.683</v>
      </c>
      <c r="BU124" s="43">
        <v>1.2196530000000001</v>
      </c>
      <c r="BV124" s="43">
        <v>1.5086930000000001</v>
      </c>
      <c r="BW124" s="43">
        <v>1.6047659999999999</v>
      </c>
      <c r="BX124" s="43">
        <v>1.1776789999999999</v>
      </c>
      <c r="BY124" s="43">
        <v>2.114239</v>
      </c>
      <c r="BZ124" s="43">
        <v>2.3148770000000001</v>
      </c>
      <c r="CA124" s="43">
        <v>2.086525</v>
      </c>
      <c r="CB124" s="43">
        <v>0.75136639999999999</v>
      </c>
      <c r="CC124" s="43">
        <v>8.0084316628456893</v>
      </c>
      <c r="CD124" s="43">
        <v>1.120695</v>
      </c>
      <c r="CE124" s="43">
        <v>1.1913050000000001</v>
      </c>
      <c r="CF124" s="43">
        <v>1.314341</v>
      </c>
      <c r="CG124" s="43">
        <v>1.1632100000000001</v>
      </c>
      <c r="CH124" s="43">
        <v>1.1111579428145</v>
      </c>
      <c r="CI124" s="43">
        <v>1.1779160457364499</v>
      </c>
      <c r="CJ124" s="43">
        <v>1.21415601388873</v>
      </c>
      <c r="CK124" s="43">
        <v>1.1628072356002099</v>
      </c>
      <c r="CL124" s="43">
        <v>1.5112699999999999</v>
      </c>
      <c r="CM124" s="43">
        <v>1.34714</v>
      </c>
      <c r="CN124" s="43">
        <v>1.54315</v>
      </c>
      <c r="CO124" s="43">
        <v>1.9015580000000001</v>
      </c>
      <c r="CP124" s="43">
        <v>0.84912747816919598</v>
      </c>
      <c r="CQ124" s="43">
        <v>1.2895160000000001</v>
      </c>
      <c r="CR124" s="43">
        <v>0.88715487784531899</v>
      </c>
      <c r="CS124" s="43">
        <v>73.692911630778198</v>
      </c>
      <c r="CT124" s="43">
        <v>99.357437995652901</v>
      </c>
      <c r="CU124" s="43">
        <v>18.333845802198301</v>
      </c>
      <c r="CV124" s="43">
        <v>21.591393840802201</v>
      </c>
      <c r="CW124" s="43">
        <v>1.4705539999999999</v>
      </c>
      <c r="CX124" s="43">
        <v>1.421611</v>
      </c>
      <c r="CY124" s="43">
        <v>1.376976</v>
      </c>
      <c r="CZ124" s="43">
        <v>1.4185621108614299</v>
      </c>
      <c r="DA124" s="43">
        <v>1.25404166463179</v>
      </c>
      <c r="DB124" s="43">
        <v>2.6923657269764201</v>
      </c>
      <c r="DC124" s="43">
        <v>0.99570554522118904</v>
      </c>
      <c r="DD124" s="43">
        <v>1.3765366277959299</v>
      </c>
      <c r="DE124" s="43">
        <v>1.9138318110808299</v>
      </c>
      <c r="DF124" s="43">
        <v>1.4864933894011301</v>
      </c>
      <c r="DG124" s="43">
        <v>1.6023211643770801</v>
      </c>
      <c r="DH124" s="43">
        <v>1.26117161360797</v>
      </c>
      <c r="DI124" s="43">
        <v>2.4306588018611901</v>
      </c>
      <c r="DJ124" s="43">
        <v>1.19310797771998</v>
      </c>
      <c r="DK124" s="43">
        <v>1.973282</v>
      </c>
      <c r="DL124" s="43">
        <v>2.2131880000000002</v>
      </c>
      <c r="DM124" s="43">
        <v>2.4188909999999999</v>
      </c>
      <c r="DN124" s="43">
        <v>1.7414269639064699</v>
      </c>
      <c r="DO124" s="43">
        <v>2.6203660000000002</v>
      </c>
      <c r="DP124" s="43">
        <v>1.8417300000000001</v>
      </c>
      <c r="DQ124" s="43">
        <v>1.413802</v>
      </c>
      <c r="DR124" s="43">
        <v>2.202029</v>
      </c>
      <c r="DS124" s="43">
        <v>0.94623550000000001</v>
      </c>
      <c r="DT124" s="43">
        <v>1.51966447767241</v>
      </c>
      <c r="DU124" s="43">
        <v>639.5018</v>
      </c>
      <c r="DV124" s="43">
        <v>334.25630000000001</v>
      </c>
      <c r="DW124" s="43">
        <v>119.62050000000001</v>
      </c>
      <c r="DX124" s="43">
        <v>1.146566</v>
      </c>
      <c r="DY124" s="43">
        <v>1.292114</v>
      </c>
      <c r="DZ124" s="43">
        <v>1.0867169999999999</v>
      </c>
      <c r="EA124" s="43">
        <v>921.80359999999996</v>
      </c>
      <c r="EB124" s="43">
        <v>125.29903895491501</v>
      </c>
      <c r="EC124" s="43">
        <v>1.4215336766131701</v>
      </c>
      <c r="ED124" s="43">
        <v>1.50866297080631</v>
      </c>
      <c r="EE124" s="43">
        <v>1.48806816359964</v>
      </c>
      <c r="EF124" s="43">
        <v>1.78942062452074</v>
      </c>
      <c r="EG124" s="43">
        <v>1.59320417020302</v>
      </c>
      <c r="EH124" s="43">
        <v>0.70788331587613695</v>
      </c>
      <c r="EI124" s="43">
        <v>0.29241054459647398</v>
      </c>
      <c r="EJ124" s="43">
        <v>33.495386985177298</v>
      </c>
      <c r="EK124" s="43">
        <v>19.006685398770799</v>
      </c>
      <c r="EL124" s="43">
        <v>0.837148815504554</v>
      </c>
      <c r="EM124" s="43">
        <v>2500.8249903401902</v>
      </c>
      <c r="EN124" s="43">
        <v>622.68521566111599</v>
      </c>
      <c r="EO124" s="43">
        <v>92542.127617110207</v>
      </c>
      <c r="EP124" s="43">
        <v>62738.797066001804</v>
      </c>
      <c r="EQ124" s="43">
        <v>4463.0661957325101</v>
      </c>
      <c r="ER124" s="43">
        <v>2.0869316767861599</v>
      </c>
      <c r="ES124" s="43">
        <v>2.2293497144008301</v>
      </c>
      <c r="ET124" s="43">
        <v>2.0577982602600602</v>
      </c>
      <c r="EU124" s="43">
        <v>2.397348</v>
      </c>
      <c r="EV124" s="43">
        <v>2.0495169999999998</v>
      </c>
      <c r="EW124" s="43">
        <v>2.9699490000000002</v>
      </c>
      <c r="EX124" s="43">
        <v>2.398933</v>
      </c>
      <c r="EY124" s="43">
        <v>2.0498449999999999</v>
      </c>
      <c r="EZ124" s="43">
        <v>2.9708709999999998</v>
      </c>
      <c r="FA124" s="43">
        <v>18.336868641978</v>
      </c>
      <c r="FB124" s="43">
        <v>17.967365143491499</v>
      </c>
      <c r="FC124" s="43">
        <v>77.914040739316306</v>
      </c>
      <c r="FD124" s="43">
        <v>17183.721003289102</v>
      </c>
      <c r="FE124" s="43">
        <v>191285</v>
      </c>
      <c r="FF124" s="43">
        <v>1.6059062500000001</v>
      </c>
      <c r="FG124" s="43">
        <v>5.65567767233751</v>
      </c>
      <c r="FH124" s="43">
        <v>922.15103019042704</v>
      </c>
      <c r="FI124" s="43">
        <v>14319.7808336741</v>
      </c>
      <c r="FJ124" s="43">
        <v>7.2664278334040597</v>
      </c>
      <c r="FK124" s="43">
        <v>19.1501941718038</v>
      </c>
      <c r="FL124" s="43">
        <v>1.1214839999999999</v>
      </c>
      <c r="FM124" s="43">
        <v>1.1407879999999999</v>
      </c>
    </row>
    <row r="125" spans="1:169" x14ac:dyDescent="0.25">
      <c r="A125" s="43" t="s">
        <v>352</v>
      </c>
      <c r="B125" s="43">
        <v>27627.73</v>
      </c>
      <c r="C125" s="43">
        <v>19223.82</v>
      </c>
      <c r="D125" s="43">
        <v>3.9648349999999999</v>
      </c>
      <c r="E125" s="43">
        <v>3.1506509999999999</v>
      </c>
      <c r="F125" s="43">
        <v>3.0507170000000001</v>
      </c>
      <c r="G125" s="43">
        <v>3.4913750000000001</v>
      </c>
      <c r="H125" s="43">
        <v>1.2585120000000001</v>
      </c>
      <c r="I125" s="43">
        <v>1.204968</v>
      </c>
      <c r="J125" s="43">
        <v>1.2043109999999999</v>
      </c>
      <c r="K125" s="43">
        <v>1.153316</v>
      </c>
      <c r="L125" s="43">
        <v>3.1358130000000002</v>
      </c>
      <c r="M125" s="43">
        <v>81.612660000000005</v>
      </c>
      <c r="N125" s="43">
        <v>87.143181020981103</v>
      </c>
      <c r="O125" s="43">
        <v>2.7269745277694701</v>
      </c>
      <c r="P125" s="43">
        <v>1.375653</v>
      </c>
      <c r="Q125" s="43">
        <v>-514.39449999999999</v>
      </c>
      <c r="R125" s="43">
        <v>6.1506509999999999</v>
      </c>
      <c r="S125" s="43">
        <v>3972.8449999999998</v>
      </c>
      <c r="T125" s="43">
        <v>2.8331810000000002</v>
      </c>
      <c r="U125" s="43">
        <v>4.2033820000000004</v>
      </c>
      <c r="V125" s="43">
        <v>3386.529</v>
      </c>
      <c r="W125" s="43">
        <v>2.1693470000000001</v>
      </c>
      <c r="X125" s="43">
        <v>24423.21</v>
      </c>
      <c r="Y125" s="43">
        <v>1.3464100000000001</v>
      </c>
      <c r="Z125" s="43">
        <v>0.94336629999999999</v>
      </c>
      <c r="AA125" s="43">
        <v>1.4162030000000001</v>
      </c>
      <c r="AB125" s="43">
        <v>1.155432</v>
      </c>
      <c r="AC125" s="43">
        <v>79.627269999999996</v>
      </c>
      <c r="AD125" s="43">
        <v>1.5374140000000001</v>
      </c>
      <c r="AE125" s="43">
        <v>1.9583710000000001</v>
      </c>
      <c r="AF125" s="43">
        <v>2.0211749999999999</v>
      </c>
      <c r="AG125" s="43">
        <v>362.29500000000002</v>
      </c>
      <c r="AH125" s="43">
        <v>207.9265</v>
      </c>
      <c r="AI125" s="43">
        <v>3.2638590000000001</v>
      </c>
      <c r="AJ125" s="43">
        <v>3.2209134109290098</v>
      </c>
      <c r="AK125" s="43">
        <f t="shared" si="4"/>
        <v>42236.668795429614</v>
      </c>
      <c r="AL125" s="47">
        <v>1.1346779781278959E-2</v>
      </c>
      <c r="AM125" s="43">
        <v>2.4065414810105801</v>
      </c>
      <c r="AN125" s="43">
        <v>0.69911417334486903</v>
      </c>
      <c r="AO125" s="43">
        <v>3.1567451822028199</v>
      </c>
      <c r="AP125" s="43">
        <v>2.6490851035587002</v>
      </c>
      <c r="AQ125" s="43">
        <v>5.0738059481428204</v>
      </c>
      <c r="AR125" s="43">
        <v>2.9650239647760701</v>
      </c>
      <c r="AS125" s="43">
        <v>2.48339642703611</v>
      </c>
      <c r="AT125" s="43">
        <v>2.4146179966951999</v>
      </c>
      <c r="AU125" s="43">
        <v>3.26950635269879</v>
      </c>
      <c r="AV125" s="43">
        <v>2789.0520000000001</v>
      </c>
      <c r="AW125" s="43">
        <v>1640.3019999999999</v>
      </c>
      <c r="AX125" s="43">
        <v>1.326478</v>
      </c>
      <c r="AY125" s="43">
        <v>1.978426</v>
      </c>
      <c r="AZ125" s="43">
        <v>211.92830000000001</v>
      </c>
      <c r="BA125" s="43">
        <v>0.77227800000000002</v>
      </c>
      <c r="BB125" s="43">
        <v>189.3886</v>
      </c>
      <c r="BC125" s="43">
        <v>39.079470000000001</v>
      </c>
      <c r="BD125" s="43">
        <v>5.6178569999999999</v>
      </c>
      <c r="BE125" s="43">
        <v>1.4975240000000001</v>
      </c>
      <c r="BF125" s="43">
        <v>2.4257270000000002</v>
      </c>
      <c r="BG125" s="43">
        <v>2.7503669999999998</v>
      </c>
      <c r="BH125" s="43">
        <v>2.3063159999999998</v>
      </c>
      <c r="BI125" s="43">
        <v>1.6542969999999999</v>
      </c>
      <c r="BJ125" s="43">
        <v>1.5802449999999999</v>
      </c>
      <c r="BK125" s="43">
        <v>103.107</v>
      </c>
      <c r="BL125" s="43">
        <v>105.6778</v>
      </c>
      <c r="BM125" s="43">
        <v>1.4084840000000001</v>
      </c>
      <c r="BN125" s="43">
        <v>1.450118</v>
      </c>
      <c r="BO125" s="43">
        <v>44.147950000000002</v>
      </c>
      <c r="BP125" s="43">
        <v>1.2948704579971799</v>
      </c>
      <c r="BQ125" s="43">
        <v>4223.4579999999996</v>
      </c>
      <c r="BR125" s="43">
        <v>701.12550724310995</v>
      </c>
      <c r="BS125" s="43">
        <v>14373.52</v>
      </c>
      <c r="BT125" s="43">
        <v>7503.8720000000003</v>
      </c>
      <c r="BU125" s="43">
        <v>1.2309099999999999</v>
      </c>
      <c r="BV125" s="43">
        <v>1.521083</v>
      </c>
      <c r="BW125" s="43">
        <v>1.6225130000000001</v>
      </c>
      <c r="BX125" s="43">
        <v>1.1800349999999999</v>
      </c>
      <c r="BY125" s="43">
        <v>2.1175989999999998</v>
      </c>
      <c r="BZ125" s="43">
        <v>2.314581</v>
      </c>
      <c r="CA125" s="43">
        <v>2.0967349999999998</v>
      </c>
      <c r="CB125" s="43">
        <v>0.74760959999999999</v>
      </c>
      <c r="CC125" s="43">
        <v>7.9601603709312299</v>
      </c>
      <c r="CD125" s="43">
        <v>1.1322950000000001</v>
      </c>
      <c r="CE125" s="43">
        <v>1.2027600000000001</v>
      </c>
      <c r="CF125" s="43">
        <v>1.32884</v>
      </c>
      <c r="CG125" s="43">
        <v>1.171292</v>
      </c>
      <c r="CH125" s="43">
        <v>1.11540522600194</v>
      </c>
      <c r="CI125" s="43">
        <v>1.18412472170384</v>
      </c>
      <c r="CJ125" s="43">
        <v>1.2225151194352999</v>
      </c>
      <c r="CK125" s="43">
        <v>1.16854631129845</v>
      </c>
      <c r="CL125" s="43">
        <v>1.52369</v>
      </c>
      <c r="CM125" s="43">
        <v>1.3515029999999999</v>
      </c>
      <c r="CN125" s="43">
        <v>1.558554</v>
      </c>
      <c r="CO125" s="43">
        <v>1.928204</v>
      </c>
      <c r="CP125" s="43">
        <v>0.84743261294330896</v>
      </c>
      <c r="CQ125" s="43">
        <v>1.2953790000000001</v>
      </c>
      <c r="CR125" s="43">
        <v>0.88715305167336</v>
      </c>
      <c r="CS125" s="43">
        <v>73.847973592801793</v>
      </c>
      <c r="CT125" s="43">
        <v>99.258080557657195</v>
      </c>
      <c r="CU125" s="43">
        <v>18.169170540501899</v>
      </c>
      <c r="CV125" s="43">
        <v>21.440254083916599</v>
      </c>
      <c r="CW125" s="43">
        <v>1.4843649999999999</v>
      </c>
      <c r="CX125" s="43">
        <v>1.434151</v>
      </c>
      <c r="CY125" s="43">
        <v>1.3873500000000001</v>
      </c>
      <c r="CZ125" s="43">
        <v>1.43039265177902</v>
      </c>
      <c r="DA125" s="43">
        <v>1.26173266088844</v>
      </c>
      <c r="DB125" s="43">
        <v>2.7132751200670899</v>
      </c>
      <c r="DC125" s="43">
        <v>0.99526404223016496</v>
      </c>
      <c r="DD125" s="43">
        <v>1.39074614410696</v>
      </c>
      <c r="DE125" s="43">
        <v>1.9395607868332101</v>
      </c>
      <c r="DF125" s="43">
        <v>1.4980833437577199</v>
      </c>
      <c r="DG125" s="43">
        <v>1.61722004405167</v>
      </c>
      <c r="DH125" s="43">
        <v>1.2706240383657199</v>
      </c>
      <c r="DI125" s="43">
        <v>2.4688112431600602</v>
      </c>
      <c r="DJ125" s="43">
        <v>1.1916189514056299</v>
      </c>
      <c r="DK125" s="43">
        <v>1.99617</v>
      </c>
      <c r="DL125" s="43">
        <v>2.2484139999999999</v>
      </c>
      <c r="DM125" s="43">
        <v>2.4597000000000002</v>
      </c>
      <c r="DN125" s="43">
        <v>1.76327178850521</v>
      </c>
      <c r="DO125" s="43">
        <v>2.6708229999999999</v>
      </c>
      <c r="DP125" s="43">
        <v>1.8676809999999999</v>
      </c>
      <c r="DQ125" s="43">
        <v>1.4237219999999999</v>
      </c>
      <c r="DR125" s="43">
        <v>2.2380870000000002</v>
      </c>
      <c r="DS125" s="43">
        <v>0.95049039999999996</v>
      </c>
      <c r="DT125" s="43">
        <v>1.53570695235609</v>
      </c>
      <c r="DU125" s="43">
        <v>639.76580000000001</v>
      </c>
      <c r="DV125" s="43">
        <v>334.2491</v>
      </c>
      <c r="DW125" s="43">
        <v>119.7253</v>
      </c>
      <c r="DX125" s="43">
        <v>1.150428</v>
      </c>
      <c r="DY125" s="43">
        <v>1.2979229999999999</v>
      </c>
      <c r="DZ125" s="43">
        <v>1.0876699999999999</v>
      </c>
      <c r="EA125" s="43">
        <v>916.05259999999998</v>
      </c>
      <c r="EB125" s="43">
        <v>126.050833188642</v>
      </c>
      <c r="EC125" s="43">
        <v>1.43725402583072</v>
      </c>
      <c r="ED125" s="43">
        <v>1.5270152476866401</v>
      </c>
      <c r="EE125" s="43">
        <v>1.5052802237028799</v>
      </c>
      <c r="EF125" s="43">
        <v>1.8130901106080499</v>
      </c>
      <c r="EG125" s="43">
        <v>1.6118618811473799</v>
      </c>
      <c r="EH125" s="43">
        <v>0.71200388921879698</v>
      </c>
      <c r="EI125" s="43">
        <v>0.29411265999904701</v>
      </c>
      <c r="EJ125" s="43">
        <v>33.690362902277997</v>
      </c>
      <c r="EK125" s="43">
        <v>19.117322899937999</v>
      </c>
      <c r="EL125" s="43">
        <v>0.84202184050124895</v>
      </c>
      <c r="EM125" s="43">
        <v>2511.1281140430201</v>
      </c>
      <c r="EN125" s="43">
        <v>625.25061021277702</v>
      </c>
      <c r="EO125" s="43">
        <v>92923.390997092705</v>
      </c>
      <c r="EP125" s="43">
        <v>62997.2740044659</v>
      </c>
      <c r="EQ125" s="43">
        <v>4481.4535372242799</v>
      </c>
      <c r="ER125" s="43">
        <v>2.1100104791332202</v>
      </c>
      <c r="ES125" s="43">
        <v>2.25400347858172</v>
      </c>
      <c r="ET125" s="43">
        <v>2.0805548841816401</v>
      </c>
      <c r="EU125" s="43">
        <v>2.418831</v>
      </c>
      <c r="EV125" s="43">
        <v>2.0636749999999999</v>
      </c>
      <c r="EW125" s="43">
        <v>3.0075419999999999</v>
      </c>
      <c r="EX125" s="43">
        <v>2.4197199999999999</v>
      </c>
      <c r="EY125" s="43">
        <v>2.0638030000000001</v>
      </c>
      <c r="EZ125" s="43">
        <v>3.0077340000000001</v>
      </c>
      <c r="FA125" s="43">
        <v>18.501873589216601</v>
      </c>
      <c r="FB125" s="43">
        <v>18.127912557365701</v>
      </c>
      <c r="FC125" s="43">
        <v>78.589168814573597</v>
      </c>
      <c r="FD125" s="43">
        <v>17300.734652839699</v>
      </c>
      <c r="FE125" s="43">
        <v>193658.5</v>
      </c>
      <c r="FF125" s="43">
        <v>1.61384375</v>
      </c>
      <c r="FG125" s="43">
        <v>5.6522842679963796</v>
      </c>
      <c r="FH125" s="43">
        <v>923.99533225080802</v>
      </c>
      <c r="FI125" s="43">
        <v>14283.98138159</v>
      </c>
      <c r="FJ125" s="43">
        <v>7.2807020623714198</v>
      </c>
      <c r="FK125" s="43">
        <v>19.246801376477201</v>
      </c>
      <c r="FL125" s="43">
        <v>1.1220650000000001</v>
      </c>
      <c r="FM125" s="43">
        <v>1.1367670000000001</v>
      </c>
    </row>
    <row r="126" spans="1:169" x14ac:dyDescent="0.25">
      <c r="A126" s="43" t="s">
        <v>353</v>
      </c>
      <c r="B126" s="43">
        <v>27700.66</v>
      </c>
      <c r="C126" s="43">
        <v>19330.46</v>
      </c>
      <c r="D126" s="43">
        <v>3.9971480000000001</v>
      </c>
      <c r="E126" s="43">
        <v>3.413205</v>
      </c>
      <c r="F126" s="43">
        <v>3.1480410000000001</v>
      </c>
      <c r="G126" s="43">
        <v>3.7652130000000001</v>
      </c>
      <c r="H126" s="43">
        <v>1.2628680000000001</v>
      </c>
      <c r="I126" s="43">
        <v>1.2085570000000001</v>
      </c>
      <c r="J126" s="43">
        <v>1.2073750000000001</v>
      </c>
      <c r="K126" s="43">
        <v>1.1569940000000001</v>
      </c>
      <c r="L126" s="43">
        <v>3.1589290000000001</v>
      </c>
      <c r="M126" s="43">
        <v>81.94659</v>
      </c>
      <c r="N126" s="43">
        <v>87.499732795588798</v>
      </c>
      <c r="O126" s="43">
        <v>2.74350164611959</v>
      </c>
      <c r="P126" s="43">
        <v>1.327685</v>
      </c>
      <c r="Q126" s="43">
        <v>-502.25240000000002</v>
      </c>
      <c r="R126" s="43">
        <v>6.4132049999999996</v>
      </c>
      <c r="S126" s="43">
        <v>3988.2089999999998</v>
      </c>
      <c r="T126" s="43">
        <v>3.0332180000000002</v>
      </c>
      <c r="U126" s="43">
        <v>4.2792880000000002</v>
      </c>
      <c r="V126" s="43">
        <v>3395.38</v>
      </c>
      <c r="W126" s="43">
        <v>2.186842</v>
      </c>
      <c r="X126" s="43">
        <v>24831.279999999999</v>
      </c>
      <c r="Y126" s="43">
        <v>1.3470249999999999</v>
      </c>
      <c r="Z126" s="43">
        <v>0.94624090000000005</v>
      </c>
      <c r="AA126" s="43">
        <v>1.4184319999999999</v>
      </c>
      <c r="AB126" s="43">
        <v>1.1646810000000001</v>
      </c>
      <c r="AC126" s="43">
        <v>79.953980000000001</v>
      </c>
      <c r="AD126" s="43">
        <v>1.5477339999999999</v>
      </c>
      <c r="AE126" s="43">
        <v>1.977651</v>
      </c>
      <c r="AF126" s="43">
        <v>2.0425870000000002</v>
      </c>
      <c r="AG126" s="43">
        <v>362.84620000000001</v>
      </c>
      <c r="AH126" s="43">
        <v>210.53980000000001</v>
      </c>
      <c r="AI126" s="43">
        <v>3.2905690000000001</v>
      </c>
      <c r="AJ126" s="43">
        <v>3.2462156589958799</v>
      </c>
      <c r="AK126" s="43">
        <f t="shared" si="4"/>
        <v>42632.433250743736</v>
      </c>
      <c r="AL126" s="47">
        <v>9.3701626241164959E-3</v>
      </c>
      <c r="AM126" s="43">
        <v>2.3993919280619602</v>
      </c>
      <c r="AN126" s="43">
        <v>0.70098874428684099</v>
      </c>
      <c r="AO126" s="43">
        <v>3.1737827455727201</v>
      </c>
      <c r="AP126" s="43">
        <v>2.6600665880954901</v>
      </c>
      <c r="AQ126" s="43">
        <v>5.1195770106676104</v>
      </c>
      <c r="AR126" s="43">
        <v>2.9874937256536702</v>
      </c>
      <c r="AS126" s="43">
        <v>2.49819080393647</v>
      </c>
      <c r="AT126" s="43">
        <v>2.42726685585182</v>
      </c>
      <c r="AU126" s="43">
        <v>3.2924224330293099</v>
      </c>
      <c r="AV126" s="43">
        <v>2797.3809999999999</v>
      </c>
      <c r="AW126" s="43">
        <v>1648.1669999999999</v>
      </c>
      <c r="AX126" s="43">
        <v>1.328811</v>
      </c>
      <c r="AY126" s="43">
        <v>1.993031</v>
      </c>
      <c r="AZ126" s="43">
        <v>212.6705</v>
      </c>
      <c r="BA126" s="43">
        <v>0.77382240000000002</v>
      </c>
      <c r="BB126" s="43">
        <v>191.7243</v>
      </c>
      <c r="BC126" s="43">
        <v>39.320219999999999</v>
      </c>
      <c r="BD126" s="43">
        <v>5.5</v>
      </c>
      <c r="BE126" s="43">
        <v>1.50762</v>
      </c>
      <c r="BF126" s="43">
        <v>2.5882550000000002</v>
      </c>
      <c r="BG126" s="43">
        <v>2.9209740000000002</v>
      </c>
      <c r="BH126" s="43">
        <v>2.3719320000000002</v>
      </c>
      <c r="BI126" s="43">
        <v>1.6655310000000001</v>
      </c>
      <c r="BJ126" s="43">
        <v>1.59101</v>
      </c>
      <c r="BK126" s="43">
        <v>103.32340000000001</v>
      </c>
      <c r="BL126" s="43">
        <v>105.8984</v>
      </c>
      <c r="BM126" s="43">
        <v>1.4141090000000001</v>
      </c>
      <c r="BN126" s="43">
        <v>1.452823</v>
      </c>
      <c r="BO126" s="43">
        <v>44.264940000000003</v>
      </c>
      <c r="BP126" s="43">
        <v>1.2922861201947999</v>
      </c>
      <c r="BQ126" s="43">
        <v>4258.2749999999996</v>
      </c>
      <c r="BR126" s="43">
        <v>706.88792460054594</v>
      </c>
      <c r="BS126" s="43">
        <v>14392.17</v>
      </c>
      <c r="BT126" s="43">
        <v>7507.7039999999997</v>
      </c>
      <c r="BU126" s="43">
        <v>1.231706</v>
      </c>
      <c r="BV126" s="43">
        <v>1.5312570000000001</v>
      </c>
      <c r="BW126" s="43">
        <v>1.63581</v>
      </c>
      <c r="BX126" s="43">
        <v>1.1823950000000001</v>
      </c>
      <c r="BY126" s="43">
        <v>2.0752139999999999</v>
      </c>
      <c r="BZ126" s="43">
        <v>2.2840410000000002</v>
      </c>
      <c r="CA126" s="43">
        <v>2.0697100000000002</v>
      </c>
      <c r="CB126" s="43">
        <v>0.74387159999999997</v>
      </c>
      <c r="CC126" s="43">
        <v>8.0005672195957196</v>
      </c>
      <c r="CD126" s="43">
        <v>1.1319790000000001</v>
      </c>
      <c r="CE126" s="43">
        <v>1.20397</v>
      </c>
      <c r="CF126" s="43">
        <v>1.3311550000000001</v>
      </c>
      <c r="CG126" s="43">
        <v>1.17275</v>
      </c>
      <c r="CH126" s="43">
        <v>1.11579966515127</v>
      </c>
      <c r="CI126" s="43">
        <v>1.1852361749546001</v>
      </c>
      <c r="CJ126" s="43">
        <v>1.224053598215</v>
      </c>
      <c r="CK126" s="43">
        <v>1.16965987783501</v>
      </c>
      <c r="CL126" s="43">
        <v>1.5338879999999999</v>
      </c>
      <c r="CM126" s="43">
        <v>1.356887</v>
      </c>
      <c r="CN126" s="43">
        <v>1.5712919999999999</v>
      </c>
      <c r="CO126" s="43">
        <v>1.948169</v>
      </c>
      <c r="CP126" s="43">
        <v>0.84574113068194501</v>
      </c>
      <c r="CQ126" s="43">
        <v>1.2969679999999999</v>
      </c>
      <c r="CR126" s="43">
        <v>0.67662003413999505</v>
      </c>
      <c r="CS126" s="43">
        <v>74.002122948909303</v>
      </c>
      <c r="CT126" s="43">
        <v>98.662532074311301</v>
      </c>
      <c r="CU126" s="43">
        <v>18.0059743979225</v>
      </c>
      <c r="CV126" s="43">
        <v>21.2901723053292</v>
      </c>
      <c r="CW126" s="43">
        <v>1.4947140000000001</v>
      </c>
      <c r="CX126" s="43">
        <v>1.443546</v>
      </c>
      <c r="CY126" s="43">
        <v>1.3951199999999999</v>
      </c>
      <c r="CZ126" s="43">
        <v>1.4392063146015901</v>
      </c>
      <c r="DA126" s="43">
        <v>1.26748790193477</v>
      </c>
      <c r="DB126" s="43">
        <v>2.7276068327660301</v>
      </c>
      <c r="DC126" s="43">
        <v>0.99525562054396299</v>
      </c>
      <c r="DD126" s="43">
        <v>1.40178702335671</v>
      </c>
      <c r="DE126" s="43">
        <v>1.9595113859554301</v>
      </c>
      <c r="DF126" s="43">
        <v>1.5076229069968199</v>
      </c>
      <c r="DG126" s="43">
        <v>1.62881137001137</v>
      </c>
      <c r="DH126" s="43">
        <v>1.2776660295828699</v>
      </c>
      <c r="DI126" s="43">
        <v>2.4988535368431299</v>
      </c>
      <c r="DJ126" s="43">
        <v>1.1912871107284</v>
      </c>
      <c r="DK126" s="43">
        <v>2.0152030000000001</v>
      </c>
      <c r="DL126" s="43">
        <v>2.2747769999999998</v>
      </c>
      <c r="DM126" s="43">
        <v>2.4902030000000002</v>
      </c>
      <c r="DN126" s="43">
        <v>1.7796302352375799</v>
      </c>
      <c r="DO126" s="43">
        <v>2.7086109999999999</v>
      </c>
      <c r="DP126" s="43">
        <v>1.8871579999999999</v>
      </c>
      <c r="DQ126" s="43">
        <v>1.4311290000000001</v>
      </c>
      <c r="DR126" s="43">
        <v>2.2650269999999999</v>
      </c>
      <c r="DS126" s="43">
        <v>0.95366459999999997</v>
      </c>
      <c r="DT126" s="43">
        <v>1.54771678901291</v>
      </c>
      <c r="DU126" s="43">
        <v>640.03750000000002</v>
      </c>
      <c r="DV126" s="43">
        <v>334.2022</v>
      </c>
      <c r="DW126" s="43">
        <v>119.4813</v>
      </c>
      <c r="DX126" s="43">
        <v>1.154067</v>
      </c>
      <c r="DY126" s="43">
        <v>1.303577</v>
      </c>
      <c r="DZ126" s="43">
        <v>1.0885549999999999</v>
      </c>
      <c r="EA126" s="43">
        <v>910.78470000000004</v>
      </c>
      <c r="EB126" s="43">
        <v>125.168477356323</v>
      </c>
      <c r="EC126" s="43">
        <v>1.4490324753307999</v>
      </c>
      <c r="ED126" s="43">
        <v>1.5407807051654401</v>
      </c>
      <c r="EE126" s="43">
        <v>1.51817986730501</v>
      </c>
      <c r="EF126" s="43">
        <v>1.8308771873288601</v>
      </c>
      <c r="EG126" s="43">
        <v>1.62585364689721</v>
      </c>
      <c r="EH126" s="43">
        <v>0.71680400963746305</v>
      </c>
      <c r="EI126" s="43">
        <v>0.29609548088812698</v>
      </c>
      <c r="EJ126" s="43">
        <v>33.917493401602798</v>
      </c>
      <c r="EK126" s="43">
        <v>19.2462062577282</v>
      </c>
      <c r="EL126" s="43">
        <v>0.84769850363575405</v>
      </c>
      <c r="EM126" s="43">
        <v>2521.43123774585</v>
      </c>
      <c r="EN126" s="43">
        <v>627.81600476443896</v>
      </c>
      <c r="EO126" s="43">
        <v>93304.654377075203</v>
      </c>
      <c r="EP126" s="43">
        <v>63255.750942929997</v>
      </c>
      <c r="EQ126" s="43">
        <v>4499.8408787160497</v>
      </c>
      <c r="ER126" s="43">
        <v>2.12730223927197</v>
      </c>
      <c r="ES126" s="43">
        <v>2.2724752766552401</v>
      </c>
      <c r="ET126" s="43">
        <v>2.09760525258908</v>
      </c>
      <c r="EU126" s="43">
        <v>2.443022</v>
      </c>
      <c r="EV126" s="43">
        <v>2.0796450000000002</v>
      </c>
      <c r="EW126" s="43">
        <v>3.0498530000000001</v>
      </c>
      <c r="EX126" s="43">
        <v>2.4413420000000001</v>
      </c>
      <c r="EY126" s="43">
        <v>2.0789979999999999</v>
      </c>
      <c r="EZ126" s="43">
        <v>3.0482710000000002</v>
      </c>
      <c r="FA126" s="43">
        <v>18.6876874143313</v>
      </c>
      <c r="FB126" s="43">
        <v>18.308685398194999</v>
      </c>
      <c r="FC126" s="43">
        <v>79.291423758934897</v>
      </c>
      <c r="FD126" s="43">
        <v>17428.112746410301</v>
      </c>
      <c r="FE126" s="43">
        <v>196268.5</v>
      </c>
      <c r="FF126" s="43">
        <v>1.62215625</v>
      </c>
      <c r="FG126" s="43">
        <v>5.6488928996965004</v>
      </c>
      <c r="FH126" s="43">
        <v>926.76731824755996</v>
      </c>
      <c r="FI126" s="43">
        <v>14248.271428136</v>
      </c>
      <c r="FJ126" s="43">
        <v>7.2661413062291604</v>
      </c>
      <c r="FK126" s="43">
        <v>19.266048331828099</v>
      </c>
      <c r="FL126" s="43">
        <v>1.1196219999999999</v>
      </c>
      <c r="FM126" s="43">
        <v>1.136274</v>
      </c>
    </row>
    <row r="127" spans="1:169" x14ac:dyDescent="0.25">
      <c r="A127" s="43" t="s">
        <v>354</v>
      </c>
      <c r="B127" s="43">
        <v>27906.12</v>
      </c>
      <c r="C127" s="43">
        <v>19378.61</v>
      </c>
      <c r="D127" s="43">
        <v>4.0218999999999996</v>
      </c>
      <c r="E127" s="43">
        <v>3.413205</v>
      </c>
      <c r="F127" s="43">
        <v>3.1264099999999999</v>
      </c>
      <c r="G127" s="43">
        <v>3.4338570000000002</v>
      </c>
      <c r="H127" s="43">
        <v>1.2731570000000001</v>
      </c>
      <c r="I127" s="43">
        <v>1.2176199999999999</v>
      </c>
      <c r="J127" s="43">
        <v>1.2157610000000001</v>
      </c>
      <c r="K127" s="43">
        <v>1.1594850000000001</v>
      </c>
      <c r="L127" s="43">
        <v>3.1761650000000001</v>
      </c>
      <c r="M127" s="43">
        <v>82.280510000000007</v>
      </c>
      <c r="N127" s="43">
        <v>87.856284570196294</v>
      </c>
      <c r="O127" s="43">
        <v>2.7545197250196698</v>
      </c>
      <c r="P127" s="43">
        <v>1.2934600000000001</v>
      </c>
      <c r="Q127" s="43">
        <v>-498.33359999999999</v>
      </c>
      <c r="R127" s="43">
        <v>6.4132049999999996</v>
      </c>
      <c r="S127" s="43">
        <v>3995.893</v>
      </c>
      <c r="T127" s="43">
        <v>3.0350739999999998</v>
      </c>
      <c r="U127" s="43">
        <v>4.2756499999999997</v>
      </c>
      <c r="V127" s="43">
        <v>3431.7829999999999</v>
      </c>
      <c r="W127" s="43">
        <v>2.2022370000000002</v>
      </c>
      <c r="X127" s="43">
        <v>24811.15</v>
      </c>
      <c r="Y127" s="43">
        <v>1.348465</v>
      </c>
      <c r="Z127" s="43">
        <v>0.95360959999999995</v>
      </c>
      <c r="AA127" s="43">
        <v>1.428795</v>
      </c>
      <c r="AB127" s="43">
        <v>1.1660410000000001</v>
      </c>
      <c r="AC127" s="43">
        <v>80.280690000000007</v>
      </c>
      <c r="AD127" s="43">
        <v>1.5561609999999999</v>
      </c>
      <c r="AE127" s="43">
        <v>1.996292</v>
      </c>
      <c r="AF127" s="43">
        <v>2.0533950000000001</v>
      </c>
      <c r="AG127" s="43">
        <v>363.39819999999997</v>
      </c>
      <c r="AH127" s="43">
        <v>212.49440000000001</v>
      </c>
      <c r="AI127" s="43">
        <v>3.3087930000000001</v>
      </c>
      <c r="AJ127" s="43">
        <v>3.2640385564306502</v>
      </c>
      <c r="AK127" s="43">
        <f t="shared" si="4"/>
        <v>43182.486180647145</v>
      </c>
      <c r="AL127" s="47">
        <v>1.2902217583224962E-2</v>
      </c>
      <c r="AM127" s="43">
        <v>2.3892862999128601</v>
      </c>
      <c r="AN127" s="43">
        <v>0.69220809135905004</v>
      </c>
      <c r="AO127" s="43">
        <v>3.1875626735689702</v>
      </c>
      <c r="AP127" s="43">
        <v>2.6752196806067698</v>
      </c>
      <c r="AQ127" s="43">
        <v>5.1531542484880504</v>
      </c>
      <c r="AR127" s="43">
        <v>3.0066091696848498</v>
      </c>
      <c r="AS127" s="43">
        <v>2.5101659436399202</v>
      </c>
      <c r="AT127" s="43">
        <v>2.43691916692126</v>
      </c>
      <c r="AU127" s="43">
        <v>3.31284273241784</v>
      </c>
      <c r="AV127" s="43">
        <v>2807.1210000000001</v>
      </c>
      <c r="AW127" s="43">
        <v>1653.1420000000001</v>
      </c>
      <c r="AX127" s="43">
        <v>1.335817</v>
      </c>
      <c r="AY127" s="43">
        <v>2.0040840000000002</v>
      </c>
      <c r="AZ127" s="43">
        <v>213.89619999999999</v>
      </c>
      <c r="BA127" s="43">
        <v>0.77459630000000002</v>
      </c>
      <c r="BB127" s="43">
        <v>193.351</v>
      </c>
      <c r="BC127" s="43">
        <v>39.583869999999997</v>
      </c>
      <c r="BD127" s="43">
        <v>5.8</v>
      </c>
      <c r="BE127" s="43">
        <v>1.5151380000000001</v>
      </c>
      <c r="BF127" s="43">
        <v>2.5875530000000002</v>
      </c>
      <c r="BG127" s="43">
        <v>2.922612</v>
      </c>
      <c r="BH127" s="43">
        <v>2.3526600000000002</v>
      </c>
      <c r="BI127" s="43">
        <v>1.6739999999999999</v>
      </c>
      <c r="BJ127" s="43">
        <v>1.5992740000000001</v>
      </c>
      <c r="BK127" s="43">
        <v>103.642</v>
      </c>
      <c r="BL127" s="43">
        <v>106.22369999999999</v>
      </c>
      <c r="BM127" s="43">
        <v>1.428661</v>
      </c>
      <c r="BN127" s="43">
        <v>1.460345</v>
      </c>
      <c r="BO127" s="43">
        <v>44.382240000000003</v>
      </c>
      <c r="BP127" s="43">
        <v>1.29099498459163</v>
      </c>
      <c r="BQ127" s="43">
        <v>4288.6719999999996</v>
      </c>
      <c r="BR127" s="43">
        <v>710.59074810111099</v>
      </c>
      <c r="BS127" s="43">
        <v>14416.22</v>
      </c>
      <c r="BT127" s="43">
        <v>7497.0410000000002</v>
      </c>
      <c r="BU127" s="43">
        <v>1.239449</v>
      </c>
      <c r="BV127" s="43">
        <v>1.538376</v>
      </c>
      <c r="BW127" s="43">
        <v>1.64456</v>
      </c>
      <c r="BX127" s="43">
        <v>1.1823950000000001</v>
      </c>
      <c r="BY127" s="43">
        <v>2.073035</v>
      </c>
      <c r="BZ127" s="43">
        <v>2.2803149999999999</v>
      </c>
      <c r="CA127" s="43">
        <v>2.0747230000000001</v>
      </c>
      <c r="CB127" s="43">
        <v>0.74238380000000004</v>
      </c>
      <c r="CC127" s="43">
        <v>8.1709216620866396</v>
      </c>
      <c r="CD127" s="43">
        <v>1.1399710000000001</v>
      </c>
      <c r="CE127" s="43">
        <v>1.211867</v>
      </c>
      <c r="CF127" s="43">
        <v>1.341134</v>
      </c>
      <c r="CG127" s="43">
        <v>1.1782520000000001</v>
      </c>
      <c r="CH127" s="43">
        <v>1.11850470424536</v>
      </c>
      <c r="CI127" s="43">
        <v>1.1891586153051299</v>
      </c>
      <c r="CJ127" s="43">
        <v>1.2296062741902301</v>
      </c>
      <c r="CK127" s="43">
        <v>1.1732548464718</v>
      </c>
      <c r="CL127" s="43">
        <v>1.541023</v>
      </c>
      <c r="CM127" s="43">
        <v>1.361084</v>
      </c>
      <c r="CN127" s="43">
        <v>1.580355</v>
      </c>
      <c r="CO127" s="43">
        <v>1.961306</v>
      </c>
      <c r="CP127" s="43">
        <v>0.84574113068194501</v>
      </c>
      <c r="CQ127" s="43">
        <v>1.3002480000000001</v>
      </c>
      <c r="CR127" s="43">
        <v>0.67646830548918802</v>
      </c>
      <c r="CS127" s="43">
        <v>74.303673449912594</v>
      </c>
      <c r="CT127" s="43">
        <v>99.155844734682802</v>
      </c>
      <c r="CU127" s="43">
        <v>17.879932577137101</v>
      </c>
      <c r="CV127" s="43">
        <v>21.141141099191898</v>
      </c>
      <c r="CW127" s="43">
        <v>1.5015229999999999</v>
      </c>
      <c r="CX127" s="43">
        <v>1.4497279999999999</v>
      </c>
      <c r="CY127" s="43">
        <v>1.4002289999999999</v>
      </c>
      <c r="CZ127" s="43">
        <v>1.4449360821706401</v>
      </c>
      <c r="DA127" s="43">
        <v>1.2712641466224399</v>
      </c>
      <c r="DB127" s="43">
        <v>2.7397597853349001</v>
      </c>
      <c r="DC127" s="43">
        <v>0.99492325716422703</v>
      </c>
      <c r="DD127" s="43">
        <v>1.40949055485817</v>
      </c>
      <c r="DE127" s="43">
        <v>1.97296021493142</v>
      </c>
      <c r="DF127" s="43">
        <v>1.5143080616670299</v>
      </c>
      <c r="DG127" s="43">
        <v>1.6366929001459201</v>
      </c>
      <c r="DH127" s="43">
        <v>1.28230622814496</v>
      </c>
      <c r="DI127" s="43">
        <v>2.51931616717942</v>
      </c>
      <c r="DJ127" s="43">
        <v>1.1912763961885999</v>
      </c>
      <c r="DK127" s="43">
        <v>2.0286740000000001</v>
      </c>
      <c r="DL127" s="43">
        <v>2.2919640000000001</v>
      </c>
      <c r="DM127" s="43">
        <v>2.5102199999999999</v>
      </c>
      <c r="DN127" s="43">
        <v>1.7903241542802599</v>
      </c>
      <c r="DO127" s="43">
        <v>2.7335240000000001</v>
      </c>
      <c r="DP127" s="43">
        <v>1.8999980000000001</v>
      </c>
      <c r="DQ127" s="43">
        <v>1.4360729999999999</v>
      </c>
      <c r="DR127" s="43">
        <v>2.282295</v>
      </c>
      <c r="DS127" s="43">
        <v>0.95583859999999998</v>
      </c>
      <c r="DT127" s="43">
        <v>1.55561609325314</v>
      </c>
      <c r="DU127" s="43">
        <v>641.37739999999997</v>
      </c>
      <c r="DV127" s="43">
        <v>334.9348</v>
      </c>
      <c r="DW127" s="43">
        <v>119.8125</v>
      </c>
      <c r="DX127" s="43">
        <v>1.1561980000000001</v>
      </c>
      <c r="DY127" s="43">
        <v>1.307134</v>
      </c>
      <c r="DZ127" s="43">
        <v>1.0889200000000001</v>
      </c>
      <c r="EA127" s="43">
        <v>909.78340000000003</v>
      </c>
      <c r="EB127" s="43">
        <v>124.167129537473</v>
      </c>
      <c r="EC127" s="43">
        <v>1.4567833122881599</v>
      </c>
      <c r="ED127" s="43">
        <v>1.54984646059861</v>
      </c>
      <c r="EE127" s="43">
        <v>1.52666971453009</v>
      </c>
      <c r="EF127" s="43">
        <v>1.8426105190617099</v>
      </c>
      <c r="EG127" s="43">
        <v>1.6350676992936199</v>
      </c>
      <c r="EH127" s="43">
        <v>0.72037850419418503</v>
      </c>
      <c r="EI127" s="43">
        <v>0.29757202352806</v>
      </c>
      <c r="EJ127" s="43">
        <v>34.086630144578102</v>
      </c>
      <c r="EK127" s="43">
        <v>19.342181529323899</v>
      </c>
      <c r="EL127" s="43">
        <v>0.85192573122690596</v>
      </c>
      <c r="EM127" s="43">
        <v>2531.7343614486699</v>
      </c>
      <c r="EN127" s="43">
        <v>630.38139931609999</v>
      </c>
      <c r="EO127" s="43">
        <v>93685.917757057701</v>
      </c>
      <c r="EP127" s="43">
        <v>63514.227881393999</v>
      </c>
      <c r="EQ127" s="43">
        <v>4518.2282202078204</v>
      </c>
      <c r="ER127" s="43">
        <v>2.1386811235249699</v>
      </c>
      <c r="ES127" s="43">
        <v>2.2846306877028502</v>
      </c>
      <c r="ET127" s="43">
        <v>2.1088252884340402</v>
      </c>
      <c r="EU127" s="43">
        <v>2.4610289999999999</v>
      </c>
      <c r="EV127" s="43">
        <v>2.091412</v>
      </c>
      <c r="EW127" s="43">
        <v>3.0813950000000001</v>
      </c>
      <c r="EX127" s="43">
        <v>2.4604699999999999</v>
      </c>
      <c r="EY127" s="43">
        <v>2.091637</v>
      </c>
      <c r="EZ127" s="43">
        <v>3.0820910000000001</v>
      </c>
      <c r="FA127" s="43">
        <v>18.825994153087301</v>
      </c>
      <c r="FB127" s="43">
        <v>18.443283182843299</v>
      </c>
      <c r="FC127" s="43">
        <v>79.912694422982</v>
      </c>
      <c r="FD127" s="43">
        <v>17534.0578353087</v>
      </c>
      <c r="FE127" s="43">
        <v>198446.1</v>
      </c>
      <c r="FF127" s="43">
        <v>1.6300937499999999</v>
      </c>
      <c r="FG127" s="43">
        <v>5.6455035662162398</v>
      </c>
      <c r="FH127" s="43">
        <v>929.54762020230203</v>
      </c>
      <c r="FI127" s="43">
        <v>14212.650749565601</v>
      </c>
      <c r="FJ127" s="43">
        <v>7.2443425262695502</v>
      </c>
      <c r="FK127" s="43">
        <v>19.169718783746799</v>
      </c>
      <c r="FL127" s="43">
        <v>1.1170800000000001</v>
      </c>
      <c r="FM127" s="43">
        <v>1.137812</v>
      </c>
    </row>
    <row r="128" spans="1:169" x14ac:dyDescent="0.25">
      <c r="A128" s="43" t="s">
        <v>355</v>
      </c>
      <c r="B128" s="43">
        <v>27857.15</v>
      </c>
      <c r="C128" s="43">
        <v>19339.73</v>
      </c>
      <c r="D128" s="43">
        <v>4.0384869999999999</v>
      </c>
      <c r="E128" s="43">
        <v>3.413205</v>
      </c>
      <c r="F128" s="43">
        <v>3.1316489999999999</v>
      </c>
      <c r="G128" s="43">
        <v>3.9774959999999999</v>
      </c>
      <c r="H128" s="43">
        <v>1.2700149999999999</v>
      </c>
      <c r="I128" s="43">
        <v>1.2157009999999999</v>
      </c>
      <c r="J128" s="43">
        <v>1.213854</v>
      </c>
      <c r="K128" s="43">
        <v>1.1589149999999999</v>
      </c>
      <c r="L128" s="43">
        <v>3.187411</v>
      </c>
      <c r="M128" s="43">
        <v>82.614429999999999</v>
      </c>
      <c r="N128" s="43">
        <v>88.212836344803904</v>
      </c>
      <c r="O128" s="43">
        <v>2.7710468433697799</v>
      </c>
      <c r="P128" s="43">
        <v>1.2565850000000001</v>
      </c>
      <c r="Q128" s="43">
        <v>-495.54790000000003</v>
      </c>
      <c r="R128" s="43">
        <v>6.4132049999999996</v>
      </c>
      <c r="S128" s="43">
        <v>3989.01</v>
      </c>
      <c r="T128" s="43">
        <v>3.0346510000000002</v>
      </c>
      <c r="U128" s="43">
        <v>4.2760600000000002</v>
      </c>
      <c r="V128" s="43">
        <v>3425.2950000000001</v>
      </c>
      <c r="W128" s="43">
        <v>2.2112949999999998</v>
      </c>
      <c r="X128" s="43">
        <v>25030.09</v>
      </c>
      <c r="Y128" s="43">
        <v>1.348387</v>
      </c>
      <c r="Z128" s="43">
        <v>0.95129439999999998</v>
      </c>
      <c r="AA128" s="43">
        <v>1.4311689999999999</v>
      </c>
      <c r="AB128" s="43">
        <v>1.1694830000000001</v>
      </c>
      <c r="AC128" s="43">
        <v>80.607399999999998</v>
      </c>
      <c r="AD128" s="43">
        <v>1.56131</v>
      </c>
      <c r="AE128" s="43">
        <v>2.0074730000000001</v>
      </c>
      <c r="AF128" s="43">
        <v>2.0622389999999999</v>
      </c>
      <c r="AG128" s="43">
        <v>363.95119999999997</v>
      </c>
      <c r="AH128" s="43">
        <v>215.32599999999999</v>
      </c>
      <c r="AI128" s="43">
        <v>3.3213789999999999</v>
      </c>
      <c r="AJ128" s="43">
        <v>3.2765953722385399</v>
      </c>
      <c r="AK128" s="43">
        <f t="shared" si="4"/>
        <v>43249.338553337511</v>
      </c>
      <c r="AL128" s="47">
        <v>1.5481362608604776E-3</v>
      </c>
      <c r="AM128" s="43">
        <v>2.38597687185761</v>
      </c>
      <c r="AN128" s="43">
        <v>0.70297063524199499</v>
      </c>
      <c r="AO128" s="43">
        <v>3.1948247715988201</v>
      </c>
      <c r="AP128" s="43">
        <v>2.68107511154752</v>
      </c>
      <c r="AQ128" s="43">
        <v>5.1760899673331702</v>
      </c>
      <c r="AR128" s="43">
        <v>3.02043303976322</v>
      </c>
      <c r="AS128" s="43">
        <v>2.5184406816731402</v>
      </c>
      <c r="AT128" s="43">
        <v>2.4442462387810302</v>
      </c>
      <c r="AU128" s="43">
        <v>3.3278991710290899</v>
      </c>
      <c r="AV128" s="43">
        <v>2812.0210000000002</v>
      </c>
      <c r="AW128" s="43">
        <v>1654.796</v>
      </c>
      <c r="AX128" s="43">
        <v>1.3383510000000001</v>
      </c>
      <c r="AY128" s="43">
        <v>2.0112209999999999</v>
      </c>
      <c r="AZ128" s="43">
        <v>214.3288</v>
      </c>
      <c r="BA128" s="43">
        <v>0.77769460000000001</v>
      </c>
      <c r="BB128" s="43">
        <v>194.46</v>
      </c>
      <c r="BC128" s="43">
        <v>39.737850000000002</v>
      </c>
      <c r="BD128" s="43">
        <v>5.7</v>
      </c>
      <c r="BE128" s="43">
        <v>1.519379</v>
      </c>
      <c r="BF128" s="43">
        <v>2.591939</v>
      </c>
      <c r="BG128" s="43">
        <v>2.928185</v>
      </c>
      <c r="BH128" s="43">
        <v>2.3589630000000001</v>
      </c>
      <c r="BI128" s="43">
        <v>1.679182</v>
      </c>
      <c r="BJ128" s="43">
        <v>1.604346</v>
      </c>
      <c r="BK128" s="43">
        <v>103.64919999999999</v>
      </c>
      <c r="BL128" s="43">
        <v>106.2299</v>
      </c>
      <c r="BM128" s="43">
        <v>1.42554</v>
      </c>
      <c r="BN128" s="43">
        <v>1.459784</v>
      </c>
      <c r="BO128" s="43">
        <v>44.499850000000002</v>
      </c>
      <c r="BP128" s="43">
        <v>1.2858517036422601</v>
      </c>
      <c r="BQ128" s="43">
        <v>4307.1099999999997</v>
      </c>
      <c r="BR128" s="43">
        <v>712.82201735482101</v>
      </c>
      <c r="BS128" s="43">
        <v>14457.84</v>
      </c>
      <c r="BT128" s="43">
        <v>7535.9229999999998</v>
      </c>
      <c r="BU128" s="43">
        <v>1.2341660000000001</v>
      </c>
      <c r="BV128" s="43">
        <v>1.5446299999999999</v>
      </c>
      <c r="BW128" s="43">
        <v>1.6493070000000001</v>
      </c>
      <c r="BX128" s="43">
        <v>1.1823950000000001</v>
      </c>
      <c r="BY128" s="43">
        <v>2.0708890000000002</v>
      </c>
      <c r="BZ128" s="43">
        <v>2.276726</v>
      </c>
      <c r="CA128" s="43">
        <v>2.0794220000000001</v>
      </c>
      <c r="CB128" s="43">
        <v>0.74089899999999997</v>
      </c>
      <c r="CC128" s="43">
        <v>8.2445580015277695</v>
      </c>
      <c r="CD128" s="43">
        <v>1.134808</v>
      </c>
      <c r="CE128" s="43">
        <v>1.2066330000000001</v>
      </c>
      <c r="CF128" s="43">
        <v>1.3348610000000001</v>
      </c>
      <c r="CG128" s="43">
        <v>1.1741520000000001</v>
      </c>
      <c r="CH128" s="43">
        <v>1.1178689147631899</v>
      </c>
      <c r="CI128" s="43">
        <v>1.1883755050284599</v>
      </c>
      <c r="CJ128" s="43">
        <v>1.22717438089524</v>
      </c>
      <c r="CK128" s="43">
        <v>1.1719110618522901</v>
      </c>
      <c r="CL128" s="43">
        <v>1.5472919999999999</v>
      </c>
      <c r="CM128" s="43">
        <v>1.363966</v>
      </c>
      <c r="CN128" s="43">
        <v>1.588376</v>
      </c>
      <c r="CO128" s="43">
        <v>1.9684349999999999</v>
      </c>
      <c r="CP128" s="43">
        <v>0.84574113068194501</v>
      </c>
      <c r="CQ128" s="43">
        <v>1.3019400000000001</v>
      </c>
      <c r="CR128" s="43">
        <v>0.67644756141552098</v>
      </c>
      <c r="CS128" s="43">
        <v>74.605223950915899</v>
      </c>
      <c r="CT128" s="43">
        <v>99.949091492560299</v>
      </c>
      <c r="CU128" s="43">
        <v>17.879932577137101</v>
      </c>
      <c r="CV128" s="43">
        <v>21.141141099191898</v>
      </c>
      <c r="CW128" s="43">
        <v>1.5052179999999999</v>
      </c>
      <c r="CX128" s="43">
        <v>1.453082</v>
      </c>
      <c r="CY128" s="43">
        <v>1.4029959999999999</v>
      </c>
      <c r="CZ128" s="43">
        <v>1.4479523684561399</v>
      </c>
      <c r="DA128" s="43">
        <v>1.2732985134155199</v>
      </c>
      <c r="DB128" s="43">
        <v>2.7478512907352499</v>
      </c>
      <c r="DC128" s="43">
        <v>0.99460587010211199</v>
      </c>
      <c r="DD128" s="43">
        <v>1.41448601997588</v>
      </c>
      <c r="DE128" s="43">
        <v>1.9820647680260099</v>
      </c>
      <c r="DF128" s="43">
        <v>1.5202332378613901</v>
      </c>
      <c r="DG128" s="43">
        <v>1.64207811334163</v>
      </c>
      <c r="DH128" s="43">
        <v>1.28469110620329</v>
      </c>
      <c r="DI128" s="43">
        <v>2.5343298436261699</v>
      </c>
      <c r="DJ128" s="43">
        <v>1.1935361214726701</v>
      </c>
      <c r="DK128" s="43">
        <v>2.0411320000000002</v>
      </c>
      <c r="DL128" s="43">
        <v>2.3011780000000002</v>
      </c>
      <c r="DM128" s="43">
        <v>2.52101</v>
      </c>
      <c r="DN128" s="43">
        <v>1.79607284570745</v>
      </c>
      <c r="DO128" s="43">
        <v>2.7471040000000002</v>
      </c>
      <c r="DP128" s="43">
        <v>1.907019</v>
      </c>
      <c r="DQ128" s="43">
        <v>1.438847</v>
      </c>
      <c r="DR128" s="43">
        <v>2.2913359999999998</v>
      </c>
      <c r="DS128" s="43">
        <v>0.95713219999999999</v>
      </c>
      <c r="DT128" s="43">
        <v>1.5599108316665</v>
      </c>
      <c r="DU128" s="43">
        <v>642.2894</v>
      </c>
      <c r="DV128" s="43">
        <v>334.83409999999998</v>
      </c>
      <c r="DW128" s="43">
        <v>119.4529</v>
      </c>
      <c r="DX128" s="43">
        <v>1.158058</v>
      </c>
      <c r="DY128" s="43">
        <v>1.309042</v>
      </c>
      <c r="DZ128" s="43">
        <v>1.089485</v>
      </c>
      <c r="EA128" s="43">
        <v>909.63009999999997</v>
      </c>
      <c r="EB128" s="43">
        <v>123.79462814886</v>
      </c>
      <c r="EC128" s="43">
        <v>1.46098891821721</v>
      </c>
      <c r="ED128" s="43">
        <v>1.55476815880157</v>
      </c>
      <c r="EE128" s="43">
        <v>1.5312764992324699</v>
      </c>
      <c r="EF128" s="43">
        <v>1.84898837082517</v>
      </c>
      <c r="EG128" s="43">
        <v>1.6400699212098</v>
      </c>
      <c r="EH128" s="43">
        <v>0.72239507905242395</v>
      </c>
      <c r="EI128" s="43">
        <v>0.29840502487064402</v>
      </c>
      <c r="EJ128" s="43">
        <v>34.182049762114502</v>
      </c>
      <c r="EK128" s="43">
        <v>19.3963266165918</v>
      </c>
      <c r="EL128" s="43">
        <v>0.85431054976421195</v>
      </c>
      <c r="EM128" s="43">
        <v>2542.0374851514998</v>
      </c>
      <c r="EN128" s="43">
        <v>632.94679386776204</v>
      </c>
      <c r="EO128" s="43">
        <v>94067.181137040301</v>
      </c>
      <c r="EP128" s="43">
        <v>63772.704819858103</v>
      </c>
      <c r="EQ128" s="43">
        <v>4536.6155616995902</v>
      </c>
      <c r="ER128" s="43">
        <v>2.1448553087572999</v>
      </c>
      <c r="ES128" s="43">
        <v>2.2912262165538801</v>
      </c>
      <c r="ET128" s="43">
        <v>2.1149132824833599</v>
      </c>
      <c r="EU128" s="43">
        <v>2.4727359999999998</v>
      </c>
      <c r="EV128" s="43">
        <v>2.0988959999999999</v>
      </c>
      <c r="EW128" s="43">
        <v>3.101969</v>
      </c>
      <c r="EX128" s="43">
        <v>2.47417</v>
      </c>
      <c r="EY128" s="43">
        <v>2.0992190000000002</v>
      </c>
      <c r="EZ128" s="43">
        <v>3.102751</v>
      </c>
      <c r="FA128" s="43">
        <v>18.915915688663201</v>
      </c>
      <c r="FB128" s="43">
        <v>18.530852415618298</v>
      </c>
      <c r="FC128" s="43">
        <v>80.357626414102796</v>
      </c>
      <c r="FD128" s="43">
        <v>17597.620354780898</v>
      </c>
      <c r="FE128" s="43">
        <v>199776.3</v>
      </c>
      <c r="FF128" s="43">
        <v>1.63796875</v>
      </c>
      <c r="FG128" s="43">
        <v>5.6421162663347104</v>
      </c>
      <c r="FH128" s="43">
        <v>932.33626306290898</v>
      </c>
      <c r="FI128" s="43">
        <v>14177.1191226917</v>
      </c>
      <c r="FJ128" s="43">
        <v>7.2298545221852102</v>
      </c>
      <c r="FK128" s="43">
        <v>19.2655670709498</v>
      </c>
      <c r="FL128" s="43">
        <v>1.115883</v>
      </c>
      <c r="FM128" s="43">
        <v>1.1383920000000001</v>
      </c>
    </row>
    <row r="129" spans="1:169" x14ac:dyDescent="0.25">
      <c r="A129" s="43" t="s">
        <v>356</v>
      </c>
      <c r="B129" s="43">
        <v>27884.97</v>
      </c>
      <c r="C129" s="43">
        <v>19368.68</v>
      </c>
      <c r="D129" s="43">
        <v>4.0553429999999997</v>
      </c>
      <c r="E129" s="43">
        <v>3.413205</v>
      </c>
      <c r="F129" s="43">
        <v>3.1287669999999999</v>
      </c>
      <c r="G129" s="43">
        <v>4.2117120000000003</v>
      </c>
      <c r="H129" s="43">
        <v>1.271331</v>
      </c>
      <c r="I129" s="43">
        <v>1.2170890000000001</v>
      </c>
      <c r="J129" s="43">
        <v>1.2150860000000001</v>
      </c>
      <c r="K129" s="43">
        <v>1.160175</v>
      </c>
      <c r="L129" s="43">
        <v>3.1989640000000001</v>
      </c>
      <c r="M129" s="43">
        <v>82.957369999999997</v>
      </c>
      <c r="N129" s="43">
        <v>88.579024653860301</v>
      </c>
      <c r="O129" s="43">
        <v>2.7820649222698601</v>
      </c>
      <c r="P129" s="43">
        <v>1.21706</v>
      </c>
      <c r="Q129" s="43">
        <v>-491.0917</v>
      </c>
      <c r="R129" s="43">
        <v>6.4132049999999996</v>
      </c>
      <c r="S129" s="43">
        <v>3993.1619999999998</v>
      </c>
      <c r="T129" s="43">
        <v>3.0349140000000001</v>
      </c>
      <c r="U129" s="43">
        <v>4.275277</v>
      </c>
      <c r="V129" s="43">
        <v>3429.68</v>
      </c>
      <c r="W129" s="43">
        <v>2.2210209999999999</v>
      </c>
      <c r="X129" s="43">
        <v>25217.39</v>
      </c>
      <c r="Y129" s="43">
        <v>1.348754</v>
      </c>
      <c r="Z129" s="43">
        <v>0.95211250000000003</v>
      </c>
      <c r="AA129" s="43">
        <v>1.4335070000000001</v>
      </c>
      <c r="AB129" s="43">
        <v>1.1734880000000001</v>
      </c>
      <c r="AC129" s="43">
        <v>80.942939999999993</v>
      </c>
      <c r="AD129" s="43">
        <v>1.566754</v>
      </c>
      <c r="AE129" s="43">
        <v>2.0183010000000001</v>
      </c>
      <c r="AF129" s="43">
        <v>2.0720619999999998</v>
      </c>
      <c r="AG129" s="43">
        <v>364.50490000000002</v>
      </c>
      <c r="AH129" s="43">
        <v>219.01849999999999</v>
      </c>
      <c r="AI129" s="43">
        <v>3.334041</v>
      </c>
      <c r="AJ129" s="43">
        <v>3.28915639455639</v>
      </c>
      <c r="AK129" s="43">
        <f t="shared" si="4"/>
        <v>43443.491844543751</v>
      </c>
      <c r="AL129" s="47">
        <v>4.489162093584298E-3</v>
      </c>
      <c r="AM129" s="43">
        <v>2.3804686039300802</v>
      </c>
      <c r="AN129" s="43">
        <v>0.70684705635810297</v>
      </c>
      <c r="AO129" s="43">
        <v>3.2027750344857999</v>
      </c>
      <c r="AP129" s="43">
        <v>2.6902080843851</v>
      </c>
      <c r="AQ129" s="43">
        <v>5.19923316674699</v>
      </c>
      <c r="AR129" s="43">
        <v>3.0323270231074799</v>
      </c>
      <c r="AS129" s="43">
        <v>2.5270219973500798</v>
      </c>
      <c r="AT129" s="43">
        <v>2.4517068965233699</v>
      </c>
      <c r="AU129" s="43">
        <v>3.3416225532440298</v>
      </c>
      <c r="AV129" s="43">
        <v>2819.0250000000001</v>
      </c>
      <c r="AW129" s="43">
        <v>1659.3620000000001</v>
      </c>
      <c r="AX129" s="43">
        <v>1.341642</v>
      </c>
      <c r="AY129" s="43">
        <v>2.0187940000000002</v>
      </c>
      <c r="AZ129" s="43">
        <v>214.49359999999999</v>
      </c>
      <c r="BA129" s="43">
        <v>0.77847239999999995</v>
      </c>
      <c r="BB129" s="43">
        <v>195.55070000000001</v>
      </c>
      <c r="BC129" s="43">
        <v>39.892940000000003</v>
      </c>
      <c r="BD129" s="43">
        <v>5.6</v>
      </c>
      <c r="BE129" s="43">
        <v>1.5243899999999999</v>
      </c>
      <c r="BF129" s="43">
        <v>2.5927099999999998</v>
      </c>
      <c r="BG129" s="43">
        <v>2.9293119999999999</v>
      </c>
      <c r="BH129" s="43">
        <v>2.3550249999999999</v>
      </c>
      <c r="BI129" s="43">
        <v>1.6848369999999999</v>
      </c>
      <c r="BJ129" s="43">
        <v>1.609977</v>
      </c>
      <c r="BK129" s="43">
        <v>103.9766</v>
      </c>
      <c r="BL129" s="43">
        <v>106.5643</v>
      </c>
      <c r="BM129" s="43">
        <v>1.4280759999999999</v>
      </c>
      <c r="BN129" s="43">
        <v>1.461597</v>
      </c>
      <c r="BO129" s="43">
        <v>44.61777</v>
      </c>
      <c r="BP129" s="43">
        <v>1.2845670923653401</v>
      </c>
      <c r="BQ129" s="43">
        <v>4328.4210000000003</v>
      </c>
      <c r="BR129" s="43">
        <v>715.462949864145</v>
      </c>
      <c r="BS129" s="43">
        <v>14515.68</v>
      </c>
      <c r="BT129" s="43">
        <v>7576.4949999999999</v>
      </c>
      <c r="BU129" s="43">
        <v>1.233922</v>
      </c>
      <c r="BV129" s="43">
        <v>1.55043</v>
      </c>
      <c r="BW129" s="43">
        <v>1.654215</v>
      </c>
      <c r="BX129" s="43">
        <v>1.1812130000000001</v>
      </c>
      <c r="BY129" s="43">
        <v>2.0659619999999999</v>
      </c>
      <c r="BZ129" s="43">
        <v>2.2713990000000002</v>
      </c>
      <c r="CA129" s="43">
        <v>2.0815579999999998</v>
      </c>
      <c r="CB129" s="43">
        <v>0.73941710000000005</v>
      </c>
      <c r="CC129" s="43">
        <v>8.2368902882794206</v>
      </c>
      <c r="CD129" s="43">
        <v>1.1347020000000001</v>
      </c>
      <c r="CE129" s="43">
        <v>1.2064699999999999</v>
      </c>
      <c r="CF129" s="43">
        <v>1.3348009999999999</v>
      </c>
      <c r="CG129" s="43">
        <v>1.1738599999999999</v>
      </c>
      <c r="CH129" s="43">
        <v>1.11884798864414</v>
      </c>
      <c r="CI129" s="43">
        <v>1.1899407254924701</v>
      </c>
      <c r="CJ129" s="43">
        <v>1.2280976526626299</v>
      </c>
      <c r="CK129" s="43">
        <v>1.17284834166245</v>
      </c>
      <c r="CL129" s="43">
        <v>1.5531060000000001</v>
      </c>
      <c r="CM129" s="43">
        <v>1.366949</v>
      </c>
      <c r="CN129" s="43">
        <v>1.595847</v>
      </c>
      <c r="CO129" s="43">
        <v>1.9758039999999999</v>
      </c>
      <c r="CP129" s="43">
        <v>0.84658771840034597</v>
      </c>
      <c r="CQ129" s="43">
        <v>1.3053760000000001</v>
      </c>
      <c r="CR129" s="43">
        <v>0.67632944621913804</v>
      </c>
      <c r="CS129" s="43">
        <v>74.989914379839604</v>
      </c>
      <c r="CT129" s="43">
        <v>99.849142401067695</v>
      </c>
      <c r="CU129" s="43">
        <v>17.862034746729499</v>
      </c>
      <c r="CV129" s="43">
        <v>21.098858816993499</v>
      </c>
      <c r="CW129" s="43">
        <v>1.509037</v>
      </c>
      <c r="CX129" s="43">
        <v>1.45655</v>
      </c>
      <c r="CY129" s="43">
        <v>1.405859</v>
      </c>
      <c r="CZ129" s="43">
        <v>1.4510901924952899</v>
      </c>
      <c r="DA129" s="43">
        <v>1.27540739377431</v>
      </c>
      <c r="DB129" s="43">
        <v>2.7542362834612901</v>
      </c>
      <c r="DC129" s="43">
        <v>0.99475548719947005</v>
      </c>
      <c r="DD129" s="43">
        <v>1.41951504488452</v>
      </c>
      <c r="DE129" s="43">
        <v>1.9909736512635801</v>
      </c>
      <c r="DF129" s="43">
        <v>1.52571914079243</v>
      </c>
      <c r="DG129" s="43">
        <v>1.64733308345297</v>
      </c>
      <c r="DH129" s="43">
        <v>1.2872033996758701</v>
      </c>
      <c r="DI129" s="43">
        <v>2.5487622186281</v>
      </c>
      <c r="DJ129" s="43">
        <v>1.1951769993628401</v>
      </c>
      <c r="DK129" s="43">
        <v>2.052648</v>
      </c>
      <c r="DL129" s="43">
        <v>2.3106450000000001</v>
      </c>
      <c r="DM129" s="43">
        <v>2.5322390000000001</v>
      </c>
      <c r="DN129" s="43">
        <v>1.8019812753729101</v>
      </c>
      <c r="DO129" s="43">
        <v>2.7612049999999999</v>
      </c>
      <c r="DP129" s="43">
        <v>1.914237</v>
      </c>
      <c r="DQ129" s="43">
        <v>1.4418089999999999</v>
      </c>
      <c r="DR129" s="43">
        <v>2.300497</v>
      </c>
      <c r="DS129" s="43">
        <v>0.958561</v>
      </c>
      <c r="DT129" s="43">
        <v>1.5643658572146599</v>
      </c>
      <c r="DU129" s="43">
        <v>643.84140000000002</v>
      </c>
      <c r="DV129" s="43">
        <v>335.1764</v>
      </c>
      <c r="DW129" s="43">
        <v>119.50709999999999</v>
      </c>
      <c r="DX129" s="43">
        <v>1.159767</v>
      </c>
      <c r="DY129" s="43">
        <v>1.311175</v>
      </c>
      <c r="DZ129" s="43">
        <v>1.0898890000000001</v>
      </c>
      <c r="EA129" s="43">
        <v>910.79510000000005</v>
      </c>
      <c r="EB129" s="43">
        <v>123.67083352071199</v>
      </c>
      <c r="EC129" s="43">
        <v>1.46533615955483</v>
      </c>
      <c r="ED129" s="43">
        <v>1.5598570732749699</v>
      </c>
      <c r="EE129" s="43">
        <v>1.5360390848610299</v>
      </c>
      <c r="EF129" s="43">
        <v>1.8555846169222501</v>
      </c>
      <c r="EG129" s="43">
        <v>1.64524145493233</v>
      </c>
      <c r="EH129" s="43">
        <v>0.72477753342745499</v>
      </c>
      <c r="EI129" s="43">
        <v>0.299389162744294</v>
      </c>
      <c r="EJ129" s="43">
        <v>34.2947819447729</v>
      </c>
      <c r="EK129" s="43">
        <v>19.4602955783791</v>
      </c>
      <c r="EL129" s="43">
        <v>0.85712806052243895</v>
      </c>
      <c r="EM129" s="43">
        <v>2552.6190716571</v>
      </c>
      <c r="EN129" s="43">
        <v>635.58152340730601</v>
      </c>
      <c r="EO129" s="43">
        <v>94458.748932697999</v>
      </c>
      <c r="EP129" s="43">
        <v>64038.167621523797</v>
      </c>
      <c r="EQ129" s="43">
        <v>4555.4998583668103</v>
      </c>
      <c r="ER129" s="43">
        <v>2.1512374267495602</v>
      </c>
      <c r="ES129" s="43">
        <v>2.2980438680762401</v>
      </c>
      <c r="ET129" s="43">
        <v>2.1212063065661901</v>
      </c>
      <c r="EU129" s="43">
        <v>2.4847579999999998</v>
      </c>
      <c r="EV129" s="43">
        <v>2.1066919999999998</v>
      </c>
      <c r="EW129" s="43">
        <v>3.123081</v>
      </c>
      <c r="EX129" s="43">
        <v>2.4852850000000002</v>
      </c>
      <c r="EY129" s="43">
        <v>2.106662</v>
      </c>
      <c r="EZ129" s="43">
        <v>3.1229800000000001</v>
      </c>
      <c r="FA129" s="43">
        <v>19.008253388700101</v>
      </c>
      <c r="FB129" s="43">
        <v>18.6207746337729</v>
      </c>
      <c r="FC129" s="43">
        <v>80.7186436467139</v>
      </c>
      <c r="FD129" s="43">
        <v>17660.011450912902</v>
      </c>
      <c r="FE129" s="43">
        <v>201078.8</v>
      </c>
      <c r="FF129" s="43">
        <v>1.64578125</v>
      </c>
      <c r="FG129" s="43">
        <v>5.6387309988317504</v>
      </c>
      <c r="FH129" s="43">
        <v>932.336273732633</v>
      </c>
      <c r="FI129" s="43">
        <v>14141.676324885</v>
      </c>
      <c r="FJ129" s="43">
        <v>7.2081648718603999</v>
      </c>
      <c r="FK129" s="43">
        <v>19.361894906304499</v>
      </c>
      <c r="FL129" s="43">
        <v>1.115488</v>
      </c>
      <c r="FM129" s="43">
        <v>1.139572</v>
      </c>
    </row>
    <row r="130" spans="1:169" x14ac:dyDescent="0.25">
      <c r="A130" s="43" t="s">
        <v>357</v>
      </c>
      <c r="B130" s="43">
        <v>27919.759999999998</v>
      </c>
      <c r="C130" s="43">
        <v>19383.189999999999</v>
      </c>
      <c r="D130" s="43">
        <v>4.065645</v>
      </c>
      <c r="E130" s="43">
        <v>3.413205</v>
      </c>
      <c r="F130" s="43">
        <v>3.1251410000000002</v>
      </c>
      <c r="G130" s="43">
        <v>4.2819690000000001</v>
      </c>
      <c r="H130" s="43">
        <v>1.2732399999999999</v>
      </c>
      <c r="I130" s="43">
        <v>1.2190559999999999</v>
      </c>
      <c r="J130" s="43">
        <v>1.2168220000000001</v>
      </c>
      <c r="K130" s="43">
        <v>1.16127</v>
      </c>
      <c r="L130" s="43">
        <v>3.2057899999999999</v>
      </c>
      <c r="M130" s="43">
        <v>83.291300000000007</v>
      </c>
      <c r="N130" s="43">
        <v>88.935576428468096</v>
      </c>
      <c r="O130" s="43">
        <v>2.79859204061998</v>
      </c>
      <c r="P130" s="43">
        <v>1.1294029999999999</v>
      </c>
      <c r="Q130" s="43">
        <v>-487.07819999999998</v>
      </c>
      <c r="R130" s="43">
        <v>6.4132049999999996</v>
      </c>
      <c r="S130" s="43">
        <v>3995.0369999999998</v>
      </c>
      <c r="T130" s="43">
        <v>3.035237</v>
      </c>
      <c r="U130" s="43">
        <v>4.2744030000000004</v>
      </c>
      <c r="V130" s="43">
        <v>3436.2</v>
      </c>
      <c r="W130" s="43">
        <v>2.2271030000000001</v>
      </c>
      <c r="X130" s="43">
        <v>25294.11</v>
      </c>
      <c r="Y130" s="43">
        <v>1.349124</v>
      </c>
      <c r="Z130" s="43">
        <v>0.95343599999999995</v>
      </c>
      <c r="AA130" s="43">
        <v>1.4358679999999999</v>
      </c>
      <c r="AB130" s="43">
        <v>1.175505</v>
      </c>
      <c r="AC130" s="43">
        <v>81.269649999999999</v>
      </c>
      <c r="AD130" s="43">
        <v>1.5701830000000001</v>
      </c>
      <c r="AE130" s="43">
        <v>2.025512</v>
      </c>
      <c r="AF130" s="43">
        <v>2.077871</v>
      </c>
      <c r="AG130" s="43">
        <v>365.05950000000001</v>
      </c>
      <c r="AH130" s="43">
        <v>220.10489999999999</v>
      </c>
      <c r="AI130" s="43">
        <v>3.34152</v>
      </c>
      <c r="AJ130" s="43">
        <v>3.2967563296196101</v>
      </c>
      <c r="AK130" s="43">
        <f t="shared" si="4"/>
        <v>43592.897898340096</v>
      </c>
      <c r="AL130" s="47">
        <v>3.4390894344076273E-3</v>
      </c>
      <c r="AM130" s="43">
        <v>2.3746796710755702</v>
      </c>
      <c r="AN130" s="43">
        <v>0.71190852261343895</v>
      </c>
      <c r="AO130" s="43">
        <v>3.2070549868412401</v>
      </c>
      <c r="AP130" s="43">
        <v>2.69952192914957</v>
      </c>
      <c r="AQ130" s="43">
        <v>5.21295577792554</v>
      </c>
      <c r="AR130" s="43">
        <v>3.0394063993118698</v>
      </c>
      <c r="AS130" s="43">
        <v>2.5330641512157102</v>
      </c>
      <c r="AT130" s="43">
        <v>2.4573759811176101</v>
      </c>
      <c r="AU130" s="43">
        <v>3.3497001083816298</v>
      </c>
      <c r="AV130" s="43">
        <v>2827.444</v>
      </c>
      <c r="AW130" s="43">
        <v>1663.98</v>
      </c>
      <c r="AX130" s="43">
        <v>1.346625</v>
      </c>
      <c r="AY130" s="43">
        <v>2.023444</v>
      </c>
      <c r="AZ130" s="43">
        <v>212.6705</v>
      </c>
      <c r="BA130" s="43">
        <v>0.77847239999999995</v>
      </c>
      <c r="BB130" s="43">
        <v>196.0307</v>
      </c>
      <c r="BC130" s="43">
        <v>40.005249999999997</v>
      </c>
      <c r="BD130" s="43">
        <v>5.6</v>
      </c>
      <c r="BE130" s="43">
        <v>1.5273589999999999</v>
      </c>
      <c r="BF130" s="43">
        <v>2.5924230000000001</v>
      </c>
      <c r="BG130" s="43">
        <v>2.9293300000000002</v>
      </c>
      <c r="BH130" s="43">
        <v>2.3489949999999999</v>
      </c>
      <c r="BI130" s="43">
        <v>1.6882360000000001</v>
      </c>
      <c r="BJ130" s="43">
        <v>1.613588</v>
      </c>
      <c r="BK130" s="43">
        <v>104.3963</v>
      </c>
      <c r="BL130" s="43">
        <v>106.9933</v>
      </c>
      <c r="BM130" s="43">
        <v>1.4320619999999999</v>
      </c>
      <c r="BN130" s="43">
        <v>1.464469</v>
      </c>
      <c r="BO130" s="43">
        <v>44.73601</v>
      </c>
      <c r="BP130" s="43">
        <v>1.2845670923653401</v>
      </c>
      <c r="BQ130" s="43">
        <v>4346.375</v>
      </c>
      <c r="BR130" s="43">
        <v>716.70530192002605</v>
      </c>
      <c r="BS130" s="43">
        <v>14559.22</v>
      </c>
      <c r="BT130" s="43">
        <v>7604.9470000000001</v>
      </c>
      <c r="BU130" s="43">
        <v>1.2335100000000001</v>
      </c>
      <c r="BV130" s="43">
        <v>1.5539970000000001</v>
      </c>
      <c r="BW130" s="43">
        <v>1.6551720000000001</v>
      </c>
      <c r="BX130" s="43">
        <v>1.183575</v>
      </c>
      <c r="BY130" s="43">
        <v>2.0694979999999998</v>
      </c>
      <c r="BZ130" s="43">
        <v>2.2717939999999999</v>
      </c>
      <c r="CA130" s="43">
        <v>2.0902069999999999</v>
      </c>
      <c r="CB130" s="43">
        <v>0.73793819999999999</v>
      </c>
      <c r="CC130" s="43">
        <v>8.2045912939653096</v>
      </c>
      <c r="CD130" s="43">
        <v>1.134504</v>
      </c>
      <c r="CE130" s="43">
        <v>1.206162</v>
      </c>
      <c r="CF130" s="43">
        <v>1.3346849999999999</v>
      </c>
      <c r="CG130" s="43">
        <v>1.173214</v>
      </c>
      <c r="CH130" s="43">
        <v>1.11956691774808</v>
      </c>
      <c r="CI130" s="43">
        <v>1.19107568357677</v>
      </c>
      <c r="CJ130" s="43">
        <v>1.2287700944481501</v>
      </c>
      <c r="CK130" s="43">
        <v>1.17362685159262</v>
      </c>
      <c r="CL130" s="43">
        <v>1.556681</v>
      </c>
      <c r="CM130" s="43">
        <v>1.3688610000000001</v>
      </c>
      <c r="CN130" s="43">
        <v>1.600633</v>
      </c>
      <c r="CO130" s="43">
        <v>1.9772400000000001</v>
      </c>
      <c r="CP130" s="43">
        <v>0.84489792255523499</v>
      </c>
      <c r="CQ130" s="43">
        <v>1.3079890000000001</v>
      </c>
      <c r="CR130" s="43">
        <v>0.67638493333285699</v>
      </c>
      <c r="CS130" s="43">
        <v>75.141483765665001</v>
      </c>
      <c r="CT130" s="43">
        <v>100.448237255474</v>
      </c>
      <c r="CU130" s="43">
        <v>17.7907292187985</v>
      </c>
      <c r="CV130" s="43">
        <v>21.056661099359498</v>
      </c>
      <c r="CW130" s="43">
        <v>1.509781</v>
      </c>
      <c r="CX130" s="43">
        <v>1.457225</v>
      </c>
      <c r="CY130" s="43">
        <v>1.406409</v>
      </c>
      <c r="CZ130" s="43">
        <v>1.4515480160043599</v>
      </c>
      <c r="DA130" s="43">
        <v>1.2757955720393499</v>
      </c>
      <c r="DB130" s="43">
        <v>2.7567184628918602</v>
      </c>
      <c r="DC130" s="43">
        <v>0.99465885266246901</v>
      </c>
      <c r="DD130" s="43">
        <v>1.4216964253029301</v>
      </c>
      <c r="DE130" s="43">
        <v>1.9945520519969999</v>
      </c>
      <c r="DF130" s="43">
        <v>1.52913030422527</v>
      </c>
      <c r="DG130" s="43">
        <v>1.64954602615046</v>
      </c>
      <c r="DH130" s="43">
        <v>1.2875960828962201</v>
      </c>
      <c r="DI130" s="43">
        <v>2.5555608527860501</v>
      </c>
      <c r="DJ130" s="43">
        <v>1.19755699310066</v>
      </c>
      <c r="DK130" s="43">
        <v>2.0601639999999999</v>
      </c>
      <c r="DL130" s="43">
        <v>2.3124289999999998</v>
      </c>
      <c r="DM130" s="43">
        <v>2.5343079999999998</v>
      </c>
      <c r="DN130" s="43">
        <v>1.8030925981133501</v>
      </c>
      <c r="DO130" s="43">
        <v>2.7640500000000001</v>
      </c>
      <c r="DP130" s="43">
        <v>1.9157569999999999</v>
      </c>
      <c r="DQ130" s="43">
        <v>1.4425300000000001</v>
      </c>
      <c r="DR130" s="43">
        <v>2.3020770000000002</v>
      </c>
      <c r="DS130" s="43">
        <v>0.95901890000000001</v>
      </c>
      <c r="DT130" s="43">
        <v>1.5652617770480399</v>
      </c>
      <c r="DU130" s="43">
        <v>645.07719999999995</v>
      </c>
      <c r="DV130" s="43">
        <v>335.41039999999998</v>
      </c>
      <c r="DW130" s="43">
        <v>119.4735</v>
      </c>
      <c r="DX130" s="43">
        <v>1.1605430000000001</v>
      </c>
      <c r="DY130" s="43">
        <v>1.311877</v>
      </c>
      <c r="DZ130" s="43">
        <v>1.089996</v>
      </c>
      <c r="EA130" s="43">
        <v>912.80359999999996</v>
      </c>
      <c r="EB130" s="43">
        <v>123.794504354232</v>
      </c>
      <c r="EC130" s="43">
        <v>1.4661838456777601</v>
      </c>
      <c r="ED130" s="43">
        <v>1.5608496756240999</v>
      </c>
      <c r="EE130" s="43">
        <v>1.5369677028019499</v>
      </c>
      <c r="EF130" s="43">
        <v>1.85687252400625</v>
      </c>
      <c r="EG130" s="43">
        <v>1.64625026806633</v>
      </c>
      <c r="EH130" s="43">
        <v>0.72618901258805402</v>
      </c>
      <c r="EI130" s="43">
        <v>0.29997221277638397</v>
      </c>
      <c r="EJ130" s="43">
        <v>34.361569845611101</v>
      </c>
      <c r="EK130" s="43">
        <v>19.498193830464899</v>
      </c>
      <c r="EL130" s="43">
        <v>0.85879728775368402</v>
      </c>
      <c r="EM130" s="43">
        <v>2562.9221953599299</v>
      </c>
      <c r="EN130" s="43">
        <v>638.14691795896795</v>
      </c>
      <c r="EO130" s="43">
        <v>94840.012312680599</v>
      </c>
      <c r="EP130" s="43">
        <v>64296.644559988003</v>
      </c>
      <c r="EQ130" s="43">
        <v>4573.8871998585801</v>
      </c>
      <c r="ER130" s="43">
        <v>2.15248190167901</v>
      </c>
      <c r="ES130" s="43">
        <v>2.2993732694454398</v>
      </c>
      <c r="ET130" s="43">
        <v>2.1224334087148899</v>
      </c>
      <c r="EU130" s="43">
        <v>2.4939110000000002</v>
      </c>
      <c r="EV130" s="43">
        <v>2.1111140000000002</v>
      </c>
      <c r="EW130" s="43">
        <v>3.1355629999999999</v>
      </c>
      <c r="EX130" s="43">
        <v>2.4925190000000002</v>
      </c>
      <c r="EY130" s="43">
        <v>2.110576</v>
      </c>
      <c r="EZ130" s="43">
        <v>3.1341760000000001</v>
      </c>
      <c r="FA130" s="43">
        <v>19.078558657515</v>
      </c>
      <c r="FB130" s="43">
        <v>18.689277611612599</v>
      </c>
      <c r="FC130" s="43">
        <v>80.953584946672095</v>
      </c>
      <c r="FD130" s="43">
        <v>17692.8223468414</v>
      </c>
      <c r="FE130" s="43">
        <v>201799.7</v>
      </c>
      <c r="FF130" s="43">
        <v>1.6547812500000001</v>
      </c>
      <c r="FG130" s="43">
        <v>5.6612859171883398</v>
      </c>
      <c r="FH130" s="43">
        <v>932.33630929843901</v>
      </c>
      <c r="FI130" s="43">
        <v>14106.3221340728</v>
      </c>
      <c r="FJ130" s="43">
        <v>7.1865403772448104</v>
      </c>
      <c r="FK130" s="43">
        <v>19.4199805910234</v>
      </c>
      <c r="FL130" s="43">
        <v>1.1147469999999999</v>
      </c>
      <c r="FM130" s="43">
        <v>1.1405959999999999</v>
      </c>
    </row>
    <row r="131" spans="1:169" x14ac:dyDescent="0.25">
      <c r="A131" s="43" t="s">
        <v>358</v>
      </c>
      <c r="B131" s="43">
        <v>28048.69</v>
      </c>
      <c r="C131" s="43">
        <v>19465.05</v>
      </c>
      <c r="D131" s="43">
        <v>4.0727409999999997</v>
      </c>
      <c r="E131" s="43">
        <v>3.413205</v>
      </c>
      <c r="F131" s="43">
        <v>3.1115629999999999</v>
      </c>
      <c r="G131" s="43">
        <v>4.2482810000000004</v>
      </c>
      <c r="H131" s="43">
        <v>1.2806820000000001</v>
      </c>
      <c r="I131" s="43">
        <v>1.2252540000000001</v>
      </c>
      <c r="J131" s="43">
        <v>1.22255</v>
      </c>
      <c r="K131" s="43">
        <v>1.1643460000000001</v>
      </c>
      <c r="L131" s="43">
        <v>3.2104140000000001</v>
      </c>
      <c r="M131" s="43">
        <v>83.634249999999994</v>
      </c>
      <c r="N131" s="43">
        <v>89.301764737524707</v>
      </c>
      <c r="O131" s="43">
        <v>2.8096101195200598</v>
      </c>
      <c r="P131" s="43">
        <v>1.1027720000000001</v>
      </c>
      <c r="Q131" s="43">
        <v>-481.66269999999997</v>
      </c>
      <c r="R131" s="43">
        <v>6.4132049999999996</v>
      </c>
      <c r="S131" s="43">
        <v>4007.9169999999999</v>
      </c>
      <c r="T131" s="43">
        <v>3.0364010000000001</v>
      </c>
      <c r="U131" s="43">
        <v>4.2720580000000004</v>
      </c>
      <c r="V131" s="43">
        <v>3456.92</v>
      </c>
      <c r="W131" s="43">
        <v>2.2320120000000001</v>
      </c>
      <c r="X131" s="43">
        <v>25266.76</v>
      </c>
      <c r="Y131" s="43">
        <v>1.3500179999999999</v>
      </c>
      <c r="Z131" s="43">
        <v>0.95870860000000002</v>
      </c>
      <c r="AA131" s="43">
        <v>1.43845</v>
      </c>
      <c r="AB131" s="43">
        <v>1.176933</v>
      </c>
      <c r="AC131" s="43">
        <v>81.605189999999993</v>
      </c>
      <c r="AD131" s="43">
        <v>1.5728819999999999</v>
      </c>
      <c r="AE131" s="43">
        <v>2.0305110000000002</v>
      </c>
      <c r="AF131" s="43">
        <v>2.082516</v>
      </c>
      <c r="AG131" s="43">
        <v>365.61500000000001</v>
      </c>
      <c r="AH131" s="43">
        <v>219.99160000000001</v>
      </c>
      <c r="AI131" s="43">
        <v>3.3462830000000001</v>
      </c>
      <c r="AJ131" s="43">
        <v>3.3016586124132701</v>
      </c>
      <c r="AK131" s="43">
        <f t="shared" si="4"/>
        <v>43869.465657024804</v>
      </c>
      <c r="AL131" s="47">
        <v>6.3443306597710247E-3</v>
      </c>
      <c r="AM131" s="43">
        <v>2.3661491340968599</v>
      </c>
      <c r="AN131" s="43">
        <v>0.70895380785094697</v>
      </c>
      <c r="AO131" s="43">
        <v>3.2101584854819998</v>
      </c>
      <c r="AP131" s="43">
        <v>2.71284925156978</v>
      </c>
      <c r="AQ131" s="43">
        <v>5.2218174881003296</v>
      </c>
      <c r="AR131" s="43">
        <v>3.0418074523770402</v>
      </c>
      <c r="AS131" s="43">
        <v>2.53809452053153</v>
      </c>
      <c r="AT131" s="43">
        <v>2.4621664078894998</v>
      </c>
      <c r="AU131" s="43">
        <v>3.3532611269549899</v>
      </c>
      <c r="AV131" s="43">
        <v>2843.5630000000001</v>
      </c>
      <c r="AW131" s="43">
        <v>1674.249</v>
      </c>
      <c r="AX131" s="43">
        <v>1.3554600000000001</v>
      </c>
      <c r="AY131" s="43">
        <v>2.0266679999999999</v>
      </c>
      <c r="AZ131" s="43">
        <v>213.89619999999999</v>
      </c>
      <c r="BA131" s="43">
        <v>0.77925089999999997</v>
      </c>
      <c r="BB131" s="43">
        <v>195.8621</v>
      </c>
      <c r="BC131" s="43">
        <v>40.116909999999997</v>
      </c>
      <c r="BD131" s="43">
        <v>5.5</v>
      </c>
      <c r="BE131" s="43">
        <v>1.5286580000000001</v>
      </c>
      <c r="BF131" s="43">
        <v>2.5923609999999999</v>
      </c>
      <c r="BG131" s="43">
        <v>2.9300890000000002</v>
      </c>
      <c r="BH131" s="43">
        <v>2.3331119999999999</v>
      </c>
      <c r="BI131" s="43">
        <v>1.690625</v>
      </c>
      <c r="BJ131" s="43">
        <v>1.6163149999999999</v>
      </c>
      <c r="BK131" s="43">
        <v>104.7226</v>
      </c>
      <c r="BL131" s="43">
        <v>107.3265</v>
      </c>
      <c r="BM131" s="43">
        <v>1.4440740000000001</v>
      </c>
      <c r="BN131" s="43">
        <v>1.4715800000000001</v>
      </c>
      <c r="BO131" s="43">
        <v>44.854559999999999</v>
      </c>
      <c r="BP131" s="43">
        <v>1.2832837692535799</v>
      </c>
      <c r="BQ131" s="43">
        <v>4371.1109999999999</v>
      </c>
      <c r="BR131" s="43">
        <v>716.499154282826</v>
      </c>
      <c r="BS131" s="43">
        <v>14596.21</v>
      </c>
      <c r="BT131" s="43">
        <v>7643.2839999999997</v>
      </c>
      <c r="BU131" s="43">
        <v>1.2305740000000001</v>
      </c>
      <c r="BV131" s="43">
        <v>1.5510360000000001</v>
      </c>
      <c r="BW131" s="43">
        <v>1.6451720000000001</v>
      </c>
      <c r="BX131" s="43">
        <v>1.1859420000000001</v>
      </c>
      <c r="BY131" s="43">
        <v>2.0730759999999999</v>
      </c>
      <c r="BZ131" s="43">
        <v>2.272316</v>
      </c>
      <c r="CA131" s="43">
        <v>2.098598</v>
      </c>
      <c r="CB131" s="43">
        <v>0.73646239999999996</v>
      </c>
      <c r="CC131" s="43">
        <v>8.1724189524287993</v>
      </c>
      <c r="CD131" s="43">
        <v>1.1317539999999999</v>
      </c>
      <c r="CE131" s="43">
        <v>1.203308</v>
      </c>
      <c r="CF131" s="43">
        <v>1.3314109999999999</v>
      </c>
      <c r="CG131" s="43">
        <v>1.1707129999999999</v>
      </c>
      <c r="CH131" s="43">
        <v>1.11934908922084</v>
      </c>
      <c r="CI131" s="43">
        <v>1.19083353944228</v>
      </c>
      <c r="CJ131" s="43">
        <v>1.2276217572019399</v>
      </c>
      <c r="CK131" s="43">
        <v>1.17307183633907</v>
      </c>
      <c r="CL131" s="43">
        <v>1.553712</v>
      </c>
      <c r="CM131" s="43">
        <v>1.370992</v>
      </c>
      <c r="CN131" s="43">
        <v>1.597572</v>
      </c>
      <c r="CO131" s="43">
        <v>1.962226</v>
      </c>
      <c r="CP131" s="43">
        <v>0.84321149955612296</v>
      </c>
      <c r="CQ131" s="43">
        <v>1.309304</v>
      </c>
      <c r="CR131" s="43">
        <v>0.67639322584606598</v>
      </c>
      <c r="CS131" s="43">
        <v>75.300274957336299</v>
      </c>
      <c r="CT131" s="43">
        <v>100.347789018219</v>
      </c>
      <c r="CU131" s="43">
        <v>17.719708343673499</v>
      </c>
      <c r="CV131" s="43">
        <v>21.0145477771608</v>
      </c>
      <c r="CW131" s="43">
        <v>1.5019979999999999</v>
      </c>
      <c r="CX131" s="43">
        <v>1.450159</v>
      </c>
      <c r="CY131" s="43">
        <v>1.400541</v>
      </c>
      <c r="CZ131" s="43">
        <v>1.4445516620857799</v>
      </c>
      <c r="DA131" s="43">
        <v>1.27140389603832</v>
      </c>
      <c r="DB131" s="43">
        <v>2.7443298806398202</v>
      </c>
      <c r="DC131" s="43">
        <v>0.99536961217143005</v>
      </c>
      <c r="DD131" s="43">
        <v>1.4159594744816399</v>
      </c>
      <c r="DE131" s="43">
        <v>1.98309230940135</v>
      </c>
      <c r="DF131" s="43">
        <v>1.5264636143668899</v>
      </c>
      <c r="DG131" s="43">
        <v>1.64321865425196</v>
      </c>
      <c r="DH131" s="43">
        <v>1.2821374974706601</v>
      </c>
      <c r="DI131" s="43">
        <v>2.54063677115994</v>
      </c>
      <c r="DJ131" s="43">
        <v>1.2016118181719</v>
      </c>
      <c r="DK131" s="43">
        <v>2.0560420000000001</v>
      </c>
      <c r="DL131" s="43">
        <v>2.2923819999999999</v>
      </c>
      <c r="DM131" s="43">
        <v>2.5110670000000002</v>
      </c>
      <c r="DN131" s="43">
        <v>1.7906630039570199</v>
      </c>
      <c r="DO131" s="43">
        <v>2.7358709999999999</v>
      </c>
      <c r="DP131" s="43">
        <v>1.901384</v>
      </c>
      <c r="DQ131" s="43">
        <v>1.4373119999999999</v>
      </c>
      <c r="DR131" s="43">
        <v>2.2811210000000002</v>
      </c>
      <c r="DS131" s="43">
        <v>0.95706959999999996</v>
      </c>
      <c r="DT131" s="43">
        <v>1.5562886493346699</v>
      </c>
      <c r="DU131" s="43">
        <v>646.30280000000005</v>
      </c>
      <c r="DV131" s="43">
        <v>335.86279999999999</v>
      </c>
      <c r="DW131" s="43">
        <v>119.411</v>
      </c>
      <c r="DX131" s="43">
        <v>1.159702</v>
      </c>
      <c r="DY131" s="43">
        <v>1.311269</v>
      </c>
      <c r="DZ131" s="43">
        <v>1.089326</v>
      </c>
      <c r="EA131" s="43">
        <v>917.09910000000002</v>
      </c>
      <c r="EB131" s="43">
        <v>123.546915345524</v>
      </c>
      <c r="EC131" s="43">
        <v>1.45732589553404</v>
      </c>
      <c r="ED131" s="43">
        <v>1.5504768144619701</v>
      </c>
      <c r="EE131" s="43">
        <v>1.5272691470692099</v>
      </c>
      <c r="EF131" s="43">
        <v>1.84338585125569</v>
      </c>
      <c r="EG131" s="43">
        <v>1.6357019017106</v>
      </c>
      <c r="EH131" s="43">
        <v>0.72680682046279199</v>
      </c>
      <c r="EI131" s="43">
        <v>0.30022741519895302</v>
      </c>
      <c r="EJ131" s="43">
        <v>34.390803072871499</v>
      </c>
      <c r="EK131" s="43">
        <v>19.514781987931901</v>
      </c>
      <c r="EL131" s="43">
        <v>0.85952791258823902</v>
      </c>
      <c r="EM131" s="43">
        <v>2573.5037818655501</v>
      </c>
      <c r="EN131" s="43">
        <v>640.78164749851396</v>
      </c>
      <c r="EO131" s="43">
        <v>95231.580108338603</v>
      </c>
      <c r="EP131" s="43">
        <v>64562.107361654002</v>
      </c>
      <c r="EQ131" s="43">
        <v>4592.7714965258201</v>
      </c>
      <c r="ER131" s="43">
        <v>2.1394776816239802</v>
      </c>
      <c r="ES131" s="43">
        <v>2.2854816051479601</v>
      </c>
      <c r="ET131" s="43">
        <v>2.1096107266391102</v>
      </c>
      <c r="EU131" s="43">
        <v>2.5007480000000002</v>
      </c>
      <c r="EV131" s="43">
        <v>2.1139579999999998</v>
      </c>
      <c r="EW131" s="43">
        <v>3.1439870000000001</v>
      </c>
      <c r="EX131" s="43">
        <v>2.5004</v>
      </c>
      <c r="EY131" s="43">
        <v>2.1143130000000001</v>
      </c>
      <c r="EZ131" s="43">
        <v>3.1447929999999999</v>
      </c>
      <c r="FA131" s="43">
        <v>19.131067826365499</v>
      </c>
      <c r="FB131" s="43">
        <v>18.740488033146999</v>
      </c>
      <c r="FC131" s="43">
        <v>81.209564161004096</v>
      </c>
      <c r="FD131" s="43">
        <v>17724.153959566102</v>
      </c>
      <c r="FE131" s="43">
        <v>202483.3</v>
      </c>
      <c r="FF131" s="43">
        <v>1.66196875</v>
      </c>
      <c r="FG131" s="43">
        <v>5.6839313892116703</v>
      </c>
      <c r="FH131" s="43">
        <v>932.33634486424705</v>
      </c>
      <c r="FI131" s="43">
        <v>14071.056328737601</v>
      </c>
      <c r="FJ131" s="43">
        <v>7.1649807561130796</v>
      </c>
      <c r="FK131" s="43">
        <v>19.478240532796399</v>
      </c>
      <c r="FL131" s="43">
        <v>1.113378</v>
      </c>
      <c r="FM131" s="43">
        <v>1.1433329999999999</v>
      </c>
    </row>
    <row r="132" spans="1:169" x14ac:dyDescent="0.25">
      <c r="A132" s="43" t="s">
        <v>359</v>
      </c>
      <c r="B132" s="43">
        <v>28171.3</v>
      </c>
      <c r="C132" s="43">
        <v>19567.73</v>
      </c>
      <c r="D132" s="43">
        <v>4.0860339999999997</v>
      </c>
      <c r="E132" s="43">
        <v>3.413205</v>
      </c>
      <c r="F132" s="43">
        <v>3.0986470000000002</v>
      </c>
      <c r="G132" s="43">
        <v>4.2256919999999996</v>
      </c>
      <c r="H132" s="43">
        <v>1.287625</v>
      </c>
      <c r="I132" s="43">
        <v>1.2308749999999999</v>
      </c>
      <c r="J132" s="43">
        <v>1.227779</v>
      </c>
      <c r="K132" s="43">
        <v>1.167702</v>
      </c>
      <c r="L132" s="43">
        <v>3.2195930000000001</v>
      </c>
      <c r="M132" s="43">
        <v>83.977199999999996</v>
      </c>
      <c r="N132" s="43">
        <v>89.667953046580493</v>
      </c>
      <c r="O132" s="43">
        <v>2.8261372378701801</v>
      </c>
      <c r="P132" s="43">
        <v>1.091685</v>
      </c>
      <c r="Q132" s="43">
        <v>-474.71710000000002</v>
      </c>
      <c r="R132" s="43">
        <v>6.4132049999999996</v>
      </c>
      <c r="S132" s="43">
        <v>4024.11</v>
      </c>
      <c r="T132" s="43">
        <v>3.0375070000000002</v>
      </c>
      <c r="U132" s="43">
        <v>4.2698299999999998</v>
      </c>
      <c r="V132" s="43">
        <v>3475.2820000000002</v>
      </c>
      <c r="W132" s="43">
        <v>2.2403689999999998</v>
      </c>
      <c r="X132" s="43">
        <v>25354.59</v>
      </c>
      <c r="Y132" s="43">
        <v>1.350911</v>
      </c>
      <c r="Z132" s="43">
        <v>0.9635262</v>
      </c>
      <c r="AA132" s="43">
        <v>1.440634</v>
      </c>
      <c r="AB132" s="43">
        <v>1.1805270000000001</v>
      </c>
      <c r="AC132" s="43">
        <v>81.940730000000002</v>
      </c>
      <c r="AD132" s="43">
        <v>1.577474</v>
      </c>
      <c r="AE132" s="43">
        <v>2.0386890000000002</v>
      </c>
      <c r="AF132" s="43">
        <v>2.0911740000000001</v>
      </c>
      <c r="AG132" s="43">
        <v>366.1712</v>
      </c>
      <c r="AH132" s="43">
        <v>220.93360000000001</v>
      </c>
      <c r="AI132" s="43">
        <v>3.3560490000000001</v>
      </c>
      <c r="AJ132" s="43">
        <v>3.3114183158535102</v>
      </c>
      <c r="AK132" s="43">
        <f t="shared" si="4"/>
        <v>44189.86582071014</v>
      </c>
      <c r="AL132" s="47">
        <v>7.303489087153503E-3</v>
      </c>
      <c r="AM132" s="43">
        <v>2.35790197012992</v>
      </c>
      <c r="AN132" s="43">
        <v>0.70789054439049104</v>
      </c>
      <c r="AO132" s="43">
        <v>3.21679146056732</v>
      </c>
      <c r="AP132" s="43">
        <v>2.72584028920524</v>
      </c>
      <c r="AQ132" s="43">
        <v>5.2397521060630599</v>
      </c>
      <c r="AR132" s="43">
        <v>3.0485188747587202</v>
      </c>
      <c r="AS132" s="43">
        <v>2.5456196309538899</v>
      </c>
      <c r="AT132" s="43">
        <v>2.4690637359970302</v>
      </c>
      <c r="AU132" s="43">
        <v>3.3620843480286999</v>
      </c>
      <c r="AV132" s="43">
        <v>2857.6759999999999</v>
      </c>
      <c r="AW132" s="43">
        <v>1684.3620000000001</v>
      </c>
      <c r="AX132" s="43">
        <v>1.362338</v>
      </c>
      <c r="AY132" s="43">
        <v>2.0328050000000002</v>
      </c>
      <c r="AZ132" s="43">
        <v>214.3288</v>
      </c>
      <c r="BA132" s="43">
        <v>0.77925089999999997</v>
      </c>
      <c r="BB132" s="43">
        <v>196.3366</v>
      </c>
      <c r="BC132" s="43">
        <v>40.262520000000002</v>
      </c>
      <c r="BD132" s="43">
        <v>5.5</v>
      </c>
      <c r="BE132" s="43">
        <v>1.5324340000000001</v>
      </c>
      <c r="BF132" s="43">
        <v>2.5913520000000001</v>
      </c>
      <c r="BG132" s="43">
        <v>2.929322</v>
      </c>
      <c r="BH132" s="43">
        <v>2.317456</v>
      </c>
      <c r="BI132" s="43">
        <v>1.6953180000000001</v>
      </c>
      <c r="BJ132" s="43">
        <v>1.6211720000000001</v>
      </c>
      <c r="BK132" s="43">
        <v>105.1532</v>
      </c>
      <c r="BL132" s="43">
        <v>107.7666</v>
      </c>
      <c r="BM132" s="43">
        <v>1.454734</v>
      </c>
      <c r="BN132" s="43">
        <v>1.477579</v>
      </c>
      <c r="BO132" s="43">
        <v>44.97343</v>
      </c>
      <c r="BP132" s="43">
        <v>1.2832837692535799</v>
      </c>
      <c r="BQ132" s="43">
        <v>4398.2529999999997</v>
      </c>
      <c r="BR132" s="43">
        <v>718.00436307052996</v>
      </c>
      <c r="BS132" s="43">
        <v>14654.59</v>
      </c>
      <c r="BT132" s="43">
        <v>7670.7749999999996</v>
      </c>
      <c r="BU132" s="43">
        <v>1.235525</v>
      </c>
      <c r="BV132" s="43">
        <v>1.5549040000000001</v>
      </c>
      <c r="BW132" s="43">
        <v>1.6474519999999999</v>
      </c>
      <c r="BX132" s="43">
        <v>1.1883140000000001</v>
      </c>
      <c r="BY132" s="43">
        <v>2.0766960000000001</v>
      </c>
      <c r="BZ132" s="43">
        <v>2.272958</v>
      </c>
      <c r="CA132" s="43">
        <v>2.1067459999999998</v>
      </c>
      <c r="CB132" s="43">
        <v>0.73498929999999996</v>
      </c>
      <c r="CC132" s="43">
        <v>8.1403727670313106</v>
      </c>
      <c r="CD132" s="43">
        <v>1.1369659999999999</v>
      </c>
      <c r="CE132" s="43">
        <v>1.208407</v>
      </c>
      <c r="CF132" s="43">
        <v>1.337958</v>
      </c>
      <c r="CG132" s="43">
        <v>1.1740409999999999</v>
      </c>
      <c r="CH132" s="43">
        <v>1.1217589989087999</v>
      </c>
      <c r="CI132" s="43">
        <v>1.1944167048415</v>
      </c>
      <c r="CJ132" s="43">
        <v>1.23185623572526</v>
      </c>
      <c r="CK132" s="43">
        <v>1.1763124492118999</v>
      </c>
      <c r="CL132" s="43">
        <v>1.55759</v>
      </c>
      <c r="CM132" s="43">
        <v>1.373437</v>
      </c>
      <c r="CN132" s="43">
        <v>1.602711</v>
      </c>
      <c r="CO132" s="43">
        <v>1.965649</v>
      </c>
      <c r="CP132" s="43">
        <v>0.84152844267078097</v>
      </c>
      <c r="CQ132" s="43">
        <v>1.313658</v>
      </c>
      <c r="CR132" s="43">
        <v>0.67640569599307598</v>
      </c>
      <c r="CS132" s="43">
        <v>75.458132884765604</v>
      </c>
      <c r="CT132" s="43">
        <v>99.745702284109299</v>
      </c>
      <c r="CU132" s="43">
        <v>17.728765235960498</v>
      </c>
      <c r="CV132" s="43">
        <v>21.067339304295299</v>
      </c>
      <c r="CW132" s="43">
        <v>1.5037720000000001</v>
      </c>
      <c r="CX132" s="43">
        <v>1.45177</v>
      </c>
      <c r="CY132" s="43">
        <v>1.401869</v>
      </c>
      <c r="CZ132" s="43">
        <v>1.4459324986567501</v>
      </c>
      <c r="DA132" s="43">
        <v>1.2723763824618</v>
      </c>
      <c r="DB132" s="43">
        <v>2.745453364496</v>
      </c>
      <c r="DC132" s="43">
        <v>0.995829852787534</v>
      </c>
      <c r="DD132" s="43">
        <v>1.41900974941698</v>
      </c>
      <c r="DE132" s="43">
        <v>1.9881180461997401</v>
      </c>
      <c r="DF132" s="43">
        <v>1.5301401779882</v>
      </c>
      <c r="DG132" s="43">
        <v>1.6462189451048901</v>
      </c>
      <c r="DH132" s="43">
        <v>1.28327326947944</v>
      </c>
      <c r="DI132" s="43">
        <v>2.5492611987851101</v>
      </c>
      <c r="DJ132" s="43">
        <v>1.2032671918142099</v>
      </c>
      <c r="DK132" s="43">
        <v>2.0639259999999999</v>
      </c>
      <c r="DL132" s="43">
        <v>2.2967960000000001</v>
      </c>
      <c r="DM132" s="43">
        <v>2.516229</v>
      </c>
      <c r="DN132" s="43">
        <v>1.79340685304369</v>
      </c>
      <c r="DO132" s="43">
        <v>2.7424620000000002</v>
      </c>
      <c r="DP132" s="43">
        <v>1.9047909999999999</v>
      </c>
      <c r="DQ132" s="43">
        <v>1.4387490000000001</v>
      </c>
      <c r="DR132" s="43">
        <v>2.285406</v>
      </c>
      <c r="DS132" s="43">
        <v>0.95781479999999997</v>
      </c>
      <c r="DT132" s="43">
        <v>1.5583752962042201</v>
      </c>
      <c r="DU132" s="43">
        <v>648.82339999999999</v>
      </c>
      <c r="DV132" s="43">
        <v>336.85160000000002</v>
      </c>
      <c r="DW132" s="43">
        <v>119.97929999999999</v>
      </c>
      <c r="DX132" s="43">
        <v>1.160609</v>
      </c>
      <c r="DY132" s="43">
        <v>1.312729</v>
      </c>
      <c r="DZ132" s="43">
        <v>1.0893440000000001</v>
      </c>
      <c r="EA132" s="43">
        <v>921.28769999999997</v>
      </c>
      <c r="EB132" s="43">
        <v>123.794009176215</v>
      </c>
      <c r="EC132" s="43">
        <v>1.4593451992153601</v>
      </c>
      <c r="ED132" s="43">
        <v>1.55284002773069</v>
      </c>
      <c r="EE132" s="43">
        <v>1.5294808477414299</v>
      </c>
      <c r="EF132" s="43">
        <v>1.8464496653881901</v>
      </c>
      <c r="EG132" s="43">
        <v>1.63810405629364</v>
      </c>
      <c r="EH132" s="43">
        <v>0.72860211250631102</v>
      </c>
      <c r="EI132" s="43">
        <v>0.30096900962897</v>
      </c>
      <c r="EJ132" s="43">
        <v>34.475752103877603</v>
      </c>
      <c r="EK132" s="43">
        <v>19.562985625883002</v>
      </c>
      <c r="EL132" s="43">
        <v>0.86165104019134897</v>
      </c>
      <c r="EM132" s="43">
        <v>2584.0853683711298</v>
      </c>
      <c r="EN132" s="43">
        <v>643.41637703805304</v>
      </c>
      <c r="EO132" s="43">
        <v>95623.147903995603</v>
      </c>
      <c r="EP132" s="43">
        <v>64827.570163319302</v>
      </c>
      <c r="EQ132" s="43">
        <v>4611.6557931930101</v>
      </c>
      <c r="ER132" s="43">
        <v>2.1424421902296702</v>
      </c>
      <c r="ES132" s="43">
        <v>2.28864842008826</v>
      </c>
      <c r="ET132" s="43">
        <v>2.1125338509173002</v>
      </c>
      <c r="EU132" s="43">
        <v>2.5111650000000001</v>
      </c>
      <c r="EV132" s="43">
        <v>2.1200600000000001</v>
      </c>
      <c r="EW132" s="43">
        <v>3.1607500000000002</v>
      </c>
      <c r="EX132" s="43">
        <v>2.5124300000000002</v>
      </c>
      <c r="EY132" s="43">
        <v>2.1203349999999999</v>
      </c>
      <c r="EZ132" s="43">
        <v>3.1615869999999999</v>
      </c>
      <c r="FA132" s="43">
        <v>19.211085309705499</v>
      </c>
      <c r="FB132" s="43">
        <v>18.818435475710501</v>
      </c>
      <c r="FC132" s="43">
        <v>81.600264399824397</v>
      </c>
      <c r="FD132" s="43">
        <v>17774.635100218999</v>
      </c>
      <c r="FE132" s="43">
        <v>203564.6</v>
      </c>
      <c r="FF132" s="43">
        <v>1.6685937500000001</v>
      </c>
      <c r="FG132" s="43">
        <v>5.6916277619807003</v>
      </c>
      <c r="FH132" s="43">
        <v>932.33638043005601</v>
      </c>
      <c r="FI132" s="43">
        <v>14035.8786879158</v>
      </c>
      <c r="FJ132" s="43">
        <v>7.1434858138447401</v>
      </c>
      <c r="FK132" s="43">
        <v>19.536675254394801</v>
      </c>
      <c r="FL132" s="43">
        <v>1.11269</v>
      </c>
      <c r="FM132" s="43">
        <v>1.1437729999999999</v>
      </c>
    </row>
    <row r="133" spans="1:169" x14ac:dyDescent="0.25">
      <c r="A133" s="43" t="s">
        <v>360</v>
      </c>
      <c r="B133" s="43">
        <v>28309.03</v>
      </c>
      <c r="C133" s="43">
        <v>19684.099999999999</v>
      </c>
      <c r="D133" s="43">
        <v>4.1007860000000003</v>
      </c>
      <c r="E133" s="43">
        <v>3.413205</v>
      </c>
      <c r="F133" s="43">
        <v>3.0841280000000002</v>
      </c>
      <c r="G133" s="43">
        <v>4.1985989999999997</v>
      </c>
      <c r="H133" s="43">
        <v>1.295374</v>
      </c>
      <c r="I133" s="43">
        <v>1.237077</v>
      </c>
      <c r="J133" s="43">
        <v>1.2335590000000001</v>
      </c>
      <c r="K133" s="43">
        <v>1.1713849999999999</v>
      </c>
      <c r="L133" s="43">
        <v>3.2298260000000001</v>
      </c>
      <c r="M133" s="43">
        <v>84.320139999999995</v>
      </c>
      <c r="N133" s="43">
        <v>90.034141355637104</v>
      </c>
      <c r="O133" s="43">
        <v>2.8371553167702501</v>
      </c>
      <c r="P133" s="43">
        <v>1.096141</v>
      </c>
      <c r="Q133" s="43">
        <v>-469.18869999999998</v>
      </c>
      <c r="R133" s="43">
        <v>6.4132049999999996</v>
      </c>
      <c r="S133" s="43">
        <v>4042.5329999999999</v>
      </c>
      <c r="T133" s="43">
        <v>3.0387469999999999</v>
      </c>
      <c r="U133" s="43">
        <v>4.2673810000000003</v>
      </c>
      <c r="V133" s="43">
        <v>3495.7379999999998</v>
      </c>
      <c r="W133" s="43">
        <v>2.2496520000000002</v>
      </c>
      <c r="X133" s="43">
        <v>25452.65</v>
      </c>
      <c r="Y133" s="43">
        <v>1.351901</v>
      </c>
      <c r="Z133" s="43">
        <v>0.96890620000000005</v>
      </c>
      <c r="AA133" s="43">
        <v>1.4430019999999999</v>
      </c>
      <c r="AB133" s="43">
        <v>1.1844380000000001</v>
      </c>
      <c r="AC133" s="43">
        <v>82.276269999999997</v>
      </c>
      <c r="AD133" s="43">
        <v>1.5825629999999999</v>
      </c>
      <c r="AE133" s="43">
        <v>2.0476770000000002</v>
      </c>
      <c r="AF133" s="43">
        <v>2.1007440000000002</v>
      </c>
      <c r="AG133" s="43">
        <v>366.72840000000002</v>
      </c>
      <c r="AH133" s="43">
        <v>222.74109999999999</v>
      </c>
      <c r="AI133" s="43">
        <v>3.3668830000000001</v>
      </c>
      <c r="AJ133" s="43">
        <v>3.32218237825527</v>
      </c>
      <c r="AK133" s="43">
        <f t="shared" si="4"/>
        <v>44549.176193281004</v>
      </c>
      <c r="AL133" s="47">
        <v>8.1310582392053465E-3</v>
      </c>
      <c r="AM133" s="43">
        <v>2.34928006388611</v>
      </c>
      <c r="AN133" s="43">
        <v>0.70414075642340701</v>
      </c>
      <c r="AO133" s="43">
        <v>3.2243647907097501</v>
      </c>
      <c r="AP133" s="43">
        <v>2.7393890177826901</v>
      </c>
      <c r="AQ133" s="43">
        <v>5.2596972312656201</v>
      </c>
      <c r="AR133" s="43">
        <v>3.0560093266739301</v>
      </c>
      <c r="AS133" s="43">
        <v>2.5536863861141401</v>
      </c>
      <c r="AT133" s="43">
        <v>2.4761997959964299</v>
      </c>
      <c r="AU133" s="43">
        <v>3.37190671550586</v>
      </c>
      <c r="AV133" s="43">
        <v>2871.154</v>
      </c>
      <c r="AW133" s="43">
        <v>1694.4970000000001</v>
      </c>
      <c r="AX133" s="43">
        <v>1.3688940000000001</v>
      </c>
      <c r="AY133" s="43">
        <v>2.0397599999999998</v>
      </c>
      <c r="AZ133" s="43">
        <v>214.49359999999999</v>
      </c>
      <c r="BA133" s="43">
        <v>0.7776923</v>
      </c>
      <c r="BB133" s="43">
        <v>197.0008</v>
      </c>
      <c r="BC133" s="43">
        <v>40.414740000000002</v>
      </c>
      <c r="BD133" s="43">
        <v>5.3</v>
      </c>
      <c r="BE133" s="43">
        <v>1.537226</v>
      </c>
      <c r="BF133" s="43">
        <v>2.588212</v>
      </c>
      <c r="BG133" s="43">
        <v>2.925878</v>
      </c>
      <c r="BH133" s="43">
        <v>2.2987790000000001</v>
      </c>
      <c r="BI133" s="43">
        <v>1.700707</v>
      </c>
      <c r="BJ133" s="43">
        <v>1.6267290000000001</v>
      </c>
      <c r="BK133" s="43">
        <v>105.7954</v>
      </c>
      <c r="BL133" s="43">
        <v>108.4235</v>
      </c>
      <c r="BM133" s="43">
        <v>1.466296</v>
      </c>
      <c r="BN133" s="43">
        <v>1.483814</v>
      </c>
      <c r="BO133" s="43">
        <v>45.092610000000001</v>
      </c>
      <c r="BP133" s="43">
        <v>1.2858555472972399</v>
      </c>
      <c r="BQ133" s="43">
        <v>4425.7929999999997</v>
      </c>
      <c r="BR133" s="43">
        <v>720.17693856605297</v>
      </c>
      <c r="BS133" s="43">
        <v>14749.29</v>
      </c>
      <c r="BT133" s="43">
        <v>7724.3869999999997</v>
      </c>
      <c r="BU133" s="43">
        <v>1.242953</v>
      </c>
      <c r="BV133" s="43">
        <v>1.5593570000000001</v>
      </c>
      <c r="BW133" s="43">
        <v>1.6512579999999999</v>
      </c>
      <c r="BX133" s="43">
        <v>1.1835610000000001</v>
      </c>
      <c r="BY133" s="43">
        <v>2.0633949999999999</v>
      </c>
      <c r="BZ133" s="43">
        <v>2.2624550000000001</v>
      </c>
      <c r="CA133" s="43">
        <v>2.1009989999999998</v>
      </c>
      <c r="CB133" s="43">
        <v>0.7357243</v>
      </c>
      <c r="CC133" s="43">
        <v>8.1572983409316304</v>
      </c>
      <c r="CD133" s="43">
        <v>1.144517</v>
      </c>
      <c r="CE133" s="43">
        <v>1.215956</v>
      </c>
      <c r="CF133" s="43">
        <v>1.347251</v>
      </c>
      <c r="CG133" s="43">
        <v>1.1795249999999999</v>
      </c>
      <c r="CH133" s="43">
        <v>1.12537911518016</v>
      </c>
      <c r="CI133" s="43">
        <v>1.19986385568033</v>
      </c>
      <c r="CJ133" s="43">
        <v>1.2380117563252799</v>
      </c>
      <c r="CK133" s="43">
        <v>1.1810230986407699</v>
      </c>
      <c r="CL133" s="43">
        <v>1.5620529999999999</v>
      </c>
      <c r="CM133" s="43">
        <v>1.376233</v>
      </c>
      <c r="CN133" s="43">
        <v>1.6085480000000001</v>
      </c>
      <c r="CO133" s="43">
        <v>1.9713639999999999</v>
      </c>
      <c r="CP133" s="43">
        <v>0.844908074970664</v>
      </c>
      <c r="CQ133" s="43">
        <v>1.3204070000000001</v>
      </c>
      <c r="CR133" s="43">
        <v>0.676056446990705</v>
      </c>
      <c r="CS133" s="43">
        <v>76.070573054427996</v>
      </c>
      <c r="CT133" s="43">
        <v>99.945193688677506</v>
      </c>
      <c r="CU133" s="43">
        <v>17.844681135460402</v>
      </c>
      <c r="CV133" s="43">
        <v>21.12026345124</v>
      </c>
      <c r="CW133" s="43">
        <v>1.506734</v>
      </c>
      <c r="CX133" s="43">
        <v>1.4544600000000001</v>
      </c>
      <c r="CY133" s="43">
        <v>1.404093</v>
      </c>
      <c r="CZ133" s="43">
        <v>1.44836375296608</v>
      </c>
      <c r="DA133" s="43">
        <v>1.2740183549723501</v>
      </c>
      <c r="DB133" s="43">
        <v>2.7521308169449998</v>
      </c>
      <c r="DC133" s="43">
        <v>0.99593011089373695</v>
      </c>
      <c r="DD133" s="43">
        <v>1.42310898322875</v>
      </c>
      <c r="DE133" s="43">
        <v>1.9949937285566</v>
      </c>
      <c r="DF133" s="43">
        <v>1.5343509982700001</v>
      </c>
      <c r="DG133" s="43">
        <v>1.6502540749914001</v>
      </c>
      <c r="DH133" s="43">
        <v>1.28524920376093</v>
      </c>
      <c r="DI133" s="43">
        <v>2.5603809133221298</v>
      </c>
      <c r="DJ133" s="43">
        <v>1.20433897537561</v>
      </c>
      <c r="DK133" s="43">
        <v>2.0727509999999998</v>
      </c>
      <c r="DL133" s="43">
        <v>2.3038850000000002</v>
      </c>
      <c r="DM133" s="43">
        <v>2.5249380000000001</v>
      </c>
      <c r="DN133" s="43">
        <v>1.7978955935721199</v>
      </c>
      <c r="DO133" s="43">
        <v>2.753377</v>
      </c>
      <c r="DP133" s="43">
        <v>1.9103140000000001</v>
      </c>
      <c r="DQ133" s="43">
        <v>1.441014</v>
      </c>
      <c r="DR133" s="43">
        <v>2.2918259999999999</v>
      </c>
      <c r="DS133" s="43">
        <v>0.95889389999999997</v>
      </c>
      <c r="DT133" s="43">
        <v>1.5617903190700599</v>
      </c>
      <c r="DU133" s="43">
        <v>652.00260000000003</v>
      </c>
      <c r="DV133" s="43">
        <v>338.1345</v>
      </c>
      <c r="DW133" s="43">
        <v>120.8366</v>
      </c>
      <c r="DX133" s="43">
        <v>1.161613</v>
      </c>
      <c r="DY133" s="43">
        <v>1.3141480000000001</v>
      </c>
      <c r="DZ133" s="43">
        <v>1.0894619999999999</v>
      </c>
      <c r="EA133" s="43">
        <v>926.73260000000005</v>
      </c>
      <c r="EB133" s="43">
        <v>123.29883313950999</v>
      </c>
      <c r="EC133" s="43">
        <v>1.4627173004264</v>
      </c>
      <c r="ED133" s="43">
        <v>1.55678698086759</v>
      </c>
      <c r="EE133" s="43">
        <v>1.5331747496502499</v>
      </c>
      <c r="EF133" s="43">
        <v>1.8515660313798099</v>
      </c>
      <c r="EG133" s="43">
        <v>1.6421154932172399</v>
      </c>
      <c r="EH133" s="43">
        <v>0.73088041315843399</v>
      </c>
      <c r="EI133" s="43">
        <v>0.30191012396165801</v>
      </c>
      <c r="EJ133" s="43">
        <v>34.583555975363097</v>
      </c>
      <c r="EK133" s="43">
        <v>19.624158057507699</v>
      </c>
      <c r="EL133" s="43">
        <v>0.86434537787315602</v>
      </c>
      <c r="EM133" s="43">
        <v>2594.66695487675</v>
      </c>
      <c r="EN133" s="43">
        <v>646.05110657759894</v>
      </c>
      <c r="EO133" s="43">
        <v>96014.715699653505</v>
      </c>
      <c r="EP133" s="43">
        <v>65093.032964985199</v>
      </c>
      <c r="EQ133" s="43">
        <v>4630.5400898602402</v>
      </c>
      <c r="ER133" s="43">
        <v>2.1473927200345</v>
      </c>
      <c r="ES133" s="43">
        <v>2.29393678785291</v>
      </c>
      <c r="ET133" s="43">
        <v>2.1174152716811201</v>
      </c>
      <c r="EU133" s="43">
        <v>2.5226920000000002</v>
      </c>
      <c r="EV133" s="43">
        <v>2.1269170000000002</v>
      </c>
      <c r="EW133" s="43">
        <v>3.179443</v>
      </c>
      <c r="EX133" s="43">
        <v>2.5229059999999999</v>
      </c>
      <c r="EY133" s="43">
        <v>2.1266889999999998</v>
      </c>
      <c r="EZ133" s="43">
        <v>3.1789429999999999</v>
      </c>
      <c r="FA133" s="43">
        <v>19.299619904190699</v>
      </c>
      <c r="FB133" s="43">
        <v>18.904661221907698</v>
      </c>
      <c r="FC133" s="43">
        <v>81.940509920857806</v>
      </c>
      <c r="FD133" s="43">
        <v>17827.902476582101</v>
      </c>
      <c r="FE133" s="43">
        <v>204682.1</v>
      </c>
      <c r="FF133" s="43">
        <v>1.67465625</v>
      </c>
      <c r="FG133" s="43">
        <v>5.6993345560848301</v>
      </c>
      <c r="FH133" s="43">
        <v>932.33641599586701</v>
      </c>
      <c r="FI133" s="43">
        <v>14000.788991195999</v>
      </c>
      <c r="FJ133" s="43">
        <v>7.1220553564032096</v>
      </c>
      <c r="FK133" s="43">
        <v>19.595285280157999</v>
      </c>
      <c r="FL133" s="43">
        <v>1.113343</v>
      </c>
      <c r="FM133" s="43">
        <v>1.146604</v>
      </c>
    </row>
    <row r="134" spans="1:169" x14ac:dyDescent="0.25">
      <c r="A134" s="43" t="s">
        <v>361</v>
      </c>
      <c r="B134" s="43">
        <v>28457.89</v>
      </c>
      <c r="C134" s="43">
        <v>19805.98</v>
      </c>
      <c r="D134" s="43">
        <v>4.123157</v>
      </c>
      <c r="E134" s="43">
        <v>3.1998799999999998</v>
      </c>
      <c r="F134" s="43">
        <v>2.9831639999999999</v>
      </c>
      <c r="G134" s="43">
        <v>4.1104419999999999</v>
      </c>
      <c r="H134" s="43">
        <v>1.3025960000000001</v>
      </c>
      <c r="I134" s="43">
        <v>1.242753</v>
      </c>
      <c r="J134" s="43">
        <v>1.239139</v>
      </c>
      <c r="K134" s="43">
        <v>1.174471</v>
      </c>
      <c r="L134" s="43">
        <v>3.2453889999999999</v>
      </c>
      <c r="M134" s="43">
        <v>84.663089999999997</v>
      </c>
      <c r="N134" s="43">
        <v>90.4003296646937</v>
      </c>
      <c r="O134" s="43">
        <v>2.85368243512037</v>
      </c>
      <c r="P134" s="43">
        <v>1.1343129999999999</v>
      </c>
      <c r="Q134" s="43">
        <v>-465.76179999999999</v>
      </c>
      <c r="R134" s="43">
        <v>6.4387049999999997</v>
      </c>
      <c r="S134" s="43">
        <v>4062.924</v>
      </c>
      <c r="T134" s="43">
        <v>2.8781020000000002</v>
      </c>
      <c r="U134" s="43">
        <v>4.2018259999999996</v>
      </c>
      <c r="V134" s="43">
        <v>3509.6379999999999</v>
      </c>
      <c r="W134" s="43">
        <v>2.2643260000000001</v>
      </c>
      <c r="X134" s="43">
        <v>25622.15</v>
      </c>
      <c r="Y134" s="43">
        <v>1.353086</v>
      </c>
      <c r="Z134" s="43">
        <v>0.97275880000000003</v>
      </c>
      <c r="AA134" s="43">
        <v>1.4471799999999999</v>
      </c>
      <c r="AB134" s="43">
        <v>1.1849339999999999</v>
      </c>
      <c r="AC134" s="43">
        <v>82.611810000000006</v>
      </c>
      <c r="AD134" s="43">
        <v>1.5900749999999999</v>
      </c>
      <c r="AE134" s="43">
        <v>2.0614810000000001</v>
      </c>
      <c r="AF134" s="43">
        <v>2.112635</v>
      </c>
      <c r="AG134" s="43">
        <v>368.1866</v>
      </c>
      <c r="AH134" s="43">
        <v>223.6267</v>
      </c>
      <c r="AI134" s="43">
        <v>3.382269</v>
      </c>
      <c r="AJ134" s="43">
        <v>3.3379530857136301</v>
      </c>
      <c r="AK134" s="43">
        <f t="shared" si="4"/>
        <v>44996.002218395071</v>
      </c>
      <c r="AL134" s="47">
        <v>1.0029950344658811E-2</v>
      </c>
      <c r="AM134" s="43">
        <v>2.3409543442524998</v>
      </c>
      <c r="AN134" s="43">
        <v>0.70103952490128296</v>
      </c>
      <c r="AO134" s="43">
        <v>3.2364746528041701</v>
      </c>
      <c r="AP134" s="43">
        <v>2.7526400101648401</v>
      </c>
      <c r="AQ134" s="43">
        <v>5.2902544325013903</v>
      </c>
      <c r="AR134" s="43">
        <v>3.0693862646674899</v>
      </c>
      <c r="AS134" s="43">
        <v>2.56478300351462</v>
      </c>
      <c r="AT134" s="43">
        <v>2.48549473379359</v>
      </c>
      <c r="AU134" s="43">
        <v>3.3912504202428702</v>
      </c>
      <c r="AV134" s="43">
        <v>2887.5230000000001</v>
      </c>
      <c r="AW134" s="43">
        <v>1706.2629999999999</v>
      </c>
      <c r="AX134" s="43">
        <v>1.376452</v>
      </c>
      <c r="AY134" s="43">
        <v>2.050141</v>
      </c>
      <c r="AZ134" s="43">
        <v>214.17</v>
      </c>
      <c r="BA134" s="43">
        <v>0.77613690000000002</v>
      </c>
      <c r="BB134" s="43">
        <v>198.1754</v>
      </c>
      <c r="BC134" s="43">
        <v>40.661250000000003</v>
      </c>
      <c r="BD134" s="43">
        <v>5.328913</v>
      </c>
      <c r="BE134" s="43">
        <v>1.5443549999999999</v>
      </c>
      <c r="BF134" s="43">
        <v>2.454053</v>
      </c>
      <c r="BG134" s="43">
        <v>2.785317</v>
      </c>
      <c r="BH134" s="43">
        <v>2.2188560000000002</v>
      </c>
      <c r="BI134" s="43">
        <v>1.708861</v>
      </c>
      <c r="BJ134" s="43">
        <v>1.6356040000000001</v>
      </c>
      <c r="BK134" s="43">
        <v>106.3725</v>
      </c>
      <c r="BL134" s="43">
        <v>109.0827</v>
      </c>
      <c r="BM134" s="43">
        <v>1.4776659999999999</v>
      </c>
      <c r="BN134" s="43">
        <v>1.49028</v>
      </c>
      <c r="BO134" s="43">
        <v>45.2121</v>
      </c>
      <c r="BP134" s="43">
        <v>1.28843240985379</v>
      </c>
      <c r="BQ134" s="43">
        <v>4462.4840000000004</v>
      </c>
      <c r="BR134" s="43">
        <v>723.62460481354697</v>
      </c>
      <c r="BS134" s="43">
        <v>14830.11</v>
      </c>
      <c r="BT134" s="43">
        <v>7766.192</v>
      </c>
      <c r="BU134" s="43">
        <v>1.249762</v>
      </c>
      <c r="BV134" s="43">
        <v>1.5662959999999999</v>
      </c>
      <c r="BW134" s="43">
        <v>1.6595709999999999</v>
      </c>
      <c r="BX134" s="43">
        <v>1.175276</v>
      </c>
      <c r="BY134" s="43">
        <v>2.0213700000000001</v>
      </c>
      <c r="BZ134" s="43">
        <v>2.2329650000000001</v>
      </c>
      <c r="CA134" s="43">
        <v>2.0718589999999999</v>
      </c>
      <c r="CB134" s="43">
        <v>0.73646009999999995</v>
      </c>
      <c r="CC134" s="43">
        <v>8.1989547535637506</v>
      </c>
      <c r="CD134" s="43">
        <v>1.151362</v>
      </c>
      <c r="CE134" s="43">
        <v>1.2228589999999999</v>
      </c>
      <c r="CF134" s="43">
        <v>1.3555999999999999</v>
      </c>
      <c r="CG134" s="43">
        <v>1.1848000000000001</v>
      </c>
      <c r="CH134" s="43">
        <v>1.12865610481705</v>
      </c>
      <c r="CI134" s="43">
        <v>1.2048120144460499</v>
      </c>
      <c r="CJ134" s="43">
        <v>1.2435517073639599</v>
      </c>
      <c r="CK134" s="43">
        <v>1.18507613381032</v>
      </c>
      <c r="CL134" s="43">
        <v>1.569008</v>
      </c>
      <c r="CM134" s="43">
        <v>1.3802179999999999</v>
      </c>
      <c r="CN134" s="43">
        <v>1.617367</v>
      </c>
      <c r="CO134" s="43">
        <v>1.977279</v>
      </c>
      <c r="CP134" s="43">
        <v>0.84744279750392104</v>
      </c>
      <c r="CQ134" s="43">
        <v>1.326508</v>
      </c>
      <c r="CR134" s="43">
        <v>0.67759690342027701</v>
      </c>
      <c r="CS134" s="43">
        <v>76.298784621284597</v>
      </c>
      <c r="CT134" s="43">
        <v>100.54486485081</v>
      </c>
      <c r="CU134" s="43">
        <v>17.934533507743701</v>
      </c>
      <c r="CV134" s="43">
        <v>21.0780229243375</v>
      </c>
      <c r="CW134" s="43">
        <v>1.513204</v>
      </c>
      <c r="CX134" s="43">
        <v>1.4603330000000001</v>
      </c>
      <c r="CY134" s="43">
        <v>1.4089579999999999</v>
      </c>
      <c r="CZ134" s="43">
        <v>1.4538744434019999</v>
      </c>
      <c r="DA134" s="43">
        <v>1.27762994444545</v>
      </c>
      <c r="DB134" s="43">
        <v>2.7649321737616401</v>
      </c>
      <c r="DC134" s="43">
        <v>0.995736154812776</v>
      </c>
      <c r="DD134" s="43">
        <v>1.43042270507473</v>
      </c>
      <c r="DE134" s="43">
        <v>2.0079029647248299</v>
      </c>
      <c r="DF134" s="43">
        <v>1.5408694836891601</v>
      </c>
      <c r="DG134" s="43">
        <v>1.6576953719882599</v>
      </c>
      <c r="DH134" s="43">
        <v>1.2896461777208501</v>
      </c>
      <c r="DI134" s="43">
        <v>2.5801076781249299</v>
      </c>
      <c r="DJ134" s="43">
        <v>1.2045101875545201</v>
      </c>
      <c r="DK134" s="43">
        <v>2.085982</v>
      </c>
      <c r="DL134" s="43">
        <v>2.3202600000000002</v>
      </c>
      <c r="DM134" s="43">
        <v>2.5441250000000002</v>
      </c>
      <c r="DN134" s="43">
        <v>1.8080602203590601</v>
      </c>
      <c r="DO134" s="43">
        <v>2.7771180000000002</v>
      </c>
      <c r="DP134" s="43">
        <v>1.922426</v>
      </c>
      <c r="DQ134" s="43">
        <v>1.445821</v>
      </c>
      <c r="DR134" s="43">
        <v>2.3083300000000002</v>
      </c>
      <c r="DS134" s="43">
        <v>0.96106270000000005</v>
      </c>
      <c r="DT134" s="43">
        <v>1.5693282192990301</v>
      </c>
      <c r="DU134" s="43">
        <v>655.51130000000001</v>
      </c>
      <c r="DV134" s="43">
        <v>339.60390000000001</v>
      </c>
      <c r="DW134" s="43">
        <v>121.7304</v>
      </c>
      <c r="DX134" s="43">
        <v>1.1636470000000001</v>
      </c>
      <c r="DY134" s="43">
        <v>1.31731</v>
      </c>
      <c r="DZ134" s="43">
        <v>1.0926210000000001</v>
      </c>
      <c r="EA134" s="43">
        <v>931.04930000000002</v>
      </c>
      <c r="EB134" s="43">
        <v>122.80563780695201</v>
      </c>
      <c r="EC134" s="43">
        <v>1.47008058672105</v>
      </c>
      <c r="ED134" s="43">
        <v>1.56540749493427</v>
      </c>
      <c r="EE134" s="43">
        <v>1.5412433467106801</v>
      </c>
      <c r="EF134" s="43">
        <v>1.8627342100925399</v>
      </c>
      <c r="EG134" s="43">
        <v>1.6508739143301301</v>
      </c>
      <c r="EH134" s="43">
        <v>0.73427010768039203</v>
      </c>
      <c r="EI134" s="43">
        <v>0.30331032989807599</v>
      </c>
      <c r="EJ134" s="43">
        <v>34.743948411839703</v>
      </c>
      <c r="EK134" s="43">
        <v>19.715171443374899</v>
      </c>
      <c r="EL134" s="43">
        <v>0.86835405937522903</v>
      </c>
      <c r="EM134" s="43">
        <v>2605.2485413823601</v>
      </c>
      <c r="EN134" s="43">
        <v>648.68583611714496</v>
      </c>
      <c r="EO134" s="43">
        <v>96406.283495311407</v>
      </c>
      <c r="EP134" s="43">
        <v>65358.495766651104</v>
      </c>
      <c r="EQ134" s="43">
        <v>4649.4243865274702</v>
      </c>
      <c r="ER134" s="43">
        <v>2.1582026471339102</v>
      </c>
      <c r="ES134" s="43">
        <v>2.30548441452407</v>
      </c>
      <c r="ET134" s="43">
        <v>2.1280742929735501</v>
      </c>
      <c r="EU134" s="43">
        <v>2.5438040000000002</v>
      </c>
      <c r="EV134" s="43">
        <v>2.1375860000000002</v>
      </c>
      <c r="EW134" s="43">
        <v>3.207875</v>
      </c>
      <c r="EX134" s="43">
        <v>2.542665</v>
      </c>
      <c r="EY134" s="43">
        <v>2.1371549999999999</v>
      </c>
      <c r="EZ134" s="43">
        <v>3.2066650000000001</v>
      </c>
      <c r="FA134" s="43">
        <v>19.461775962654801</v>
      </c>
      <c r="FB134" s="43">
        <v>19.062444192424699</v>
      </c>
      <c r="FC134" s="43">
        <v>82.582256833015407</v>
      </c>
      <c r="FD134" s="43">
        <v>17915.636381266399</v>
      </c>
      <c r="FE134" s="43">
        <v>206467</v>
      </c>
      <c r="FF134" s="43">
        <v>1.68015625</v>
      </c>
      <c r="FG134" s="43">
        <v>5.7563279016456699</v>
      </c>
      <c r="FH134" s="43">
        <v>932.35462569149104</v>
      </c>
      <c r="FI134" s="43">
        <v>14070.792936152</v>
      </c>
      <c r="FJ134" s="43">
        <v>7.1006891903340001</v>
      </c>
      <c r="FK134" s="43">
        <v>19.6540711359985</v>
      </c>
      <c r="FL134" s="43">
        <v>1.1141589999999999</v>
      </c>
      <c r="FM134" s="43">
        <v>1.1493549999999999</v>
      </c>
    </row>
    <row r="135" spans="1:169" x14ac:dyDescent="0.25">
      <c r="A135" s="43" t="s">
        <v>362</v>
      </c>
      <c r="B135" s="43">
        <v>28636.9</v>
      </c>
      <c r="C135" s="43">
        <v>19925.22</v>
      </c>
      <c r="D135" s="43">
        <v>4.1486879999999999</v>
      </c>
      <c r="E135" s="43">
        <v>2.9865539999999999</v>
      </c>
      <c r="F135" s="43">
        <v>2.8790110000000002</v>
      </c>
      <c r="G135" s="43">
        <v>3.950412</v>
      </c>
      <c r="H135" s="43">
        <v>1.3112029999999999</v>
      </c>
      <c r="I135" s="43">
        <v>1.249641</v>
      </c>
      <c r="J135" s="43">
        <v>1.245827</v>
      </c>
      <c r="K135" s="43">
        <v>1.177573</v>
      </c>
      <c r="L135" s="43">
        <v>3.2632089999999998</v>
      </c>
      <c r="M135" s="43">
        <v>85.015069999999994</v>
      </c>
      <c r="N135" s="43">
        <v>90.776154508198701</v>
      </c>
      <c r="O135" s="43">
        <v>2.86470051402046</v>
      </c>
      <c r="P135" s="43">
        <v>1.1529959999999999</v>
      </c>
      <c r="Q135" s="43">
        <v>-462.65629999999999</v>
      </c>
      <c r="R135" s="43">
        <v>6.4499440000000003</v>
      </c>
      <c r="S135" s="43">
        <v>4082.9769999999999</v>
      </c>
      <c r="T135" s="43">
        <v>2.717724</v>
      </c>
      <c r="U135" s="43">
        <v>4.1358079999999999</v>
      </c>
      <c r="V135" s="43">
        <v>3515.7640000000001</v>
      </c>
      <c r="W135" s="43">
        <v>2.2809819999999998</v>
      </c>
      <c r="X135" s="43">
        <v>25767.63</v>
      </c>
      <c r="Y135" s="43">
        <v>1.3544620000000001</v>
      </c>
      <c r="Z135" s="43">
        <v>0.97445669999999995</v>
      </c>
      <c r="AA135" s="43">
        <v>1.453279</v>
      </c>
      <c r="AB135" s="43">
        <v>1.1853940000000001</v>
      </c>
      <c r="AC135" s="43">
        <v>82.956180000000003</v>
      </c>
      <c r="AD135" s="43">
        <v>1.5986610000000001</v>
      </c>
      <c r="AE135" s="43">
        <v>2.0779290000000001</v>
      </c>
      <c r="AF135" s="43">
        <v>2.1253839999999999</v>
      </c>
      <c r="AG135" s="43">
        <v>368.82920000000001</v>
      </c>
      <c r="AH135" s="43">
        <v>224.0171</v>
      </c>
      <c r="AI135" s="43">
        <v>3.399972</v>
      </c>
      <c r="AJ135" s="43">
        <v>3.3559459214753802</v>
      </c>
      <c r="AK135" s="43">
        <f t="shared" si="4"/>
        <v>45523.532372135509</v>
      </c>
      <c r="AL135" s="47">
        <v>1.1723933854834279E-2</v>
      </c>
      <c r="AM135" s="43">
        <v>2.3319759680252301</v>
      </c>
      <c r="AN135" s="43">
        <v>0.69424319657052003</v>
      </c>
      <c r="AO135" s="43">
        <v>3.2506192161366299</v>
      </c>
      <c r="AP135" s="43">
        <v>2.7670781318229101</v>
      </c>
      <c r="AQ135" s="43">
        <v>5.3251607395318796</v>
      </c>
      <c r="AR135" s="43">
        <v>3.0857505049260499</v>
      </c>
      <c r="AS135" s="43">
        <v>2.5771803653904199</v>
      </c>
      <c r="AT135" s="43">
        <v>2.4955661558584401</v>
      </c>
      <c r="AU135" s="43">
        <v>3.4135065556171398</v>
      </c>
      <c r="AV135" s="43">
        <v>2911.056</v>
      </c>
      <c r="AW135" s="43">
        <v>1721.37</v>
      </c>
      <c r="AX135" s="43">
        <v>1.3880889999999999</v>
      </c>
      <c r="AY135" s="43">
        <v>2.061626</v>
      </c>
      <c r="AZ135" s="43">
        <v>215.69</v>
      </c>
      <c r="BA135" s="43">
        <v>0.77768919999999997</v>
      </c>
      <c r="BB135" s="43">
        <v>199.20779999999999</v>
      </c>
      <c r="BC135" s="43">
        <v>40.967880000000001</v>
      </c>
      <c r="BD135" s="43">
        <v>5.3592930000000001</v>
      </c>
      <c r="BE135" s="43">
        <v>1.551193</v>
      </c>
      <c r="BF135" s="43">
        <v>2.323642</v>
      </c>
      <c r="BG135" s="43">
        <v>2.6501519999999998</v>
      </c>
      <c r="BH135" s="43">
        <v>2.1377139999999999</v>
      </c>
      <c r="BI135" s="43">
        <v>1.717921</v>
      </c>
      <c r="BJ135" s="43">
        <v>1.6449279999999999</v>
      </c>
      <c r="BK135" s="43">
        <v>106.979</v>
      </c>
      <c r="BL135" s="43">
        <v>109.3175</v>
      </c>
      <c r="BM135" s="43">
        <v>1.4921800000000001</v>
      </c>
      <c r="BN135" s="43">
        <v>1.4992049999999999</v>
      </c>
      <c r="BO135" s="43">
        <v>45.331919999999997</v>
      </c>
      <c r="BP135" s="43">
        <v>1.2858606722177199</v>
      </c>
      <c r="BQ135" s="43">
        <v>4509.9040000000005</v>
      </c>
      <c r="BR135" s="43">
        <v>726.37777699338801</v>
      </c>
      <c r="BS135" s="43">
        <v>14904.26</v>
      </c>
      <c r="BT135" s="43">
        <v>7798.4830000000002</v>
      </c>
      <c r="BU135" s="43">
        <v>1.2579</v>
      </c>
      <c r="BV135" s="43">
        <v>1.574066</v>
      </c>
      <c r="BW135" s="43">
        <v>1.6695120000000001</v>
      </c>
      <c r="BX135" s="43">
        <v>1.167049</v>
      </c>
      <c r="BY135" s="43">
        <v>1.9795119999999999</v>
      </c>
      <c r="BZ135" s="43">
        <v>2.2036660000000001</v>
      </c>
      <c r="CA135" s="43">
        <v>2.0426150000000001</v>
      </c>
      <c r="CB135" s="43">
        <v>0.73719659999999998</v>
      </c>
      <c r="CC135" s="43">
        <v>8.3393195378644407</v>
      </c>
      <c r="CD135" s="43">
        <v>1.159548</v>
      </c>
      <c r="CE135" s="43">
        <v>1.231101</v>
      </c>
      <c r="CF135" s="43">
        <v>1.3655969999999999</v>
      </c>
      <c r="CG135" s="43">
        <v>1.19106</v>
      </c>
      <c r="CH135" s="43">
        <v>1.1322056329532899</v>
      </c>
      <c r="CI135" s="43">
        <v>1.21013095200819</v>
      </c>
      <c r="CJ135" s="43">
        <v>1.2498375327633999</v>
      </c>
      <c r="CK135" s="43">
        <v>1.1895511056000301</v>
      </c>
      <c r="CL135" s="43">
        <v>1.576797</v>
      </c>
      <c r="CM135" s="43">
        <v>1.384687</v>
      </c>
      <c r="CN135" s="43">
        <v>1.627181</v>
      </c>
      <c r="CO135" s="43">
        <v>1.9871650000000001</v>
      </c>
      <c r="CP135" s="43">
        <v>0.85167999466384903</v>
      </c>
      <c r="CQ135" s="43">
        <v>1.332538</v>
      </c>
      <c r="CR135" s="43">
        <v>0.67912550028396501</v>
      </c>
      <c r="CS135" s="43">
        <v>76.680277029333297</v>
      </c>
      <c r="CT135" s="43">
        <v>100.444319985959</v>
      </c>
      <c r="CU135" s="43">
        <v>18.024838308890502</v>
      </c>
      <c r="CV135" s="43">
        <v>21.0358668784888</v>
      </c>
      <c r="CW135" s="43">
        <v>1.520942</v>
      </c>
      <c r="CX135" s="43">
        <v>1.467357</v>
      </c>
      <c r="CY135" s="43">
        <v>1.414779</v>
      </c>
      <c r="CZ135" s="43">
        <v>1.46050352691579</v>
      </c>
      <c r="DA135" s="43">
        <v>1.28195464572243</v>
      </c>
      <c r="DB135" s="43">
        <v>2.7785629965538901</v>
      </c>
      <c r="DC135" s="43">
        <v>0.99581319288593495</v>
      </c>
      <c r="DD135" s="43">
        <v>1.4388824019044699</v>
      </c>
      <c r="DE135" s="43">
        <v>2.0229422533661698</v>
      </c>
      <c r="DF135" s="43">
        <v>1.5481576789568301</v>
      </c>
      <c r="DG135" s="43">
        <v>1.6663317918598</v>
      </c>
      <c r="DH135" s="43">
        <v>1.2949230200147199</v>
      </c>
      <c r="DI135" s="43">
        <v>2.60283574335201</v>
      </c>
      <c r="DJ135" s="43">
        <v>1.2042855007595099</v>
      </c>
      <c r="DK135" s="43">
        <v>2.1005959999999999</v>
      </c>
      <c r="DL135" s="43">
        <v>2.3397559999999999</v>
      </c>
      <c r="DM135" s="43">
        <v>2.5670410000000001</v>
      </c>
      <c r="DN135" s="43">
        <v>1.8202010239692099</v>
      </c>
      <c r="DO135" s="43">
        <v>2.8054039999999998</v>
      </c>
      <c r="DP135" s="43">
        <v>1.9368590000000001</v>
      </c>
      <c r="DQ135" s="43">
        <v>1.4514100000000001</v>
      </c>
      <c r="DR135" s="43">
        <v>2.327868</v>
      </c>
      <c r="DS135" s="43">
        <v>0.96348579999999995</v>
      </c>
      <c r="DT135" s="43">
        <v>1.5782920958730999</v>
      </c>
      <c r="DU135" s="43">
        <v>658.37670000000003</v>
      </c>
      <c r="DV135" s="43">
        <v>340.85989999999998</v>
      </c>
      <c r="DW135" s="43">
        <v>122.4897</v>
      </c>
      <c r="DX135" s="43">
        <v>1.1660569999999999</v>
      </c>
      <c r="DY135" s="43">
        <v>1.3212410000000001</v>
      </c>
      <c r="DZ135" s="43">
        <v>1.094697</v>
      </c>
      <c r="EA135" s="43">
        <v>933.17759999999998</v>
      </c>
      <c r="EB135" s="43">
        <v>122.314415255724</v>
      </c>
      <c r="EC135" s="43">
        <v>1.47888663606985</v>
      </c>
      <c r="ED135" s="43">
        <v>1.5757222772349699</v>
      </c>
      <c r="EE135" s="43">
        <v>1.5508958481911399</v>
      </c>
      <c r="EF135" s="43">
        <v>1.87610019057646</v>
      </c>
      <c r="EG135" s="43">
        <v>1.6613506998796299</v>
      </c>
      <c r="EH135" s="43">
        <v>0.73752103805523495</v>
      </c>
      <c r="EI135" s="43">
        <v>0.304653215512178</v>
      </c>
      <c r="EJ135" s="43">
        <v>34.897774852617502</v>
      </c>
      <c r="EK135" s="43">
        <v>19.8024590082915</v>
      </c>
      <c r="EL135" s="43">
        <v>0.87219863721955804</v>
      </c>
      <c r="EM135" s="43">
        <v>2616.1085906907301</v>
      </c>
      <c r="EN135" s="43">
        <v>651.38990064456902</v>
      </c>
      <c r="EO135" s="43">
        <v>96808.155706644</v>
      </c>
      <c r="EP135" s="43">
        <v>65630.944431518394</v>
      </c>
      <c r="EQ135" s="43">
        <v>4668.8056383701296</v>
      </c>
      <c r="ER135" s="43">
        <v>2.1711306724320099</v>
      </c>
      <c r="ES135" s="43">
        <v>2.3192946843219202</v>
      </c>
      <c r="ET135" s="43">
        <v>2.1408218439657301</v>
      </c>
      <c r="EU135" s="43">
        <v>2.567326</v>
      </c>
      <c r="EV135" s="43">
        <v>2.1498659999999998</v>
      </c>
      <c r="EW135" s="43">
        <v>3.240415</v>
      </c>
      <c r="EX135" s="43">
        <v>2.5671580000000001</v>
      </c>
      <c r="EY135" s="43">
        <v>2.1502949999999998</v>
      </c>
      <c r="EZ135" s="43">
        <v>3.2413979999999998</v>
      </c>
      <c r="FA135" s="43">
        <v>19.642450576392601</v>
      </c>
      <c r="FB135" s="43">
        <v>19.238231051321801</v>
      </c>
      <c r="FC135" s="43">
        <v>83.377739241039905</v>
      </c>
      <c r="FD135" s="43">
        <v>18025.789006893399</v>
      </c>
      <c r="FE135" s="43">
        <v>208703.4</v>
      </c>
      <c r="FF135" s="43">
        <v>1.6850937500000001</v>
      </c>
      <c r="FG135" s="43">
        <v>5.8138911806621403</v>
      </c>
      <c r="FH135" s="43">
        <v>932.37283574277399</v>
      </c>
      <c r="FI135" s="43">
        <v>14141.1469008327</v>
      </c>
      <c r="FJ135" s="43">
        <v>7.0793871227630003</v>
      </c>
      <c r="FK135" s="43">
        <v>19.713033349406501</v>
      </c>
      <c r="FL135" s="43">
        <v>1.1145719999999999</v>
      </c>
      <c r="FM135" s="43">
        <v>1.151246</v>
      </c>
    </row>
    <row r="136" spans="1:169" x14ac:dyDescent="0.25">
      <c r="A136" s="43" t="s">
        <v>363</v>
      </c>
      <c r="B136" s="43">
        <v>28800.86</v>
      </c>
      <c r="C136" s="43">
        <v>20040.29</v>
      </c>
      <c r="D136" s="43">
        <v>4.1774290000000001</v>
      </c>
      <c r="E136" s="43">
        <v>2.9895360000000002</v>
      </c>
      <c r="F136" s="43">
        <v>2.8629009999999999</v>
      </c>
      <c r="G136" s="43">
        <v>3.8519239999999999</v>
      </c>
      <c r="H136" s="43">
        <v>1.3195950000000001</v>
      </c>
      <c r="I136" s="43">
        <v>1.2564280000000001</v>
      </c>
      <c r="J136" s="43">
        <v>1.2521389999999999</v>
      </c>
      <c r="K136" s="43">
        <v>1.1810529999999999</v>
      </c>
      <c r="L136" s="43">
        <v>3.2835869999999998</v>
      </c>
      <c r="M136" s="43">
        <v>85.358019999999996</v>
      </c>
      <c r="N136" s="43">
        <v>91.142342817255297</v>
      </c>
      <c r="O136" s="43">
        <v>2.8812276323705701</v>
      </c>
      <c r="P136" s="43">
        <v>1.17076</v>
      </c>
      <c r="Q136" s="43">
        <v>-457.38380000000001</v>
      </c>
      <c r="R136" s="43">
        <v>6.4563839999999999</v>
      </c>
      <c r="S136" s="43">
        <v>4101.2640000000001</v>
      </c>
      <c r="T136" s="43">
        <v>2.7214610000000001</v>
      </c>
      <c r="U136" s="43">
        <v>4.1338670000000004</v>
      </c>
      <c r="V136" s="43">
        <v>3519.2739999999999</v>
      </c>
      <c r="W136" s="43">
        <v>2.2983159999999998</v>
      </c>
      <c r="X136" s="43">
        <v>25974.400000000001</v>
      </c>
      <c r="Y136" s="43">
        <v>1.355683</v>
      </c>
      <c r="Z136" s="43">
        <v>0.97542969999999996</v>
      </c>
      <c r="AA136" s="43">
        <v>1.4589430000000001</v>
      </c>
      <c r="AB136" s="43">
        <v>1.1859770000000001</v>
      </c>
      <c r="AC136" s="43">
        <v>83.291719999999998</v>
      </c>
      <c r="AD136" s="43">
        <v>1.6081639999999999</v>
      </c>
      <c r="AE136" s="43">
        <v>2.096266</v>
      </c>
      <c r="AF136" s="43">
        <v>2.1414149999999998</v>
      </c>
      <c r="AG136" s="43">
        <v>369.19749999999999</v>
      </c>
      <c r="AH136" s="43">
        <v>224.2407</v>
      </c>
      <c r="AI136" s="43">
        <v>3.4217460000000002</v>
      </c>
      <c r="AJ136" s="43">
        <v>3.3773171667308599</v>
      </c>
      <c r="AK136" s="43">
        <f t="shared" si="4"/>
        <v>46056.342699890309</v>
      </c>
      <c r="AL136" s="47">
        <v>1.1704063810323406E-2</v>
      </c>
      <c r="AM136" s="43">
        <v>2.3231229271347198</v>
      </c>
      <c r="AN136" s="43">
        <v>0.689933037040666</v>
      </c>
      <c r="AO136" s="43">
        <v>3.2664740757737198</v>
      </c>
      <c r="AP136" s="43">
        <v>2.7811164206342101</v>
      </c>
      <c r="AQ136" s="43">
        <v>5.3651507995215804</v>
      </c>
      <c r="AR136" s="43">
        <v>3.1052543538525001</v>
      </c>
      <c r="AS136" s="43">
        <v>2.5908563710247399</v>
      </c>
      <c r="AT136" s="43">
        <v>2.5070267165215401</v>
      </c>
      <c r="AU136" s="43">
        <v>3.43618729251877</v>
      </c>
      <c r="AV136" s="43">
        <v>2932.6469999999999</v>
      </c>
      <c r="AW136" s="43">
        <v>1735.442</v>
      </c>
      <c r="AX136" s="43">
        <v>1.398841</v>
      </c>
      <c r="AY136" s="43">
        <v>2.0745559999999998</v>
      </c>
      <c r="AZ136" s="43">
        <v>217.041</v>
      </c>
      <c r="BA136" s="43">
        <v>0.77924459999999995</v>
      </c>
      <c r="BB136" s="43">
        <v>200.6053</v>
      </c>
      <c r="BC136" s="43">
        <v>41.268520000000002</v>
      </c>
      <c r="BD136" s="43">
        <v>5.385891</v>
      </c>
      <c r="BE136" s="43">
        <v>1.5593189999999999</v>
      </c>
      <c r="BF136" s="43">
        <v>2.3261229999999999</v>
      </c>
      <c r="BG136" s="43">
        <v>2.6541860000000002</v>
      </c>
      <c r="BH136" s="43">
        <v>2.1186229999999999</v>
      </c>
      <c r="BI136" s="43">
        <v>1.728108</v>
      </c>
      <c r="BJ136" s="43">
        <v>1.653092</v>
      </c>
      <c r="BK136" s="43">
        <v>107.5099</v>
      </c>
      <c r="BL136" s="43">
        <v>109.5394</v>
      </c>
      <c r="BM136" s="43">
        <v>1.506076</v>
      </c>
      <c r="BN136" s="43">
        <v>1.507628</v>
      </c>
      <c r="BO136" s="43">
        <v>45.45205</v>
      </c>
      <c r="BP136" s="43">
        <v>1.2832940760979701</v>
      </c>
      <c r="BQ136" s="43">
        <v>4557.4570000000003</v>
      </c>
      <c r="BR136" s="43">
        <v>729.99828010636895</v>
      </c>
      <c r="BS136" s="43">
        <v>15000.58</v>
      </c>
      <c r="BT136" s="43">
        <v>7850.0590000000002</v>
      </c>
      <c r="BU136" s="43">
        <v>1.266411</v>
      </c>
      <c r="BV136" s="43">
        <v>1.5828089999999999</v>
      </c>
      <c r="BW136" s="43">
        <v>1.6813260000000001</v>
      </c>
      <c r="BX136" s="43">
        <v>1.1588799999999999</v>
      </c>
      <c r="BY136" s="43">
        <v>1.958456</v>
      </c>
      <c r="BZ136" s="43">
        <v>2.1882540000000001</v>
      </c>
      <c r="CA136" s="43">
        <v>2.0299079999999998</v>
      </c>
      <c r="CB136" s="43">
        <v>0.73793379999999997</v>
      </c>
      <c r="CC136" s="43">
        <v>8.4820873446556799</v>
      </c>
      <c r="CD136" s="43">
        <v>1.1681090000000001</v>
      </c>
      <c r="CE136" s="43">
        <v>1.2397199999999999</v>
      </c>
      <c r="CF136" s="43">
        <v>1.376053</v>
      </c>
      <c r="CG136" s="43">
        <v>1.1975979999999999</v>
      </c>
      <c r="CH136" s="43">
        <v>1.1361636139596201</v>
      </c>
      <c r="CI136" s="43">
        <v>1.2160891959009701</v>
      </c>
      <c r="CJ136" s="43">
        <v>1.2566372797511101</v>
      </c>
      <c r="CK136" s="43">
        <v>1.1945867547307401</v>
      </c>
      <c r="CL136" s="43">
        <v>1.585561</v>
      </c>
      <c r="CM136" s="43">
        <v>1.3897040000000001</v>
      </c>
      <c r="CN136" s="43">
        <v>1.638161</v>
      </c>
      <c r="CO136" s="43">
        <v>1.9951140000000001</v>
      </c>
      <c r="CP136" s="43">
        <v>0.85508673226100795</v>
      </c>
      <c r="CQ136" s="43">
        <v>1.339688</v>
      </c>
      <c r="CR136" s="43">
        <v>0.67856580390991394</v>
      </c>
      <c r="CS136" s="43">
        <v>76.986999723717403</v>
      </c>
      <c r="CT136" s="43">
        <v>99.841654066043105</v>
      </c>
      <c r="CU136" s="43">
        <v>18.197501773853698</v>
      </c>
      <c r="CV136" s="43">
        <v>21.0887119622322</v>
      </c>
      <c r="CW136" s="43">
        <v>1.5301370000000001</v>
      </c>
      <c r="CX136" s="43">
        <v>1.475705</v>
      </c>
      <c r="CY136" s="43">
        <v>1.421697</v>
      </c>
      <c r="CZ136" s="43">
        <v>1.4684171079011501</v>
      </c>
      <c r="DA136" s="43">
        <v>1.28709895360384</v>
      </c>
      <c r="DB136" s="43">
        <v>2.7928838598574801</v>
      </c>
      <c r="DC136" s="43">
        <v>0.99606714385721995</v>
      </c>
      <c r="DD136" s="43">
        <v>1.44866421477859</v>
      </c>
      <c r="DE136" s="43">
        <v>2.0404446049219902</v>
      </c>
      <c r="DF136" s="43">
        <v>1.5563479177614601</v>
      </c>
      <c r="DG136" s="43">
        <v>1.6763532359542499</v>
      </c>
      <c r="DH136" s="43">
        <v>1.30121057883383</v>
      </c>
      <c r="DI136" s="43">
        <v>2.62904426563796</v>
      </c>
      <c r="DJ136" s="43">
        <v>1.20362383657595</v>
      </c>
      <c r="DK136" s="43">
        <v>2.1168939999999998</v>
      </c>
      <c r="DL136" s="43">
        <v>2.3630420000000001</v>
      </c>
      <c r="DM136" s="43">
        <v>2.5943000000000001</v>
      </c>
      <c r="DN136" s="43">
        <v>1.83467958282418</v>
      </c>
      <c r="DO136" s="43">
        <v>2.8389929999999999</v>
      </c>
      <c r="DP136" s="43">
        <v>1.95401</v>
      </c>
      <c r="DQ136" s="43">
        <v>1.4580139999999999</v>
      </c>
      <c r="DR136" s="43">
        <v>2.3514219999999999</v>
      </c>
      <c r="DS136" s="43">
        <v>0.96631880000000003</v>
      </c>
      <c r="DT136" s="43">
        <v>1.58895065951388</v>
      </c>
      <c r="DU136" s="43">
        <v>660.94439999999997</v>
      </c>
      <c r="DV136" s="43">
        <v>341.91140000000001</v>
      </c>
      <c r="DW136" s="43">
        <v>123.181</v>
      </c>
      <c r="DX136" s="43">
        <v>1.1689350000000001</v>
      </c>
      <c r="DY136" s="43">
        <v>1.325882</v>
      </c>
      <c r="DZ136" s="43">
        <v>1.0989660000000001</v>
      </c>
      <c r="EA136" s="43">
        <v>934.00840000000005</v>
      </c>
      <c r="EB136" s="43">
        <v>121.58052876419001</v>
      </c>
      <c r="EC136" s="43">
        <v>1.48935169414748</v>
      </c>
      <c r="ED136" s="43">
        <v>1.58798760387842</v>
      </c>
      <c r="EE136" s="43">
        <v>1.5623709387556499</v>
      </c>
      <c r="EF136" s="43">
        <v>1.8919979102068301</v>
      </c>
      <c r="EG136" s="43">
        <v>1.6738044676403401</v>
      </c>
      <c r="EH136" s="43">
        <v>0.741384929367086</v>
      </c>
      <c r="EI136" s="43">
        <v>0.30624930138879197</v>
      </c>
      <c r="EJ136" s="43">
        <v>35.080605174870499</v>
      </c>
      <c r="EK136" s="43">
        <v>19.9062045902714</v>
      </c>
      <c r="EL136" s="43">
        <v>0.87676810786875903</v>
      </c>
      <c r="EM136" s="43">
        <v>2626.6901771963398</v>
      </c>
      <c r="EN136" s="43">
        <v>654.02463018411504</v>
      </c>
      <c r="EO136" s="43">
        <v>97199.723502301902</v>
      </c>
      <c r="EP136" s="43">
        <v>65896.407233184305</v>
      </c>
      <c r="EQ136" s="43">
        <v>4687.6899350373596</v>
      </c>
      <c r="ER136" s="43">
        <v>2.1864942628702302</v>
      </c>
      <c r="ES136" s="43">
        <v>2.3357067290172999</v>
      </c>
      <c r="ET136" s="43">
        <v>2.1559709597833598</v>
      </c>
      <c r="EU136" s="43">
        <v>2.5935929999999998</v>
      </c>
      <c r="EV136" s="43">
        <v>2.1639810000000002</v>
      </c>
      <c r="EW136" s="43">
        <v>3.2776619999999999</v>
      </c>
      <c r="EX136" s="43">
        <v>2.5947450000000001</v>
      </c>
      <c r="EY136" s="43">
        <v>2.164358</v>
      </c>
      <c r="EZ136" s="43">
        <v>3.2785989999999998</v>
      </c>
      <c r="FA136" s="43">
        <v>19.844199144451402</v>
      </c>
      <c r="FB136" s="43">
        <v>19.434496414572401</v>
      </c>
      <c r="FC136" s="43">
        <v>84.273736913913993</v>
      </c>
      <c r="FD136" s="43">
        <v>18143.676634064501</v>
      </c>
      <c r="FE136" s="43">
        <v>211098.6</v>
      </c>
      <c r="FF136" s="43">
        <v>1.6894687500000001</v>
      </c>
      <c r="FG136" s="43">
        <v>5.8720300924687701</v>
      </c>
      <c r="FH136" s="43">
        <v>932.391046149722</v>
      </c>
      <c r="FI136" s="43">
        <v>14211.8526353369</v>
      </c>
      <c r="FJ136" s="43">
        <v>7.0581489613947097</v>
      </c>
      <c r="FK136" s="43">
        <v>19.7721724494547</v>
      </c>
      <c r="FL136" s="43">
        <v>1.1145160000000001</v>
      </c>
      <c r="FM136" s="43">
        <v>1.153006</v>
      </c>
    </row>
    <row r="137" spans="1:169" x14ac:dyDescent="0.25">
      <c r="A137" s="43" t="s">
        <v>364</v>
      </c>
      <c r="B137" s="43">
        <v>28950.89</v>
      </c>
      <c r="C137" s="43">
        <v>20165.86</v>
      </c>
      <c r="D137" s="43">
        <v>4.2073919999999996</v>
      </c>
      <c r="E137" s="43">
        <v>2.9932660000000002</v>
      </c>
      <c r="F137" s="43">
        <v>2.84856</v>
      </c>
      <c r="G137" s="43">
        <v>3.854501</v>
      </c>
      <c r="H137" s="43">
        <v>1.327275</v>
      </c>
      <c r="I137" s="43">
        <v>1.2625139999999999</v>
      </c>
      <c r="J137" s="43">
        <v>1.2578149999999999</v>
      </c>
      <c r="K137" s="43">
        <v>1.18465</v>
      </c>
      <c r="L137" s="43">
        <v>3.3048890000000002</v>
      </c>
      <c r="M137" s="43">
        <v>85.709990000000005</v>
      </c>
      <c r="N137" s="43">
        <v>91.518167660760199</v>
      </c>
      <c r="O137" s="43">
        <v>2.89775475072069</v>
      </c>
      <c r="P137" s="43">
        <v>1.1876059999999999</v>
      </c>
      <c r="Q137" s="43">
        <v>-448.54259999999999</v>
      </c>
      <c r="R137" s="43">
        <v>6.4644399999999997</v>
      </c>
      <c r="S137" s="43">
        <v>4121.1909999999998</v>
      </c>
      <c r="T137" s="43">
        <v>2.7256399999999998</v>
      </c>
      <c r="U137" s="43">
        <v>4.1323809999999996</v>
      </c>
      <c r="V137" s="43">
        <v>3523.665</v>
      </c>
      <c r="W137" s="43">
        <v>2.3162340000000001</v>
      </c>
      <c r="X137" s="43">
        <v>26237.35</v>
      </c>
      <c r="Y137" s="43">
        <v>1.35683</v>
      </c>
      <c r="Z137" s="43">
        <v>0.97664669999999998</v>
      </c>
      <c r="AA137" s="43">
        <v>1.4636439999999999</v>
      </c>
      <c r="AB137" s="43">
        <v>1.1866730000000001</v>
      </c>
      <c r="AC137" s="43">
        <v>83.636089999999996</v>
      </c>
      <c r="AD137" s="43">
        <v>1.617999</v>
      </c>
      <c r="AE137" s="43">
        <v>2.114798</v>
      </c>
      <c r="AF137" s="43">
        <v>2.1587350000000001</v>
      </c>
      <c r="AG137" s="43">
        <v>369.65809999999999</v>
      </c>
      <c r="AH137" s="43">
        <v>224.5205</v>
      </c>
      <c r="AI137" s="43">
        <v>3.444591</v>
      </c>
      <c r="AJ137" s="43">
        <v>3.3997330699408899</v>
      </c>
      <c r="AK137" s="43">
        <f t="shared" si="4"/>
        <v>46579.398129889749</v>
      </c>
      <c r="AL137" s="47">
        <v>1.1356859866354263E-2</v>
      </c>
      <c r="AM137" s="43">
        <v>2.3146730192285698</v>
      </c>
      <c r="AN137" s="43">
        <v>0.686643797065283</v>
      </c>
      <c r="AO137" s="43">
        <v>3.28292947942992</v>
      </c>
      <c r="AP137" s="43">
        <v>2.7948763699655501</v>
      </c>
      <c r="AQ137" s="43">
        <v>5.40704379199786</v>
      </c>
      <c r="AR137" s="43">
        <v>3.1252513098693102</v>
      </c>
      <c r="AS137" s="43">
        <v>2.6050600265110799</v>
      </c>
      <c r="AT137" s="43">
        <v>2.5189824567982302</v>
      </c>
      <c r="AU137" s="43">
        <v>3.4597582220146701</v>
      </c>
      <c r="AV137" s="43">
        <v>2946.4789999999998</v>
      </c>
      <c r="AW137" s="43">
        <v>1746.0940000000001</v>
      </c>
      <c r="AX137" s="43">
        <v>1.404577</v>
      </c>
      <c r="AY137" s="43">
        <v>2.0880899999999998</v>
      </c>
      <c r="AZ137" s="43">
        <v>215.97</v>
      </c>
      <c r="BA137" s="43">
        <v>0.78080309999999997</v>
      </c>
      <c r="BB137" s="43">
        <v>202.47919999999999</v>
      </c>
      <c r="BC137" s="43">
        <v>41.547960000000003</v>
      </c>
      <c r="BD137" s="43">
        <v>5.4112939999999998</v>
      </c>
      <c r="BE137" s="43">
        <v>1.568287</v>
      </c>
      <c r="BF137" s="43">
        <v>2.3291810000000002</v>
      </c>
      <c r="BG137" s="43">
        <v>2.6583950000000001</v>
      </c>
      <c r="BH137" s="43">
        <v>2.1038549999999998</v>
      </c>
      <c r="BI137" s="43">
        <v>1.738626</v>
      </c>
      <c r="BJ137" s="43">
        <v>1.6608890000000001</v>
      </c>
      <c r="BK137" s="43">
        <v>108.017</v>
      </c>
      <c r="BL137" s="43">
        <v>109.77160000000001</v>
      </c>
      <c r="BM137" s="43">
        <v>1.5170459999999999</v>
      </c>
      <c r="BN137" s="43">
        <v>1.513422</v>
      </c>
      <c r="BO137" s="43">
        <v>45.572490000000002</v>
      </c>
      <c r="BP137" s="43">
        <v>1.2807326216808701</v>
      </c>
      <c r="BQ137" s="43">
        <v>4596.875</v>
      </c>
      <c r="BR137" s="43">
        <v>734.69836564310799</v>
      </c>
      <c r="BS137" s="43">
        <v>15097.51</v>
      </c>
      <c r="BT137" s="43">
        <v>7903.3540000000003</v>
      </c>
      <c r="BU137" s="43">
        <v>1.274294</v>
      </c>
      <c r="BV137" s="43">
        <v>1.591634</v>
      </c>
      <c r="BW137" s="43">
        <v>1.69238</v>
      </c>
      <c r="BX137" s="43">
        <v>1.161197</v>
      </c>
      <c r="BY137" s="43">
        <v>1.9624470000000001</v>
      </c>
      <c r="BZ137" s="43">
        <v>2.1895440000000002</v>
      </c>
      <c r="CA137" s="43">
        <v>2.0371679999999999</v>
      </c>
      <c r="CB137" s="43">
        <v>0.73867170000000004</v>
      </c>
      <c r="CC137" s="43">
        <v>8.5498086009004304</v>
      </c>
      <c r="CD137" s="43">
        <v>1.176267</v>
      </c>
      <c r="CE137" s="43">
        <v>1.2477750000000001</v>
      </c>
      <c r="CF137" s="43">
        <v>1.386206</v>
      </c>
      <c r="CG137" s="43">
        <v>1.202969</v>
      </c>
      <c r="CH137" s="43">
        <v>1.1399410075065499</v>
      </c>
      <c r="CI137" s="43">
        <v>1.22172839594307</v>
      </c>
      <c r="CJ137" s="43">
        <v>1.26320948454997</v>
      </c>
      <c r="CK137" s="43">
        <v>1.1999109783781401</v>
      </c>
      <c r="CL137" s="43">
        <v>1.594406</v>
      </c>
      <c r="CM137" s="43">
        <v>1.3947579999999999</v>
      </c>
      <c r="CN137" s="43">
        <v>1.6492340000000001</v>
      </c>
      <c r="CO137" s="43">
        <v>2.0030939999999999</v>
      </c>
      <c r="CP137" s="43">
        <v>0.858507058858203</v>
      </c>
      <c r="CQ137" s="43">
        <v>1.3465210000000001</v>
      </c>
      <c r="CR137" s="43">
        <v>0.67852862377009304</v>
      </c>
      <c r="CS137" s="43">
        <v>77.2949458920517</v>
      </c>
      <c r="CT137" s="43">
        <v>100.041337374175</v>
      </c>
      <c r="CU137" s="43">
        <v>18.206802875782799</v>
      </c>
      <c r="CV137" s="43">
        <v>21.141689800327601</v>
      </c>
      <c r="CW137" s="43">
        <v>1.5387409999999999</v>
      </c>
      <c r="CX137" s="43">
        <v>1.4835160000000001</v>
      </c>
      <c r="CY137" s="43">
        <v>1.4281710000000001</v>
      </c>
      <c r="CZ137" s="43">
        <v>1.4758209055551399</v>
      </c>
      <c r="DA137" s="43">
        <v>1.2919132473268999</v>
      </c>
      <c r="DB137" s="43">
        <v>2.8083249520969602</v>
      </c>
      <c r="DC137" s="43">
        <v>0.99571749892873895</v>
      </c>
      <c r="DD137" s="43">
        <v>1.45795404106335</v>
      </c>
      <c r="DE137" s="43">
        <v>2.0573074566716598</v>
      </c>
      <c r="DF137" s="43">
        <v>1.56462928178979</v>
      </c>
      <c r="DG137" s="43">
        <v>1.6859984536636601</v>
      </c>
      <c r="DH137" s="43">
        <v>1.3070506609030199</v>
      </c>
      <c r="DI137" s="43">
        <v>2.6546190953143598</v>
      </c>
      <c r="DJ137" s="43">
        <v>1.2036631694518001</v>
      </c>
      <c r="DK137" s="43">
        <v>2.133521</v>
      </c>
      <c r="DL137" s="43">
        <v>2.384814</v>
      </c>
      <c r="DM137" s="43">
        <v>2.619815</v>
      </c>
      <c r="DN137" s="43">
        <v>1.84821903977194</v>
      </c>
      <c r="DO137" s="43">
        <v>2.8704299999999998</v>
      </c>
      <c r="DP137" s="43">
        <v>1.9700519999999999</v>
      </c>
      <c r="DQ137" s="43">
        <v>1.4642059999999999</v>
      </c>
      <c r="DR137" s="43">
        <v>2.3734109999999999</v>
      </c>
      <c r="DS137" s="43">
        <v>0.96898390000000001</v>
      </c>
      <c r="DT137" s="43">
        <v>1.59892486590931</v>
      </c>
      <c r="DU137" s="43">
        <v>664.18299999999999</v>
      </c>
      <c r="DV137" s="43">
        <v>343.19779999999997</v>
      </c>
      <c r="DW137" s="43">
        <v>124.0531</v>
      </c>
      <c r="DX137" s="43">
        <v>1.1722729999999999</v>
      </c>
      <c r="DY137" s="43">
        <v>1.3318099999999999</v>
      </c>
      <c r="DZ137" s="43">
        <v>1.1043510000000001</v>
      </c>
      <c r="EA137" s="43">
        <v>935.63459999999998</v>
      </c>
      <c r="EB137" s="43">
        <v>122.79633405183399</v>
      </c>
      <c r="EC137" s="43">
        <v>1.4991437657993101</v>
      </c>
      <c r="ED137" s="43">
        <v>1.5994722366260401</v>
      </c>
      <c r="EE137" s="43">
        <v>1.5731110962861099</v>
      </c>
      <c r="EF137" s="43">
        <v>1.9068961045598101</v>
      </c>
      <c r="EG137" s="43">
        <v>1.68546273118843</v>
      </c>
      <c r="EH137" s="43">
        <v>0.74564843145427295</v>
      </c>
      <c r="EI137" s="43">
        <v>0.30801045741442801</v>
      </c>
      <c r="EJ137" s="43">
        <v>35.282344146703302</v>
      </c>
      <c r="EK137" s="43">
        <v>20.0206797319378</v>
      </c>
      <c r="EL137" s="43">
        <v>0.881810161611433</v>
      </c>
      <c r="EM137" s="43">
        <v>2637.5502265047198</v>
      </c>
      <c r="EN137" s="43">
        <v>656.72869471153899</v>
      </c>
      <c r="EO137" s="43">
        <v>97601.595713634495</v>
      </c>
      <c r="EP137" s="43">
        <v>66168.855898051595</v>
      </c>
      <c r="EQ137" s="43">
        <v>4707.0711868800199</v>
      </c>
      <c r="ER137" s="43">
        <v>2.20086985231123</v>
      </c>
      <c r="ES137" s="43">
        <v>2.3510633487721</v>
      </c>
      <c r="ET137" s="43">
        <v>2.1701458670268301</v>
      </c>
      <c r="EU137" s="43">
        <v>2.6208689999999999</v>
      </c>
      <c r="EV137" s="43">
        <v>2.1787529999999999</v>
      </c>
      <c r="EW137" s="43">
        <v>3.316595</v>
      </c>
      <c r="EX137" s="43">
        <v>2.6208930000000001</v>
      </c>
      <c r="EY137" s="43">
        <v>2.178248</v>
      </c>
      <c r="EZ137" s="43">
        <v>3.31569</v>
      </c>
      <c r="FA137" s="43">
        <v>20.053702588002899</v>
      </c>
      <c r="FB137" s="43">
        <v>19.638303784477699</v>
      </c>
      <c r="FC137" s="43">
        <v>85.123012099819604</v>
      </c>
      <c r="FD137" s="43">
        <v>18260.115810128402</v>
      </c>
      <c r="FE137" s="43">
        <v>213486.8</v>
      </c>
      <c r="FF137" s="43">
        <v>1.6932812500000001</v>
      </c>
      <c r="FG137" s="43">
        <v>5.9307503933934402</v>
      </c>
      <c r="FH137" s="43">
        <v>932.40925691234202</v>
      </c>
      <c r="FI137" s="43">
        <v>14176.323003748499</v>
      </c>
      <c r="FJ137" s="43">
        <v>7.0369745145105203</v>
      </c>
      <c r="FK137" s="43">
        <v>19.831488966803001</v>
      </c>
      <c r="FL137" s="43">
        <v>1.1162300000000001</v>
      </c>
      <c r="FM137" s="43">
        <v>1.1501680000000001</v>
      </c>
    </row>
    <row r="138" spans="1:169" x14ac:dyDescent="0.25">
      <c r="A138" s="43" t="s">
        <v>365</v>
      </c>
      <c r="B138" s="43">
        <v>29151.46</v>
      </c>
      <c r="C138" s="43">
        <v>20349.86</v>
      </c>
      <c r="D138" s="43">
        <v>4.2324120000000001</v>
      </c>
      <c r="E138" s="43">
        <v>2.9932660000000002</v>
      </c>
      <c r="F138" s="43">
        <v>2.8273869999999999</v>
      </c>
      <c r="G138" s="43">
        <v>3.8220040000000002</v>
      </c>
      <c r="H138" s="43">
        <v>1.3382339999999999</v>
      </c>
      <c r="I138" s="43">
        <v>1.2709189999999999</v>
      </c>
      <c r="J138" s="43">
        <v>1.265674</v>
      </c>
      <c r="K138" s="43">
        <v>1.18981</v>
      </c>
      <c r="L138" s="43">
        <v>3.3227099999999998</v>
      </c>
      <c r="M138" s="43">
        <v>86.061970000000002</v>
      </c>
      <c r="N138" s="43">
        <v>91.893992504266095</v>
      </c>
      <c r="O138" s="43">
        <v>2.9087728296207702</v>
      </c>
      <c r="P138" s="43">
        <v>1.203532</v>
      </c>
      <c r="Q138" s="43">
        <v>-441.05849999999998</v>
      </c>
      <c r="R138" s="43">
        <v>6.4644399999999997</v>
      </c>
      <c r="S138" s="43">
        <v>4150.6040000000003</v>
      </c>
      <c r="T138" s="43">
        <v>2.7274379999999998</v>
      </c>
      <c r="U138" s="43">
        <v>4.1290069999999996</v>
      </c>
      <c r="V138" s="43">
        <v>3551.6759999999999</v>
      </c>
      <c r="W138" s="43">
        <v>2.331725</v>
      </c>
      <c r="X138" s="43">
        <v>26442.93</v>
      </c>
      <c r="Y138" s="43">
        <v>1.358241</v>
      </c>
      <c r="Z138" s="43">
        <v>0.98407719999999999</v>
      </c>
      <c r="AA138" s="43">
        <v>1.4668639999999999</v>
      </c>
      <c r="AB138" s="43">
        <v>1.193352</v>
      </c>
      <c r="AC138" s="43">
        <v>83.980459999999994</v>
      </c>
      <c r="AD138" s="43">
        <v>1.6264380000000001</v>
      </c>
      <c r="AE138" s="43">
        <v>2.129464</v>
      </c>
      <c r="AF138" s="43">
        <v>2.1745830000000002</v>
      </c>
      <c r="AG138" s="43">
        <v>370.02730000000003</v>
      </c>
      <c r="AH138" s="43">
        <v>224.91239999999999</v>
      </c>
      <c r="AI138" s="43">
        <v>3.4634610000000001</v>
      </c>
      <c r="AJ138" s="43">
        <v>3.4182505357743702</v>
      </c>
      <c r="AK138" s="43">
        <f t="shared" si="4"/>
        <v>47146.713549602842</v>
      </c>
      <c r="AL138" s="47">
        <v>1.2179535212780035E-2</v>
      </c>
      <c r="AM138" s="43">
        <v>2.3046017223928801</v>
      </c>
      <c r="AN138" s="43">
        <v>0.67834345296843701</v>
      </c>
      <c r="AO138" s="43">
        <v>3.2968930572253998</v>
      </c>
      <c r="AP138" s="43">
        <v>2.8108701071123798</v>
      </c>
      <c r="AQ138" s="43">
        <v>5.4417386547091704</v>
      </c>
      <c r="AR138" s="43">
        <v>3.1391263782355701</v>
      </c>
      <c r="AS138" s="43">
        <v>2.61740409757016</v>
      </c>
      <c r="AT138" s="43">
        <v>2.5294385243219901</v>
      </c>
      <c r="AU138" s="43">
        <v>3.47749098841834</v>
      </c>
      <c r="AV138" s="43">
        <v>2962.5529999999999</v>
      </c>
      <c r="AW138" s="43">
        <v>1759.5930000000001</v>
      </c>
      <c r="AX138" s="43">
        <v>1.4112659999999999</v>
      </c>
      <c r="AY138" s="43">
        <v>2.099777</v>
      </c>
      <c r="AZ138" s="43">
        <v>215.99160000000001</v>
      </c>
      <c r="BA138" s="43">
        <v>0.77924150000000003</v>
      </c>
      <c r="BB138" s="43">
        <v>202.89490000000001</v>
      </c>
      <c r="BC138" s="43">
        <v>41.783230000000003</v>
      </c>
      <c r="BD138" s="43">
        <v>5.4408130000000003</v>
      </c>
      <c r="BE138" s="43">
        <v>1.5764929999999999</v>
      </c>
      <c r="BF138" s="43">
        <v>2.32552</v>
      </c>
      <c r="BG138" s="43">
        <v>2.6544279999999998</v>
      </c>
      <c r="BH138" s="43">
        <v>2.078865</v>
      </c>
      <c r="BI138" s="43">
        <v>1.747835</v>
      </c>
      <c r="BJ138" s="43">
        <v>1.6699489999999999</v>
      </c>
      <c r="BK138" s="43">
        <v>108.6062</v>
      </c>
      <c r="BL138" s="43">
        <v>110.4432</v>
      </c>
      <c r="BM138" s="43">
        <v>1.532429</v>
      </c>
      <c r="BN138" s="43">
        <v>1.521166</v>
      </c>
      <c r="BO138" s="43">
        <v>45.693260000000002</v>
      </c>
      <c r="BP138" s="43">
        <v>1.28329918034757</v>
      </c>
      <c r="BQ138" s="43">
        <v>4635.3829999999998</v>
      </c>
      <c r="BR138" s="43">
        <v>738.88856215041096</v>
      </c>
      <c r="BS138" s="43">
        <v>15180.24</v>
      </c>
      <c r="BT138" s="43">
        <v>7939.31</v>
      </c>
      <c r="BU138" s="43">
        <v>1.284224</v>
      </c>
      <c r="BV138" s="43">
        <v>1.598992</v>
      </c>
      <c r="BW138" s="43">
        <v>1.702143</v>
      </c>
      <c r="BX138" s="43">
        <v>1.1530689999999999</v>
      </c>
      <c r="BY138" s="43">
        <v>1.9412590000000001</v>
      </c>
      <c r="BZ138" s="43">
        <v>2.174185</v>
      </c>
      <c r="CA138" s="43">
        <v>2.0239379999999998</v>
      </c>
      <c r="CB138" s="43">
        <v>0.73941029999999996</v>
      </c>
      <c r="CC138" s="43">
        <v>8.5934694234080098</v>
      </c>
      <c r="CD138" s="43">
        <v>1.186256</v>
      </c>
      <c r="CE138" s="43">
        <v>1.257825</v>
      </c>
      <c r="CF138" s="43">
        <v>1.398415</v>
      </c>
      <c r="CG138" s="43">
        <v>1.2105669999999999</v>
      </c>
      <c r="CH138" s="43">
        <v>1.1440933151564601</v>
      </c>
      <c r="CI138" s="43">
        <v>1.22792769178685</v>
      </c>
      <c r="CJ138" s="43">
        <v>1.2707126543521801</v>
      </c>
      <c r="CK138" s="43">
        <v>1.2052722535966001</v>
      </c>
      <c r="CL138" s="43">
        <v>1.6017809999999999</v>
      </c>
      <c r="CM138" s="43">
        <v>1.399235</v>
      </c>
      <c r="CN138" s="43">
        <v>1.6585399999999999</v>
      </c>
      <c r="CO138" s="43">
        <v>2.0091030000000001</v>
      </c>
      <c r="CP138" s="43">
        <v>0.86108257831589496</v>
      </c>
      <c r="CQ138" s="43">
        <v>1.3532649999999999</v>
      </c>
      <c r="CR138" s="43">
        <v>0.67798240936106202</v>
      </c>
      <c r="CS138" s="43">
        <v>77.526830574969793</v>
      </c>
      <c r="CT138" s="43">
        <v>100.64158539842001</v>
      </c>
      <c r="CU138" s="43">
        <v>18.298478620373899</v>
      </c>
      <c r="CV138" s="43">
        <v>21.099406420726901</v>
      </c>
      <c r="CW138" s="43">
        <v>1.54634</v>
      </c>
      <c r="CX138" s="43">
        <v>1.4904139999999999</v>
      </c>
      <c r="CY138" s="43">
        <v>1.433889</v>
      </c>
      <c r="CZ138" s="43">
        <v>1.48235232940179</v>
      </c>
      <c r="DA138" s="43">
        <v>1.2961652813329301</v>
      </c>
      <c r="DB138" s="43">
        <v>2.82292472159333</v>
      </c>
      <c r="DC138" s="43">
        <v>0.99546839737012904</v>
      </c>
      <c r="DD138" s="43">
        <v>1.4662127258540401</v>
      </c>
      <c r="DE138" s="43">
        <v>2.0718709353881999</v>
      </c>
      <c r="DF138" s="43">
        <v>1.5715241579219501</v>
      </c>
      <c r="DG138" s="43">
        <v>1.69433550843588</v>
      </c>
      <c r="DH138" s="43">
        <v>1.3122548033429899</v>
      </c>
      <c r="DI138" s="43">
        <v>2.6764931753389201</v>
      </c>
      <c r="DJ138" s="43">
        <v>1.20314314453583</v>
      </c>
      <c r="DK138" s="43">
        <v>2.1473439999999999</v>
      </c>
      <c r="DL138" s="43">
        <v>2.4040750000000002</v>
      </c>
      <c r="DM138" s="43">
        <v>2.6424029999999998</v>
      </c>
      <c r="DN138" s="43">
        <v>1.86017495496494</v>
      </c>
      <c r="DO138" s="43">
        <v>2.898279</v>
      </c>
      <c r="DP138" s="43">
        <v>1.9842299999999999</v>
      </c>
      <c r="DQ138" s="43">
        <v>1.4697990000000001</v>
      </c>
      <c r="DR138" s="43">
        <v>2.392887</v>
      </c>
      <c r="DS138" s="43">
        <v>0.97146600000000005</v>
      </c>
      <c r="DT138" s="43">
        <v>1.60776888923434</v>
      </c>
      <c r="DU138" s="43">
        <v>666.10910000000001</v>
      </c>
      <c r="DV138" s="43">
        <v>344.04739999999998</v>
      </c>
      <c r="DW138" s="43">
        <v>124.62439999999999</v>
      </c>
      <c r="DX138" s="43">
        <v>1.174539</v>
      </c>
      <c r="DY138" s="43">
        <v>1.3357030000000001</v>
      </c>
      <c r="DZ138" s="43">
        <v>1.1075539999999999</v>
      </c>
      <c r="EA138" s="43">
        <v>935.95079999999996</v>
      </c>
      <c r="EB138" s="43">
        <v>122.305148715627</v>
      </c>
      <c r="EC138" s="43">
        <v>1.5077921876129901</v>
      </c>
      <c r="ED138" s="43">
        <v>1.60962216486302</v>
      </c>
      <c r="EE138" s="43">
        <v>1.5825990792697799</v>
      </c>
      <c r="EF138" s="43">
        <v>1.92007438484161</v>
      </c>
      <c r="EG138" s="43">
        <v>1.6957641106058401</v>
      </c>
      <c r="EH138" s="43">
        <v>0.74955032396458998</v>
      </c>
      <c r="EI138" s="43">
        <v>0.30962224072434602</v>
      </c>
      <c r="EJ138" s="43">
        <v>35.466972597009203</v>
      </c>
      <c r="EK138" s="43">
        <v>20.125445647082401</v>
      </c>
      <c r="EL138" s="43">
        <v>0.88642457280036602</v>
      </c>
      <c r="EM138" s="43">
        <v>2648.4102758131198</v>
      </c>
      <c r="EN138" s="43">
        <v>659.43275923896999</v>
      </c>
      <c r="EO138" s="43">
        <v>98003.467924968005</v>
      </c>
      <c r="EP138" s="43">
        <v>66441.304562919497</v>
      </c>
      <c r="EQ138" s="43">
        <v>4726.4524387227202</v>
      </c>
      <c r="ER138" s="43">
        <v>2.2135664670549602</v>
      </c>
      <c r="ES138" s="43">
        <v>2.36462641591398</v>
      </c>
      <c r="ET138" s="43">
        <v>2.1826652379393798</v>
      </c>
      <c r="EU138" s="43">
        <v>2.6445310000000002</v>
      </c>
      <c r="EV138" s="43">
        <v>2.1910370000000001</v>
      </c>
      <c r="EW138" s="43">
        <v>3.3491339999999998</v>
      </c>
      <c r="EX138" s="43">
        <v>2.6434769999999999</v>
      </c>
      <c r="EY138" s="43">
        <v>2.1906780000000001</v>
      </c>
      <c r="EZ138" s="43">
        <v>3.3480310000000002</v>
      </c>
      <c r="FA138" s="43">
        <v>20.2354491515818</v>
      </c>
      <c r="FB138" s="43">
        <v>19.815132537288601</v>
      </c>
      <c r="FC138" s="43">
        <v>85.856492961026305</v>
      </c>
      <c r="FD138" s="43">
        <v>18364.312550955001</v>
      </c>
      <c r="FE138" s="43">
        <v>215569.1</v>
      </c>
      <c r="FF138" s="43">
        <v>1.6932812500000001</v>
      </c>
      <c r="FG138" s="43">
        <v>5.9900578973273904</v>
      </c>
      <c r="FH138" s="43">
        <v>932.42746803064097</v>
      </c>
      <c r="FI138" s="43">
        <v>14247.2046187673</v>
      </c>
      <c r="FJ138" s="43">
        <v>7.0158635909669904</v>
      </c>
      <c r="FK138" s="43">
        <v>19.8909834337035</v>
      </c>
      <c r="FL138" s="43">
        <v>1.117048</v>
      </c>
      <c r="FM138" s="43">
        <v>1.151883</v>
      </c>
    </row>
    <row r="139" spans="1:169" x14ac:dyDescent="0.25">
      <c r="A139" s="43" t="s">
        <v>366</v>
      </c>
      <c r="B139" s="43">
        <v>29403.25</v>
      </c>
      <c r="C139" s="43">
        <v>20495.82</v>
      </c>
      <c r="D139" s="43">
        <v>4.2534169999999998</v>
      </c>
      <c r="E139" s="43">
        <v>3.490907</v>
      </c>
      <c r="F139" s="43">
        <v>2.9997029999999998</v>
      </c>
      <c r="G139" s="43">
        <v>3.7510659999999998</v>
      </c>
      <c r="H139" s="43">
        <v>1.353545</v>
      </c>
      <c r="I139" s="43">
        <v>1.28342</v>
      </c>
      <c r="J139" s="43">
        <v>1.276575</v>
      </c>
      <c r="K139" s="43">
        <v>1.1958690000000001</v>
      </c>
      <c r="L139" s="43">
        <v>3.3380939999999999</v>
      </c>
      <c r="M139" s="43">
        <v>86.413929999999993</v>
      </c>
      <c r="N139" s="43">
        <v>92.269817347770996</v>
      </c>
      <c r="O139" s="43">
        <v>2.9252999479708799</v>
      </c>
      <c r="P139" s="43">
        <v>1.21854</v>
      </c>
      <c r="Q139" s="43">
        <v>-432.13869999999997</v>
      </c>
      <c r="R139" s="43">
        <v>6.4644399999999997</v>
      </c>
      <c r="S139" s="43">
        <v>4171.6350000000002</v>
      </c>
      <c r="T139" s="43">
        <v>3.107567</v>
      </c>
      <c r="U139" s="43">
        <v>4.2716710000000004</v>
      </c>
      <c r="V139" s="43">
        <v>3591.64</v>
      </c>
      <c r="W139" s="43">
        <v>2.342924</v>
      </c>
      <c r="X139" s="43">
        <v>26455.919999999998</v>
      </c>
      <c r="Y139" s="43">
        <v>1.359723</v>
      </c>
      <c r="Z139" s="43">
        <v>0.99495259999999996</v>
      </c>
      <c r="AA139" s="43">
        <v>1.472548</v>
      </c>
      <c r="AB139" s="43">
        <v>1.1971499999999999</v>
      </c>
      <c r="AC139" s="43">
        <v>84.324830000000006</v>
      </c>
      <c r="AD139" s="43">
        <v>1.6337170000000001</v>
      </c>
      <c r="AE139" s="43">
        <v>2.1437300000000001</v>
      </c>
      <c r="AF139" s="43">
        <v>2.1893699999999998</v>
      </c>
      <c r="AG139" s="43">
        <v>370.4889</v>
      </c>
      <c r="AH139" s="43">
        <v>225.30500000000001</v>
      </c>
      <c r="AI139" s="43">
        <v>3.48231</v>
      </c>
      <c r="AJ139" s="43">
        <v>3.43543887340175</v>
      </c>
      <c r="AK139" s="43">
        <f t="shared" si="4"/>
        <v>47766.771046476388</v>
      </c>
      <c r="AL139" s="47">
        <v>1.3151658942699873E-2</v>
      </c>
      <c r="AM139" s="43">
        <v>2.29236907958173</v>
      </c>
      <c r="AN139" s="43">
        <v>0.668144717583954</v>
      </c>
      <c r="AO139" s="43">
        <v>3.3088584266990799</v>
      </c>
      <c r="AP139" s="43">
        <v>2.8297778053129599</v>
      </c>
      <c r="AQ139" s="43">
        <v>5.4712162959569604</v>
      </c>
      <c r="AR139" s="43">
        <v>3.15249763599269</v>
      </c>
      <c r="AS139" s="43">
        <v>2.6284711287463201</v>
      </c>
      <c r="AT139" s="43">
        <v>2.5395799423526801</v>
      </c>
      <c r="AU139" s="43">
        <v>3.48627837168319</v>
      </c>
      <c r="AV139" s="43">
        <v>2980.17</v>
      </c>
      <c r="AW139" s="43">
        <v>1771.8720000000001</v>
      </c>
      <c r="AX139" s="43">
        <v>1.4215150000000001</v>
      </c>
      <c r="AY139" s="43">
        <v>2.1092569999999999</v>
      </c>
      <c r="AZ139" s="43">
        <v>216.01320000000001</v>
      </c>
      <c r="BA139" s="43">
        <v>0.78080000000000005</v>
      </c>
      <c r="BB139" s="43">
        <v>203.1756</v>
      </c>
      <c r="BC139" s="43">
        <v>41.966259999999998</v>
      </c>
      <c r="BD139" s="43">
        <v>5.471832</v>
      </c>
      <c r="BE139" s="43">
        <v>1.5824990000000001</v>
      </c>
      <c r="BF139" s="43">
        <v>2.630887</v>
      </c>
      <c r="BG139" s="43">
        <v>2.9764140000000001</v>
      </c>
      <c r="BH139" s="43">
        <v>2.1914579999999999</v>
      </c>
      <c r="BI139" s="43">
        <v>1.755255</v>
      </c>
      <c r="BJ139" s="43">
        <v>1.67947</v>
      </c>
      <c r="BK139" s="43">
        <v>109.22539999999999</v>
      </c>
      <c r="BL139" s="43">
        <v>110.67359999999999</v>
      </c>
      <c r="BM139" s="43">
        <v>1.5542</v>
      </c>
      <c r="BN139" s="43">
        <v>1.5324519999999999</v>
      </c>
      <c r="BO139" s="43">
        <v>45.814349999999997</v>
      </c>
      <c r="BP139" s="43">
        <v>1.28073770557804</v>
      </c>
      <c r="BQ139" s="43">
        <v>4672.4409999999998</v>
      </c>
      <c r="BR139" s="43">
        <v>741.30669148857498</v>
      </c>
      <c r="BS139" s="43">
        <v>15256.14</v>
      </c>
      <c r="BT139" s="43">
        <v>7962.6480000000001</v>
      </c>
      <c r="BU139" s="43">
        <v>1.297032</v>
      </c>
      <c r="BV139" s="43">
        <v>1.6047340000000001</v>
      </c>
      <c r="BW139" s="43">
        <v>1.709786</v>
      </c>
      <c r="BX139" s="43">
        <v>1.144997</v>
      </c>
      <c r="BY139" s="43">
        <v>1.967711</v>
      </c>
      <c r="BZ139" s="43">
        <v>2.1905190000000001</v>
      </c>
      <c r="CA139" s="43">
        <v>2.048899</v>
      </c>
      <c r="CB139" s="43">
        <v>0.74014970000000002</v>
      </c>
      <c r="CC139" s="43">
        <v>8.7405882352891098</v>
      </c>
      <c r="CD139" s="43">
        <v>1.1991510000000001</v>
      </c>
      <c r="CE139" s="43">
        <v>1.270777</v>
      </c>
      <c r="CF139" s="43">
        <v>1.414207</v>
      </c>
      <c r="CG139" s="43">
        <v>1.220291</v>
      </c>
      <c r="CH139" s="43">
        <v>1.14892581380282</v>
      </c>
      <c r="CI139" s="43">
        <v>1.2350741451849701</v>
      </c>
      <c r="CJ139" s="43">
        <v>1.2799213993757199</v>
      </c>
      <c r="CK139" s="43">
        <v>1.2116567032282</v>
      </c>
      <c r="CL139" s="43">
        <v>1.607537</v>
      </c>
      <c r="CM139" s="43">
        <v>1.4032119999999999</v>
      </c>
      <c r="CN139" s="43">
        <v>1.6659040000000001</v>
      </c>
      <c r="CO139" s="43">
        <v>2.0191490000000001</v>
      </c>
      <c r="CP139" s="43">
        <v>0.86538797410904</v>
      </c>
      <c r="CQ139" s="43">
        <v>1.3601639999999999</v>
      </c>
      <c r="CR139" s="43">
        <v>0.67258326983724503</v>
      </c>
      <c r="CS139" s="43">
        <v>77.914463188401697</v>
      </c>
      <c r="CT139" s="43">
        <v>100.540943813022</v>
      </c>
      <c r="CU139" s="43">
        <v>18.3906159749578</v>
      </c>
      <c r="CV139" s="43">
        <v>21.057207607885498</v>
      </c>
      <c r="CW139" s="43">
        <v>1.552289</v>
      </c>
      <c r="CX139" s="43">
        <v>1.4958149999999999</v>
      </c>
      <c r="CY139" s="43">
        <v>1.4383649999999999</v>
      </c>
      <c r="CZ139" s="43">
        <v>1.48744606212539</v>
      </c>
      <c r="DA139" s="43">
        <v>1.2994929197680301</v>
      </c>
      <c r="DB139" s="43">
        <v>2.83382515555861</v>
      </c>
      <c r="DC139" s="43">
        <v>0.99563657531780902</v>
      </c>
      <c r="DD139" s="43">
        <v>1.4728859414392601</v>
      </c>
      <c r="DE139" s="43">
        <v>2.0832588067218398</v>
      </c>
      <c r="DF139" s="43">
        <v>1.5769053318486299</v>
      </c>
      <c r="DG139" s="43">
        <v>1.7008665922692401</v>
      </c>
      <c r="DH139" s="43">
        <v>1.3163534725169099</v>
      </c>
      <c r="DI139" s="43">
        <v>2.6935890393869899</v>
      </c>
      <c r="DJ139" s="43">
        <v>1.2025674444543699</v>
      </c>
      <c r="DK139" s="43">
        <v>2.158115</v>
      </c>
      <c r="DL139" s="43">
        <v>2.4189880000000001</v>
      </c>
      <c r="DM139" s="43">
        <v>2.6600510000000002</v>
      </c>
      <c r="DN139" s="43">
        <v>1.86947412677271</v>
      </c>
      <c r="DO139" s="43">
        <v>2.9200569999999999</v>
      </c>
      <c r="DP139" s="43">
        <v>1.9953000000000001</v>
      </c>
      <c r="DQ139" s="43">
        <v>1.474143</v>
      </c>
      <c r="DR139" s="43">
        <v>2.4076879999999998</v>
      </c>
      <c r="DS139" s="43">
        <v>0.97337960000000001</v>
      </c>
      <c r="DT139" s="43">
        <v>1.61466226996827</v>
      </c>
      <c r="DU139" s="43">
        <v>669.02089999999998</v>
      </c>
      <c r="DV139" s="43">
        <v>345.47980000000001</v>
      </c>
      <c r="DW139" s="43">
        <v>125.64830000000001</v>
      </c>
      <c r="DX139" s="43">
        <v>1.1760459999999999</v>
      </c>
      <c r="DY139" s="43">
        <v>1.3387640000000001</v>
      </c>
      <c r="DZ139" s="43">
        <v>1.109658</v>
      </c>
      <c r="EA139" s="43">
        <v>939.40290000000005</v>
      </c>
      <c r="EB139" s="43">
        <v>121.815928120764</v>
      </c>
      <c r="EC139" s="43">
        <v>1.51456235475507</v>
      </c>
      <c r="ED139" s="43">
        <v>1.6175723003653599</v>
      </c>
      <c r="EE139" s="43">
        <v>1.59002764081947</v>
      </c>
      <c r="EF139" s="43">
        <v>1.9304062173190399</v>
      </c>
      <c r="EG139" s="43">
        <v>1.7038319098299</v>
      </c>
      <c r="EH139" s="43">
        <v>0.75240596301982099</v>
      </c>
      <c r="EI139" s="43">
        <v>0.31080184045862902</v>
      </c>
      <c r="EJ139" s="43">
        <v>35.602094774774599</v>
      </c>
      <c r="EK139" s="43">
        <v>20.202119629810898</v>
      </c>
      <c r="EL139" s="43">
        <v>0.88980167577621005</v>
      </c>
      <c r="EM139" s="43">
        <v>2659.2703251214898</v>
      </c>
      <c r="EN139" s="43">
        <v>662.13682376639497</v>
      </c>
      <c r="EO139" s="43">
        <v>98405.340136300496</v>
      </c>
      <c r="EP139" s="43">
        <v>66713.753227786801</v>
      </c>
      <c r="EQ139" s="43">
        <v>4745.8336905653796</v>
      </c>
      <c r="ER139" s="43">
        <v>2.2235056450697899</v>
      </c>
      <c r="ES139" s="43">
        <v>2.3752438711547201</v>
      </c>
      <c r="ET139" s="43">
        <v>2.1924656657420001</v>
      </c>
      <c r="EU139" s="43">
        <v>2.6656780000000002</v>
      </c>
      <c r="EV139" s="43">
        <v>2.2015799999999999</v>
      </c>
      <c r="EW139" s="43">
        <v>3.377211</v>
      </c>
      <c r="EX139" s="43">
        <v>2.6656360000000001</v>
      </c>
      <c r="EY139" s="43">
        <v>2.2021120000000001</v>
      </c>
      <c r="EZ139" s="43">
        <v>3.3783449999999999</v>
      </c>
      <c r="FA139" s="43">
        <v>20.3978744346635</v>
      </c>
      <c r="FB139" s="43">
        <v>19.973181750438599</v>
      </c>
      <c r="FC139" s="43">
        <v>86.576181786153796</v>
      </c>
      <c r="FD139" s="43">
        <v>18460.170454691601</v>
      </c>
      <c r="FE139" s="43">
        <v>217521</v>
      </c>
      <c r="FF139" s="43">
        <v>1.6932812500000001</v>
      </c>
      <c r="FG139" s="43">
        <v>6.0499584763006604</v>
      </c>
      <c r="FH139" s="43">
        <v>932.44567950462704</v>
      </c>
      <c r="FI139" s="43">
        <v>14318.4406418611</v>
      </c>
      <c r="FJ139" s="43">
        <v>6.9948160001940902</v>
      </c>
      <c r="FK139" s="43">
        <v>19.950656384004599</v>
      </c>
      <c r="FL139" s="43">
        <v>1.117461</v>
      </c>
      <c r="FM139" s="43">
        <v>1.1533800000000001</v>
      </c>
    </row>
    <row r="140" spans="1:169" x14ac:dyDescent="0.25">
      <c r="A140" s="43" t="s">
        <v>367</v>
      </c>
      <c r="B140" s="43">
        <v>29564.37</v>
      </c>
      <c r="C140" s="43">
        <v>20601.38</v>
      </c>
      <c r="D140" s="43">
        <v>4.2787110000000004</v>
      </c>
      <c r="E140" s="43">
        <v>3.490907</v>
      </c>
      <c r="F140" s="43">
        <v>2.9826929999999998</v>
      </c>
      <c r="G140" s="43">
        <v>3.7281629999999999</v>
      </c>
      <c r="H140" s="43">
        <v>1.3618779999999999</v>
      </c>
      <c r="I140" s="43">
        <v>1.2901339999999999</v>
      </c>
      <c r="J140" s="43">
        <v>1.2827539999999999</v>
      </c>
      <c r="K140" s="43">
        <v>1.1990959999999999</v>
      </c>
      <c r="L140" s="43">
        <v>3.3560059999999998</v>
      </c>
      <c r="M140" s="43">
        <v>86.765910000000005</v>
      </c>
      <c r="N140" s="43">
        <v>92.645642191276806</v>
      </c>
      <c r="O140" s="43">
        <v>2.9418270663210002</v>
      </c>
      <c r="P140" s="43">
        <v>1.232629</v>
      </c>
      <c r="Q140" s="43">
        <v>-427.75420000000003</v>
      </c>
      <c r="R140" s="43">
        <v>6.4644399999999997</v>
      </c>
      <c r="S140" s="43">
        <v>4188.433</v>
      </c>
      <c r="T140" s="43">
        <v>3.1090110000000002</v>
      </c>
      <c r="U140" s="43">
        <v>4.2689430000000002</v>
      </c>
      <c r="V140" s="43">
        <v>3616.3649999999998</v>
      </c>
      <c r="W140" s="43">
        <v>2.3583029999999998</v>
      </c>
      <c r="X140" s="43">
        <v>26613.18</v>
      </c>
      <c r="Y140" s="43">
        <v>1.3609070000000001</v>
      </c>
      <c r="Z140" s="43">
        <v>1.000653</v>
      </c>
      <c r="AA140" s="43">
        <v>1.478021</v>
      </c>
      <c r="AB140" s="43">
        <v>1.201886</v>
      </c>
      <c r="AC140" s="43">
        <v>84.669200000000004</v>
      </c>
      <c r="AD140" s="43">
        <v>1.6421380000000001</v>
      </c>
      <c r="AE140" s="43">
        <v>2.1600779999999999</v>
      </c>
      <c r="AF140" s="43">
        <v>2.2032959999999999</v>
      </c>
      <c r="AG140" s="43">
        <v>370.85890000000001</v>
      </c>
      <c r="AH140" s="43">
        <v>225.69820000000001</v>
      </c>
      <c r="AI140" s="43">
        <v>3.5013649999999998</v>
      </c>
      <c r="AJ140" s="43">
        <v>3.4542413176118498</v>
      </c>
      <c r="AK140" s="43">
        <f t="shared" si="4"/>
        <v>48276.084102675726</v>
      </c>
      <c r="AL140" s="47">
        <v>1.0662497067339682E-2</v>
      </c>
      <c r="AM140" s="43">
        <v>2.2836804944309801</v>
      </c>
      <c r="AN140" s="43">
        <v>0.66419123034161098</v>
      </c>
      <c r="AO140" s="43">
        <v>3.32276316873982</v>
      </c>
      <c r="AP140" s="43">
        <v>2.8439861932964301</v>
      </c>
      <c r="AQ140" s="43">
        <v>5.5063364995352897</v>
      </c>
      <c r="AR140" s="43">
        <v>3.1695127150627198</v>
      </c>
      <c r="AS140" s="43">
        <v>2.6408846165270101</v>
      </c>
      <c r="AT140" s="43">
        <v>2.5501506535161398</v>
      </c>
      <c r="AU140" s="43">
        <v>3.5060782965503101</v>
      </c>
      <c r="AV140" s="43">
        <v>3000.0859999999998</v>
      </c>
      <c r="AW140" s="43">
        <v>1784.7270000000001</v>
      </c>
      <c r="AX140" s="43">
        <v>1.4316599999999999</v>
      </c>
      <c r="AY140" s="43">
        <v>2.1206209999999999</v>
      </c>
      <c r="AZ140" s="43">
        <v>216.03479999999999</v>
      </c>
      <c r="BA140" s="43">
        <v>0.78236159999999999</v>
      </c>
      <c r="BB140" s="43">
        <v>203.30160000000001</v>
      </c>
      <c r="BC140" s="43">
        <v>42.236789999999999</v>
      </c>
      <c r="BD140" s="43">
        <v>5.4989879999999998</v>
      </c>
      <c r="BE140" s="43">
        <v>1.589566</v>
      </c>
      <c r="BF140" s="43">
        <v>2.6315689999999998</v>
      </c>
      <c r="BG140" s="43">
        <v>2.9785819999999998</v>
      </c>
      <c r="BH140" s="43">
        <v>2.172431</v>
      </c>
      <c r="BI140" s="43">
        <v>1.7641830000000001</v>
      </c>
      <c r="BJ140" s="43">
        <v>1.687805</v>
      </c>
      <c r="BK140" s="43">
        <v>109.7675</v>
      </c>
      <c r="BL140" s="43">
        <v>110.90260000000001</v>
      </c>
      <c r="BM140" s="43">
        <v>1.567788</v>
      </c>
      <c r="BN140" s="43">
        <v>1.540581</v>
      </c>
      <c r="BO140" s="43">
        <v>45.935760000000002</v>
      </c>
      <c r="BP140" s="43">
        <v>1.2781813720614901</v>
      </c>
      <c r="BQ140" s="43">
        <v>4715.366</v>
      </c>
      <c r="BR140" s="43">
        <v>744.36720089334597</v>
      </c>
      <c r="BS140" s="43">
        <v>15337.87</v>
      </c>
      <c r="BT140" s="43">
        <v>8003.3459999999995</v>
      </c>
      <c r="BU140" s="43">
        <v>1.3045519999999999</v>
      </c>
      <c r="BV140" s="43">
        <v>1.6125020000000001</v>
      </c>
      <c r="BW140" s="43">
        <v>1.7196089999999999</v>
      </c>
      <c r="BX140" s="43">
        <v>1.1369819999999999</v>
      </c>
      <c r="BY140" s="43">
        <v>1.946847</v>
      </c>
      <c r="BZ140" s="43">
        <v>2.1755019999999998</v>
      </c>
      <c r="CA140" s="43">
        <v>2.035555</v>
      </c>
      <c r="CB140" s="43">
        <v>0.74088989999999999</v>
      </c>
      <c r="CC140" s="43">
        <v>8.8902256975246807</v>
      </c>
      <c r="CD140" s="43">
        <v>1.2067049999999999</v>
      </c>
      <c r="CE140" s="43">
        <v>1.2783990000000001</v>
      </c>
      <c r="CF140" s="43">
        <v>1.4234039999999999</v>
      </c>
      <c r="CG140" s="43">
        <v>1.2261169999999999</v>
      </c>
      <c r="CH140" s="43">
        <v>1.1524086684549999</v>
      </c>
      <c r="CI140" s="43">
        <v>1.2403209890295499</v>
      </c>
      <c r="CJ140" s="43">
        <v>1.2858959394366001</v>
      </c>
      <c r="CK140" s="43">
        <v>1.21604923674998</v>
      </c>
      <c r="CL140" s="43">
        <v>1.615324</v>
      </c>
      <c r="CM140" s="43">
        <v>1.4077059999999999</v>
      </c>
      <c r="CN140" s="43">
        <v>1.675697</v>
      </c>
      <c r="CO140" s="43">
        <v>2.0272250000000001</v>
      </c>
      <c r="CP140" s="43">
        <v>0.86884954390755198</v>
      </c>
      <c r="CQ140" s="43">
        <v>1.366439</v>
      </c>
      <c r="CR140" s="43">
        <v>0.67206409321021998</v>
      </c>
      <c r="CS140" s="43">
        <v>78.226122652953407</v>
      </c>
      <c r="CT140" s="43">
        <v>99.937698150143603</v>
      </c>
      <c r="CU140" s="43">
        <v>18.566783295997201</v>
      </c>
      <c r="CV140" s="43">
        <v>21.1101063025705</v>
      </c>
      <c r="CW140" s="43">
        <v>1.5599339999999999</v>
      </c>
      <c r="CX140" s="43">
        <v>1.502756</v>
      </c>
      <c r="CY140" s="43">
        <v>1.444118</v>
      </c>
      <c r="CZ140" s="43">
        <v>1.4940317786548201</v>
      </c>
      <c r="DA140" s="43">
        <v>1.3037734710687801</v>
      </c>
      <c r="DB140" s="43">
        <v>2.8458105286122302</v>
      </c>
      <c r="DC140" s="43">
        <v>0.99597630019004102</v>
      </c>
      <c r="DD140" s="43">
        <v>1.4812132895246699</v>
      </c>
      <c r="DE140" s="43">
        <v>2.0981878965190299</v>
      </c>
      <c r="DF140" s="43">
        <v>1.5841937351687401</v>
      </c>
      <c r="DG140" s="43">
        <v>1.7093919438135201</v>
      </c>
      <c r="DH140" s="43">
        <v>1.3215595582495401</v>
      </c>
      <c r="DI140" s="43">
        <v>2.7161951907967201</v>
      </c>
      <c r="DJ140" s="43">
        <v>1.20245458893141</v>
      </c>
      <c r="DK140" s="43">
        <v>2.1727479999999999</v>
      </c>
      <c r="DL140" s="43">
        <v>2.438304</v>
      </c>
      <c r="DM140" s="43">
        <v>2.6827480000000001</v>
      </c>
      <c r="DN140" s="43">
        <v>1.8814909004093501</v>
      </c>
      <c r="DO140" s="43">
        <v>2.9480080000000002</v>
      </c>
      <c r="DP140" s="43">
        <v>2.0095360000000002</v>
      </c>
      <c r="DQ140" s="43">
        <v>1.479668</v>
      </c>
      <c r="DR140" s="43">
        <v>2.4271379999999998</v>
      </c>
      <c r="DS140" s="43">
        <v>0.97577069999999999</v>
      </c>
      <c r="DT140" s="43">
        <v>1.6235270574859899</v>
      </c>
      <c r="DU140" s="43">
        <v>671.63009999999997</v>
      </c>
      <c r="DV140" s="43">
        <v>346.55380000000002</v>
      </c>
      <c r="DW140" s="43">
        <v>126.3006</v>
      </c>
      <c r="DX140" s="43">
        <v>1.1784129999999999</v>
      </c>
      <c r="DY140" s="43">
        <v>1.342538</v>
      </c>
      <c r="DZ140" s="43">
        <v>1.1139859999999999</v>
      </c>
      <c r="EA140" s="43">
        <v>941.18610000000001</v>
      </c>
      <c r="EB140" s="43">
        <v>121.085032552039</v>
      </c>
      <c r="EC140" s="43">
        <v>1.52326371239349</v>
      </c>
      <c r="ED140" s="43">
        <v>1.62779477985062</v>
      </c>
      <c r="EE140" s="43">
        <v>1.5995781081310101</v>
      </c>
      <c r="EF140" s="43">
        <v>1.94369207895624</v>
      </c>
      <c r="EG140" s="43">
        <v>1.7142026599087099</v>
      </c>
      <c r="EH140" s="43">
        <v>0.75576563700579302</v>
      </c>
      <c r="EI140" s="43">
        <v>0.31218964559243001</v>
      </c>
      <c r="EJ140" s="43">
        <v>35.761066709527498</v>
      </c>
      <c r="EK140" s="43">
        <v>20.2923269635079</v>
      </c>
      <c r="EL140" s="43">
        <v>0.89377485473771201</v>
      </c>
      <c r="EM140" s="43">
        <v>2670.1303744298898</v>
      </c>
      <c r="EN140" s="43">
        <v>664.84088829382597</v>
      </c>
      <c r="EO140" s="43">
        <v>98807.212347634006</v>
      </c>
      <c r="EP140" s="43">
        <v>66986.201892654703</v>
      </c>
      <c r="EQ140" s="43">
        <v>4765.2149424080799</v>
      </c>
      <c r="ER140" s="43">
        <v>2.23627997408177</v>
      </c>
      <c r="ES140" s="43">
        <v>2.3888899560032502</v>
      </c>
      <c r="ET140" s="43">
        <v>2.20506166603719</v>
      </c>
      <c r="EU140" s="43">
        <v>2.6895310000000001</v>
      </c>
      <c r="EV140" s="43">
        <v>2.2139319999999998</v>
      </c>
      <c r="EW140" s="43">
        <v>3.4099170000000001</v>
      </c>
      <c r="EX140" s="43">
        <v>2.6906469999999998</v>
      </c>
      <c r="EY140" s="43">
        <v>2.2143320000000002</v>
      </c>
      <c r="EZ140" s="43">
        <v>3.410914</v>
      </c>
      <c r="FA140" s="43">
        <v>20.5810900585996</v>
      </c>
      <c r="FB140" s="43">
        <v>20.151438373273201</v>
      </c>
      <c r="FC140" s="43">
        <v>87.388500019562798</v>
      </c>
      <c r="FD140" s="43">
        <v>18562.605263778001</v>
      </c>
      <c r="FE140" s="43">
        <v>219617.9</v>
      </c>
      <c r="FF140" s="43">
        <v>1.6932812500000001</v>
      </c>
      <c r="FG140" s="43">
        <v>6.1104580610636701</v>
      </c>
      <c r="FH140" s="43">
        <v>932.463891334305</v>
      </c>
      <c r="FI140" s="43">
        <v>14390.0328450704</v>
      </c>
      <c r="FJ140" s="43">
        <v>6.9738315521935101</v>
      </c>
      <c r="FK140" s="43">
        <v>20.010508353156599</v>
      </c>
      <c r="FL140" s="43">
        <v>1.117405</v>
      </c>
      <c r="FM140" s="43">
        <v>1.1548179999999999</v>
      </c>
    </row>
    <row r="141" spans="1:169" x14ac:dyDescent="0.25">
      <c r="A141" s="43" t="s">
        <v>66</v>
      </c>
      <c r="B141" s="43">
        <v>29713.279999999999</v>
      </c>
      <c r="C141" s="43">
        <v>20704.2</v>
      </c>
      <c r="D141" s="43">
        <v>4.3094000000000001</v>
      </c>
      <c r="E141" s="43">
        <v>3.490907</v>
      </c>
      <c r="F141" s="43">
        <v>2.9669699999999999</v>
      </c>
      <c r="G141" s="43">
        <v>3.7730399999999999</v>
      </c>
      <c r="H141" s="43">
        <v>1.3692789999999999</v>
      </c>
      <c r="I141" s="43">
        <v>1.2960879999999999</v>
      </c>
      <c r="J141" s="43">
        <v>1.288241</v>
      </c>
      <c r="K141" s="43">
        <v>1.2020930000000001</v>
      </c>
      <c r="L141" s="43">
        <v>3.3777919999999999</v>
      </c>
      <c r="M141" s="43">
        <v>87.126909999999995</v>
      </c>
      <c r="N141" s="43">
        <v>93.031103569231007</v>
      </c>
      <c r="O141" s="43">
        <v>2.95284514522108</v>
      </c>
      <c r="P141" s="43">
        <v>1.2457990000000001</v>
      </c>
      <c r="Q141" s="43">
        <v>-420.1026</v>
      </c>
      <c r="R141" s="43">
        <v>6.4644399999999997</v>
      </c>
      <c r="S141" s="43">
        <v>4204.7629999999999</v>
      </c>
      <c r="T141" s="43">
        <v>3.1103459999999998</v>
      </c>
      <c r="U141" s="43">
        <v>4.266419</v>
      </c>
      <c r="V141" s="43">
        <v>3638.9189999999999</v>
      </c>
      <c r="W141" s="43">
        <v>2.376636</v>
      </c>
      <c r="X141" s="43">
        <v>26850.04</v>
      </c>
      <c r="Y141" s="43">
        <v>1.3620509999999999</v>
      </c>
      <c r="Z141" s="43">
        <v>1.005641</v>
      </c>
      <c r="AA141" s="43">
        <v>1.4839119999999999</v>
      </c>
      <c r="AB141" s="43">
        <v>1.208002</v>
      </c>
      <c r="AC141" s="43">
        <v>85.022400000000005</v>
      </c>
      <c r="AD141" s="43">
        <v>1.6521999999999999</v>
      </c>
      <c r="AE141" s="43">
        <v>2.1796869999999999</v>
      </c>
      <c r="AF141" s="43">
        <v>2.2201080000000002</v>
      </c>
      <c r="AG141" s="43">
        <v>371.32159999999999</v>
      </c>
      <c r="AH141" s="43">
        <v>226.09219999999999</v>
      </c>
      <c r="AI141" s="43">
        <v>3.5246569999999999</v>
      </c>
      <c r="AJ141" s="43">
        <v>3.4771281483637302</v>
      </c>
      <c r="AK141" s="43">
        <f t="shared" si="4"/>
        <v>48816.541236112345</v>
      </c>
      <c r="AL141" s="47">
        <v>1.1195131988898543E-2</v>
      </c>
      <c r="AM141" s="43">
        <v>2.2755051768910199</v>
      </c>
      <c r="AN141" s="43">
        <v>0.65944556513358599</v>
      </c>
      <c r="AO141" s="43">
        <v>3.3396674425738899</v>
      </c>
      <c r="AP141" s="43">
        <v>2.8577824879179698</v>
      </c>
      <c r="AQ141" s="43">
        <v>5.5492182717433396</v>
      </c>
      <c r="AR141" s="43">
        <v>3.191049696511</v>
      </c>
      <c r="AS141" s="43">
        <v>2.65537814957522</v>
      </c>
      <c r="AT141" s="43">
        <v>2.56215296910108</v>
      </c>
      <c r="AU141" s="43">
        <v>3.53086333658498</v>
      </c>
      <c r="AV141" s="43">
        <v>3022.3380000000002</v>
      </c>
      <c r="AW141" s="43">
        <v>1798.8</v>
      </c>
      <c r="AX141" s="43">
        <v>1.44286</v>
      </c>
      <c r="AY141" s="43">
        <v>2.1344069999999999</v>
      </c>
      <c r="AZ141" s="43">
        <v>216.0564</v>
      </c>
      <c r="BA141" s="43">
        <v>0.78392629999999996</v>
      </c>
      <c r="BB141" s="43">
        <v>203.4402</v>
      </c>
      <c r="BC141" s="43">
        <v>42.555709999999998</v>
      </c>
      <c r="BD141" s="43">
        <v>5.5249240000000004</v>
      </c>
      <c r="BE141" s="43">
        <v>1.5983240000000001</v>
      </c>
      <c r="BF141" s="43">
        <v>2.6323539999999999</v>
      </c>
      <c r="BG141" s="43">
        <v>2.9808599999999998</v>
      </c>
      <c r="BH141" s="43">
        <v>2.1535000000000002</v>
      </c>
      <c r="BI141" s="43">
        <v>1.77508</v>
      </c>
      <c r="BJ141" s="43">
        <v>1.695765</v>
      </c>
      <c r="BK141" s="43">
        <v>110.2852</v>
      </c>
      <c r="BL141" s="43">
        <v>111.1417</v>
      </c>
      <c r="BM141" s="43">
        <v>1.5807329999999999</v>
      </c>
      <c r="BN141" s="43">
        <v>1.5487839999999999</v>
      </c>
      <c r="BO141" s="43">
        <v>46.057479999999998</v>
      </c>
      <c r="BP141" s="43">
        <v>1.27563008242056</v>
      </c>
      <c r="BQ141" s="43">
        <v>4765.1040000000003</v>
      </c>
      <c r="BR141" s="43">
        <v>748.313653173479</v>
      </c>
      <c r="BS141" s="43">
        <v>15399.22</v>
      </c>
      <c r="BT141" s="43">
        <v>8029.32</v>
      </c>
      <c r="BU141" s="43">
        <v>1.31043</v>
      </c>
      <c r="BV141" s="43">
        <v>1.62174</v>
      </c>
      <c r="BW141" s="43">
        <v>1.730952</v>
      </c>
      <c r="BX141" s="43">
        <v>1.139256</v>
      </c>
      <c r="BY141" s="43">
        <v>1.9504859999999999</v>
      </c>
      <c r="BZ141" s="43">
        <v>2.176812</v>
      </c>
      <c r="CA141" s="43">
        <v>2.0417779999999999</v>
      </c>
      <c r="CB141" s="43">
        <v>0.74163080000000003</v>
      </c>
      <c r="CC141" s="43">
        <v>8.9612055434131008</v>
      </c>
      <c r="CD141" s="43">
        <v>1.212828</v>
      </c>
      <c r="CE141" s="43">
        <v>1.284432</v>
      </c>
      <c r="CF141" s="43">
        <v>1.4310229999999999</v>
      </c>
      <c r="CG141" s="43">
        <v>1.230038</v>
      </c>
      <c r="CH141" s="43">
        <v>1.15513946557138</v>
      </c>
      <c r="CI141" s="43">
        <v>1.2443819084549901</v>
      </c>
      <c r="CJ141" s="43">
        <v>1.2907307483086601</v>
      </c>
      <c r="CK141" s="43">
        <v>1.2199246343332799</v>
      </c>
      <c r="CL141" s="43">
        <v>1.624582</v>
      </c>
      <c r="CM141" s="43">
        <v>1.4128670000000001</v>
      </c>
      <c r="CN141" s="43">
        <v>1.6872499999999999</v>
      </c>
      <c r="CO141" s="43">
        <v>2.0353340000000002</v>
      </c>
      <c r="CP141" s="43">
        <v>0.87232492142408902</v>
      </c>
      <c r="CQ141" s="43">
        <v>1.37121</v>
      </c>
      <c r="CR141" s="43">
        <v>0.67206388691075003</v>
      </c>
      <c r="CS141" s="43">
        <v>78.539025283541406</v>
      </c>
      <c r="CT141" s="43">
        <v>100.137573546444</v>
      </c>
      <c r="CU141" s="43">
        <v>18.5762731449928</v>
      </c>
      <c r="CV141" s="43">
        <v>21.163137886285799</v>
      </c>
      <c r="CW141" s="43">
        <v>1.5687629999999999</v>
      </c>
      <c r="CX141" s="43">
        <v>1.5107699999999999</v>
      </c>
      <c r="CY141" s="43">
        <v>1.4507620000000001</v>
      </c>
      <c r="CZ141" s="43">
        <v>1.5016588760923599</v>
      </c>
      <c r="DA141" s="43">
        <v>1.3087183138085701</v>
      </c>
      <c r="DB141" s="43">
        <v>2.86165676391595</v>
      </c>
      <c r="DC141" s="43">
        <v>0.99562305286601105</v>
      </c>
      <c r="DD141" s="43">
        <v>1.49069745942635</v>
      </c>
      <c r="DE141" s="43">
        <v>2.1156281400477601</v>
      </c>
      <c r="DF141" s="43">
        <v>1.59286629098338</v>
      </c>
      <c r="DG141" s="43">
        <v>1.71932960715053</v>
      </c>
      <c r="DH141" s="43">
        <v>1.3275328314859201</v>
      </c>
      <c r="DI141" s="43">
        <v>2.7427351031822398</v>
      </c>
      <c r="DJ141" s="43">
        <v>1.2027277905898801</v>
      </c>
      <c r="DK141" s="43">
        <v>2.190194</v>
      </c>
      <c r="DL141" s="43">
        <v>2.4606460000000001</v>
      </c>
      <c r="DM141" s="43">
        <v>2.7089660000000002</v>
      </c>
      <c r="DN141" s="43">
        <v>1.89538465136518</v>
      </c>
      <c r="DO141" s="43">
        <v>2.980261</v>
      </c>
      <c r="DP141" s="43">
        <v>2.0259680000000002</v>
      </c>
      <c r="DQ141" s="43">
        <v>1.486016</v>
      </c>
      <c r="DR141" s="43">
        <v>2.4497080000000002</v>
      </c>
      <c r="DS141" s="43">
        <v>0.97849430000000004</v>
      </c>
      <c r="DT141" s="43">
        <v>1.6337601243840201</v>
      </c>
      <c r="DU141" s="43">
        <v>674.92100000000005</v>
      </c>
      <c r="DV141" s="43">
        <v>347.90370000000001</v>
      </c>
      <c r="DW141" s="43">
        <v>127.0891</v>
      </c>
      <c r="DX141" s="43">
        <v>1.181816</v>
      </c>
      <c r="DY141" s="43">
        <v>1.3485769999999999</v>
      </c>
      <c r="DZ141" s="43">
        <v>1.1194440000000001</v>
      </c>
      <c r="EA141" s="43">
        <v>942.73030000000006</v>
      </c>
      <c r="EB141" s="43">
        <v>122.295882877561</v>
      </c>
      <c r="EC141" s="43">
        <v>1.53331101019309</v>
      </c>
      <c r="ED141" s="43">
        <v>1.63960523174703</v>
      </c>
      <c r="EE141" s="43">
        <v>1.6106094806934499</v>
      </c>
      <c r="EF141" s="43">
        <v>1.9590465414757501</v>
      </c>
      <c r="EG141" s="43">
        <v>1.72618074410072</v>
      </c>
      <c r="EH141" s="43">
        <v>0.75992971010227495</v>
      </c>
      <c r="EI141" s="43">
        <v>0.31390972975683001</v>
      </c>
      <c r="EJ141" s="43">
        <v>35.958100933492297</v>
      </c>
      <c r="EK141" s="43">
        <v>20.404132434193901</v>
      </c>
      <c r="EL141" s="43">
        <v>0.89869932291235799</v>
      </c>
      <c r="EM141" s="43">
        <v>2681.2688865410601</v>
      </c>
      <c r="EN141" s="43">
        <v>667.61428780913502</v>
      </c>
      <c r="EO141" s="43">
        <v>99219.388974642105</v>
      </c>
      <c r="EP141" s="43">
        <v>67265.636420723997</v>
      </c>
      <c r="EQ141" s="43">
        <v>4785.0931494262104</v>
      </c>
      <c r="ER141" s="43">
        <v>2.2510302570958398</v>
      </c>
      <c r="ES141" s="43">
        <v>2.4046468394654799</v>
      </c>
      <c r="ET141" s="43">
        <v>2.2196060361583299</v>
      </c>
      <c r="EU141" s="43">
        <v>2.717498</v>
      </c>
      <c r="EV141" s="43">
        <v>2.2290510000000001</v>
      </c>
      <c r="EW141" s="43">
        <v>3.4497110000000002</v>
      </c>
      <c r="EX141" s="43">
        <v>2.7174040000000002</v>
      </c>
      <c r="EY141" s="43">
        <v>2.2284079999999999</v>
      </c>
      <c r="EZ141" s="43">
        <v>3.4485420000000002</v>
      </c>
      <c r="FA141" s="43">
        <v>20.795902508595901</v>
      </c>
      <c r="FB141" s="43">
        <v>20.360410459425498</v>
      </c>
      <c r="FC141" s="43">
        <v>88.257528563334006</v>
      </c>
      <c r="FD141" s="43">
        <v>18680.602274068999</v>
      </c>
      <c r="FE141" s="43">
        <v>222040.7</v>
      </c>
      <c r="FF141" s="43">
        <v>1.6932812500000001</v>
      </c>
      <c r="FG141" s="43">
        <v>6.1715626416743001</v>
      </c>
      <c r="FH141" s="43">
        <v>932.48210351968203</v>
      </c>
      <c r="FI141" s="43">
        <v>14354.0577629577</v>
      </c>
      <c r="FJ141" s="43">
        <v>6.95291005753693</v>
      </c>
      <c r="FK141" s="43">
        <v>20.070539878216</v>
      </c>
      <c r="FL141" s="43">
        <v>1.119124</v>
      </c>
      <c r="FM141" s="43">
        <v>1.151446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A4097-5385-4526-8B5B-75290DD694ED}">
  <dimension ref="A2:A5"/>
  <sheetViews>
    <sheetView workbookViewId="0">
      <selection activeCell="A5" sqref="A5:M29"/>
    </sheetView>
  </sheetViews>
  <sheetFormatPr defaultRowHeight="15" x14ac:dyDescent="0.25"/>
  <sheetData>
    <row r="2" spans="1:1" x14ac:dyDescent="0.25">
      <c r="A2" s="48" t="s">
        <v>368</v>
      </c>
    </row>
    <row r="3" spans="1:1" x14ac:dyDescent="0.25">
      <c r="A3" s="48" t="s">
        <v>369</v>
      </c>
    </row>
    <row r="5" spans="1:1" x14ac:dyDescent="0.25">
      <c r="A5" s="48" t="s">
        <v>370</v>
      </c>
    </row>
  </sheetData>
  <hyperlinks>
    <hyperlink ref="A2" r:id="rId1" location="indicator-chart" xr:uid="{3C09BFC2-DB69-421F-86F2-175A3A4FFA4A}"/>
    <hyperlink ref="A3" r:id="rId2" xr:uid="{436D1F3A-9E1D-444C-9D66-21AAFE7D3EF1}"/>
    <hyperlink ref="A5" r:id="rId3" xr:uid="{382E43A2-EDAC-4224-A40B-7261B8C516B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1B1-6513-493A-8EB2-601D15A8BCEE}">
  <dimension ref="A1:I43"/>
  <sheetViews>
    <sheetView topLeftCell="A4" workbookViewId="0">
      <selection activeCell="A5" sqref="A5:M29"/>
    </sheetView>
  </sheetViews>
  <sheetFormatPr defaultColWidth="9.140625" defaultRowHeight="12.75" x14ac:dyDescent="0.2"/>
  <cols>
    <col min="1" max="16384" width="9.140625" style="51"/>
  </cols>
  <sheetData>
    <row r="1" spans="1:9" ht="20.25" x14ac:dyDescent="0.3">
      <c r="A1" s="49" t="s">
        <v>371</v>
      </c>
      <c r="B1" s="50"/>
      <c r="C1" s="50"/>
      <c r="D1" s="50"/>
      <c r="E1" s="50"/>
      <c r="F1" s="50"/>
      <c r="G1" s="50"/>
      <c r="H1" s="50"/>
      <c r="I1" s="50"/>
    </row>
    <row r="2" spans="1:9" ht="63.75" x14ac:dyDescent="0.2">
      <c r="A2" s="52"/>
      <c r="B2" s="52" t="s">
        <v>372</v>
      </c>
      <c r="C2" s="52" t="s">
        <v>373</v>
      </c>
      <c r="D2" s="52" t="s">
        <v>374</v>
      </c>
      <c r="E2" s="52" t="s">
        <v>375</v>
      </c>
    </row>
    <row r="3" spans="1:9" x14ac:dyDescent="0.2">
      <c r="A3" s="51">
        <v>2020</v>
      </c>
      <c r="B3" s="53">
        <v>1610008</v>
      </c>
      <c r="H3" s="54" t="s">
        <v>376</v>
      </c>
    </row>
    <row r="4" spans="1:9" x14ac:dyDescent="0.2">
      <c r="A4" s="51">
        <v>2021</v>
      </c>
      <c r="B4" s="53">
        <v>1683116</v>
      </c>
      <c r="C4" s="55">
        <f t="shared" ref="C4:C43" si="0">B4/B3-1</f>
        <v>4.5408470020024794E-2</v>
      </c>
      <c r="D4" s="53">
        <v>38246.1</v>
      </c>
      <c r="H4" s="51" t="s">
        <v>377</v>
      </c>
    </row>
    <row r="5" spans="1:9" x14ac:dyDescent="0.2">
      <c r="A5" s="51">
        <v>2022</v>
      </c>
      <c r="B5" s="53">
        <v>1737807</v>
      </c>
      <c r="C5" s="55">
        <f t="shared" si="0"/>
        <v>3.2493898222107021E-2</v>
      </c>
      <c r="D5" s="53">
        <v>38882.1</v>
      </c>
      <c r="E5" s="55">
        <f>D5/D4-1</f>
        <v>1.6629146501211833E-2</v>
      </c>
    </row>
    <row r="6" spans="1:9" x14ac:dyDescent="0.2">
      <c r="A6" s="51">
        <v>2023</v>
      </c>
      <c r="B6" s="53">
        <v>1755761</v>
      </c>
      <c r="C6" s="55">
        <f t="shared" si="0"/>
        <v>1.0331411946205682E-2</v>
      </c>
      <c r="D6" s="53">
        <v>39426.199999999997</v>
      </c>
      <c r="E6" s="55">
        <f t="shared" ref="E6:E23" si="1">D6/D5-1</f>
        <v>1.3993585737395842E-2</v>
      </c>
    </row>
    <row r="7" spans="1:9" x14ac:dyDescent="0.2">
      <c r="A7" s="51">
        <v>2024</v>
      </c>
      <c r="B7" s="53">
        <v>1779192</v>
      </c>
      <c r="C7" s="55">
        <f t="shared" si="0"/>
        <v>1.3345210424425602E-2</v>
      </c>
      <c r="D7" s="53">
        <v>39953.599999999999</v>
      </c>
      <c r="E7" s="55">
        <f t="shared" si="1"/>
        <v>1.3376891508692257E-2</v>
      </c>
    </row>
    <row r="8" spans="1:9" x14ac:dyDescent="0.2">
      <c r="A8" s="51">
        <v>2025</v>
      </c>
      <c r="B8" s="53">
        <f>B7*1.015</f>
        <v>1805879.88</v>
      </c>
      <c r="C8" s="55">
        <f t="shared" si="0"/>
        <v>1.4999999999999902E-2</v>
      </c>
      <c r="D8" s="53">
        <v>40465.599999999999</v>
      </c>
      <c r="E8" s="55">
        <f t="shared" si="1"/>
        <v>1.2814865243682583E-2</v>
      </c>
    </row>
    <row r="9" spans="1:9" x14ac:dyDescent="0.2">
      <c r="A9" s="51">
        <v>2026</v>
      </c>
      <c r="B9" s="53">
        <f>B8*(1+G10)</f>
        <v>1833886.8958841807</v>
      </c>
      <c r="C9" s="55">
        <f t="shared" si="0"/>
        <v>1.5508792248231318E-2</v>
      </c>
      <c r="D9" s="53">
        <v>40965.9</v>
      </c>
      <c r="E9" s="55">
        <f t="shared" si="1"/>
        <v>1.2363587837570744E-2</v>
      </c>
    </row>
    <row r="10" spans="1:9" x14ac:dyDescent="0.2">
      <c r="A10" s="51">
        <v>2027</v>
      </c>
      <c r="B10" s="53">
        <f t="shared" ref="B10:B42" si="2">B9*(1+G11)</f>
        <v>1861994.3920432676</v>
      </c>
      <c r="C10" s="55">
        <f t="shared" si="0"/>
        <v>1.5326733738143306E-2</v>
      </c>
      <c r="D10" s="53">
        <v>41454.400000000001</v>
      </c>
      <c r="E10" s="55">
        <f t="shared" si="1"/>
        <v>1.1924551883395695E-2</v>
      </c>
      <c r="G10" s="51">
        <v>1.5508792248231318E-2</v>
      </c>
    </row>
    <row r="11" spans="1:9" x14ac:dyDescent="0.2">
      <c r="A11" s="51">
        <v>2028</v>
      </c>
      <c r="B11" s="53">
        <f t="shared" si="2"/>
        <v>1890198.646985597</v>
      </c>
      <c r="C11" s="55">
        <f t="shared" si="0"/>
        <v>1.5147336137451672E-2</v>
      </c>
      <c r="D11" s="53">
        <v>41930.6</v>
      </c>
      <c r="E11" s="55">
        <f t="shared" si="1"/>
        <v>1.1487321008143869E-2</v>
      </c>
      <c r="G11" s="51">
        <v>1.5326733738143306E-2</v>
      </c>
    </row>
    <row r="12" spans="1:9" x14ac:dyDescent="0.2">
      <c r="A12" s="51">
        <v>2029</v>
      </c>
      <c r="B12" s="53">
        <f t="shared" si="2"/>
        <v>1918477.3317611902</v>
      </c>
      <c r="C12" s="55">
        <f t="shared" si="0"/>
        <v>1.4960694644814643E-2</v>
      </c>
      <c r="D12" s="53">
        <v>42394</v>
      </c>
      <c r="E12" s="55">
        <f t="shared" si="1"/>
        <v>1.1051594778038076E-2</v>
      </c>
      <c r="G12" s="51">
        <v>1.5147336137451672E-2</v>
      </c>
    </row>
    <row r="13" spans="1:9" x14ac:dyDescent="0.2">
      <c r="A13" s="51">
        <v>2030</v>
      </c>
      <c r="B13" s="53">
        <f t="shared" si="2"/>
        <v>1946823.0033867203</v>
      </c>
      <c r="C13" s="55">
        <f t="shared" si="0"/>
        <v>1.4775088116109503E-2</v>
      </c>
      <c r="D13" s="53">
        <v>42844</v>
      </c>
      <c r="E13" s="55">
        <f t="shared" si="1"/>
        <v>1.061470962872102E-2</v>
      </c>
      <c r="G13" s="51">
        <v>1.4960694644814643E-2</v>
      </c>
    </row>
    <row r="14" spans="1:9" x14ac:dyDescent="0.2">
      <c r="A14" s="51">
        <v>2031</v>
      </c>
      <c r="B14" s="53">
        <f t="shared" si="2"/>
        <v>1975250.5478288408</v>
      </c>
      <c r="C14" s="55">
        <f t="shared" si="0"/>
        <v>1.4602017950613666E-2</v>
      </c>
      <c r="D14" s="53">
        <v>43280</v>
      </c>
      <c r="E14" s="55">
        <f t="shared" si="1"/>
        <v>1.0176454112594602E-2</v>
      </c>
      <c r="G14" s="51">
        <v>1.4775088116109503E-2</v>
      </c>
    </row>
    <row r="15" spans="1:9" x14ac:dyDescent="0.2">
      <c r="A15" s="51">
        <v>2032</v>
      </c>
      <c r="B15" s="53">
        <f t="shared" si="2"/>
        <v>2003756.2435958877</v>
      </c>
      <c r="C15" s="55">
        <f t="shared" si="0"/>
        <v>1.4431432912842324E-2</v>
      </c>
      <c r="D15" s="53">
        <v>43701.599999999999</v>
      </c>
      <c r="E15" s="55">
        <f t="shared" si="1"/>
        <v>9.7412199630313445E-3</v>
      </c>
      <c r="G15" s="51">
        <v>1.4602017950613666E-2</v>
      </c>
    </row>
    <row r="16" spans="1:9" x14ac:dyDescent="0.2">
      <c r="A16" s="51">
        <v>2033</v>
      </c>
      <c r="B16" s="53">
        <f t="shared" si="2"/>
        <v>2032311.2491274721</v>
      </c>
      <c r="C16" s="55">
        <f t="shared" si="0"/>
        <v>1.4250738143847475E-2</v>
      </c>
      <c r="D16" s="53">
        <v>44113.5</v>
      </c>
      <c r="E16" s="55">
        <f t="shared" si="1"/>
        <v>9.425284200120787E-3</v>
      </c>
      <c r="G16" s="51">
        <v>1.4431432912842324E-2</v>
      </c>
    </row>
    <row r="17" spans="1:7" x14ac:dyDescent="0.2">
      <c r="A17" s="51">
        <v>2034</v>
      </c>
      <c r="B17" s="53">
        <f t="shared" si="2"/>
        <v>2060888.5836090352</v>
      </c>
      <c r="C17" s="55">
        <f t="shared" si="0"/>
        <v>1.4061495006649327E-2</v>
      </c>
      <c r="D17" s="53">
        <v>44515.199999999997</v>
      </c>
      <c r="E17" s="55">
        <f t="shared" si="1"/>
        <v>9.1060559692610621E-3</v>
      </c>
      <c r="G17" s="51">
        <v>1.4250738143847475E-2</v>
      </c>
    </row>
    <row r="18" spans="1:7" x14ac:dyDescent="0.2">
      <c r="A18" s="51">
        <v>2035</v>
      </c>
      <c r="B18" s="53">
        <f t="shared" si="2"/>
        <v>2089488.2470405777</v>
      </c>
      <c r="C18" s="55">
        <f t="shared" si="0"/>
        <v>1.3877345752218551E-2</v>
      </c>
      <c r="D18" s="53">
        <v>44906.8</v>
      </c>
      <c r="E18" s="55">
        <f t="shared" si="1"/>
        <v>8.7969951836677218E-3</v>
      </c>
      <c r="G18" s="51">
        <v>1.4061495006649327E-2</v>
      </c>
    </row>
    <row r="19" spans="1:7" x14ac:dyDescent="0.2">
      <c r="A19" s="51">
        <v>2036</v>
      </c>
      <c r="B19" s="53">
        <f t="shared" si="2"/>
        <v>2118152.1062033097</v>
      </c>
      <c r="C19" s="55">
        <f t="shared" si="0"/>
        <v>1.3718124140362997E-2</v>
      </c>
      <c r="D19" s="53">
        <v>45288.7</v>
      </c>
      <c r="E19" s="55">
        <f t="shared" si="1"/>
        <v>8.5042799754155851E-3</v>
      </c>
      <c r="G19" s="51">
        <v>1.3877345752218551E-2</v>
      </c>
    </row>
    <row r="20" spans="1:7" x14ac:dyDescent="0.2">
      <c r="A20" s="51">
        <v>2037</v>
      </c>
      <c r="B20" s="53">
        <f t="shared" si="2"/>
        <v>2146929.4708617693</v>
      </c>
      <c r="C20" s="55">
        <f t="shared" si="0"/>
        <v>1.3586070884230139E-2</v>
      </c>
      <c r="D20" s="53">
        <v>45661.2</v>
      </c>
      <c r="E20" s="55">
        <f t="shared" si="1"/>
        <v>8.2250097706491054E-3</v>
      </c>
      <c r="G20" s="51">
        <v>1.3718124140362997E-2</v>
      </c>
    </row>
    <row r="21" spans="1:7" x14ac:dyDescent="0.2">
      <c r="A21" s="51">
        <v>2038</v>
      </c>
      <c r="B21" s="53">
        <f t="shared" si="2"/>
        <v>2175859.4166784189</v>
      </c>
      <c r="C21" s="55">
        <f t="shared" si="0"/>
        <v>1.3475033162145378E-2</v>
      </c>
      <c r="D21" s="53">
        <v>46025.3</v>
      </c>
      <c r="E21" s="55">
        <f t="shared" si="1"/>
        <v>7.9739472462398986E-3</v>
      </c>
      <c r="G21" s="51">
        <v>1.3586070884230139E-2</v>
      </c>
    </row>
    <row r="22" spans="1:7" x14ac:dyDescent="0.2">
      <c r="A22" s="51">
        <v>2039</v>
      </c>
      <c r="B22" s="53">
        <f t="shared" si="2"/>
        <v>2204971.7155865645</v>
      </c>
      <c r="C22" s="55">
        <f t="shared" si="0"/>
        <v>1.3379678248049309E-2</v>
      </c>
      <c r="D22" s="53">
        <v>46382.2</v>
      </c>
      <c r="E22" s="55">
        <f t="shared" si="1"/>
        <v>7.7544307152803693E-3</v>
      </c>
      <c r="G22" s="51">
        <v>1.3475033162145378E-2</v>
      </c>
    </row>
    <row r="23" spans="1:7" x14ac:dyDescent="0.2">
      <c r="A23" s="51">
        <v>2040</v>
      </c>
      <c r="B23" s="53">
        <f t="shared" si="2"/>
        <v>2234290.5572820166</v>
      </c>
      <c r="C23" s="55">
        <f t="shared" si="0"/>
        <v>1.3296697408044844E-2</v>
      </c>
      <c r="D23" s="53">
        <v>46733</v>
      </c>
      <c r="E23" s="55">
        <f t="shared" si="1"/>
        <v>7.5632462453270044E-3</v>
      </c>
      <c r="G23" s="51">
        <v>1.3379678248049309E-2</v>
      </c>
    </row>
    <row r="24" spans="1:7" x14ac:dyDescent="0.2">
      <c r="A24" s="51">
        <v>2041</v>
      </c>
      <c r="B24" s="53">
        <f t="shared" si="2"/>
        <v>2263841.0618335013</v>
      </c>
      <c r="C24" s="55">
        <f t="shared" si="0"/>
        <v>1.3225900478867292E-2</v>
      </c>
      <c r="D24" s="53"/>
      <c r="E24" s="55"/>
      <c r="G24" s="51">
        <v>1.3296697408044844E-2</v>
      </c>
    </row>
    <row r="25" spans="1:7" x14ac:dyDescent="0.2">
      <c r="A25" s="51">
        <v>2042</v>
      </c>
      <c r="B25" s="53">
        <f t="shared" si="2"/>
        <v>2293610.204020198</v>
      </c>
      <c r="C25" s="55">
        <f t="shared" si="0"/>
        <v>1.3149837543182663E-2</v>
      </c>
      <c r="D25" s="53"/>
      <c r="E25" s="55"/>
      <c r="G25" s="51">
        <v>1.3225900478867292E-2</v>
      </c>
    </row>
    <row r="26" spans="1:7" x14ac:dyDescent="0.2">
      <c r="A26" s="51">
        <v>2043</v>
      </c>
      <c r="B26" s="53">
        <f t="shared" si="2"/>
        <v>2323551.4651963166</v>
      </c>
      <c r="C26" s="55">
        <f t="shared" si="0"/>
        <v>1.3054206474857111E-2</v>
      </c>
      <c r="D26" s="53"/>
      <c r="E26" s="55"/>
      <c r="G26" s="51">
        <v>1.3149837543182663E-2</v>
      </c>
    </row>
    <row r="27" spans="1:7" x14ac:dyDescent="0.2">
      <c r="A27" s="51">
        <v>2044</v>
      </c>
      <c r="B27" s="53">
        <f t="shared" si="2"/>
        <v>2353612.7444785731</v>
      </c>
      <c r="C27" s="55">
        <f t="shared" si="0"/>
        <v>1.2937642971345475E-2</v>
      </c>
      <c r="D27" s="53"/>
      <c r="E27" s="55"/>
      <c r="G27" s="51">
        <v>1.3054206474857111E-2</v>
      </c>
    </row>
    <row r="28" spans="1:7" x14ac:dyDescent="0.2">
      <c r="A28" s="51">
        <v>2045</v>
      </c>
      <c r="B28" s="53">
        <f t="shared" si="2"/>
        <v>2383773.5736628198</v>
      </c>
      <c r="C28" s="55">
        <f t="shared" si="0"/>
        <v>1.2814694879181854E-2</v>
      </c>
      <c r="D28" s="53"/>
      <c r="E28" s="55"/>
      <c r="G28" s="51">
        <v>1.2937642971345475E-2</v>
      </c>
    </row>
    <row r="29" spans="1:7" x14ac:dyDescent="0.2">
      <c r="A29" s="51">
        <v>2046</v>
      </c>
      <c r="B29" s="53">
        <f t="shared" si="2"/>
        <v>2414079.5410219305</v>
      </c>
      <c r="C29" s="55">
        <f t="shared" si="0"/>
        <v>1.2713442121326857E-2</v>
      </c>
      <c r="D29" s="53"/>
      <c r="E29" s="55"/>
      <c r="G29" s="51">
        <v>1.2814694879181854E-2</v>
      </c>
    </row>
    <row r="30" spans="1:7" x14ac:dyDescent="0.2">
      <c r="A30" s="51">
        <v>2047</v>
      </c>
      <c r="B30" s="53">
        <f t="shared" si="2"/>
        <v>2444551.1147600529</v>
      </c>
      <c r="C30" s="55">
        <f t="shared" si="0"/>
        <v>1.2622439824506726E-2</v>
      </c>
      <c r="D30" s="53"/>
      <c r="E30" s="55"/>
      <c r="G30" s="51">
        <v>1.2713442121326857E-2</v>
      </c>
    </row>
    <row r="31" spans="1:7" x14ac:dyDescent="0.2">
      <c r="A31" s="51">
        <v>2048</v>
      </c>
      <c r="B31" s="53">
        <f>B30*(1+G32)</f>
        <v>2475204.1112167551</v>
      </c>
      <c r="C31" s="55">
        <f t="shared" si="0"/>
        <v>1.2539314998005757E-2</v>
      </c>
      <c r="D31" s="53"/>
      <c r="E31" s="55"/>
      <c r="G31" s="51">
        <v>1.2622439824506726E-2</v>
      </c>
    </row>
    <row r="32" spans="1:7" x14ac:dyDescent="0.2">
      <c r="A32" s="51">
        <v>2049</v>
      </c>
      <c r="B32" s="53">
        <f t="shared" si="2"/>
        <v>2506060.8593420163</v>
      </c>
      <c r="C32" s="55">
        <f t="shared" si="0"/>
        <v>1.2466344890681658E-2</v>
      </c>
      <c r="D32" s="53"/>
      <c r="E32" s="55"/>
      <c r="G32" s="51">
        <v>1.2539314998005757E-2</v>
      </c>
    </row>
    <row r="33" spans="1:7" x14ac:dyDescent="0.2">
      <c r="A33" s="51">
        <v>2050</v>
      </c>
      <c r="B33" s="53">
        <f t="shared" si="2"/>
        <v>2537163.2259170478</v>
      </c>
      <c r="C33" s="55">
        <f t="shared" si="0"/>
        <v>1.2410858443077766E-2</v>
      </c>
      <c r="D33" s="53"/>
      <c r="E33" s="55"/>
      <c r="G33" s="51">
        <v>1.2466344890681658E-2</v>
      </c>
    </row>
    <row r="34" spans="1:7" x14ac:dyDescent="0.2">
      <c r="A34" s="51">
        <v>2051</v>
      </c>
      <c r="B34" s="53">
        <f t="shared" si="2"/>
        <v>2568550.2866043127</v>
      </c>
      <c r="C34" s="55">
        <f t="shared" si="0"/>
        <v>1.2370926855098219E-2</v>
      </c>
      <c r="D34" s="53"/>
      <c r="E34" s="55"/>
      <c r="G34" s="51">
        <v>1.2410858443077766E-2</v>
      </c>
    </row>
    <row r="35" spans="1:7" x14ac:dyDescent="0.2">
      <c r="A35" s="51">
        <v>2052</v>
      </c>
      <c r="B35" s="53">
        <f t="shared" si="2"/>
        <v>2600264.8385579372</v>
      </c>
      <c r="C35" s="55">
        <f t="shared" si="0"/>
        <v>1.2347257563546377E-2</v>
      </c>
      <c r="D35" s="53"/>
      <c r="E35" s="55"/>
      <c r="G35" s="51">
        <v>1.2370926855098219E-2</v>
      </c>
    </row>
    <row r="36" spans="1:7" x14ac:dyDescent="0.2">
      <c r="A36" s="51">
        <v>2053</v>
      </c>
      <c r="B36" s="53">
        <f t="shared" si="2"/>
        <v>2632323.6284904061</v>
      </c>
      <c r="C36" s="55">
        <f t="shared" si="0"/>
        <v>1.2329047971224361E-2</v>
      </c>
      <c r="D36" s="53"/>
      <c r="E36" s="55"/>
      <c r="G36" s="51">
        <v>1.2347257563546377E-2</v>
      </c>
    </row>
    <row r="37" spans="1:7" x14ac:dyDescent="0.2">
      <c r="A37" s="51">
        <v>2054</v>
      </c>
      <c r="B37" s="53">
        <f t="shared" si="2"/>
        <v>2664741.542368372</v>
      </c>
      <c r="C37" s="55">
        <f t="shared" si="0"/>
        <v>1.231532229817689E-2</v>
      </c>
      <c r="D37" s="53"/>
      <c r="E37" s="55"/>
      <c r="G37" s="51">
        <v>1.2329047971224361E-2</v>
      </c>
    </row>
    <row r="38" spans="1:7" x14ac:dyDescent="0.2">
      <c r="A38" s="51">
        <v>2055</v>
      </c>
      <c r="B38" s="53">
        <f t="shared" si="2"/>
        <v>2697571.6114480351</v>
      </c>
      <c r="C38" s="55">
        <f t="shared" si="0"/>
        <v>1.2320170101931982E-2</v>
      </c>
      <c r="D38" s="53"/>
      <c r="E38" s="55"/>
      <c r="G38" s="51">
        <v>1.231532229817689E-2</v>
      </c>
    </row>
    <row r="39" spans="1:7" x14ac:dyDescent="0.2">
      <c r="A39" s="51">
        <v>2056</v>
      </c>
      <c r="B39" s="53">
        <f t="shared" si="2"/>
        <v>2730875.2403418375</v>
      </c>
      <c r="C39" s="55">
        <f t="shared" si="0"/>
        <v>1.2345781202792727E-2</v>
      </c>
      <c r="G39" s="51">
        <v>1.2320170101931982E-2</v>
      </c>
    </row>
    <row r="40" spans="1:7" x14ac:dyDescent="0.2">
      <c r="A40" s="51">
        <v>2057</v>
      </c>
      <c r="B40" s="53">
        <f t="shared" si="2"/>
        <v>2764732.4411205379</v>
      </c>
      <c r="C40" s="55">
        <f t="shared" si="0"/>
        <v>1.2397930260066525E-2</v>
      </c>
      <c r="G40" s="51">
        <v>1.2345781202792727E-2</v>
      </c>
    </row>
    <row r="41" spans="1:7" x14ac:dyDescent="0.2">
      <c r="A41" s="51">
        <v>2058</v>
      </c>
      <c r="B41" s="53">
        <f t="shared" si="2"/>
        <v>2799186.010938263</v>
      </c>
      <c r="C41" s="55">
        <f t="shared" si="0"/>
        <v>1.2461809795873524E-2</v>
      </c>
      <c r="G41" s="51">
        <v>1.2397930260066525E-2</v>
      </c>
    </row>
    <row r="42" spans="1:7" x14ac:dyDescent="0.2">
      <c r="A42" s="51">
        <v>2059</v>
      </c>
      <c r="B42" s="53">
        <f t="shared" si="2"/>
        <v>2834246.1838970869</v>
      </c>
      <c r="C42" s="55">
        <f t="shared" si="0"/>
        <v>1.2525131528173139E-2</v>
      </c>
      <c r="G42" s="51">
        <v>1.2461809795873524E-2</v>
      </c>
    </row>
    <row r="43" spans="1:7" x14ac:dyDescent="0.2">
      <c r="A43" s="51">
        <v>2060</v>
      </c>
      <c r="B43" s="53">
        <f>B42*(1+G43)</f>
        <v>2869745.4901336208</v>
      </c>
      <c r="C43" s="55">
        <f t="shared" si="0"/>
        <v>1.2525131528173139E-2</v>
      </c>
      <c r="G43" s="51">
        <v>1.2525131528173139E-2</v>
      </c>
    </row>
  </sheetData>
  <hyperlinks>
    <hyperlink ref="H3" r:id="rId1" xr:uid="{2ACF025A-F7CD-423C-970E-46A70D408BE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0C9DE-6ADA-492B-8B03-C0DBDEFE7C83}">
  <dimension ref="A1:K56"/>
  <sheetViews>
    <sheetView workbookViewId="0">
      <selection activeCell="A5" sqref="A5:M29"/>
    </sheetView>
  </sheetViews>
  <sheetFormatPr defaultColWidth="9.140625" defaultRowHeight="12.75" x14ac:dyDescent="0.2"/>
  <cols>
    <col min="1" max="16384" width="9.140625" style="56"/>
  </cols>
  <sheetData>
    <row r="1" spans="1:11" x14ac:dyDescent="0.2">
      <c r="A1" s="56" t="s">
        <v>378</v>
      </c>
    </row>
    <row r="2" spans="1:11" x14ac:dyDescent="0.2">
      <c r="A2" s="56" t="s">
        <v>379</v>
      </c>
    </row>
    <row r="3" spans="1:11" x14ac:dyDescent="0.2">
      <c r="A3" s="56" t="s">
        <v>380</v>
      </c>
    </row>
    <row r="4" spans="1:11" x14ac:dyDescent="0.2">
      <c r="A4" s="56" t="s">
        <v>381</v>
      </c>
    </row>
    <row r="5" spans="1:11" x14ac:dyDescent="0.2">
      <c r="A5" s="56" t="s">
        <v>382</v>
      </c>
    </row>
    <row r="9" spans="1:11" x14ac:dyDescent="0.2">
      <c r="A9" s="56" t="s">
        <v>383</v>
      </c>
      <c r="B9" s="56" t="s">
        <v>384</v>
      </c>
    </row>
    <row r="10" spans="1:11" x14ac:dyDescent="0.2">
      <c r="A10" s="56" t="s">
        <v>385</v>
      </c>
      <c r="B10" s="56" t="s">
        <v>386</v>
      </c>
    </row>
    <row r="11" spans="1:11" x14ac:dyDescent="0.2">
      <c r="A11" s="56" t="s">
        <v>387</v>
      </c>
      <c r="B11" s="56" t="s">
        <v>388</v>
      </c>
    </row>
    <row r="12" spans="1:11" ht="51" x14ac:dyDescent="0.2">
      <c r="A12" s="57" t="s">
        <v>389</v>
      </c>
      <c r="B12" s="57" t="s">
        <v>390</v>
      </c>
      <c r="C12" s="57" t="s">
        <v>391</v>
      </c>
      <c r="D12" s="57" t="s">
        <v>392</v>
      </c>
      <c r="E12" s="57" t="s">
        <v>393</v>
      </c>
      <c r="F12" s="57" t="s">
        <v>394</v>
      </c>
      <c r="G12" s="57" t="s">
        <v>395</v>
      </c>
      <c r="H12" s="57" t="s">
        <v>396</v>
      </c>
      <c r="I12" s="57" t="s">
        <v>397</v>
      </c>
      <c r="J12" s="57" t="s">
        <v>398</v>
      </c>
      <c r="K12" s="57" t="s">
        <v>399</v>
      </c>
    </row>
    <row r="13" spans="1:11" x14ac:dyDescent="0.2">
      <c r="A13" s="56" t="s">
        <v>400</v>
      </c>
    </row>
    <row r="14" spans="1:11" x14ac:dyDescent="0.2">
      <c r="B14" s="56" t="s">
        <v>401</v>
      </c>
    </row>
    <row r="15" spans="1:11" x14ac:dyDescent="0.2">
      <c r="A15" s="56">
        <v>2021</v>
      </c>
      <c r="B15" s="58">
        <v>38246.1</v>
      </c>
      <c r="C15" s="58">
        <v>38246.1</v>
      </c>
      <c r="D15" s="58">
        <v>38246.1</v>
      </c>
      <c r="E15" s="58">
        <v>38246.1</v>
      </c>
      <c r="F15" s="58">
        <v>38246.1</v>
      </c>
      <c r="G15" s="58">
        <v>38246.1</v>
      </c>
      <c r="H15" s="58">
        <v>38246.1</v>
      </c>
      <c r="I15" s="58">
        <v>38246.1</v>
      </c>
      <c r="J15" s="58">
        <v>38246.1</v>
      </c>
      <c r="K15" s="58">
        <v>38246.1</v>
      </c>
    </row>
    <row r="16" spans="1:11" x14ac:dyDescent="0.2">
      <c r="A16" s="56">
        <v>2022</v>
      </c>
      <c r="B16" s="58">
        <v>38763.300000000003</v>
      </c>
      <c r="C16" s="58">
        <v>38882</v>
      </c>
      <c r="D16" s="58">
        <v>38882.1</v>
      </c>
      <c r="E16" s="58">
        <v>38882.1</v>
      </c>
      <c r="F16" s="58">
        <v>38882.1</v>
      </c>
      <c r="G16" s="58">
        <v>38882</v>
      </c>
      <c r="H16" s="58">
        <v>38882</v>
      </c>
      <c r="I16" s="58">
        <v>38957.4</v>
      </c>
      <c r="J16" s="58">
        <v>38935.4</v>
      </c>
      <c r="K16" s="58">
        <v>38785.300000000003</v>
      </c>
    </row>
    <row r="17" spans="1:11" x14ac:dyDescent="0.2">
      <c r="A17" s="56">
        <v>2023</v>
      </c>
      <c r="B17" s="58">
        <v>39147</v>
      </c>
      <c r="C17" s="58">
        <v>39426</v>
      </c>
      <c r="D17" s="58">
        <v>39426.199999999997</v>
      </c>
      <c r="E17" s="58">
        <v>39426.199999999997</v>
      </c>
      <c r="F17" s="58">
        <v>39426.300000000003</v>
      </c>
      <c r="G17" s="58">
        <v>39426.1</v>
      </c>
      <c r="H17" s="58">
        <v>39426</v>
      </c>
      <c r="I17" s="58">
        <v>39633.9</v>
      </c>
      <c r="J17" s="58">
        <v>39582.199999999997</v>
      </c>
      <c r="K17" s="58">
        <v>39198.6</v>
      </c>
    </row>
    <row r="18" spans="1:11" x14ac:dyDescent="0.2">
      <c r="A18" s="56">
        <v>2024</v>
      </c>
      <c r="B18" s="58">
        <v>39512.199999999997</v>
      </c>
      <c r="C18" s="58">
        <v>39953.1</v>
      </c>
      <c r="D18" s="58">
        <v>39953.599999999999</v>
      </c>
      <c r="E18" s="58">
        <v>39953.599999999999</v>
      </c>
      <c r="F18" s="58">
        <v>39953.699999999997</v>
      </c>
      <c r="G18" s="58">
        <v>39953.199999999997</v>
      </c>
      <c r="H18" s="58">
        <v>39953.1</v>
      </c>
      <c r="I18" s="58">
        <v>40318.5</v>
      </c>
      <c r="J18" s="58">
        <v>40233.1</v>
      </c>
      <c r="K18" s="58">
        <v>39597.199999999997</v>
      </c>
    </row>
    <row r="19" spans="1:11" x14ac:dyDescent="0.2">
      <c r="A19" s="56">
        <v>2025</v>
      </c>
      <c r="B19" s="58">
        <v>39861.1</v>
      </c>
      <c r="C19" s="58">
        <v>40464.699999999997</v>
      </c>
      <c r="D19" s="58">
        <v>40465.599999999999</v>
      </c>
      <c r="E19" s="58">
        <v>40465.5</v>
      </c>
      <c r="F19" s="58">
        <v>40465.699999999997</v>
      </c>
      <c r="G19" s="58">
        <v>40464.9</v>
      </c>
      <c r="H19" s="58">
        <v>40464.699999999997</v>
      </c>
      <c r="I19" s="58">
        <v>40992.800000000003</v>
      </c>
      <c r="J19" s="58">
        <v>40876</v>
      </c>
      <c r="K19" s="58">
        <v>39977.300000000003</v>
      </c>
    </row>
    <row r="20" spans="1:11" x14ac:dyDescent="0.2">
      <c r="A20" s="56">
        <v>2026</v>
      </c>
      <c r="B20" s="58">
        <v>40163.9</v>
      </c>
      <c r="C20" s="58">
        <v>40964.6</v>
      </c>
      <c r="D20" s="58">
        <v>40965.9</v>
      </c>
      <c r="E20" s="58">
        <v>40965.699999999997</v>
      </c>
      <c r="F20" s="58">
        <v>40966</v>
      </c>
      <c r="G20" s="58">
        <v>40964.800000000003</v>
      </c>
      <c r="H20" s="58">
        <v>40964.400000000001</v>
      </c>
      <c r="I20" s="58">
        <v>41653.599999999999</v>
      </c>
      <c r="J20" s="58">
        <v>41505.599999999999</v>
      </c>
      <c r="K20" s="58">
        <v>40310.699999999997</v>
      </c>
    </row>
    <row r="21" spans="1:11" x14ac:dyDescent="0.2">
      <c r="A21" s="56">
        <v>2027</v>
      </c>
      <c r="B21" s="58">
        <v>40431</v>
      </c>
      <c r="C21" s="58">
        <v>41452.699999999997</v>
      </c>
      <c r="D21" s="58">
        <v>41454.400000000001</v>
      </c>
      <c r="E21" s="58">
        <v>41454.199999999997</v>
      </c>
      <c r="F21" s="58">
        <v>41454.6</v>
      </c>
      <c r="G21" s="58">
        <v>41452.9</v>
      </c>
      <c r="H21" s="58">
        <v>41452.300000000003</v>
      </c>
      <c r="I21" s="58">
        <v>42299.199999999997</v>
      </c>
      <c r="J21" s="58">
        <v>42118.400000000001</v>
      </c>
      <c r="K21" s="58">
        <v>40609.699999999997</v>
      </c>
    </row>
    <row r="22" spans="1:11" x14ac:dyDescent="0.2">
      <c r="A22" s="56">
        <v>2028</v>
      </c>
      <c r="B22" s="58">
        <v>40676.1</v>
      </c>
      <c r="C22" s="58">
        <v>41928.300000000003</v>
      </c>
      <c r="D22" s="58">
        <v>41930.6</v>
      </c>
      <c r="E22" s="58">
        <v>41930.300000000003</v>
      </c>
      <c r="F22" s="58">
        <v>41930.800000000003</v>
      </c>
      <c r="G22" s="58">
        <v>41928.5</v>
      </c>
      <c r="H22" s="58">
        <v>41927.699999999997</v>
      </c>
      <c r="I22" s="58">
        <v>42929.5</v>
      </c>
      <c r="J22" s="58">
        <v>42714.7</v>
      </c>
      <c r="K22" s="58">
        <v>40887.699999999997</v>
      </c>
    </row>
    <row r="23" spans="1:11" x14ac:dyDescent="0.2">
      <c r="A23" s="56">
        <v>2029</v>
      </c>
      <c r="B23" s="58">
        <v>40902.400000000001</v>
      </c>
      <c r="C23" s="58">
        <v>42391.3</v>
      </c>
      <c r="D23" s="58">
        <v>42394</v>
      </c>
      <c r="E23" s="58">
        <v>42393.7</v>
      </c>
      <c r="F23" s="58">
        <v>42394.400000000001</v>
      </c>
      <c r="G23" s="58">
        <v>42391.4</v>
      </c>
      <c r="H23" s="58">
        <v>42390.400000000001</v>
      </c>
      <c r="I23" s="58">
        <v>43545.4</v>
      </c>
      <c r="J23" s="58">
        <v>43295.8</v>
      </c>
      <c r="K23" s="58">
        <v>41147.5</v>
      </c>
    </row>
    <row r="24" spans="1:11" x14ac:dyDescent="0.2">
      <c r="A24" s="56">
        <v>2030</v>
      </c>
      <c r="B24" s="58">
        <v>41111.9</v>
      </c>
      <c r="C24" s="58">
        <v>42840.800000000003</v>
      </c>
      <c r="D24" s="58">
        <v>42844</v>
      </c>
      <c r="E24" s="58">
        <v>42843.6</v>
      </c>
      <c r="F24" s="58">
        <v>42844.5</v>
      </c>
      <c r="G24" s="58">
        <v>42840.800000000003</v>
      </c>
      <c r="H24" s="58">
        <v>42839.5</v>
      </c>
      <c r="I24" s="58">
        <v>44150</v>
      </c>
      <c r="J24" s="58">
        <v>43864.5</v>
      </c>
      <c r="K24" s="58">
        <v>41391.199999999997</v>
      </c>
    </row>
    <row r="25" spans="1:11" x14ac:dyDescent="0.2">
      <c r="A25" s="56">
        <v>2031</v>
      </c>
      <c r="B25" s="58">
        <v>41306.300000000003</v>
      </c>
      <c r="C25" s="58">
        <v>43276.3</v>
      </c>
      <c r="D25" s="58">
        <v>43280</v>
      </c>
      <c r="E25" s="58">
        <v>43279.5</v>
      </c>
      <c r="F25" s="58">
        <v>43280.6</v>
      </c>
      <c r="G25" s="58">
        <v>43276.1</v>
      </c>
      <c r="H25" s="58">
        <v>43274.5</v>
      </c>
      <c r="I25" s="58">
        <v>44748.1</v>
      </c>
      <c r="J25" s="58">
        <v>44425.7</v>
      </c>
      <c r="K25" s="58">
        <v>41620.5</v>
      </c>
    </row>
    <row r="26" spans="1:11" x14ac:dyDescent="0.2">
      <c r="A26" s="56">
        <v>2032</v>
      </c>
      <c r="B26" s="58">
        <v>41487.199999999997</v>
      </c>
      <c r="C26" s="58">
        <v>43697.3</v>
      </c>
      <c r="D26" s="58">
        <v>43701.599999999999</v>
      </c>
      <c r="E26" s="58">
        <v>43701</v>
      </c>
      <c r="F26" s="58">
        <v>43702.400000000001</v>
      </c>
      <c r="G26" s="58">
        <v>43696.9</v>
      </c>
      <c r="H26" s="58">
        <v>43695</v>
      </c>
      <c r="I26" s="58">
        <v>45346</v>
      </c>
      <c r="J26" s="58">
        <v>44985.8</v>
      </c>
      <c r="K26" s="58">
        <v>41836.800000000003</v>
      </c>
    </row>
    <row r="27" spans="1:11" x14ac:dyDescent="0.2">
      <c r="A27" s="56">
        <v>2033</v>
      </c>
      <c r="B27" s="58">
        <v>41655.1</v>
      </c>
      <c r="C27" s="58">
        <v>44108.7</v>
      </c>
      <c r="D27" s="58">
        <v>44113.5</v>
      </c>
      <c r="E27" s="58">
        <v>44112.800000000003</v>
      </c>
      <c r="F27" s="58">
        <v>44114.400000000001</v>
      </c>
      <c r="G27" s="58">
        <v>44108</v>
      </c>
      <c r="H27" s="58">
        <v>44105.599999999999</v>
      </c>
      <c r="I27" s="58">
        <v>45951.199999999997</v>
      </c>
      <c r="J27" s="58">
        <v>45552</v>
      </c>
      <c r="K27" s="58">
        <v>42041</v>
      </c>
    </row>
    <row r="28" spans="1:11" x14ac:dyDescent="0.2">
      <c r="A28" s="56">
        <v>2034</v>
      </c>
      <c r="B28" s="58">
        <v>41811.699999999997</v>
      </c>
      <c r="C28" s="58">
        <v>44509.9</v>
      </c>
      <c r="D28" s="58">
        <v>44515.199999999997</v>
      </c>
      <c r="E28" s="58">
        <v>44514.400000000001</v>
      </c>
      <c r="F28" s="58">
        <v>44516.2</v>
      </c>
      <c r="G28" s="58">
        <v>44508.800000000003</v>
      </c>
      <c r="H28" s="58">
        <v>44506.1</v>
      </c>
      <c r="I28" s="58">
        <v>46563.7</v>
      </c>
      <c r="J28" s="58">
        <v>46124.9</v>
      </c>
      <c r="K28" s="58">
        <v>42233.9</v>
      </c>
    </row>
    <row r="29" spans="1:11" x14ac:dyDescent="0.2">
      <c r="A29" s="56">
        <v>2035</v>
      </c>
      <c r="B29" s="58">
        <v>41958.1</v>
      </c>
      <c r="C29" s="58">
        <v>44901.1</v>
      </c>
      <c r="D29" s="58">
        <v>44906.8</v>
      </c>
      <c r="E29" s="58">
        <v>44906</v>
      </c>
      <c r="F29" s="58">
        <v>44908</v>
      </c>
      <c r="G29" s="58">
        <v>44899.5</v>
      </c>
      <c r="H29" s="58">
        <v>44896.3</v>
      </c>
      <c r="I29" s="58">
        <v>47184.2</v>
      </c>
      <c r="J29" s="58">
        <v>46705.2</v>
      </c>
      <c r="K29" s="58">
        <v>42416.800000000003</v>
      </c>
    </row>
    <row r="30" spans="1:11" x14ac:dyDescent="0.2">
      <c r="A30" s="56">
        <v>2036</v>
      </c>
      <c r="B30" s="58">
        <v>42095.8</v>
      </c>
      <c r="C30" s="58">
        <v>45282.3</v>
      </c>
      <c r="D30" s="58">
        <v>45288.7</v>
      </c>
      <c r="E30" s="58">
        <v>45287.7</v>
      </c>
      <c r="F30" s="58">
        <v>45290</v>
      </c>
      <c r="G30" s="58">
        <v>45280.2</v>
      </c>
      <c r="H30" s="58">
        <v>45276.6</v>
      </c>
      <c r="I30" s="58">
        <v>47813.7</v>
      </c>
      <c r="J30" s="58">
        <v>47293.7</v>
      </c>
      <c r="K30" s="58">
        <v>42591.3</v>
      </c>
    </row>
    <row r="31" spans="1:11" x14ac:dyDescent="0.2">
      <c r="A31" s="56">
        <v>2037</v>
      </c>
      <c r="B31" s="58">
        <v>42226.3</v>
      </c>
      <c r="C31" s="58">
        <v>45654.2</v>
      </c>
      <c r="D31" s="58">
        <v>45661.2</v>
      </c>
      <c r="E31" s="58">
        <v>45660.1</v>
      </c>
      <c r="F31" s="58">
        <v>45662.5</v>
      </c>
      <c r="G31" s="58">
        <v>45651.5</v>
      </c>
      <c r="H31" s="58">
        <v>45647.4</v>
      </c>
      <c r="I31" s="58">
        <v>48452.9</v>
      </c>
      <c r="J31" s="58">
        <v>47891.5</v>
      </c>
      <c r="K31" s="58">
        <v>42758.6</v>
      </c>
    </row>
    <row r="32" spans="1:11" x14ac:dyDescent="0.2">
      <c r="A32" s="56">
        <v>2038</v>
      </c>
      <c r="B32" s="58">
        <v>42350.400000000001</v>
      </c>
      <c r="C32" s="58">
        <v>46017.8</v>
      </c>
      <c r="D32" s="58">
        <v>46025.3</v>
      </c>
      <c r="E32" s="58">
        <v>46024.1</v>
      </c>
      <c r="F32" s="58">
        <v>46026.8</v>
      </c>
      <c r="G32" s="58">
        <v>46014.3</v>
      </c>
      <c r="H32" s="58">
        <v>46009.8</v>
      </c>
      <c r="I32" s="58">
        <v>49102.2</v>
      </c>
      <c r="J32" s="58">
        <v>48499</v>
      </c>
      <c r="K32" s="58">
        <v>42919.3</v>
      </c>
    </row>
    <row r="33" spans="1:11" x14ac:dyDescent="0.2">
      <c r="A33" s="56">
        <v>2039</v>
      </c>
      <c r="B33" s="58">
        <v>42469.2</v>
      </c>
      <c r="C33" s="58">
        <v>46374</v>
      </c>
      <c r="D33" s="58">
        <v>46382.2</v>
      </c>
      <c r="E33" s="58">
        <v>46380.9</v>
      </c>
      <c r="F33" s="58">
        <v>46383.7</v>
      </c>
      <c r="G33" s="58">
        <v>46369.7</v>
      </c>
      <c r="H33" s="58">
        <v>46364.7</v>
      </c>
      <c r="I33" s="58">
        <v>49762.2</v>
      </c>
      <c r="J33" s="58">
        <v>49116.9</v>
      </c>
      <c r="K33" s="58">
        <v>43074.6</v>
      </c>
    </row>
    <row r="34" spans="1:11" x14ac:dyDescent="0.2">
      <c r="A34" s="56">
        <v>2040</v>
      </c>
      <c r="B34" s="58">
        <v>42584</v>
      </c>
      <c r="C34" s="58">
        <v>46724.2</v>
      </c>
      <c r="D34" s="58">
        <v>46733</v>
      </c>
      <c r="E34" s="58">
        <v>46731.6</v>
      </c>
      <c r="F34" s="58">
        <v>46734.6</v>
      </c>
      <c r="G34" s="58">
        <v>46719</v>
      </c>
      <c r="H34" s="58">
        <v>46713.5</v>
      </c>
      <c r="I34" s="58">
        <v>50433.7</v>
      </c>
      <c r="J34" s="58">
        <v>49745.9</v>
      </c>
      <c r="K34" s="58">
        <v>43225.5</v>
      </c>
    </row>
    <row r="39" spans="1:11" x14ac:dyDescent="0.2">
      <c r="A39" s="56" t="s">
        <v>402</v>
      </c>
    </row>
    <row r="40" spans="1:11" x14ac:dyDescent="0.2">
      <c r="A40" s="56">
        <v>1</v>
      </c>
      <c r="B40" s="56" t="s">
        <v>403</v>
      </c>
    </row>
    <row r="41" spans="1:11" x14ac:dyDescent="0.2">
      <c r="A41" s="56">
        <v>2</v>
      </c>
      <c r="B41" s="56" t="s">
        <v>404</v>
      </c>
    </row>
    <row r="42" spans="1:11" x14ac:dyDescent="0.2">
      <c r="A42" s="56">
        <v>3</v>
      </c>
      <c r="B42" s="56" t="s">
        <v>405</v>
      </c>
    </row>
    <row r="43" spans="1:11" x14ac:dyDescent="0.2">
      <c r="A43" s="56">
        <v>4</v>
      </c>
      <c r="B43" s="56" t="s">
        <v>406</v>
      </c>
    </row>
    <row r="44" spans="1:11" x14ac:dyDescent="0.2">
      <c r="A44" s="56">
        <v>5</v>
      </c>
      <c r="B44" s="56" t="s">
        <v>407</v>
      </c>
    </row>
    <row r="45" spans="1:11" x14ac:dyDescent="0.2">
      <c r="A45" s="56">
        <v>6</v>
      </c>
      <c r="B45" s="56" t="s">
        <v>408</v>
      </c>
    </row>
    <row r="46" spans="1:11" x14ac:dyDescent="0.2">
      <c r="A46" s="56">
        <v>7</v>
      </c>
      <c r="B46" s="56" t="s">
        <v>409</v>
      </c>
    </row>
    <row r="47" spans="1:11" x14ac:dyDescent="0.2">
      <c r="A47" s="56">
        <v>8</v>
      </c>
      <c r="B47" s="56" t="s">
        <v>410</v>
      </c>
    </row>
    <row r="48" spans="1:11" x14ac:dyDescent="0.2">
      <c r="A48" s="56">
        <v>9</v>
      </c>
      <c r="B48" s="56" t="s">
        <v>411</v>
      </c>
    </row>
    <row r="49" spans="1:2" x14ac:dyDescent="0.2">
      <c r="A49" s="56">
        <v>10</v>
      </c>
      <c r="B49" s="56" t="s">
        <v>412</v>
      </c>
    </row>
    <row r="50" spans="1:2" x14ac:dyDescent="0.2">
      <c r="A50" s="56">
        <v>11</v>
      </c>
      <c r="B50" s="56" t="s">
        <v>413</v>
      </c>
    </row>
    <row r="51" spans="1:2" x14ac:dyDescent="0.2">
      <c r="A51" s="56">
        <v>12</v>
      </c>
      <c r="B51" s="56" t="s">
        <v>414</v>
      </c>
    </row>
    <row r="55" spans="1:2" x14ac:dyDescent="0.2">
      <c r="A55" s="56" t="s">
        <v>415</v>
      </c>
    </row>
    <row r="56" spans="1:2" x14ac:dyDescent="0.2">
      <c r="A56" s="56" t="s">
        <v>416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54D97-CD37-463C-B3A2-6071AFDEDFA1}">
  <dimension ref="A1:I43"/>
  <sheetViews>
    <sheetView topLeftCell="A4" workbookViewId="0">
      <selection activeCell="A5" sqref="A5:M29"/>
    </sheetView>
  </sheetViews>
  <sheetFormatPr defaultColWidth="9.140625" defaultRowHeight="12.75" x14ac:dyDescent="0.2"/>
  <cols>
    <col min="1" max="3" width="9.140625" style="56"/>
    <col min="4" max="4" width="10.5703125" style="56" customWidth="1"/>
    <col min="5" max="16384" width="9.140625" style="56"/>
  </cols>
  <sheetData>
    <row r="1" spans="1:9" ht="20.25" x14ac:dyDescent="0.3">
      <c r="A1" s="49" t="s">
        <v>417</v>
      </c>
      <c r="B1" s="50"/>
      <c r="C1" s="50"/>
      <c r="D1" s="50"/>
      <c r="E1" s="50"/>
      <c r="F1" s="50"/>
      <c r="G1" s="50"/>
      <c r="H1" s="50"/>
      <c r="I1" s="50"/>
    </row>
    <row r="2" spans="1:9" ht="25.5" x14ac:dyDescent="0.2">
      <c r="A2" s="52"/>
      <c r="B2" s="52" t="s">
        <v>372</v>
      </c>
      <c r="C2" s="52" t="s">
        <v>373</v>
      </c>
      <c r="D2" s="52" t="s">
        <v>418</v>
      </c>
      <c r="E2" s="52" t="s">
        <v>419</v>
      </c>
      <c r="F2" s="51"/>
      <c r="G2" s="51"/>
      <c r="H2" s="51"/>
      <c r="I2" s="51"/>
    </row>
    <row r="3" spans="1:9" x14ac:dyDescent="0.2">
      <c r="A3" s="56">
        <v>2020</v>
      </c>
      <c r="B3" s="59">
        <v>2190301.4165529702</v>
      </c>
    </row>
    <row r="4" spans="1:9" x14ac:dyDescent="0.2">
      <c r="A4" s="56">
        <v>2021</v>
      </c>
      <c r="B4" s="59">
        <v>2299481.04046711</v>
      </c>
      <c r="C4" s="60">
        <f>B4/B3-1</f>
        <v>4.9846848972030289E-2</v>
      </c>
      <c r="D4" s="59">
        <f>'Mexico Population'!C$7</f>
        <v>128972439</v>
      </c>
      <c r="E4" s="59">
        <f>B4/D4*1000000</f>
        <v>17829.243660865483</v>
      </c>
    </row>
    <row r="5" spans="1:9" x14ac:dyDescent="0.2">
      <c r="A5" s="56">
        <v>2022</v>
      </c>
      <c r="B5" s="59">
        <v>2372532.89558018</v>
      </c>
      <c r="C5" s="60">
        <f t="shared" ref="C5:C43" si="0">B5/B4-1</f>
        <v>3.1768844285939624E-2</v>
      </c>
      <c r="D5" s="59">
        <f>'Mexico Population'!D$7</f>
        <v>130118356</v>
      </c>
      <c r="E5" s="59">
        <f t="shared" ref="E5:E13" si="1">B5/D5*1000000</f>
        <v>18233.652564594191</v>
      </c>
      <c r="F5" s="60">
        <f t="shared" ref="F5:F13" si="2">E5/E4-1</f>
        <v>2.2682336470411846E-2</v>
      </c>
    </row>
    <row r="6" spans="1:9" x14ac:dyDescent="0.2">
      <c r="A6" s="56">
        <v>2023</v>
      </c>
      <c r="B6" s="59">
        <v>2485282</v>
      </c>
      <c r="C6" s="60">
        <f t="shared" si="0"/>
        <v>4.75226727645639E-2</v>
      </c>
      <c r="D6" s="59">
        <f>'Mexico Population'!E$7</f>
        <v>131230255</v>
      </c>
      <c r="E6" s="59">
        <f t="shared" si="1"/>
        <v>18938.330951197189</v>
      </c>
      <c r="F6" s="60">
        <f t="shared" si="2"/>
        <v>3.864713249891194E-2</v>
      </c>
    </row>
    <row r="7" spans="1:9" x14ac:dyDescent="0.2">
      <c r="A7" s="56">
        <v>2024</v>
      </c>
      <c r="B7" s="59">
        <v>2592371</v>
      </c>
      <c r="C7" s="60">
        <f t="shared" si="0"/>
        <v>4.3089275180844711E-2</v>
      </c>
      <c r="D7" s="59">
        <f>'Mexico Population'!F$7</f>
        <v>132308276</v>
      </c>
      <c r="E7" s="59">
        <f t="shared" si="1"/>
        <v>19593.415305328293</v>
      </c>
      <c r="F7" s="60">
        <f t="shared" si="2"/>
        <v>3.4590395310928557E-2</v>
      </c>
    </row>
    <row r="8" spans="1:9" x14ac:dyDescent="0.2">
      <c r="A8" s="56">
        <v>2025</v>
      </c>
      <c r="B8" s="59">
        <v>2687380</v>
      </c>
      <c r="C8" s="60">
        <f t="shared" si="0"/>
        <v>3.6649461053221088E-2</v>
      </c>
      <c r="D8" s="59">
        <f>'Mexico Population'!G$7</f>
        <v>133352387</v>
      </c>
      <c r="E8" s="59">
        <f t="shared" si="1"/>
        <v>20152.470161632726</v>
      </c>
      <c r="F8" s="60">
        <f t="shared" si="2"/>
        <v>2.8532792654703876E-2</v>
      </c>
    </row>
    <row r="9" spans="1:9" x14ac:dyDescent="0.2">
      <c r="A9" s="56">
        <v>2026</v>
      </c>
      <c r="B9" s="59">
        <v>2772470</v>
      </c>
      <c r="C9" s="60">
        <f t="shared" si="0"/>
        <v>3.1662809130082126E-2</v>
      </c>
      <c r="D9" s="59">
        <f>'Mexico Population'!H$7</f>
        <v>134362934</v>
      </c>
      <c r="E9" s="59">
        <f t="shared" si="1"/>
        <v>20634.187699414186</v>
      </c>
      <c r="F9" s="60">
        <f t="shared" si="2"/>
        <v>2.3903647241149573E-2</v>
      </c>
    </row>
    <row r="10" spans="1:9" x14ac:dyDescent="0.2">
      <c r="A10" s="56">
        <v>2027</v>
      </c>
      <c r="B10" s="59">
        <v>2850996</v>
      </c>
      <c r="C10" s="60">
        <f t="shared" si="0"/>
        <v>2.8323480506551979E-2</v>
      </c>
      <c r="D10" s="59">
        <f>'Mexico Population'!I$7</f>
        <v>135339973</v>
      </c>
      <c r="E10" s="59">
        <f t="shared" si="1"/>
        <v>21065.439402740238</v>
      </c>
      <c r="F10" s="60">
        <f t="shared" si="2"/>
        <v>2.0899863353394554E-2</v>
      </c>
    </row>
    <row r="11" spans="1:9" x14ac:dyDescent="0.2">
      <c r="A11" s="56">
        <v>2028</v>
      </c>
      <c r="B11" s="59">
        <v>2926182</v>
      </c>
      <c r="C11" s="60">
        <f t="shared" si="0"/>
        <v>2.6371836368763724E-2</v>
      </c>
      <c r="D11" s="59">
        <f>'Mexico Population'!J$7</f>
        <v>136283592</v>
      </c>
      <c r="E11" s="59">
        <f t="shared" si="1"/>
        <v>21471.271464579539</v>
      </c>
      <c r="F11" s="60">
        <f t="shared" si="2"/>
        <v>1.926530247389513E-2</v>
      </c>
    </row>
    <row r="12" spans="1:9" x14ac:dyDescent="0.2">
      <c r="A12" s="56">
        <v>2029</v>
      </c>
      <c r="B12" s="59">
        <v>2999927</v>
      </c>
      <c r="C12" s="60">
        <f t="shared" si="0"/>
        <v>2.5201781707357984E-2</v>
      </c>
      <c r="D12" s="59">
        <f>'Mexico Population'!K$7</f>
        <v>137193751</v>
      </c>
      <c r="E12" s="59">
        <f t="shared" si="1"/>
        <v>21866.35308192718</v>
      </c>
      <c r="F12" s="60">
        <f t="shared" si="2"/>
        <v>1.840047609660167E-2</v>
      </c>
    </row>
    <row r="13" spans="1:9" x14ac:dyDescent="0.2">
      <c r="A13" s="56">
        <v>2030</v>
      </c>
      <c r="B13" s="59">
        <v>3073297</v>
      </c>
      <c r="C13" s="60">
        <f t="shared" si="0"/>
        <v>2.4457261793370266E-2</v>
      </c>
      <c r="D13" s="59">
        <f>'Mexico Population'!L$7</f>
        <v>138070271</v>
      </c>
      <c r="E13" s="59">
        <f t="shared" si="1"/>
        <v>22258.933641116702</v>
      </c>
      <c r="F13" s="60">
        <f t="shared" si="2"/>
        <v>1.7953636700122289E-2</v>
      </c>
    </row>
    <row r="14" spans="1:9" x14ac:dyDescent="0.2">
      <c r="A14" s="56">
        <v>2031</v>
      </c>
      <c r="B14" s="59">
        <v>3146855</v>
      </c>
      <c r="C14" s="60">
        <f t="shared" si="0"/>
        <v>2.3934556276207664E-2</v>
      </c>
    </row>
    <row r="15" spans="1:9" x14ac:dyDescent="0.2">
      <c r="A15" s="56">
        <v>2032</v>
      </c>
      <c r="B15" s="59">
        <v>3220864</v>
      </c>
      <c r="C15" s="60">
        <f t="shared" si="0"/>
        <v>2.3518401705830083E-2</v>
      </c>
    </row>
    <row r="16" spans="1:9" x14ac:dyDescent="0.2">
      <c r="A16" s="56">
        <v>2033</v>
      </c>
      <c r="B16" s="59">
        <v>3295445</v>
      </c>
      <c r="C16" s="60">
        <f t="shared" si="0"/>
        <v>2.3155588065810973E-2</v>
      </c>
    </row>
    <row r="17" spans="1:3" x14ac:dyDescent="0.2">
      <c r="A17" s="56">
        <v>2034</v>
      </c>
      <c r="B17" s="59">
        <v>3370625</v>
      </c>
      <c r="C17" s="60">
        <f t="shared" si="0"/>
        <v>2.2813307459235377E-2</v>
      </c>
    </row>
    <row r="18" spans="1:3" x14ac:dyDescent="0.2">
      <c r="A18" s="56">
        <v>2035</v>
      </c>
      <c r="B18" s="59">
        <v>3446378</v>
      </c>
      <c r="C18" s="60">
        <f t="shared" si="0"/>
        <v>2.2474466901539092E-2</v>
      </c>
    </row>
    <row r="19" spans="1:3" x14ac:dyDescent="0.2">
      <c r="A19" s="56">
        <v>2036</v>
      </c>
      <c r="B19" s="59">
        <v>3522672</v>
      </c>
      <c r="C19" s="60">
        <f t="shared" si="0"/>
        <v>2.2137444006432361E-2</v>
      </c>
    </row>
    <row r="20" spans="1:3" x14ac:dyDescent="0.2">
      <c r="A20" s="56">
        <v>2037</v>
      </c>
      <c r="B20" s="59">
        <v>3599450</v>
      </c>
      <c r="C20" s="60">
        <f t="shared" si="0"/>
        <v>2.1795387137945266E-2</v>
      </c>
    </row>
    <row r="21" spans="1:3" x14ac:dyDescent="0.2">
      <c r="A21" s="56">
        <v>2038</v>
      </c>
      <c r="B21" s="59">
        <v>3676677</v>
      </c>
      <c r="C21" s="60">
        <f t="shared" si="0"/>
        <v>2.1455222325633017E-2</v>
      </c>
    </row>
    <row r="22" spans="1:3" x14ac:dyDescent="0.2">
      <c r="A22" s="56">
        <v>2039</v>
      </c>
      <c r="B22" s="59">
        <v>3754303</v>
      </c>
      <c r="C22" s="60">
        <f t="shared" si="0"/>
        <v>2.1113086626864508E-2</v>
      </c>
    </row>
    <row r="23" spans="1:3" x14ac:dyDescent="0.2">
      <c r="A23" s="56">
        <v>2040</v>
      </c>
      <c r="B23" s="59">
        <v>3832268</v>
      </c>
      <c r="C23" s="60">
        <f t="shared" si="0"/>
        <v>2.0766837412963257E-2</v>
      </c>
    </row>
    <row r="24" spans="1:3" x14ac:dyDescent="0.2">
      <c r="A24" s="56">
        <v>2041</v>
      </c>
      <c r="B24" s="59">
        <v>3910525</v>
      </c>
      <c r="C24" s="60">
        <f t="shared" si="0"/>
        <v>2.0420544700944676E-2</v>
      </c>
    </row>
    <row r="25" spans="1:3" x14ac:dyDescent="0.2">
      <c r="A25" s="56">
        <v>2042</v>
      </c>
      <c r="B25" s="59">
        <v>3989020</v>
      </c>
      <c r="C25" s="60">
        <f t="shared" si="0"/>
        <v>2.0072752379795444E-2</v>
      </c>
    </row>
    <row r="26" spans="1:3" x14ac:dyDescent="0.2">
      <c r="A26" s="56">
        <v>2043</v>
      </c>
      <c r="B26" s="59">
        <v>4067706</v>
      </c>
      <c r="C26" s="60">
        <f t="shared" si="0"/>
        <v>1.9725646900742522E-2</v>
      </c>
    </row>
    <row r="27" spans="1:3" x14ac:dyDescent="0.2">
      <c r="A27" s="56">
        <v>2044</v>
      </c>
      <c r="B27" s="59">
        <v>4146524</v>
      </c>
      <c r="C27" s="60">
        <f t="shared" si="0"/>
        <v>1.9376523278722635E-2</v>
      </c>
    </row>
    <row r="28" spans="1:3" x14ac:dyDescent="0.2">
      <c r="A28" s="56">
        <v>2045</v>
      </c>
      <c r="B28" s="59">
        <v>4225422</v>
      </c>
      <c r="C28" s="60">
        <f t="shared" si="0"/>
        <v>1.9027503518609823E-2</v>
      </c>
    </row>
    <row r="29" spans="1:3" x14ac:dyDescent="0.2">
      <c r="A29" s="56">
        <v>2046</v>
      </c>
      <c r="B29" s="59">
        <v>4304370</v>
      </c>
      <c r="C29" s="60">
        <f t="shared" si="0"/>
        <v>1.8684050965797061E-2</v>
      </c>
    </row>
    <row r="30" spans="1:3" x14ac:dyDescent="0.2">
      <c r="A30" s="56">
        <v>2047</v>
      </c>
      <c r="B30" s="59">
        <v>4383344</v>
      </c>
      <c r="C30" s="60">
        <f t="shared" si="0"/>
        <v>1.8347400432583649E-2</v>
      </c>
    </row>
    <row r="31" spans="1:3" x14ac:dyDescent="0.2">
      <c r="A31" s="56">
        <v>2048</v>
      </c>
      <c r="B31" s="59">
        <v>4462341</v>
      </c>
      <c r="C31" s="60">
        <f t="shared" si="0"/>
        <v>1.8022085421541156E-2</v>
      </c>
    </row>
    <row r="32" spans="1:3" x14ac:dyDescent="0.2">
      <c r="A32" s="56">
        <v>2049</v>
      </c>
      <c r="B32" s="59">
        <v>4541342</v>
      </c>
      <c r="C32" s="60">
        <f t="shared" si="0"/>
        <v>1.7703936117835939E-2</v>
      </c>
    </row>
    <row r="33" spans="1:3" x14ac:dyDescent="0.2">
      <c r="A33" s="56">
        <v>2050</v>
      </c>
      <c r="B33" s="59">
        <v>4620325</v>
      </c>
      <c r="C33" s="60">
        <f t="shared" si="0"/>
        <v>1.7391995581922615E-2</v>
      </c>
    </row>
    <row r="34" spans="1:3" x14ac:dyDescent="0.2">
      <c r="A34" s="56">
        <v>2051</v>
      </c>
      <c r="B34" s="59">
        <v>4699274</v>
      </c>
      <c r="C34" s="60">
        <f t="shared" si="0"/>
        <v>1.708732610801178E-2</v>
      </c>
    </row>
    <row r="35" spans="1:3" x14ac:dyDescent="0.2">
      <c r="A35" s="56">
        <v>2052</v>
      </c>
      <c r="B35" s="59">
        <v>4778128</v>
      </c>
      <c r="C35" s="60">
        <f t="shared" si="0"/>
        <v>1.6780038788970275E-2</v>
      </c>
    </row>
    <row r="36" spans="1:3" x14ac:dyDescent="0.2">
      <c r="A36" s="56">
        <v>2053</v>
      </c>
      <c r="B36" s="59">
        <v>4856853</v>
      </c>
      <c r="C36" s="60">
        <f t="shared" si="0"/>
        <v>1.6476117843640781E-2</v>
      </c>
    </row>
    <row r="37" spans="1:3" x14ac:dyDescent="0.2">
      <c r="A37" s="56">
        <v>2054</v>
      </c>
      <c r="B37" s="59">
        <v>4935403</v>
      </c>
      <c r="C37" s="60">
        <f t="shared" si="0"/>
        <v>1.6173023972518852E-2</v>
      </c>
    </row>
    <row r="38" spans="1:3" x14ac:dyDescent="0.2">
      <c r="A38" s="56">
        <v>2055</v>
      </c>
      <c r="B38" s="59">
        <v>5013762</v>
      </c>
      <c r="C38" s="60">
        <f t="shared" si="0"/>
        <v>1.5876920283915963E-2</v>
      </c>
    </row>
    <row r="39" spans="1:3" x14ac:dyDescent="0.2">
      <c r="A39" s="56">
        <v>2056</v>
      </c>
      <c r="B39" s="59">
        <v>5091976</v>
      </c>
      <c r="C39" s="60">
        <f t="shared" si="0"/>
        <v>1.5599862937251574E-2</v>
      </c>
    </row>
    <row r="40" spans="1:3" x14ac:dyDescent="0.2">
      <c r="A40" s="56">
        <v>2057</v>
      </c>
      <c r="B40" s="59">
        <v>5170140</v>
      </c>
      <c r="C40" s="60">
        <f t="shared" si="0"/>
        <v>1.5350425846468951E-2</v>
      </c>
    </row>
    <row r="41" spans="1:3" x14ac:dyDescent="0.2">
      <c r="A41" s="56">
        <v>2058</v>
      </c>
      <c r="B41" s="59">
        <v>5248448</v>
      </c>
      <c r="C41" s="60">
        <f t="shared" si="0"/>
        <v>1.5146204938357499E-2</v>
      </c>
    </row>
    <row r="42" spans="1:3" x14ac:dyDescent="0.2">
      <c r="A42" s="56">
        <v>2059</v>
      </c>
      <c r="B42" s="59">
        <v>5327178</v>
      </c>
      <c r="C42" s="60">
        <f t="shared" si="0"/>
        <v>1.5000624946650998E-2</v>
      </c>
    </row>
    <row r="43" spans="1:3" x14ac:dyDescent="0.2">
      <c r="A43" s="56">
        <v>2060</v>
      </c>
      <c r="B43" s="59">
        <v>5406676</v>
      </c>
      <c r="C43" s="60">
        <f t="shared" si="0"/>
        <v>1.4923098120618539E-2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D9ED3-246A-4321-9D50-D86D79B23D66}">
  <dimension ref="A1:L38"/>
  <sheetViews>
    <sheetView showGridLines="0" topLeftCell="A10" workbookViewId="0">
      <selection activeCell="A5" sqref="A5:M29"/>
    </sheetView>
  </sheetViews>
  <sheetFormatPr defaultColWidth="9.140625" defaultRowHeight="12.75" x14ac:dyDescent="0.2"/>
  <cols>
    <col min="1" max="1" width="27.42578125" style="62" customWidth="1"/>
    <col min="2" max="2" width="2.42578125" style="62" customWidth="1"/>
    <col min="3" max="12" width="9.5703125" style="62" bestFit="1" customWidth="1"/>
    <col min="13" max="16384" width="9.140625" style="62"/>
  </cols>
  <sheetData>
    <row r="1" spans="1:12" hidden="1" x14ac:dyDescent="0.2">
      <c r="A1" s="61" t="e">
        <f ca="1">DotStatQuery(B1)</f>
        <v>#NAME?</v>
      </c>
      <c r="B1" s="61" t="s">
        <v>420</v>
      </c>
    </row>
    <row r="2" spans="1:12" ht="23.25" x14ac:dyDescent="0.2">
      <c r="A2" s="63" t="s">
        <v>421</v>
      </c>
    </row>
    <row r="3" spans="1:12" x14ac:dyDescent="0.2">
      <c r="A3" s="64" t="s">
        <v>385</v>
      </c>
      <c r="B3" s="65"/>
      <c r="C3" s="66" t="s">
        <v>422</v>
      </c>
      <c r="D3" s="67"/>
      <c r="E3" s="67"/>
      <c r="F3" s="67"/>
      <c r="G3" s="67"/>
      <c r="H3" s="67"/>
      <c r="I3" s="67"/>
      <c r="J3" s="67"/>
      <c r="K3" s="67"/>
      <c r="L3" s="68"/>
    </row>
    <row r="4" spans="1:12" x14ac:dyDescent="0.2">
      <c r="A4" s="64" t="s">
        <v>423</v>
      </c>
      <c r="B4" s="65"/>
      <c r="C4" s="66" t="s">
        <v>424</v>
      </c>
      <c r="D4" s="67"/>
      <c r="E4" s="67"/>
      <c r="F4" s="67"/>
      <c r="G4" s="67"/>
      <c r="H4" s="67"/>
      <c r="I4" s="67"/>
      <c r="J4" s="67"/>
      <c r="K4" s="67"/>
      <c r="L4" s="68"/>
    </row>
    <row r="5" spans="1:12" x14ac:dyDescent="0.2">
      <c r="A5" s="69" t="s">
        <v>425</v>
      </c>
      <c r="B5" s="70"/>
      <c r="C5" s="71" t="s">
        <v>426</v>
      </c>
      <c r="D5" s="71" t="s">
        <v>427</v>
      </c>
      <c r="E5" s="71" t="s">
        <v>428</v>
      </c>
      <c r="F5" s="71" t="s">
        <v>429</v>
      </c>
      <c r="G5" s="71" t="s">
        <v>430</v>
      </c>
      <c r="H5" s="71" t="s">
        <v>431</v>
      </c>
      <c r="I5" s="71" t="s">
        <v>432</v>
      </c>
      <c r="J5" s="71" t="s">
        <v>433</v>
      </c>
      <c r="K5" s="71" t="s">
        <v>434</v>
      </c>
      <c r="L5" s="71" t="s">
        <v>435</v>
      </c>
    </row>
    <row r="6" spans="1:12" ht="13.5" x14ac:dyDescent="0.25">
      <c r="A6" s="72" t="s">
        <v>436</v>
      </c>
      <c r="B6" s="73" t="s">
        <v>437</v>
      </c>
      <c r="C6" s="73" t="s">
        <v>437</v>
      </c>
      <c r="D6" s="73" t="s">
        <v>437</v>
      </c>
      <c r="E6" s="73" t="s">
        <v>437</v>
      </c>
      <c r="F6" s="73" t="s">
        <v>437</v>
      </c>
      <c r="G6" s="73" t="s">
        <v>437</v>
      </c>
      <c r="H6" s="73" t="s">
        <v>437</v>
      </c>
      <c r="I6" s="73" t="s">
        <v>437</v>
      </c>
      <c r="J6" s="73" t="s">
        <v>437</v>
      </c>
      <c r="K6" s="73" t="s">
        <v>437</v>
      </c>
      <c r="L6" s="73" t="s">
        <v>437</v>
      </c>
    </row>
    <row r="7" spans="1:12" ht="13.5" x14ac:dyDescent="0.25">
      <c r="A7" s="74" t="s">
        <v>422</v>
      </c>
      <c r="B7" s="73" t="s">
        <v>437</v>
      </c>
      <c r="C7" s="75">
        <v>128972439</v>
      </c>
      <c r="D7" s="75">
        <v>130118356</v>
      </c>
      <c r="E7" s="75">
        <v>131230255</v>
      </c>
      <c r="F7" s="75">
        <v>132308276</v>
      </c>
      <c r="G7" s="75">
        <v>133352387</v>
      </c>
      <c r="H7" s="75">
        <v>134362934</v>
      </c>
      <c r="I7" s="75">
        <v>135339973</v>
      </c>
      <c r="J7" s="75">
        <v>136283592</v>
      </c>
      <c r="K7" s="75">
        <v>137193751</v>
      </c>
      <c r="L7" s="75">
        <v>138070271</v>
      </c>
    </row>
    <row r="8" spans="1:12" ht="13.5" x14ac:dyDescent="0.25">
      <c r="A8" s="74" t="s">
        <v>438</v>
      </c>
      <c r="B8" s="73" t="s">
        <v>437</v>
      </c>
      <c r="C8" s="76">
        <v>10732197</v>
      </c>
      <c r="D8" s="76">
        <v>10648820</v>
      </c>
      <c r="E8" s="76">
        <v>10566280</v>
      </c>
      <c r="F8" s="76">
        <v>10484458</v>
      </c>
      <c r="G8" s="76">
        <v>10403493</v>
      </c>
      <c r="H8" s="76">
        <v>10323414</v>
      </c>
      <c r="I8" s="76">
        <v>10244333</v>
      </c>
      <c r="J8" s="76">
        <v>10166279</v>
      </c>
      <c r="K8" s="76">
        <v>10089192</v>
      </c>
      <c r="L8" s="76">
        <v>10013011</v>
      </c>
    </row>
    <row r="9" spans="1:12" ht="13.5" x14ac:dyDescent="0.25">
      <c r="A9" s="74" t="s">
        <v>439</v>
      </c>
      <c r="B9" s="73" t="s">
        <v>437</v>
      </c>
      <c r="C9" s="75">
        <v>11000967</v>
      </c>
      <c r="D9" s="75">
        <v>10956105</v>
      </c>
      <c r="E9" s="75">
        <v>10898742</v>
      </c>
      <c r="F9" s="75">
        <v>10830177</v>
      </c>
      <c r="G9" s="75">
        <v>10753689</v>
      </c>
      <c r="H9" s="75">
        <v>10672757</v>
      </c>
      <c r="I9" s="75">
        <v>10590324</v>
      </c>
      <c r="J9" s="75">
        <v>10508779</v>
      </c>
      <c r="K9" s="75">
        <v>10428096</v>
      </c>
      <c r="L9" s="75">
        <v>10348393</v>
      </c>
    </row>
    <row r="10" spans="1:12" ht="13.5" x14ac:dyDescent="0.25">
      <c r="A10" s="74" t="s">
        <v>440</v>
      </c>
      <c r="B10" s="73" t="s">
        <v>437</v>
      </c>
      <c r="C10" s="76">
        <v>11083131</v>
      </c>
      <c r="D10" s="76">
        <v>11056598</v>
      </c>
      <c r="E10" s="76">
        <v>11031201</v>
      </c>
      <c r="F10" s="76">
        <v>11006223</v>
      </c>
      <c r="G10" s="76">
        <v>10979061</v>
      </c>
      <c r="H10" s="76">
        <v>10945386</v>
      </c>
      <c r="I10" s="76">
        <v>10901218</v>
      </c>
      <c r="J10" s="76">
        <v>10844652</v>
      </c>
      <c r="K10" s="76">
        <v>10776999</v>
      </c>
      <c r="L10" s="76">
        <v>10701451</v>
      </c>
    </row>
    <row r="11" spans="1:12" ht="13.5" x14ac:dyDescent="0.25">
      <c r="A11" s="74" t="s">
        <v>441</v>
      </c>
      <c r="B11" s="73" t="s">
        <v>437</v>
      </c>
      <c r="C11" s="75">
        <v>11076419</v>
      </c>
      <c r="D11" s="75">
        <v>11070858</v>
      </c>
      <c r="E11" s="75">
        <v>11056608</v>
      </c>
      <c r="F11" s="75">
        <v>11032621</v>
      </c>
      <c r="G11" s="75">
        <v>11003061</v>
      </c>
      <c r="H11" s="75">
        <v>10974505</v>
      </c>
      <c r="I11" s="75">
        <v>10948538</v>
      </c>
      <c r="J11" s="75">
        <v>10923411</v>
      </c>
      <c r="K11" s="75">
        <v>10898583</v>
      </c>
      <c r="L11" s="75">
        <v>10871670</v>
      </c>
    </row>
    <row r="12" spans="1:12" ht="13.5" x14ac:dyDescent="0.25">
      <c r="A12" s="74" t="s">
        <v>442</v>
      </c>
      <c r="B12" s="73" t="s">
        <v>437</v>
      </c>
      <c r="C12" s="76">
        <v>10823411</v>
      </c>
      <c r="D12" s="76">
        <v>10821598</v>
      </c>
      <c r="E12" s="76">
        <v>10829306</v>
      </c>
      <c r="F12" s="76">
        <v>10843815</v>
      </c>
      <c r="G12" s="76">
        <v>10857219</v>
      </c>
      <c r="H12" s="76">
        <v>10861941</v>
      </c>
      <c r="I12" s="76">
        <v>10857176</v>
      </c>
      <c r="J12" s="76">
        <v>10843561</v>
      </c>
      <c r="K12" s="76">
        <v>10820163</v>
      </c>
      <c r="L12" s="76">
        <v>10791224</v>
      </c>
    </row>
    <row r="13" spans="1:12" ht="13.5" x14ac:dyDescent="0.25">
      <c r="A13" s="74" t="s">
        <v>443</v>
      </c>
      <c r="B13" s="73" t="s">
        <v>437</v>
      </c>
      <c r="C13" s="75">
        <v>10670774</v>
      </c>
      <c r="D13" s="75">
        <v>10669257</v>
      </c>
      <c r="E13" s="75">
        <v>10650213</v>
      </c>
      <c r="F13" s="75">
        <v>10623759</v>
      </c>
      <c r="G13" s="75">
        <v>10600276</v>
      </c>
      <c r="H13" s="75">
        <v>10587616</v>
      </c>
      <c r="I13" s="75">
        <v>10586399</v>
      </c>
      <c r="J13" s="75">
        <v>10594768</v>
      </c>
      <c r="K13" s="75">
        <v>10609979</v>
      </c>
      <c r="L13" s="75">
        <v>10624205</v>
      </c>
    </row>
    <row r="14" spans="1:12" ht="13.5" x14ac:dyDescent="0.25">
      <c r="A14" s="74" t="s">
        <v>444</v>
      </c>
      <c r="B14" s="73" t="s">
        <v>437</v>
      </c>
      <c r="C14" s="76">
        <v>10041442</v>
      </c>
      <c r="D14" s="76">
        <v>10173243</v>
      </c>
      <c r="E14" s="76">
        <v>10286731</v>
      </c>
      <c r="F14" s="76">
        <v>10377617</v>
      </c>
      <c r="G14" s="76">
        <v>10439274</v>
      </c>
      <c r="H14" s="76">
        <v>10466522</v>
      </c>
      <c r="I14" s="76">
        <v>10465661</v>
      </c>
      <c r="J14" s="76">
        <v>10448199</v>
      </c>
      <c r="K14" s="76">
        <v>10423912</v>
      </c>
      <c r="L14" s="76">
        <v>10402732</v>
      </c>
    </row>
    <row r="15" spans="1:12" ht="13.5" x14ac:dyDescent="0.25">
      <c r="A15" s="74" t="s">
        <v>445</v>
      </c>
      <c r="B15" s="73" t="s">
        <v>437</v>
      </c>
      <c r="C15" s="75">
        <v>9143294</v>
      </c>
      <c r="D15" s="75">
        <v>9292518</v>
      </c>
      <c r="E15" s="75">
        <v>9442782</v>
      </c>
      <c r="F15" s="75">
        <v>9590133</v>
      </c>
      <c r="G15" s="75">
        <v>9733656</v>
      </c>
      <c r="H15" s="75">
        <v>9873688</v>
      </c>
      <c r="I15" s="75">
        <v>10004165</v>
      </c>
      <c r="J15" s="75">
        <v>10117153</v>
      </c>
      <c r="K15" s="75">
        <v>10208334</v>
      </c>
      <c r="L15" s="75">
        <v>10270981</v>
      </c>
    </row>
    <row r="16" spans="1:12" ht="13.5" x14ac:dyDescent="0.25">
      <c r="A16" s="74" t="s">
        <v>446</v>
      </c>
      <c r="B16" s="73" t="s">
        <v>437</v>
      </c>
      <c r="C16" s="76">
        <v>8405040</v>
      </c>
      <c r="D16" s="76">
        <v>8487556</v>
      </c>
      <c r="E16" s="76">
        <v>8590173</v>
      </c>
      <c r="F16" s="76">
        <v>8710640</v>
      </c>
      <c r="G16" s="76">
        <v>8845112</v>
      </c>
      <c r="H16" s="76">
        <v>8988461</v>
      </c>
      <c r="I16" s="76">
        <v>9136457</v>
      </c>
      <c r="J16" s="76">
        <v>9285712</v>
      </c>
      <c r="K16" s="76">
        <v>9432291</v>
      </c>
      <c r="L16" s="76">
        <v>9575213</v>
      </c>
    </row>
    <row r="17" spans="1:12" ht="13.5" x14ac:dyDescent="0.25">
      <c r="A17" s="74" t="s">
        <v>447</v>
      </c>
      <c r="B17" s="73" t="s">
        <v>437</v>
      </c>
      <c r="C17" s="75">
        <v>7951363</v>
      </c>
      <c r="D17" s="75">
        <v>8021724</v>
      </c>
      <c r="E17" s="75">
        <v>8075078</v>
      </c>
      <c r="F17" s="75">
        <v>8121299</v>
      </c>
      <c r="G17" s="75">
        <v>8170078</v>
      </c>
      <c r="H17" s="75">
        <v>8232476</v>
      </c>
      <c r="I17" s="75">
        <v>8315146</v>
      </c>
      <c r="J17" s="75">
        <v>8417511</v>
      </c>
      <c r="K17" s="75">
        <v>8537364</v>
      </c>
      <c r="L17" s="75">
        <v>8670919</v>
      </c>
    </row>
    <row r="18" spans="1:12" ht="13.5" x14ac:dyDescent="0.25">
      <c r="A18" s="74" t="s">
        <v>448</v>
      </c>
      <c r="B18" s="73" t="s">
        <v>437</v>
      </c>
      <c r="C18" s="76">
        <v>7056428</v>
      </c>
      <c r="D18" s="76">
        <v>7220969</v>
      </c>
      <c r="E18" s="76">
        <v>7376302</v>
      </c>
      <c r="F18" s="76">
        <v>7516203</v>
      </c>
      <c r="G18" s="76">
        <v>7636165</v>
      </c>
      <c r="H18" s="76">
        <v>7731404</v>
      </c>
      <c r="I18" s="76">
        <v>7802087</v>
      </c>
      <c r="J18" s="76">
        <v>7856270</v>
      </c>
      <c r="K18" s="76">
        <v>7903494</v>
      </c>
      <c r="L18" s="76">
        <v>7953241</v>
      </c>
    </row>
    <row r="19" spans="1:12" ht="13.5" x14ac:dyDescent="0.25">
      <c r="A19" s="74" t="s">
        <v>449</v>
      </c>
      <c r="B19" s="73" t="s">
        <v>437</v>
      </c>
      <c r="C19" s="75">
        <v>5984670</v>
      </c>
      <c r="D19" s="75">
        <v>6137831</v>
      </c>
      <c r="E19" s="75">
        <v>6293687</v>
      </c>
      <c r="F19" s="75">
        <v>6453303</v>
      </c>
      <c r="G19" s="75">
        <v>6615932</v>
      </c>
      <c r="H19" s="75">
        <v>6779551</v>
      </c>
      <c r="I19" s="75">
        <v>6940267</v>
      </c>
      <c r="J19" s="75">
        <v>7092155</v>
      </c>
      <c r="K19" s="75">
        <v>7229258</v>
      </c>
      <c r="L19" s="75">
        <v>7347293</v>
      </c>
    </row>
    <row r="20" spans="1:12" ht="13.5" x14ac:dyDescent="0.25">
      <c r="A20" s="74" t="s">
        <v>450</v>
      </c>
      <c r="B20" s="73" t="s">
        <v>437</v>
      </c>
      <c r="C20" s="76">
        <v>4868182</v>
      </c>
      <c r="D20" s="76">
        <v>5033981</v>
      </c>
      <c r="E20" s="76">
        <v>5193583</v>
      </c>
      <c r="F20" s="76">
        <v>5347373</v>
      </c>
      <c r="G20" s="76">
        <v>5496750</v>
      </c>
      <c r="H20" s="76">
        <v>5643780</v>
      </c>
      <c r="I20" s="76">
        <v>5791110</v>
      </c>
      <c r="J20" s="76">
        <v>5941149</v>
      </c>
      <c r="K20" s="76">
        <v>6094891</v>
      </c>
      <c r="L20" s="76">
        <v>6251661</v>
      </c>
    </row>
    <row r="21" spans="1:12" ht="13.5" x14ac:dyDescent="0.25">
      <c r="A21" s="74" t="s">
        <v>451</v>
      </c>
      <c r="B21" s="73" t="s">
        <v>437</v>
      </c>
      <c r="C21" s="75">
        <v>3657843</v>
      </c>
      <c r="D21" s="75">
        <v>3816454</v>
      </c>
      <c r="E21" s="75">
        <v>3977905</v>
      </c>
      <c r="F21" s="75">
        <v>4140705</v>
      </c>
      <c r="G21" s="75">
        <v>4302804</v>
      </c>
      <c r="H21" s="75">
        <v>4462279</v>
      </c>
      <c r="I21" s="75">
        <v>4617268</v>
      </c>
      <c r="J21" s="75">
        <v>4766806</v>
      </c>
      <c r="K21" s="75">
        <v>4911226</v>
      </c>
      <c r="L21" s="75">
        <v>5051899</v>
      </c>
    </row>
    <row r="22" spans="1:12" ht="13.5" x14ac:dyDescent="0.25">
      <c r="A22" s="74" t="s">
        <v>452</v>
      </c>
      <c r="B22" s="73" t="s">
        <v>437</v>
      </c>
      <c r="C22" s="76">
        <v>2599494</v>
      </c>
      <c r="D22" s="76">
        <v>2704004</v>
      </c>
      <c r="E22" s="76">
        <v>2817561</v>
      </c>
      <c r="F22" s="76">
        <v>2939537</v>
      </c>
      <c r="G22" s="76">
        <v>3071381</v>
      </c>
      <c r="H22" s="76">
        <v>3210582</v>
      </c>
      <c r="I22" s="76">
        <v>3352991</v>
      </c>
      <c r="J22" s="76">
        <v>3498178</v>
      </c>
      <c r="K22" s="76">
        <v>3644837</v>
      </c>
      <c r="L22" s="76">
        <v>3791184</v>
      </c>
    </row>
    <row r="23" spans="1:12" ht="13.5" x14ac:dyDescent="0.25">
      <c r="A23" s="74" t="s">
        <v>453</v>
      </c>
      <c r="B23" s="73" t="s">
        <v>437</v>
      </c>
      <c r="C23" s="75">
        <v>1778501</v>
      </c>
      <c r="D23" s="75">
        <v>1840896</v>
      </c>
      <c r="E23" s="75">
        <v>1908412</v>
      </c>
      <c r="F23" s="75">
        <v>1980711</v>
      </c>
      <c r="G23" s="75">
        <v>2056109</v>
      </c>
      <c r="H23" s="75">
        <v>2136619</v>
      </c>
      <c r="I23" s="75">
        <v>2225723</v>
      </c>
      <c r="J23" s="75">
        <v>2322608</v>
      </c>
      <c r="K23" s="75">
        <v>2426772</v>
      </c>
      <c r="L23" s="75">
        <v>2539299</v>
      </c>
    </row>
    <row r="24" spans="1:12" ht="13.5" x14ac:dyDescent="0.25">
      <c r="A24" s="74" t="s">
        <v>454</v>
      </c>
      <c r="B24" s="73" t="s">
        <v>437</v>
      </c>
      <c r="C24" s="76">
        <v>1121512</v>
      </c>
      <c r="D24" s="76">
        <v>1158056</v>
      </c>
      <c r="E24" s="76">
        <v>1196112</v>
      </c>
      <c r="F24" s="76">
        <v>1236479</v>
      </c>
      <c r="G24" s="76">
        <v>1279233</v>
      </c>
      <c r="H24" s="76">
        <v>1324721</v>
      </c>
      <c r="I24" s="76">
        <v>1373906</v>
      </c>
      <c r="J24" s="76">
        <v>1427170</v>
      </c>
      <c r="K24" s="76">
        <v>1484304</v>
      </c>
      <c r="L24" s="76">
        <v>1543968</v>
      </c>
    </row>
    <row r="25" spans="1:12" ht="13.5" x14ac:dyDescent="0.25">
      <c r="A25" s="74" t="s">
        <v>455</v>
      </c>
      <c r="B25" s="73" t="s">
        <v>437</v>
      </c>
      <c r="C25" s="75">
        <v>977771</v>
      </c>
      <c r="D25" s="75">
        <v>1007888</v>
      </c>
      <c r="E25" s="75">
        <v>1039579</v>
      </c>
      <c r="F25" s="75">
        <v>1073223</v>
      </c>
      <c r="G25" s="75">
        <v>1109094</v>
      </c>
      <c r="H25" s="75">
        <v>1147232</v>
      </c>
      <c r="I25" s="75">
        <v>1187204</v>
      </c>
      <c r="J25" s="75">
        <v>1229231</v>
      </c>
      <c r="K25" s="75">
        <v>1274056</v>
      </c>
      <c r="L25" s="75">
        <v>1321927</v>
      </c>
    </row>
    <row r="26" spans="1:12" ht="13.5" x14ac:dyDescent="0.25">
      <c r="A26" s="74" t="s">
        <v>456</v>
      </c>
      <c r="B26" s="73" t="s">
        <v>437</v>
      </c>
      <c r="C26" s="76">
        <v>28044401</v>
      </c>
      <c r="D26" s="76">
        <v>28920079</v>
      </c>
      <c r="E26" s="76">
        <v>29803141</v>
      </c>
      <c r="F26" s="76">
        <v>30687534</v>
      </c>
      <c r="G26" s="76">
        <v>31567468</v>
      </c>
      <c r="H26" s="76">
        <v>32436168</v>
      </c>
      <c r="I26" s="76">
        <v>33290556</v>
      </c>
      <c r="J26" s="76">
        <v>34133567</v>
      </c>
      <c r="K26" s="76">
        <v>34968838</v>
      </c>
      <c r="L26" s="76">
        <v>35800472</v>
      </c>
    </row>
    <row r="27" spans="1:12" ht="13.5" x14ac:dyDescent="0.25">
      <c r="A27" s="74" t="s">
        <v>457</v>
      </c>
      <c r="B27" s="73" t="s">
        <v>437</v>
      </c>
      <c r="C27" s="75">
        <v>43892714</v>
      </c>
      <c r="D27" s="75">
        <v>43732381</v>
      </c>
      <c r="E27" s="75">
        <v>43552831</v>
      </c>
      <c r="F27" s="75">
        <v>43353479</v>
      </c>
      <c r="G27" s="75">
        <v>43139304</v>
      </c>
      <c r="H27" s="75">
        <v>42916062</v>
      </c>
      <c r="I27" s="75">
        <v>42684413</v>
      </c>
      <c r="J27" s="75">
        <v>42443121</v>
      </c>
      <c r="K27" s="75">
        <v>42192870</v>
      </c>
      <c r="L27" s="75">
        <v>41934525</v>
      </c>
    </row>
    <row r="28" spans="1:12" ht="13.5" x14ac:dyDescent="0.25">
      <c r="A28" s="74" t="s">
        <v>458</v>
      </c>
      <c r="B28" s="73" t="s">
        <v>437</v>
      </c>
      <c r="C28" s="76">
        <v>86021023</v>
      </c>
      <c r="D28" s="76">
        <v>86929535</v>
      </c>
      <c r="E28" s="76">
        <v>87794463</v>
      </c>
      <c r="F28" s="76">
        <v>88616763</v>
      </c>
      <c r="G28" s="76">
        <v>89397523</v>
      </c>
      <c r="H28" s="76">
        <v>90139944</v>
      </c>
      <c r="I28" s="76">
        <v>90847006</v>
      </c>
      <c r="J28" s="76">
        <v>91519889</v>
      </c>
      <c r="K28" s="76">
        <v>92158269</v>
      </c>
      <c r="L28" s="76">
        <v>92759139</v>
      </c>
    </row>
    <row r="29" spans="1:12" ht="13.5" x14ac:dyDescent="0.25">
      <c r="A29" s="74" t="s">
        <v>459</v>
      </c>
      <c r="B29" s="73" t="s">
        <v>437</v>
      </c>
      <c r="C29" s="75">
        <v>74944604</v>
      </c>
      <c r="D29" s="75">
        <v>75858677</v>
      </c>
      <c r="E29" s="75">
        <v>76737855</v>
      </c>
      <c r="F29" s="75">
        <v>77584142</v>
      </c>
      <c r="G29" s="75">
        <v>78394462</v>
      </c>
      <c r="H29" s="75">
        <v>79165439</v>
      </c>
      <c r="I29" s="75">
        <v>79898468</v>
      </c>
      <c r="J29" s="75">
        <v>80596478</v>
      </c>
      <c r="K29" s="75">
        <v>81259686</v>
      </c>
      <c r="L29" s="75">
        <v>81887469</v>
      </c>
    </row>
    <row r="30" spans="1:12" ht="13.5" x14ac:dyDescent="0.25">
      <c r="A30" s="74" t="s">
        <v>460</v>
      </c>
      <c r="B30" s="73" t="s">
        <v>437</v>
      </c>
      <c r="C30" s="76">
        <v>10135121</v>
      </c>
      <c r="D30" s="76">
        <v>10527298</v>
      </c>
      <c r="E30" s="76">
        <v>10939569</v>
      </c>
      <c r="F30" s="76">
        <v>11370655</v>
      </c>
      <c r="G30" s="76">
        <v>11818621</v>
      </c>
      <c r="H30" s="76">
        <v>12281433</v>
      </c>
      <c r="I30" s="76">
        <v>12757092</v>
      </c>
      <c r="J30" s="76">
        <v>13243993</v>
      </c>
      <c r="K30" s="76">
        <v>13741195</v>
      </c>
      <c r="L30" s="76">
        <v>14248277</v>
      </c>
    </row>
    <row r="31" spans="1:12" ht="13.5" x14ac:dyDescent="0.25">
      <c r="A31" s="74" t="s">
        <v>461</v>
      </c>
      <c r="B31" s="73" t="s">
        <v>437</v>
      </c>
      <c r="C31" s="77">
        <v>7.85836189389269</v>
      </c>
      <c r="D31" s="77">
        <v>8.0905556476597305</v>
      </c>
      <c r="E31" s="77">
        <v>8.3361637908880102</v>
      </c>
      <c r="F31" s="77">
        <v>8.5940617954994707</v>
      </c>
      <c r="G31" s="77">
        <v>8.8626992481206894</v>
      </c>
      <c r="H31" s="77">
        <v>9.1404918264139692</v>
      </c>
      <c r="I31" s="77">
        <v>9.4259602076320803</v>
      </c>
      <c r="J31" s="77">
        <v>9.7179659015738302</v>
      </c>
      <c r="K31" s="77">
        <v>10.0159044415952</v>
      </c>
      <c r="L31" s="77">
        <v>10.3195835691523</v>
      </c>
    </row>
    <row r="32" spans="1:12" ht="13.5" x14ac:dyDescent="0.25">
      <c r="A32" s="74" t="s">
        <v>462</v>
      </c>
      <c r="B32" s="73" t="s">
        <v>437</v>
      </c>
      <c r="C32" s="78">
        <v>25.444424602996001</v>
      </c>
      <c r="D32" s="78">
        <v>25.101395378834901</v>
      </c>
      <c r="E32" s="78">
        <v>24.762752308909299</v>
      </c>
      <c r="F32" s="78">
        <v>24.4284476958947</v>
      </c>
      <c r="G32" s="78">
        <v>24.098738480024402</v>
      </c>
      <c r="H32" s="78">
        <v>23.772595647546702</v>
      </c>
      <c r="I32" s="78">
        <v>23.449003495811201</v>
      </c>
      <c r="J32" s="78">
        <v>23.128029968567301</v>
      </c>
      <c r="K32" s="78">
        <v>22.8102860165985</v>
      </c>
      <c r="L32" s="78">
        <v>22.497859079308999</v>
      </c>
    </row>
    <row r="33" spans="1:12" ht="13.5" x14ac:dyDescent="0.25">
      <c r="A33" s="74" t="s">
        <v>463</v>
      </c>
      <c r="B33" s="73" t="s">
        <v>437</v>
      </c>
      <c r="C33" s="77">
        <v>16.980240251174902</v>
      </c>
      <c r="D33" s="77">
        <v>16.825032741729402</v>
      </c>
      <c r="E33" s="77">
        <v>16.6774910252213</v>
      </c>
      <c r="F33" s="77">
        <v>16.5344426375868</v>
      </c>
      <c r="G33" s="77">
        <v>16.392867418263801</v>
      </c>
      <c r="H33" s="77">
        <v>16.251837727806699</v>
      </c>
      <c r="I33" s="77">
        <v>16.111806081119902</v>
      </c>
      <c r="J33" s="77">
        <v>15.9718214647586</v>
      </c>
      <c r="K33" s="77">
        <v>15.830710831719999</v>
      </c>
      <c r="L33" s="77">
        <v>15.689759890454599</v>
      </c>
    </row>
    <row r="34" spans="1:12" ht="21" x14ac:dyDescent="0.25">
      <c r="A34" s="74" t="s">
        <v>464</v>
      </c>
      <c r="B34" s="73" t="s">
        <v>437</v>
      </c>
      <c r="C34" s="78">
        <v>0.117821442323466</v>
      </c>
      <c r="D34" s="78">
        <v>0.121101510551046</v>
      </c>
      <c r="E34" s="78">
        <v>0.124604315878098</v>
      </c>
      <c r="F34" s="78">
        <v>0.12831268729596901</v>
      </c>
      <c r="G34" s="78">
        <v>0.13220300298477</v>
      </c>
      <c r="H34" s="78">
        <v>0.13624850931791099</v>
      </c>
      <c r="I34" s="78">
        <v>0.14042391226409801</v>
      </c>
      <c r="J34" s="78">
        <v>0.144711637488983</v>
      </c>
      <c r="K34" s="78">
        <v>0.149104308805974</v>
      </c>
      <c r="L34" s="78">
        <v>0.15360510191885199</v>
      </c>
    </row>
    <row r="35" spans="1:12" ht="21" x14ac:dyDescent="0.25">
      <c r="A35" s="74" t="s">
        <v>465</v>
      </c>
      <c r="B35" s="73" t="s">
        <v>437</v>
      </c>
      <c r="C35" s="77">
        <v>0.72090360234607398</v>
      </c>
      <c r="D35" s="77">
        <v>0.71527320467241995</v>
      </c>
      <c r="E35" s="77">
        <v>0.71011106578363403</v>
      </c>
      <c r="F35" s="77">
        <v>0.70535205506300502</v>
      </c>
      <c r="G35" s="77">
        <v>0.70104346146287699</v>
      </c>
      <c r="H35" s="77">
        <v>0.69724232818313603</v>
      </c>
      <c r="I35" s="77">
        <v>0.69389947501871996</v>
      </c>
      <c r="J35" s="77">
        <v>0.69093731366276301</v>
      </c>
      <c r="K35" s="77">
        <v>0.688337203271989</v>
      </c>
      <c r="L35" s="77">
        <v>0.686097673869979</v>
      </c>
    </row>
    <row r="36" spans="1:12" ht="21" x14ac:dyDescent="0.25">
      <c r="A36" s="74" t="s">
        <v>466</v>
      </c>
      <c r="B36" s="73" t="s">
        <v>437</v>
      </c>
      <c r="C36" s="78">
        <v>66.6972135031113</v>
      </c>
      <c r="D36" s="78">
        <v>66.808048973505294</v>
      </c>
      <c r="E36" s="78">
        <v>66.901083900202707</v>
      </c>
      <c r="F36" s="78">
        <v>66.977490508605797</v>
      </c>
      <c r="G36" s="78">
        <v>67.038562271855</v>
      </c>
      <c r="H36" s="78">
        <v>67.086912526039399</v>
      </c>
      <c r="I36" s="78">
        <v>67.125036296556701</v>
      </c>
      <c r="J36" s="78">
        <v>67.154004129858905</v>
      </c>
      <c r="K36" s="78">
        <v>67.173809541806307</v>
      </c>
      <c r="L36" s="78">
        <v>67.182557351538804</v>
      </c>
    </row>
    <row r="37" spans="1:12" ht="21" x14ac:dyDescent="0.25">
      <c r="A37" s="74" t="s">
        <v>467</v>
      </c>
      <c r="B37" s="73" t="s">
        <v>437</v>
      </c>
      <c r="C37" s="77">
        <v>0.92349314417929695</v>
      </c>
      <c r="D37" s="77">
        <v>0.88849758047919103</v>
      </c>
      <c r="E37" s="77">
        <v>0.85452893364253701</v>
      </c>
      <c r="F37" s="77">
        <v>0.82147291415382795</v>
      </c>
      <c r="G37" s="77">
        <v>0.78915018135373505</v>
      </c>
      <c r="H37" s="77">
        <v>0.75780195820566798</v>
      </c>
      <c r="I37" s="77">
        <v>0.72716408529751198</v>
      </c>
      <c r="J37" s="77">
        <v>0.69722121194748599</v>
      </c>
      <c r="K37" s="77">
        <v>0.66784195121596102</v>
      </c>
      <c r="L37" s="77">
        <v>0.63889207315280705</v>
      </c>
    </row>
    <row r="38" spans="1:12" x14ac:dyDescent="0.2">
      <c r="A38" s="79" t="s">
        <v>468</v>
      </c>
    </row>
  </sheetData>
  <mergeCells count="5">
    <mergeCell ref="A3:B3"/>
    <mergeCell ref="C3:L3"/>
    <mergeCell ref="A4:B4"/>
    <mergeCell ref="C4:L4"/>
    <mergeCell ref="A5:B5"/>
  </mergeCells>
  <hyperlinks>
    <hyperlink ref="A2" r:id="rId1" display="http://stats.oecd.org/OECDStat_Metadata/ShowMetadata.ashx?Dataset=POPPROJ&amp;ShowOnWeb=true&amp;Lang=en" xr:uid="{627C40CF-41E5-4A8E-A383-5E3CAF412983}"/>
    <hyperlink ref="A38" r:id="rId2" display="https://stats-2.oecd.org/index.aspx?DatasetCode=POPPROJ" xr:uid="{D642931C-10FB-47D0-B2FD-9D0D0974D20D}"/>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Charts</vt:lpstr>
      </vt:variant>
      <vt:variant>
        <vt:i4>3</vt:i4>
      </vt:variant>
    </vt:vector>
  </HeadingPairs>
  <TitlesOfParts>
    <vt:vector size="12" baseType="lpstr">
      <vt:lpstr>Pivot</vt:lpstr>
      <vt:lpstr>Food Expenditure Series</vt:lpstr>
      <vt:lpstr>Chart Data</vt:lpstr>
      <vt:lpstr>quarterly series</vt:lpstr>
      <vt:lpstr>World Macro Links</vt:lpstr>
      <vt:lpstr>Canadian GDP</vt:lpstr>
      <vt:lpstr>Canada Population</vt:lpstr>
      <vt:lpstr>Mexico GDP</vt:lpstr>
      <vt:lpstr>Mexico Population</vt:lpstr>
      <vt:lpstr>Monthly Change Chart</vt:lpstr>
      <vt:lpstr>Chart1</vt:lpstr>
      <vt:lpstr>Chart2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Tore Alden</dc:creator>
  <cp:lastModifiedBy>Tore Alden</cp:lastModifiedBy>
  <dcterms:created xsi:type="dcterms:W3CDTF">2025-07-17T08:07:44Z</dcterms:created>
  <dcterms:modified xsi:type="dcterms:W3CDTF">2025-07-17T08:08:18Z</dcterms:modified>
</cp:coreProperties>
</file>