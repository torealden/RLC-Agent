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orem\Dropbox\RLC Documents\LLM Model and Documents\Projects\RLC-Agent\Models\"/>
    </mc:Choice>
  </mc:AlternateContent>
  <xr:revisionPtr revIDLastSave="0" documentId="8_{4519DDDB-F68D-41BF-BD8F-417242BC1489}" xr6:coauthVersionLast="47" xr6:coauthVersionMax="47" xr10:uidLastSave="{00000000-0000-0000-0000-000000000000}"/>
  <bookViews>
    <workbookView xWindow="2385" yWindow="630" windowWidth="25875" windowHeight="13305" xr2:uid="{47E04079-9C91-4F69-A654-5A4A81E13DF4}"/>
  </bookViews>
  <sheets>
    <sheet name="Standard Query_2367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1" l="1"/>
  <c r="I26" i="1"/>
  <c r="J26" i="1"/>
  <c r="K26" i="1"/>
  <c r="L26" i="1"/>
  <c r="M26" i="1"/>
  <c r="N26" i="1"/>
  <c r="O26" i="1"/>
  <c r="P26" i="1"/>
  <c r="H23" i="1"/>
  <c r="I23" i="1"/>
  <c r="J23" i="1"/>
  <c r="K23" i="1"/>
  <c r="L23" i="1"/>
  <c r="M23" i="1"/>
  <c r="N23" i="1"/>
  <c r="O23" i="1"/>
  <c r="P23" i="1"/>
  <c r="Q23" i="1"/>
  <c r="R23" i="1"/>
  <c r="S23" i="1"/>
  <c r="H24" i="1"/>
  <c r="I24" i="1"/>
  <c r="J24" i="1"/>
  <c r="K24" i="1"/>
  <c r="L24" i="1"/>
  <c r="M24" i="1"/>
  <c r="N24" i="1"/>
  <c r="O24" i="1"/>
  <c r="P24" i="1"/>
  <c r="Q24" i="1"/>
  <c r="R24" i="1"/>
  <c r="S24" i="1"/>
  <c r="H25" i="1"/>
  <c r="I25" i="1"/>
  <c r="J25" i="1"/>
  <c r="K25" i="1"/>
  <c r="L25" i="1"/>
  <c r="M25" i="1"/>
  <c r="N25" i="1"/>
  <c r="O25" i="1"/>
  <c r="P25" i="1"/>
  <c r="Q25" i="1"/>
  <c r="R25" i="1"/>
  <c r="S25" i="1"/>
  <c r="H22" i="1"/>
  <c r="I22" i="1"/>
  <c r="J22" i="1"/>
  <c r="K22" i="1"/>
  <c r="L22" i="1"/>
  <c r="M22" i="1"/>
  <c r="N22" i="1"/>
  <c r="O22" i="1"/>
  <c r="P22" i="1"/>
  <c r="Q22" i="1"/>
  <c r="R22" i="1"/>
  <c r="S22" i="1"/>
  <c r="K21" i="1"/>
  <c r="L21" i="1"/>
  <c r="M21" i="1"/>
  <c r="N21" i="1"/>
  <c r="O21" i="1"/>
  <c r="P21" i="1"/>
  <c r="Q21" i="1"/>
  <c r="R21" i="1"/>
  <c r="S21" i="1"/>
  <c r="I21" i="1"/>
  <c r="J21" i="1"/>
  <c r="H21" i="1"/>
</calcChain>
</file>

<file path=xl/sharedStrings.xml><?xml version="1.0" encoding="utf-8"?>
<sst xmlns="http://schemas.openxmlformats.org/spreadsheetml/2006/main" count="116" uniqueCount="44">
  <si>
    <t>Data generated on Tuesday, December 30, 2025 at 6:32:23 AM EST</t>
  </si>
  <si>
    <t>Area/Partners of Destination</t>
  </si>
  <si>
    <t>January 2020 - December 2025</t>
  </si>
  <si>
    <t>And Commodities Exported</t>
  </si>
  <si>
    <t>Quantities</t>
  </si>
  <si>
    <t>January</t>
  </si>
  <si>
    <t>February</t>
  </si>
  <si>
    <t>March</t>
  </si>
  <si>
    <t>April</t>
  </si>
  <si>
    <t>May</t>
  </si>
  <si>
    <t>June</t>
  </si>
  <si>
    <t>July</t>
  </si>
  <si>
    <t>August</t>
  </si>
  <si>
    <t>September</t>
  </si>
  <si>
    <t>October</t>
  </si>
  <si>
    <t>November</t>
  </si>
  <si>
    <t>December</t>
  </si>
  <si>
    <t>Total</t>
  </si>
  <si>
    <t>Partner</t>
  </si>
  <si>
    <t>HS Code</t>
  </si>
  <si>
    <t>Product</t>
  </si>
  <si>
    <t>Year</t>
  </si>
  <si>
    <t>UOM</t>
  </si>
  <si>
    <t>Qty</t>
  </si>
  <si>
    <t>Period/Period %  Change (Qty)</t>
  </si>
  <si>
    <t>Reporter Code</t>
  </si>
  <si>
    <t>Partner Code</t>
  </si>
  <si>
    <t>Product Code</t>
  </si>
  <si>
    <t>World Total</t>
  </si>
  <si>
    <t>Soybean Flours &amp; Meals</t>
  </si>
  <si>
    <t>2020-2020</t>
  </si>
  <si>
    <t>MT</t>
  </si>
  <si>
    <t>US</t>
  </si>
  <si>
    <t>R00</t>
  </si>
  <si>
    <t>2021-2021</t>
  </si>
  <si>
    <t>2022-2022</t>
  </si>
  <si>
    <t>2023-2023</t>
  </si>
  <si>
    <t>2024-2024</t>
  </si>
  <si>
    <t>2025-2025</t>
  </si>
  <si>
    <t>Notes:</t>
  </si>
  <si>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</si>
  <si>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</si>
  <si>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</si>
  <si>
    <t>Soybean Meal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</si>
</sst>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2054-C05A-44B9-8344-E2A1E83ED942}">
  <dimension ref="A1:X26"/>
  <sheetViews>
    <sheetView tabSelected="1" workbookViewId="0">
      <selection activeCell="Q26" sqref="Q26:S26"/>
    </sheetView>
  </sheetViews>
  <sheetFormatPr defaultRowHeight="15" x14ac:dyDescent="0.25"/>
  <sheetData>
    <row r="1" spans="1:24" x14ac:dyDescent="0.25">
      <c r="A1" t="s">
        <v>0</v>
      </c>
    </row>
    <row r="2" spans="1:24" x14ac:dyDescent="0.25">
      <c r="A2" t="s">
        <v>1</v>
      </c>
      <c r="F2" t="s">
        <v>2</v>
      </c>
    </row>
    <row r="3" spans="1:24" x14ac:dyDescent="0.25">
      <c r="A3" t="s">
        <v>3</v>
      </c>
      <c r="F3" t="s">
        <v>4</v>
      </c>
    </row>
    <row r="4" spans="1:24" x14ac:dyDescent="0.25">
      <c r="H4" t="s">
        <v>5</v>
      </c>
      <c r="I4" t="s">
        <v>6</v>
      </c>
      <c r="J4" t="s">
        <v>7</v>
      </c>
      <c r="K4" t="s">
        <v>8</v>
      </c>
      <c r="L4" t="s">
        <v>9</v>
      </c>
      <c r="M4" t="s">
        <v>10</v>
      </c>
      <c r="N4" t="s">
        <v>11</v>
      </c>
      <c r="O4" t="s">
        <v>12</v>
      </c>
      <c r="P4" t="s">
        <v>13</v>
      </c>
      <c r="Q4" t="s">
        <v>14</v>
      </c>
      <c r="R4" t="s">
        <v>15</v>
      </c>
      <c r="S4" t="s">
        <v>16</v>
      </c>
      <c r="T4" t="s">
        <v>17</v>
      </c>
    </row>
    <row r="5" spans="1:24" x14ac:dyDescent="0.25">
      <c r="B5" t="s">
        <v>18</v>
      </c>
      <c r="D5" t="s">
        <v>19</v>
      </c>
      <c r="E5" t="s">
        <v>20</v>
      </c>
      <c r="F5" t="s">
        <v>21</v>
      </c>
      <c r="G5" t="s">
        <v>22</v>
      </c>
      <c r="H5" t="s">
        <v>23</v>
      </c>
      <c r="I5" t="s">
        <v>23</v>
      </c>
      <c r="J5" t="s">
        <v>23</v>
      </c>
      <c r="K5" t="s">
        <v>23</v>
      </c>
      <c r="L5" t="s">
        <v>23</v>
      </c>
      <c r="M5" t="s">
        <v>23</v>
      </c>
      <c r="N5" t="s">
        <v>23</v>
      </c>
      <c r="O5" t="s">
        <v>23</v>
      </c>
      <c r="P5" t="s">
        <v>23</v>
      </c>
      <c r="Q5" t="s">
        <v>23</v>
      </c>
      <c r="R5" t="s">
        <v>23</v>
      </c>
      <c r="S5" t="s">
        <v>23</v>
      </c>
      <c r="T5" t="s">
        <v>23</v>
      </c>
      <c r="U5" t="s">
        <v>24</v>
      </c>
      <c r="V5" t="s">
        <v>25</v>
      </c>
      <c r="W5" t="s">
        <v>26</v>
      </c>
      <c r="X5" t="s">
        <v>27</v>
      </c>
    </row>
    <row r="6" spans="1:24" x14ac:dyDescent="0.25">
      <c r="A6">
        <v>1</v>
      </c>
      <c r="B6" t="s">
        <v>28</v>
      </c>
      <c r="C6">
        <v>1</v>
      </c>
      <c r="D6">
        <v>120810</v>
      </c>
      <c r="E6" t="s">
        <v>29</v>
      </c>
      <c r="F6" t="s">
        <v>30</v>
      </c>
      <c r="G6" t="s">
        <v>31</v>
      </c>
      <c r="H6" s="1">
        <v>244194.1</v>
      </c>
      <c r="I6" s="1">
        <v>224756.7</v>
      </c>
      <c r="J6" s="1">
        <v>228969.9</v>
      </c>
      <c r="K6" s="1">
        <v>224691</v>
      </c>
      <c r="L6" s="1">
        <v>229895.1</v>
      </c>
      <c r="M6" s="1">
        <v>234629.5</v>
      </c>
      <c r="N6" s="1">
        <v>241401.2</v>
      </c>
      <c r="O6" s="1">
        <v>233039.4</v>
      </c>
      <c r="P6" s="1">
        <v>220203.4</v>
      </c>
      <c r="Q6" s="1">
        <v>260330.7</v>
      </c>
      <c r="R6" s="1">
        <v>221093.4</v>
      </c>
      <c r="S6" s="1">
        <v>302119.90000000002</v>
      </c>
      <c r="T6" s="1">
        <v>2865324.4</v>
      </c>
      <c r="U6">
        <v>-6</v>
      </c>
      <c r="V6" t="s">
        <v>32</v>
      </c>
      <c r="W6" t="s">
        <v>33</v>
      </c>
      <c r="X6">
        <v>120810</v>
      </c>
    </row>
    <row r="7" spans="1:24" x14ac:dyDescent="0.25">
      <c r="A7">
        <v>1</v>
      </c>
      <c r="B7" t="s">
        <v>28</v>
      </c>
      <c r="C7">
        <v>1</v>
      </c>
      <c r="D7">
        <v>120810</v>
      </c>
      <c r="E7" t="s">
        <v>29</v>
      </c>
      <c r="F7" t="s">
        <v>34</v>
      </c>
      <c r="G7" t="s">
        <v>31</v>
      </c>
      <c r="H7" s="1">
        <v>271610.7</v>
      </c>
      <c r="I7" s="1">
        <v>310550</v>
      </c>
      <c r="J7" s="1">
        <v>206328.6</v>
      </c>
      <c r="K7" s="1">
        <v>179829.2</v>
      </c>
      <c r="L7" s="1">
        <v>209272.5</v>
      </c>
      <c r="M7" s="1">
        <v>170526.8</v>
      </c>
      <c r="N7" s="1">
        <v>264391.2</v>
      </c>
      <c r="O7" s="1">
        <v>187267.6</v>
      </c>
      <c r="P7" s="1">
        <v>174583.4</v>
      </c>
      <c r="Q7" s="1">
        <v>174058</v>
      </c>
      <c r="R7" s="1">
        <v>182521.4</v>
      </c>
      <c r="S7" s="1">
        <v>204683.3</v>
      </c>
      <c r="T7" s="1">
        <v>2535622.9</v>
      </c>
      <c r="U7">
        <v>-7</v>
      </c>
      <c r="V7" t="s">
        <v>32</v>
      </c>
      <c r="W7" t="s">
        <v>33</v>
      </c>
      <c r="X7">
        <v>120810</v>
      </c>
    </row>
    <row r="8" spans="1:24" x14ac:dyDescent="0.25">
      <c r="A8">
        <v>1</v>
      </c>
      <c r="B8" t="s">
        <v>28</v>
      </c>
      <c r="C8">
        <v>1</v>
      </c>
      <c r="D8">
        <v>120810</v>
      </c>
      <c r="E8" t="s">
        <v>29</v>
      </c>
      <c r="F8" t="s">
        <v>35</v>
      </c>
      <c r="G8" t="s">
        <v>31</v>
      </c>
      <c r="H8" s="1">
        <v>207670</v>
      </c>
      <c r="I8" s="1">
        <v>166085.5</v>
      </c>
      <c r="J8" s="1">
        <v>201470</v>
      </c>
      <c r="K8" s="1">
        <v>117955.9</v>
      </c>
      <c r="L8" s="1">
        <v>143448.5</v>
      </c>
      <c r="M8" s="1">
        <v>162319.79999999999</v>
      </c>
      <c r="N8" s="1">
        <v>149971.70000000001</v>
      </c>
      <c r="O8" s="1">
        <v>100597</v>
      </c>
      <c r="P8" s="1">
        <v>203802.8</v>
      </c>
      <c r="Q8" s="1">
        <v>188452</v>
      </c>
      <c r="R8" s="1">
        <v>252765</v>
      </c>
      <c r="S8" s="1">
        <v>218735.1</v>
      </c>
      <c r="T8" s="1">
        <v>2113273.2999999998</v>
      </c>
      <c r="U8">
        <v>103</v>
      </c>
      <c r="V8" t="s">
        <v>32</v>
      </c>
      <c r="W8" t="s">
        <v>33</v>
      </c>
      <c r="X8">
        <v>120810</v>
      </c>
    </row>
    <row r="9" spans="1:24" x14ac:dyDescent="0.25">
      <c r="A9">
        <v>1</v>
      </c>
      <c r="B9" t="s">
        <v>28</v>
      </c>
      <c r="C9">
        <v>1</v>
      </c>
      <c r="D9">
        <v>120810</v>
      </c>
      <c r="E9" t="s">
        <v>29</v>
      </c>
      <c r="F9" t="s">
        <v>36</v>
      </c>
      <c r="G9" t="s">
        <v>31</v>
      </c>
      <c r="H9" s="1">
        <v>356065.6</v>
      </c>
      <c r="I9" s="1">
        <v>203083.9</v>
      </c>
      <c r="J9" s="1">
        <v>238089.60000000001</v>
      </c>
      <c r="K9" s="1">
        <v>273725.40000000002</v>
      </c>
      <c r="L9" s="1">
        <v>243460.4</v>
      </c>
      <c r="M9" s="1">
        <v>303997.59999999998</v>
      </c>
      <c r="N9" s="1">
        <v>120051.4</v>
      </c>
      <c r="O9" s="1">
        <v>265227.3</v>
      </c>
      <c r="P9" s="1">
        <v>216558</v>
      </c>
      <c r="Q9" s="1">
        <v>295483.40000000002</v>
      </c>
      <c r="R9" s="1">
        <v>250184.6</v>
      </c>
      <c r="S9" s="1">
        <v>338002.2</v>
      </c>
      <c r="T9" s="1">
        <v>3103929.3</v>
      </c>
      <c r="U9">
        <v>-18</v>
      </c>
      <c r="V9" t="s">
        <v>32</v>
      </c>
      <c r="W9" t="s">
        <v>33</v>
      </c>
      <c r="X9">
        <v>120810</v>
      </c>
    </row>
    <row r="10" spans="1:24" x14ac:dyDescent="0.25">
      <c r="A10">
        <v>1</v>
      </c>
      <c r="B10" t="s">
        <v>28</v>
      </c>
      <c r="C10">
        <v>1</v>
      </c>
      <c r="D10">
        <v>120810</v>
      </c>
      <c r="E10" t="s">
        <v>29</v>
      </c>
      <c r="F10" t="s">
        <v>37</v>
      </c>
      <c r="G10" t="s">
        <v>31</v>
      </c>
      <c r="H10" s="1">
        <v>299978.8</v>
      </c>
      <c r="I10" s="1">
        <v>301809.40000000002</v>
      </c>
      <c r="J10" s="1">
        <v>310572.90000000002</v>
      </c>
      <c r="K10" s="1">
        <v>313426</v>
      </c>
      <c r="L10" s="1">
        <v>294811</v>
      </c>
      <c r="M10" s="1">
        <v>270294.8</v>
      </c>
      <c r="N10" s="1">
        <v>236809.1</v>
      </c>
      <c r="O10" s="1">
        <v>138233.5</v>
      </c>
      <c r="P10" s="1">
        <v>229660.7</v>
      </c>
      <c r="Q10" s="1">
        <v>223522.2</v>
      </c>
      <c r="R10" s="1">
        <v>299783.90000000002</v>
      </c>
      <c r="S10" s="1">
        <v>234387.4</v>
      </c>
      <c r="T10" s="1">
        <v>3153289.7</v>
      </c>
      <c r="U10">
        <v>66</v>
      </c>
      <c r="V10" t="s">
        <v>32</v>
      </c>
      <c r="W10" t="s">
        <v>33</v>
      </c>
      <c r="X10">
        <v>120810</v>
      </c>
    </row>
    <row r="11" spans="1:24" x14ac:dyDescent="0.25">
      <c r="A11">
        <v>1</v>
      </c>
      <c r="B11" t="s">
        <v>28</v>
      </c>
      <c r="C11">
        <v>1</v>
      </c>
      <c r="D11">
        <v>120810</v>
      </c>
      <c r="E11" t="s">
        <v>29</v>
      </c>
      <c r="F11" t="s">
        <v>38</v>
      </c>
      <c r="G11" t="s">
        <v>31</v>
      </c>
      <c r="H11" s="1">
        <v>275210.7</v>
      </c>
      <c r="I11" s="1">
        <v>187113.60000000001</v>
      </c>
      <c r="J11" s="1">
        <v>282105.8</v>
      </c>
      <c r="K11" s="1">
        <v>249608.8</v>
      </c>
      <c r="L11" s="1">
        <v>206141.5</v>
      </c>
      <c r="M11" s="1">
        <v>316335.59999999998</v>
      </c>
      <c r="N11" s="1">
        <v>356582.8</v>
      </c>
      <c r="O11" s="1">
        <v>180639.4</v>
      </c>
      <c r="P11" s="1">
        <v>223605.8</v>
      </c>
      <c r="T11" s="1">
        <v>2277344.1</v>
      </c>
      <c r="U11">
        <v>24</v>
      </c>
      <c r="V11" t="s">
        <v>32</v>
      </c>
      <c r="W11" t="s">
        <v>33</v>
      </c>
      <c r="X11">
        <v>120810</v>
      </c>
    </row>
    <row r="12" spans="1:24" x14ac:dyDescent="0.25">
      <c r="A12" t="s">
        <v>39</v>
      </c>
      <c r="B12" t="s">
        <v>28</v>
      </c>
      <c r="C12">
        <v>1</v>
      </c>
      <c r="D12">
        <v>230400</v>
      </c>
      <c r="E12" t="s">
        <v>43</v>
      </c>
      <c r="F12" t="s">
        <v>30</v>
      </c>
      <c r="G12" t="s">
        <v>31</v>
      </c>
      <c r="H12">
        <v>713368.7</v>
      </c>
      <c r="I12">
        <v>988193.7</v>
      </c>
      <c r="J12">
        <v>1005927.6</v>
      </c>
      <c r="K12">
        <v>860171.3</v>
      </c>
      <c r="L12">
        <v>735077.2</v>
      </c>
      <c r="M12">
        <v>748368.4</v>
      </c>
      <c r="N12">
        <v>750160.6</v>
      </c>
      <c r="O12">
        <v>766996.3</v>
      </c>
      <c r="P12">
        <v>659543.30000000005</v>
      </c>
      <c r="Q12">
        <v>732029.4</v>
      </c>
      <c r="R12">
        <v>920511.4</v>
      </c>
      <c r="S12">
        <v>1002406.6</v>
      </c>
      <c r="T12">
        <v>9882754.5999999996</v>
      </c>
      <c r="U12">
        <v>-14</v>
      </c>
      <c r="V12" t="s">
        <v>32</v>
      </c>
      <c r="W12" t="s">
        <v>33</v>
      </c>
      <c r="X12">
        <v>230400</v>
      </c>
    </row>
    <row r="13" spans="1:24" x14ac:dyDescent="0.25">
      <c r="A13" t="s">
        <v>40</v>
      </c>
      <c r="B13" t="s">
        <v>28</v>
      </c>
      <c r="C13">
        <v>1</v>
      </c>
      <c r="D13">
        <v>230400</v>
      </c>
      <c r="E13" t="s">
        <v>43</v>
      </c>
      <c r="F13" t="s">
        <v>34</v>
      </c>
      <c r="G13" t="s">
        <v>31</v>
      </c>
      <c r="H13">
        <v>997615.9</v>
      </c>
      <c r="I13">
        <v>835913.5</v>
      </c>
      <c r="J13">
        <v>979271.2</v>
      </c>
      <c r="K13">
        <v>751844.9</v>
      </c>
      <c r="L13">
        <v>725286.7</v>
      </c>
      <c r="M13">
        <v>609616.4</v>
      </c>
      <c r="N13">
        <v>692970</v>
      </c>
      <c r="O13">
        <v>652308.5</v>
      </c>
      <c r="P13">
        <v>581654.4</v>
      </c>
      <c r="Q13">
        <v>801765.4</v>
      </c>
      <c r="R13">
        <v>945106.8</v>
      </c>
      <c r="S13">
        <v>1058489</v>
      </c>
      <c r="T13">
        <v>9631842.5999999996</v>
      </c>
      <c r="U13">
        <v>-11</v>
      </c>
      <c r="V13" t="s">
        <v>32</v>
      </c>
      <c r="W13" t="s">
        <v>33</v>
      </c>
      <c r="X13">
        <v>230400</v>
      </c>
    </row>
    <row r="14" spans="1:24" x14ac:dyDescent="0.25">
      <c r="A14" t="s">
        <v>41</v>
      </c>
      <c r="B14" t="s">
        <v>28</v>
      </c>
      <c r="C14">
        <v>1</v>
      </c>
      <c r="D14">
        <v>230400</v>
      </c>
      <c r="E14" t="s">
        <v>43</v>
      </c>
      <c r="F14" t="s">
        <v>35</v>
      </c>
      <c r="G14" t="s">
        <v>31</v>
      </c>
      <c r="H14">
        <v>948279.5</v>
      </c>
      <c r="I14">
        <v>820609.8</v>
      </c>
      <c r="J14">
        <v>915955.1</v>
      </c>
      <c r="K14">
        <v>936871</v>
      </c>
      <c r="L14">
        <v>856129</v>
      </c>
      <c r="M14">
        <v>865883.1</v>
      </c>
      <c r="N14">
        <v>682731</v>
      </c>
      <c r="O14">
        <v>706301</v>
      </c>
      <c r="P14">
        <v>602794.9</v>
      </c>
      <c r="Q14">
        <v>660522.30000000005</v>
      </c>
      <c r="R14">
        <v>824852.3</v>
      </c>
      <c r="S14">
        <v>855059</v>
      </c>
      <c r="T14">
        <v>9675988</v>
      </c>
      <c r="U14">
        <v>-15</v>
      </c>
      <c r="V14" t="s">
        <v>32</v>
      </c>
      <c r="W14" t="s">
        <v>33</v>
      </c>
      <c r="X14">
        <v>230400</v>
      </c>
    </row>
    <row r="15" spans="1:24" x14ac:dyDescent="0.25">
      <c r="A15" t="s">
        <v>42</v>
      </c>
      <c r="B15" t="s">
        <v>28</v>
      </c>
      <c r="C15">
        <v>1</v>
      </c>
      <c r="D15">
        <v>230400</v>
      </c>
      <c r="E15" t="s">
        <v>43</v>
      </c>
      <c r="F15" t="s">
        <v>36</v>
      </c>
      <c r="G15" t="s">
        <v>31</v>
      </c>
      <c r="H15">
        <v>1013490.7</v>
      </c>
      <c r="I15">
        <v>699722.6</v>
      </c>
      <c r="J15">
        <v>1079304.2</v>
      </c>
      <c r="K15">
        <v>834723.5</v>
      </c>
      <c r="L15">
        <v>802883.3</v>
      </c>
      <c r="M15">
        <v>918394.3</v>
      </c>
      <c r="N15">
        <v>924320.5</v>
      </c>
      <c r="O15">
        <v>814754.3</v>
      </c>
      <c r="P15">
        <v>761466.7</v>
      </c>
      <c r="Q15">
        <v>808554.4</v>
      </c>
      <c r="R15">
        <v>1105955.1000000001</v>
      </c>
      <c r="S15">
        <v>1119419.5</v>
      </c>
      <c r="T15">
        <v>10882989</v>
      </c>
      <c r="U15">
        <v>-7</v>
      </c>
      <c r="V15" t="s">
        <v>32</v>
      </c>
      <c r="W15" t="s">
        <v>33</v>
      </c>
      <c r="X15">
        <v>230400</v>
      </c>
    </row>
    <row r="16" spans="1:24" x14ac:dyDescent="0.25">
      <c r="B16" t="s">
        <v>28</v>
      </c>
      <c r="C16">
        <v>1</v>
      </c>
      <c r="D16">
        <v>230400</v>
      </c>
      <c r="E16" t="s">
        <v>43</v>
      </c>
      <c r="F16" t="s">
        <v>37</v>
      </c>
      <c r="G16" t="s">
        <v>31</v>
      </c>
      <c r="H16">
        <v>1010603.4</v>
      </c>
      <c r="I16">
        <v>1084533.6000000001</v>
      </c>
      <c r="J16">
        <v>1140470.8</v>
      </c>
      <c r="K16">
        <v>916102.8</v>
      </c>
      <c r="L16">
        <v>719018.8</v>
      </c>
      <c r="M16">
        <v>792690.1</v>
      </c>
      <c r="N16">
        <v>764900.7</v>
      </c>
      <c r="O16">
        <v>766422.7</v>
      </c>
      <c r="P16">
        <v>856912.8</v>
      </c>
      <c r="Q16">
        <v>1078879.2</v>
      </c>
      <c r="R16">
        <v>1193982.7</v>
      </c>
      <c r="S16">
        <v>1259130.6000000001</v>
      </c>
      <c r="T16">
        <v>11583648.199999999</v>
      </c>
      <c r="U16">
        <v>12</v>
      </c>
      <c r="V16" t="s">
        <v>32</v>
      </c>
      <c r="W16" t="s">
        <v>33</v>
      </c>
      <c r="X16">
        <v>230400</v>
      </c>
    </row>
    <row r="17" spans="2:24" x14ac:dyDescent="0.25">
      <c r="B17" t="s">
        <v>28</v>
      </c>
      <c r="C17">
        <v>1</v>
      </c>
      <c r="D17">
        <v>230400</v>
      </c>
      <c r="E17" t="s">
        <v>43</v>
      </c>
      <c r="F17" t="s">
        <v>38</v>
      </c>
      <c r="G17" t="s">
        <v>31</v>
      </c>
      <c r="H17">
        <v>1132940.7</v>
      </c>
      <c r="I17">
        <v>927395.1</v>
      </c>
      <c r="J17">
        <v>1303536.3999999999</v>
      </c>
      <c r="K17">
        <v>1079013.6000000001</v>
      </c>
      <c r="L17">
        <v>1132107.8</v>
      </c>
      <c r="M17">
        <v>1000363.5</v>
      </c>
      <c r="N17">
        <v>1010212.8</v>
      </c>
      <c r="O17">
        <v>1130346.7</v>
      </c>
      <c r="P17">
        <v>1079161.3999999999</v>
      </c>
      <c r="T17">
        <v>9795078</v>
      </c>
      <c r="U17">
        <v>-5</v>
      </c>
      <c r="V17" t="s">
        <v>32</v>
      </c>
      <c r="W17" t="s">
        <v>33</v>
      </c>
      <c r="X17">
        <v>230400</v>
      </c>
    </row>
    <row r="21" spans="2:24" x14ac:dyDescent="0.25">
      <c r="G21">
        <v>2020</v>
      </c>
      <c r="H21">
        <f>(H6+H12)*2204.622/2000</f>
        <v>1055532.0076307999</v>
      </c>
      <c r="I21">
        <f t="shared" ref="I21:S22" si="0">(I6+I12)*2204.622/2000</f>
        <v>1337048.5683743998</v>
      </c>
      <c r="J21">
        <f t="shared" si="0"/>
        <v>1361241.0981224999</v>
      </c>
      <c r="K21">
        <f t="shared" si="0"/>
        <v>1195855.6467752999</v>
      </c>
      <c r="L21">
        <f t="shared" si="0"/>
        <v>1063699.5809852998</v>
      </c>
      <c r="M21">
        <f t="shared" si="0"/>
        <v>1083569.3981468999</v>
      </c>
      <c r="N21">
        <f t="shared" si="0"/>
        <v>1093009.4793197999</v>
      </c>
      <c r="O21">
        <f t="shared" si="0"/>
        <v>1102350.3525027002</v>
      </c>
      <c r="P21">
        <f t="shared" si="0"/>
        <v>969754.46462370001</v>
      </c>
      <c r="Q21">
        <f t="shared" si="0"/>
        <v>1093889.4541911001</v>
      </c>
      <c r="R21">
        <f t="shared" si="0"/>
        <v>1258403.5286928001</v>
      </c>
      <c r="S21">
        <f t="shared" si="0"/>
        <v>1437993.9107414999</v>
      </c>
    </row>
    <row r="22" spans="2:24" x14ac:dyDescent="0.25">
      <c r="G22">
        <v>2021</v>
      </c>
      <c r="H22">
        <f>(H7+H13)*2204.622/2000</f>
        <v>1399082.4426726</v>
      </c>
      <c r="I22">
        <f t="shared" si="0"/>
        <v>1263759.3271484999</v>
      </c>
      <c r="J22">
        <f t="shared" si="0"/>
        <v>1306899.7011378</v>
      </c>
      <c r="K22">
        <f t="shared" si="0"/>
        <v>1026994.6088451</v>
      </c>
      <c r="L22">
        <f t="shared" si="0"/>
        <v>1030174.8863111999</v>
      </c>
      <c r="M22">
        <f t="shared" si="0"/>
        <v>859960.43093519984</v>
      </c>
      <c r="N22">
        <f t="shared" si="0"/>
        <v>1055309.7817331997</v>
      </c>
      <c r="O22">
        <f t="shared" si="0"/>
        <v>925473.97036709986</v>
      </c>
      <c r="P22">
        <f t="shared" si="0"/>
        <v>833609.24555579992</v>
      </c>
      <c r="Q22">
        <f t="shared" si="0"/>
        <v>1075660.8678774</v>
      </c>
      <c r="R22">
        <f t="shared" si="0"/>
        <v>1242996.9687701997</v>
      </c>
      <c r="S22">
        <f t="shared" si="0"/>
        <v>1392408.7211852998</v>
      </c>
    </row>
    <row r="23" spans="2:24" x14ac:dyDescent="0.25">
      <c r="G23">
        <v>2022</v>
      </c>
      <c r="H23">
        <f t="shared" ref="H23:S23" si="1">(H8+H14)*2204.622/2000</f>
        <v>1274215.8492945</v>
      </c>
      <c r="I23">
        <f t="shared" si="1"/>
        <v>1087645.0828382999</v>
      </c>
      <c r="J23">
        <f t="shared" si="1"/>
        <v>1231749.9794061</v>
      </c>
      <c r="K23">
        <f t="shared" si="1"/>
        <v>1162747.2949658998</v>
      </c>
      <c r="L23">
        <f t="shared" si="1"/>
        <v>1101845.2736024999</v>
      </c>
      <c r="M23">
        <f t="shared" si="1"/>
        <v>1133399.3669018999</v>
      </c>
      <c r="N23">
        <f t="shared" si="1"/>
        <v>917897.34593969991</v>
      </c>
      <c r="O23">
        <f t="shared" si="1"/>
        <v>889452.54127799987</v>
      </c>
      <c r="P23">
        <f t="shared" si="1"/>
        <v>889121.51728469995</v>
      </c>
      <c r="Q23">
        <f t="shared" si="1"/>
        <v>935833.7096073</v>
      </c>
      <c r="R23">
        <f t="shared" si="1"/>
        <v>1187869.4035802998</v>
      </c>
      <c r="S23">
        <f t="shared" si="1"/>
        <v>1183655.0481651002</v>
      </c>
    </row>
    <row r="24" spans="2:24" x14ac:dyDescent="0.25">
      <c r="G24">
        <v>2023</v>
      </c>
      <c r="H24">
        <f t="shared" ref="H24:S24" si="2">(H9+H15)*2204.622/2000</f>
        <v>1509676.9746092996</v>
      </c>
      <c r="I24">
        <f t="shared" si="2"/>
        <v>995173.5358215</v>
      </c>
      <c r="J24">
        <f t="shared" si="2"/>
        <v>1452177.6770718</v>
      </c>
      <c r="K24">
        <f t="shared" si="2"/>
        <v>1221855.4154078998</v>
      </c>
      <c r="L24">
        <f t="shared" si="2"/>
        <v>1153396.1702906999</v>
      </c>
      <c r="M24">
        <f t="shared" si="2"/>
        <v>1347456.0376809</v>
      </c>
      <c r="N24">
        <f t="shared" si="2"/>
        <v>1151222.6334608998</v>
      </c>
      <c r="O24">
        <f t="shared" si="2"/>
        <v>1190475.5974776002</v>
      </c>
      <c r="P24">
        <f t="shared" si="2"/>
        <v>1078087.3850816998</v>
      </c>
      <c r="Q24">
        <f t="shared" si="2"/>
        <v>1216993.0113557999</v>
      </c>
      <c r="R24">
        <f t="shared" si="2"/>
        <v>1494887.7088467001</v>
      </c>
      <c r="S24">
        <f t="shared" si="2"/>
        <v>1606531.9715486998</v>
      </c>
    </row>
    <row r="25" spans="2:24" x14ac:dyDescent="0.25">
      <c r="G25">
        <v>2024</v>
      </c>
      <c r="H25">
        <f t="shared" ref="H25:S26" si="3">(H10+H16)*2204.622/2000</f>
        <v>1444669.1754641999</v>
      </c>
      <c r="I25">
        <f t="shared" si="3"/>
        <v>1528181.1386729998</v>
      </c>
      <c r="J25">
        <f t="shared" si="3"/>
        <v>1599501.4319907001</v>
      </c>
      <c r="K25">
        <f t="shared" si="3"/>
        <v>1355323.1210567998</v>
      </c>
      <c r="L25">
        <f t="shared" si="3"/>
        <v>1117555.7406678</v>
      </c>
      <c r="M25">
        <f t="shared" si="3"/>
        <v>1171739.9481038996</v>
      </c>
      <c r="N25">
        <f t="shared" si="3"/>
        <v>1104195.7313477998</v>
      </c>
      <c r="O25">
        <f t="shared" si="3"/>
        <v>997212.4804781999</v>
      </c>
      <c r="P25">
        <f t="shared" si="3"/>
        <v>1197741.9213584999</v>
      </c>
      <c r="Q25">
        <f t="shared" si="3"/>
        <v>1435651.3896353999</v>
      </c>
      <c r="R25">
        <f t="shared" si="3"/>
        <v>1646595.3546126001</v>
      </c>
      <c r="S25">
        <f t="shared" si="3"/>
        <v>1646321.3200979999</v>
      </c>
    </row>
    <row r="26" spans="2:24" x14ac:dyDescent="0.25">
      <c r="G26">
        <v>2025</v>
      </c>
      <c r="H26">
        <f>(H11+H17)*2204.622/2000</f>
        <v>1552220.7778853998</v>
      </c>
      <c r="I26">
        <f t="shared" si="3"/>
        <v>1228535.1996056999</v>
      </c>
      <c r="J26">
        <f t="shared" si="3"/>
        <v>1747870.8391241999</v>
      </c>
      <c r="K26">
        <f t="shared" si="3"/>
        <v>1464555.0863663999</v>
      </c>
      <c r="L26">
        <f t="shared" si="3"/>
        <v>1475166.9241322998</v>
      </c>
      <c r="M26">
        <f t="shared" si="3"/>
        <v>1451411.9016201</v>
      </c>
      <c r="N26">
        <f t="shared" si="3"/>
        <v>1506633.8246315999</v>
      </c>
      <c r="O26">
        <f t="shared" si="3"/>
        <v>1445114.3988770999</v>
      </c>
      <c r="P26">
        <f t="shared" si="3"/>
        <v>1436054.6149991998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Query_23673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2025-12-30T11:36:12Z</dcterms:created>
  <dcterms:modified xsi:type="dcterms:W3CDTF">2025-12-30T12:31:19Z</dcterms:modified>
</cp:coreProperties>
</file>