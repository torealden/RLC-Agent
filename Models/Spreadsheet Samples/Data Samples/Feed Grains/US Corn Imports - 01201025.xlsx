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orem\Dropbox\Misc Data\"/>
    </mc:Choice>
  </mc:AlternateContent>
  <xr:revisionPtr revIDLastSave="0" documentId="8_{777AD22D-2A55-4C79-A213-429BAD680864}" xr6:coauthVersionLast="47" xr6:coauthVersionMax="47" xr10:uidLastSave="{00000000-0000-0000-0000-000000000000}"/>
  <bookViews>
    <workbookView xWindow="-22230" yWindow="2010" windowWidth="21600" windowHeight="11835" xr2:uid="{F922369B-66C0-46BA-8C34-B1ED81EE028E}"/>
  </bookViews>
  <sheets>
    <sheet name="Standard Query_59138" sheetId="1" r:id="rId1"/>
  </sheets>
  <calcPr calcId="0"/>
</workbook>
</file>

<file path=xl/calcChain.xml><?xml version="1.0" encoding="utf-8"?>
<calcChain xmlns="http://schemas.openxmlformats.org/spreadsheetml/2006/main">
  <c r="H31" i="1" l="1"/>
  <c r="I31" i="1"/>
  <c r="J31" i="1"/>
  <c r="K31" i="1"/>
  <c r="L31" i="1"/>
  <c r="M31" i="1"/>
  <c r="N31" i="1"/>
  <c r="O31" i="1"/>
  <c r="P31" i="1"/>
  <c r="Q31" i="1"/>
  <c r="H27" i="1"/>
  <c r="I27" i="1"/>
  <c r="J27" i="1"/>
  <c r="K27" i="1"/>
  <c r="L27" i="1"/>
  <c r="M27" i="1"/>
  <c r="N27" i="1"/>
  <c r="O27" i="1"/>
  <c r="P27" i="1"/>
  <c r="Q27" i="1"/>
  <c r="R27" i="1"/>
  <c r="S27" i="1"/>
  <c r="H28" i="1"/>
  <c r="I28" i="1"/>
  <c r="J28" i="1"/>
  <c r="K28" i="1"/>
  <c r="L28" i="1"/>
  <c r="M28" i="1"/>
  <c r="N28" i="1"/>
  <c r="O28" i="1"/>
  <c r="P28" i="1"/>
  <c r="Q28" i="1"/>
  <c r="R28" i="1"/>
  <c r="S28" i="1"/>
  <c r="H29" i="1"/>
  <c r="I29" i="1"/>
  <c r="J29" i="1"/>
  <c r="K29" i="1"/>
  <c r="L29" i="1"/>
  <c r="M29" i="1"/>
  <c r="N29" i="1"/>
  <c r="O29" i="1"/>
  <c r="P29" i="1"/>
  <c r="Q29" i="1"/>
  <c r="R29" i="1"/>
  <c r="S29" i="1"/>
  <c r="H30" i="1"/>
  <c r="I30" i="1"/>
  <c r="J30" i="1"/>
  <c r="K30" i="1"/>
  <c r="L30" i="1"/>
  <c r="M30" i="1"/>
  <c r="N30" i="1"/>
  <c r="O30" i="1"/>
  <c r="P30" i="1"/>
  <c r="Q30" i="1"/>
  <c r="R30" i="1"/>
  <c r="S30" i="1"/>
  <c r="I26" i="1"/>
  <c r="J26" i="1"/>
  <c r="K26" i="1"/>
  <c r="L26" i="1"/>
  <c r="M26" i="1"/>
  <c r="N26" i="1"/>
  <c r="O26" i="1"/>
  <c r="P26" i="1"/>
  <c r="Q26" i="1"/>
  <c r="R26" i="1"/>
  <c r="S26" i="1"/>
  <c r="H26" i="1"/>
</calcChain>
</file>

<file path=xl/sharedStrings.xml><?xml version="1.0" encoding="utf-8"?>
<sst xmlns="http://schemas.openxmlformats.org/spreadsheetml/2006/main" count="129" uniqueCount="56">
  <si>
    <t>Data generated on Thursday, January 15, 2026 at 7:29:59 AM EST</t>
  </si>
  <si>
    <t>Area/Partners of Origin</t>
  </si>
  <si>
    <t>January 2020 - December 2025</t>
  </si>
  <si>
    <t>And General Commodities Imported</t>
  </si>
  <si>
    <t>Quantities</t>
  </si>
  <si>
    <t>January</t>
  </si>
  <si>
    <t>February</t>
  </si>
  <si>
    <t>March</t>
  </si>
  <si>
    <t>April</t>
  </si>
  <si>
    <t>May</t>
  </si>
  <si>
    <t>June</t>
  </si>
  <si>
    <t>July</t>
  </si>
  <si>
    <t>August</t>
  </si>
  <si>
    <t>September</t>
  </si>
  <si>
    <t>October</t>
  </si>
  <si>
    <t>November</t>
  </si>
  <si>
    <t>December</t>
  </si>
  <si>
    <t>Total</t>
  </si>
  <si>
    <t>Partner</t>
  </si>
  <si>
    <t>HS Code</t>
  </si>
  <si>
    <t>Product</t>
  </si>
  <si>
    <t>Year</t>
  </si>
  <si>
    <t>UOM</t>
  </si>
  <si>
    <t>Qty</t>
  </si>
  <si>
    <t>Period/Period %  Change (Qty)</t>
  </si>
  <si>
    <t>Reporter Code</t>
  </si>
  <si>
    <t>Partner Code</t>
  </si>
  <si>
    <t>Product Code</t>
  </si>
  <si>
    <t>World Total</t>
  </si>
  <si>
    <t>Corn (Maize), except Seed</t>
  </si>
  <si>
    <t>2020-2020</t>
  </si>
  <si>
    <t>MT</t>
  </si>
  <si>
    <t>US</t>
  </si>
  <si>
    <t>R00</t>
  </si>
  <si>
    <t>2021-2021</t>
  </si>
  <si>
    <t>2022-2022</t>
  </si>
  <si>
    <t>2023-2023</t>
  </si>
  <si>
    <t>2024-2024</t>
  </si>
  <si>
    <t>2025-2025</t>
  </si>
  <si>
    <t>Corn (Maize) Seed</t>
  </si>
  <si>
    <t>Notes:</t>
  </si>
  <si>
    <t>1. Data Source: U.S. Census Bureau Trade Data</t>
  </si>
  <si>
    <t>2. All zeroes for a data item may show that statistics exist in the other import type. Consumption or General.</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</si>
  <si>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</si>
  <si>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4. Product Group : Harmonized</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</si>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</sst>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C5A4-D10F-467C-BD32-DF95510A433A}">
  <dimension ref="A1:X31"/>
  <sheetViews>
    <sheetView tabSelected="1" topLeftCell="A13" workbookViewId="0">
      <selection activeCell="P31" sqref="P31:Q31"/>
    </sheetView>
  </sheetViews>
  <sheetFormatPr defaultRowHeight="15" x14ac:dyDescent="0.25"/>
  <sheetData>
    <row r="1" spans="1:24" x14ac:dyDescent="0.25">
      <c r="A1" t="s">
        <v>0</v>
      </c>
    </row>
    <row r="2" spans="1:24" x14ac:dyDescent="0.25">
      <c r="A2" t="s">
        <v>1</v>
      </c>
      <c r="F2" t="s">
        <v>2</v>
      </c>
    </row>
    <row r="3" spans="1:24" x14ac:dyDescent="0.25">
      <c r="A3" t="s">
        <v>3</v>
      </c>
      <c r="F3" t="s">
        <v>4</v>
      </c>
    </row>
    <row r="4" spans="1:24" x14ac:dyDescent="0.25">
      <c r="H4" t="s">
        <v>5</v>
      </c>
      <c r="I4" t="s">
        <v>6</v>
      </c>
      <c r="J4" t="s">
        <v>7</v>
      </c>
      <c r="K4" t="s">
        <v>8</v>
      </c>
      <c r="L4" t="s">
        <v>9</v>
      </c>
      <c r="M4" t="s">
        <v>10</v>
      </c>
      <c r="N4" t="s">
        <v>11</v>
      </c>
      <c r="O4" t="s">
        <v>12</v>
      </c>
      <c r="P4" t="s">
        <v>13</v>
      </c>
      <c r="Q4" t="s">
        <v>14</v>
      </c>
      <c r="R4" t="s">
        <v>15</v>
      </c>
      <c r="S4" t="s">
        <v>16</v>
      </c>
      <c r="T4" t="s">
        <v>17</v>
      </c>
    </row>
    <row r="5" spans="1:24" x14ac:dyDescent="0.25">
      <c r="B5" t="s">
        <v>18</v>
      </c>
      <c r="D5" t="s">
        <v>19</v>
      </c>
      <c r="E5" t="s">
        <v>20</v>
      </c>
      <c r="F5" t="s">
        <v>21</v>
      </c>
      <c r="G5" t="s">
        <v>22</v>
      </c>
      <c r="H5" t="s">
        <v>23</v>
      </c>
      <c r="I5" t="s">
        <v>23</v>
      </c>
      <c r="J5" t="s">
        <v>23</v>
      </c>
      <c r="K5" t="s">
        <v>23</v>
      </c>
      <c r="L5" t="s">
        <v>23</v>
      </c>
      <c r="M5" t="s">
        <v>23</v>
      </c>
      <c r="N5" t="s">
        <v>23</v>
      </c>
      <c r="O5" t="s">
        <v>23</v>
      </c>
      <c r="P5" t="s">
        <v>23</v>
      </c>
      <c r="Q5" t="s">
        <v>23</v>
      </c>
      <c r="R5" t="s">
        <v>23</v>
      </c>
      <c r="S5" t="s">
        <v>23</v>
      </c>
      <c r="T5" t="s">
        <v>23</v>
      </c>
      <c r="U5" t="s">
        <v>24</v>
      </c>
      <c r="V5" t="s">
        <v>25</v>
      </c>
      <c r="W5" t="s">
        <v>26</v>
      </c>
      <c r="X5" t="s">
        <v>27</v>
      </c>
    </row>
    <row r="6" spans="1:24" x14ac:dyDescent="0.25">
      <c r="A6">
        <v>1</v>
      </c>
      <c r="B6" t="s">
        <v>28</v>
      </c>
      <c r="C6">
        <v>1</v>
      </c>
      <c r="D6">
        <v>100590</v>
      </c>
      <c r="E6" t="s">
        <v>29</v>
      </c>
      <c r="F6" t="s">
        <v>30</v>
      </c>
      <c r="G6" t="s">
        <v>31</v>
      </c>
      <c r="H6" s="1">
        <v>47931.8</v>
      </c>
      <c r="I6" s="1">
        <v>58965.1</v>
      </c>
      <c r="J6" s="1">
        <v>62111.199999999997</v>
      </c>
      <c r="K6" s="1">
        <v>92845.8</v>
      </c>
      <c r="L6" s="1">
        <v>59755.7</v>
      </c>
      <c r="M6" s="1">
        <v>27250.5</v>
      </c>
      <c r="N6" s="1">
        <v>45037.599999999999</v>
      </c>
      <c r="O6" s="1">
        <v>69380</v>
      </c>
      <c r="P6" s="1">
        <v>34785.599999999999</v>
      </c>
      <c r="Q6" s="1">
        <v>80846.399999999994</v>
      </c>
      <c r="R6" s="1">
        <v>31217.3</v>
      </c>
      <c r="S6" s="1">
        <v>50848</v>
      </c>
      <c r="T6" s="1">
        <v>660975</v>
      </c>
      <c r="U6">
        <v>132</v>
      </c>
      <c r="V6" t="s">
        <v>32</v>
      </c>
      <c r="W6" t="s">
        <v>33</v>
      </c>
      <c r="X6">
        <v>100590</v>
      </c>
    </row>
    <row r="7" spans="1:24" x14ac:dyDescent="0.25">
      <c r="A7">
        <v>1</v>
      </c>
      <c r="B7" t="s">
        <v>28</v>
      </c>
      <c r="C7">
        <v>1</v>
      </c>
      <c r="D7">
        <v>100590</v>
      </c>
      <c r="E7" t="s">
        <v>29</v>
      </c>
      <c r="F7" t="s">
        <v>34</v>
      </c>
      <c r="G7" t="s">
        <v>31</v>
      </c>
      <c r="H7" s="1">
        <v>60608.4</v>
      </c>
      <c r="I7" s="1">
        <v>21913.5</v>
      </c>
      <c r="J7" s="1">
        <v>54625.8</v>
      </c>
      <c r="K7" s="1">
        <v>59913</v>
      </c>
      <c r="L7" s="1">
        <v>45579.6</v>
      </c>
      <c r="M7" s="1">
        <v>38237.5</v>
      </c>
      <c r="N7" s="1">
        <v>57290.9</v>
      </c>
      <c r="O7" s="1">
        <v>55509.1</v>
      </c>
      <c r="P7" s="1">
        <v>47844.800000000003</v>
      </c>
      <c r="Q7" s="1">
        <v>60412.9</v>
      </c>
      <c r="R7" s="1">
        <v>58214.9</v>
      </c>
      <c r="S7" s="1">
        <v>58969.1</v>
      </c>
      <c r="T7" s="1">
        <v>619119.4</v>
      </c>
      <c r="U7">
        <v>26</v>
      </c>
      <c r="V7" t="s">
        <v>32</v>
      </c>
      <c r="W7" t="s">
        <v>33</v>
      </c>
      <c r="X7">
        <v>100590</v>
      </c>
    </row>
    <row r="8" spans="1:24" x14ac:dyDescent="0.25">
      <c r="A8">
        <v>1</v>
      </c>
      <c r="B8" t="s">
        <v>28</v>
      </c>
      <c r="C8">
        <v>1</v>
      </c>
      <c r="D8">
        <v>100590</v>
      </c>
      <c r="E8" t="s">
        <v>29</v>
      </c>
      <c r="F8" t="s">
        <v>35</v>
      </c>
      <c r="G8" t="s">
        <v>31</v>
      </c>
      <c r="H8" s="1">
        <v>21654.799999999999</v>
      </c>
      <c r="I8" s="1">
        <v>90340.3</v>
      </c>
      <c r="J8" s="1">
        <v>20428.599999999999</v>
      </c>
      <c r="K8" s="1">
        <v>30870.2</v>
      </c>
      <c r="L8" s="1">
        <v>55543.5</v>
      </c>
      <c r="M8" s="1">
        <v>36498.400000000001</v>
      </c>
      <c r="N8" s="1">
        <v>44892.800000000003</v>
      </c>
      <c r="O8" s="1">
        <v>64010.3</v>
      </c>
      <c r="P8" s="1">
        <v>38626.5</v>
      </c>
      <c r="Q8" s="1">
        <v>36930.400000000001</v>
      </c>
      <c r="R8" s="1">
        <v>72349.7</v>
      </c>
      <c r="S8" s="1">
        <v>69958.3</v>
      </c>
      <c r="T8" s="1">
        <v>582103.80000000005</v>
      </c>
      <c r="U8">
        <v>-4</v>
      </c>
      <c r="V8" t="s">
        <v>32</v>
      </c>
      <c r="W8" t="s">
        <v>33</v>
      </c>
      <c r="X8">
        <v>100590</v>
      </c>
    </row>
    <row r="9" spans="1:24" x14ac:dyDescent="0.25">
      <c r="A9">
        <v>1</v>
      </c>
      <c r="B9" t="s">
        <v>28</v>
      </c>
      <c r="C9">
        <v>1</v>
      </c>
      <c r="D9">
        <v>100590</v>
      </c>
      <c r="E9" t="s">
        <v>29</v>
      </c>
      <c r="F9" t="s">
        <v>36</v>
      </c>
      <c r="G9" t="s">
        <v>31</v>
      </c>
      <c r="H9" s="1">
        <v>51869.599999999999</v>
      </c>
      <c r="I9" s="1">
        <v>30893.3</v>
      </c>
      <c r="J9" s="1">
        <v>63398.400000000001</v>
      </c>
      <c r="K9" s="1">
        <v>41552.199999999997</v>
      </c>
      <c r="L9" s="1">
        <v>130430.9</v>
      </c>
      <c r="M9" s="1">
        <v>207435.1</v>
      </c>
      <c r="N9" s="1">
        <v>135298.4</v>
      </c>
      <c r="O9" s="1">
        <v>85024.8</v>
      </c>
      <c r="P9" s="1">
        <v>77763.199999999997</v>
      </c>
      <c r="Q9" s="1">
        <v>92478.399999999994</v>
      </c>
      <c r="R9" s="1">
        <v>62609.599999999999</v>
      </c>
      <c r="S9" s="1">
        <v>39630.5</v>
      </c>
      <c r="T9" s="1">
        <v>1018384.5</v>
      </c>
      <c r="U9">
        <v>19</v>
      </c>
      <c r="V9" t="s">
        <v>32</v>
      </c>
      <c r="W9" t="s">
        <v>33</v>
      </c>
      <c r="X9">
        <v>100590</v>
      </c>
    </row>
    <row r="10" spans="1:24" x14ac:dyDescent="0.25">
      <c r="A10">
        <v>1</v>
      </c>
      <c r="B10" t="s">
        <v>28</v>
      </c>
      <c r="C10">
        <v>1</v>
      </c>
      <c r="D10">
        <v>100590</v>
      </c>
      <c r="E10" t="s">
        <v>29</v>
      </c>
      <c r="F10" t="s">
        <v>37</v>
      </c>
      <c r="G10" t="s">
        <v>31</v>
      </c>
      <c r="H10" s="1">
        <v>65463.3</v>
      </c>
      <c r="I10" s="1">
        <v>40719.9</v>
      </c>
      <c r="J10" s="1">
        <v>37862.5</v>
      </c>
      <c r="K10" s="1">
        <v>54002.2</v>
      </c>
      <c r="L10" s="1">
        <v>89512.1</v>
      </c>
      <c r="M10" s="1">
        <v>41080.300000000003</v>
      </c>
      <c r="N10" s="1">
        <v>45355.199999999997</v>
      </c>
      <c r="O10" s="1">
        <v>61800.6</v>
      </c>
      <c r="P10" s="1">
        <v>63175</v>
      </c>
      <c r="Q10" s="1">
        <v>24743.599999999999</v>
      </c>
      <c r="R10" s="1">
        <v>55630.1</v>
      </c>
      <c r="S10" s="1">
        <v>32260.9</v>
      </c>
      <c r="T10" s="1">
        <v>611605.9</v>
      </c>
      <c r="U10">
        <v>-61</v>
      </c>
      <c r="V10" t="s">
        <v>32</v>
      </c>
      <c r="W10" t="s">
        <v>33</v>
      </c>
      <c r="X10">
        <v>100590</v>
      </c>
    </row>
    <row r="11" spans="1:24" x14ac:dyDescent="0.25">
      <c r="A11">
        <v>1</v>
      </c>
      <c r="B11" t="s">
        <v>28</v>
      </c>
      <c r="C11">
        <v>1</v>
      </c>
      <c r="D11">
        <v>100590</v>
      </c>
      <c r="E11" t="s">
        <v>29</v>
      </c>
      <c r="F11" t="s">
        <v>38</v>
      </c>
      <c r="G11" t="s">
        <v>31</v>
      </c>
      <c r="H11" s="1">
        <v>52283.9</v>
      </c>
      <c r="I11" s="1">
        <v>31345.3</v>
      </c>
      <c r="J11" s="1">
        <v>24866.9</v>
      </c>
      <c r="K11" s="1">
        <v>75060.600000000006</v>
      </c>
      <c r="L11" s="1">
        <v>39383.199999999997</v>
      </c>
      <c r="M11" s="1">
        <v>31641.8</v>
      </c>
      <c r="N11" s="1">
        <v>39703.599999999999</v>
      </c>
      <c r="O11" s="1">
        <v>68645.899999999994</v>
      </c>
      <c r="P11" s="1">
        <v>32813.599999999999</v>
      </c>
      <c r="Q11" s="1">
        <v>62720.6</v>
      </c>
      <c r="T11" s="1">
        <v>458465.3</v>
      </c>
      <c r="U11">
        <v>91</v>
      </c>
      <c r="V11" t="s">
        <v>32</v>
      </c>
      <c r="W11" t="s">
        <v>33</v>
      </c>
      <c r="X11">
        <v>100590</v>
      </c>
    </row>
    <row r="12" spans="1:24" x14ac:dyDescent="0.25">
      <c r="A12">
        <v>1</v>
      </c>
      <c r="B12" t="s">
        <v>28</v>
      </c>
      <c r="C12">
        <v>2</v>
      </c>
      <c r="D12">
        <v>100510</v>
      </c>
      <c r="E12" t="s">
        <v>39</v>
      </c>
      <c r="F12" t="s">
        <v>30</v>
      </c>
      <c r="G12" t="s">
        <v>31</v>
      </c>
      <c r="H12" s="1">
        <v>2148.3000000000002</v>
      </c>
      <c r="I12" s="1">
        <v>2828.5</v>
      </c>
      <c r="J12" s="1">
        <v>16278.4</v>
      </c>
      <c r="K12" s="1">
        <v>8786</v>
      </c>
      <c r="L12" s="1">
        <v>2052.6999999999998</v>
      </c>
      <c r="M12">
        <v>596.4</v>
      </c>
      <c r="N12">
        <v>106.4</v>
      </c>
      <c r="O12">
        <v>182.8</v>
      </c>
      <c r="P12">
        <v>42.3</v>
      </c>
      <c r="Q12">
        <v>193</v>
      </c>
      <c r="R12">
        <v>219.9</v>
      </c>
      <c r="S12" s="1">
        <v>2354.8000000000002</v>
      </c>
      <c r="T12" s="1">
        <v>35789.4</v>
      </c>
      <c r="U12">
        <v>357</v>
      </c>
      <c r="V12" t="s">
        <v>32</v>
      </c>
      <c r="W12" t="s">
        <v>33</v>
      </c>
      <c r="X12">
        <v>100510</v>
      </c>
    </row>
    <row r="13" spans="1:24" x14ac:dyDescent="0.25">
      <c r="A13">
        <v>1</v>
      </c>
      <c r="B13" t="s">
        <v>28</v>
      </c>
      <c r="C13">
        <v>2</v>
      </c>
      <c r="D13">
        <v>100510</v>
      </c>
      <c r="E13" t="s">
        <v>39</v>
      </c>
      <c r="F13" t="s">
        <v>34</v>
      </c>
      <c r="G13" t="s">
        <v>31</v>
      </c>
      <c r="H13" s="1">
        <v>1508.5</v>
      </c>
      <c r="I13" s="1">
        <v>1217.9000000000001</v>
      </c>
      <c r="J13" s="1">
        <v>5741.1</v>
      </c>
      <c r="K13" s="1">
        <v>10725.4</v>
      </c>
      <c r="L13" s="1">
        <v>3187.8</v>
      </c>
      <c r="M13" s="1">
        <v>1506.1</v>
      </c>
      <c r="N13">
        <v>457.7</v>
      </c>
      <c r="O13">
        <v>328</v>
      </c>
      <c r="P13">
        <v>300.39999999999998</v>
      </c>
      <c r="Q13">
        <v>946.6</v>
      </c>
      <c r="R13" s="1">
        <v>2985.1</v>
      </c>
      <c r="S13" s="1">
        <v>3484.3</v>
      </c>
      <c r="T13" s="1">
        <v>32389</v>
      </c>
      <c r="U13">
        <v>215</v>
      </c>
      <c r="V13" t="s">
        <v>32</v>
      </c>
      <c r="W13" t="s">
        <v>33</v>
      </c>
      <c r="X13">
        <v>100510</v>
      </c>
    </row>
    <row r="14" spans="1:24" x14ac:dyDescent="0.25">
      <c r="A14">
        <v>1</v>
      </c>
      <c r="B14" t="s">
        <v>28</v>
      </c>
      <c r="C14">
        <v>2</v>
      </c>
      <c r="D14">
        <v>100510</v>
      </c>
      <c r="E14" t="s">
        <v>39</v>
      </c>
      <c r="F14" t="s">
        <v>35</v>
      </c>
      <c r="G14" t="s">
        <v>31</v>
      </c>
      <c r="H14" s="1">
        <v>3486.3</v>
      </c>
      <c r="I14" s="1">
        <v>2853.6</v>
      </c>
      <c r="J14" s="1">
        <v>3946.8</v>
      </c>
      <c r="K14" s="1">
        <v>5636</v>
      </c>
      <c r="L14" s="1">
        <v>2415</v>
      </c>
      <c r="M14" s="1">
        <v>1578.8</v>
      </c>
      <c r="N14">
        <v>499.7</v>
      </c>
      <c r="O14">
        <v>188.1</v>
      </c>
      <c r="P14">
        <v>572.1</v>
      </c>
      <c r="Q14">
        <v>166.7</v>
      </c>
      <c r="R14">
        <v>461.7</v>
      </c>
      <c r="S14" s="1">
        <v>1160.7</v>
      </c>
      <c r="T14" s="1">
        <v>22965.599999999999</v>
      </c>
      <c r="U14">
        <v>-71</v>
      </c>
      <c r="V14" t="s">
        <v>32</v>
      </c>
      <c r="W14" t="s">
        <v>33</v>
      </c>
      <c r="X14">
        <v>100510</v>
      </c>
    </row>
    <row r="15" spans="1:24" x14ac:dyDescent="0.25">
      <c r="A15">
        <v>1</v>
      </c>
      <c r="B15" t="s">
        <v>28</v>
      </c>
      <c r="C15">
        <v>2</v>
      </c>
      <c r="D15">
        <v>100510</v>
      </c>
      <c r="E15" t="s">
        <v>39</v>
      </c>
      <c r="F15" t="s">
        <v>36</v>
      </c>
      <c r="G15" t="s">
        <v>31</v>
      </c>
      <c r="H15" s="1">
        <v>2112.6999999999998</v>
      </c>
      <c r="I15" s="1">
        <v>2517</v>
      </c>
      <c r="J15" s="1">
        <v>4103.3999999999996</v>
      </c>
      <c r="K15" s="1">
        <v>5317.5</v>
      </c>
      <c r="L15" s="1">
        <v>1853.4</v>
      </c>
      <c r="M15">
        <v>847.3</v>
      </c>
      <c r="N15">
        <v>181.5</v>
      </c>
      <c r="O15">
        <v>137.4</v>
      </c>
      <c r="P15">
        <v>146.9</v>
      </c>
      <c r="Q15">
        <v>104.9</v>
      </c>
      <c r="R15">
        <v>266.8</v>
      </c>
      <c r="S15">
        <v>836.5</v>
      </c>
      <c r="T15" s="1">
        <v>18425.5</v>
      </c>
      <c r="U15">
        <v>-29</v>
      </c>
      <c r="V15" t="s">
        <v>32</v>
      </c>
      <c r="W15" t="s">
        <v>33</v>
      </c>
      <c r="X15">
        <v>100510</v>
      </c>
    </row>
    <row r="16" spans="1:24" x14ac:dyDescent="0.25">
      <c r="A16">
        <v>1</v>
      </c>
      <c r="B16" t="s">
        <v>28</v>
      </c>
      <c r="C16">
        <v>2</v>
      </c>
      <c r="D16">
        <v>100510</v>
      </c>
      <c r="E16" t="s">
        <v>39</v>
      </c>
      <c r="F16" t="s">
        <v>37</v>
      </c>
      <c r="G16" t="s">
        <v>31</v>
      </c>
      <c r="H16" s="1">
        <v>1199.4000000000001</v>
      </c>
      <c r="I16" s="1">
        <v>2869.5</v>
      </c>
      <c r="J16" s="1">
        <v>2020.6</v>
      </c>
      <c r="K16" s="1">
        <v>4764</v>
      </c>
      <c r="L16" s="1">
        <v>2570</v>
      </c>
      <c r="M16">
        <v>576.70000000000005</v>
      </c>
      <c r="N16">
        <v>390.6</v>
      </c>
      <c r="O16">
        <v>153.5</v>
      </c>
      <c r="P16">
        <v>302.5</v>
      </c>
      <c r="Q16">
        <v>831.5</v>
      </c>
      <c r="R16" s="1">
        <v>1024.2</v>
      </c>
      <c r="S16">
        <v>512.79999999999995</v>
      </c>
      <c r="T16" s="1">
        <v>17215.400000000001</v>
      </c>
      <c r="U16">
        <v>175</v>
      </c>
      <c r="V16" t="s">
        <v>32</v>
      </c>
      <c r="W16" t="s">
        <v>33</v>
      </c>
      <c r="X16">
        <v>100510</v>
      </c>
    </row>
    <row r="17" spans="1:24" x14ac:dyDescent="0.25">
      <c r="A17">
        <v>1</v>
      </c>
      <c r="B17" t="s">
        <v>28</v>
      </c>
      <c r="C17">
        <v>2</v>
      </c>
      <c r="D17">
        <v>100510</v>
      </c>
      <c r="E17" t="s">
        <v>39</v>
      </c>
      <c r="F17" t="s">
        <v>38</v>
      </c>
      <c r="G17" t="s">
        <v>31</v>
      </c>
      <c r="H17">
        <v>744.2</v>
      </c>
      <c r="I17" s="1">
        <v>1253.5</v>
      </c>
      <c r="J17" s="1">
        <v>4085.7</v>
      </c>
      <c r="K17" s="1">
        <v>3561.2</v>
      </c>
      <c r="L17" s="1">
        <v>1759.1</v>
      </c>
      <c r="M17" s="1">
        <v>1026.7</v>
      </c>
      <c r="N17">
        <v>182.6</v>
      </c>
      <c r="O17">
        <v>311.5</v>
      </c>
      <c r="P17">
        <v>45.7</v>
      </c>
      <c r="Q17">
        <v>50</v>
      </c>
      <c r="T17" s="1">
        <v>13020.2</v>
      </c>
      <c r="U17">
        <v>9</v>
      </c>
      <c r="V17" t="s">
        <v>32</v>
      </c>
      <c r="W17" t="s">
        <v>33</v>
      </c>
      <c r="X17">
        <v>100510</v>
      </c>
    </row>
    <row r="18" spans="1:24" x14ac:dyDescent="0.25">
      <c r="A18" t="s">
        <v>40</v>
      </c>
    </row>
    <row r="19" spans="1:24" x14ac:dyDescent="0.25">
      <c r="A19" t="s">
        <v>41</v>
      </c>
    </row>
    <row r="20" spans="1:24" x14ac:dyDescent="0.25">
      <c r="A20" t="s">
        <v>42</v>
      </c>
    </row>
    <row r="21" spans="1:24" x14ac:dyDescent="0.25">
      <c r="A21" t="s">
        <v>43</v>
      </c>
    </row>
    <row r="22" spans="1:24" x14ac:dyDescent="0.25">
      <c r="A22" t="s">
        <v>44</v>
      </c>
    </row>
    <row r="25" spans="1:24" x14ac:dyDescent="0.25">
      <c r="H25" t="s">
        <v>45</v>
      </c>
      <c r="I25" t="s">
        <v>46</v>
      </c>
      <c r="J25" t="s">
        <v>47</v>
      </c>
      <c r="K25" t="s">
        <v>48</v>
      </c>
      <c r="L25" t="s">
        <v>9</v>
      </c>
      <c r="M25" t="s">
        <v>49</v>
      </c>
      <c r="N25" t="s">
        <v>50</v>
      </c>
      <c r="O25" t="s">
        <v>51</v>
      </c>
      <c r="P25" t="s">
        <v>52</v>
      </c>
      <c r="Q25" t="s">
        <v>53</v>
      </c>
      <c r="R25" t="s">
        <v>54</v>
      </c>
      <c r="S25" t="s">
        <v>55</v>
      </c>
    </row>
    <row r="26" spans="1:24" x14ac:dyDescent="0.25">
      <c r="G26">
        <v>2020</v>
      </c>
      <c r="H26">
        <f>(H6+H12)*39.3674/1000000</f>
        <v>1.9715233287400005</v>
      </c>
      <c r="I26">
        <f t="shared" ref="I26:S26" si="0">(I6+I12)*39.3674/1000000</f>
        <v>2.43265336864</v>
      </c>
      <c r="J26">
        <f t="shared" si="0"/>
        <v>3.0859947390399998</v>
      </c>
      <c r="K26">
        <f t="shared" si="0"/>
        <v>4.0009797233200004</v>
      </c>
      <c r="L26">
        <f t="shared" si="0"/>
        <v>2.43323600616</v>
      </c>
      <c r="M26">
        <f t="shared" si="0"/>
        <v>1.0962600510600002</v>
      </c>
      <c r="N26">
        <f t="shared" si="0"/>
        <v>1.7772019056000001</v>
      </c>
      <c r="O26">
        <f t="shared" si="0"/>
        <v>2.7385065727200004</v>
      </c>
      <c r="P26">
        <f t="shared" si="0"/>
        <v>1.3710838704600001</v>
      </c>
      <c r="Q26">
        <f t="shared" si="0"/>
        <v>3.19031047556</v>
      </c>
      <c r="R26">
        <f t="shared" si="0"/>
        <v>1.2376008272800001</v>
      </c>
      <c r="S26">
        <f t="shared" si="0"/>
        <v>2.0944559087200005</v>
      </c>
    </row>
    <row r="27" spans="1:24" x14ac:dyDescent="0.25">
      <c r="G27">
        <v>2021</v>
      </c>
      <c r="H27">
        <f t="shared" ref="H27:S27" si="1">(H7+H13)*39.3674/1000000</f>
        <v>2.4453808490600002</v>
      </c>
      <c r="I27">
        <f t="shared" si="1"/>
        <v>0.91062307636000017</v>
      </c>
      <c r="J27">
        <f t="shared" si="1"/>
        <v>2.3764878990600002</v>
      </c>
      <c r="K27">
        <f t="shared" si="1"/>
        <v>2.7808501481599999</v>
      </c>
      <c r="L27">
        <f t="shared" si="1"/>
        <v>1.9198457427600002</v>
      </c>
      <c r="M27">
        <f t="shared" si="1"/>
        <v>1.5646021986400001</v>
      </c>
      <c r="N27">
        <f t="shared" si="1"/>
        <v>2.2734122356399999</v>
      </c>
      <c r="O27">
        <f t="shared" si="1"/>
        <v>2.1981614505400002</v>
      </c>
      <c r="P27">
        <f t="shared" si="1"/>
        <v>1.8953513464800003</v>
      </c>
      <c r="Q27">
        <f t="shared" si="1"/>
        <v>2.4155639803000004</v>
      </c>
      <c r="R27">
        <f t="shared" si="1"/>
        <v>2.4092848800000004</v>
      </c>
      <c r="S27">
        <f t="shared" si="1"/>
        <v>2.4586279791600001</v>
      </c>
    </row>
    <row r="28" spans="1:24" x14ac:dyDescent="0.25">
      <c r="G28">
        <v>2022</v>
      </c>
      <c r="H28">
        <f t="shared" ref="H28:S28" si="2">(H8+H14)*39.3674/1000000</f>
        <v>0.98973974013999999</v>
      </c>
      <c r="I28">
        <f t="shared" si="2"/>
        <v>3.6688015388600008</v>
      </c>
      <c r="J28">
        <f t="shared" si="2"/>
        <v>0.95959612195999999</v>
      </c>
      <c r="K28">
        <f t="shared" si="2"/>
        <v>1.4371541778800001</v>
      </c>
      <c r="L28">
        <f t="shared" si="2"/>
        <v>2.2816754529000005</v>
      </c>
      <c r="M28">
        <f t="shared" si="2"/>
        <v>1.4990003632800004</v>
      </c>
      <c r="N28">
        <f t="shared" si="2"/>
        <v>1.7869847045000002</v>
      </c>
      <c r="O28">
        <f t="shared" si="2"/>
        <v>2.5273240921600006</v>
      </c>
      <c r="P28">
        <f t="shared" si="2"/>
        <v>1.5431469656400001</v>
      </c>
      <c r="Q28">
        <f t="shared" si="2"/>
        <v>1.4604163745400001</v>
      </c>
      <c r="R28">
        <f t="shared" si="2"/>
        <v>2.8663955083599997</v>
      </c>
      <c r="S28">
        <f t="shared" si="2"/>
        <v>2.7997701205999999</v>
      </c>
    </row>
    <row r="29" spans="1:24" x14ac:dyDescent="0.25">
      <c r="G29">
        <v>2023</v>
      </c>
      <c r="H29">
        <f t="shared" ref="H29:S29" si="3">(H9+H15)*39.3674/1000000</f>
        <v>2.1251427970200001</v>
      </c>
      <c r="I29">
        <f t="shared" si="3"/>
        <v>1.3152766442200001</v>
      </c>
      <c r="J29">
        <f t="shared" si="3"/>
        <v>2.6573703613199999</v>
      </c>
      <c r="K29">
        <f t="shared" si="3"/>
        <v>1.8451382277800001</v>
      </c>
      <c r="L29">
        <f t="shared" si="3"/>
        <v>5.2076889518199998</v>
      </c>
      <c r="M29">
        <f t="shared" si="3"/>
        <v>8.1995365537599998</v>
      </c>
      <c r="N29">
        <f t="shared" si="3"/>
        <v>5.3334914152600001</v>
      </c>
      <c r="O29">
        <f t="shared" si="3"/>
        <v>3.3526143922800005</v>
      </c>
      <c r="P29">
        <f t="shared" si="3"/>
        <v>3.0671180707399999</v>
      </c>
      <c r="Q29">
        <f t="shared" si="3"/>
        <v>3.6447638044200001</v>
      </c>
      <c r="R29">
        <f t="shared" si="3"/>
        <v>2.4752803893600004</v>
      </c>
      <c r="S29">
        <f t="shared" si="3"/>
        <v>1.5930805758000002</v>
      </c>
    </row>
    <row r="30" spans="1:24" x14ac:dyDescent="0.25">
      <c r="G30">
        <v>2024</v>
      </c>
      <c r="H30">
        <f t="shared" ref="H30:S31" si="4">(H10+H16)*39.3674/1000000</f>
        <v>2.6243371759800005</v>
      </c>
      <c r="I30">
        <f t="shared" si="4"/>
        <v>1.7160013455600003</v>
      </c>
      <c r="J30">
        <f t="shared" si="4"/>
        <v>1.57009395094</v>
      </c>
      <c r="K30">
        <f t="shared" si="4"/>
        <v>2.3134725018799998</v>
      </c>
      <c r="L30">
        <f t="shared" si="4"/>
        <v>3.6250328635400009</v>
      </c>
      <c r="M30">
        <f t="shared" si="4"/>
        <v>1.6399277818000002</v>
      </c>
      <c r="N30">
        <f t="shared" si="4"/>
        <v>1.8008932069200001</v>
      </c>
      <c r="O30">
        <f t="shared" si="4"/>
        <v>2.4389718363400004</v>
      </c>
      <c r="P30">
        <f t="shared" si="4"/>
        <v>2.4989441334999998</v>
      </c>
      <c r="Q30">
        <f t="shared" si="4"/>
        <v>1.00682519174</v>
      </c>
      <c r="R30">
        <f t="shared" si="4"/>
        <v>2.2303324898200003</v>
      </c>
      <c r="S30">
        <f t="shared" si="4"/>
        <v>1.2902153573800001</v>
      </c>
    </row>
    <row r="31" spans="1:24" x14ac:dyDescent="0.25">
      <c r="G31">
        <v>2025</v>
      </c>
      <c r="H31">
        <f>(H11+H17)*39.3674/1000000</f>
        <v>2.0875784239400001</v>
      </c>
      <c r="I31">
        <f t="shared" si="4"/>
        <v>1.28332999912</v>
      </c>
      <c r="J31">
        <f t="shared" si="4"/>
        <v>1.1397885852400003</v>
      </c>
      <c r="K31">
        <f t="shared" si="4"/>
        <v>3.0951358493200005</v>
      </c>
      <c r="L31">
        <f t="shared" si="4"/>
        <v>1.6196653810199999</v>
      </c>
      <c r="M31">
        <f t="shared" si="4"/>
        <v>1.2860739069</v>
      </c>
      <c r="N31">
        <f t="shared" si="4"/>
        <v>1.5702159898800001</v>
      </c>
      <c r="O31">
        <f t="shared" si="4"/>
        <v>2.71467354876</v>
      </c>
      <c r="P31">
        <f t="shared" si="4"/>
        <v>1.29358520682</v>
      </c>
      <c r="Q31">
        <f t="shared" si="4"/>
        <v>2.4711153184399999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Query_59138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rlc-admin</dc:creator>
  <cp:lastModifiedBy>Tore Alden</cp:lastModifiedBy>
  <dcterms:created xsi:type="dcterms:W3CDTF">2026-01-15T13:05:41Z</dcterms:created>
  <dcterms:modified xsi:type="dcterms:W3CDTF">2026-01-15T13:05:41Z</dcterms:modified>
</cp:coreProperties>
</file>