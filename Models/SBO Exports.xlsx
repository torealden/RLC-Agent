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orem\Dropbox\RLC Documents\LLM Model and Documents\Projects\RLC-Agent\Models\"/>
    </mc:Choice>
  </mc:AlternateContent>
  <xr:revisionPtr revIDLastSave="0" documentId="8_{E5FD6481-EB9B-4201-BA27-DD5D619847D7}" xr6:coauthVersionLast="47" xr6:coauthVersionMax="47" xr10:uidLastSave="{00000000-0000-0000-0000-000000000000}"/>
  <bookViews>
    <workbookView xWindow="2040" yWindow="285" windowWidth="25875" windowHeight="13305" xr2:uid="{043D2ADA-A7EB-413E-8C83-AD2B8ED6C80F}"/>
  </bookViews>
  <sheets>
    <sheet name="Standard Query_44780"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0" i="1" l="1"/>
  <c r="H24" i="1"/>
  <c r="I24" i="1"/>
  <c r="J24" i="1"/>
  <c r="K24" i="1"/>
  <c r="L24" i="1"/>
  <c r="M24" i="1"/>
  <c r="N24" i="1"/>
  <c r="O24" i="1"/>
  <c r="P24" i="1"/>
  <c r="Q24" i="1"/>
  <c r="R24" i="1"/>
  <c r="S24" i="1"/>
  <c r="H25" i="1"/>
  <c r="I25" i="1"/>
  <c r="J25" i="1"/>
  <c r="K25" i="1"/>
  <c r="L25" i="1"/>
  <c r="M25" i="1"/>
  <c r="N25" i="1"/>
  <c r="O25" i="1"/>
  <c r="P25" i="1"/>
  <c r="Q25" i="1"/>
  <c r="R25" i="1"/>
  <c r="S25" i="1"/>
  <c r="H26" i="1"/>
  <c r="I26" i="1"/>
  <c r="J26" i="1"/>
  <c r="K26" i="1"/>
  <c r="L26" i="1"/>
  <c r="M26" i="1"/>
  <c r="N26" i="1"/>
  <c r="O26" i="1"/>
  <c r="P26" i="1"/>
  <c r="Q26" i="1"/>
  <c r="R26" i="1"/>
  <c r="S26" i="1"/>
  <c r="H27" i="1"/>
  <c r="I27" i="1"/>
  <c r="J27" i="1"/>
  <c r="K27" i="1"/>
  <c r="L27" i="1"/>
  <c r="M27" i="1"/>
  <c r="N27" i="1"/>
  <c r="O27" i="1"/>
  <c r="P27" i="1"/>
  <c r="Q27" i="1"/>
  <c r="R27" i="1"/>
  <c r="S27" i="1"/>
  <c r="H28" i="1"/>
  <c r="I28" i="1"/>
  <c r="J28" i="1"/>
  <c r="K28" i="1"/>
  <c r="L28" i="1"/>
  <c r="M28" i="1"/>
  <c r="N28" i="1"/>
  <c r="O28" i="1"/>
  <c r="P28" i="1"/>
  <c r="Q28" i="1"/>
  <c r="R28" i="1"/>
  <c r="S28" i="1"/>
  <c r="I23" i="1"/>
  <c r="J23" i="1"/>
  <c r="K23" i="1"/>
  <c r="L23" i="1"/>
  <c r="M23" i="1"/>
  <c r="N23" i="1"/>
  <c r="O23" i="1"/>
  <c r="P23" i="1"/>
  <c r="Q23" i="1"/>
  <c r="R23" i="1"/>
  <c r="S23" i="1"/>
  <c r="H23" i="1"/>
</calcChain>
</file>

<file path=xl/sharedStrings.xml><?xml version="1.0" encoding="utf-8"?>
<sst xmlns="http://schemas.openxmlformats.org/spreadsheetml/2006/main" count="116" uniqueCount="45">
  <si>
    <t>Data generated on Tuesday, December 30, 2025 at 6:23:44 AM EST</t>
  </si>
  <si>
    <t>Area/Partners of Destination</t>
  </si>
  <si>
    <t>January 2020 - December 2025</t>
  </si>
  <si>
    <t>And Commodities Exported</t>
  </si>
  <si>
    <t>Quantities</t>
  </si>
  <si>
    <t>January</t>
  </si>
  <si>
    <t>February</t>
  </si>
  <si>
    <t>March</t>
  </si>
  <si>
    <t>April</t>
  </si>
  <si>
    <t>May</t>
  </si>
  <si>
    <t>June</t>
  </si>
  <si>
    <t>July</t>
  </si>
  <si>
    <t>August</t>
  </si>
  <si>
    <t>September</t>
  </si>
  <si>
    <t>October</t>
  </si>
  <si>
    <t>November</t>
  </si>
  <si>
    <t>December</t>
  </si>
  <si>
    <t>Total</t>
  </si>
  <si>
    <t>Partner</t>
  </si>
  <si>
    <t>HS Code</t>
  </si>
  <si>
    <t>Product</t>
  </si>
  <si>
    <t>Year</t>
  </si>
  <si>
    <t>UOM</t>
  </si>
  <si>
    <t>Qty</t>
  </si>
  <si>
    <t>Period/Period %  Change (Qty)</t>
  </si>
  <si>
    <t>Reporter Code</t>
  </si>
  <si>
    <t>Partner Code</t>
  </si>
  <si>
    <t>Product Code</t>
  </si>
  <si>
    <t>World Total</t>
  </si>
  <si>
    <t>Soybean Oil, Refined</t>
  </si>
  <si>
    <t>2020-2020</t>
  </si>
  <si>
    <t>KG</t>
  </si>
  <si>
    <t>US</t>
  </si>
  <si>
    <t>R00</t>
  </si>
  <si>
    <t>2021-2021</t>
  </si>
  <si>
    <t>2022-2022</t>
  </si>
  <si>
    <t>2023-2023</t>
  </si>
  <si>
    <t>2024-2024</t>
  </si>
  <si>
    <t>2025-2025</t>
  </si>
  <si>
    <t>Soybean Oil, Crude</t>
  </si>
  <si>
    <t>MT</t>
  </si>
  <si>
    <t>Notes:</t>
  </si>
  <si>
    <t>1. Data Source: U.S. Census Bureau Trade Data</t>
  </si>
  <si>
    <t>2. Users should use cautious interpretation on QUANTITY reports using mixed units of measure. QUANTITY line items will only include statistics on the units of measure that are equal to, or are able to be converted to, the assigned unit of measure of the grouped commodities.</t>
  </si>
  <si>
    <t>3. Product Group : Harmonized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</si>
</sst>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4"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93804-4AC7-42CA-9D42-56850013B849}">
  <dimension ref="A1:X30"/>
  <sheetViews>
    <sheetView tabSelected="1" topLeftCell="A5" workbookViewId="0">
      <selection activeCell="P31" sqref="P31"/>
    </sheetView>
  </sheetViews>
  <sheetFormatPr defaultRowHeight="15" x14ac:dyDescent="0.25"/>
  <cols>
    <col min="16" max="16" width="12.7109375" bestFit="1" customWidth="1"/>
  </cols>
  <sheetData>
    <row r="1" spans="1:24" x14ac:dyDescent="0.25">
      <c r="A1" t="s">
        <v>0</v>
      </c>
    </row>
    <row r="2" spans="1:24" x14ac:dyDescent="0.25">
      <c r="A2" t="s">
        <v>1</v>
      </c>
      <c r="F2" t="s">
        <v>2</v>
      </c>
    </row>
    <row r="3" spans="1:24" x14ac:dyDescent="0.25">
      <c r="A3" t="s">
        <v>3</v>
      </c>
      <c r="F3" t="s">
        <v>4</v>
      </c>
    </row>
    <row r="4" spans="1:24" x14ac:dyDescent="0.25">
      <c r="H4" t="s">
        <v>5</v>
      </c>
      <c r="I4" t="s">
        <v>6</v>
      </c>
      <c r="J4" t="s">
        <v>7</v>
      </c>
      <c r="K4" t="s">
        <v>8</v>
      </c>
      <c r="L4" t="s">
        <v>9</v>
      </c>
      <c r="M4" t="s">
        <v>10</v>
      </c>
      <c r="N4" t="s">
        <v>11</v>
      </c>
      <c r="O4" t="s">
        <v>12</v>
      </c>
      <c r="P4" t="s">
        <v>13</v>
      </c>
      <c r="Q4" t="s">
        <v>14</v>
      </c>
      <c r="R4" t="s">
        <v>15</v>
      </c>
      <c r="S4" t="s">
        <v>16</v>
      </c>
      <c r="T4" t="s">
        <v>17</v>
      </c>
    </row>
    <row r="5" spans="1:24" x14ac:dyDescent="0.25">
      <c r="B5" t="s">
        <v>18</v>
      </c>
      <c r="D5" t="s">
        <v>19</v>
      </c>
      <c r="E5" t="s">
        <v>20</v>
      </c>
      <c r="F5" t="s">
        <v>21</v>
      </c>
      <c r="G5" t="s">
        <v>22</v>
      </c>
      <c r="H5" t="s">
        <v>23</v>
      </c>
      <c r="I5" t="s">
        <v>23</v>
      </c>
      <c r="J5" t="s">
        <v>23</v>
      </c>
      <c r="K5" t="s">
        <v>23</v>
      </c>
      <c r="L5" t="s">
        <v>23</v>
      </c>
      <c r="M5" t="s">
        <v>23</v>
      </c>
      <c r="N5" t="s">
        <v>23</v>
      </c>
      <c r="O5" t="s">
        <v>23</v>
      </c>
      <c r="P5" t="s">
        <v>23</v>
      </c>
      <c r="Q5" t="s">
        <v>23</v>
      </c>
      <c r="R5" t="s">
        <v>23</v>
      </c>
      <c r="S5" t="s">
        <v>23</v>
      </c>
      <c r="T5" t="s">
        <v>23</v>
      </c>
      <c r="U5" t="s">
        <v>24</v>
      </c>
      <c r="V5" t="s">
        <v>25</v>
      </c>
      <c r="W5" t="s">
        <v>26</v>
      </c>
      <c r="X5" t="s">
        <v>27</v>
      </c>
    </row>
    <row r="6" spans="1:24" x14ac:dyDescent="0.25">
      <c r="A6">
        <v>1</v>
      </c>
      <c r="B6" t="s">
        <v>28</v>
      </c>
      <c r="C6">
        <v>1</v>
      </c>
      <c r="D6">
        <v>150790</v>
      </c>
      <c r="E6" t="s">
        <v>29</v>
      </c>
      <c r="F6" t="s">
        <v>30</v>
      </c>
      <c r="G6" t="s">
        <v>31</v>
      </c>
      <c r="H6" s="1">
        <v>11713490</v>
      </c>
      <c r="I6" s="1">
        <v>16387131</v>
      </c>
      <c r="J6" s="1">
        <v>14655131</v>
      </c>
      <c r="K6" s="1">
        <v>16469663</v>
      </c>
      <c r="L6" s="1">
        <v>16024306</v>
      </c>
      <c r="M6" s="1">
        <v>11584251</v>
      </c>
      <c r="N6" s="1">
        <v>10142213</v>
      </c>
      <c r="O6" s="1">
        <v>14619783</v>
      </c>
      <c r="P6" s="1">
        <v>12491132</v>
      </c>
      <c r="Q6" s="1">
        <v>19380875</v>
      </c>
      <c r="R6" s="1">
        <v>14417221</v>
      </c>
      <c r="S6" s="1">
        <v>12036921</v>
      </c>
      <c r="T6" s="1">
        <v>169922117</v>
      </c>
      <c r="U6">
        <v>-15</v>
      </c>
      <c r="V6" t="s">
        <v>32</v>
      </c>
      <c r="W6" t="s">
        <v>33</v>
      </c>
      <c r="X6">
        <v>150790</v>
      </c>
    </row>
    <row r="7" spans="1:24" x14ac:dyDescent="0.25">
      <c r="A7">
        <v>1</v>
      </c>
      <c r="B7" t="s">
        <v>28</v>
      </c>
      <c r="C7">
        <v>1</v>
      </c>
      <c r="D7">
        <v>150790</v>
      </c>
      <c r="E7" t="s">
        <v>29</v>
      </c>
      <c r="F7" t="s">
        <v>34</v>
      </c>
      <c r="G7" t="s">
        <v>31</v>
      </c>
      <c r="H7" s="1">
        <v>12603942</v>
      </c>
      <c r="I7" s="1">
        <v>12301264</v>
      </c>
      <c r="J7" s="1">
        <v>9483681</v>
      </c>
      <c r="K7" s="1">
        <v>8951800</v>
      </c>
      <c r="L7" s="1">
        <v>7855562</v>
      </c>
      <c r="M7" s="1">
        <v>7483272</v>
      </c>
      <c r="N7" s="1">
        <v>7044550</v>
      </c>
      <c r="O7" s="1">
        <v>7464781</v>
      </c>
      <c r="P7" s="1">
        <v>7322126</v>
      </c>
      <c r="Q7" s="1">
        <v>9732038</v>
      </c>
      <c r="R7" s="1">
        <v>10075560</v>
      </c>
      <c r="S7" s="1">
        <v>12250713</v>
      </c>
      <c r="T7" s="1">
        <v>112569289</v>
      </c>
      <c r="U7">
        <v>-2</v>
      </c>
      <c r="V7" t="s">
        <v>32</v>
      </c>
      <c r="W7" t="s">
        <v>33</v>
      </c>
      <c r="X7">
        <v>150790</v>
      </c>
    </row>
    <row r="8" spans="1:24" x14ac:dyDescent="0.25">
      <c r="A8">
        <v>1</v>
      </c>
      <c r="B8" t="s">
        <v>28</v>
      </c>
      <c r="C8">
        <v>1</v>
      </c>
      <c r="D8">
        <v>150790</v>
      </c>
      <c r="E8" t="s">
        <v>29</v>
      </c>
      <c r="F8" t="s">
        <v>35</v>
      </c>
      <c r="G8" t="s">
        <v>31</v>
      </c>
      <c r="H8" s="1">
        <v>17760742</v>
      </c>
      <c r="I8" s="1">
        <v>23429886</v>
      </c>
      <c r="J8" s="1">
        <v>10078629</v>
      </c>
      <c r="K8" s="1">
        <v>10109780</v>
      </c>
      <c r="L8" s="1">
        <v>6310484</v>
      </c>
      <c r="M8" s="1">
        <v>7137259</v>
      </c>
      <c r="N8" s="1">
        <v>8058527</v>
      </c>
      <c r="O8" s="1">
        <v>9702424</v>
      </c>
      <c r="P8" s="1">
        <v>9835990</v>
      </c>
      <c r="Q8" s="1">
        <v>8932669</v>
      </c>
      <c r="R8" s="1">
        <v>9439744</v>
      </c>
      <c r="S8" s="1">
        <v>5231405</v>
      </c>
      <c r="T8" s="1">
        <v>126027539</v>
      </c>
      <c r="U8">
        <v>1</v>
      </c>
      <c r="V8" t="s">
        <v>32</v>
      </c>
      <c r="W8" t="s">
        <v>33</v>
      </c>
      <c r="X8">
        <v>150790</v>
      </c>
    </row>
    <row r="9" spans="1:24" x14ac:dyDescent="0.25">
      <c r="A9">
        <v>1</v>
      </c>
      <c r="B9" t="s">
        <v>28</v>
      </c>
      <c r="C9">
        <v>1</v>
      </c>
      <c r="D9">
        <v>150790</v>
      </c>
      <c r="E9" t="s">
        <v>29</v>
      </c>
      <c r="F9" t="s">
        <v>36</v>
      </c>
      <c r="G9" t="s">
        <v>31</v>
      </c>
      <c r="H9" s="1">
        <v>6502580</v>
      </c>
      <c r="I9" s="1">
        <v>5177204</v>
      </c>
      <c r="J9" s="1">
        <v>4934964</v>
      </c>
      <c r="K9" s="1">
        <v>7042900</v>
      </c>
      <c r="L9" s="1">
        <v>5892063</v>
      </c>
      <c r="M9" s="1">
        <v>5369454</v>
      </c>
      <c r="N9" s="1">
        <v>6157902</v>
      </c>
      <c r="O9" s="1">
        <v>7233214</v>
      </c>
      <c r="P9" s="1">
        <v>8867460</v>
      </c>
      <c r="Q9" s="1">
        <v>5468912</v>
      </c>
      <c r="R9" s="1">
        <v>5654700</v>
      </c>
      <c r="S9" s="1">
        <v>5437729</v>
      </c>
      <c r="T9" s="1">
        <v>73739082</v>
      </c>
      <c r="U9">
        <v>23</v>
      </c>
      <c r="V9" t="s">
        <v>32</v>
      </c>
      <c r="W9" t="s">
        <v>33</v>
      </c>
      <c r="X9">
        <v>150790</v>
      </c>
    </row>
    <row r="10" spans="1:24" x14ac:dyDescent="0.25">
      <c r="A10">
        <v>1</v>
      </c>
      <c r="B10" t="s">
        <v>28</v>
      </c>
      <c r="C10">
        <v>1</v>
      </c>
      <c r="D10">
        <v>150790</v>
      </c>
      <c r="E10" t="s">
        <v>29</v>
      </c>
      <c r="F10" t="s">
        <v>37</v>
      </c>
      <c r="G10" t="s">
        <v>31</v>
      </c>
      <c r="H10" s="1">
        <v>5073853</v>
      </c>
      <c r="I10" s="1">
        <v>5903663</v>
      </c>
      <c r="J10" s="1">
        <v>12231200</v>
      </c>
      <c r="K10" s="1">
        <v>9213093</v>
      </c>
      <c r="L10" s="1">
        <v>13954855</v>
      </c>
      <c r="M10" s="1">
        <v>14670066</v>
      </c>
      <c r="N10" s="1">
        <v>14849333</v>
      </c>
      <c r="O10" s="1">
        <v>15988208</v>
      </c>
      <c r="P10" s="1">
        <v>15097544</v>
      </c>
      <c r="Q10" s="1">
        <v>13048309</v>
      </c>
      <c r="R10" s="1">
        <v>12547627</v>
      </c>
      <c r="S10" s="1">
        <v>22118703</v>
      </c>
      <c r="T10" s="1">
        <v>154696454</v>
      </c>
      <c r="U10">
        <v>-6</v>
      </c>
      <c r="V10" t="s">
        <v>32</v>
      </c>
      <c r="W10" t="s">
        <v>33</v>
      </c>
      <c r="X10">
        <v>150790</v>
      </c>
    </row>
    <row r="11" spans="1:24" x14ac:dyDescent="0.25">
      <c r="A11">
        <v>1</v>
      </c>
      <c r="B11" t="s">
        <v>28</v>
      </c>
      <c r="C11">
        <v>1</v>
      </c>
      <c r="D11">
        <v>150790</v>
      </c>
      <c r="E11" t="s">
        <v>29</v>
      </c>
      <c r="F11" t="s">
        <v>38</v>
      </c>
      <c r="G11" t="s">
        <v>31</v>
      </c>
      <c r="H11" s="1">
        <v>20239705</v>
      </c>
      <c r="I11" s="1">
        <v>27330519</v>
      </c>
      <c r="J11" s="1">
        <v>21770375</v>
      </c>
      <c r="K11" s="1">
        <v>24637312</v>
      </c>
      <c r="L11" s="1">
        <v>22029201</v>
      </c>
      <c r="M11" s="1">
        <v>24887707</v>
      </c>
      <c r="N11" s="1">
        <v>21483132</v>
      </c>
      <c r="O11" s="1">
        <v>15328507</v>
      </c>
      <c r="P11" s="1">
        <v>11580012</v>
      </c>
      <c r="T11" s="1">
        <v>189286470</v>
      </c>
      <c r="U11">
        <v>-24</v>
      </c>
      <c r="V11" t="s">
        <v>32</v>
      </c>
      <c r="W11" t="s">
        <v>33</v>
      </c>
      <c r="X11">
        <v>150790</v>
      </c>
    </row>
    <row r="12" spans="1:24" x14ac:dyDescent="0.25">
      <c r="A12">
        <v>1</v>
      </c>
      <c r="B12" t="s">
        <v>28</v>
      </c>
      <c r="C12">
        <v>2</v>
      </c>
      <c r="D12">
        <v>150710</v>
      </c>
      <c r="E12" t="s">
        <v>39</v>
      </c>
      <c r="F12" t="s">
        <v>30</v>
      </c>
      <c r="G12" t="s">
        <v>40</v>
      </c>
      <c r="H12" s="1">
        <v>44880.9</v>
      </c>
      <c r="I12" s="1">
        <v>162790</v>
      </c>
      <c r="J12" s="1">
        <v>130436.6</v>
      </c>
      <c r="K12" s="1">
        <v>87695.3</v>
      </c>
      <c r="L12" s="1">
        <v>145965.9</v>
      </c>
      <c r="M12" s="1">
        <v>64082.2</v>
      </c>
      <c r="N12" s="1">
        <v>64323.6</v>
      </c>
      <c r="O12" s="1">
        <v>76058.100000000006</v>
      </c>
      <c r="P12" s="1">
        <v>68228.7</v>
      </c>
      <c r="Q12" s="1">
        <v>64028.6</v>
      </c>
      <c r="R12" s="1">
        <v>64746.400000000001</v>
      </c>
      <c r="S12" s="1">
        <v>94061.2</v>
      </c>
      <c r="T12" s="1">
        <v>1067297.5</v>
      </c>
      <c r="U12">
        <v>-10</v>
      </c>
      <c r="V12" t="s">
        <v>32</v>
      </c>
      <c r="W12" t="s">
        <v>33</v>
      </c>
      <c r="X12">
        <v>150710</v>
      </c>
    </row>
    <row r="13" spans="1:24" x14ac:dyDescent="0.25">
      <c r="A13">
        <v>1</v>
      </c>
      <c r="B13" t="s">
        <v>28</v>
      </c>
      <c r="C13">
        <v>2</v>
      </c>
      <c r="D13">
        <v>150710</v>
      </c>
      <c r="E13" t="s">
        <v>39</v>
      </c>
      <c r="F13" t="s">
        <v>34</v>
      </c>
      <c r="G13" t="s">
        <v>40</v>
      </c>
      <c r="H13" s="1">
        <v>135825.29999999999</v>
      </c>
      <c r="I13" s="1">
        <v>103023.7</v>
      </c>
      <c r="J13" s="1">
        <v>61031.199999999997</v>
      </c>
      <c r="K13" s="1">
        <v>49357.5</v>
      </c>
      <c r="L13" s="1">
        <v>24087.1</v>
      </c>
      <c r="M13" s="1">
        <v>33728.1</v>
      </c>
      <c r="N13" s="1">
        <v>6413.8</v>
      </c>
      <c r="O13" s="1">
        <v>10547.1</v>
      </c>
      <c r="P13" s="1">
        <v>7781.3</v>
      </c>
      <c r="Q13" s="1">
        <v>15944.9</v>
      </c>
      <c r="R13" s="1">
        <v>93683.8</v>
      </c>
      <c r="S13" s="1">
        <v>62172.2</v>
      </c>
      <c r="T13" s="1">
        <v>603596</v>
      </c>
      <c r="U13">
        <v>-26</v>
      </c>
      <c r="V13" t="s">
        <v>32</v>
      </c>
      <c r="W13" t="s">
        <v>33</v>
      </c>
      <c r="X13">
        <v>150710</v>
      </c>
    </row>
    <row r="14" spans="1:24" x14ac:dyDescent="0.25">
      <c r="A14">
        <v>1</v>
      </c>
      <c r="B14" t="s">
        <v>28</v>
      </c>
      <c r="C14">
        <v>2</v>
      </c>
      <c r="D14">
        <v>150710</v>
      </c>
      <c r="E14" t="s">
        <v>39</v>
      </c>
      <c r="F14" t="s">
        <v>35</v>
      </c>
      <c r="G14" t="s">
        <v>40</v>
      </c>
      <c r="H14" s="1">
        <v>110973.5</v>
      </c>
      <c r="I14" s="1">
        <v>82776.100000000006</v>
      </c>
      <c r="J14" s="1">
        <v>114928.3</v>
      </c>
      <c r="K14" s="1">
        <v>61169.5</v>
      </c>
      <c r="L14" s="1">
        <v>26978</v>
      </c>
      <c r="M14" s="1">
        <v>25797.1</v>
      </c>
      <c r="N14" s="1">
        <v>45374.6</v>
      </c>
      <c r="O14" s="1">
        <v>15946.5</v>
      </c>
      <c r="P14" s="1">
        <v>10439.6</v>
      </c>
      <c r="Q14" s="1">
        <v>1536.3</v>
      </c>
      <c r="R14" s="1">
        <v>1104.9000000000001</v>
      </c>
      <c r="S14" s="1">
        <v>10360.1</v>
      </c>
      <c r="T14" s="1">
        <v>507384.3</v>
      </c>
      <c r="U14">
        <v>-35</v>
      </c>
      <c r="V14" t="s">
        <v>32</v>
      </c>
      <c r="W14" t="s">
        <v>33</v>
      </c>
      <c r="X14">
        <v>150710</v>
      </c>
    </row>
    <row r="15" spans="1:24" x14ac:dyDescent="0.25">
      <c r="A15">
        <v>1</v>
      </c>
      <c r="B15" t="s">
        <v>28</v>
      </c>
      <c r="C15">
        <v>2</v>
      </c>
      <c r="D15">
        <v>150710</v>
      </c>
      <c r="E15" t="s">
        <v>39</v>
      </c>
      <c r="F15" t="s">
        <v>36</v>
      </c>
      <c r="G15" t="s">
        <v>40</v>
      </c>
      <c r="H15">
        <v>202.3</v>
      </c>
      <c r="I15" s="1">
        <v>6410.5</v>
      </c>
      <c r="J15">
        <v>607.29999999999995</v>
      </c>
      <c r="K15" s="1">
        <v>20269.2</v>
      </c>
      <c r="L15" s="1">
        <v>16538.5</v>
      </c>
      <c r="M15" s="1">
        <v>12721</v>
      </c>
      <c r="N15" s="1">
        <v>10552</v>
      </c>
      <c r="O15" s="1">
        <v>4495.1000000000004</v>
      </c>
      <c r="P15" s="1">
        <v>3651.7</v>
      </c>
      <c r="Q15">
        <v>235.9</v>
      </c>
      <c r="R15">
        <v>355.2</v>
      </c>
      <c r="S15">
        <v>171.9</v>
      </c>
      <c r="T15" s="1">
        <v>76210.7</v>
      </c>
      <c r="U15">
        <v>-19</v>
      </c>
      <c r="V15" t="s">
        <v>32</v>
      </c>
      <c r="W15" t="s">
        <v>33</v>
      </c>
      <c r="X15">
        <v>150710</v>
      </c>
    </row>
    <row r="16" spans="1:24" x14ac:dyDescent="0.25">
      <c r="A16">
        <v>1</v>
      </c>
      <c r="B16" t="s">
        <v>28</v>
      </c>
      <c r="C16">
        <v>2</v>
      </c>
      <c r="D16">
        <v>150710</v>
      </c>
      <c r="E16" t="s">
        <v>39</v>
      </c>
      <c r="F16" t="s">
        <v>37</v>
      </c>
      <c r="G16" t="s">
        <v>40</v>
      </c>
      <c r="H16">
        <v>27.8</v>
      </c>
      <c r="I16">
        <v>335.3</v>
      </c>
      <c r="J16" s="1">
        <v>32386.3</v>
      </c>
      <c r="K16">
        <v>700.8</v>
      </c>
      <c r="L16" s="1">
        <v>28500.5</v>
      </c>
      <c r="M16" s="1">
        <v>37461.4</v>
      </c>
      <c r="N16" s="1">
        <v>29070.3</v>
      </c>
      <c r="O16" s="1">
        <v>12795.2</v>
      </c>
      <c r="P16" s="1">
        <v>12143.6</v>
      </c>
      <c r="Q16">
        <v>372.6</v>
      </c>
      <c r="R16" s="1">
        <v>45579.8</v>
      </c>
      <c r="S16" s="1">
        <v>104483.4</v>
      </c>
      <c r="T16" s="1">
        <v>303857</v>
      </c>
      <c r="U16">
        <v>-5</v>
      </c>
      <c r="V16" t="s">
        <v>32</v>
      </c>
      <c r="W16" t="s">
        <v>33</v>
      </c>
      <c r="X16">
        <v>150710</v>
      </c>
    </row>
    <row r="17" spans="1:24" x14ac:dyDescent="0.25">
      <c r="A17">
        <v>1</v>
      </c>
      <c r="B17" t="s">
        <v>28</v>
      </c>
      <c r="C17">
        <v>2</v>
      </c>
      <c r="D17">
        <v>150710</v>
      </c>
      <c r="E17" t="s">
        <v>39</v>
      </c>
      <c r="F17" t="s">
        <v>38</v>
      </c>
      <c r="G17" t="s">
        <v>40</v>
      </c>
      <c r="H17" s="1">
        <v>192347.3</v>
      </c>
      <c r="I17" s="1">
        <v>108790.3</v>
      </c>
      <c r="J17" s="1">
        <v>133959.79999999999</v>
      </c>
      <c r="K17" s="1">
        <v>134313.9</v>
      </c>
      <c r="L17" s="1">
        <v>119899.2</v>
      </c>
      <c r="M17" s="1">
        <v>17446.2</v>
      </c>
      <c r="N17" s="1">
        <v>6975.4</v>
      </c>
      <c r="O17" s="1">
        <v>21286.799999999999</v>
      </c>
      <c r="P17" s="1">
        <v>5820.3</v>
      </c>
      <c r="T17" s="1">
        <v>740839.1</v>
      </c>
      <c r="U17">
        <v>-73</v>
      </c>
      <c r="V17" t="s">
        <v>32</v>
      </c>
      <c r="W17" t="s">
        <v>33</v>
      </c>
      <c r="X17">
        <v>150710</v>
      </c>
    </row>
    <row r="18" spans="1:24" x14ac:dyDescent="0.25">
      <c r="A18" t="s">
        <v>41</v>
      </c>
    </row>
    <row r="19" spans="1:24" x14ac:dyDescent="0.25">
      <c r="A19" t="s">
        <v>42</v>
      </c>
    </row>
    <row r="20" spans="1:24" x14ac:dyDescent="0.25">
      <c r="A20" t="s">
        <v>43</v>
      </c>
    </row>
    <row r="21" spans="1:24" x14ac:dyDescent="0.25">
      <c r="A21" t="s">
        <v>44</v>
      </c>
    </row>
    <row r="23" spans="1:24" x14ac:dyDescent="0.25">
      <c r="G23">
        <v>2020</v>
      </c>
      <c r="H23">
        <f>((H6*2.204622)+(H12*2204.622)/1000)</f>
        <v>25922763.170299802</v>
      </c>
      <c r="I23">
        <f t="shared" ref="I23:S23" si="0">((I6*2.204622)+(I12*2204.622)/1000)</f>
        <v>36486319.934862003</v>
      </c>
      <c r="J23">
        <f t="shared" si="0"/>
        <v>32596587.613447201</v>
      </c>
      <c r="K23">
        <f t="shared" si="0"/>
        <v>36502716.370062597</v>
      </c>
      <c r="L23">
        <f t="shared" si="0"/>
        <v>35649337.176721804</v>
      </c>
      <c r="M23">
        <f t="shared" si="0"/>
        <v>25680171.636050403</v>
      </c>
      <c r="N23">
        <f t="shared" si="0"/>
        <v>22501555.132165201</v>
      </c>
      <c r="O23">
        <f t="shared" si="0"/>
        <v>32398774.597564202</v>
      </c>
      <c r="P23">
        <f t="shared" si="0"/>
        <v>27688642.905155398</v>
      </c>
      <c r="Q23">
        <f t="shared" si="0"/>
        <v>42868662.264439203</v>
      </c>
      <c r="R23">
        <f t="shared" si="0"/>
        <v>31927263.933322802</v>
      </c>
      <c r="S23">
        <f t="shared" si="0"/>
        <v>26744230.239728399</v>
      </c>
    </row>
    <row r="24" spans="1:24" x14ac:dyDescent="0.25">
      <c r="G24">
        <v>2021</v>
      </c>
      <c r="H24">
        <f t="shared" ref="H24:S24" si="1">((H7*2.204622)+(H13*2204.622)/1000)</f>
        <v>28086371.264460601</v>
      </c>
      <c r="I24">
        <f t="shared" si="1"/>
        <v>27346765.557749402</v>
      </c>
      <c r="J24">
        <f t="shared" si="1"/>
        <v>21042482.4997884</v>
      </c>
      <c r="K24">
        <f t="shared" si="1"/>
        <v>19844149.849964999</v>
      </c>
      <c r="L24">
        <f t="shared" si="1"/>
        <v>17371647.758140203</v>
      </c>
      <c r="M24">
        <f t="shared" si="1"/>
        <v>16572143.7944622</v>
      </c>
      <c r="N24">
        <f t="shared" si="1"/>
        <v>15544709.914683601</v>
      </c>
      <c r="O24">
        <f t="shared" si="1"/>
        <v>16480272.786478201</v>
      </c>
      <c r="P24">
        <f t="shared" si="1"/>
        <v>16159674.8915406</v>
      </c>
      <c r="Q24">
        <f t="shared" si="1"/>
        <v>21490617.556963801</v>
      </c>
      <c r="R24">
        <f t="shared" si="1"/>
        <v>22419338.604843602</v>
      </c>
      <c r="S24">
        <f t="shared" si="1"/>
        <v>27145257.595394403</v>
      </c>
    </row>
    <row r="25" spans="1:24" x14ac:dyDescent="0.25">
      <c r="G25">
        <v>2022</v>
      </c>
      <c r="H25">
        <f t="shared" ref="H25:S25" si="2">((H8*2.204622)+(H14*2204.622)/1000)</f>
        <v>39400377.169041</v>
      </c>
      <c r="I25">
        <f t="shared" si="2"/>
        <v>51836532.144226201</v>
      </c>
      <c r="J25">
        <f t="shared" si="2"/>
        <v>22472940.681840602</v>
      </c>
      <c r="K25">
        <f t="shared" si="2"/>
        <v>22423099.028589003</v>
      </c>
      <c r="L25">
        <f t="shared" si="2"/>
        <v>13971708.149364002</v>
      </c>
      <c r="M25">
        <f t="shared" si="2"/>
        <v>15791831.065294201</v>
      </c>
      <c r="N25">
        <f t="shared" si="2"/>
        <v>17866039.7531952</v>
      </c>
      <c r="O25">
        <f t="shared" si="2"/>
        <v>21425333.408451002</v>
      </c>
      <c r="P25">
        <f t="shared" si="2"/>
        <v>21707655.317611203</v>
      </c>
      <c r="Q25">
        <f t="shared" si="2"/>
        <v>19696545.556896601</v>
      </c>
      <c r="R25">
        <f t="shared" si="2"/>
        <v>20813503.183615804</v>
      </c>
      <c r="S25">
        <f t="shared" si="2"/>
        <v>11556110.6582922</v>
      </c>
    </row>
    <row r="26" spans="1:24" x14ac:dyDescent="0.25">
      <c r="G26">
        <v>2023</v>
      </c>
      <c r="H26">
        <f t="shared" ref="H26:S26" si="3">((H9*2.204622)+(H15*2204.622)/1000)</f>
        <v>14336176.919790601</v>
      </c>
      <c r="I26">
        <f t="shared" si="3"/>
        <v>11427910.566219</v>
      </c>
      <c r="J26">
        <f t="shared" si="3"/>
        <v>10881069.070548601</v>
      </c>
      <c r="K26">
        <f t="shared" si="3"/>
        <v>15571618.2080424</v>
      </c>
      <c r="L26">
        <f t="shared" si="3"/>
        <v>13026232.856132999</v>
      </c>
      <c r="M26">
        <f t="shared" si="3"/>
        <v>11865661.412850002</v>
      </c>
      <c r="N26">
        <f t="shared" si="3"/>
        <v>13599109.394388001</v>
      </c>
      <c r="O26">
        <f t="shared" si="3"/>
        <v>15956412.711460199</v>
      </c>
      <c r="P26">
        <f t="shared" si="3"/>
        <v>19557448.018277403</v>
      </c>
      <c r="Q26">
        <f t="shared" si="3"/>
        <v>12057403.781593801</v>
      </c>
      <c r="R26">
        <f t="shared" si="3"/>
        <v>12467259.105134401</v>
      </c>
      <c r="S26">
        <f t="shared" si="3"/>
        <v>11988515.957959801</v>
      </c>
    </row>
    <row r="27" spans="1:24" x14ac:dyDescent="0.25">
      <c r="G27">
        <v>2024</v>
      </c>
      <c r="H27">
        <f t="shared" ref="H27:S27" si="4">((H10*2.204622)+(H16*2204.622)/1000)</f>
        <v>11185989.2370576</v>
      </c>
      <c r="I27">
        <f t="shared" si="4"/>
        <v>13016084.540142599</v>
      </c>
      <c r="J27">
        <f t="shared" si="4"/>
        <v>27036572.155878603</v>
      </c>
      <c r="K27">
        <f t="shared" si="4"/>
        <v>20312932.5149436</v>
      </c>
      <c r="L27">
        <f t="shared" si="4"/>
        <v>30828013.169121001</v>
      </c>
      <c r="M27">
        <f t="shared" si="4"/>
        <v>32424538.471642803</v>
      </c>
      <c r="N27">
        <f t="shared" si="4"/>
        <v>32801255.240052599</v>
      </c>
      <c r="O27">
        <f t="shared" si="4"/>
        <v>35276163.676790401</v>
      </c>
      <c r="P27">
        <f t="shared" si="4"/>
        <v>33311149.6960872</v>
      </c>
      <c r="Q27">
        <f t="shared" si="4"/>
        <v>28767410.526355203</v>
      </c>
      <c r="R27">
        <f t="shared" si="4"/>
        <v>27763260.7618296</v>
      </c>
      <c r="S27">
        <f t="shared" si="4"/>
        <v>48993725.647540808</v>
      </c>
    </row>
    <row r="28" spans="1:24" x14ac:dyDescent="0.25">
      <c r="G28">
        <v>2025</v>
      </c>
      <c r="H28">
        <f t="shared" ref="H28:S28" si="5">((H11*2.204622)+(H17*2204.622)/1000)</f>
        <v>45044952.005730599</v>
      </c>
      <c r="I28">
        <f t="shared" si="5"/>
        <v>60493304.947584607</v>
      </c>
      <c r="J28">
        <f t="shared" si="5"/>
        <v>48290778.395445608</v>
      </c>
      <c r="K28">
        <f t="shared" si="5"/>
        <v>54612071.434909806</v>
      </c>
      <c r="L28">
        <f t="shared" si="5"/>
        <v>48830393.581124403</v>
      </c>
      <c r="M28">
        <f t="shared" si="5"/>
        <v>54906448.658090405</v>
      </c>
      <c r="N28">
        <f t="shared" si="5"/>
        <v>47377563.556402802</v>
      </c>
      <c r="O28">
        <f t="shared" si="5"/>
        <v>33840493.1069436</v>
      </c>
      <c r="P28">
        <f t="shared" si="5"/>
        <v>25542380.776890598</v>
      </c>
      <c r="Q28">
        <f t="shared" si="5"/>
        <v>0</v>
      </c>
      <c r="R28">
        <f t="shared" si="5"/>
        <v>0</v>
      </c>
      <c r="S28">
        <f t="shared" si="5"/>
        <v>0</v>
      </c>
    </row>
    <row r="30" spans="1:24" x14ac:dyDescent="0.25">
      <c r="P30">
        <f>P17*2.204622</f>
        <v>12831.561426600001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Standard Query_44780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Tore Alden</dc:creator>
  <cp:lastModifiedBy>Tore Alden</cp:lastModifiedBy>
  <dcterms:created xsi:type="dcterms:W3CDTF">2025-12-30T11:30:28Z</dcterms:created>
  <dcterms:modified xsi:type="dcterms:W3CDTF">2025-12-30T12:31:47Z</dcterms:modified>
</cp:coreProperties>
</file>