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torem\Dropbox\RLC Documents\LLM Model and Documents\Projects\RLC-Agent\Models\"/>
    </mc:Choice>
  </mc:AlternateContent>
  <xr:revisionPtr revIDLastSave="0" documentId="13_ncr:1_{4263C436-9531-44F6-9A93-4A15CD593808}" xr6:coauthVersionLast="47" xr6:coauthVersionMax="47" xr10:uidLastSave="{00000000-0000-0000-0000-000000000000}"/>
  <bookViews>
    <workbookView xWindow="390" yWindow="390" windowWidth="25875" windowHeight="13500" xr2:uid="{043D2ADA-A7EB-413E-8C83-AD2B8ED6C80F}"/>
  </bookViews>
  <sheets>
    <sheet name="Standard Query_4478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3" i="1" l="1"/>
  <c r="Q23" i="1"/>
  <c r="R23" i="1"/>
  <c r="S23" i="1"/>
  <c r="P24" i="1"/>
  <c r="Q24" i="1"/>
  <c r="R24" i="1"/>
  <c r="S24" i="1"/>
  <c r="P25" i="1"/>
  <c r="Q25" i="1"/>
  <c r="R25" i="1"/>
  <c r="S25" i="1"/>
  <c r="P26" i="1"/>
  <c r="Q26" i="1"/>
  <c r="R26" i="1"/>
  <c r="S26" i="1"/>
  <c r="P27" i="1"/>
  <c r="Q27" i="1"/>
  <c r="R27" i="1"/>
  <c r="S27" i="1"/>
  <c r="H23" i="1"/>
  <c r="I23" i="1"/>
  <c r="J23" i="1"/>
  <c r="K23" i="1"/>
  <c r="L23" i="1"/>
  <c r="M23" i="1"/>
  <c r="N23" i="1"/>
  <c r="O23" i="1"/>
  <c r="H24" i="1"/>
  <c r="I24" i="1"/>
  <c r="J24" i="1"/>
  <c r="K24" i="1"/>
  <c r="L24" i="1"/>
  <c r="M24" i="1"/>
  <c r="N24" i="1"/>
  <c r="O24" i="1"/>
  <c r="H25" i="1"/>
  <c r="I25" i="1"/>
  <c r="J25" i="1"/>
  <c r="K25" i="1"/>
  <c r="L25" i="1"/>
  <c r="M25" i="1"/>
  <c r="N25" i="1"/>
  <c r="O25" i="1"/>
  <c r="H26" i="1"/>
  <c r="I26" i="1"/>
  <c r="J26" i="1"/>
  <c r="K26" i="1"/>
  <c r="L26" i="1"/>
  <c r="M26" i="1"/>
  <c r="N26" i="1"/>
  <c r="O26" i="1"/>
  <c r="H27" i="1"/>
  <c r="I27" i="1"/>
  <c r="J27" i="1"/>
  <c r="K27" i="1"/>
  <c r="L27" i="1"/>
  <c r="M27" i="1"/>
  <c r="N27" i="1"/>
  <c r="O27" i="1"/>
  <c r="H28" i="1"/>
  <c r="I28" i="1"/>
  <c r="J28" i="1"/>
  <c r="K28" i="1"/>
  <c r="L28" i="1"/>
  <c r="M28" i="1"/>
  <c r="N28" i="1"/>
  <c r="O28" i="1"/>
  <c r="P28" i="1"/>
  <c r="P30" i="1"/>
</calcChain>
</file>

<file path=xl/sharedStrings.xml><?xml version="1.0" encoding="utf-8"?>
<sst xmlns="http://schemas.openxmlformats.org/spreadsheetml/2006/main" count="135" uniqueCount="63">
  <si>
    <t>Data generated on Tuesday, December 30, 2025 at 6:23:44 AM EST</t>
  </si>
  <si>
    <t>Area/Partners of Destination</t>
  </si>
  <si>
    <t>January 2020 - December 2025</t>
  </si>
  <si>
    <t>And Commodities Exported</t>
  </si>
  <si>
    <t>Quantities</t>
  </si>
  <si>
    <t>January</t>
  </si>
  <si>
    <t>February</t>
  </si>
  <si>
    <t>March</t>
  </si>
  <si>
    <t>April</t>
  </si>
  <si>
    <t>May</t>
  </si>
  <si>
    <t>June</t>
  </si>
  <si>
    <t>July</t>
  </si>
  <si>
    <t>August</t>
  </si>
  <si>
    <t>September</t>
  </si>
  <si>
    <t>October</t>
  </si>
  <si>
    <t>November</t>
  </si>
  <si>
    <t>December</t>
  </si>
  <si>
    <t>Total</t>
  </si>
  <si>
    <t>Partner</t>
  </si>
  <si>
    <t>HS Code</t>
  </si>
  <si>
    <t>Product</t>
  </si>
  <si>
    <t>Year</t>
  </si>
  <si>
    <t>UOM</t>
  </si>
  <si>
    <t>Qty</t>
  </si>
  <si>
    <t>Period/Period %  Change (Qty)</t>
  </si>
  <si>
    <t>Reporter Code</t>
  </si>
  <si>
    <t>Partner Code</t>
  </si>
  <si>
    <t>Product Code</t>
  </si>
  <si>
    <t>World Total</t>
  </si>
  <si>
    <t>Soybean Oil, Refined</t>
  </si>
  <si>
    <t>2020-2020</t>
  </si>
  <si>
    <t>KG</t>
  </si>
  <si>
    <t>US</t>
  </si>
  <si>
    <t>R00</t>
  </si>
  <si>
    <t>2021-2021</t>
  </si>
  <si>
    <t>2022-2022</t>
  </si>
  <si>
    <t>2023-2023</t>
  </si>
  <si>
    <t>2024-2024</t>
  </si>
  <si>
    <t>2025-2025</t>
  </si>
  <si>
    <t>Soybean Oil, Crude</t>
  </si>
  <si>
    <t>MT</t>
  </si>
  <si>
    <t>Notes:</t>
  </si>
  <si>
    <t>1. Data Source: U.S. Census Bureau Trade Data</t>
  </si>
  <si>
    <t>2. Users should use cautious interpretation on QUANTITY reports using mixed units of measure. QUANTITY line items will only include statistics on the units of measure that are equal to, or are able to be converted to, the assigned unit of measure of the grouped commodities.</t>
  </si>
  <si>
    <t>3. Product Group : Harmonized</t>
  </si>
  <si>
    <t>Jan</t>
  </si>
  <si>
    <t>Feb</t>
  </si>
  <si>
    <t>Mar</t>
  </si>
  <si>
    <t>Apr</t>
  </si>
  <si>
    <t>Jun</t>
  </si>
  <si>
    <t>Jul</t>
  </si>
  <si>
    <t>Aug</t>
  </si>
  <si>
    <t>Sep</t>
  </si>
  <si>
    <t>Oct</t>
  </si>
  <si>
    <t>Nov</t>
  </si>
  <si>
    <t>Dec</t>
  </si>
  <si>
    <t>Census</t>
  </si>
  <si>
    <t>Latest Line 290</t>
  </si>
  <si>
    <t>Latest Line 289</t>
  </si>
  <si>
    <t>First Try</t>
  </si>
  <si>
    <t>Line 290</t>
  </si>
  <si>
    <t>Line 289</t>
  </si>
  <si>
    <t>After 9 am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</si>
</sst>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4" fontId="0" fillId="0" borderId="0" xfId="0" applyNumberFormat="1"/>
    <xf numFmtId="38"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93804-4AC7-42CA-9D42-56850013B849}">
  <dimension ref="A1:X101"/>
  <sheetViews>
    <sheetView tabSelected="1" topLeftCell="A18" workbookViewId="0">
      <selection activeCell="F31" sqref="F31:K101"/>
    </sheetView>
  </sheetViews>
  <sheetFormatPr defaultRowHeight="15" x14ac:dyDescent="0.25"/>
  <cols>
    <col min="5" max="5" width="19.28515625" bestFit="1" customWidth="1"/>
    <col min="8" max="19" width="12.7109375" bestFit="1" customWidth="1"/>
    <col min="20" max="20" width="13.85546875" bestFit="1" customWidth="1"/>
  </cols>
  <sheetData>
    <row r="1" spans="1:24" x14ac:dyDescent="0.25">
      <c r="A1" t="s">
        <v>0</v>
      </c>
    </row>
    <row r="2" spans="1:24" x14ac:dyDescent="0.25">
      <c r="A2" t="s">
        <v>1</v>
      </c>
      <c r="F2" t="s">
        <v>2</v>
      </c>
    </row>
    <row r="3" spans="1:24" x14ac:dyDescent="0.25">
      <c r="A3" t="s">
        <v>3</v>
      </c>
      <c r="F3" t="s">
        <v>4</v>
      </c>
    </row>
    <row r="4" spans="1:24" x14ac:dyDescent="0.25">
      <c r="H4" t="s">
        <v>5</v>
      </c>
      <c r="I4" t="s">
        <v>6</v>
      </c>
      <c r="J4" t="s">
        <v>7</v>
      </c>
      <c r="K4" t="s">
        <v>8</v>
      </c>
      <c r="L4" t="s">
        <v>9</v>
      </c>
      <c r="M4" t="s">
        <v>10</v>
      </c>
      <c r="N4" t="s">
        <v>11</v>
      </c>
      <c r="O4" t="s">
        <v>12</v>
      </c>
      <c r="P4" t="s">
        <v>13</v>
      </c>
      <c r="Q4" t="s">
        <v>14</v>
      </c>
      <c r="R4" t="s">
        <v>15</v>
      </c>
      <c r="S4" t="s">
        <v>16</v>
      </c>
      <c r="T4" t="s">
        <v>17</v>
      </c>
    </row>
    <row r="5" spans="1:24" x14ac:dyDescent="0.25">
      <c r="B5" t="s">
        <v>18</v>
      </c>
      <c r="D5" t="s">
        <v>19</v>
      </c>
      <c r="E5" t="s">
        <v>20</v>
      </c>
      <c r="F5" t="s">
        <v>21</v>
      </c>
      <c r="G5" t="s">
        <v>22</v>
      </c>
      <c r="H5" t="s">
        <v>23</v>
      </c>
      <c r="I5" t="s">
        <v>23</v>
      </c>
      <c r="J5" t="s">
        <v>23</v>
      </c>
      <c r="K5" t="s">
        <v>23</v>
      </c>
      <c r="L5" t="s">
        <v>23</v>
      </c>
      <c r="M5" t="s">
        <v>23</v>
      </c>
      <c r="N5" t="s">
        <v>23</v>
      </c>
      <c r="O5" t="s">
        <v>23</v>
      </c>
      <c r="P5" t="s">
        <v>23</v>
      </c>
      <c r="Q5" t="s">
        <v>23</v>
      </c>
      <c r="R5" t="s">
        <v>23</v>
      </c>
      <c r="S5" t="s">
        <v>23</v>
      </c>
      <c r="T5" t="s">
        <v>23</v>
      </c>
      <c r="U5" t="s">
        <v>24</v>
      </c>
      <c r="V5" t="s">
        <v>25</v>
      </c>
      <c r="W5" t="s">
        <v>26</v>
      </c>
      <c r="X5" t="s">
        <v>27</v>
      </c>
    </row>
    <row r="6" spans="1:24" x14ac:dyDescent="0.25">
      <c r="A6">
        <v>1</v>
      </c>
      <c r="B6" t="s">
        <v>28</v>
      </c>
      <c r="C6">
        <v>1</v>
      </c>
      <c r="D6">
        <v>150790</v>
      </c>
      <c r="E6" t="s">
        <v>29</v>
      </c>
      <c r="F6" t="s">
        <v>30</v>
      </c>
      <c r="G6" t="s">
        <v>31</v>
      </c>
      <c r="H6" s="1">
        <v>11713490</v>
      </c>
      <c r="I6" s="1">
        <v>16387131</v>
      </c>
      <c r="J6" s="1">
        <v>14655131</v>
      </c>
      <c r="K6" s="1">
        <v>16469663</v>
      </c>
      <c r="L6" s="1">
        <v>16024306</v>
      </c>
      <c r="M6" s="1">
        <v>11584251</v>
      </c>
      <c r="N6" s="1">
        <v>10142213</v>
      </c>
      <c r="O6" s="1">
        <v>14619783</v>
      </c>
      <c r="P6" s="1">
        <v>12491132</v>
      </c>
      <c r="Q6" s="1">
        <v>19380875</v>
      </c>
      <c r="R6" s="1">
        <v>14417221</v>
      </c>
      <c r="S6" s="1">
        <v>12036921</v>
      </c>
      <c r="T6" s="1">
        <v>169922117</v>
      </c>
      <c r="U6">
        <v>-15</v>
      </c>
      <c r="V6" t="s">
        <v>32</v>
      </c>
      <c r="W6" t="s">
        <v>33</v>
      </c>
      <c r="X6">
        <v>150790</v>
      </c>
    </row>
    <row r="7" spans="1:24" x14ac:dyDescent="0.25">
      <c r="A7">
        <v>1</v>
      </c>
      <c r="B7" t="s">
        <v>28</v>
      </c>
      <c r="C7">
        <v>1</v>
      </c>
      <c r="D7">
        <v>150790</v>
      </c>
      <c r="E7" t="s">
        <v>29</v>
      </c>
      <c r="F7" t="s">
        <v>34</v>
      </c>
      <c r="G7" t="s">
        <v>31</v>
      </c>
      <c r="H7" s="1">
        <v>12603942</v>
      </c>
      <c r="I7" s="1">
        <v>12301264</v>
      </c>
      <c r="J7" s="1">
        <v>9483681</v>
      </c>
      <c r="K7" s="1">
        <v>8951800</v>
      </c>
      <c r="L7" s="1">
        <v>7855562</v>
      </c>
      <c r="M7" s="1">
        <v>7483272</v>
      </c>
      <c r="N7" s="1">
        <v>7044550</v>
      </c>
      <c r="O7" s="1">
        <v>7464781</v>
      </c>
      <c r="P7" s="1">
        <v>7322126</v>
      </c>
      <c r="Q7" s="1">
        <v>9732038</v>
      </c>
      <c r="R7" s="1">
        <v>10075560</v>
      </c>
      <c r="S7" s="1">
        <v>12250713</v>
      </c>
      <c r="T7" s="1">
        <v>112569289</v>
      </c>
      <c r="U7">
        <v>-2</v>
      </c>
      <c r="V7" t="s">
        <v>32</v>
      </c>
      <c r="W7" t="s">
        <v>33</v>
      </c>
      <c r="X7">
        <v>150790</v>
      </c>
    </row>
    <row r="8" spans="1:24" x14ac:dyDescent="0.25">
      <c r="A8">
        <v>1</v>
      </c>
      <c r="B8" t="s">
        <v>28</v>
      </c>
      <c r="C8">
        <v>1</v>
      </c>
      <c r="D8">
        <v>150790</v>
      </c>
      <c r="E8" t="s">
        <v>29</v>
      </c>
      <c r="F8" t="s">
        <v>35</v>
      </c>
      <c r="G8" t="s">
        <v>31</v>
      </c>
      <c r="H8" s="1">
        <v>17760742</v>
      </c>
      <c r="I8" s="1">
        <v>23429886</v>
      </c>
      <c r="J8" s="1">
        <v>10078629</v>
      </c>
      <c r="K8" s="1">
        <v>10109780</v>
      </c>
      <c r="L8" s="1">
        <v>6310484</v>
      </c>
      <c r="M8" s="1">
        <v>7137259</v>
      </c>
      <c r="N8" s="1">
        <v>8058527</v>
      </c>
      <c r="O8" s="1">
        <v>9702424</v>
      </c>
      <c r="P8" s="1">
        <v>9835990</v>
      </c>
      <c r="Q8" s="1">
        <v>8932669</v>
      </c>
      <c r="R8" s="1">
        <v>9439744</v>
      </c>
      <c r="S8" s="1">
        <v>5231405</v>
      </c>
      <c r="T8" s="1">
        <v>126027539</v>
      </c>
      <c r="U8">
        <v>1</v>
      </c>
      <c r="V8" t="s">
        <v>32</v>
      </c>
      <c r="W8" t="s">
        <v>33</v>
      </c>
      <c r="X8">
        <v>150790</v>
      </c>
    </row>
    <row r="9" spans="1:24" x14ac:dyDescent="0.25">
      <c r="A9">
        <v>1</v>
      </c>
      <c r="B9" t="s">
        <v>28</v>
      </c>
      <c r="C9">
        <v>1</v>
      </c>
      <c r="D9">
        <v>150790</v>
      </c>
      <c r="E9" t="s">
        <v>29</v>
      </c>
      <c r="F9" t="s">
        <v>36</v>
      </c>
      <c r="G9" t="s">
        <v>31</v>
      </c>
      <c r="H9" s="1">
        <v>6502580</v>
      </c>
      <c r="I9" s="1">
        <v>5177204</v>
      </c>
      <c r="J9" s="1">
        <v>4934964</v>
      </c>
      <c r="K9" s="1">
        <v>7042900</v>
      </c>
      <c r="L9" s="1">
        <v>5892063</v>
      </c>
      <c r="M9" s="1">
        <v>5369454</v>
      </c>
      <c r="N9" s="1">
        <v>6157902</v>
      </c>
      <c r="O9" s="1">
        <v>7233214</v>
      </c>
      <c r="P9" s="1">
        <v>8867460</v>
      </c>
      <c r="Q9" s="1">
        <v>5468912</v>
      </c>
      <c r="R9" s="1">
        <v>5654700</v>
      </c>
      <c r="S9" s="1">
        <v>5437729</v>
      </c>
      <c r="T9" s="1">
        <v>73739082</v>
      </c>
      <c r="U9">
        <v>23</v>
      </c>
      <c r="V9" t="s">
        <v>32</v>
      </c>
      <c r="W9" t="s">
        <v>33</v>
      </c>
      <c r="X9">
        <v>150790</v>
      </c>
    </row>
    <row r="10" spans="1:24" x14ac:dyDescent="0.25">
      <c r="A10">
        <v>1</v>
      </c>
      <c r="B10" t="s">
        <v>28</v>
      </c>
      <c r="C10">
        <v>1</v>
      </c>
      <c r="D10">
        <v>150790</v>
      </c>
      <c r="E10" t="s">
        <v>29</v>
      </c>
      <c r="F10" t="s">
        <v>37</v>
      </c>
      <c r="G10" t="s">
        <v>31</v>
      </c>
      <c r="H10" s="1">
        <v>5073853</v>
      </c>
      <c r="I10" s="1">
        <v>5903663</v>
      </c>
      <c r="J10" s="1">
        <v>12231200</v>
      </c>
      <c r="K10" s="1">
        <v>9213093</v>
      </c>
      <c r="L10" s="1">
        <v>13954855</v>
      </c>
      <c r="M10" s="1">
        <v>14670066</v>
      </c>
      <c r="N10" s="1">
        <v>14849333</v>
      </c>
      <c r="O10" s="1">
        <v>15988208</v>
      </c>
      <c r="P10" s="1">
        <v>15097544</v>
      </c>
      <c r="Q10" s="1">
        <v>13048309</v>
      </c>
      <c r="R10" s="1">
        <v>12547627</v>
      </c>
      <c r="S10" s="1">
        <v>22118703</v>
      </c>
      <c r="T10" s="1">
        <v>154696454</v>
      </c>
      <c r="U10">
        <v>-6</v>
      </c>
      <c r="V10" t="s">
        <v>32</v>
      </c>
      <c r="W10" t="s">
        <v>33</v>
      </c>
      <c r="X10">
        <v>150790</v>
      </c>
    </row>
    <row r="11" spans="1:24" x14ac:dyDescent="0.25">
      <c r="A11">
        <v>1</v>
      </c>
      <c r="B11" t="s">
        <v>28</v>
      </c>
      <c r="C11">
        <v>1</v>
      </c>
      <c r="D11">
        <v>150790</v>
      </c>
      <c r="E11" t="s">
        <v>29</v>
      </c>
      <c r="F11" t="s">
        <v>38</v>
      </c>
      <c r="G11" t="s">
        <v>31</v>
      </c>
      <c r="H11" s="1">
        <v>20239705</v>
      </c>
      <c r="I11" s="1">
        <v>27330519</v>
      </c>
      <c r="J11" s="1">
        <v>21770375</v>
      </c>
      <c r="K11" s="1">
        <v>24637312</v>
      </c>
      <c r="L11" s="1">
        <v>22029201</v>
      </c>
      <c r="M11" s="1">
        <v>24887707</v>
      </c>
      <c r="N11" s="1">
        <v>21483132</v>
      </c>
      <c r="O11" s="1">
        <v>15328507</v>
      </c>
      <c r="P11" s="1">
        <v>11580012</v>
      </c>
      <c r="T11" s="1">
        <v>189286470</v>
      </c>
      <c r="U11">
        <v>-24</v>
      </c>
      <c r="V11" t="s">
        <v>32</v>
      </c>
      <c r="W11" t="s">
        <v>33</v>
      </c>
      <c r="X11">
        <v>150790</v>
      </c>
    </row>
    <row r="12" spans="1:24" x14ac:dyDescent="0.25">
      <c r="A12">
        <v>1</v>
      </c>
      <c r="B12" t="s">
        <v>28</v>
      </c>
      <c r="C12">
        <v>2</v>
      </c>
      <c r="D12">
        <v>150710</v>
      </c>
      <c r="E12" t="s">
        <v>39</v>
      </c>
      <c r="F12" t="s">
        <v>30</v>
      </c>
      <c r="G12" t="s">
        <v>40</v>
      </c>
      <c r="H12" s="1">
        <v>44880.9</v>
      </c>
      <c r="I12" s="1">
        <v>162790</v>
      </c>
      <c r="J12" s="1">
        <v>130436.6</v>
      </c>
      <c r="K12" s="1">
        <v>87695.3</v>
      </c>
      <c r="L12" s="1">
        <v>145965.9</v>
      </c>
      <c r="M12" s="1">
        <v>64082.2</v>
      </c>
      <c r="N12" s="1">
        <v>64323.6</v>
      </c>
      <c r="O12" s="1">
        <v>76058.100000000006</v>
      </c>
      <c r="P12" s="1">
        <v>68228.7</v>
      </c>
      <c r="Q12" s="1">
        <v>64028.6</v>
      </c>
      <c r="R12" s="1">
        <v>64746.400000000001</v>
      </c>
      <c r="S12" s="1">
        <v>94061.2</v>
      </c>
      <c r="T12" s="1">
        <v>1067297.5</v>
      </c>
      <c r="U12">
        <v>-10</v>
      </c>
      <c r="V12" t="s">
        <v>32</v>
      </c>
      <c r="W12" t="s">
        <v>33</v>
      </c>
      <c r="X12">
        <v>150710</v>
      </c>
    </row>
    <row r="13" spans="1:24" x14ac:dyDescent="0.25">
      <c r="A13">
        <v>1</v>
      </c>
      <c r="B13" t="s">
        <v>28</v>
      </c>
      <c r="C13">
        <v>2</v>
      </c>
      <c r="D13">
        <v>150710</v>
      </c>
      <c r="E13" t="s">
        <v>39</v>
      </c>
      <c r="F13" t="s">
        <v>34</v>
      </c>
      <c r="G13" t="s">
        <v>40</v>
      </c>
      <c r="H13" s="1">
        <v>135825.29999999999</v>
      </c>
      <c r="I13" s="1">
        <v>103023.7</v>
      </c>
      <c r="J13" s="1">
        <v>61031.199999999997</v>
      </c>
      <c r="K13" s="1">
        <v>49357.5</v>
      </c>
      <c r="L13" s="1">
        <v>24087.1</v>
      </c>
      <c r="M13" s="1">
        <v>33728.1</v>
      </c>
      <c r="N13" s="1">
        <v>6413.8</v>
      </c>
      <c r="O13" s="1">
        <v>10547.1</v>
      </c>
      <c r="P13" s="1">
        <v>7781.3</v>
      </c>
      <c r="Q13" s="1">
        <v>15944.9</v>
      </c>
      <c r="R13" s="1">
        <v>93683.8</v>
      </c>
      <c r="S13" s="1">
        <v>62172.2</v>
      </c>
      <c r="T13" s="1">
        <v>603596</v>
      </c>
      <c r="U13">
        <v>-26</v>
      </c>
      <c r="V13" t="s">
        <v>32</v>
      </c>
      <c r="W13" t="s">
        <v>33</v>
      </c>
      <c r="X13">
        <v>150710</v>
      </c>
    </row>
    <row r="14" spans="1:24" x14ac:dyDescent="0.25">
      <c r="A14">
        <v>1</v>
      </c>
      <c r="B14" t="s">
        <v>28</v>
      </c>
      <c r="C14">
        <v>2</v>
      </c>
      <c r="D14">
        <v>150710</v>
      </c>
      <c r="E14" t="s">
        <v>39</v>
      </c>
      <c r="F14" t="s">
        <v>35</v>
      </c>
      <c r="G14" t="s">
        <v>40</v>
      </c>
      <c r="H14" s="1">
        <v>110973.5</v>
      </c>
      <c r="I14" s="1">
        <v>82776.100000000006</v>
      </c>
      <c r="J14" s="1">
        <v>114928.3</v>
      </c>
      <c r="K14" s="1">
        <v>61169.5</v>
      </c>
      <c r="L14" s="1">
        <v>26978</v>
      </c>
      <c r="M14" s="1">
        <v>25797.1</v>
      </c>
      <c r="N14" s="1">
        <v>45374.6</v>
      </c>
      <c r="O14" s="1">
        <v>15946.5</v>
      </c>
      <c r="P14" s="1">
        <v>10439.6</v>
      </c>
      <c r="Q14" s="1">
        <v>1536.3</v>
      </c>
      <c r="R14" s="1">
        <v>1104.9000000000001</v>
      </c>
      <c r="S14" s="1">
        <v>10360.1</v>
      </c>
      <c r="T14" s="1">
        <v>507384.3</v>
      </c>
      <c r="U14">
        <v>-35</v>
      </c>
      <c r="V14" t="s">
        <v>32</v>
      </c>
      <c r="W14" t="s">
        <v>33</v>
      </c>
      <c r="X14">
        <v>150710</v>
      </c>
    </row>
    <row r="15" spans="1:24" x14ac:dyDescent="0.25">
      <c r="A15">
        <v>1</v>
      </c>
      <c r="B15" t="s">
        <v>28</v>
      </c>
      <c r="C15">
        <v>2</v>
      </c>
      <c r="D15">
        <v>150710</v>
      </c>
      <c r="E15" t="s">
        <v>39</v>
      </c>
      <c r="F15" t="s">
        <v>36</v>
      </c>
      <c r="G15" t="s">
        <v>40</v>
      </c>
      <c r="H15">
        <v>202.3</v>
      </c>
      <c r="I15" s="1">
        <v>6410.5</v>
      </c>
      <c r="J15">
        <v>607.29999999999995</v>
      </c>
      <c r="K15" s="1">
        <v>20269.2</v>
      </c>
      <c r="L15" s="1">
        <v>16538.5</v>
      </c>
      <c r="M15" s="1">
        <v>12721</v>
      </c>
      <c r="N15" s="1">
        <v>10552</v>
      </c>
      <c r="O15" s="1">
        <v>4495.1000000000004</v>
      </c>
      <c r="P15" s="1">
        <v>3651.7</v>
      </c>
      <c r="Q15">
        <v>235.9</v>
      </c>
      <c r="R15">
        <v>355.2</v>
      </c>
      <c r="S15">
        <v>171.9</v>
      </c>
      <c r="T15" s="1">
        <v>76210.7</v>
      </c>
      <c r="U15">
        <v>-19</v>
      </c>
      <c r="V15" t="s">
        <v>32</v>
      </c>
      <c r="W15" t="s">
        <v>33</v>
      </c>
      <c r="X15">
        <v>150710</v>
      </c>
    </row>
    <row r="16" spans="1:24" x14ac:dyDescent="0.25">
      <c r="A16">
        <v>1</v>
      </c>
      <c r="B16" t="s">
        <v>28</v>
      </c>
      <c r="C16">
        <v>2</v>
      </c>
      <c r="D16">
        <v>150710</v>
      </c>
      <c r="E16" t="s">
        <v>39</v>
      </c>
      <c r="F16" t="s">
        <v>37</v>
      </c>
      <c r="G16" t="s">
        <v>40</v>
      </c>
      <c r="H16">
        <v>27.8</v>
      </c>
      <c r="I16">
        <v>335.3</v>
      </c>
      <c r="J16" s="1">
        <v>32386.3</v>
      </c>
      <c r="K16">
        <v>700.8</v>
      </c>
      <c r="L16" s="1">
        <v>28500.5</v>
      </c>
      <c r="M16" s="1">
        <v>37461.4</v>
      </c>
      <c r="N16" s="1">
        <v>29070.3</v>
      </c>
      <c r="O16" s="1">
        <v>12795.2</v>
      </c>
      <c r="P16" s="1">
        <v>12143.6</v>
      </c>
      <c r="Q16">
        <v>372.6</v>
      </c>
      <c r="R16" s="1">
        <v>45579.8</v>
      </c>
      <c r="S16" s="1">
        <v>104483.4</v>
      </c>
      <c r="T16" s="1">
        <v>303857</v>
      </c>
      <c r="U16">
        <v>-5</v>
      </c>
      <c r="V16" t="s">
        <v>32</v>
      </c>
      <c r="W16" t="s">
        <v>33</v>
      </c>
      <c r="X16">
        <v>150710</v>
      </c>
    </row>
    <row r="17" spans="1:24" x14ac:dyDescent="0.25">
      <c r="A17">
        <v>1</v>
      </c>
      <c r="B17" t="s">
        <v>28</v>
      </c>
      <c r="C17">
        <v>2</v>
      </c>
      <c r="D17">
        <v>150710</v>
      </c>
      <c r="E17" t="s">
        <v>39</v>
      </c>
      <c r="F17" t="s">
        <v>38</v>
      </c>
      <c r="G17" t="s">
        <v>40</v>
      </c>
      <c r="H17" s="1">
        <v>192347.3</v>
      </c>
      <c r="I17" s="1">
        <v>108790.3</v>
      </c>
      <c r="J17" s="1">
        <v>133959.79999999999</v>
      </c>
      <c r="K17" s="1">
        <v>134313.9</v>
      </c>
      <c r="L17" s="1">
        <v>119899.2</v>
      </c>
      <c r="M17" s="1">
        <v>17446.2</v>
      </c>
      <c r="N17" s="1">
        <v>6975.4</v>
      </c>
      <c r="O17" s="1">
        <v>21286.799999999999</v>
      </c>
      <c r="P17" s="1">
        <v>5820.3</v>
      </c>
      <c r="T17" s="1">
        <v>740839.1</v>
      </c>
      <c r="U17">
        <v>-73</v>
      </c>
      <c r="V17" t="s">
        <v>32</v>
      </c>
      <c r="W17" t="s">
        <v>33</v>
      </c>
      <c r="X17">
        <v>150710</v>
      </c>
    </row>
    <row r="18" spans="1:24" x14ac:dyDescent="0.25">
      <c r="A18" t="s">
        <v>41</v>
      </c>
    </row>
    <row r="19" spans="1:24" x14ac:dyDescent="0.25">
      <c r="A19" t="s">
        <v>42</v>
      </c>
    </row>
    <row r="20" spans="1:24" x14ac:dyDescent="0.25">
      <c r="A20" t="s">
        <v>43</v>
      </c>
    </row>
    <row r="21" spans="1:24" x14ac:dyDescent="0.25">
      <c r="A21" t="s">
        <v>44</v>
      </c>
    </row>
    <row r="22" spans="1:24" x14ac:dyDescent="0.25">
      <c r="H22" t="s">
        <v>45</v>
      </c>
      <c r="I22" t="s">
        <v>46</v>
      </c>
      <c r="J22" t="s">
        <v>47</v>
      </c>
      <c r="K22" t="s">
        <v>48</v>
      </c>
      <c r="L22" t="s">
        <v>9</v>
      </c>
      <c r="M22" t="s">
        <v>49</v>
      </c>
      <c r="N22" t="s">
        <v>50</v>
      </c>
      <c r="O22" t="s">
        <v>51</v>
      </c>
      <c r="P22" t="s">
        <v>52</v>
      </c>
      <c r="Q22" t="s">
        <v>53</v>
      </c>
      <c r="R22" t="s">
        <v>54</v>
      </c>
      <c r="S22" t="s">
        <v>55</v>
      </c>
    </row>
    <row r="23" spans="1:24" x14ac:dyDescent="0.25">
      <c r="G23">
        <v>2020</v>
      </c>
      <c r="H23" s="2">
        <f t="shared" ref="H23:O23" si="0">((H6*2.204622)+(H12*2204.622))/1000</f>
        <v>124769.23727057999</v>
      </c>
      <c r="I23" s="2">
        <f t="shared" si="0"/>
        <v>395017.84489948204</v>
      </c>
      <c r="J23" s="2">
        <f t="shared" si="0"/>
        <v>319872.42218068201</v>
      </c>
      <c r="K23" s="2">
        <f t="shared" si="0"/>
        <v>229644.36905898599</v>
      </c>
      <c r="L23" s="2">
        <f t="shared" si="0"/>
        <v>357127.17193213193</v>
      </c>
      <c r="M23" s="2">
        <f t="shared" si="0"/>
        <v>166815.92253652198</v>
      </c>
      <c r="N23" s="2">
        <f t="shared" si="0"/>
        <v>164168.96958768601</v>
      </c>
      <c r="O23" s="2">
        <f t="shared" si="0"/>
        <v>199910.455775226</v>
      </c>
      <c r="P23" s="2">
        <f t="shared" ref="P23:S23" si="1">((P6*2.204622)+(P12*2204.622))/1000</f>
        <v>177956.717463504</v>
      </c>
      <c r="Q23" s="2">
        <f t="shared" si="1"/>
        <v>183886.36359344999</v>
      </c>
      <c r="R23" s="2">
        <f t="shared" si="1"/>
        <v>174525.86045626199</v>
      </c>
      <c r="S23" s="2">
        <f t="shared" si="1"/>
        <v>233906.25171526195</v>
      </c>
    </row>
    <row r="24" spans="1:24" x14ac:dyDescent="0.25">
      <c r="G24">
        <v>2021</v>
      </c>
      <c r="H24" s="2">
        <f t="shared" ref="H24:O24" si="2">((H7*2.204622)+(H13*2204.622))/1000</f>
        <v>327230.37235652393</v>
      </c>
      <c r="I24" s="2">
        <f t="shared" si="2"/>
        <v>254247.95278360799</v>
      </c>
      <c r="J24" s="2">
        <f t="shared" si="2"/>
        <v>155458.657979982</v>
      </c>
      <c r="K24" s="2">
        <f t="shared" si="2"/>
        <v>128549.9655846</v>
      </c>
      <c r="L24" s="2">
        <f t="shared" si="2"/>
        <v>70421.495383764006</v>
      </c>
      <c r="M24" s="2">
        <f t="shared" si="2"/>
        <v>90855.497361383983</v>
      </c>
      <c r="N24" s="2">
        <f t="shared" si="2"/>
        <v>29670.574493699998</v>
      </c>
      <c r="O24" s="2">
        <f t="shared" si="2"/>
        <v>39709.389113981997</v>
      </c>
      <c r="P24" s="2">
        <f t="shared" ref="P24:S24" si="3">((P7*2.204622)+(P13*2204.622))/1000</f>
        <v>33297.345234972003</v>
      </c>
      <c r="Q24" s="2">
        <f t="shared" si="3"/>
        <v>56607.942407435999</v>
      </c>
      <c r="R24" s="2">
        <f t="shared" si="3"/>
        <v>228750.16776191996</v>
      </c>
      <c r="S24" s="2">
        <f t="shared" si="3"/>
        <v>164074.39130388596</v>
      </c>
    </row>
    <row r="25" spans="1:24" x14ac:dyDescent="0.25">
      <c r="G25">
        <v>2022</v>
      </c>
      <c r="H25" s="2">
        <f t="shared" ref="H25:O25" si="4">((H8*2.204622)+(H14*2204.622))/1000</f>
        <v>283810.34206652397</v>
      </c>
      <c r="I25" s="2">
        <f t="shared" si="4"/>
        <v>234144.05326729201</v>
      </c>
      <c r="J25" s="2">
        <f t="shared" si="4"/>
        <v>275593.02582583798</v>
      </c>
      <c r="K25" s="2">
        <f t="shared" si="4"/>
        <v>157143.86883215999</v>
      </c>
      <c r="L25" s="2">
        <f t="shared" si="4"/>
        <v>73388.52417304799</v>
      </c>
      <c r="M25" s="2">
        <f t="shared" si="4"/>
        <v>72607.812407297999</v>
      </c>
      <c r="N25" s="2">
        <f t="shared" si="4"/>
        <v>117799.84731299401</v>
      </c>
      <c r="O25" s="2">
        <f t="shared" si="4"/>
        <v>56546.182126727996</v>
      </c>
      <c r="P25" s="2">
        <f t="shared" ref="P25:S25" si="5">((P8*2.204622)+(P14*2204.622))/1000</f>
        <v>44700.011776979998</v>
      </c>
      <c r="Q25" s="2">
        <f t="shared" si="5"/>
        <v>23080.119374718</v>
      </c>
      <c r="R25" s="2">
        <f t="shared" si="5"/>
        <v>23246.954144568004</v>
      </c>
      <c r="S25" s="2">
        <f t="shared" si="5"/>
        <v>34373.374936109998</v>
      </c>
    </row>
    <row r="26" spans="1:24" x14ac:dyDescent="0.25">
      <c r="G26">
        <v>2023</v>
      </c>
      <c r="H26" s="2">
        <f t="shared" ref="H26:O26" si="6">((H9*2.204622)+(H15*2204.622))/1000</f>
        <v>14781.725955360002</v>
      </c>
      <c r="I26" s="2">
        <f t="shared" si="6"/>
        <v>25546.507167888001</v>
      </c>
      <c r="J26" s="2">
        <f t="shared" si="6"/>
        <v>12218.597144208001</v>
      </c>
      <c r="K26" s="2">
        <f t="shared" si="6"/>
        <v>60212.856526199997</v>
      </c>
      <c r="L26" s="2">
        <f t="shared" si="6"/>
        <v>49450.912662185998</v>
      </c>
      <c r="M26" s="2">
        <f t="shared" si="6"/>
        <v>39882.612878388005</v>
      </c>
      <c r="N26" s="2">
        <f t="shared" si="6"/>
        <v>36839.017567044</v>
      </c>
      <c r="O26" s="2">
        <f t="shared" si="6"/>
        <v>25856.499067308003</v>
      </c>
      <c r="P26" s="2">
        <f t="shared" ref="P26:S26" si="7">((P9*2.204622)+(P15*2204.622))/1000</f>
        <v>27600.015557520001</v>
      </c>
      <c r="Q26" s="2">
        <f t="shared" si="7"/>
        <v>12576.954041064002</v>
      </c>
      <c r="R26" s="2">
        <f t="shared" si="7"/>
        <v>13249.557757800001</v>
      </c>
      <c r="S26" s="2">
        <f t="shared" si="7"/>
        <v>12367.111505238001</v>
      </c>
    </row>
    <row r="27" spans="1:24" x14ac:dyDescent="0.25">
      <c r="G27">
        <v>2024</v>
      </c>
      <c r="H27" s="2">
        <f t="shared" ref="H27:O27" si="8">((H10*2.204622)+(H16*2204.622))/1000</f>
        <v>11247.216440166001</v>
      </c>
      <c r="I27" s="2">
        <f t="shared" si="8"/>
        <v>13754.555086986</v>
      </c>
      <c r="J27" s="2">
        <f t="shared" si="8"/>
        <v>98364.722084999987</v>
      </c>
      <c r="K27" s="2">
        <f t="shared" si="8"/>
        <v>21856.386613445997</v>
      </c>
      <c r="L27" s="2">
        <f t="shared" si="8"/>
        <v>93598.00965081001</v>
      </c>
      <c r="M27" s="2">
        <f t="shared" si="8"/>
        <v>114930.17683585199</v>
      </c>
      <c r="N27" s="2">
        <f t="shared" si="8"/>
        <v>96826.189143725991</v>
      </c>
      <c r="O27" s="2">
        <f t="shared" si="8"/>
        <v>63456.534511776001</v>
      </c>
      <c r="P27" s="2">
        <f t="shared" ref="P27:S27" si="9">((P10*2.204622)+(P16*2204.622))/1000</f>
        <v>60056.425367568001</v>
      </c>
      <c r="Q27" s="2">
        <f t="shared" si="9"/>
        <v>29588.031241398003</v>
      </c>
      <c r="R27" s="2">
        <f t="shared" si="9"/>
        <v>128149.00436759401</v>
      </c>
      <c r="S27" s="2">
        <f t="shared" si="9"/>
        <v>279109.78152006597</v>
      </c>
    </row>
    <row r="28" spans="1:24" x14ac:dyDescent="0.25">
      <c r="G28">
        <v>2025</v>
      </c>
      <c r="H28" s="2">
        <f t="shared" ref="H28:O28" si="10">((H11*2.204622)+(H17*2204.622))/1000</f>
        <v>468673.98813710996</v>
      </c>
      <c r="I28" s="2">
        <f t="shared" si="10"/>
        <v>300094.95222541795</v>
      </c>
      <c r="J28" s="2">
        <f t="shared" si="10"/>
        <v>343326.16986884997</v>
      </c>
      <c r="K28" s="2">
        <f t="shared" si="10"/>
        <v>350427.33890186402</v>
      </c>
      <c r="L28" s="2">
        <f t="shared" si="10"/>
        <v>312898.47526942199</v>
      </c>
      <c r="M28" s="2">
        <f t="shared" si="10"/>
        <v>93330.262718154016</v>
      </c>
      <c r="N28" s="2">
        <f t="shared" si="10"/>
        <v>62740.305734903995</v>
      </c>
      <c r="O28" s="2">
        <f t="shared" si="10"/>
        <v>80722.911348953989</v>
      </c>
      <c r="P28" s="2">
        <f>((P11*2.204622)+(P17*2204.622))/1000</f>
        <v>38361.110642063999</v>
      </c>
      <c r="Q28" s="2"/>
      <c r="R28" s="2"/>
      <c r="S28" s="2"/>
    </row>
    <row r="30" spans="1:24" x14ac:dyDescent="0.25">
      <c r="P30">
        <f>P17*2.204622</f>
        <v>12831.561426600001</v>
      </c>
    </row>
    <row r="31" spans="1:24" x14ac:dyDescent="0.25">
      <c r="H31" t="s">
        <v>59</v>
      </c>
      <c r="J31" t="s">
        <v>62</v>
      </c>
    </row>
    <row r="32" spans="1:24" x14ac:dyDescent="0.25">
      <c r="G32" t="s">
        <v>56</v>
      </c>
      <c r="H32" t="s">
        <v>60</v>
      </c>
      <c r="I32" t="s">
        <v>61</v>
      </c>
      <c r="J32" t="s">
        <v>57</v>
      </c>
      <c r="K32" t="s">
        <v>58</v>
      </c>
    </row>
    <row r="33" spans="6:11" x14ac:dyDescent="0.25">
      <c r="F33" s="3">
        <v>43831</v>
      </c>
      <c r="G33">
        <v>124769.23727057999</v>
      </c>
      <c r="H33">
        <v>124769.2593168</v>
      </c>
      <c r="I33">
        <v>124593.28579522</v>
      </c>
      <c r="J33">
        <v>124769.2593168</v>
      </c>
      <c r="K33">
        <v>124593.28579522</v>
      </c>
    </row>
    <row r="34" spans="6:11" x14ac:dyDescent="0.25">
      <c r="F34" s="3">
        <v>43862</v>
      </c>
      <c r="G34">
        <v>395017.84489948204</v>
      </c>
      <c r="H34">
        <v>395017.77655619988</v>
      </c>
      <c r="I34">
        <v>395609.63645411999</v>
      </c>
      <c r="J34">
        <v>395017.77655619988</v>
      </c>
      <c r="K34">
        <v>395609.63645411999</v>
      </c>
    </row>
    <row r="35" spans="6:11" x14ac:dyDescent="0.25">
      <c r="F35" s="3">
        <v>43891</v>
      </c>
      <c r="G35">
        <v>319872.42218068201</v>
      </c>
      <c r="H35">
        <v>319872.35383739998</v>
      </c>
      <c r="I35">
        <v>319777.46120518004</v>
      </c>
      <c r="J35">
        <v>319872.35383739998</v>
      </c>
      <c r="K35">
        <v>319777.46120518004</v>
      </c>
    </row>
    <row r="36" spans="6:11" x14ac:dyDescent="0.25">
      <c r="F36" s="3">
        <v>43922</v>
      </c>
      <c r="G36">
        <v>229644.36905898599</v>
      </c>
      <c r="H36">
        <v>229644.23016780001</v>
      </c>
      <c r="I36">
        <v>229693.65665267996</v>
      </c>
      <c r="J36">
        <v>229644.23016780001</v>
      </c>
      <c r="K36">
        <v>229693.65665267996</v>
      </c>
    </row>
    <row r="37" spans="6:11" x14ac:dyDescent="0.25">
      <c r="F37" s="3">
        <v>43952</v>
      </c>
      <c r="G37">
        <v>357127.17193213193</v>
      </c>
      <c r="H37">
        <v>357127.1587044</v>
      </c>
      <c r="I37">
        <v>357123.91580712004</v>
      </c>
      <c r="J37">
        <v>357127.1587044</v>
      </c>
      <c r="K37">
        <v>357123.91580712004</v>
      </c>
    </row>
    <row r="38" spans="6:11" x14ac:dyDescent="0.25">
      <c r="F38" s="3">
        <v>43983</v>
      </c>
      <c r="G38">
        <v>166815.92253652198</v>
      </c>
      <c r="H38">
        <v>166815.81010080001</v>
      </c>
      <c r="I38">
        <v>166824.36481237999</v>
      </c>
      <c r="J38">
        <v>166815.81010080001</v>
      </c>
      <c r="K38">
        <v>166824.36481237999</v>
      </c>
    </row>
    <row r="39" spans="6:11" x14ac:dyDescent="0.25">
      <c r="F39" s="3">
        <v>44013</v>
      </c>
      <c r="G39">
        <v>164168.96958768601</v>
      </c>
      <c r="H39">
        <v>164168.94092759999</v>
      </c>
      <c r="I39">
        <v>164214.83768932</v>
      </c>
      <c r="J39">
        <v>164168.94092759999</v>
      </c>
      <c r="K39">
        <v>164214.83768932</v>
      </c>
    </row>
    <row r="40" spans="6:11" x14ac:dyDescent="0.25">
      <c r="F40" s="3">
        <v>44044</v>
      </c>
      <c r="G40">
        <v>199910.455775226</v>
      </c>
      <c r="H40">
        <v>199910.2727916</v>
      </c>
      <c r="I40">
        <v>200055.47289728001</v>
      </c>
      <c r="J40">
        <v>199910.2727916</v>
      </c>
      <c r="K40">
        <v>200055.47289728001</v>
      </c>
    </row>
    <row r="41" spans="6:11" x14ac:dyDescent="0.25">
      <c r="F41" s="3">
        <v>44075</v>
      </c>
      <c r="G41">
        <v>177956.717463504</v>
      </c>
      <c r="H41">
        <v>177956.64691559999</v>
      </c>
      <c r="I41">
        <v>178051.98961439999</v>
      </c>
      <c r="J41">
        <v>177956.64691559999</v>
      </c>
      <c r="K41">
        <v>178051.98961439999</v>
      </c>
    </row>
    <row r="42" spans="6:11" x14ac:dyDescent="0.25">
      <c r="F42" s="3">
        <v>44105</v>
      </c>
      <c r="G42">
        <v>183886.36359344999</v>
      </c>
      <c r="H42">
        <v>183886.19824679999</v>
      </c>
      <c r="I42">
        <v>183898.48973562001</v>
      </c>
      <c r="J42">
        <v>183886.19824679999</v>
      </c>
      <c r="K42">
        <v>183898.48973562001</v>
      </c>
    </row>
    <row r="43" spans="6:11" x14ac:dyDescent="0.25">
      <c r="F43" s="3">
        <v>44136</v>
      </c>
      <c r="G43">
        <v>174525.86045626199</v>
      </c>
      <c r="H43">
        <v>174525.8141592</v>
      </c>
      <c r="I43">
        <v>175076.36770338</v>
      </c>
      <c r="J43">
        <v>174525.8141592</v>
      </c>
      <c r="K43">
        <v>175076.36770338</v>
      </c>
    </row>
    <row r="44" spans="6:11" x14ac:dyDescent="0.25">
      <c r="F44" s="3">
        <v>44166</v>
      </c>
      <c r="G44">
        <v>233906.25171526195</v>
      </c>
      <c r="H44">
        <v>233906.2054182</v>
      </c>
      <c r="I44">
        <v>234893.42488303999</v>
      </c>
      <c r="J44">
        <v>233906.2054182</v>
      </c>
      <c r="K44">
        <v>234893.42488303999</v>
      </c>
    </row>
    <row r="45" spans="6:11" x14ac:dyDescent="0.25">
      <c r="F45" s="3">
        <v>44197</v>
      </c>
      <c r="G45">
        <v>327230.37235652393</v>
      </c>
      <c r="H45">
        <v>327230.50022460002</v>
      </c>
      <c r="I45">
        <v>327282.15523630008</v>
      </c>
      <c r="J45">
        <v>327230.50022460002</v>
      </c>
      <c r="K45">
        <v>327282.15523630008</v>
      </c>
    </row>
    <row r="46" spans="6:11" x14ac:dyDescent="0.25">
      <c r="F46" s="3">
        <v>44228</v>
      </c>
      <c r="G46">
        <v>254247.95278360799</v>
      </c>
      <c r="H46">
        <v>254248.03215000001</v>
      </c>
      <c r="I46">
        <v>255144.66737143998</v>
      </c>
      <c r="J46">
        <v>254248.03215000001</v>
      </c>
      <c r="K46">
        <v>255144.66737143998</v>
      </c>
    </row>
    <row r="47" spans="6:11" x14ac:dyDescent="0.25">
      <c r="F47" s="3">
        <v>44256</v>
      </c>
      <c r="G47">
        <v>155458.657979982</v>
      </c>
      <c r="H47">
        <v>155458.69986779999</v>
      </c>
      <c r="I47">
        <v>154790.33631138</v>
      </c>
      <c r="J47">
        <v>155458.69986779999</v>
      </c>
      <c r="K47">
        <v>154790.33631138</v>
      </c>
    </row>
    <row r="48" spans="6:11" x14ac:dyDescent="0.25">
      <c r="F48" s="3">
        <v>44287</v>
      </c>
      <c r="G48">
        <v>128549.9655846</v>
      </c>
      <c r="H48">
        <v>128549.9655846</v>
      </c>
      <c r="I48">
        <v>130738.42815087998</v>
      </c>
      <c r="J48">
        <v>128549.9655846</v>
      </c>
      <c r="K48">
        <v>130738.42815087998</v>
      </c>
    </row>
    <row r="49" spans="6:11" x14ac:dyDescent="0.25">
      <c r="F49" s="3">
        <v>44317</v>
      </c>
      <c r="G49">
        <v>70421.495383764006</v>
      </c>
      <c r="H49">
        <v>70421.579159399989</v>
      </c>
      <c r="I49">
        <v>71295.19295228002</v>
      </c>
      <c r="J49">
        <v>70421.579159399989</v>
      </c>
      <c r="K49">
        <v>71295.19295228002</v>
      </c>
    </row>
    <row r="50" spans="6:11" x14ac:dyDescent="0.25">
      <c r="F50" s="3">
        <v>44348</v>
      </c>
      <c r="G50">
        <v>90855.497361383983</v>
      </c>
      <c r="H50">
        <v>90855.338628599988</v>
      </c>
      <c r="I50">
        <v>91233.981261939989</v>
      </c>
      <c r="J50">
        <v>90855.338628599988</v>
      </c>
      <c r="K50">
        <v>91233.981261939989</v>
      </c>
    </row>
    <row r="51" spans="6:11" x14ac:dyDescent="0.25">
      <c r="F51" s="3">
        <v>44378</v>
      </c>
      <c r="G51">
        <v>29670.574493699998</v>
      </c>
      <c r="H51">
        <v>29670.464262599999</v>
      </c>
      <c r="I51">
        <v>35537.519799540001</v>
      </c>
      <c r="J51">
        <v>29670.464262599999</v>
      </c>
      <c r="K51">
        <v>35537.519799540001</v>
      </c>
    </row>
    <row r="52" spans="6:11" x14ac:dyDescent="0.25">
      <c r="F52" s="3">
        <v>44409</v>
      </c>
      <c r="G52">
        <v>39709.389113981997</v>
      </c>
      <c r="H52">
        <v>39709.431001800003</v>
      </c>
      <c r="I52">
        <v>24694.848104960001</v>
      </c>
      <c r="J52">
        <v>39709.431001800003</v>
      </c>
      <c r="K52">
        <v>24694.848104960001</v>
      </c>
    </row>
    <row r="53" spans="6:11" x14ac:dyDescent="0.25">
      <c r="F53" s="3">
        <v>44440</v>
      </c>
      <c r="G53">
        <v>33297.345234972003</v>
      </c>
      <c r="H53">
        <v>33297.287914799999</v>
      </c>
      <c r="I53">
        <v>34430.668282340004</v>
      </c>
      <c r="J53">
        <v>33297.287914799999</v>
      </c>
      <c r="K53">
        <v>34430.668282340004</v>
      </c>
    </row>
    <row r="54" spans="6:11" x14ac:dyDescent="0.25">
      <c r="F54" s="3">
        <v>44470</v>
      </c>
      <c r="G54">
        <v>56607.942407435999</v>
      </c>
      <c r="H54">
        <v>56608.079093999993</v>
      </c>
      <c r="I54">
        <v>57888.122706039998</v>
      </c>
      <c r="J54">
        <v>56608.079093999993</v>
      </c>
      <c r="K54">
        <v>57888.122706039998</v>
      </c>
    </row>
    <row r="55" spans="6:11" x14ac:dyDescent="0.25">
      <c r="F55" s="3">
        <v>44501</v>
      </c>
      <c r="G55">
        <v>228750.16776191996</v>
      </c>
      <c r="H55">
        <v>228750.2559468</v>
      </c>
      <c r="I55">
        <v>229480.13700106001</v>
      </c>
      <c r="J55">
        <v>228750.2559468</v>
      </c>
      <c r="K55">
        <v>229480.13700106001</v>
      </c>
    </row>
    <row r="56" spans="6:11" x14ac:dyDescent="0.25">
      <c r="F56" s="3">
        <v>44531</v>
      </c>
      <c r="G56">
        <v>164074.39130388596</v>
      </c>
      <c r="H56">
        <v>164074.36264380001</v>
      </c>
      <c r="I56">
        <v>164782.09964304004</v>
      </c>
      <c r="J56">
        <v>164074.36264380001</v>
      </c>
      <c r="K56">
        <v>164782.09964304004</v>
      </c>
    </row>
    <row r="57" spans="6:11" x14ac:dyDescent="0.25">
      <c r="F57" s="3">
        <v>44562</v>
      </c>
      <c r="G57">
        <v>283810.34206652397</v>
      </c>
      <c r="H57">
        <v>283810.24947239988</v>
      </c>
      <c r="I57">
        <v>284021.65536557994</v>
      </c>
      <c r="J57">
        <v>283810.24947239988</v>
      </c>
      <c r="K57">
        <v>284021.65536557994</v>
      </c>
    </row>
    <row r="58" spans="6:11" x14ac:dyDescent="0.25">
      <c r="F58" s="3">
        <v>44593</v>
      </c>
      <c r="G58">
        <v>234144.05326729201</v>
      </c>
      <c r="H58">
        <v>234144.08413199999</v>
      </c>
      <c r="I58">
        <v>235031.55534914002</v>
      </c>
      <c r="J58">
        <v>234144.08413199999</v>
      </c>
      <c r="K58">
        <v>235031.55534914002</v>
      </c>
    </row>
    <row r="59" spans="6:11" x14ac:dyDescent="0.25">
      <c r="F59" s="3">
        <v>44621</v>
      </c>
      <c r="G59">
        <v>275593.02582583798</v>
      </c>
      <c r="H59">
        <v>275592.96189179999</v>
      </c>
      <c r="I59">
        <v>265804.34237829997</v>
      </c>
      <c r="J59">
        <v>275592.96189179999</v>
      </c>
      <c r="K59">
        <v>265804.34237829997</v>
      </c>
    </row>
    <row r="60" spans="6:11" x14ac:dyDescent="0.25">
      <c r="F60" s="3">
        <v>44652</v>
      </c>
      <c r="G60">
        <v>157143.86883215999</v>
      </c>
      <c r="H60">
        <v>157143.91292460001</v>
      </c>
      <c r="I60">
        <v>167630.84787768003</v>
      </c>
      <c r="J60">
        <v>157143.91292460001</v>
      </c>
      <c r="K60">
        <v>167630.84787768003</v>
      </c>
    </row>
    <row r="61" spans="6:11" x14ac:dyDescent="0.25">
      <c r="F61" s="3">
        <v>44682</v>
      </c>
      <c r="G61">
        <v>73388.52417304799</v>
      </c>
      <c r="H61">
        <v>73388.559446999992</v>
      </c>
      <c r="I61">
        <v>73906.267718579998</v>
      </c>
      <c r="J61">
        <v>73388.559446999992</v>
      </c>
      <c r="K61">
        <v>73906.267718579998</v>
      </c>
    </row>
    <row r="62" spans="6:11" x14ac:dyDescent="0.25">
      <c r="F62" s="3">
        <v>44713</v>
      </c>
      <c r="G62">
        <v>72607.812407297999</v>
      </c>
      <c r="H62">
        <v>72607.902796799986</v>
      </c>
      <c r="I62">
        <v>73057.696252859998</v>
      </c>
      <c r="J62">
        <v>72607.902796799986</v>
      </c>
      <c r="K62">
        <v>73057.696252859998</v>
      </c>
    </row>
    <row r="63" spans="6:11" x14ac:dyDescent="0.25">
      <c r="F63" s="3">
        <v>44743</v>
      </c>
      <c r="G63">
        <v>117799.84731299401</v>
      </c>
      <c r="H63">
        <v>117799.7877882</v>
      </c>
      <c r="I63">
        <v>117925.5206316</v>
      </c>
      <c r="J63">
        <v>117799.7877882</v>
      </c>
      <c r="K63">
        <v>117925.5206316</v>
      </c>
    </row>
    <row r="64" spans="6:11" x14ac:dyDescent="0.25">
      <c r="F64" s="3">
        <v>44774</v>
      </c>
      <c r="G64">
        <v>56546.182126727996</v>
      </c>
      <c r="H64">
        <v>56546.129215799992</v>
      </c>
      <c r="I64">
        <v>56829.618505439998</v>
      </c>
      <c r="J64">
        <v>56546.129215799992</v>
      </c>
      <c r="K64">
        <v>56829.618505439998</v>
      </c>
    </row>
    <row r="65" spans="6:11" x14ac:dyDescent="0.25">
      <c r="F65" s="3">
        <v>44805</v>
      </c>
      <c r="G65">
        <v>44700.011776979998</v>
      </c>
      <c r="H65">
        <v>44699.813361</v>
      </c>
      <c r="I65">
        <v>44888.512532819979</v>
      </c>
      <c r="J65">
        <v>44699.813361</v>
      </c>
      <c r="K65">
        <v>44888.512532819979</v>
      </c>
    </row>
    <row r="66" spans="6:11" x14ac:dyDescent="0.25">
      <c r="F66" s="3">
        <v>44835</v>
      </c>
      <c r="G66">
        <v>23080.119374718</v>
      </c>
      <c r="H66">
        <v>23080.187718000001</v>
      </c>
      <c r="I66">
        <v>23193.758999999995</v>
      </c>
      <c r="J66">
        <v>23080.187718000001</v>
      </c>
      <c r="K66">
        <v>23193.758999999995</v>
      </c>
    </row>
    <row r="67" spans="6:11" x14ac:dyDescent="0.25">
      <c r="F67" s="3">
        <v>44866</v>
      </c>
      <c r="G67">
        <v>23246.954144568004</v>
      </c>
      <c r="H67">
        <v>23247.077603400001</v>
      </c>
      <c r="I67">
        <v>23562.170999999998</v>
      </c>
      <c r="J67">
        <v>23247.077603400001</v>
      </c>
      <c r="K67">
        <v>23562.170999999998</v>
      </c>
    </row>
    <row r="68" spans="6:11" x14ac:dyDescent="0.25">
      <c r="F68" s="3">
        <v>44896</v>
      </c>
      <c r="G68">
        <v>34373.374936109998</v>
      </c>
      <c r="H68">
        <v>34373.363912999986</v>
      </c>
      <c r="I68">
        <v>34684.893000000004</v>
      </c>
      <c r="J68">
        <v>34373.363912999986</v>
      </c>
      <c r="K68">
        <v>34684.893000000004</v>
      </c>
    </row>
    <row r="69" spans="6:11" x14ac:dyDescent="0.25">
      <c r="F69" s="3">
        <v>44927</v>
      </c>
      <c r="G69">
        <v>14781.725955360002</v>
      </c>
      <c r="H69">
        <v>14781.770047800001</v>
      </c>
      <c r="I69">
        <v>14802.943000000003</v>
      </c>
      <c r="J69">
        <v>14781.770047800001</v>
      </c>
      <c r="K69">
        <v>14802.943000000003</v>
      </c>
    </row>
    <row r="70" spans="6:11" x14ac:dyDescent="0.25">
      <c r="F70" s="3">
        <v>44958</v>
      </c>
      <c r="G70">
        <v>25546.507167888001</v>
      </c>
      <c r="H70">
        <v>25546.49834939999</v>
      </c>
      <c r="I70">
        <v>25735.834999999999</v>
      </c>
      <c r="J70">
        <v>25546.49834939999</v>
      </c>
      <c r="K70">
        <v>25735.834999999999</v>
      </c>
    </row>
    <row r="71" spans="6:11" x14ac:dyDescent="0.25">
      <c r="F71" s="3">
        <v>44986</v>
      </c>
      <c r="G71">
        <v>12218.597144208001</v>
      </c>
      <c r="H71">
        <v>12218.6765106</v>
      </c>
      <c r="I71">
        <v>12409.181999999999</v>
      </c>
      <c r="J71">
        <v>12218.6765106</v>
      </c>
      <c r="K71">
        <v>12409.181999999999</v>
      </c>
    </row>
    <row r="72" spans="6:11" x14ac:dyDescent="0.25">
      <c r="F72" s="3">
        <v>45017</v>
      </c>
      <c r="G72">
        <v>60212.856526199997</v>
      </c>
      <c r="H72">
        <v>60212.856526199997</v>
      </c>
      <c r="I72">
        <v>60211.432000000001</v>
      </c>
      <c r="J72">
        <v>60212.856526199997</v>
      </c>
      <c r="K72">
        <v>60211.432000000001</v>
      </c>
    </row>
    <row r="73" spans="6:11" x14ac:dyDescent="0.25">
      <c r="F73" s="3">
        <v>45047</v>
      </c>
      <c r="G73">
        <v>49450.912662185998</v>
      </c>
      <c r="H73">
        <v>49450.994233199992</v>
      </c>
      <c r="I73">
        <v>50129.056999999993</v>
      </c>
      <c r="J73">
        <v>49450.994233199992</v>
      </c>
      <c r="K73">
        <v>50129.056999999993</v>
      </c>
    </row>
    <row r="74" spans="6:11" x14ac:dyDescent="0.25">
      <c r="F74" s="3">
        <v>45078</v>
      </c>
      <c r="G74">
        <v>39882.612878388005</v>
      </c>
      <c r="H74">
        <v>39882.49382879999</v>
      </c>
      <c r="I74">
        <v>39452.435999999987</v>
      </c>
      <c r="J74">
        <v>39882.49382879999</v>
      </c>
      <c r="K74">
        <v>39452.435999999987</v>
      </c>
    </row>
    <row r="75" spans="6:11" x14ac:dyDescent="0.25">
      <c r="F75" s="3">
        <v>45108</v>
      </c>
      <c r="G75">
        <v>36839.017567044</v>
      </c>
      <c r="H75">
        <v>36839.013157799993</v>
      </c>
      <c r="I75">
        <v>37058.182000000001</v>
      </c>
      <c r="J75">
        <v>36839.013157799993</v>
      </c>
      <c r="K75">
        <v>37058.182000000001</v>
      </c>
    </row>
    <row r="76" spans="6:11" x14ac:dyDescent="0.25">
      <c r="F76" s="3">
        <v>45139</v>
      </c>
      <c r="G76">
        <v>25856.499067308003</v>
      </c>
      <c r="H76">
        <v>25856.46820259999</v>
      </c>
      <c r="I76">
        <v>26118.431000000011</v>
      </c>
      <c r="J76">
        <v>25856.46820259999</v>
      </c>
      <c r="K76">
        <v>26118.431000000011</v>
      </c>
    </row>
    <row r="77" spans="6:11" x14ac:dyDescent="0.25">
      <c r="F77" s="3">
        <v>45170</v>
      </c>
      <c r="G77">
        <v>27600.015557520001</v>
      </c>
      <c r="H77">
        <v>27600.103742399999</v>
      </c>
      <c r="I77">
        <v>27613.676800159996</v>
      </c>
      <c r="J77">
        <v>27600.103742399999</v>
      </c>
      <c r="K77">
        <v>27613.676800159996</v>
      </c>
    </row>
    <row r="78" spans="6:11" x14ac:dyDescent="0.25">
      <c r="F78" s="3">
        <v>45200</v>
      </c>
      <c r="G78">
        <v>12576.954041064002</v>
      </c>
      <c r="H78">
        <v>12576.9275856</v>
      </c>
      <c r="I78">
        <v>12734.178334460003</v>
      </c>
      <c r="J78">
        <v>12576.9275856</v>
      </c>
      <c r="K78">
        <v>12734.178334460003</v>
      </c>
    </row>
    <row r="79" spans="6:11" x14ac:dyDescent="0.25">
      <c r="F79" s="3">
        <v>45231</v>
      </c>
      <c r="G79">
        <v>13249.557757800001</v>
      </c>
      <c r="H79">
        <v>13249.557757799999</v>
      </c>
      <c r="I79">
        <v>13363.032961739998</v>
      </c>
      <c r="J79">
        <v>13249.557757799999</v>
      </c>
      <c r="K79">
        <v>13363.032961739998</v>
      </c>
    </row>
    <row r="80" spans="6:11" x14ac:dyDescent="0.25">
      <c r="F80" s="3">
        <v>45261</v>
      </c>
      <c r="G80">
        <v>12367.111505238001</v>
      </c>
      <c r="H80">
        <v>12367.2680334</v>
      </c>
      <c r="I80">
        <v>12457.98133624</v>
      </c>
      <c r="J80">
        <v>12367.2680334</v>
      </c>
      <c r="K80">
        <v>12457.98133624</v>
      </c>
    </row>
    <row r="81" spans="6:11" x14ac:dyDescent="0.25">
      <c r="F81" s="3">
        <v>45292</v>
      </c>
      <c r="G81">
        <v>11247.216440166001</v>
      </c>
      <c r="H81">
        <v>19466.303</v>
      </c>
      <c r="I81">
        <v>19438.104000000003</v>
      </c>
      <c r="J81">
        <v>19466.303</v>
      </c>
      <c r="K81">
        <v>19438.104000000003</v>
      </c>
    </row>
    <row r="82" spans="6:11" x14ac:dyDescent="0.25">
      <c r="F82" s="3">
        <v>45323</v>
      </c>
      <c r="G82">
        <v>13754.555086986</v>
      </c>
      <c r="H82">
        <v>22389.966</v>
      </c>
      <c r="I82">
        <v>22324.816999999999</v>
      </c>
      <c r="J82">
        <v>22389.966</v>
      </c>
      <c r="K82">
        <v>22324.816999999999</v>
      </c>
    </row>
    <row r="83" spans="6:11" x14ac:dyDescent="0.25">
      <c r="F83" s="3">
        <v>45352</v>
      </c>
      <c r="G83">
        <v>98364.722084999987</v>
      </c>
      <c r="H83">
        <v>106677.406</v>
      </c>
      <c r="I83">
        <v>106644.45800000003</v>
      </c>
      <c r="J83">
        <v>106677.406</v>
      </c>
      <c r="K83">
        <v>106644.45800000003</v>
      </c>
    </row>
    <row r="84" spans="6:11" x14ac:dyDescent="0.25">
      <c r="F84" s="3">
        <v>45383</v>
      </c>
      <c r="G84">
        <v>21856.386613445997</v>
      </c>
      <c r="H84">
        <v>32096.75</v>
      </c>
      <c r="I84">
        <v>32059.226000000006</v>
      </c>
      <c r="J84">
        <v>32096.75</v>
      </c>
      <c r="K84">
        <v>32059.226000000006</v>
      </c>
    </row>
    <row r="85" spans="6:11" x14ac:dyDescent="0.25">
      <c r="F85" s="3">
        <v>45413</v>
      </c>
      <c r="G85">
        <v>93598.00965081001</v>
      </c>
      <c r="H85">
        <v>103465.742</v>
      </c>
      <c r="I85">
        <v>102939.462</v>
      </c>
      <c r="J85">
        <v>103465.742</v>
      </c>
      <c r="K85">
        <v>102939.462</v>
      </c>
    </row>
    <row r="86" spans="6:11" x14ac:dyDescent="0.25">
      <c r="F86" s="3">
        <v>45444</v>
      </c>
      <c r="G86">
        <v>114930.17683585199</v>
      </c>
      <c r="H86">
        <v>126708.20600000001</v>
      </c>
      <c r="I86">
        <v>126014.75300000001</v>
      </c>
      <c r="J86">
        <v>126708.20600000001</v>
      </c>
      <c r="K86">
        <v>126014.75300000001</v>
      </c>
    </row>
    <row r="87" spans="6:11" x14ac:dyDescent="0.25">
      <c r="F87" s="3">
        <v>45474</v>
      </c>
      <c r="G87">
        <v>96826.189143725991</v>
      </c>
      <c r="H87">
        <v>104625.77099999999</v>
      </c>
      <c r="I87">
        <v>104279.32500000001</v>
      </c>
      <c r="J87">
        <v>104625.77099999999</v>
      </c>
      <c r="K87">
        <v>104279.32500000001</v>
      </c>
    </row>
    <row r="88" spans="6:11" x14ac:dyDescent="0.25">
      <c r="F88" s="3">
        <v>45505</v>
      </c>
      <c r="G88">
        <v>63456.534511776001</v>
      </c>
      <c r="H88">
        <v>72382.743000000002</v>
      </c>
      <c r="I88">
        <v>72331.405999999988</v>
      </c>
      <c r="J88">
        <v>72382.743000000002</v>
      </c>
      <c r="K88">
        <v>72331.405999999988</v>
      </c>
    </row>
    <row r="89" spans="6:11" x14ac:dyDescent="0.25">
      <c r="F89" s="3">
        <v>45536</v>
      </c>
      <c r="G89">
        <v>60056.425367568001</v>
      </c>
      <c r="H89">
        <v>72171.360000000001</v>
      </c>
      <c r="I89">
        <v>72141.073000000004</v>
      </c>
      <c r="J89">
        <v>72171.360000000001</v>
      </c>
      <c r="K89">
        <v>72141.073000000004</v>
      </c>
    </row>
    <row r="90" spans="6:11" x14ac:dyDescent="0.25">
      <c r="F90" s="3">
        <v>45566</v>
      </c>
      <c r="G90">
        <v>29588.031241398003</v>
      </c>
      <c r="H90">
        <v>37857.152999999998</v>
      </c>
      <c r="I90">
        <v>37835.839999999997</v>
      </c>
      <c r="J90">
        <v>37857.152999999998</v>
      </c>
      <c r="K90">
        <v>37835.839999999997</v>
      </c>
    </row>
    <row r="91" spans="6:11" x14ac:dyDescent="0.25">
      <c r="F91" s="3">
        <v>45597</v>
      </c>
      <c r="G91">
        <v>128149.00436759401</v>
      </c>
      <c r="H91">
        <v>136933.049</v>
      </c>
      <c r="I91">
        <v>136898.87399999998</v>
      </c>
      <c r="J91">
        <v>136933.049</v>
      </c>
      <c r="K91">
        <v>136898.87399999998</v>
      </c>
    </row>
    <row r="92" spans="6:11" x14ac:dyDescent="0.25">
      <c r="F92" s="3">
        <v>45627</v>
      </c>
      <c r="G92">
        <v>279109.78152006597</v>
      </c>
      <c r="H92">
        <v>314903.723</v>
      </c>
      <c r="I92">
        <v>314882.29500000004</v>
      </c>
      <c r="J92">
        <v>314903.723</v>
      </c>
      <c r="K92">
        <v>314882.29500000004</v>
      </c>
    </row>
    <row r="93" spans="6:11" x14ac:dyDescent="0.25">
      <c r="F93" s="3">
        <v>45658</v>
      </c>
      <c r="G93">
        <v>468673.98813710996</v>
      </c>
      <c r="H93">
        <v>484071.07699999999</v>
      </c>
      <c r="I93">
        <v>484037.73300000001</v>
      </c>
      <c r="J93">
        <v>484071.07699999999</v>
      </c>
      <c r="K93">
        <v>484037.73300000001</v>
      </c>
    </row>
    <row r="94" spans="6:11" x14ac:dyDescent="0.25">
      <c r="F94" s="3">
        <v>45689</v>
      </c>
      <c r="G94">
        <v>300094.95222541795</v>
      </c>
      <c r="H94">
        <v>321670.61499999999</v>
      </c>
      <c r="I94">
        <v>321611.85600000003</v>
      </c>
      <c r="J94">
        <v>321670.61499999999</v>
      </c>
      <c r="K94">
        <v>321611.85600000003</v>
      </c>
    </row>
    <row r="95" spans="6:11" x14ac:dyDescent="0.25">
      <c r="F95" s="3">
        <v>45717</v>
      </c>
      <c r="G95">
        <v>343326.16986884997</v>
      </c>
      <c r="H95">
        <v>358500.397</v>
      </c>
      <c r="I95">
        <v>358500.397</v>
      </c>
      <c r="J95">
        <v>358500.397</v>
      </c>
      <c r="K95">
        <v>358500.397</v>
      </c>
    </row>
    <row r="96" spans="6:11" x14ac:dyDescent="0.25">
      <c r="F96" s="3">
        <v>45748</v>
      </c>
      <c r="G96">
        <v>350427.33890186402</v>
      </c>
      <c r="H96">
        <v>377332.364</v>
      </c>
      <c r="I96">
        <v>377088.61499999999</v>
      </c>
      <c r="J96">
        <v>377332.364</v>
      </c>
      <c r="K96">
        <v>377088.61499999999</v>
      </c>
    </row>
    <row r="97" spans="6:11" x14ac:dyDescent="0.25">
      <c r="F97" s="3">
        <v>45778</v>
      </c>
      <c r="G97">
        <v>312898.47526942199</v>
      </c>
      <c r="H97">
        <v>340540.51500000001</v>
      </c>
      <c r="I97">
        <v>340444.60900000005</v>
      </c>
      <c r="J97">
        <v>340540.51500000001</v>
      </c>
      <c r="K97">
        <v>340444.60900000005</v>
      </c>
    </row>
    <row r="98" spans="6:11" x14ac:dyDescent="0.25">
      <c r="F98" s="3">
        <v>45809</v>
      </c>
      <c r="G98">
        <v>93330.262718154016</v>
      </c>
      <c r="H98">
        <v>115160.93799999999</v>
      </c>
      <c r="I98">
        <v>114792.17599999999</v>
      </c>
      <c r="J98">
        <v>115160.93799999999</v>
      </c>
      <c r="K98">
        <v>114792.17599999999</v>
      </c>
    </row>
    <row r="99" spans="6:11" x14ac:dyDescent="0.25">
      <c r="F99" s="3">
        <v>45839</v>
      </c>
      <c r="G99">
        <v>62740.305734903995</v>
      </c>
      <c r="H99">
        <v>76610.122000000003</v>
      </c>
      <c r="I99">
        <v>76522.956000000006</v>
      </c>
      <c r="J99">
        <v>76610.122000000003</v>
      </c>
      <c r="K99">
        <v>76522.956000000006</v>
      </c>
    </row>
    <row r="100" spans="6:11" x14ac:dyDescent="0.25">
      <c r="F100" s="3">
        <v>45870</v>
      </c>
      <c r="G100">
        <v>80722.911348953989</v>
      </c>
      <c r="H100">
        <v>104498.439</v>
      </c>
      <c r="I100">
        <v>103681.29300000001</v>
      </c>
      <c r="J100">
        <v>104498.439</v>
      </c>
      <c r="K100">
        <v>103681.29300000001</v>
      </c>
    </row>
    <row r="101" spans="6:11" x14ac:dyDescent="0.25">
      <c r="F101" s="3">
        <v>45901</v>
      </c>
      <c r="G101">
        <v>38361.110642063999</v>
      </c>
      <c r="H101">
        <v>51896.036</v>
      </c>
      <c r="I101">
        <v>51391.305999999997</v>
      </c>
      <c r="J101">
        <v>51896.036</v>
      </c>
      <c r="K101">
        <v>51391.305999999997</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 Query_44780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Tore Alden</dc:creator>
  <cp:lastModifiedBy>Tore Alden</cp:lastModifiedBy>
  <dcterms:created xsi:type="dcterms:W3CDTF">2025-12-30T11:30:28Z</dcterms:created>
  <dcterms:modified xsi:type="dcterms:W3CDTF">2025-12-31T16:05:27Z</dcterms:modified>
</cp:coreProperties>
</file>