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3.xml" ContentType="application/vnd.openxmlformats-officedocument.drawingml.chartshape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Feed Grains\"/>
    </mc:Choice>
  </mc:AlternateContent>
  <xr:revisionPtr revIDLastSave="0" documentId="8_{9C387A7D-25F6-483E-8DC5-03F4E6F9F0B1}" xr6:coauthVersionLast="47" xr6:coauthVersionMax="47" xr10:uidLastSave="{00000000-0000-0000-0000-000000000000}"/>
  <bookViews>
    <workbookView xWindow="-24675" yWindow="390" windowWidth="24450" windowHeight="13785" firstSheet="3" activeTab="4" xr2:uid="{C29299F6-CC6A-4D78-8452-C4D5AE0D7994}"/>
  </bookViews>
  <sheets>
    <sheet name="USDA Comp" sheetId="1" r:id="rId1"/>
    <sheet name="FM World" sheetId="2" r:id="rId2"/>
    <sheet name="Argentina" sheetId="3" r:id="rId3"/>
    <sheet name="Brazil" sheetId="4" r:id="rId4"/>
    <sheet name="Brazil Corn by State" sheetId="25" r:id="rId5"/>
    <sheet name="BZ by State 1st Crop" sheetId="29" r:id="rId6"/>
    <sheet name="BZ by State 2nd Crop" sheetId="30" r:id="rId7"/>
    <sheet name="BZ by State 3rd Crop" sheetId="31" r:id="rId8"/>
    <sheet name="Canada" sheetId="5" r:id="rId9"/>
    <sheet name="China" sheetId="6" r:id="rId10"/>
    <sheet name="EU27" sheetId="7" r:id="rId11"/>
    <sheet name="Russia" sheetId="8" r:id="rId12"/>
    <sheet name="Ukraine" sheetId="9" r:id="rId13"/>
    <sheet name="Japan" sheetId="10" r:id="rId14"/>
    <sheet name="South Korea" sheetId="11" r:id="rId15"/>
    <sheet name="Corn World-Major" sheetId="12" r:id="rId16"/>
    <sheet name="Historic WASDE MY 202324" sheetId="13" r:id="rId17"/>
    <sheet name="Historic WASDE MY 202425" sheetId="14" r:id="rId18"/>
    <sheet name="Historic WASDE MY 202526" sheetId="15" r:id="rId19"/>
    <sheet name="Historic Fastmarkets MY 202324" sheetId="16" r:id="rId20"/>
    <sheet name="Historic Fastmarkets MY 202425" sheetId="17" r:id="rId21"/>
    <sheet name="Historic Fastmarkets MY 202526" sheetId="18" r:id="rId22"/>
    <sheet name="Brazil Corn Production by Crop" sheetId="19" r:id="rId23"/>
    <sheet name="Brazil Corn Exports by Month" sheetId="20" r:id="rId24"/>
    <sheet name="Argentina Planted Area by Crop" sheetId="21" r:id="rId25"/>
    <sheet name="Argentine Monthly Corn Exports" sheetId="22" r:id="rId26"/>
    <sheet name="Argy Feed and Residual Annual" sheetId="23" r:id="rId27"/>
    <sheet name="China Feed Demand" sheetId="24" r:id="rId28"/>
  </sheets>
  <externalReferences>
    <externalReference r:id="rId29"/>
    <externalReference r:id="rId30"/>
    <externalReference r:id="rId31"/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3" i="31" l="1"/>
  <c r="AZ97" i="31"/>
  <c r="AZ77" i="31"/>
  <c r="BC116" i="31"/>
  <c r="BB116" i="31"/>
  <c r="AZ117" i="31"/>
  <c r="BD129" i="31"/>
  <c r="BD128" i="31"/>
  <c r="BD125" i="31"/>
  <c r="BD124" i="31"/>
  <c r="BD122" i="31"/>
  <c r="BD121" i="31"/>
  <c r="BD120" i="31"/>
  <c r="BD114" i="31"/>
  <c r="BD113" i="31"/>
  <c r="BD112" i="31"/>
  <c r="BD109" i="31"/>
  <c r="BD108" i="31"/>
  <c r="BD106" i="31"/>
  <c r="BD105" i="31"/>
  <c r="BD104" i="31"/>
  <c r="BD101" i="31"/>
  <c r="BD100" i="31"/>
  <c r="BD96" i="31"/>
  <c r="BD94" i="31"/>
  <c r="BD93" i="31"/>
  <c r="BD92" i="31"/>
  <c r="BD89" i="31"/>
  <c r="BD88" i="31"/>
  <c r="BD86" i="31"/>
  <c r="BD85" i="31"/>
  <c r="BD84" i="31"/>
  <c r="BD82" i="31"/>
  <c r="BD81" i="31"/>
  <c r="BD80" i="31"/>
  <c r="BD76" i="31"/>
  <c r="BD74" i="31"/>
  <c r="BD73" i="31"/>
  <c r="BD72" i="31"/>
  <c r="BD70" i="31"/>
  <c r="BD69" i="31"/>
  <c r="BD68" i="31"/>
  <c r="BD66" i="31"/>
  <c r="BD65" i="31"/>
  <c r="BD64" i="31"/>
  <c r="BD62" i="31"/>
  <c r="BD61" i="31"/>
  <c r="BD60" i="31"/>
  <c r="BD57" i="31"/>
  <c r="BD56" i="31"/>
  <c r="BD54" i="31"/>
  <c r="BD53" i="31"/>
  <c r="BD52" i="31"/>
  <c r="BD50" i="31"/>
  <c r="BD49" i="31"/>
  <c r="BD48" i="31"/>
  <c r="BD46" i="31"/>
  <c r="BD45" i="31"/>
  <c r="BD44" i="31"/>
  <c r="BD41" i="31"/>
  <c r="BD40" i="31"/>
  <c r="BD36" i="31"/>
  <c r="BD33" i="31"/>
  <c r="BD32" i="31"/>
  <c r="BD29" i="31"/>
  <c r="BD28" i="31"/>
  <c r="BD26" i="31"/>
  <c r="BD25" i="31"/>
  <c r="BD24" i="31"/>
  <c r="BD21" i="31"/>
  <c r="BD20" i="31"/>
  <c r="BD18" i="31"/>
  <c r="BD17" i="31"/>
  <c r="BD16" i="31"/>
  <c r="BD14" i="31"/>
  <c r="BD13" i="31"/>
  <c r="BD12" i="31"/>
  <c r="BD9" i="31"/>
  <c r="BD8" i="31"/>
  <c r="BD134" i="30"/>
  <c r="BD133" i="30"/>
  <c r="BD132" i="30"/>
  <c r="BD130" i="30"/>
  <c r="BD129" i="30"/>
  <c r="BD128" i="30"/>
  <c r="BD126" i="30"/>
  <c r="BD125" i="30"/>
  <c r="BD124" i="30"/>
  <c r="BD122" i="30"/>
  <c r="BD121" i="30"/>
  <c r="BD120" i="30"/>
  <c r="BD118" i="30"/>
  <c r="BD117" i="30"/>
  <c r="BD116" i="30"/>
  <c r="BD114" i="30"/>
  <c r="BD113" i="30"/>
  <c r="BD112" i="30"/>
  <c r="BD110" i="30"/>
  <c r="BD109" i="30"/>
  <c r="BD108" i="30"/>
  <c r="BD106" i="30"/>
  <c r="BD105" i="30"/>
  <c r="BD104" i="30"/>
  <c r="BD102" i="30"/>
  <c r="BD101" i="30"/>
  <c r="BD100" i="30"/>
  <c r="BD98" i="30"/>
  <c r="BD97" i="30"/>
  <c r="BD96" i="30"/>
  <c r="BD94" i="30"/>
  <c r="BD93" i="30"/>
  <c r="BD92" i="30"/>
  <c r="BD90" i="30"/>
  <c r="BD89" i="30"/>
  <c r="BD88" i="30"/>
  <c r="BD86" i="30"/>
  <c r="BD85" i="30"/>
  <c r="BD84" i="30"/>
  <c r="BD82" i="30"/>
  <c r="BD81" i="30"/>
  <c r="BD80" i="30"/>
  <c r="BD78" i="30"/>
  <c r="BD77" i="30"/>
  <c r="BD76" i="30"/>
  <c r="BD74" i="30"/>
  <c r="BD73" i="30"/>
  <c r="BD72" i="30"/>
  <c r="BD70" i="30"/>
  <c r="BD69" i="30"/>
  <c r="BD68" i="30"/>
  <c r="BD66" i="30"/>
  <c r="BD65" i="30"/>
  <c r="BD64" i="30"/>
  <c r="BD62" i="30"/>
  <c r="BD61" i="30"/>
  <c r="BD60" i="30"/>
  <c r="BD58" i="30"/>
  <c r="BD57" i="30"/>
  <c r="BD56" i="30"/>
  <c r="BD54" i="30"/>
  <c r="BD53" i="30"/>
  <c r="BD52" i="30"/>
  <c r="BD50" i="30"/>
  <c r="BD49" i="30"/>
  <c r="BD48" i="30"/>
  <c r="BD46" i="30"/>
  <c r="BD45" i="30"/>
  <c r="BD44" i="30"/>
  <c r="BD42" i="30"/>
  <c r="BD41" i="30"/>
  <c r="BD40" i="30"/>
  <c r="BD38" i="30"/>
  <c r="BD37" i="30"/>
  <c r="BD36" i="30"/>
  <c r="BD34" i="30"/>
  <c r="BD33" i="30"/>
  <c r="BD32" i="30"/>
  <c r="BD30" i="30"/>
  <c r="BD29" i="30"/>
  <c r="BD28" i="30"/>
  <c r="BD26" i="30"/>
  <c r="BD25" i="30"/>
  <c r="BD24" i="30"/>
  <c r="BD22" i="30"/>
  <c r="BD21" i="30"/>
  <c r="BD20" i="30"/>
  <c r="BD18" i="30"/>
  <c r="BD17" i="30"/>
  <c r="BD16" i="30"/>
  <c r="BD14" i="30"/>
  <c r="BD13" i="30"/>
  <c r="BD12" i="30"/>
  <c r="BD10" i="30"/>
  <c r="BD9" i="30"/>
  <c r="BD8" i="30"/>
  <c r="BD6" i="30"/>
  <c r="BD5" i="30"/>
  <c r="BD4" i="30"/>
  <c r="BD130" i="29"/>
  <c r="BD129" i="29"/>
  <c r="BD128" i="29"/>
  <c r="BD126" i="29"/>
  <c r="BD125" i="29"/>
  <c r="BD124" i="29"/>
  <c r="BD122" i="29"/>
  <c r="BD121" i="29"/>
  <c r="BD120" i="29"/>
  <c r="BD118" i="29"/>
  <c r="BD117" i="29"/>
  <c r="BD116" i="29"/>
  <c r="BD114" i="29"/>
  <c r="BD113" i="29"/>
  <c r="BD112" i="29"/>
  <c r="BD110" i="29"/>
  <c r="BD109" i="29"/>
  <c r="BD108" i="29"/>
  <c r="BD106" i="29"/>
  <c r="BD105" i="29"/>
  <c r="BD104" i="29"/>
  <c r="BD102" i="29"/>
  <c r="BD101" i="29"/>
  <c r="BD100" i="29"/>
  <c r="BD98" i="29"/>
  <c r="BD97" i="29"/>
  <c r="BD96" i="29"/>
  <c r="BD94" i="29"/>
  <c r="BD93" i="29"/>
  <c r="BD92" i="29"/>
  <c r="BD90" i="29"/>
  <c r="BD89" i="29"/>
  <c r="BD88" i="29"/>
  <c r="BD86" i="29"/>
  <c r="BD85" i="29"/>
  <c r="BD84" i="29"/>
  <c r="BD82" i="29"/>
  <c r="BD81" i="29"/>
  <c r="BD80" i="29"/>
  <c r="BD78" i="29"/>
  <c r="BD77" i="29"/>
  <c r="BD76" i="29"/>
  <c r="BD74" i="29"/>
  <c r="BD73" i="29"/>
  <c r="BD72" i="29"/>
  <c r="BD69" i="29"/>
  <c r="BD68" i="29"/>
  <c r="BD66" i="29"/>
  <c r="BD65" i="29"/>
  <c r="BD64" i="29"/>
  <c r="BD62" i="29"/>
  <c r="BD61" i="29"/>
  <c r="BD60" i="29"/>
  <c r="BD58" i="29"/>
  <c r="BD57" i="29"/>
  <c r="BD56" i="29"/>
  <c r="BD53" i="29"/>
  <c r="BD52" i="29"/>
  <c r="BD50" i="29"/>
  <c r="BD49" i="29"/>
  <c r="BD48" i="29"/>
  <c r="BD47" i="29"/>
  <c r="BD46" i="29"/>
  <c r="BD45" i="29"/>
  <c r="BD44" i="29"/>
  <c r="BD42" i="29"/>
  <c r="BD41" i="29"/>
  <c r="BD40" i="29"/>
  <c r="BD36" i="29"/>
  <c r="BD34" i="29"/>
  <c r="BD33" i="29"/>
  <c r="BD32" i="29"/>
  <c r="BD30" i="29"/>
  <c r="BD29" i="29"/>
  <c r="BD28" i="29"/>
  <c r="BD26" i="29"/>
  <c r="BD25" i="29"/>
  <c r="BD24" i="29"/>
  <c r="BD22" i="29"/>
  <c r="BD21" i="29"/>
  <c r="BD20" i="29"/>
  <c r="BD18" i="29"/>
  <c r="BD17" i="29"/>
  <c r="BD16" i="29"/>
  <c r="BD14" i="29"/>
  <c r="BD13" i="29"/>
  <c r="BD12" i="29"/>
  <c r="BD10" i="29"/>
  <c r="BD9" i="29"/>
  <c r="BD6" i="29"/>
  <c r="BD4" i="29"/>
  <c r="BD8" i="29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Z8" i="25"/>
  <c r="AZ12" i="25"/>
  <c r="AZ16" i="25"/>
  <c r="AZ20" i="25"/>
  <c r="AZ24" i="25"/>
  <c r="AZ28" i="25"/>
  <c r="AZ32" i="25"/>
  <c r="AZ40" i="25"/>
  <c r="AZ44" i="25"/>
  <c r="AZ48" i="25"/>
  <c r="AZ52" i="25"/>
  <c r="AZ56" i="25"/>
  <c r="AZ60" i="25"/>
  <c r="AZ64" i="25"/>
  <c r="AZ68" i="25"/>
  <c r="AZ72" i="25"/>
  <c r="AZ80" i="25"/>
  <c r="AZ84" i="25"/>
  <c r="AZ88" i="25"/>
  <c r="AZ92" i="25"/>
  <c r="AZ100" i="25"/>
  <c r="AZ104" i="25"/>
  <c r="AZ108" i="25"/>
  <c r="AZ112" i="25"/>
  <c r="AZ128" i="25"/>
  <c r="AZ124" i="25"/>
  <c r="AZ120" i="25"/>
  <c r="AZ76" i="31"/>
  <c r="AZ122" i="29"/>
  <c r="AZ86" i="29"/>
  <c r="AZ18" i="29"/>
  <c r="AZ4" i="29"/>
  <c r="AZ14" i="29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O129" i="25" s="1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AY124" i="25"/>
  <c r="AX124" i="25"/>
  <c r="AW124" i="25"/>
  <c r="AV124" i="25"/>
  <c r="AU124" i="25"/>
  <c r="AT124" i="25"/>
  <c r="AS124" i="25"/>
  <c r="AR124" i="25"/>
  <c r="AQ124" i="25"/>
  <c r="AP124" i="25"/>
  <c r="AO124" i="25"/>
  <c r="AN124" i="25"/>
  <c r="AM124" i="25"/>
  <c r="AL124" i="25"/>
  <c r="AK124" i="25"/>
  <c r="AJ124" i="25"/>
  <c r="AI124" i="25"/>
  <c r="AH124" i="25"/>
  <c r="AG124" i="25"/>
  <c r="AF124" i="25"/>
  <c r="AE124" i="25"/>
  <c r="AD124" i="25"/>
  <c r="AC124" i="25"/>
  <c r="AB124" i="25"/>
  <c r="AA124" i="25"/>
  <c r="Z124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Q116" i="25"/>
  <c r="AS114" i="25"/>
  <c r="AR114" i="25"/>
  <c r="AR113" i="25" s="1"/>
  <c r="AQ114" i="25"/>
  <c r="AP114" i="25"/>
  <c r="AO114" i="25"/>
  <c r="AN114" i="25"/>
  <c r="AM114" i="25"/>
  <c r="AL114" i="25"/>
  <c r="AK114" i="25"/>
  <c r="AJ114" i="25"/>
  <c r="AI114" i="25"/>
  <c r="AH114" i="25"/>
  <c r="AG114" i="25"/>
  <c r="AF114" i="25"/>
  <c r="AE114" i="25"/>
  <c r="AD114" i="25"/>
  <c r="AC114" i="25"/>
  <c r="AB114" i="25"/>
  <c r="AA114" i="25"/>
  <c r="Z114" i="25"/>
  <c r="Y114" i="25"/>
  <c r="X114" i="25"/>
  <c r="W114" i="25"/>
  <c r="V114" i="25"/>
  <c r="V113" i="25" s="1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AY112" i="25"/>
  <c r="AX112" i="25"/>
  <c r="AW112" i="25"/>
  <c r="AV112" i="25"/>
  <c r="AU112" i="25"/>
  <c r="AT112" i="25"/>
  <c r="AS112" i="25"/>
  <c r="AR112" i="25"/>
  <c r="AQ112" i="25"/>
  <c r="AP112" i="25"/>
  <c r="AO112" i="25"/>
  <c r="AN112" i="25"/>
  <c r="AM112" i="25"/>
  <c r="AL112" i="25"/>
  <c r="AK112" i="25"/>
  <c r="AJ112" i="25"/>
  <c r="AI112" i="25"/>
  <c r="AH112" i="25"/>
  <c r="AG112" i="25"/>
  <c r="AF112" i="25"/>
  <c r="AE112" i="25"/>
  <c r="AD112" i="25"/>
  <c r="AC112" i="25"/>
  <c r="AB112" i="25"/>
  <c r="AA112" i="25"/>
  <c r="Z112" i="25"/>
  <c r="Y112" i="25"/>
  <c r="X112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AY108" i="25"/>
  <c r="BB108" i="25" s="1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AS102" i="25"/>
  <c r="AR102" i="25"/>
  <c r="AQ102" i="25"/>
  <c r="AP102" i="25"/>
  <c r="AO102" i="25"/>
  <c r="AN102" i="25"/>
  <c r="AM102" i="25"/>
  <c r="AL102" i="25"/>
  <c r="AK102" i="25"/>
  <c r="AK101" i="25" s="1"/>
  <c r="AJ102" i="25"/>
  <c r="AI102" i="25"/>
  <c r="AH102" i="25"/>
  <c r="AG102" i="25"/>
  <c r="AF102" i="25"/>
  <c r="AE102" i="25"/>
  <c r="AD102" i="25"/>
  <c r="AC102" i="25"/>
  <c r="AB102" i="25"/>
  <c r="AA102" i="25"/>
  <c r="Z102" i="25"/>
  <c r="Y102" i="25"/>
  <c r="X102" i="25"/>
  <c r="W102" i="25"/>
  <c r="V102" i="25"/>
  <c r="U102" i="25"/>
  <c r="T102" i="25"/>
  <c r="S102" i="25"/>
  <c r="R102" i="25"/>
  <c r="Q102" i="25"/>
  <c r="P102" i="25"/>
  <c r="O102" i="25"/>
  <c r="O101" i="25" s="1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C101" i="25" s="1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G101" i="25" s="1"/>
  <c r="F100" i="25"/>
  <c r="E100" i="25"/>
  <c r="D100" i="25"/>
  <c r="C100" i="25"/>
  <c r="B100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E93" i="25" s="1"/>
  <c r="AD94" i="25"/>
  <c r="AD93" i="25" s="1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I93" i="25" s="1"/>
  <c r="H94" i="25"/>
  <c r="H93" i="25" s="1"/>
  <c r="G94" i="25"/>
  <c r="F94" i="25"/>
  <c r="E94" i="25"/>
  <c r="D94" i="25"/>
  <c r="C94" i="25"/>
  <c r="AY92" i="25"/>
  <c r="AX92" i="25"/>
  <c r="AW92" i="25"/>
  <c r="AV92" i="25"/>
  <c r="AU92" i="25"/>
  <c r="AT92" i="25"/>
  <c r="AS92" i="25"/>
  <c r="AR92" i="25"/>
  <c r="AQ92" i="25"/>
  <c r="AP92" i="25"/>
  <c r="AO92" i="25"/>
  <c r="AN92" i="25"/>
  <c r="AM92" i="25"/>
  <c r="AL92" i="25"/>
  <c r="AK92" i="25"/>
  <c r="AJ92" i="25"/>
  <c r="AI92" i="25"/>
  <c r="AH92" i="25"/>
  <c r="AG92" i="25"/>
  <c r="AF92" i="25"/>
  <c r="AE92" i="25"/>
  <c r="AD92" i="25"/>
  <c r="AC92" i="25"/>
  <c r="AB92" i="25"/>
  <c r="AA92" i="25"/>
  <c r="Z92" i="25"/>
  <c r="Y92" i="25"/>
  <c r="X92" i="25"/>
  <c r="W92" i="25"/>
  <c r="V92" i="25"/>
  <c r="U92" i="25"/>
  <c r="T92" i="25"/>
  <c r="S92" i="25"/>
  <c r="R92" i="25"/>
  <c r="Q92" i="25"/>
  <c r="P92" i="25"/>
  <c r="O92" i="25"/>
  <c r="N92" i="25"/>
  <c r="M92" i="25"/>
  <c r="L92" i="25"/>
  <c r="K92" i="25"/>
  <c r="J92" i="25"/>
  <c r="I92" i="25"/>
  <c r="H92" i="25"/>
  <c r="G92" i="25"/>
  <c r="F92" i="25"/>
  <c r="E92" i="25"/>
  <c r="D92" i="25"/>
  <c r="C92" i="25"/>
  <c r="B92" i="25"/>
  <c r="AS90" i="25"/>
  <c r="AR90" i="25"/>
  <c r="AQ90" i="25"/>
  <c r="AP90" i="25"/>
  <c r="AO90" i="25"/>
  <c r="AN90" i="25"/>
  <c r="AM90" i="25"/>
  <c r="AL90" i="25"/>
  <c r="AK90" i="25"/>
  <c r="AJ90" i="25"/>
  <c r="AI90" i="25"/>
  <c r="AH90" i="25"/>
  <c r="AG90" i="25"/>
  <c r="AF90" i="25"/>
  <c r="AE90" i="25"/>
  <c r="AD90" i="25"/>
  <c r="AC90" i="25"/>
  <c r="AB90" i="25"/>
  <c r="AA90" i="25"/>
  <c r="Z90" i="25"/>
  <c r="Y90" i="25"/>
  <c r="X90" i="25"/>
  <c r="W90" i="25"/>
  <c r="V90" i="25"/>
  <c r="U90" i="25"/>
  <c r="T90" i="25"/>
  <c r="S90" i="25"/>
  <c r="R90" i="25"/>
  <c r="Q90" i="25"/>
  <c r="P90" i="25"/>
  <c r="O90" i="25"/>
  <c r="N90" i="25"/>
  <c r="M90" i="25"/>
  <c r="L90" i="25"/>
  <c r="K90" i="25"/>
  <c r="J90" i="25"/>
  <c r="I90" i="25"/>
  <c r="H90" i="25"/>
  <c r="G90" i="25"/>
  <c r="F90" i="25"/>
  <c r="E90" i="25"/>
  <c r="D90" i="25"/>
  <c r="C90" i="25"/>
  <c r="AY88" i="25"/>
  <c r="AX88" i="25"/>
  <c r="AW88" i="25"/>
  <c r="AV88" i="25"/>
  <c r="AU88" i="25"/>
  <c r="AT88" i="25"/>
  <c r="AS88" i="25"/>
  <c r="AR88" i="25"/>
  <c r="AQ88" i="25"/>
  <c r="AP88" i="25"/>
  <c r="AO88" i="25"/>
  <c r="AO89" i="25" s="1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S89" i="25" s="1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O85" i="25" s="1"/>
  <c r="N86" i="25"/>
  <c r="M86" i="25"/>
  <c r="L86" i="25"/>
  <c r="K86" i="25"/>
  <c r="J86" i="25"/>
  <c r="I86" i="25"/>
  <c r="H86" i="25"/>
  <c r="G86" i="25"/>
  <c r="F86" i="25"/>
  <c r="E86" i="25"/>
  <c r="D86" i="25"/>
  <c r="C86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AY80" i="25"/>
  <c r="AX80" i="25"/>
  <c r="AW80" i="25"/>
  <c r="AV80" i="25"/>
  <c r="AU80" i="25"/>
  <c r="AT80" i="25"/>
  <c r="AS80" i="25"/>
  <c r="AR80" i="25"/>
  <c r="AQ80" i="25"/>
  <c r="AP80" i="25"/>
  <c r="AO80" i="25"/>
  <c r="AN80" i="25"/>
  <c r="AM80" i="25"/>
  <c r="AL80" i="25"/>
  <c r="AL81" i="25" s="1"/>
  <c r="AK80" i="25"/>
  <c r="AJ80" i="25"/>
  <c r="AI80" i="25"/>
  <c r="AH80" i="25"/>
  <c r="AG80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S81" i="25" s="1"/>
  <c r="R80" i="25"/>
  <c r="R81" i="25" s="1"/>
  <c r="Q80" i="25"/>
  <c r="P80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C80" i="25"/>
  <c r="B80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AS70" i="25"/>
  <c r="AR70" i="25"/>
  <c r="AQ70" i="25"/>
  <c r="AP70" i="25"/>
  <c r="AO70" i="25"/>
  <c r="AN70" i="25"/>
  <c r="AM70" i="25"/>
  <c r="AL70" i="25"/>
  <c r="AK70" i="25"/>
  <c r="AJ70" i="25"/>
  <c r="AI70" i="25"/>
  <c r="AH70" i="25"/>
  <c r="AG70" i="25"/>
  <c r="AF70" i="25"/>
  <c r="AE70" i="25"/>
  <c r="AD70" i="25"/>
  <c r="AC70" i="25"/>
  <c r="AB70" i="25"/>
  <c r="AA70" i="25"/>
  <c r="Z70" i="25"/>
  <c r="Y70" i="25"/>
  <c r="X70" i="25"/>
  <c r="W70" i="25"/>
  <c r="V70" i="25"/>
  <c r="U70" i="25"/>
  <c r="T70" i="25"/>
  <c r="S70" i="25"/>
  <c r="R70" i="25"/>
  <c r="Q70" i="25"/>
  <c r="P70" i="25"/>
  <c r="O70" i="25"/>
  <c r="N70" i="25"/>
  <c r="M70" i="25"/>
  <c r="L70" i="25"/>
  <c r="K70" i="25"/>
  <c r="J70" i="25"/>
  <c r="I70" i="25"/>
  <c r="H70" i="25"/>
  <c r="G70" i="25"/>
  <c r="F70" i="25"/>
  <c r="E70" i="25"/>
  <c r="D70" i="25"/>
  <c r="C70" i="25"/>
  <c r="AY68" i="25"/>
  <c r="AX68" i="25"/>
  <c r="AW68" i="25"/>
  <c r="AV68" i="25"/>
  <c r="AU68" i="25"/>
  <c r="AT68" i="25"/>
  <c r="AS68" i="25"/>
  <c r="AR68" i="25"/>
  <c r="AQ68" i="25"/>
  <c r="AP68" i="25"/>
  <c r="AO68" i="25"/>
  <c r="AN68" i="25"/>
  <c r="AM68" i="25"/>
  <c r="AL68" i="25"/>
  <c r="AK68" i="25"/>
  <c r="AJ68" i="25"/>
  <c r="AI68" i="25"/>
  <c r="AH68" i="25"/>
  <c r="AG68" i="25"/>
  <c r="AF68" i="25"/>
  <c r="AE68" i="25"/>
  <c r="AD68" i="25"/>
  <c r="AC68" i="25"/>
  <c r="AB68" i="25"/>
  <c r="AA68" i="25"/>
  <c r="Z68" i="25"/>
  <c r="Y68" i="25"/>
  <c r="X68" i="25"/>
  <c r="W68" i="25"/>
  <c r="V68" i="25"/>
  <c r="U68" i="25"/>
  <c r="T68" i="25"/>
  <c r="S68" i="25"/>
  <c r="S69" i="25" s="1"/>
  <c r="R68" i="25"/>
  <c r="Q68" i="25"/>
  <c r="P68" i="25"/>
  <c r="O68" i="25"/>
  <c r="N68" i="25"/>
  <c r="M68" i="25"/>
  <c r="L68" i="25"/>
  <c r="K68" i="25"/>
  <c r="J68" i="25"/>
  <c r="I68" i="25"/>
  <c r="H68" i="25"/>
  <c r="G68" i="25"/>
  <c r="F68" i="25"/>
  <c r="E68" i="25"/>
  <c r="D68" i="25"/>
  <c r="C68" i="25"/>
  <c r="B68" i="25"/>
  <c r="AS66" i="25"/>
  <c r="AR66" i="25"/>
  <c r="AQ66" i="25"/>
  <c r="AP66" i="25"/>
  <c r="AO66" i="25"/>
  <c r="AN66" i="25"/>
  <c r="AM66" i="25"/>
  <c r="AL66" i="25"/>
  <c r="AK66" i="25"/>
  <c r="AJ66" i="25"/>
  <c r="AI66" i="25"/>
  <c r="AH66" i="25"/>
  <c r="AG66" i="25"/>
  <c r="AF66" i="25"/>
  <c r="AE66" i="25"/>
  <c r="AD66" i="25"/>
  <c r="AC66" i="25"/>
  <c r="AB66" i="25"/>
  <c r="AA66" i="25"/>
  <c r="Z66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AY64" i="25"/>
  <c r="AX64" i="25"/>
  <c r="AW64" i="25"/>
  <c r="AV64" i="25"/>
  <c r="AU64" i="25"/>
  <c r="AT64" i="25"/>
  <c r="AS64" i="25"/>
  <c r="AR64" i="25"/>
  <c r="AQ64" i="25"/>
  <c r="AP64" i="25"/>
  <c r="AO64" i="25"/>
  <c r="AN64" i="25"/>
  <c r="AM64" i="25"/>
  <c r="AL64" i="25"/>
  <c r="AK64" i="25"/>
  <c r="AJ64" i="25"/>
  <c r="AI64" i="25"/>
  <c r="AH64" i="25"/>
  <c r="AG64" i="25"/>
  <c r="AF64" i="25"/>
  <c r="AE64" i="25"/>
  <c r="AD64" i="25"/>
  <c r="AC64" i="25"/>
  <c r="AB64" i="25"/>
  <c r="AA64" i="25"/>
  <c r="Z64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AS62" i="25"/>
  <c r="AR62" i="25"/>
  <c r="AQ62" i="25"/>
  <c r="AP62" i="25"/>
  <c r="AO62" i="25"/>
  <c r="AN62" i="25"/>
  <c r="AM62" i="25"/>
  <c r="AL62" i="25"/>
  <c r="AK62" i="25"/>
  <c r="AJ62" i="25"/>
  <c r="AI62" i="25"/>
  <c r="AH62" i="25"/>
  <c r="AG62" i="25"/>
  <c r="AF62" i="25"/>
  <c r="AE62" i="25"/>
  <c r="AD62" i="25"/>
  <c r="AC62" i="25"/>
  <c r="AB62" i="25"/>
  <c r="AA62" i="25"/>
  <c r="Z62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AY60" i="25"/>
  <c r="AX60" i="25"/>
  <c r="AW60" i="25"/>
  <c r="AV60" i="25"/>
  <c r="AU60" i="25"/>
  <c r="AT60" i="25"/>
  <c r="AS60" i="25"/>
  <c r="AR60" i="25"/>
  <c r="AQ60" i="25"/>
  <c r="AP60" i="25"/>
  <c r="AO60" i="25"/>
  <c r="AN60" i="25"/>
  <c r="AM60" i="25"/>
  <c r="AL60" i="25"/>
  <c r="AK60" i="25"/>
  <c r="AJ60" i="25"/>
  <c r="AI60" i="25"/>
  <c r="AH60" i="25"/>
  <c r="AG60" i="25"/>
  <c r="AF60" i="25"/>
  <c r="AE60" i="25"/>
  <c r="AD60" i="25"/>
  <c r="AC60" i="25"/>
  <c r="AB60" i="25"/>
  <c r="AA60" i="25"/>
  <c r="Z60" i="25"/>
  <c r="Z61" i="25" s="1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D61" i="25" s="1"/>
  <c r="C60" i="25"/>
  <c r="B60" i="25"/>
  <c r="AS58" i="25"/>
  <c r="AR58" i="25"/>
  <c r="AQ58" i="25"/>
  <c r="AP58" i="25"/>
  <c r="AO58" i="25"/>
  <c r="AN58" i="25"/>
  <c r="AM58" i="25"/>
  <c r="AL58" i="25"/>
  <c r="AK58" i="25"/>
  <c r="AJ58" i="25"/>
  <c r="AI58" i="25"/>
  <c r="AH58" i="25"/>
  <c r="AG58" i="25"/>
  <c r="AF58" i="25"/>
  <c r="AE58" i="25"/>
  <c r="AD58" i="25"/>
  <c r="AC58" i="25"/>
  <c r="AB58" i="25"/>
  <c r="AA58" i="25"/>
  <c r="AA57" i="25" s="1"/>
  <c r="Z58" i="25"/>
  <c r="Y58" i="25"/>
  <c r="X58" i="25"/>
  <c r="W58" i="25"/>
  <c r="V58" i="25"/>
  <c r="U58" i="25"/>
  <c r="T58" i="25"/>
  <c r="S58" i="25"/>
  <c r="R58" i="25"/>
  <c r="Q58" i="25"/>
  <c r="P58" i="25"/>
  <c r="O58" i="25"/>
  <c r="N58" i="25"/>
  <c r="M58" i="25"/>
  <c r="L58" i="25"/>
  <c r="K58" i="25"/>
  <c r="J58" i="25"/>
  <c r="I58" i="25"/>
  <c r="H58" i="25"/>
  <c r="G58" i="25"/>
  <c r="F58" i="25"/>
  <c r="E58" i="25"/>
  <c r="E57" i="25" s="1"/>
  <c r="D58" i="25"/>
  <c r="C58" i="25"/>
  <c r="AY56" i="25"/>
  <c r="AX56" i="25"/>
  <c r="AW56" i="25"/>
  <c r="AV56" i="25"/>
  <c r="AU56" i="25"/>
  <c r="AT56" i="25"/>
  <c r="AS56" i="25"/>
  <c r="AR56" i="25"/>
  <c r="AQ56" i="25"/>
  <c r="AQ57" i="25" s="1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AY48" i="25"/>
  <c r="AX48" i="25"/>
  <c r="AW48" i="25"/>
  <c r="AV48" i="25"/>
  <c r="AU48" i="25"/>
  <c r="AT48" i="25"/>
  <c r="AS48" i="25"/>
  <c r="AR48" i="25"/>
  <c r="AQ48" i="25"/>
  <c r="AP48" i="25"/>
  <c r="AO48" i="25"/>
  <c r="AN48" i="25"/>
  <c r="AM48" i="25"/>
  <c r="AL48" i="25"/>
  <c r="AK48" i="25"/>
  <c r="AJ48" i="25"/>
  <c r="AI48" i="25"/>
  <c r="AH48" i="25"/>
  <c r="AG48" i="25"/>
  <c r="AF48" i="25"/>
  <c r="AE48" i="25"/>
  <c r="AD48" i="25"/>
  <c r="AC48" i="25"/>
  <c r="AB48" i="25"/>
  <c r="AA48" i="25"/>
  <c r="Z48" i="25"/>
  <c r="Y48" i="25"/>
  <c r="X48" i="25"/>
  <c r="W48" i="25"/>
  <c r="V48" i="25"/>
  <c r="U48" i="25"/>
  <c r="T48" i="25"/>
  <c r="S48" i="25"/>
  <c r="R48" i="25"/>
  <c r="Q48" i="25"/>
  <c r="P48" i="25"/>
  <c r="O48" i="25"/>
  <c r="N48" i="25"/>
  <c r="M48" i="25"/>
  <c r="L48" i="25"/>
  <c r="K48" i="25"/>
  <c r="J48" i="25"/>
  <c r="I48" i="25"/>
  <c r="H48" i="25"/>
  <c r="G48" i="25"/>
  <c r="F48" i="25"/>
  <c r="E48" i="25"/>
  <c r="D48" i="25"/>
  <c r="C48" i="25"/>
  <c r="B48" i="25"/>
  <c r="AS46" i="25"/>
  <c r="AR46" i="25"/>
  <c r="AQ46" i="25"/>
  <c r="AP46" i="25"/>
  <c r="AO46" i="25"/>
  <c r="AN46" i="25"/>
  <c r="AM46" i="25"/>
  <c r="AL46" i="25"/>
  <c r="AK46" i="25"/>
  <c r="AJ46" i="25"/>
  <c r="AI46" i="25"/>
  <c r="AH46" i="25"/>
  <c r="AG46" i="25"/>
  <c r="AF46" i="25"/>
  <c r="AE46" i="25"/>
  <c r="AD46" i="25"/>
  <c r="AC46" i="25"/>
  <c r="AB46" i="25"/>
  <c r="AA46" i="25"/>
  <c r="Z46" i="25"/>
  <c r="Y46" i="25"/>
  <c r="X46" i="25"/>
  <c r="W46" i="25"/>
  <c r="V46" i="25"/>
  <c r="U46" i="25"/>
  <c r="T46" i="25"/>
  <c r="S46" i="25"/>
  <c r="R46" i="25"/>
  <c r="Q46" i="25"/>
  <c r="P46" i="25"/>
  <c r="O46" i="25"/>
  <c r="N46" i="25"/>
  <c r="M46" i="25"/>
  <c r="L46" i="25"/>
  <c r="K46" i="25"/>
  <c r="J46" i="25"/>
  <c r="I46" i="25"/>
  <c r="H46" i="25"/>
  <c r="G46" i="25"/>
  <c r="F46" i="25"/>
  <c r="E46" i="25"/>
  <c r="D46" i="25"/>
  <c r="C46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AS26" i="25"/>
  <c r="AR26" i="25"/>
  <c r="AQ26" i="25"/>
  <c r="AP26" i="25"/>
  <c r="AO26" i="25"/>
  <c r="AN26" i="25"/>
  <c r="AM26" i="25"/>
  <c r="AL26" i="25"/>
  <c r="AK26" i="25"/>
  <c r="AJ26" i="25"/>
  <c r="AI26" i="25"/>
  <c r="AH26" i="25"/>
  <c r="AG26" i="25"/>
  <c r="AF26" i="25"/>
  <c r="AE26" i="25"/>
  <c r="AD26" i="25"/>
  <c r="AC26" i="25"/>
  <c r="AB26" i="25"/>
  <c r="AA26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AY24" i="25"/>
  <c r="AX24" i="25"/>
  <c r="AW24" i="25"/>
  <c r="AV24" i="25"/>
  <c r="AU24" i="25"/>
  <c r="AT24" i="25"/>
  <c r="AS24" i="25"/>
  <c r="AR24" i="25"/>
  <c r="AQ24" i="25"/>
  <c r="AP24" i="25"/>
  <c r="AO24" i="25"/>
  <c r="AN24" i="25"/>
  <c r="AM24" i="25"/>
  <c r="AL24" i="25"/>
  <c r="AK24" i="25"/>
  <c r="AJ24" i="25"/>
  <c r="AI24" i="25"/>
  <c r="AH24" i="25"/>
  <c r="AG24" i="25"/>
  <c r="AF24" i="25"/>
  <c r="AF25" i="25" s="1"/>
  <c r="AE24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24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Y21" i="25" s="1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C21" i="25" s="1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AS14" i="25"/>
  <c r="AR14" i="25"/>
  <c r="AQ14" i="25"/>
  <c r="AP14" i="25"/>
  <c r="AO14" i="25"/>
  <c r="AN14" i="25"/>
  <c r="AM14" i="25"/>
  <c r="AL14" i="25"/>
  <c r="AK14" i="25"/>
  <c r="AJ14" i="25"/>
  <c r="AI14" i="25"/>
  <c r="AH14" i="25"/>
  <c r="AG14" i="25"/>
  <c r="AF14" i="25"/>
  <c r="AE14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AJ13" i="25"/>
  <c r="AY12" i="25"/>
  <c r="AX12" i="25"/>
  <c r="AW12" i="25"/>
  <c r="AV12" i="25"/>
  <c r="AU12" i="25"/>
  <c r="AT12" i="25"/>
  <c r="AS12" i="25"/>
  <c r="AR12" i="25"/>
  <c r="AQ12" i="25"/>
  <c r="AP12" i="25"/>
  <c r="AO12" i="25"/>
  <c r="AN12" i="25"/>
  <c r="AM12" i="25"/>
  <c r="AL12" i="25"/>
  <c r="AK12" i="25"/>
  <c r="AJ12" i="25"/>
  <c r="AI12" i="25"/>
  <c r="AH12" i="25"/>
  <c r="AG12" i="25"/>
  <c r="AF12" i="25"/>
  <c r="AE12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N13" i="25" s="1"/>
  <c r="M12" i="25"/>
  <c r="L12" i="25"/>
  <c r="K12" i="25"/>
  <c r="J12" i="25"/>
  <c r="I12" i="25"/>
  <c r="H12" i="25"/>
  <c r="G12" i="25"/>
  <c r="F12" i="25"/>
  <c r="E12" i="25"/>
  <c r="D12" i="25"/>
  <c r="C12" i="25"/>
  <c r="B12" i="25"/>
  <c r="AS10" i="25"/>
  <c r="AR10" i="25"/>
  <c r="AQ10" i="25"/>
  <c r="AP10" i="25"/>
  <c r="AO10" i="25"/>
  <c r="AN10" i="25"/>
  <c r="AM10" i="25"/>
  <c r="AL10" i="25"/>
  <c r="AK10" i="25"/>
  <c r="AJ10" i="25"/>
  <c r="AI10" i="25"/>
  <c r="AH10" i="25"/>
  <c r="AG10" i="25"/>
  <c r="AF10" i="25"/>
  <c r="AE10" i="25"/>
  <c r="AD10" i="25"/>
  <c r="AC10" i="25"/>
  <c r="AB10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AY8" i="25"/>
  <c r="AX8" i="25"/>
  <c r="AW8" i="25"/>
  <c r="AV8" i="25"/>
  <c r="AU8" i="25"/>
  <c r="AT8" i="25"/>
  <c r="AS8" i="25"/>
  <c r="AR8" i="25"/>
  <c r="AQ8" i="25"/>
  <c r="AP8" i="25"/>
  <c r="AO8" i="25"/>
  <c r="AN8" i="25"/>
  <c r="AM8" i="25"/>
  <c r="AL8" i="25"/>
  <c r="AK8" i="25"/>
  <c r="AJ8" i="25"/>
  <c r="AI8" i="25"/>
  <c r="AH8" i="25"/>
  <c r="AG8" i="25"/>
  <c r="AF8" i="25"/>
  <c r="AE8" i="25"/>
  <c r="AD8" i="25"/>
  <c r="AC8" i="25"/>
  <c r="AB8" i="25"/>
  <c r="AA8" i="25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F8" i="25"/>
  <c r="E8" i="25"/>
  <c r="D8" i="25"/>
  <c r="C8" i="25"/>
  <c r="B8" i="25"/>
  <c r="AW4" i="31"/>
  <c r="AW14" i="31"/>
  <c r="AB77" i="31"/>
  <c r="AG77" i="31"/>
  <c r="B54" i="31"/>
  <c r="AT54" i="31"/>
  <c r="AU54" i="31"/>
  <c r="AV54" i="31"/>
  <c r="AW54" i="31"/>
  <c r="AX54" i="31"/>
  <c r="AY54" i="31"/>
  <c r="AZ130" i="31"/>
  <c r="AY130" i="31"/>
  <c r="AX130" i="31"/>
  <c r="BD130" i="31" s="1"/>
  <c r="AW130" i="31"/>
  <c r="AV130" i="31"/>
  <c r="AU130" i="31"/>
  <c r="AT130" i="31"/>
  <c r="B130" i="31"/>
  <c r="BC129" i="31"/>
  <c r="BB129" i="31"/>
  <c r="BA129" i="31"/>
  <c r="BC128" i="31"/>
  <c r="BB128" i="31"/>
  <c r="BA128" i="31"/>
  <c r="AZ126" i="31"/>
  <c r="AY126" i="31"/>
  <c r="AX126" i="31"/>
  <c r="BD126" i="31" s="1"/>
  <c r="AW126" i="31"/>
  <c r="AV126" i="31"/>
  <c r="AU126" i="31"/>
  <c r="AT126" i="31"/>
  <c r="B126" i="31"/>
  <c r="BC125" i="31"/>
  <c r="BB125" i="31"/>
  <c r="BA125" i="31"/>
  <c r="BC124" i="31"/>
  <c r="BB124" i="31"/>
  <c r="BA124" i="31"/>
  <c r="AZ122" i="31"/>
  <c r="AY122" i="31"/>
  <c r="AX122" i="31"/>
  <c r="AW122" i="31"/>
  <c r="AV122" i="31"/>
  <c r="AU122" i="31"/>
  <c r="AT122" i="31"/>
  <c r="BC121" i="31"/>
  <c r="BB121" i="31"/>
  <c r="BA121" i="31"/>
  <c r="BC120" i="31"/>
  <c r="BB120" i="31"/>
  <c r="BA120" i="31"/>
  <c r="AS118" i="31"/>
  <c r="AR118" i="31"/>
  <c r="AQ118" i="31"/>
  <c r="AP118" i="31"/>
  <c r="AO118" i="31"/>
  <c r="AN118" i="31"/>
  <c r="AM118" i="31"/>
  <c r="AL118" i="31"/>
  <c r="AK118" i="31"/>
  <c r="AJ118" i="31"/>
  <c r="AI118" i="31"/>
  <c r="AH118" i="31"/>
  <c r="AG118" i="31"/>
  <c r="AF118" i="31"/>
  <c r="AE118" i="31"/>
  <c r="AD118" i="31"/>
  <c r="AC118" i="31"/>
  <c r="AB118" i="31"/>
  <c r="AA118" i="31"/>
  <c r="Z118" i="31"/>
  <c r="Y118" i="31"/>
  <c r="X118" i="31"/>
  <c r="W118" i="31"/>
  <c r="V118" i="31"/>
  <c r="U118" i="31"/>
  <c r="T118" i="31"/>
  <c r="S118" i="31"/>
  <c r="R118" i="31"/>
  <c r="R117" i="31" s="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AI117" i="31"/>
  <c r="J117" i="31"/>
  <c r="AZ116" i="31"/>
  <c r="AY116" i="31"/>
  <c r="AX116" i="31"/>
  <c r="AW116" i="31"/>
  <c r="AV116" i="31"/>
  <c r="AU116" i="31"/>
  <c r="AT116" i="31"/>
  <c r="AS116" i="31"/>
  <c r="BD116" i="31" s="1"/>
  <c r="AR116" i="31"/>
  <c r="AQ116" i="31"/>
  <c r="AP116" i="31"/>
  <c r="AO116" i="31"/>
  <c r="AN116" i="31"/>
  <c r="AM116" i="31"/>
  <c r="AL116" i="31"/>
  <c r="AL117" i="31" s="1"/>
  <c r="AK116" i="31"/>
  <c r="AK117" i="31" s="1"/>
  <c r="AJ116" i="31"/>
  <c r="AJ117" i="31" s="1"/>
  <c r="AI116" i="31"/>
  <c r="AH116" i="31"/>
  <c r="AH117" i="31" s="1"/>
  <c r="AG116" i="31"/>
  <c r="AG117" i="31" s="1"/>
  <c r="AF116" i="31"/>
  <c r="AE116" i="31"/>
  <c r="AE117" i="31" s="1"/>
  <c r="AD116" i="31"/>
  <c r="AC116" i="31"/>
  <c r="AB116" i="31"/>
  <c r="AA116" i="31"/>
  <c r="Z116" i="31"/>
  <c r="Y116" i="31"/>
  <c r="X116" i="31"/>
  <c r="W116" i="31"/>
  <c r="V116" i="31"/>
  <c r="U116" i="31"/>
  <c r="T116" i="31"/>
  <c r="S116" i="31"/>
  <c r="R116" i="31"/>
  <c r="Q116" i="31"/>
  <c r="P116" i="31"/>
  <c r="P117" i="31" s="1"/>
  <c r="O116" i="31"/>
  <c r="O117" i="31" s="1"/>
  <c r="N116" i="31"/>
  <c r="N117" i="31" s="1"/>
  <c r="M116" i="31"/>
  <c r="M117" i="31" s="1"/>
  <c r="L116" i="31"/>
  <c r="L117" i="31" s="1"/>
  <c r="K116" i="31"/>
  <c r="J116" i="31"/>
  <c r="I116" i="31"/>
  <c r="I117" i="31" s="1"/>
  <c r="H116" i="31"/>
  <c r="G116" i="31"/>
  <c r="F116" i="31"/>
  <c r="E116" i="31"/>
  <c r="D116" i="31"/>
  <c r="C116" i="31"/>
  <c r="B116" i="31"/>
  <c r="AZ114" i="31"/>
  <c r="AY114" i="31"/>
  <c r="AX114" i="31"/>
  <c r="AW114" i="31"/>
  <c r="AV114" i="31"/>
  <c r="AU114" i="31"/>
  <c r="AT114" i="31"/>
  <c r="B114" i="31"/>
  <c r="BC113" i="31"/>
  <c r="BB113" i="31"/>
  <c r="BA113" i="31"/>
  <c r="BC112" i="31"/>
  <c r="BB112" i="31"/>
  <c r="BA112" i="31"/>
  <c r="AZ110" i="31"/>
  <c r="AY110" i="31"/>
  <c r="AX110" i="31"/>
  <c r="BD110" i="31" s="1"/>
  <c r="AW110" i="31"/>
  <c r="AV110" i="31"/>
  <c r="AU110" i="31"/>
  <c r="AT110" i="31"/>
  <c r="B110" i="31"/>
  <c r="BC109" i="31"/>
  <c r="BB109" i="31"/>
  <c r="BA109" i="31"/>
  <c r="BC108" i="31"/>
  <c r="BB108" i="31"/>
  <c r="BA108" i="31"/>
  <c r="AZ106" i="31"/>
  <c r="AY106" i="31"/>
  <c r="AX106" i="31"/>
  <c r="AW106" i="31"/>
  <c r="AV106" i="31"/>
  <c r="AU106" i="31"/>
  <c r="AT106" i="31"/>
  <c r="B106" i="31"/>
  <c r="BC105" i="31"/>
  <c r="BB105" i="31"/>
  <c r="BA105" i="31"/>
  <c r="BC104" i="31"/>
  <c r="BB104" i="31"/>
  <c r="BA104" i="31"/>
  <c r="AZ102" i="31"/>
  <c r="AY102" i="31"/>
  <c r="AX102" i="31"/>
  <c r="BD102" i="31" s="1"/>
  <c r="AW102" i="31"/>
  <c r="AV102" i="31"/>
  <c r="AU102" i="31"/>
  <c r="AT102" i="31"/>
  <c r="B102" i="31"/>
  <c r="B102" i="25" s="1"/>
  <c r="BC101" i="31"/>
  <c r="BB101" i="31"/>
  <c r="BA101" i="31"/>
  <c r="BC100" i="31"/>
  <c r="BB100" i="31"/>
  <c r="BA100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S97" i="31" s="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AZ96" i="31"/>
  <c r="AY96" i="31"/>
  <c r="AX96" i="31"/>
  <c r="BC96" i="31" s="1"/>
  <c r="AW96" i="31"/>
  <c r="AV96" i="31"/>
  <c r="AU96" i="31"/>
  <c r="AT96" i="31"/>
  <c r="AS96" i="31"/>
  <c r="AR96" i="31"/>
  <c r="AQ96" i="31"/>
  <c r="AP96" i="31"/>
  <c r="AO96" i="31"/>
  <c r="AN96" i="31"/>
  <c r="AM96" i="31"/>
  <c r="AM97" i="31" s="1"/>
  <c r="AL96" i="31"/>
  <c r="AL97" i="31" s="1"/>
  <c r="AK96" i="31"/>
  <c r="AK97" i="31" s="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V97" i="31" s="1"/>
  <c r="U96" i="31"/>
  <c r="T96" i="31"/>
  <c r="S96" i="31"/>
  <c r="R96" i="31"/>
  <c r="Q96" i="31"/>
  <c r="P96" i="31"/>
  <c r="P97" i="31" s="1"/>
  <c r="O96" i="31"/>
  <c r="O97" i="31" s="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AZ94" i="31"/>
  <c r="AY94" i="31"/>
  <c r="AX94" i="31"/>
  <c r="AW94" i="31"/>
  <c r="AV94" i="31"/>
  <c r="AU94" i="31"/>
  <c r="AT94" i="31"/>
  <c r="B94" i="31"/>
  <c r="BC93" i="31"/>
  <c r="BB93" i="31"/>
  <c r="BA93" i="31"/>
  <c r="BC92" i="31"/>
  <c r="BB92" i="31"/>
  <c r="BA92" i="31"/>
  <c r="AZ90" i="31"/>
  <c r="AY90" i="31"/>
  <c r="AX90" i="31"/>
  <c r="BD90" i="31" s="1"/>
  <c r="AW90" i="31"/>
  <c r="AV90" i="31"/>
  <c r="AU90" i="31"/>
  <c r="AT90" i="31"/>
  <c r="AT90" i="25" s="1"/>
  <c r="B90" i="31"/>
  <c r="BC89" i="31"/>
  <c r="BB89" i="31"/>
  <c r="BA89" i="31"/>
  <c r="BC88" i="31"/>
  <c r="BB88" i="31"/>
  <c r="BA88" i="31"/>
  <c r="AZ86" i="31"/>
  <c r="AY86" i="31"/>
  <c r="AX86" i="31"/>
  <c r="BB86" i="31" s="1"/>
  <c r="AW86" i="31"/>
  <c r="AV86" i="31"/>
  <c r="AU86" i="31"/>
  <c r="AT86" i="31"/>
  <c r="B86" i="31"/>
  <c r="BC85" i="31"/>
  <c r="BB85" i="31"/>
  <c r="BA85" i="31"/>
  <c r="BC84" i="31"/>
  <c r="BB84" i="31"/>
  <c r="BA84" i="31"/>
  <c r="AZ82" i="31"/>
  <c r="AY82" i="31"/>
  <c r="AX82" i="31"/>
  <c r="AW82" i="31"/>
  <c r="AV82" i="31"/>
  <c r="AU82" i="31"/>
  <c r="AU82" i="25" s="1"/>
  <c r="AT82" i="31"/>
  <c r="B82" i="31"/>
  <c r="BC81" i="31"/>
  <c r="BB81" i="31"/>
  <c r="BA81" i="31"/>
  <c r="BC80" i="31"/>
  <c r="BB80" i="31"/>
  <c r="BA80" i="31"/>
  <c r="AS78" i="31"/>
  <c r="AR78" i="31"/>
  <c r="AR77" i="31" s="1"/>
  <c r="AQ78" i="31"/>
  <c r="AQ77" i="31" s="1"/>
  <c r="AP78" i="31"/>
  <c r="AP77" i="31" s="1"/>
  <c r="AO78" i="31"/>
  <c r="AN78" i="31"/>
  <c r="AM78" i="31"/>
  <c r="AL78" i="31"/>
  <c r="AL77" i="31" s="1"/>
  <c r="AK78" i="31"/>
  <c r="AK77" i="31" s="1"/>
  <c r="AJ78" i="31"/>
  <c r="AJ77" i="31" s="1"/>
  <c r="AI78" i="31"/>
  <c r="AI77" i="31" s="1"/>
  <c r="AH78" i="31"/>
  <c r="AG78" i="31"/>
  <c r="AF78" i="31"/>
  <c r="AE78" i="31"/>
  <c r="AE77" i="31" s="1"/>
  <c r="AD78" i="31"/>
  <c r="AD77" i="31" s="1"/>
  <c r="AC78" i="31"/>
  <c r="AB78" i="31"/>
  <c r="AA78" i="31"/>
  <c r="Z78" i="31"/>
  <c r="Y78" i="31"/>
  <c r="X78" i="31"/>
  <c r="W78" i="31"/>
  <c r="V78" i="31"/>
  <c r="V77" i="31" s="1"/>
  <c r="U78" i="31"/>
  <c r="U77" i="31" s="1"/>
  <c r="T78" i="31"/>
  <c r="T77" i="31" s="1"/>
  <c r="S78" i="31"/>
  <c r="R78" i="31"/>
  <c r="Q78" i="31"/>
  <c r="P78" i="31"/>
  <c r="O78" i="31"/>
  <c r="N78" i="31"/>
  <c r="M78" i="31"/>
  <c r="L78" i="31"/>
  <c r="L77" i="31" s="1"/>
  <c r="K78" i="31"/>
  <c r="K77" i="31" s="1"/>
  <c r="J78" i="31"/>
  <c r="I78" i="31"/>
  <c r="I77" i="31" s="1"/>
  <c r="H78" i="31"/>
  <c r="H77" i="31" s="1"/>
  <c r="G78" i="31"/>
  <c r="F78" i="31"/>
  <c r="E78" i="31"/>
  <c r="D78" i="31"/>
  <c r="C78" i="31"/>
  <c r="AY76" i="31"/>
  <c r="AX76" i="31"/>
  <c r="AW76" i="31"/>
  <c r="AV76" i="31"/>
  <c r="AU76" i="31"/>
  <c r="AT76" i="31"/>
  <c r="AS76" i="31"/>
  <c r="AS77" i="31" s="1"/>
  <c r="AR76" i="31"/>
  <c r="AQ76" i="31"/>
  <c r="AP76" i="31"/>
  <c r="AO76" i="31"/>
  <c r="AN76" i="31"/>
  <c r="AM76" i="31"/>
  <c r="AL76" i="31"/>
  <c r="AK76" i="31"/>
  <c r="AJ76" i="31"/>
  <c r="AI76" i="31"/>
  <c r="AH76" i="31"/>
  <c r="AH77" i="31" s="1"/>
  <c r="AG76" i="31"/>
  <c r="AF76" i="31"/>
  <c r="AE76" i="31"/>
  <c r="AD76" i="31"/>
  <c r="AC76" i="31"/>
  <c r="AB76" i="31"/>
  <c r="AA76" i="31"/>
  <c r="Z76" i="31"/>
  <c r="Y76" i="31"/>
  <c r="X76" i="31"/>
  <c r="W76" i="31"/>
  <c r="W77" i="31" s="1"/>
  <c r="V76" i="31"/>
  <c r="U76" i="31"/>
  <c r="T76" i="31"/>
  <c r="S76" i="31"/>
  <c r="R76" i="31"/>
  <c r="Q76" i="31"/>
  <c r="P76" i="31"/>
  <c r="P77" i="31" s="1"/>
  <c r="O76" i="31"/>
  <c r="O77" i="31" s="1"/>
  <c r="N76" i="31"/>
  <c r="N77" i="31" s="1"/>
  <c r="M76" i="31"/>
  <c r="L76" i="31"/>
  <c r="K76" i="31"/>
  <c r="J76" i="31"/>
  <c r="I76" i="31"/>
  <c r="H76" i="31"/>
  <c r="G76" i="31"/>
  <c r="F76" i="31"/>
  <c r="F77" i="31" s="1"/>
  <c r="E76" i="31"/>
  <c r="D76" i="31"/>
  <c r="C76" i="31"/>
  <c r="B76" i="31"/>
  <c r="AZ74" i="31"/>
  <c r="AY74" i="31"/>
  <c r="AY74" i="25" s="1"/>
  <c r="AX74" i="31"/>
  <c r="AW74" i="31"/>
  <c r="AV74" i="31"/>
  <c r="AV74" i="25" s="1"/>
  <c r="AU74" i="31"/>
  <c r="AU74" i="25" s="1"/>
  <c r="AT74" i="31"/>
  <c r="B74" i="31"/>
  <c r="BC73" i="31"/>
  <c r="BB73" i="31"/>
  <c r="BA73" i="31"/>
  <c r="BC72" i="31"/>
  <c r="BB72" i="31"/>
  <c r="BA72" i="31"/>
  <c r="AZ70" i="31"/>
  <c r="AY70" i="31"/>
  <c r="AX70" i="31"/>
  <c r="BC70" i="31" s="1"/>
  <c r="AW70" i="31"/>
  <c r="AV70" i="31"/>
  <c r="AU70" i="31"/>
  <c r="AT70" i="31"/>
  <c r="B70" i="31"/>
  <c r="BC69" i="31"/>
  <c r="BB69" i="31"/>
  <c r="BA69" i="31"/>
  <c r="BC68" i="31"/>
  <c r="BB68" i="31"/>
  <c r="BA68" i="31"/>
  <c r="AZ66" i="31"/>
  <c r="AY66" i="31"/>
  <c r="AX66" i="31"/>
  <c r="AW66" i="31"/>
  <c r="AV66" i="31"/>
  <c r="AU66" i="31"/>
  <c r="AT66" i="31"/>
  <c r="B66" i="31"/>
  <c r="BC65" i="31"/>
  <c r="BB65" i="31"/>
  <c r="BA65" i="31"/>
  <c r="BC64" i="31"/>
  <c r="BB64" i="31"/>
  <c r="BA64" i="31"/>
  <c r="AZ62" i="31"/>
  <c r="AY62" i="31"/>
  <c r="AX62" i="31"/>
  <c r="AW62" i="31"/>
  <c r="AV62" i="31"/>
  <c r="AU62" i="31"/>
  <c r="AT62" i="31"/>
  <c r="B62" i="31"/>
  <c r="BC61" i="31"/>
  <c r="BB61" i="31"/>
  <c r="BA61" i="31"/>
  <c r="BC60" i="31"/>
  <c r="BB60" i="31"/>
  <c r="BA60" i="31"/>
  <c r="AZ58" i="31"/>
  <c r="AY58" i="31"/>
  <c r="AX58" i="31"/>
  <c r="BD58" i="31" s="1"/>
  <c r="AW58" i="31"/>
  <c r="AV58" i="31"/>
  <c r="AU58" i="31"/>
  <c r="AT58" i="31"/>
  <c r="B58" i="31"/>
  <c r="BC57" i="31"/>
  <c r="BB57" i="31"/>
  <c r="BA57" i="31"/>
  <c r="BC56" i="31"/>
  <c r="BB56" i="31"/>
  <c r="BA56" i="31"/>
  <c r="AZ54" i="31"/>
  <c r="BC53" i="31"/>
  <c r="BB53" i="31"/>
  <c r="BA53" i="31"/>
  <c r="BC52" i="31"/>
  <c r="BB52" i="31"/>
  <c r="BA52" i="31"/>
  <c r="AZ50" i="31"/>
  <c r="AY50" i="31"/>
  <c r="AX50" i="31"/>
  <c r="AW50" i="31"/>
  <c r="AV50" i="31"/>
  <c r="AU50" i="31"/>
  <c r="AT50" i="31"/>
  <c r="B50" i="31"/>
  <c r="BC49" i="31"/>
  <c r="BB49" i="31"/>
  <c r="BA49" i="31"/>
  <c r="BC48" i="31"/>
  <c r="BB48" i="31"/>
  <c r="BA48" i="31"/>
  <c r="AZ46" i="31"/>
  <c r="AY46" i="31"/>
  <c r="AX46" i="31"/>
  <c r="AW46" i="31"/>
  <c r="AV46" i="31"/>
  <c r="AU46" i="31"/>
  <c r="AT46" i="31"/>
  <c r="B46" i="31"/>
  <c r="BC45" i="31"/>
  <c r="BB45" i="31"/>
  <c r="BA45" i="31"/>
  <c r="BC44" i="31"/>
  <c r="BB44" i="31"/>
  <c r="BA44" i="31"/>
  <c r="AZ42" i="31"/>
  <c r="AY42" i="31"/>
  <c r="AX42" i="31"/>
  <c r="BD42" i="31" s="1"/>
  <c r="AW42" i="31"/>
  <c r="AV42" i="31"/>
  <c r="AU42" i="31"/>
  <c r="AT42" i="31"/>
  <c r="B42" i="31"/>
  <c r="BC41" i="31"/>
  <c r="BB41" i="31"/>
  <c r="BA41" i="31"/>
  <c r="BC40" i="31"/>
  <c r="BB40" i="31"/>
  <c r="BA40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Z36" i="31"/>
  <c r="AY36" i="31"/>
  <c r="AX36" i="31"/>
  <c r="AW36" i="31"/>
  <c r="AV36" i="31"/>
  <c r="AU36" i="31"/>
  <c r="AT36" i="31"/>
  <c r="AS36" i="31"/>
  <c r="AR36" i="31"/>
  <c r="AQ36" i="31"/>
  <c r="AP36" i="31"/>
  <c r="AO36" i="31"/>
  <c r="AN36" i="31"/>
  <c r="AM36" i="31"/>
  <c r="AL36" i="31"/>
  <c r="AK36" i="31"/>
  <c r="AJ36" i="31"/>
  <c r="AI36" i="31"/>
  <c r="AH36" i="31"/>
  <c r="AG36" i="31"/>
  <c r="AF36" i="31"/>
  <c r="AE36" i="31"/>
  <c r="AD36" i="31"/>
  <c r="AC36" i="31"/>
  <c r="AB36" i="31"/>
  <c r="AA36" i="31"/>
  <c r="AA37" i="31" s="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E37" i="31" s="1"/>
  <c r="D36" i="31"/>
  <c r="C36" i="31"/>
  <c r="B36" i="31"/>
  <c r="AZ34" i="31"/>
  <c r="AY34" i="31"/>
  <c r="AX34" i="31"/>
  <c r="BD34" i="31" s="1"/>
  <c r="AW34" i="31"/>
  <c r="AV34" i="31"/>
  <c r="AU34" i="31"/>
  <c r="AT34" i="31"/>
  <c r="B34" i="31"/>
  <c r="BC33" i="31"/>
  <c r="BB33" i="31"/>
  <c r="BA33" i="31"/>
  <c r="BC32" i="31"/>
  <c r="BB32" i="31"/>
  <c r="BA32" i="31"/>
  <c r="AZ30" i="31"/>
  <c r="AY30" i="31"/>
  <c r="AX30" i="31"/>
  <c r="BD30" i="31" s="1"/>
  <c r="AW30" i="31"/>
  <c r="AV30" i="31"/>
  <c r="AU30" i="31"/>
  <c r="AT30" i="31"/>
  <c r="B30" i="31"/>
  <c r="BC29" i="31"/>
  <c r="BB29" i="31"/>
  <c r="BA29" i="31"/>
  <c r="BC28" i="31"/>
  <c r="BB28" i="31"/>
  <c r="BA28" i="31"/>
  <c r="AZ26" i="31"/>
  <c r="AY26" i="31"/>
  <c r="AX26" i="31"/>
  <c r="AW26" i="31"/>
  <c r="AV26" i="31"/>
  <c r="AU26" i="31"/>
  <c r="AT26" i="31"/>
  <c r="B26" i="31"/>
  <c r="BC25" i="31"/>
  <c r="BB25" i="31"/>
  <c r="BA25" i="31"/>
  <c r="BC24" i="31"/>
  <c r="BB24" i="31"/>
  <c r="BA24" i="31"/>
  <c r="AZ22" i="31"/>
  <c r="AY22" i="31"/>
  <c r="AX22" i="31"/>
  <c r="BD22" i="31" s="1"/>
  <c r="AW22" i="31"/>
  <c r="AV22" i="31"/>
  <c r="AU22" i="31"/>
  <c r="AT22" i="31"/>
  <c r="B22" i="31"/>
  <c r="BC21" i="31"/>
  <c r="BB21" i="31"/>
  <c r="BA21" i="31"/>
  <c r="BC20" i="31"/>
  <c r="BB20" i="31"/>
  <c r="BA20" i="31"/>
  <c r="AZ18" i="31"/>
  <c r="AY18" i="31"/>
  <c r="AX18" i="31"/>
  <c r="AW18" i="31"/>
  <c r="AV18" i="31"/>
  <c r="AU18" i="31"/>
  <c r="AT18" i="31"/>
  <c r="B18" i="31"/>
  <c r="BC17" i="31"/>
  <c r="BB17" i="31"/>
  <c r="BA17" i="31"/>
  <c r="BC16" i="31"/>
  <c r="BB16" i="31"/>
  <c r="BA16" i="31"/>
  <c r="AZ14" i="31"/>
  <c r="AY14" i="31"/>
  <c r="AX14" i="31"/>
  <c r="AV14" i="31"/>
  <c r="AU14" i="31"/>
  <c r="AU14" i="25" s="1"/>
  <c r="AT14" i="31"/>
  <c r="AT14" i="25" s="1"/>
  <c r="B14" i="31"/>
  <c r="BC13" i="31"/>
  <c r="BB13" i="31"/>
  <c r="BA13" i="31"/>
  <c r="BC12" i="31"/>
  <c r="BB12" i="31"/>
  <c r="BA12" i="31"/>
  <c r="AZ10" i="31"/>
  <c r="AY10" i="31"/>
  <c r="AX10" i="31"/>
  <c r="BD10" i="31" s="1"/>
  <c r="AW10" i="31"/>
  <c r="AV10" i="31"/>
  <c r="AU10" i="31"/>
  <c r="AT10" i="31"/>
  <c r="B10" i="31"/>
  <c r="BC9" i="31"/>
  <c r="BB9" i="31"/>
  <c r="BA9" i="31"/>
  <c r="BC8" i="31"/>
  <c r="BB8" i="31"/>
  <c r="BA8" i="31"/>
  <c r="AS6" i="31"/>
  <c r="AR6" i="31"/>
  <c r="AQ6" i="31"/>
  <c r="AP6" i="31"/>
  <c r="AO6" i="31"/>
  <c r="AN6" i="31"/>
  <c r="AM6" i="31"/>
  <c r="AL6" i="31"/>
  <c r="AK6" i="31"/>
  <c r="AJ6" i="31"/>
  <c r="AI6" i="31"/>
  <c r="AH6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Z4" i="31"/>
  <c r="AY4" i="31"/>
  <c r="AX4" i="31"/>
  <c r="AV4" i="31"/>
  <c r="AU4" i="31"/>
  <c r="AT4" i="31"/>
  <c r="AS4" i="31"/>
  <c r="AR4" i="31"/>
  <c r="AQ4" i="31"/>
  <c r="AP4" i="31"/>
  <c r="AO4" i="31"/>
  <c r="AN4" i="31"/>
  <c r="AM4" i="31"/>
  <c r="AL4" i="31"/>
  <c r="AK4" i="31"/>
  <c r="AJ4" i="31"/>
  <c r="AI4" i="31"/>
  <c r="AH4" i="31"/>
  <c r="AH5" i="31" s="1"/>
  <c r="AG4" i="31"/>
  <c r="AF4" i="31"/>
  <c r="AE4" i="31"/>
  <c r="AD4" i="31"/>
  <c r="AC4" i="31"/>
  <c r="AB4" i="31"/>
  <c r="AA4" i="31"/>
  <c r="Z4" i="31"/>
  <c r="Y4" i="31"/>
  <c r="Y5" i="31" s="1"/>
  <c r="X4" i="31"/>
  <c r="X5" i="31" s="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B4" i="31"/>
  <c r="AZ130" i="30"/>
  <c r="AY130" i="30"/>
  <c r="AX130" i="30"/>
  <c r="AW130" i="30"/>
  <c r="AV130" i="30"/>
  <c r="AU130" i="30"/>
  <c r="AU118" i="30" s="1"/>
  <c r="AT130" i="30"/>
  <c r="B130" i="30"/>
  <c r="BC129" i="30"/>
  <c r="BB129" i="30"/>
  <c r="BA129" i="30"/>
  <c r="BC128" i="30"/>
  <c r="BB128" i="30"/>
  <c r="BA128" i="30"/>
  <c r="AZ126" i="30"/>
  <c r="AY126" i="30"/>
  <c r="AX126" i="30"/>
  <c r="AW126" i="30"/>
  <c r="AV126" i="30"/>
  <c r="AU126" i="30"/>
  <c r="AT126" i="30"/>
  <c r="B126" i="30"/>
  <c r="BC125" i="30"/>
  <c r="BB125" i="30"/>
  <c r="BA125" i="30"/>
  <c r="BC124" i="30"/>
  <c r="BB124" i="30"/>
  <c r="BA124" i="30"/>
  <c r="AZ122" i="30"/>
  <c r="AY122" i="30"/>
  <c r="AX122" i="30"/>
  <c r="AW122" i="30"/>
  <c r="AV122" i="30"/>
  <c r="AU122" i="30"/>
  <c r="AT122" i="30"/>
  <c r="B122" i="30"/>
  <c r="BC121" i="30"/>
  <c r="BB121" i="30"/>
  <c r="BA121" i="30"/>
  <c r="BC120" i="30"/>
  <c r="BB120" i="30"/>
  <c r="BA120" i="30"/>
  <c r="AS118" i="30"/>
  <c r="AR118" i="30"/>
  <c r="AQ118" i="30"/>
  <c r="AP118" i="30"/>
  <c r="AO118" i="30"/>
  <c r="AN118" i="30"/>
  <c r="AM118" i="30"/>
  <c r="AL118" i="30"/>
  <c r="AL134" i="30" s="1"/>
  <c r="AK118" i="30"/>
  <c r="AK134" i="30" s="1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P134" i="30" s="1"/>
  <c r="O118" i="30"/>
  <c r="O134" i="30" s="1"/>
  <c r="N118" i="30"/>
  <c r="M118" i="30"/>
  <c r="L118" i="30"/>
  <c r="K118" i="30"/>
  <c r="J118" i="30"/>
  <c r="I118" i="30"/>
  <c r="H118" i="30"/>
  <c r="G118" i="30"/>
  <c r="F118" i="30"/>
  <c r="E118" i="30"/>
  <c r="E118" i="25" s="1"/>
  <c r="D118" i="30"/>
  <c r="C118" i="30"/>
  <c r="C118" i="25" s="1"/>
  <c r="AG117" i="30"/>
  <c r="AF117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I117" i="30" s="1"/>
  <c r="AH116" i="30"/>
  <c r="AG116" i="30"/>
  <c r="AF116" i="30"/>
  <c r="AE116" i="30"/>
  <c r="AE117" i="30" s="1"/>
  <c r="AD116" i="30"/>
  <c r="AD117" i="30" s="1"/>
  <c r="AC116" i="30"/>
  <c r="AC117" i="30" s="1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M117" i="30" s="1"/>
  <c r="L116" i="30"/>
  <c r="K116" i="30"/>
  <c r="K117" i="30" s="1"/>
  <c r="J116" i="30"/>
  <c r="J117" i="30" s="1"/>
  <c r="I116" i="30"/>
  <c r="I117" i="30" s="1"/>
  <c r="H116" i="30"/>
  <c r="H117" i="30" s="1"/>
  <c r="G116" i="30"/>
  <c r="G117" i="30" s="1"/>
  <c r="F116" i="30"/>
  <c r="E116" i="30"/>
  <c r="D116" i="30"/>
  <c r="C116" i="30"/>
  <c r="B116" i="30"/>
  <c r="AZ114" i="30"/>
  <c r="AZ114" i="25" s="1"/>
  <c r="AY114" i="30"/>
  <c r="AY114" i="25" s="1"/>
  <c r="AX114" i="30"/>
  <c r="AW114" i="30"/>
  <c r="AV114" i="30"/>
  <c r="AU114" i="30"/>
  <c r="AT114" i="30"/>
  <c r="B114" i="30"/>
  <c r="BC113" i="30"/>
  <c r="BB113" i="30"/>
  <c r="BA113" i="30"/>
  <c r="BC112" i="30"/>
  <c r="BB112" i="30"/>
  <c r="BA112" i="30"/>
  <c r="AZ110" i="30"/>
  <c r="AY110" i="30"/>
  <c r="AX110" i="30"/>
  <c r="AW110" i="30"/>
  <c r="AV110" i="30"/>
  <c r="AU110" i="30"/>
  <c r="AT110" i="30"/>
  <c r="AT110" i="25" s="1"/>
  <c r="B110" i="30"/>
  <c r="B110" i="25" s="1"/>
  <c r="BC109" i="30"/>
  <c r="BB109" i="30"/>
  <c r="BA109" i="30"/>
  <c r="BC108" i="30"/>
  <c r="BB108" i="30"/>
  <c r="BA108" i="30"/>
  <c r="AZ106" i="30"/>
  <c r="AY106" i="30"/>
  <c r="AX106" i="30"/>
  <c r="AW106" i="30"/>
  <c r="AV106" i="30"/>
  <c r="AU106" i="30"/>
  <c r="AT106" i="30"/>
  <c r="B106" i="30"/>
  <c r="BC105" i="30"/>
  <c r="BB105" i="30"/>
  <c r="BA105" i="30"/>
  <c r="BC104" i="30"/>
  <c r="BB104" i="30"/>
  <c r="BA104" i="30"/>
  <c r="AZ102" i="30"/>
  <c r="AY102" i="30"/>
  <c r="AX102" i="30"/>
  <c r="AW102" i="30"/>
  <c r="AV102" i="30"/>
  <c r="AU102" i="30"/>
  <c r="AU102" i="25" s="1"/>
  <c r="AT102" i="30"/>
  <c r="B102" i="30"/>
  <c r="BC101" i="30"/>
  <c r="BB101" i="30"/>
  <c r="BA101" i="30"/>
  <c r="BC100" i="30"/>
  <c r="BB100" i="30"/>
  <c r="BA100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AA97" i="30" s="1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E97" i="30" s="1"/>
  <c r="D98" i="30"/>
  <c r="C98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N97" i="30" s="1"/>
  <c r="AM96" i="30"/>
  <c r="AM97" i="30" s="1"/>
  <c r="AL96" i="30"/>
  <c r="AL97" i="30" s="1"/>
  <c r="AK96" i="30"/>
  <c r="AK97" i="30" s="1"/>
  <c r="AJ96" i="30"/>
  <c r="AI96" i="30"/>
  <c r="AH96" i="30"/>
  <c r="AG96" i="30"/>
  <c r="AG97" i="30" s="1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R97" i="30" s="1"/>
  <c r="Q96" i="30"/>
  <c r="Q97" i="30" s="1"/>
  <c r="P96" i="30"/>
  <c r="P97" i="30" s="1"/>
  <c r="O96" i="30"/>
  <c r="O97" i="30" s="1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AZ94" i="30"/>
  <c r="AY94" i="30"/>
  <c r="AX94" i="30"/>
  <c r="AW94" i="30"/>
  <c r="AV94" i="30"/>
  <c r="AV94" i="25" s="1"/>
  <c r="AU94" i="30"/>
  <c r="AU94" i="25" s="1"/>
  <c r="AT94" i="30"/>
  <c r="B94" i="30"/>
  <c r="BC93" i="30"/>
  <c r="BB93" i="30"/>
  <c r="BA93" i="30"/>
  <c r="BC92" i="30"/>
  <c r="BB92" i="30"/>
  <c r="BA92" i="30"/>
  <c r="AZ90" i="30"/>
  <c r="AY90" i="30"/>
  <c r="AX90" i="30"/>
  <c r="AW90" i="30"/>
  <c r="AV90" i="30"/>
  <c r="AU90" i="30"/>
  <c r="AT90" i="30"/>
  <c r="B90" i="30"/>
  <c r="BC89" i="30"/>
  <c r="BB89" i="30"/>
  <c r="BA89" i="30"/>
  <c r="BC88" i="30"/>
  <c r="BB88" i="30"/>
  <c r="BA88" i="30"/>
  <c r="AZ86" i="30"/>
  <c r="AY86" i="30"/>
  <c r="AX86" i="30"/>
  <c r="AW86" i="30"/>
  <c r="AV86" i="30"/>
  <c r="AU86" i="30"/>
  <c r="AU86" i="25" s="1"/>
  <c r="AT86" i="30"/>
  <c r="B86" i="30"/>
  <c r="BC85" i="30"/>
  <c r="BB85" i="30"/>
  <c r="BA85" i="30"/>
  <c r="BC84" i="30"/>
  <c r="BB84" i="30"/>
  <c r="BA84" i="30"/>
  <c r="AZ82" i="30"/>
  <c r="AY82" i="30"/>
  <c r="AX82" i="30"/>
  <c r="AW82" i="30"/>
  <c r="AV82" i="30"/>
  <c r="AU82" i="30"/>
  <c r="AT82" i="30"/>
  <c r="B82" i="30"/>
  <c r="BC81" i="30"/>
  <c r="BB81" i="30"/>
  <c r="BA81" i="30"/>
  <c r="BC80" i="30"/>
  <c r="BB80" i="30"/>
  <c r="BA80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AZ76" i="30"/>
  <c r="AY76" i="30"/>
  <c r="AX76" i="30"/>
  <c r="AW76" i="30"/>
  <c r="AV76" i="30"/>
  <c r="AU76" i="30"/>
  <c r="AT76" i="30"/>
  <c r="AS76" i="30"/>
  <c r="AR76" i="30"/>
  <c r="AR77" i="30" s="1"/>
  <c r="AQ76" i="30"/>
  <c r="AQ77" i="30" s="1"/>
  <c r="AP76" i="30"/>
  <c r="AP77" i="30" s="1"/>
  <c r="AO76" i="30"/>
  <c r="AN76" i="30"/>
  <c r="AM76" i="30"/>
  <c r="AL76" i="30"/>
  <c r="AL77" i="30" s="1"/>
  <c r="AK76" i="30"/>
  <c r="AJ76" i="30"/>
  <c r="AI76" i="30"/>
  <c r="AI77" i="30" s="1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V77" i="30" s="1"/>
  <c r="U76" i="30"/>
  <c r="U77" i="30" s="1"/>
  <c r="T76" i="30"/>
  <c r="T77" i="30" s="1"/>
  <c r="S76" i="30"/>
  <c r="R76" i="30"/>
  <c r="Q76" i="30"/>
  <c r="P76" i="30"/>
  <c r="P77" i="30" s="1"/>
  <c r="O76" i="30"/>
  <c r="N76" i="30"/>
  <c r="M76" i="30"/>
  <c r="M77" i="30" s="1"/>
  <c r="L76" i="30"/>
  <c r="K76" i="30"/>
  <c r="J76" i="30"/>
  <c r="I76" i="30"/>
  <c r="H76" i="30"/>
  <c r="G76" i="30"/>
  <c r="F76" i="30"/>
  <c r="E76" i="30"/>
  <c r="D76" i="30"/>
  <c r="C76" i="30"/>
  <c r="B76" i="30"/>
  <c r="AZ74" i="30"/>
  <c r="AY74" i="30"/>
  <c r="AX74" i="30"/>
  <c r="AW74" i="30"/>
  <c r="AW74" i="25" s="1"/>
  <c r="AV74" i="30"/>
  <c r="AU74" i="30"/>
  <c r="AT74" i="30"/>
  <c r="B74" i="30"/>
  <c r="BC73" i="30"/>
  <c r="BB73" i="30"/>
  <c r="BA73" i="30"/>
  <c r="BC72" i="30"/>
  <c r="BB72" i="30"/>
  <c r="BA72" i="30"/>
  <c r="AZ70" i="30"/>
  <c r="AY70" i="30"/>
  <c r="AX70" i="30"/>
  <c r="AW70" i="30"/>
  <c r="AV70" i="30"/>
  <c r="AU70" i="30"/>
  <c r="AT70" i="30"/>
  <c r="B70" i="30"/>
  <c r="BC69" i="30"/>
  <c r="BB69" i="30"/>
  <c r="BA69" i="30"/>
  <c r="BC68" i="30"/>
  <c r="BB68" i="30"/>
  <c r="BA68" i="30"/>
  <c r="AZ66" i="30"/>
  <c r="AY66" i="30"/>
  <c r="AX66" i="30"/>
  <c r="AW66" i="30"/>
  <c r="AV66" i="30"/>
  <c r="AU66" i="30"/>
  <c r="AT66" i="30"/>
  <c r="B66" i="30"/>
  <c r="BC65" i="30"/>
  <c r="BB65" i="30"/>
  <c r="BA65" i="30"/>
  <c r="BC64" i="30"/>
  <c r="BB64" i="30"/>
  <c r="BA64" i="30"/>
  <c r="AZ62" i="30"/>
  <c r="AY62" i="30"/>
  <c r="AX62" i="30"/>
  <c r="AW62" i="30"/>
  <c r="AV62" i="30"/>
  <c r="AU62" i="30"/>
  <c r="AT62" i="30"/>
  <c r="B62" i="30"/>
  <c r="BC61" i="30"/>
  <c r="BB61" i="30"/>
  <c r="BA61" i="30"/>
  <c r="BC60" i="30"/>
  <c r="BB60" i="30"/>
  <c r="BA60" i="30"/>
  <c r="AZ58" i="30"/>
  <c r="AY58" i="30"/>
  <c r="AX58" i="30"/>
  <c r="AW58" i="30"/>
  <c r="AV58" i="30"/>
  <c r="AU58" i="30"/>
  <c r="AT58" i="30"/>
  <c r="B58" i="30"/>
  <c r="BC57" i="30"/>
  <c r="BB57" i="30"/>
  <c r="BA57" i="30"/>
  <c r="BC56" i="30"/>
  <c r="BB56" i="30"/>
  <c r="BA56" i="30"/>
  <c r="AZ54" i="30"/>
  <c r="AY54" i="30"/>
  <c r="AX54" i="30"/>
  <c r="AW54" i="30"/>
  <c r="AV54" i="30"/>
  <c r="AU54" i="30"/>
  <c r="AT54" i="30"/>
  <c r="B54" i="30"/>
  <c r="BC53" i="30"/>
  <c r="BB53" i="30"/>
  <c r="BA53" i="30"/>
  <c r="BC52" i="30"/>
  <c r="BB52" i="30"/>
  <c r="BA52" i="30"/>
  <c r="AZ50" i="30"/>
  <c r="AY50" i="30"/>
  <c r="AX50" i="30"/>
  <c r="AW50" i="30"/>
  <c r="AV50" i="30"/>
  <c r="AU50" i="30"/>
  <c r="AT50" i="30"/>
  <c r="B50" i="30"/>
  <c r="BC49" i="30"/>
  <c r="BB49" i="30"/>
  <c r="BA49" i="30"/>
  <c r="BC48" i="30"/>
  <c r="BB48" i="30"/>
  <c r="BA48" i="30"/>
  <c r="AZ46" i="30"/>
  <c r="AY46" i="30"/>
  <c r="AX46" i="30"/>
  <c r="AW46" i="30"/>
  <c r="AV46" i="30"/>
  <c r="AU46" i="30"/>
  <c r="AU46" i="25" s="1"/>
  <c r="AT46" i="30"/>
  <c r="B46" i="30"/>
  <c r="BC45" i="30"/>
  <c r="BB45" i="30"/>
  <c r="BA45" i="30"/>
  <c r="BC44" i="30"/>
  <c r="BB44" i="30"/>
  <c r="BA44" i="30"/>
  <c r="AZ42" i="30"/>
  <c r="AY42" i="30"/>
  <c r="AX42" i="30"/>
  <c r="AW42" i="30"/>
  <c r="AV42" i="30"/>
  <c r="AV42" i="25" s="1"/>
  <c r="AU42" i="30"/>
  <c r="AU42" i="25" s="1"/>
  <c r="AT42" i="30"/>
  <c r="B42" i="30"/>
  <c r="B42" i="25" s="1"/>
  <c r="BC41" i="30"/>
  <c r="BB41" i="30"/>
  <c r="BA41" i="30"/>
  <c r="BC40" i="30"/>
  <c r="BB40" i="30"/>
  <c r="BA40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Z36" i="30"/>
  <c r="AY36" i="30"/>
  <c r="AX36" i="30"/>
  <c r="AW36" i="30"/>
  <c r="AV36" i="30"/>
  <c r="AU36" i="30"/>
  <c r="AT36" i="30"/>
  <c r="AS36" i="30"/>
  <c r="AR36" i="30"/>
  <c r="AQ36" i="30"/>
  <c r="AP36" i="30"/>
  <c r="AO36" i="30"/>
  <c r="AN36" i="30"/>
  <c r="AM36" i="30"/>
  <c r="AL36" i="30"/>
  <c r="AK36" i="30"/>
  <c r="AJ36" i="30"/>
  <c r="AI36" i="30"/>
  <c r="AH36" i="30"/>
  <c r="AG36" i="30"/>
  <c r="AF36" i="30"/>
  <c r="AF37" i="30" s="1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M37" i="30" s="1"/>
  <c r="L36" i="30"/>
  <c r="K36" i="30"/>
  <c r="J36" i="30"/>
  <c r="J37" i="30" s="1"/>
  <c r="I36" i="30"/>
  <c r="H36" i="30"/>
  <c r="G36" i="30"/>
  <c r="F36" i="30"/>
  <c r="E36" i="30"/>
  <c r="D36" i="30"/>
  <c r="C36" i="30"/>
  <c r="B36" i="30"/>
  <c r="AZ34" i="30"/>
  <c r="AY34" i="30"/>
  <c r="AX34" i="30"/>
  <c r="AW34" i="30"/>
  <c r="AV34" i="30"/>
  <c r="AU34" i="30"/>
  <c r="AT34" i="30"/>
  <c r="B34" i="30"/>
  <c r="BC33" i="30"/>
  <c r="BB33" i="30"/>
  <c r="BA33" i="30"/>
  <c r="BC32" i="30"/>
  <c r="BB32" i="30"/>
  <c r="BA32" i="30"/>
  <c r="AZ30" i="30"/>
  <c r="AY30" i="30"/>
  <c r="AX30" i="30"/>
  <c r="AW30" i="30"/>
  <c r="AV30" i="30"/>
  <c r="AU30" i="30"/>
  <c r="AT30" i="30"/>
  <c r="B30" i="30"/>
  <c r="BC29" i="30"/>
  <c r="BB29" i="30"/>
  <c r="BA29" i="30"/>
  <c r="BC28" i="30"/>
  <c r="BB28" i="30"/>
  <c r="BA28" i="30"/>
  <c r="AZ26" i="30"/>
  <c r="AZ26" i="25" s="1"/>
  <c r="AY26" i="30"/>
  <c r="AX26" i="30"/>
  <c r="AW26" i="30"/>
  <c r="AV26" i="30"/>
  <c r="AU26" i="30"/>
  <c r="AT26" i="30"/>
  <c r="B26" i="30"/>
  <c r="BC25" i="30"/>
  <c r="BB25" i="30"/>
  <c r="BA25" i="30"/>
  <c r="BC24" i="30"/>
  <c r="BB24" i="30"/>
  <c r="BA24" i="30"/>
  <c r="AZ22" i="30"/>
  <c r="AY22" i="30"/>
  <c r="AX22" i="30"/>
  <c r="AW22" i="30"/>
  <c r="AV22" i="30"/>
  <c r="AU22" i="30"/>
  <c r="AT22" i="30"/>
  <c r="B22" i="30"/>
  <c r="BC21" i="30"/>
  <c r="BB21" i="30"/>
  <c r="BA21" i="30"/>
  <c r="BC20" i="30"/>
  <c r="BB20" i="30"/>
  <c r="BA20" i="30"/>
  <c r="AZ18" i="30"/>
  <c r="AY18" i="30"/>
  <c r="AX18" i="30"/>
  <c r="AW18" i="30"/>
  <c r="AV18" i="30"/>
  <c r="AU18" i="30"/>
  <c r="AT18" i="30"/>
  <c r="B18" i="30"/>
  <c r="BC17" i="30"/>
  <c r="BB17" i="30"/>
  <c r="BA17" i="30"/>
  <c r="BC16" i="30"/>
  <c r="BB16" i="30"/>
  <c r="BA16" i="30"/>
  <c r="AZ14" i="30"/>
  <c r="AY14" i="30"/>
  <c r="AX14" i="30"/>
  <c r="AW14" i="30"/>
  <c r="AV14" i="30"/>
  <c r="AU14" i="30"/>
  <c r="AT14" i="30"/>
  <c r="B14" i="30"/>
  <c r="BC13" i="30"/>
  <c r="BB13" i="30"/>
  <c r="BA13" i="30"/>
  <c r="BC12" i="30"/>
  <c r="BB12" i="30"/>
  <c r="BA12" i="30"/>
  <c r="AZ10" i="30"/>
  <c r="AY10" i="30"/>
  <c r="AX10" i="30"/>
  <c r="AW10" i="30"/>
  <c r="AV10" i="30"/>
  <c r="AU10" i="30"/>
  <c r="AT10" i="30"/>
  <c r="B10" i="30"/>
  <c r="BC9" i="30"/>
  <c r="BB9" i="30"/>
  <c r="BA9" i="30"/>
  <c r="BC8" i="30"/>
  <c r="BB8" i="30"/>
  <c r="BA8" i="30"/>
  <c r="AS6" i="30"/>
  <c r="AR6" i="30"/>
  <c r="AQ6" i="30"/>
  <c r="AP6" i="30"/>
  <c r="AO6" i="30"/>
  <c r="AN6" i="30"/>
  <c r="AM6" i="30"/>
  <c r="AL6" i="30"/>
  <c r="AK6" i="30"/>
  <c r="AJ6" i="30"/>
  <c r="AI6" i="30"/>
  <c r="AH6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Z4" i="30"/>
  <c r="AY4" i="30"/>
  <c r="AX4" i="30"/>
  <c r="AW4" i="30"/>
  <c r="AV4" i="30"/>
  <c r="AU4" i="30"/>
  <c r="AT4" i="30"/>
  <c r="AS4" i="30"/>
  <c r="AR4" i="30"/>
  <c r="AQ4" i="30"/>
  <c r="AP4" i="30"/>
  <c r="AO4" i="30"/>
  <c r="AN4" i="30"/>
  <c r="AM4" i="30"/>
  <c r="AL4" i="30"/>
  <c r="AK4" i="30"/>
  <c r="AJ4" i="30"/>
  <c r="AI4" i="30"/>
  <c r="AH4" i="30"/>
  <c r="AG4" i="30"/>
  <c r="AF4" i="30"/>
  <c r="AE4" i="30"/>
  <c r="AD4" i="30"/>
  <c r="AC4" i="30"/>
  <c r="AB4" i="30"/>
  <c r="AA4" i="30"/>
  <c r="Z4" i="30"/>
  <c r="Z5" i="30" s="1"/>
  <c r="Y4" i="30"/>
  <c r="Y5" i="30" s="1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D5" i="30" s="1"/>
  <c r="C4" i="30"/>
  <c r="C5" i="30" s="1"/>
  <c r="B4" i="30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Z118" i="25" s="1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N118" i="25" s="1"/>
  <c r="M118" i="29"/>
  <c r="L118" i="29"/>
  <c r="K118" i="29"/>
  <c r="J118" i="29"/>
  <c r="I118" i="29"/>
  <c r="H118" i="29"/>
  <c r="G118" i="29"/>
  <c r="F118" i="29"/>
  <c r="F117" i="29" s="1"/>
  <c r="E118" i="29"/>
  <c r="D118" i="29"/>
  <c r="D118" i="25" s="1"/>
  <c r="C118" i="29"/>
  <c r="AT116" i="29"/>
  <c r="AS116" i="29"/>
  <c r="AR116" i="29"/>
  <c r="AR117" i="29" s="1"/>
  <c r="AQ116" i="29"/>
  <c r="AQ117" i="29" s="1"/>
  <c r="AP116" i="29"/>
  <c r="AO116" i="29"/>
  <c r="AO117" i="29" s="1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Z117" i="29" s="1"/>
  <c r="Y116" i="29"/>
  <c r="Y117" i="29" s="1"/>
  <c r="X116" i="29"/>
  <c r="X117" i="29" s="1"/>
  <c r="W116" i="29"/>
  <c r="V116" i="29"/>
  <c r="V117" i="29" s="1"/>
  <c r="U116" i="29"/>
  <c r="U117" i="29" s="1"/>
  <c r="T116" i="29"/>
  <c r="S116" i="29"/>
  <c r="S117" i="29" s="1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D117" i="29" s="1"/>
  <c r="C116" i="29"/>
  <c r="C117" i="29" s="1"/>
  <c r="AS98" i="29"/>
  <c r="AR98" i="29"/>
  <c r="AQ98" i="29"/>
  <c r="AQ98" i="25" s="1"/>
  <c r="AP98" i="29"/>
  <c r="AP98" i="25" s="1"/>
  <c r="AO98" i="29"/>
  <c r="AO98" i="25" s="1"/>
  <c r="AN98" i="29"/>
  <c r="AM98" i="29"/>
  <c r="AM98" i="25" s="1"/>
  <c r="AL98" i="29"/>
  <c r="AK98" i="29"/>
  <c r="AJ98" i="29"/>
  <c r="AI98" i="29"/>
  <c r="AH98" i="29"/>
  <c r="AG98" i="29"/>
  <c r="AG98" i="25" s="1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U98" i="25" s="1"/>
  <c r="T98" i="29"/>
  <c r="T98" i="25" s="1"/>
  <c r="S98" i="29"/>
  <c r="S98" i="25" s="1"/>
  <c r="R98" i="29"/>
  <c r="Q98" i="29"/>
  <c r="Q98" i="25" s="1"/>
  <c r="P98" i="29"/>
  <c r="O98" i="29"/>
  <c r="N98" i="29"/>
  <c r="M98" i="29"/>
  <c r="L98" i="29"/>
  <c r="K98" i="29"/>
  <c r="K98" i="25" s="1"/>
  <c r="J98" i="29"/>
  <c r="I98" i="29"/>
  <c r="H98" i="29"/>
  <c r="G98" i="29"/>
  <c r="F98" i="29"/>
  <c r="F97" i="29" s="1"/>
  <c r="E98" i="29"/>
  <c r="D98" i="29"/>
  <c r="C98" i="29"/>
  <c r="AT96" i="29"/>
  <c r="AS96" i="29"/>
  <c r="AS97" i="29" s="1"/>
  <c r="AR96" i="29"/>
  <c r="AR97" i="29" s="1"/>
  <c r="AQ96" i="29"/>
  <c r="AP96" i="29"/>
  <c r="AP97" i="29" s="1"/>
  <c r="AO96" i="29"/>
  <c r="AO97" i="29" s="1"/>
  <c r="AN96" i="29"/>
  <c r="AN97" i="29" s="1"/>
  <c r="AM96" i="29"/>
  <c r="AM96" i="25" s="1"/>
  <c r="AL96" i="29"/>
  <c r="AK96" i="29"/>
  <c r="AJ96" i="29"/>
  <c r="AJ96" i="25" s="1"/>
  <c r="AI96" i="29"/>
  <c r="AH96" i="29"/>
  <c r="AG96" i="29"/>
  <c r="AF96" i="29"/>
  <c r="AE96" i="29"/>
  <c r="AD96" i="29"/>
  <c r="AC96" i="29"/>
  <c r="AB96" i="29"/>
  <c r="AA96" i="29"/>
  <c r="AA97" i="29" s="1"/>
  <c r="Z96" i="29"/>
  <c r="Z97" i="29" s="1"/>
  <c r="Y96" i="29"/>
  <c r="X96" i="29"/>
  <c r="W96" i="29"/>
  <c r="W97" i="29" s="1"/>
  <c r="V96" i="29"/>
  <c r="V97" i="29" s="1"/>
  <c r="U96" i="29"/>
  <c r="T96" i="29"/>
  <c r="T97" i="29" s="1"/>
  <c r="S96" i="29"/>
  <c r="S97" i="29" s="1"/>
  <c r="R96" i="29"/>
  <c r="Q96" i="29"/>
  <c r="Q96" i="25" s="1"/>
  <c r="P96" i="29"/>
  <c r="O96" i="29"/>
  <c r="N96" i="29"/>
  <c r="N96" i="25" s="1"/>
  <c r="M96" i="29"/>
  <c r="M96" i="25" s="1"/>
  <c r="L96" i="29"/>
  <c r="K96" i="29"/>
  <c r="J96" i="29"/>
  <c r="I96" i="29"/>
  <c r="H96" i="29"/>
  <c r="G96" i="29"/>
  <c r="F96" i="29"/>
  <c r="E96" i="29"/>
  <c r="E96" i="25" s="1"/>
  <c r="D96" i="29"/>
  <c r="C96" i="29"/>
  <c r="AS78" i="29"/>
  <c r="AR78" i="29"/>
  <c r="AR78" i="25" s="1"/>
  <c r="AQ78" i="29"/>
  <c r="AP78" i="29"/>
  <c r="AO78" i="29"/>
  <c r="AN78" i="29"/>
  <c r="AM78" i="29"/>
  <c r="AL78" i="29"/>
  <c r="AK78" i="29"/>
  <c r="AJ78" i="29"/>
  <c r="AI78" i="29"/>
  <c r="AH78" i="29"/>
  <c r="AH78" i="25" s="1"/>
  <c r="AG78" i="29"/>
  <c r="AF78" i="29"/>
  <c r="AE78" i="29"/>
  <c r="AD78" i="29"/>
  <c r="AC78" i="29"/>
  <c r="AB78" i="29"/>
  <c r="AA78" i="29"/>
  <c r="Z78" i="29"/>
  <c r="Y78" i="29"/>
  <c r="X78" i="29"/>
  <c r="X78" i="25" s="1"/>
  <c r="W78" i="29"/>
  <c r="V78" i="29"/>
  <c r="V78" i="25" s="1"/>
  <c r="U78" i="29"/>
  <c r="U78" i="25" s="1"/>
  <c r="T78" i="29"/>
  <c r="S78" i="29"/>
  <c r="R78" i="29"/>
  <c r="Q78" i="29"/>
  <c r="P78" i="29"/>
  <c r="O78" i="29"/>
  <c r="N78" i="29"/>
  <c r="M78" i="29"/>
  <c r="L78" i="29"/>
  <c r="L78" i="25" s="1"/>
  <c r="K78" i="29"/>
  <c r="J78" i="29"/>
  <c r="I78" i="29"/>
  <c r="H78" i="29"/>
  <c r="G78" i="29"/>
  <c r="F78" i="29"/>
  <c r="E78" i="29"/>
  <c r="D78" i="29"/>
  <c r="C78" i="29"/>
  <c r="AT76" i="29"/>
  <c r="AS76" i="29"/>
  <c r="AS77" i="29" s="1"/>
  <c r="AR76" i="29"/>
  <c r="AQ76" i="29"/>
  <c r="AP76" i="29"/>
  <c r="AP77" i="29" s="1"/>
  <c r="AO76" i="29"/>
  <c r="AO77" i="29" s="1"/>
  <c r="AN76" i="29"/>
  <c r="AM76" i="29"/>
  <c r="AM77" i="29" s="1"/>
  <c r="AL76" i="29"/>
  <c r="AK76" i="29"/>
  <c r="AJ76" i="29"/>
  <c r="AJ77" i="29" s="1"/>
  <c r="AI76" i="29"/>
  <c r="AI77" i="29" s="1"/>
  <c r="AH76" i="29"/>
  <c r="AH77" i="29" s="1"/>
  <c r="AG76" i="29"/>
  <c r="AF76" i="29"/>
  <c r="AE76" i="29"/>
  <c r="AD76" i="29"/>
  <c r="AC76" i="29"/>
  <c r="AB76" i="29"/>
  <c r="AA76" i="29"/>
  <c r="Z76" i="29"/>
  <c r="Y76" i="29"/>
  <c r="Y77" i="29" s="1"/>
  <c r="X76" i="29"/>
  <c r="W76" i="29"/>
  <c r="W77" i="29" s="1"/>
  <c r="V76" i="29"/>
  <c r="U76" i="29"/>
  <c r="T76" i="29"/>
  <c r="S76" i="29"/>
  <c r="R76" i="29"/>
  <c r="R77" i="29" s="1"/>
  <c r="Q76" i="29"/>
  <c r="P76" i="29"/>
  <c r="O76" i="29"/>
  <c r="N76" i="29"/>
  <c r="M76" i="29"/>
  <c r="M77" i="29" s="1"/>
  <c r="L76" i="29"/>
  <c r="L77" i="29" s="1"/>
  <c r="K76" i="29"/>
  <c r="J76" i="29"/>
  <c r="I76" i="29"/>
  <c r="H76" i="29"/>
  <c r="G76" i="29"/>
  <c r="F76" i="29"/>
  <c r="E76" i="29"/>
  <c r="D76" i="29"/>
  <c r="C76" i="29"/>
  <c r="AS38" i="29"/>
  <c r="AR38" i="29"/>
  <c r="AQ38" i="29"/>
  <c r="AP38" i="29"/>
  <c r="AO38" i="29"/>
  <c r="AN38" i="29"/>
  <c r="AN38" i="25" s="1"/>
  <c r="AM38" i="29"/>
  <c r="AM38" i="25" s="1"/>
  <c r="AL38" i="29"/>
  <c r="AK38" i="29"/>
  <c r="AJ38" i="29"/>
  <c r="AI38" i="29"/>
  <c r="AI38" i="25" s="1"/>
  <c r="AH38" i="29"/>
  <c r="AH38" i="25" s="1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Q38" i="25" s="1"/>
  <c r="P38" i="29"/>
  <c r="O38" i="29"/>
  <c r="N38" i="29"/>
  <c r="M38" i="29"/>
  <c r="M38" i="25" s="1"/>
  <c r="L38" i="29"/>
  <c r="L38" i="25" s="1"/>
  <c r="K38" i="29"/>
  <c r="J38" i="29"/>
  <c r="I38" i="29"/>
  <c r="H38" i="29"/>
  <c r="G38" i="29"/>
  <c r="F38" i="29"/>
  <c r="E38" i="29"/>
  <c r="D38" i="29"/>
  <c r="C38" i="29"/>
  <c r="AT36" i="29"/>
  <c r="AT36" i="25" s="1"/>
  <c r="AS36" i="29"/>
  <c r="AS37" i="29" s="1"/>
  <c r="AR36" i="29"/>
  <c r="AQ36" i="29"/>
  <c r="AQ37" i="29" s="1"/>
  <c r="AP36" i="29"/>
  <c r="AO36" i="29"/>
  <c r="AN36" i="29"/>
  <c r="AM36" i="29"/>
  <c r="AL36" i="29"/>
  <c r="AK36" i="29"/>
  <c r="AJ36" i="29"/>
  <c r="AI36" i="29"/>
  <c r="AH36" i="29"/>
  <c r="AG36" i="29"/>
  <c r="AG36" i="25" s="1"/>
  <c r="AF36" i="29"/>
  <c r="AE36" i="29"/>
  <c r="AD36" i="29"/>
  <c r="AC36" i="29"/>
  <c r="AB36" i="29"/>
  <c r="AA36" i="29"/>
  <c r="Z36" i="29"/>
  <c r="Y36" i="29"/>
  <c r="X36" i="29"/>
  <c r="X37" i="29" s="1"/>
  <c r="W36" i="29"/>
  <c r="W37" i="29" s="1"/>
  <c r="V36" i="29"/>
  <c r="V37" i="29" s="1"/>
  <c r="U36" i="29"/>
  <c r="T36" i="29"/>
  <c r="T37" i="29" s="1"/>
  <c r="S36" i="29"/>
  <c r="R36" i="29"/>
  <c r="Q36" i="29"/>
  <c r="P36" i="29"/>
  <c r="O36" i="29"/>
  <c r="N36" i="29"/>
  <c r="M36" i="29"/>
  <c r="L36" i="29"/>
  <c r="K36" i="29"/>
  <c r="K36" i="25" s="1"/>
  <c r="J36" i="29"/>
  <c r="I36" i="29"/>
  <c r="H36" i="29"/>
  <c r="G36" i="29"/>
  <c r="F36" i="29"/>
  <c r="E36" i="29"/>
  <c r="D36" i="29"/>
  <c r="C36" i="29"/>
  <c r="AS6" i="29"/>
  <c r="AR6" i="29"/>
  <c r="AQ6" i="29"/>
  <c r="AP6" i="29"/>
  <c r="AO6" i="29"/>
  <c r="AN6" i="29"/>
  <c r="AM6" i="29"/>
  <c r="AL6" i="29"/>
  <c r="AK6" i="29"/>
  <c r="AJ6" i="29"/>
  <c r="AI6" i="29"/>
  <c r="AH6" i="29"/>
  <c r="AG6" i="29"/>
  <c r="AF6" i="29"/>
  <c r="AE6" i="29"/>
  <c r="AD6" i="29"/>
  <c r="AC6" i="29"/>
  <c r="AB6" i="29"/>
  <c r="AA6" i="29"/>
  <c r="Z6" i="29"/>
  <c r="Y6" i="29"/>
  <c r="Y6" i="25" s="1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C6" i="25" s="1"/>
  <c r="AY4" i="29"/>
  <c r="AX4" i="29"/>
  <c r="AW4" i="29"/>
  <c r="AV4" i="29"/>
  <c r="AU4" i="29"/>
  <c r="AT4" i="29"/>
  <c r="AS4" i="29"/>
  <c r="AR4" i="29"/>
  <c r="AQ4" i="29"/>
  <c r="AP4" i="29"/>
  <c r="AO4" i="29"/>
  <c r="AN4" i="29"/>
  <c r="AM4" i="29"/>
  <c r="AL4" i="29"/>
  <c r="AK4" i="29"/>
  <c r="AJ4" i="29"/>
  <c r="AI4" i="29"/>
  <c r="AH4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B4" i="29"/>
  <c r="AY36" i="29"/>
  <c r="AX36" i="29"/>
  <c r="AW36" i="29"/>
  <c r="AV36" i="29"/>
  <c r="AU36" i="29"/>
  <c r="B36" i="29"/>
  <c r="AY76" i="29"/>
  <c r="AX76" i="29"/>
  <c r="AX76" i="25" s="1"/>
  <c r="AW76" i="29"/>
  <c r="AV76" i="29"/>
  <c r="AV76" i="25" s="1"/>
  <c r="AU76" i="29"/>
  <c r="B76" i="29"/>
  <c r="AY96" i="29"/>
  <c r="AX96" i="29"/>
  <c r="AW96" i="29"/>
  <c r="AV96" i="29"/>
  <c r="AU96" i="29"/>
  <c r="B96" i="29"/>
  <c r="AY116" i="29"/>
  <c r="AX116" i="29"/>
  <c r="AW116" i="29"/>
  <c r="AV116" i="29"/>
  <c r="AU116" i="29"/>
  <c r="B116" i="29"/>
  <c r="AY130" i="29"/>
  <c r="AX130" i="29"/>
  <c r="AW130" i="29"/>
  <c r="AV130" i="29"/>
  <c r="AU130" i="29"/>
  <c r="AT130" i="29"/>
  <c r="B130" i="29"/>
  <c r="AY126" i="29"/>
  <c r="AX126" i="29"/>
  <c r="AW126" i="29"/>
  <c r="AV126" i="29"/>
  <c r="AU126" i="29"/>
  <c r="AT126" i="29"/>
  <c r="B126" i="29"/>
  <c r="AY122" i="29"/>
  <c r="AX122" i="29"/>
  <c r="AW122" i="29"/>
  <c r="AW122" i="25" s="1"/>
  <c r="AV122" i="29"/>
  <c r="AU122" i="29"/>
  <c r="AT122" i="29"/>
  <c r="B122" i="29"/>
  <c r="AY114" i="29"/>
  <c r="AX114" i="29"/>
  <c r="AW114" i="29"/>
  <c r="AV114" i="29"/>
  <c r="AV114" i="25" s="1"/>
  <c r="AU114" i="29"/>
  <c r="AT114" i="29"/>
  <c r="B114" i="29"/>
  <c r="AY110" i="29"/>
  <c r="AX110" i="29"/>
  <c r="AW110" i="29"/>
  <c r="AV110" i="29"/>
  <c r="AU110" i="29"/>
  <c r="AT110" i="29"/>
  <c r="B110" i="29"/>
  <c r="AY106" i="29"/>
  <c r="AY98" i="29" s="1"/>
  <c r="AX106" i="29"/>
  <c r="BB106" i="29" s="1"/>
  <c r="AW106" i="29"/>
  <c r="AV106" i="29"/>
  <c r="AU106" i="29"/>
  <c r="AT106" i="29"/>
  <c r="B106" i="29"/>
  <c r="AY102" i="29"/>
  <c r="AX102" i="29"/>
  <c r="AW102" i="29"/>
  <c r="AV102" i="29"/>
  <c r="AV98" i="29" s="1"/>
  <c r="AU102" i="29"/>
  <c r="AT102" i="29"/>
  <c r="AT98" i="29" s="1"/>
  <c r="B102" i="29"/>
  <c r="AY94" i="29"/>
  <c r="AX94" i="29"/>
  <c r="AW94" i="29"/>
  <c r="AV94" i="29"/>
  <c r="AU94" i="29"/>
  <c r="AT94" i="29"/>
  <c r="B94" i="29"/>
  <c r="AY90" i="29"/>
  <c r="AX90" i="29"/>
  <c r="BB90" i="29" s="1"/>
  <c r="AW90" i="29"/>
  <c r="AW90" i="25" s="1"/>
  <c r="AV90" i="29"/>
  <c r="AU90" i="29"/>
  <c r="AT90" i="29"/>
  <c r="B90" i="29"/>
  <c r="AY86" i="29"/>
  <c r="AX86" i="29"/>
  <c r="AW86" i="29"/>
  <c r="AV86" i="29"/>
  <c r="AU86" i="29"/>
  <c r="AU78" i="29" s="1"/>
  <c r="AT86" i="29"/>
  <c r="B86" i="29"/>
  <c r="AY82" i="29"/>
  <c r="AX82" i="29"/>
  <c r="AW82" i="29"/>
  <c r="AV82" i="29"/>
  <c r="AU82" i="29"/>
  <c r="AT82" i="29"/>
  <c r="B82" i="29"/>
  <c r="AY74" i="29"/>
  <c r="AX74" i="29"/>
  <c r="AW74" i="29"/>
  <c r="AV74" i="29"/>
  <c r="AU74" i="29"/>
  <c r="AT74" i="29"/>
  <c r="B74" i="29"/>
  <c r="AY70" i="29"/>
  <c r="AY70" i="25" s="1"/>
  <c r="AX70" i="29"/>
  <c r="BD70" i="29" s="1"/>
  <c r="AW70" i="29"/>
  <c r="AV70" i="29"/>
  <c r="AU70" i="29"/>
  <c r="AT70" i="29"/>
  <c r="B70" i="29"/>
  <c r="AY66" i="29"/>
  <c r="AX66" i="29"/>
  <c r="AW66" i="29"/>
  <c r="AV66" i="29"/>
  <c r="AU66" i="29"/>
  <c r="AT66" i="29"/>
  <c r="B66" i="29"/>
  <c r="AY62" i="29"/>
  <c r="AX62" i="29"/>
  <c r="AW62" i="29"/>
  <c r="AV62" i="29"/>
  <c r="AU62" i="29"/>
  <c r="AT62" i="29"/>
  <c r="B62" i="29"/>
  <c r="AY58" i="29"/>
  <c r="AX58" i="29"/>
  <c r="AW58" i="29"/>
  <c r="AV58" i="29"/>
  <c r="AU58" i="29"/>
  <c r="AT58" i="29"/>
  <c r="B58" i="29"/>
  <c r="AY54" i="29"/>
  <c r="AX54" i="29"/>
  <c r="BD54" i="29" s="1"/>
  <c r="AW54" i="29"/>
  <c r="AV54" i="29"/>
  <c r="AU54" i="29"/>
  <c r="AT54" i="29"/>
  <c r="B54" i="29"/>
  <c r="AY50" i="29"/>
  <c r="AX50" i="29"/>
  <c r="AW50" i="29"/>
  <c r="AV50" i="29"/>
  <c r="AU50" i="29"/>
  <c r="AT50" i="29"/>
  <c r="B50" i="29"/>
  <c r="AY46" i="29"/>
  <c r="AX46" i="29"/>
  <c r="AW46" i="29"/>
  <c r="AV46" i="29"/>
  <c r="AU46" i="29"/>
  <c r="AT46" i="29"/>
  <c r="B46" i="29"/>
  <c r="AY42" i="29"/>
  <c r="AX42" i="29"/>
  <c r="AW42" i="29"/>
  <c r="AV42" i="29"/>
  <c r="AU42" i="29"/>
  <c r="AT42" i="29"/>
  <c r="B42" i="29"/>
  <c r="AZ34" i="29"/>
  <c r="AY34" i="29"/>
  <c r="AX34" i="29"/>
  <c r="AW34" i="29"/>
  <c r="AV34" i="29"/>
  <c r="AU34" i="29"/>
  <c r="AT34" i="29"/>
  <c r="B34" i="29"/>
  <c r="AZ30" i="29"/>
  <c r="AY30" i="29"/>
  <c r="AX30" i="29"/>
  <c r="AW30" i="29"/>
  <c r="AV30" i="29"/>
  <c r="AU30" i="29"/>
  <c r="AT30" i="29"/>
  <c r="B30" i="29"/>
  <c r="AY26" i="29"/>
  <c r="AX26" i="29"/>
  <c r="AW26" i="29"/>
  <c r="AV26" i="29"/>
  <c r="AU26" i="29"/>
  <c r="AU26" i="25" s="1"/>
  <c r="AT26" i="29"/>
  <c r="B26" i="29"/>
  <c r="AZ22" i="29"/>
  <c r="AY22" i="29"/>
  <c r="AX22" i="29"/>
  <c r="AW22" i="29"/>
  <c r="AV22" i="29"/>
  <c r="AU22" i="29"/>
  <c r="AT22" i="29"/>
  <c r="B22" i="29"/>
  <c r="AY18" i="29"/>
  <c r="AX18" i="29"/>
  <c r="AW18" i="29"/>
  <c r="AV18" i="29"/>
  <c r="AU18" i="29"/>
  <c r="AT18" i="29"/>
  <c r="B18" i="29"/>
  <c r="AY14" i="29"/>
  <c r="AX14" i="29"/>
  <c r="AW14" i="29"/>
  <c r="AV14" i="29"/>
  <c r="AV14" i="25" s="1"/>
  <c r="AU14" i="29"/>
  <c r="AT14" i="29"/>
  <c r="B14" i="29"/>
  <c r="AY10" i="29"/>
  <c r="AX10" i="29"/>
  <c r="AW10" i="29"/>
  <c r="AV10" i="29"/>
  <c r="AU10" i="29"/>
  <c r="AT10" i="29"/>
  <c r="B10" i="29"/>
  <c r="AZ130" i="29"/>
  <c r="BC129" i="29"/>
  <c r="BB129" i="29"/>
  <c r="BA129" i="29"/>
  <c r="BC128" i="29"/>
  <c r="BB128" i="29"/>
  <c r="BA128" i="29"/>
  <c r="AZ126" i="29"/>
  <c r="AZ126" i="25" s="1"/>
  <c r="BC125" i="29"/>
  <c r="BB125" i="29"/>
  <c r="BA125" i="29"/>
  <c r="BB124" i="29"/>
  <c r="BC121" i="29"/>
  <c r="BB121" i="29"/>
  <c r="BA121" i="29"/>
  <c r="BB120" i="29"/>
  <c r="BC120" i="29"/>
  <c r="AZ116" i="29"/>
  <c r="AZ114" i="29"/>
  <c r="BC113" i="29"/>
  <c r="BB113" i="29"/>
  <c r="BA113" i="29"/>
  <c r="BB112" i="29"/>
  <c r="BC112" i="29"/>
  <c r="AZ110" i="29"/>
  <c r="BC109" i="29"/>
  <c r="BB109" i="29"/>
  <c r="BA109" i="29"/>
  <c r="BC108" i="29"/>
  <c r="BB108" i="29"/>
  <c r="BA108" i="29"/>
  <c r="AZ106" i="29"/>
  <c r="BC105" i="29"/>
  <c r="BB105" i="29"/>
  <c r="BA105" i="29"/>
  <c r="BB104" i="29"/>
  <c r="AZ102" i="29"/>
  <c r="AZ102" i="25" s="1"/>
  <c r="BC101" i="29"/>
  <c r="BB101" i="29"/>
  <c r="BA101" i="29"/>
  <c r="BB100" i="29"/>
  <c r="BA100" i="29"/>
  <c r="AZ96" i="29"/>
  <c r="AZ94" i="29"/>
  <c r="BC94" i="29" s="1"/>
  <c r="BC93" i="29"/>
  <c r="BB93" i="29"/>
  <c r="BA93" i="29"/>
  <c r="BC92" i="29"/>
  <c r="BB92" i="29"/>
  <c r="BA92" i="29"/>
  <c r="AZ90" i="29"/>
  <c r="BC89" i="29"/>
  <c r="BB89" i="29"/>
  <c r="BA89" i="29"/>
  <c r="BC88" i="29"/>
  <c r="BB88" i="29"/>
  <c r="BC85" i="29"/>
  <c r="BB85" i="29"/>
  <c r="BA85" i="29"/>
  <c r="BA84" i="29"/>
  <c r="BB84" i="29"/>
  <c r="AZ82" i="29"/>
  <c r="BC81" i="29"/>
  <c r="BB81" i="29"/>
  <c r="BA81" i="29"/>
  <c r="BC80" i="29"/>
  <c r="BA80" i="29"/>
  <c r="AZ76" i="29"/>
  <c r="AZ74" i="29"/>
  <c r="BC73" i="29"/>
  <c r="BB73" i="29"/>
  <c r="BA73" i="29"/>
  <c r="BC72" i="29"/>
  <c r="BB72" i="29"/>
  <c r="BA72" i="29"/>
  <c r="AZ70" i="29"/>
  <c r="BC69" i="29"/>
  <c r="BB69" i="29"/>
  <c r="BA69" i="29"/>
  <c r="BA68" i="29"/>
  <c r="AZ66" i="29"/>
  <c r="BC65" i="29"/>
  <c r="BB65" i="29"/>
  <c r="BA65" i="29"/>
  <c r="BC64" i="29"/>
  <c r="BB64" i="29"/>
  <c r="BA64" i="29"/>
  <c r="AZ62" i="29"/>
  <c r="BB62" i="29"/>
  <c r="BC61" i="29"/>
  <c r="BB61" i="29"/>
  <c r="BA61" i="29"/>
  <c r="BA60" i="29"/>
  <c r="AZ58" i="29"/>
  <c r="BA58" i="29" s="1"/>
  <c r="BC57" i="29"/>
  <c r="BB57" i="29"/>
  <c r="BA57" i="29"/>
  <c r="BC56" i="29"/>
  <c r="BB56" i="29"/>
  <c r="BA56" i="29"/>
  <c r="AZ54" i="29"/>
  <c r="BC53" i="29"/>
  <c r="BB53" i="29"/>
  <c r="BA53" i="29"/>
  <c r="BA52" i="29"/>
  <c r="AZ50" i="29"/>
  <c r="BC49" i="29"/>
  <c r="BB49" i="29"/>
  <c r="BA49" i="29"/>
  <c r="BA48" i="29"/>
  <c r="AZ46" i="29"/>
  <c r="BC46" i="29" s="1"/>
  <c r="BC45" i="29"/>
  <c r="BB45" i="29"/>
  <c r="BA45" i="29"/>
  <c r="BC44" i="29"/>
  <c r="BA44" i="29"/>
  <c r="BB44" i="29"/>
  <c r="AZ42" i="29"/>
  <c r="AZ42" i="25" s="1"/>
  <c r="BC41" i="29"/>
  <c r="BB41" i="29"/>
  <c r="BA41" i="29"/>
  <c r="BA40" i="29"/>
  <c r="BC40" i="29"/>
  <c r="AZ36" i="29"/>
  <c r="BC33" i="29"/>
  <c r="BB33" i="29"/>
  <c r="BA33" i="29"/>
  <c r="BC32" i="29"/>
  <c r="BA32" i="29"/>
  <c r="BC29" i="29"/>
  <c r="BB29" i="29"/>
  <c r="BA29" i="29"/>
  <c r="BB28" i="29"/>
  <c r="BC28" i="29"/>
  <c r="BC25" i="29"/>
  <c r="BB25" i="29"/>
  <c r="BA25" i="29"/>
  <c r="BC24" i="29"/>
  <c r="BB24" i="29"/>
  <c r="BA24" i="29"/>
  <c r="BB22" i="29"/>
  <c r="BC21" i="29"/>
  <c r="BB21" i="29"/>
  <c r="BA21" i="29"/>
  <c r="BB20" i="29"/>
  <c r="BC17" i="29"/>
  <c r="BB17" i="29"/>
  <c r="BA17" i="29"/>
  <c r="BC16" i="29"/>
  <c r="BB16" i="29"/>
  <c r="BA16" i="29"/>
  <c r="BB13" i="29"/>
  <c r="BA12" i="29"/>
  <c r="BC12" i="29"/>
  <c r="AZ10" i="29"/>
  <c r="BC9" i="29"/>
  <c r="BB9" i="29"/>
  <c r="BA9" i="29"/>
  <c r="BC8" i="29"/>
  <c r="BB8" i="29"/>
  <c r="BA8" i="29"/>
  <c r="BD108" i="25"/>
  <c r="AX14" i="3"/>
  <c r="AY14" i="3"/>
  <c r="AZ14" i="3"/>
  <c r="AZ13" i="3"/>
  <c r="AY13" i="3"/>
  <c r="AU110" i="25" l="1"/>
  <c r="AU109" i="25" s="1"/>
  <c r="B96" i="25"/>
  <c r="AT94" i="25"/>
  <c r="AT54" i="25"/>
  <c r="AU50" i="25"/>
  <c r="B50" i="25"/>
  <c r="AW42" i="25"/>
  <c r="AW41" i="25" s="1"/>
  <c r="AU30" i="25"/>
  <c r="AT30" i="25"/>
  <c r="AU18" i="25"/>
  <c r="AT18" i="25"/>
  <c r="AW14" i="25"/>
  <c r="BD4" i="31"/>
  <c r="F5" i="31"/>
  <c r="AC5" i="31"/>
  <c r="B130" i="25"/>
  <c r="R116" i="25"/>
  <c r="AN116" i="25"/>
  <c r="U117" i="31"/>
  <c r="AQ117" i="31"/>
  <c r="B58" i="25"/>
  <c r="B57" i="25" s="1"/>
  <c r="AV36" i="25"/>
  <c r="K96" i="25"/>
  <c r="AZ110" i="25"/>
  <c r="AB116" i="25"/>
  <c r="BB106" i="31"/>
  <c r="S101" i="25"/>
  <c r="AO101" i="25"/>
  <c r="T121" i="25"/>
  <c r="AP121" i="25"/>
  <c r="AU70" i="25"/>
  <c r="AU69" i="25" s="1"/>
  <c r="AN78" i="25"/>
  <c r="AW62" i="25"/>
  <c r="AW61" i="25" s="1"/>
  <c r="Q61" i="25"/>
  <c r="T101" i="25"/>
  <c r="V4" i="25"/>
  <c r="AI96" i="25"/>
  <c r="AH37" i="31"/>
  <c r="AN97" i="31"/>
  <c r="O13" i="25"/>
  <c r="U101" i="25"/>
  <c r="AT58" i="25"/>
  <c r="AT57" i="25" s="1"/>
  <c r="R78" i="25"/>
  <c r="AY86" i="25"/>
  <c r="AY85" i="25" s="1"/>
  <c r="AP101" i="25"/>
  <c r="R36" i="25"/>
  <c r="AT74" i="25"/>
  <c r="AZ86" i="25"/>
  <c r="AZ85" i="25" s="1"/>
  <c r="L37" i="31"/>
  <c r="R97" i="31"/>
  <c r="L134" i="31"/>
  <c r="AK13" i="25"/>
  <c r="AQ101" i="25"/>
  <c r="AV30" i="25"/>
  <c r="AV29" i="25" s="1"/>
  <c r="S38" i="25"/>
  <c r="AO38" i="25"/>
  <c r="Q77" i="31"/>
  <c r="AM77" i="31"/>
  <c r="AO97" i="31"/>
  <c r="J89" i="25"/>
  <c r="AF89" i="25"/>
  <c r="AR101" i="25"/>
  <c r="Q105" i="25"/>
  <c r="AB121" i="25"/>
  <c r="BC104" i="25"/>
  <c r="AO117" i="31"/>
  <c r="AA81" i="25"/>
  <c r="E76" i="25"/>
  <c r="AA76" i="25"/>
  <c r="G77" i="31"/>
  <c r="AC77" i="31"/>
  <c r="X77" i="31"/>
  <c r="N53" i="25"/>
  <c r="AJ53" i="25"/>
  <c r="U69" i="25"/>
  <c r="AQ69" i="25"/>
  <c r="G105" i="25"/>
  <c r="AC105" i="25"/>
  <c r="O76" i="25"/>
  <c r="O77" i="25" s="1"/>
  <c r="AG89" i="25"/>
  <c r="AQ38" i="25"/>
  <c r="B94" i="25"/>
  <c r="B93" i="25" s="1"/>
  <c r="S77" i="31"/>
  <c r="Q97" i="31"/>
  <c r="AA85" i="25"/>
  <c r="AV34" i="25"/>
  <c r="AV33" i="25" s="1"/>
  <c r="Z6" i="25"/>
  <c r="F76" i="25"/>
  <c r="AB76" i="25"/>
  <c r="AD118" i="25"/>
  <c r="AY102" i="25"/>
  <c r="AU114" i="25"/>
  <c r="AU113" i="25" s="1"/>
  <c r="E5" i="31"/>
  <c r="C77" i="31"/>
  <c r="Y77" i="31"/>
  <c r="R89" i="25"/>
  <c r="AK76" i="25"/>
  <c r="AK77" i="25" s="1"/>
  <c r="Q41" i="25"/>
  <c r="S57" i="25"/>
  <c r="R121" i="25"/>
  <c r="P76" i="25"/>
  <c r="M77" i="31"/>
  <c r="BD92" i="25"/>
  <c r="R101" i="25"/>
  <c r="AP38" i="25"/>
  <c r="P85" i="25"/>
  <c r="U38" i="25"/>
  <c r="BC88" i="25"/>
  <c r="E85" i="25"/>
  <c r="AU126" i="25"/>
  <c r="AU125" i="25" s="1"/>
  <c r="J4" i="25"/>
  <c r="AF4" i="25"/>
  <c r="AE118" i="25"/>
  <c r="AV54" i="25"/>
  <c r="AV53" i="25" s="1"/>
  <c r="AY126" i="25"/>
  <c r="BA126" i="25" s="1"/>
  <c r="AB5" i="31"/>
  <c r="D77" i="31"/>
  <c r="Z77" i="31"/>
  <c r="L17" i="25"/>
  <c r="P53" i="25"/>
  <c r="AL53" i="25"/>
  <c r="S85" i="25"/>
  <c r="F118" i="25"/>
  <c r="AW89" i="25"/>
  <c r="B114" i="25"/>
  <c r="B113" i="25" s="1"/>
  <c r="J118" i="25"/>
  <c r="J77" i="31"/>
  <c r="AF77" i="31"/>
  <c r="E77" i="31"/>
  <c r="AA77" i="31"/>
  <c r="V53" i="25"/>
  <c r="Q53" i="25"/>
  <c r="AM53" i="25"/>
  <c r="AL76" i="25"/>
  <c r="AY110" i="25"/>
  <c r="AY109" i="25" s="1"/>
  <c r="R41" i="25"/>
  <c r="AN101" i="25"/>
  <c r="AW30" i="25"/>
  <c r="AW29" i="25" s="1"/>
  <c r="T38" i="25"/>
  <c r="K89" i="25"/>
  <c r="AO77" i="31"/>
  <c r="AW4" i="25"/>
  <c r="AO85" i="25"/>
  <c r="K118" i="25"/>
  <c r="AG118" i="25"/>
  <c r="BA18" i="31"/>
  <c r="S17" i="25"/>
  <c r="I25" i="25"/>
  <c r="AE25" i="25"/>
  <c r="O81" i="25"/>
  <c r="AK81" i="25"/>
  <c r="H36" i="25"/>
  <c r="AD36" i="25"/>
  <c r="J96" i="25"/>
  <c r="P17" i="25"/>
  <c r="L118" i="25"/>
  <c r="AI134" i="30"/>
  <c r="G25" i="25"/>
  <c r="AC25" i="25"/>
  <c r="E45" i="25"/>
  <c r="AA45" i="25"/>
  <c r="X61" i="25"/>
  <c r="G113" i="25"/>
  <c r="AC113" i="25"/>
  <c r="P118" i="25"/>
  <c r="AL17" i="25"/>
  <c r="D45" i="25"/>
  <c r="Z45" i="25"/>
  <c r="BD100" i="25"/>
  <c r="R105" i="25"/>
  <c r="AN105" i="25"/>
  <c r="B26" i="25"/>
  <c r="B25" i="25" s="1"/>
  <c r="AT66" i="25"/>
  <c r="I36" i="25"/>
  <c r="AE36" i="25"/>
  <c r="J76" i="25"/>
  <c r="AF76" i="25"/>
  <c r="AH118" i="25"/>
  <c r="AT26" i="25"/>
  <c r="AT25" i="25" s="1"/>
  <c r="K76" i="25"/>
  <c r="AG76" i="25"/>
  <c r="AG78" i="25"/>
  <c r="AG77" i="25" s="1"/>
  <c r="AH96" i="25"/>
  <c r="M118" i="25"/>
  <c r="AI118" i="25"/>
  <c r="M5" i="30"/>
  <c r="AI5" i="30"/>
  <c r="C61" i="25"/>
  <c r="Y61" i="25"/>
  <c r="BB14" i="30"/>
  <c r="AX14" i="25"/>
  <c r="BD14" i="25" s="1"/>
  <c r="AY14" i="25"/>
  <c r="BB14" i="25" s="1"/>
  <c r="AN53" i="25"/>
  <c r="T118" i="25"/>
  <c r="AB97" i="30"/>
  <c r="AT46" i="25"/>
  <c r="AT45" i="25" s="1"/>
  <c r="S53" i="25"/>
  <c r="H81" i="25"/>
  <c r="AQ53" i="25"/>
  <c r="AU122" i="25"/>
  <c r="E121" i="25"/>
  <c r="AA121" i="25"/>
  <c r="Q129" i="25"/>
  <c r="AM129" i="25"/>
  <c r="BA84" i="25"/>
  <c r="B74" i="25"/>
  <c r="B73" i="25" s="1"/>
  <c r="AU106" i="25"/>
  <c r="AU105" i="25" s="1"/>
  <c r="AV122" i="25"/>
  <c r="AX116" i="25"/>
  <c r="V38" i="25"/>
  <c r="AR38" i="25"/>
  <c r="W78" i="25"/>
  <c r="AS78" i="25"/>
  <c r="X98" i="25"/>
  <c r="L117" i="30"/>
  <c r="AH117" i="30"/>
  <c r="B90" i="25"/>
  <c r="B89" i="25" s="1"/>
  <c r="J29" i="25"/>
  <c r="AF29" i="25"/>
  <c r="M45" i="25"/>
  <c r="Q73" i="25"/>
  <c r="Q81" i="25"/>
  <c r="AM81" i="25"/>
  <c r="F121" i="25"/>
  <c r="R129" i="25"/>
  <c r="BA80" i="25"/>
  <c r="AK118" i="25"/>
  <c r="R73" i="25"/>
  <c r="AL118" i="25"/>
  <c r="B46" i="25"/>
  <c r="B45" i="25" s="1"/>
  <c r="AB81" i="25"/>
  <c r="AO53" i="25"/>
  <c r="G81" i="25"/>
  <c r="AD81" i="25"/>
  <c r="AM41" i="25"/>
  <c r="U53" i="25"/>
  <c r="AE81" i="25"/>
  <c r="O129" i="25"/>
  <c r="V98" i="25"/>
  <c r="AN41" i="25"/>
  <c r="J81" i="25"/>
  <c r="B22" i="25"/>
  <c r="B21" i="25" s="1"/>
  <c r="W38" i="25"/>
  <c r="C96" i="25"/>
  <c r="Y98" i="25"/>
  <c r="P25" i="25"/>
  <c r="AL25" i="25"/>
  <c r="AN73" i="25"/>
  <c r="B34" i="25"/>
  <c r="B33" i="25" s="1"/>
  <c r="AV90" i="25"/>
  <c r="AV89" i="25" s="1"/>
  <c r="X38" i="25"/>
  <c r="C78" i="25"/>
  <c r="Y78" i="25"/>
  <c r="D96" i="25"/>
  <c r="E5" i="30"/>
  <c r="AA5" i="30"/>
  <c r="AI37" i="30"/>
  <c r="W77" i="30"/>
  <c r="AS77" i="30"/>
  <c r="Q77" i="30"/>
  <c r="S97" i="30"/>
  <c r="AO97" i="30"/>
  <c r="M134" i="30"/>
  <c r="N117" i="30"/>
  <c r="AJ117" i="30"/>
  <c r="AU90" i="25"/>
  <c r="AU89" i="25" s="1"/>
  <c r="Q25" i="25"/>
  <c r="AM25" i="25"/>
  <c r="Q57" i="25"/>
  <c r="S73" i="25"/>
  <c r="N134" i="30"/>
  <c r="R25" i="25"/>
  <c r="AN25" i="25"/>
  <c r="R29" i="25"/>
  <c r="T73" i="25"/>
  <c r="Q113" i="25"/>
  <c r="AM113" i="25"/>
  <c r="G116" i="25"/>
  <c r="G117" i="25" s="1"/>
  <c r="S25" i="25"/>
  <c r="AO25" i="25"/>
  <c r="N61" i="25"/>
  <c r="AJ61" i="25"/>
  <c r="I105" i="25"/>
  <c r="AE105" i="25"/>
  <c r="C109" i="25"/>
  <c r="Y109" i="25"/>
  <c r="R113" i="25"/>
  <c r="AY36" i="25"/>
  <c r="I81" i="25"/>
  <c r="AR98" i="25"/>
  <c r="B62" i="25"/>
  <c r="AY116" i="25"/>
  <c r="BB116" i="25" s="1"/>
  <c r="C98" i="25"/>
  <c r="C97" i="25" s="1"/>
  <c r="AU96" i="25"/>
  <c r="AB5" i="30"/>
  <c r="AP97" i="30"/>
  <c r="AU34" i="25"/>
  <c r="AU33" i="25" s="1"/>
  <c r="Z36" i="25"/>
  <c r="F96" i="25"/>
  <c r="AB98" i="25"/>
  <c r="AW22" i="25"/>
  <c r="AW21" i="25" s="1"/>
  <c r="E36" i="25"/>
  <c r="AA38" i="25"/>
  <c r="G96" i="25"/>
  <c r="G98" i="25"/>
  <c r="G97" i="25" s="1"/>
  <c r="AC98" i="25"/>
  <c r="Q117" i="30"/>
  <c r="AM117" i="30"/>
  <c r="T25" i="25"/>
  <c r="AP25" i="25"/>
  <c r="T29" i="25"/>
  <c r="T57" i="25"/>
  <c r="AR81" i="25"/>
  <c r="O105" i="25"/>
  <c r="S113" i="25"/>
  <c r="AT86" i="25"/>
  <c r="AT85" i="25" s="1"/>
  <c r="R53" i="25"/>
  <c r="AP118" i="25"/>
  <c r="F97" i="30"/>
  <c r="AC81" i="25"/>
  <c r="AU17" i="25"/>
  <c r="B116" i="25"/>
  <c r="AU116" i="25"/>
  <c r="AT10" i="25"/>
  <c r="AT9" i="25" s="1"/>
  <c r="Z78" i="25"/>
  <c r="T97" i="30"/>
  <c r="AJ134" i="30"/>
  <c r="AV22" i="25"/>
  <c r="AV21" i="25" s="1"/>
  <c r="AV96" i="25"/>
  <c r="D38" i="25"/>
  <c r="Z38" i="25"/>
  <c r="E78" i="25"/>
  <c r="AC116" i="25"/>
  <c r="AC96" i="25"/>
  <c r="AC97" i="25" s="1"/>
  <c r="AW50" i="25"/>
  <c r="AW49" i="25" s="1"/>
  <c r="AX96" i="25"/>
  <c r="E6" i="25"/>
  <c r="F36" i="25"/>
  <c r="AB36" i="25"/>
  <c r="AY42" i="25"/>
  <c r="AY41" i="25" s="1"/>
  <c r="AE76" i="25"/>
  <c r="AY90" i="25"/>
  <c r="AY89" i="25" s="1"/>
  <c r="D21" i="25"/>
  <c r="U25" i="25"/>
  <c r="AQ25" i="25"/>
  <c r="AO49" i="25"/>
  <c r="U57" i="25"/>
  <c r="BD80" i="25"/>
  <c r="P101" i="25"/>
  <c r="AL101" i="25"/>
  <c r="T113" i="25"/>
  <c r="AP113" i="25"/>
  <c r="BA52" i="25"/>
  <c r="AZ50" i="25"/>
  <c r="AF81" i="25"/>
  <c r="AW121" i="25"/>
  <c r="AS38" i="25"/>
  <c r="Y96" i="25"/>
  <c r="Y97" i="25" s="1"/>
  <c r="D78" i="25"/>
  <c r="F5" i="30"/>
  <c r="AV62" i="25"/>
  <c r="AV61" i="25" s="1"/>
  <c r="D36" i="25"/>
  <c r="D37" i="25" s="1"/>
  <c r="AA78" i="25"/>
  <c r="AC118" i="25"/>
  <c r="AC117" i="25" s="1"/>
  <c r="AV50" i="25"/>
  <c r="AV49" i="25" s="1"/>
  <c r="AT126" i="25"/>
  <c r="AT125" i="25" s="1"/>
  <c r="AA36" i="25"/>
  <c r="AA37" i="25" s="1"/>
  <c r="AY96" i="25"/>
  <c r="BB96" i="25" s="1"/>
  <c r="AB6" i="25"/>
  <c r="G36" i="25"/>
  <c r="AC36" i="25"/>
  <c r="AD78" i="25"/>
  <c r="AM61" i="25"/>
  <c r="BA72" i="25"/>
  <c r="Q101" i="25"/>
  <c r="AM101" i="25"/>
  <c r="E113" i="25"/>
  <c r="AA113" i="25"/>
  <c r="U113" i="25"/>
  <c r="AQ113" i="25"/>
  <c r="BC62" i="29"/>
  <c r="AW70" i="25"/>
  <c r="AW69" i="25" s="1"/>
  <c r="AY54" i="25"/>
  <c r="AY53" i="25" s="1"/>
  <c r="AX54" i="25"/>
  <c r="BD54" i="25" s="1"/>
  <c r="AU54" i="25"/>
  <c r="AT50" i="25"/>
  <c r="AT49" i="25" s="1"/>
  <c r="BB94" i="31"/>
  <c r="AZ10" i="25"/>
  <c r="AA4" i="25"/>
  <c r="AT76" i="25"/>
  <c r="G33" i="25"/>
  <c r="AC33" i="25"/>
  <c r="X41" i="25"/>
  <c r="S129" i="25"/>
  <c r="V25" i="25"/>
  <c r="AP29" i="25"/>
  <c r="W113" i="25"/>
  <c r="AS113" i="25"/>
  <c r="Q65" i="25"/>
  <c r="AA5" i="31"/>
  <c r="AP45" i="25"/>
  <c r="K17" i="25"/>
  <c r="U4" i="25"/>
  <c r="AQ4" i="25"/>
  <c r="P6" i="25"/>
  <c r="AL6" i="25"/>
  <c r="R65" i="25"/>
  <c r="AV70" i="25"/>
  <c r="AV69" i="25" s="1"/>
  <c r="S78" i="25"/>
  <c r="U118" i="25"/>
  <c r="AP78" i="25"/>
  <c r="AP65" i="25"/>
  <c r="AB21" i="25"/>
  <c r="Q6" i="25"/>
  <c r="AO78" i="25"/>
  <c r="AQ118" i="25"/>
  <c r="T78" i="25"/>
  <c r="AW58" i="25"/>
  <c r="AW57" i="25" s="1"/>
  <c r="R77" i="31"/>
  <c r="AN77" i="31"/>
  <c r="N109" i="25"/>
  <c r="J37" i="31"/>
  <c r="AF37" i="31"/>
  <c r="AX46" i="25"/>
  <c r="AX45" i="25" s="1"/>
  <c r="D4" i="25"/>
  <c r="AV4" i="25"/>
  <c r="U6" i="25"/>
  <c r="AQ6" i="25"/>
  <c r="AR36" i="25"/>
  <c r="Y118" i="25"/>
  <c r="AT42" i="25"/>
  <c r="AT41" i="25" s="1"/>
  <c r="AT102" i="25"/>
  <c r="AT101" i="25" s="1"/>
  <c r="AZ106" i="25"/>
  <c r="AZ98" i="25" s="1"/>
  <c r="B126" i="25"/>
  <c r="B125" i="25" s="1"/>
  <c r="AF117" i="31"/>
  <c r="T117" i="31"/>
  <c r="AP117" i="31"/>
  <c r="X25" i="25"/>
  <c r="W53" i="25"/>
  <c r="AS53" i="25"/>
  <c r="V57" i="25"/>
  <c r="AR57" i="25"/>
  <c r="AL61" i="25"/>
  <c r="F85" i="25"/>
  <c r="AB85" i="25"/>
  <c r="G76" i="25"/>
  <c r="AJ17" i="25"/>
  <c r="V73" i="25"/>
  <c r="AR73" i="25"/>
  <c r="AV126" i="25"/>
  <c r="AV125" i="25" s="1"/>
  <c r="H76" i="25"/>
  <c r="AD76" i="25"/>
  <c r="AD77" i="25" s="1"/>
  <c r="AW54" i="25"/>
  <c r="AW53" i="25" s="1"/>
  <c r="AH134" i="31"/>
  <c r="BB70" i="31"/>
  <c r="AK17" i="25"/>
  <c r="AX42" i="25"/>
  <c r="AX41" i="25" s="1"/>
  <c r="I49" i="25"/>
  <c r="AE49" i="25"/>
  <c r="I69" i="25"/>
  <c r="AE69" i="25"/>
  <c r="K93" i="25"/>
  <c r="AG93" i="25"/>
  <c r="BA64" i="25"/>
  <c r="AW10" i="25"/>
  <c r="AW9" i="25" s="1"/>
  <c r="AW34" i="25"/>
  <c r="AW33" i="25" s="1"/>
  <c r="AA6" i="25"/>
  <c r="AC76" i="25"/>
  <c r="B66" i="25"/>
  <c r="B65" i="25" s="1"/>
  <c r="AW126" i="25"/>
  <c r="AW125" i="25" s="1"/>
  <c r="I76" i="25"/>
  <c r="K116" i="25"/>
  <c r="K117" i="25" s="1"/>
  <c r="AG116" i="25"/>
  <c r="H5" i="31"/>
  <c r="AD5" i="31"/>
  <c r="Y97" i="31"/>
  <c r="AN117" i="31"/>
  <c r="W25" i="25"/>
  <c r="AS25" i="25"/>
  <c r="L33" i="25"/>
  <c r="AH33" i="25"/>
  <c r="J49" i="25"/>
  <c r="AF49" i="25"/>
  <c r="J69" i="25"/>
  <c r="AF69" i="25"/>
  <c r="T89" i="25"/>
  <c r="AP89" i="25"/>
  <c r="Q93" i="25"/>
  <c r="AM93" i="25"/>
  <c r="L93" i="25"/>
  <c r="AH93" i="25"/>
  <c r="S105" i="25"/>
  <c r="M78" i="25"/>
  <c r="BC114" i="31"/>
  <c r="AR117" i="31"/>
  <c r="T45" i="25"/>
  <c r="F53" i="25"/>
  <c r="T65" i="25"/>
  <c r="N69" i="25"/>
  <c r="F73" i="25"/>
  <c r="AB73" i="25"/>
  <c r="K85" i="25"/>
  <c r="AG85" i="25"/>
  <c r="AL93" i="25"/>
  <c r="W105" i="25"/>
  <c r="AS105" i="25"/>
  <c r="P109" i="25"/>
  <c r="AL109" i="25"/>
  <c r="P121" i="25"/>
  <c r="AL121" i="25"/>
  <c r="F41" i="25"/>
  <c r="P81" i="25"/>
  <c r="I6" i="25"/>
  <c r="AF5" i="31"/>
  <c r="G41" i="25"/>
  <c r="R45" i="25"/>
  <c r="L49" i="25"/>
  <c r="AX94" i="25"/>
  <c r="BD94" i="25" s="1"/>
  <c r="K38" i="25"/>
  <c r="K37" i="25" s="1"/>
  <c r="AI98" i="25"/>
  <c r="AG5" i="31"/>
  <c r="AL134" i="31"/>
  <c r="BB114" i="31"/>
  <c r="S45" i="25"/>
  <c r="M69" i="25"/>
  <c r="O109" i="25"/>
  <c r="K6" i="25"/>
  <c r="AH36" i="25"/>
  <c r="AH37" i="25" s="1"/>
  <c r="N98" i="25"/>
  <c r="Q134" i="31"/>
  <c r="AU130" i="25"/>
  <c r="AU129" i="25" s="1"/>
  <c r="AJ78" i="25"/>
  <c r="O98" i="25"/>
  <c r="F45" i="25"/>
  <c r="AB45" i="25"/>
  <c r="U45" i="25"/>
  <c r="AQ45" i="25"/>
  <c r="U65" i="25"/>
  <c r="AQ65" i="25"/>
  <c r="O69" i="25"/>
  <c r="L85" i="25"/>
  <c r="AH85" i="25"/>
  <c r="X105" i="25"/>
  <c r="Q109" i="25"/>
  <c r="AM109" i="25"/>
  <c r="AE5" i="31"/>
  <c r="AJ134" i="31"/>
  <c r="AB41" i="25"/>
  <c r="K69" i="25"/>
  <c r="M93" i="25"/>
  <c r="AW94" i="25"/>
  <c r="AF36" i="25"/>
  <c r="AH98" i="25"/>
  <c r="AI116" i="25"/>
  <c r="AC41" i="25"/>
  <c r="AN65" i="25"/>
  <c r="L69" i="25"/>
  <c r="AJ109" i="25"/>
  <c r="AU25" i="25"/>
  <c r="AW82" i="25"/>
  <c r="AW81" i="25" s="1"/>
  <c r="AG38" i="25"/>
  <c r="AG37" i="25" s="1"/>
  <c r="N116" i="25"/>
  <c r="N117" i="25" s="1"/>
  <c r="K5" i="31"/>
  <c r="P134" i="31"/>
  <c r="AO45" i="25"/>
  <c r="AI69" i="25"/>
  <c r="AK109" i="25"/>
  <c r="AZ49" i="25"/>
  <c r="AV26" i="25"/>
  <c r="AV25" i="25" s="1"/>
  <c r="AT130" i="25"/>
  <c r="L36" i="25"/>
  <c r="AI78" i="25"/>
  <c r="AJ98" i="25"/>
  <c r="AK116" i="25"/>
  <c r="AK117" i="25" s="1"/>
  <c r="AM134" i="31"/>
  <c r="V117" i="31"/>
  <c r="AW26" i="25"/>
  <c r="AW25" i="25" s="1"/>
  <c r="AT114" i="25"/>
  <c r="AT113" i="25" s="1"/>
  <c r="AY76" i="25"/>
  <c r="BB76" i="25" s="1"/>
  <c r="M36" i="25"/>
  <c r="M37" i="25" s="1"/>
  <c r="AI36" i="25"/>
  <c r="AI37" i="25" s="1"/>
  <c r="N78" i="25"/>
  <c r="O96" i="25"/>
  <c r="AK96" i="25"/>
  <c r="P116" i="25"/>
  <c r="AL116" i="25"/>
  <c r="AL117" i="25" s="1"/>
  <c r="AX26" i="25"/>
  <c r="BC26" i="25" s="1"/>
  <c r="AY66" i="25"/>
  <c r="AY65" i="25" s="1"/>
  <c r="BA65" i="25" s="1"/>
  <c r="AV130" i="25"/>
  <c r="B36" i="25"/>
  <c r="R4" i="25"/>
  <c r="AN4" i="25"/>
  <c r="N36" i="25"/>
  <c r="AJ36" i="25"/>
  <c r="O78" i="25"/>
  <c r="AK78" i="25"/>
  <c r="P96" i="25"/>
  <c r="AL96" i="25"/>
  <c r="AL98" i="25"/>
  <c r="AL97" i="25" s="1"/>
  <c r="AM116" i="25"/>
  <c r="N5" i="31"/>
  <c r="AJ5" i="31"/>
  <c r="S134" i="31"/>
  <c r="I97" i="31"/>
  <c r="AE97" i="31"/>
  <c r="P13" i="25"/>
  <c r="AL13" i="25"/>
  <c r="K41" i="25"/>
  <c r="H61" i="25"/>
  <c r="AD61" i="25"/>
  <c r="P69" i="25"/>
  <c r="AL69" i="25"/>
  <c r="U81" i="25"/>
  <c r="AQ81" i="25"/>
  <c r="AN109" i="25"/>
  <c r="BA40" i="25"/>
  <c r="AV118" i="31"/>
  <c r="AV117" i="31" s="1"/>
  <c r="AM13" i="25"/>
  <c r="BB16" i="25"/>
  <c r="Q21" i="25"/>
  <c r="AM21" i="25"/>
  <c r="S41" i="25"/>
  <c r="AO41" i="25"/>
  <c r="O61" i="25"/>
  <c r="AK61" i="25"/>
  <c r="I61" i="25"/>
  <c r="AE61" i="25"/>
  <c r="AM73" i="25"/>
  <c r="N85" i="25"/>
  <c r="AJ85" i="25"/>
  <c r="AA89" i="25"/>
  <c r="S93" i="25"/>
  <c r="AO93" i="25"/>
  <c r="D105" i="25"/>
  <c r="D109" i="25"/>
  <c r="S121" i="25"/>
  <c r="AO121" i="25"/>
  <c r="I5" i="31"/>
  <c r="AM65" i="25"/>
  <c r="AG69" i="25"/>
  <c r="AI93" i="25"/>
  <c r="AV82" i="25"/>
  <c r="AV81" i="25" s="1"/>
  <c r="J36" i="25"/>
  <c r="L98" i="25"/>
  <c r="J5" i="31"/>
  <c r="Y134" i="31"/>
  <c r="AN45" i="25"/>
  <c r="AH49" i="25"/>
  <c r="AH69" i="25"/>
  <c r="M98" i="25"/>
  <c r="M97" i="25" s="1"/>
  <c r="AJ116" i="25"/>
  <c r="B70" i="25"/>
  <c r="B69" i="25" s="1"/>
  <c r="AW130" i="25"/>
  <c r="AW129" i="25" s="1"/>
  <c r="S4" i="25"/>
  <c r="AO4" i="25"/>
  <c r="O36" i="25"/>
  <c r="AK36" i="25"/>
  <c r="R118" i="25"/>
  <c r="AN118" i="25"/>
  <c r="AY50" i="25"/>
  <c r="AY49" i="25" s="1"/>
  <c r="AT70" i="25"/>
  <c r="AT69" i="25" s="1"/>
  <c r="AW114" i="25"/>
  <c r="AX130" i="25"/>
  <c r="BD130" i="25" s="1"/>
  <c r="P36" i="25"/>
  <c r="AL36" i="25"/>
  <c r="P38" i="25"/>
  <c r="P37" i="25" s="1"/>
  <c r="R96" i="25"/>
  <c r="R98" i="25"/>
  <c r="AN98" i="25"/>
  <c r="C33" i="25"/>
  <c r="T41" i="25"/>
  <c r="AP41" i="25"/>
  <c r="M41" i="25"/>
  <c r="J61" i="25"/>
  <c r="AF61" i="25"/>
  <c r="AB89" i="25"/>
  <c r="C93" i="25"/>
  <c r="Y93" i="25"/>
  <c r="AP93" i="25"/>
  <c r="E105" i="25"/>
  <c r="AA105" i="25"/>
  <c r="E109" i="25"/>
  <c r="T125" i="25"/>
  <c r="O125" i="25"/>
  <c r="AK125" i="25"/>
  <c r="L97" i="31"/>
  <c r="AH97" i="31"/>
  <c r="BA110" i="31"/>
  <c r="J25" i="25"/>
  <c r="N41" i="25"/>
  <c r="AJ41" i="25"/>
  <c r="BA56" i="25"/>
  <c r="K61" i="25"/>
  <c r="AO73" i="25"/>
  <c r="W85" i="25"/>
  <c r="AS85" i="25"/>
  <c r="AC89" i="25"/>
  <c r="D93" i="25"/>
  <c r="Z93" i="25"/>
  <c r="F109" i="25"/>
  <c r="U109" i="25"/>
  <c r="AQ109" i="25"/>
  <c r="G121" i="25"/>
  <c r="AC121" i="25"/>
  <c r="U121" i="25"/>
  <c r="AQ121" i="25"/>
  <c r="U125" i="25"/>
  <c r="P129" i="25"/>
  <c r="M97" i="31"/>
  <c r="AI97" i="31"/>
  <c r="F117" i="31"/>
  <c r="AB117" i="31"/>
  <c r="AY118" i="31"/>
  <c r="AY117" i="31" s="1"/>
  <c r="AP9" i="25"/>
  <c r="Z21" i="25"/>
  <c r="E33" i="25"/>
  <c r="R57" i="25"/>
  <c r="AN57" i="25"/>
  <c r="R61" i="25"/>
  <c r="AN61" i="25"/>
  <c r="AP73" i="25"/>
  <c r="X85" i="25"/>
  <c r="Q89" i="25"/>
  <c r="AM89" i="25"/>
  <c r="E93" i="25"/>
  <c r="AA93" i="25"/>
  <c r="M101" i="25"/>
  <c r="AI101" i="25"/>
  <c r="G109" i="25"/>
  <c r="V121" i="25"/>
  <c r="AR121" i="25"/>
  <c r="V125" i="25"/>
  <c r="AR125" i="25"/>
  <c r="Q125" i="25"/>
  <c r="AM125" i="25"/>
  <c r="X134" i="31"/>
  <c r="AJ97" i="31"/>
  <c r="Q117" i="31"/>
  <c r="AM117" i="31"/>
  <c r="D9" i="25"/>
  <c r="L25" i="25"/>
  <c r="AH25" i="25"/>
  <c r="F33" i="25"/>
  <c r="AB33" i="25"/>
  <c r="W41" i="25"/>
  <c r="M61" i="25"/>
  <c r="AI61" i="25"/>
  <c r="C85" i="25"/>
  <c r="Y85" i="25"/>
  <c r="R85" i="25"/>
  <c r="AN85" i="25"/>
  <c r="AN89" i="25"/>
  <c r="F93" i="25"/>
  <c r="AB93" i="25"/>
  <c r="V101" i="25"/>
  <c r="N101" i="25"/>
  <c r="AJ101" i="25"/>
  <c r="N105" i="25"/>
  <c r="R125" i="25"/>
  <c r="AN125" i="25"/>
  <c r="AN129" i="25"/>
  <c r="O57" i="25"/>
  <c r="AK57" i="25"/>
  <c r="B18" i="25"/>
  <c r="B17" i="25" s="1"/>
  <c r="B30" i="25"/>
  <c r="B29" i="25" s="1"/>
  <c r="T4" i="25"/>
  <c r="T5" i="25" s="1"/>
  <c r="AP4" i="25"/>
  <c r="O6" i="25"/>
  <c r="Q78" i="25"/>
  <c r="AM78" i="25"/>
  <c r="S118" i="25"/>
  <c r="AO118" i="25"/>
  <c r="K37" i="30"/>
  <c r="AG37" i="30"/>
  <c r="N77" i="30"/>
  <c r="AJ77" i="30"/>
  <c r="K97" i="30"/>
  <c r="AX98" i="30"/>
  <c r="AV98" i="30"/>
  <c r="AV97" i="30" s="1"/>
  <c r="P57" i="25"/>
  <c r="AL57" i="25"/>
  <c r="U89" i="25"/>
  <c r="AQ89" i="25"/>
  <c r="AA98" i="25"/>
  <c r="O113" i="25"/>
  <c r="AK113" i="25"/>
  <c r="Q121" i="25"/>
  <c r="AM121" i="25"/>
  <c r="F129" i="25"/>
  <c r="AB129" i="25"/>
  <c r="BA26" i="30"/>
  <c r="L37" i="30"/>
  <c r="AH37" i="30"/>
  <c r="O77" i="30"/>
  <c r="AK77" i="30"/>
  <c r="J97" i="30"/>
  <c r="AF97" i="30"/>
  <c r="AW98" i="30"/>
  <c r="AW97" i="30" s="1"/>
  <c r="E41" i="25"/>
  <c r="AA41" i="25"/>
  <c r="X53" i="25"/>
  <c r="O53" i="25"/>
  <c r="AK53" i="25"/>
  <c r="AM57" i="25"/>
  <c r="S65" i="25"/>
  <c r="AO65" i="25"/>
  <c r="M85" i="25"/>
  <c r="AI85" i="25"/>
  <c r="V89" i="25"/>
  <c r="AR89" i="25"/>
  <c r="J93" i="25"/>
  <c r="AF93" i="25"/>
  <c r="F113" i="25"/>
  <c r="AB113" i="25"/>
  <c r="AN121" i="25"/>
  <c r="G129" i="25"/>
  <c r="AC129" i="25"/>
  <c r="V118" i="25"/>
  <c r="AJ37" i="30"/>
  <c r="B118" i="30"/>
  <c r="B117" i="30" s="1"/>
  <c r="N25" i="25"/>
  <c r="B41" i="25"/>
  <c r="AU85" i="25"/>
  <c r="AU58" i="25"/>
  <c r="AU57" i="25" s="1"/>
  <c r="AV18" i="25"/>
  <c r="AV17" i="25" s="1"/>
  <c r="AV58" i="25"/>
  <c r="AV57" i="25" s="1"/>
  <c r="AR118" i="25"/>
  <c r="N37" i="30"/>
  <c r="AM77" i="30"/>
  <c r="L97" i="30"/>
  <c r="AH97" i="30"/>
  <c r="AO57" i="25"/>
  <c r="AW18" i="25"/>
  <c r="AW17" i="25" s="1"/>
  <c r="AV46" i="25"/>
  <c r="AV45" i="25" s="1"/>
  <c r="B106" i="25"/>
  <c r="B105" i="25" s="1"/>
  <c r="AV116" i="25"/>
  <c r="S6" i="25"/>
  <c r="U76" i="25"/>
  <c r="U77" i="25" s="1"/>
  <c r="AQ76" i="25"/>
  <c r="W118" i="25"/>
  <c r="AS118" i="25"/>
  <c r="Q5" i="30"/>
  <c r="AM5" i="30"/>
  <c r="O37" i="30"/>
  <c r="AK37" i="30"/>
  <c r="R77" i="30"/>
  <c r="AN77" i="30"/>
  <c r="M97" i="30"/>
  <c r="AI97" i="30"/>
  <c r="AJ25" i="25"/>
  <c r="AW46" i="25"/>
  <c r="AW45" i="25" s="1"/>
  <c r="AT106" i="25"/>
  <c r="AT105" i="25" s="1"/>
  <c r="AW116" i="25"/>
  <c r="C4" i="25"/>
  <c r="C5" i="25" s="1"/>
  <c r="AU4" i="25"/>
  <c r="T6" i="25"/>
  <c r="V76" i="25"/>
  <c r="V77" i="25" s="1"/>
  <c r="AR76" i="25"/>
  <c r="AR77" i="25" s="1"/>
  <c r="W98" i="25"/>
  <c r="AS98" i="25"/>
  <c r="AT116" i="25"/>
  <c r="X118" i="25"/>
  <c r="P37" i="30"/>
  <c r="AL37" i="30"/>
  <c r="S77" i="30"/>
  <c r="AO77" i="30"/>
  <c r="AU78" i="30"/>
  <c r="AU77" i="30" s="1"/>
  <c r="N97" i="30"/>
  <c r="AJ97" i="30"/>
  <c r="AT118" i="30"/>
  <c r="AT117" i="30" s="1"/>
  <c r="Q17" i="25"/>
  <c r="O25" i="25"/>
  <c r="AK25" i="25"/>
  <c r="C41" i="25"/>
  <c r="Y41" i="25"/>
  <c r="AU41" i="25"/>
  <c r="D85" i="25"/>
  <c r="Z85" i="25"/>
  <c r="AV106" i="25"/>
  <c r="AV105" i="25" s="1"/>
  <c r="AM69" i="25"/>
  <c r="AT22" i="25"/>
  <c r="AT21" i="25" s="1"/>
  <c r="C76" i="25"/>
  <c r="D98" i="25"/>
  <c r="Z98" i="25"/>
  <c r="AA118" i="25"/>
  <c r="AR53" i="25"/>
  <c r="P61" i="25"/>
  <c r="R69" i="25"/>
  <c r="AN69" i="25"/>
  <c r="AV93" i="25"/>
  <c r="S109" i="25"/>
  <c r="AO109" i="25"/>
  <c r="AJ6" i="25"/>
  <c r="Q69" i="25"/>
  <c r="AU93" i="25"/>
  <c r="AT62" i="25"/>
  <c r="AT61" i="25" s="1"/>
  <c r="AW106" i="25"/>
  <c r="AW105" i="25" s="1"/>
  <c r="AU22" i="25"/>
  <c r="AU21" i="25" s="1"/>
  <c r="AT34" i="25"/>
  <c r="AT33" i="25" s="1"/>
  <c r="AU62" i="25"/>
  <c r="AU61" i="25" s="1"/>
  <c r="AY122" i="25"/>
  <c r="AY121" i="25" s="1"/>
  <c r="AC4" i="25"/>
  <c r="X6" i="25"/>
  <c r="C36" i="25"/>
  <c r="Y36" i="25"/>
  <c r="C38" i="25"/>
  <c r="C37" i="25" s="1"/>
  <c r="Y38" i="25"/>
  <c r="Y37" i="25" s="1"/>
  <c r="D76" i="25"/>
  <c r="Z76" i="25"/>
  <c r="Z77" i="25" s="1"/>
  <c r="E98" i="25"/>
  <c r="E97" i="25" s="1"/>
  <c r="F116" i="25"/>
  <c r="AB118" i="25"/>
  <c r="AB117" i="25" s="1"/>
  <c r="V45" i="25"/>
  <c r="AR45" i="25"/>
  <c r="AO69" i="25"/>
  <c r="AX74" i="25"/>
  <c r="AX73" i="25" s="1"/>
  <c r="R93" i="25"/>
  <c r="AN93" i="25"/>
  <c r="T109" i="25"/>
  <c r="AP109" i="25"/>
  <c r="P125" i="25"/>
  <c r="AL125" i="25"/>
  <c r="O118" i="25"/>
  <c r="G5" i="30"/>
  <c r="O21" i="25"/>
  <c r="H65" i="25"/>
  <c r="AD65" i="25"/>
  <c r="L81" i="25"/>
  <c r="AH81" i="25"/>
  <c r="U93" i="25"/>
  <c r="AQ93" i="25"/>
  <c r="W101" i="25"/>
  <c r="AS101" i="25"/>
  <c r="J105" i="25"/>
  <c r="AF105" i="25"/>
  <c r="W109" i="25"/>
  <c r="AS109" i="25"/>
  <c r="M116" i="25"/>
  <c r="S125" i="25"/>
  <c r="AO125" i="25"/>
  <c r="AG6" i="25"/>
  <c r="AC73" i="25"/>
  <c r="AB78" i="25"/>
  <c r="AB77" i="25" s="1"/>
  <c r="AD116" i="25"/>
  <c r="H5" i="30"/>
  <c r="BB34" i="30"/>
  <c r="AJ21" i="25"/>
  <c r="S61" i="25"/>
  <c r="T93" i="25"/>
  <c r="V109" i="25"/>
  <c r="L116" i="25"/>
  <c r="L117" i="25" s="1"/>
  <c r="AB38" i="25"/>
  <c r="AD96" i="25"/>
  <c r="H98" i="25"/>
  <c r="AE116" i="25"/>
  <c r="AE117" i="25" s="1"/>
  <c r="AE5" i="30"/>
  <c r="AX10" i="25"/>
  <c r="BD10" i="25" s="1"/>
  <c r="AY22" i="25"/>
  <c r="AY21" i="25" s="1"/>
  <c r="AX50" i="25"/>
  <c r="AX49" i="25" s="1"/>
  <c r="BC49" i="25" s="1"/>
  <c r="AY62" i="25"/>
  <c r="AY61" i="25" s="1"/>
  <c r="B82" i="25"/>
  <c r="B81" i="25" s="1"/>
  <c r="AC38" i="25"/>
  <c r="I96" i="25"/>
  <c r="AE96" i="25"/>
  <c r="I98" i="25"/>
  <c r="AE98" i="25"/>
  <c r="J116" i="25"/>
  <c r="AF116" i="25"/>
  <c r="J5" i="30"/>
  <c r="AF5" i="30"/>
  <c r="O117" i="30"/>
  <c r="AK117" i="30"/>
  <c r="G134" i="30"/>
  <c r="AC134" i="30"/>
  <c r="P21" i="25"/>
  <c r="K33" i="25"/>
  <c r="AG33" i="25"/>
  <c r="Q49" i="25"/>
  <c r="AM49" i="25"/>
  <c r="I65" i="25"/>
  <c r="AE65" i="25"/>
  <c r="AQ73" i="25"/>
  <c r="B109" i="25"/>
  <c r="X109" i="25"/>
  <c r="AT109" i="25"/>
  <c r="AN113" i="25"/>
  <c r="O116" i="25"/>
  <c r="H121" i="25"/>
  <c r="AD121" i="25"/>
  <c r="AP125" i="25"/>
  <c r="AY46" i="25"/>
  <c r="AC5" i="30"/>
  <c r="N21" i="25"/>
  <c r="AO61" i="25"/>
  <c r="K81" i="25"/>
  <c r="AZ82" i="25"/>
  <c r="AX22" i="25"/>
  <c r="BD22" i="25" s="1"/>
  <c r="H96" i="25"/>
  <c r="I116" i="25"/>
  <c r="I5" i="30"/>
  <c r="AY10" i="25"/>
  <c r="AY9" i="25" s="1"/>
  <c r="B76" i="25"/>
  <c r="G6" i="25"/>
  <c r="AC6" i="25"/>
  <c r="H38" i="25"/>
  <c r="H37" i="25" s="1"/>
  <c r="I78" i="25"/>
  <c r="I77" i="25" s="1"/>
  <c r="J98" i="25"/>
  <c r="J97" i="25" s="1"/>
  <c r="AF98" i="25"/>
  <c r="K5" i="30"/>
  <c r="AG5" i="30"/>
  <c r="P117" i="30"/>
  <c r="AL117" i="30"/>
  <c r="H134" i="30"/>
  <c r="AD134" i="30"/>
  <c r="R49" i="25"/>
  <c r="AN49" i="25"/>
  <c r="V61" i="25"/>
  <c r="AR61" i="25"/>
  <c r="J65" i="25"/>
  <c r="AF65" i="25"/>
  <c r="X69" i="25"/>
  <c r="N81" i="25"/>
  <c r="AJ81" i="25"/>
  <c r="X89" i="25"/>
  <c r="AT89" i="25"/>
  <c r="L105" i="25"/>
  <c r="AH105" i="25"/>
  <c r="AO113" i="25"/>
  <c r="I121" i="25"/>
  <c r="AE121" i="25"/>
  <c r="AQ125" i="25"/>
  <c r="T129" i="25"/>
  <c r="AP129" i="25"/>
  <c r="AU10" i="25"/>
  <c r="AU9" i="25" s="1"/>
  <c r="G73" i="25"/>
  <c r="F78" i="25"/>
  <c r="F77" i="25" s="1"/>
  <c r="H116" i="25"/>
  <c r="AD5" i="30"/>
  <c r="AG81" i="25"/>
  <c r="AO105" i="25"/>
  <c r="AR109" i="25"/>
  <c r="AC78" i="25"/>
  <c r="AZ66" i="25"/>
  <c r="AZ65" i="25" s="1"/>
  <c r="B14" i="25"/>
  <c r="B13" i="25" s="1"/>
  <c r="B54" i="25"/>
  <c r="B53" i="25" s="1"/>
  <c r="AU76" i="25"/>
  <c r="I38" i="25"/>
  <c r="I37" i="25" s="1"/>
  <c r="J78" i="25"/>
  <c r="J77" i="25" s="1"/>
  <c r="AG96" i="25"/>
  <c r="AG97" i="25" s="1"/>
  <c r="AH116" i="25"/>
  <c r="AH117" i="25" s="1"/>
  <c r="L5" i="30"/>
  <c r="AH5" i="30"/>
  <c r="I134" i="30"/>
  <c r="AE134" i="30"/>
  <c r="E21" i="25"/>
  <c r="AA21" i="25"/>
  <c r="R21" i="25"/>
  <c r="AN21" i="25"/>
  <c r="M33" i="25"/>
  <c r="AI33" i="25"/>
  <c r="D49" i="25"/>
  <c r="Z49" i="25"/>
  <c r="S49" i="25"/>
  <c r="I57" i="25"/>
  <c r="AE57" i="25"/>
  <c r="K65" i="25"/>
  <c r="AG65" i="25"/>
  <c r="AX70" i="25"/>
  <c r="AX69" i="25" s="1"/>
  <c r="L73" i="25"/>
  <c r="E81" i="25"/>
  <c r="C89" i="25"/>
  <c r="Y89" i="25"/>
  <c r="M105" i="25"/>
  <c r="AI105" i="25"/>
  <c r="Z109" i="25"/>
  <c r="AV110" i="25"/>
  <c r="AV109" i="25" s="1"/>
  <c r="BA32" i="25"/>
  <c r="J134" i="30"/>
  <c r="AF134" i="30"/>
  <c r="S21" i="25"/>
  <c r="AO21" i="25"/>
  <c r="S29" i="25"/>
  <c r="N33" i="25"/>
  <c r="AJ33" i="25"/>
  <c r="E49" i="25"/>
  <c r="AA49" i="25"/>
  <c r="T49" i="25"/>
  <c r="AP49" i="25"/>
  <c r="C57" i="25"/>
  <c r="Y57" i="25"/>
  <c r="J57" i="25"/>
  <c r="AF57" i="25"/>
  <c r="V65" i="25"/>
  <c r="AR65" i="25"/>
  <c r="AT73" i="25"/>
  <c r="F81" i="25"/>
  <c r="AK85" i="25"/>
  <c r="O89" i="25"/>
  <c r="AK89" i="25"/>
  <c r="AJ105" i="25"/>
  <c r="AA109" i="25"/>
  <c r="AW110" i="25"/>
  <c r="AW109" i="25" s="1"/>
  <c r="I113" i="25"/>
  <c r="AE113" i="25"/>
  <c r="F37" i="30"/>
  <c r="AB37" i="30"/>
  <c r="K134" i="30"/>
  <c r="AG134" i="30"/>
  <c r="G21" i="25"/>
  <c r="AC21" i="25"/>
  <c r="O33" i="25"/>
  <c r="AK33" i="25"/>
  <c r="H45" i="25"/>
  <c r="AD45" i="25"/>
  <c r="U49" i="25"/>
  <c r="AQ49" i="25"/>
  <c r="I53" i="25"/>
  <c r="AE53" i="25"/>
  <c r="K57" i="25"/>
  <c r="AG57" i="25"/>
  <c r="AX62" i="25"/>
  <c r="W65" i="25"/>
  <c r="AS65" i="25"/>
  <c r="E69" i="25"/>
  <c r="AA69" i="25"/>
  <c r="C73" i="25"/>
  <c r="Y73" i="25"/>
  <c r="AU73" i="25"/>
  <c r="AL85" i="25"/>
  <c r="E89" i="25"/>
  <c r="P89" i="25"/>
  <c r="AK105" i="25"/>
  <c r="AB109" i="25"/>
  <c r="AX110" i="25"/>
  <c r="BD110" i="25" s="1"/>
  <c r="J113" i="25"/>
  <c r="AF113" i="25"/>
  <c r="X125" i="25"/>
  <c r="M129" i="25"/>
  <c r="AI129" i="25"/>
  <c r="BA24" i="25"/>
  <c r="G37" i="30"/>
  <c r="AC37" i="30"/>
  <c r="L134" i="30"/>
  <c r="AH134" i="30"/>
  <c r="H17" i="25"/>
  <c r="AD17" i="25"/>
  <c r="U29" i="25"/>
  <c r="P33" i="25"/>
  <c r="AL33" i="25"/>
  <c r="I45" i="25"/>
  <c r="AE45" i="25"/>
  <c r="V49" i="25"/>
  <c r="AR49" i="25"/>
  <c r="L57" i="25"/>
  <c r="AH57" i="25"/>
  <c r="X65" i="25"/>
  <c r="N65" i="25"/>
  <c r="AJ65" i="25"/>
  <c r="AJ69" i="25"/>
  <c r="F69" i="25"/>
  <c r="AB69" i="25"/>
  <c r="D73" i="25"/>
  <c r="AV73" i="25"/>
  <c r="AN81" i="25"/>
  <c r="Q85" i="25"/>
  <c r="AM85" i="25"/>
  <c r="H85" i="25"/>
  <c r="AD85" i="25"/>
  <c r="F89" i="25"/>
  <c r="AC109" i="25"/>
  <c r="K113" i="25"/>
  <c r="AG113" i="25"/>
  <c r="M121" i="25"/>
  <c r="AI121" i="25"/>
  <c r="N129" i="25"/>
  <c r="AJ129" i="25"/>
  <c r="H37" i="30"/>
  <c r="AD37" i="30"/>
  <c r="BB114" i="30"/>
  <c r="S13" i="25"/>
  <c r="N17" i="25"/>
  <c r="I17" i="25"/>
  <c r="AE17" i="25"/>
  <c r="AR25" i="25"/>
  <c r="V29" i="25"/>
  <c r="Q33" i="25"/>
  <c r="BD42" i="25"/>
  <c r="Q45" i="25"/>
  <c r="AM45" i="25"/>
  <c r="J45" i="25"/>
  <c r="AF45" i="25"/>
  <c r="M57" i="25"/>
  <c r="AI57" i="25"/>
  <c r="O65" i="25"/>
  <c r="AK65" i="25"/>
  <c r="AK69" i="25"/>
  <c r="E73" i="25"/>
  <c r="AA73" i="25"/>
  <c r="AW73" i="25"/>
  <c r="AO81" i="25"/>
  <c r="I85" i="25"/>
  <c r="AE85" i="25"/>
  <c r="G89" i="25"/>
  <c r="L96" i="25"/>
  <c r="AM105" i="25"/>
  <c r="X113" i="25"/>
  <c r="L113" i="25"/>
  <c r="AH113" i="25"/>
  <c r="N121" i="25"/>
  <c r="AJ121" i="25"/>
  <c r="AK129" i="25"/>
  <c r="I37" i="30"/>
  <c r="AE37" i="30"/>
  <c r="BC114" i="30"/>
  <c r="O17" i="25"/>
  <c r="J17" i="25"/>
  <c r="AF17" i="25"/>
  <c r="R33" i="25"/>
  <c r="AN33" i="25"/>
  <c r="K45" i="25"/>
  <c r="AG45" i="25"/>
  <c r="N57" i="25"/>
  <c r="AJ57" i="25"/>
  <c r="F61" i="25"/>
  <c r="AB61" i="25"/>
  <c r="P65" i="25"/>
  <c r="AL65" i="25"/>
  <c r="H69" i="25"/>
  <c r="AD69" i="25"/>
  <c r="J85" i="25"/>
  <c r="AF85" i="25"/>
  <c r="P93" i="25"/>
  <c r="AF96" i="25"/>
  <c r="I101" i="25"/>
  <c r="AE101" i="25"/>
  <c r="F105" i="25"/>
  <c r="AB105" i="25"/>
  <c r="R109" i="25"/>
  <c r="O121" i="25"/>
  <c r="AK121" i="25"/>
  <c r="AL129" i="25"/>
  <c r="BA16" i="25"/>
  <c r="J129" i="25"/>
  <c r="AF129" i="25"/>
  <c r="K129" i="25"/>
  <c r="AG129" i="25"/>
  <c r="L129" i="25"/>
  <c r="AH129" i="25"/>
  <c r="W117" i="29"/>
  <c r="AS117" i="29"/>
  <c r="W129" i="25"/>
  <c r="BD128" i="25"/>
  <c r="BB130" i="29"/>
  <c r="AT118" i="29"/>
  <c r="X129" i="25"/>
  <c r="BB128" i="25"/>
  <c r="C129" i="25"/>
  <c r="Y129" i="25"/>
  <c r="AM117" i="29"/>
  <c r="B118" i="29"/>
  <c r="AR129" i="25"/>
  <c r="B129" i="25"/>
  <c r="D129" i="25"/>
  <c r="Z129" i="25"/>
  <c r="AV129" i="25"/>
  <c r="H129" i="25"/>
  <c r="AD129" i="25"/>
  <c r="Q117" i="29"/>
  <c r="U129" i="25"/>
  <c r="AQ129" i="25"/>
  <c r="V129" i="25"/>
  <c r="BC130" i="29"/>
  <c r="AT129" i="25"/>
  <c r="E117" i="29"/>
  <c r="AA117" i="29"/>
  <c r="E129" i="25"/>
  <c r="AA129" i="25"/>
  <c r="I129" i="25"/>
  <c r="AE129" i="25"/>
  <c r="AR116" i="25"/>
  <c r="L125" i="25"/>
  <c r="AH125" i="25"/>
  <c r="AS116" i="25"/>
  <c r="BD116" i="25" s="1"/>
  <c r="M125" i="25"/>
  <c r="AI125" i="25"/>
  <c r="T117" i="29"/>
  <c r="AP117" i="29"/>
  <c r="N125" i="25"/>
  <c r="AJ125" i="25"/>
  <c r="X116" i="25"/>
  <c r="Y116" i="25"/>
  <c r="Q118" i="25"/>
  <c r="Q117" i="25" s="1"/>
  <c r="Z116" i="25"/>
  <c r="Z117" i="25" s="1"/>
  <c r="AB117" i="29"/>
  <c r="AA116" i="25"/>
  <c r="H117" i="29"/>
  <c r="I117" i="29"/>
  <c r="AF117" i="29"/>
  <c r="E116" i="25"/>
  <c r="E117" i="25" s="1"/>
  <c r="W125" i="25"/>
  <c r="AS125" i="25"/>
  <c r="AX126" i="25"/>
  <c r="BD126" i="25" s="1"/>
  <c r="D125" i="25"/>
  <c r="Z125" i="25"/>
  <c r="H125" i="25"/>
  <c r="AD125" i="25"/>
  <c r="V116" i="25"/>
  <c r="C125" i="25"/>
  <c r="AJ117" i="29"/>
  <c r="E125" i="25"/>
  <c r="AA125" i="25"/>
  <c r="I125" i="25"/>
  <c r="AE125" i="25"/>
  <c r="AD117" i="25"/>
  <c r="D116" i="25"/>
  <c r="D117" i="25" s="1"/>
  <c r="F125" i="25"/>
  <c r="AB125" i="25"/>
  <c r="BD124" i="25"/>
  <c r="J125" i="25"/>
  <c r="AF125" i="25"/>
  <c r="W116" i="25"/>
  <c r="G117" i="29"/>
  <c r="C116" i="25"/>
  <c r="C117" i="25" s="1"/>
  <c r="Y125" i="25"/>
  <c r="P117" i="29"/>
  <c r="AL117" i="29"/>
  <c r="AM118" i="25"/>
  <c r="G125" i="25"/>
  <c r="AC125" i="25"/>
  <c r="K125" i="25"/>
  <c r="AG125" i="25"/>
  <c r="AN117" i="25"/>
  <c r="R117" i="25"/>
  <c r="J117" i="29"/>
  <c r="K117" i="29"/>
  <c r="AC117" i="29"/>
  <c r="AT122" i="25"/>
  <c r="AT121" i="25" s="1"/>
  <c r="W121" i="25"/>
  <c r="G118" i="25"/>
  <c r="X121" i="25"/>
  <c r="AG117" i="29"/>
  <c r="AU121" i="25"/>
  <c r="L117" i="29"/>
  <c r="AH117" i="29"/>
  <c r="AE117" i="29"/>
  <c r="I118" i="25"/>
  <c r="D121" i="25"/>
  <c r="Z121" i="25"/>
  <c r="AV121" i="25"/>
  <c r="AX122" i="25"/>
  <c r="AX121" i="25" s="1"/>
  <c r="M117" i="29"/>
  <c r="AI117" i="29"/>
  <c r="AK117" i="29"/>
  <c r="AF118" i="25"/>
  <c r="AF117" i="25" s="1"/>
  <c r="AU118" i="29"/>
  <c r="AT117" i="29"/>
  <c r="N117" i="29"/>
  <c r="O117" i="29"/>
  <c r="H118" i="25"/>
  <c r="Y121" i="25"/>
  <c r="BD120" i="25"/>
  <c r="AV118" i="29"/>
  <c r="S116" i="25"/>
  <c r="AO116" i="25"/>
  <c r="J121" i="25"/>
  <c r="AF121" i="25"/>
  <c r="AD117" i="29"/>
  <c r="AS121" i="25"/>
  <c r="C121" i="25"/>
  <c r="AW118" i="29"/>
  <c r="T116" i="25"/>
  <c r="T117" i="25" s="1"/>
  <c r="AP116" i="25"/>
  <c r="AP117" i="25" s="1"/>
  <c r="AJ118" i="25"/>
  <c r="K121" i="25"/>
  <c r="AG121" i="25"/>
  <c r="AX118" i="29"/>
  <c r="R117" i="29"/>
  <c r="AN117" i="29"/>
  <c r="U116" i="25"/>
  <c r="AQ116" i="25"/>
  <c r="AQ117" i="25" s="1"/>
  <c r="L121" i="25"/>
  <c r="AH121" i="25"/>
  <c r="AA96" i="25"/>
  <c r="Z96" i="25"/>
  <c r="BC112" i="25"/>
  <c r="AW98" i="29"/>
  <c r="AX114" i="25"/>
  <c r="BD114" i="25" s="1"/>
  <c r="AK97" i="29"/>
  <c r="F98" i="25"/>
  <c r="F97" i="25" s="1"/>
  <c r="C113" i="25"/>
  <c r="Y113" i="25"/>
  <c r="P97" i="29"/>
  <c r="D113" i="25"/>
  <c r="Z113" i="25"/>
  <c r="AV113" i="25"/>
  <c r="H113" i="25"/>
  <c r="AD113" i="25"/>
  <c r="U97" i="29"/>
  <c r="AQ97" i="29"/>
  <c r="N113" i="25"/>
  <c r="AJ113" i="25"/>
  <c r="AW113" i="25"/>
  <c r="M113" i="25"/>
  <c r="AI113" i="25"/>
  <c r="E97" i="29"/>
  <c r="P113" i="25"/>
  <c r="AL113" i="25"/>
  <c r="AB97" i="29"/>
  <c r="H109" i="25"/>
  <c r="AD109" i="25"/>
  <c r="I109" i="25"/>
  <c r="AE109" i="25"/>
  <c r="J109" i="25"/>
  <c r="AF109" i="25"/>
  <c r="K109" i="25"/>
  <c r="AG109" i="25"/>
  <c r="L109" i="25"/>
  <c r="AH109" i="25"/>
  <c r="M109" i="25"/>
  <c r="AI109" i="25"/>
  <c r="AB96" i="25"/>
  <c r="AM97" i="25"/>
  <c r="P98" i="25"/>
  <c r="P97" i="25" s="1"/>
  <c r="K105" i="25"/>
  <c r="AG105" i="25"/>
  <c r="X97" i="29"/>
  <c r="P105" i="25"/>
  <c r="AL105" i="25"/>
  <c r="C97" i="29"/>
  <c r="D97" i="29"/>
  <c r="AK98" i="25"/>
  <c r="AR105" i="25"/>
  <c r="C105" i="25"/>
  <c r="Y105" i="25"/>
  <c r="Z105" i="25"/>
  <c r="AQ105" i="25"/>
  <c r="AD97" i="29"/>
  <c r="T105" i="25"/>
  <c r="V105" i="25"/>
  <c r="AX106" i="25"/>
  <c r="AX105" i="25" s="1"/>
  <c r="AP105" i="25"/>
  <c r="U105" i="25"/>
  <c r="B98" i="29"/>
  <c r="H105" i="25"/>
  <c r="AD105" i="25"/>
  <c r="O97" i="29"/>
  <c r="AL97" i="29"/>
  <c r="AW96" i="25"/>
  <c r="Q97" i="25"/>
  <c r="Q97" i="29"/>
  <c r="X101" i="25"/>
  <c r="AV102" i="25"/>
  <c r="AV101" i="25" s="1"/>
  <c r="Y101" i="25"/>
  <c r="AU101" i="25"/>
  <c r="AW102" i="25"/>
  <c r="AW101" i="25" s="1"/>
  <c r="G97" i="29"/>
  <c r="AC97" i="29"/>
  <c r="AN96" i="25"/>
  <c r="AD98" i="25"/>
  <c r="D101" i="25"/>
  <c r="Z101" i="25"/>
  <c r="AX102" i="25"/>
  <c r="BD102" i="25" s="1"/>
  <c r="H97" i="29"/>
  <c r="AJ97" i="29"/>
  <c r="S96" i="25"/>
  <c r="S97" i="25" s="1"/>
  <c r="AO96" i="25"/>
  <c r="AO97" i="25" s="1"/>
  <c r="E101" i="25"/>
  <c r="AA101" i="25"/>
  <c r="AX98" i="29"/>
  <c r="BB98" i="29" s="1"/>
  <c r="I97" i="29"/>
  <c r="AE97" i="29"/>
  <c r="T96" i="25"/>
  <c r="T97" i="25" s="1"/>
  <c r="AP96" i="25"/>
  <c r="AP97" i="25" s="1"/>
  <c r="F101" i="25"/>
  <c r="AB101" i="25"/>
  <c r="H101" i="25"/>
  <c r="AD101" i="25"/>
  <c r="AT97" i="29"/>
  <c r="AM97" i="29"/>
  <c r="R97" i="29"/>
  <c r="B101" i="25"/>
  <c r="N97" i="29"/>
  <c r="C101" i="25"/>
  <c r="AF97" i="29"/>
  <c r="Y97" i="29"/>
  <c r="U96" i="25"/>
  <c r="U97" i="25" s="1"/>
  <c r="AQ96" i="25"/>
  <c r="AQ97" i="25" s="1"/>
  <c r="K97" i="29"/>
  <c r="AG97" i="29"/>
  <c r="V96" i="25"/>
  <c r="AR96" i="25"/>
  <c r="J101" i="25"/>
  <c r="AF101" i="25"/>
  <c r="AU98" i="29"/>
  <c r="L97" i="29"/>
  <c r="AH97" i="29"/>
  <c r="W96" i="25"/>
  <c r="AS96" i="25"/>
  <c r="BD96" i="25" s="1"/>
  <c r="K101" i="25"/>
  <c r="AG101" i="25"/>
  <c r="J97" i="29"/>
  <c r="M97" i="29"/>
  <c r="AI97" i="29"/>
  <c r="X96" i="25"/>
  <c r="AT96" i="25"/>
  <c r="L101" i="25"/>
  <c r="AH101" i="25"/>
  <c r="K97" i="25"/>
  <c r="N97" i="25"/>
  <c r="AJ97" i="25"/>
  <c r="N77" i="29"/>
  <c r="V93" i="25"/>
  <c r="W93" i="25"/>
  <c r="AS93" i="25"/>
  <c r="AR93" i="25"/>
  <c r="X93" i="25"/>
  <c r="AT93" i="25"/>
  <c r="G93" i="25"/>
  <c r="AC93" i="25"/>
  <c r="AW93" i="25"/>
  <c r="AT78" i="29"/>
  <c r="BB94" i="29"/>
  <c r="N93" i="25"/>
  <c r="AJ93" i="25"/>
  <c r="S77" i="29"/>
  <c r="O93" i="25"/>
  <c r="AK93" i="25"/>
  <c r="Q77" i="29"/>
  <c r="AN77" i="29"/>
  <c r="AX90" i="25"/>
  <c r="AX78" i="29"/>
  <c r="AE77" i="29"/>
  <c r="H89" i="25"/>
  <c r="AD89" i="25"/>
  <c r="W89" i="25"/>
  <c r="BD90" i="25"/>
  <c r="D89" i="25"/>
  <c r="AE89" i="25"/>
  <c r="L89" i="25"/>
  <c r="AH89" i="25"/>
  <c r="AV78" i="29"/>
  <c r="AV78" i="25" s="1"/>
  <c r="AV77" i="25" s="1"/>
  <c r="M89" i="25"/>
  <c r="AI89" i="25"/>
  <c r="BC90" i="29"/>
  <c r="AW78" i="29"/>
  <c r="AW77" i="29" s="1"/>
  <c r="N89" i="25"/>
  <c r="AJ89" i="25"/>
  <c r="Z89" i="25"/>
  <c r="I89" i="25"/>
  <c r="AL89" i="25"/>
  <c r="T77" i="29"/>
  <c r="G77" i="29"/>
  <c r="E77" i="25"/>
  <c r="AF77" i="29"/>
  <c r="K77" i="29"/>
  <c r="AQ77" i="29"/>
  <c r="AQ78" i="25"/>
  <c r="AC85" i="25"/>
  <c r="X77" i="29"/>
  <c r="AA77" i="25"/>
  <c r="AQ77" i="25"/>
  <c r="G85" i="25"/>
  <c r="AP85" i="25"/>
  <c r="O77" i="29"/>
  <c r="U85" i="25"/>
  <c r="P77" i="29"/>
  <c r="AL77" i="29"/>
  <c r="Y76" i="25"/>
  <c r="V85" i="25"/>
  <c r="AR85" i="25"/>
  <c r="AW86" i="25"/>
  <c r="AW85" i="25" s="1"/>
  <c r="H77" i="29"/>
  <c r="T85" i="25"/>
  <c r="AK77" i="29"/>
  <c r="X76" i="25"/>
  <c r="X77" i="25" s="1"/>
  <c r="AQ85" i="25"/>
  <c r="AV86" i="25"/>
  <c r="AV85" i="25" s="1"/>
  <c r="BB86" i="29"/>
  <c r="AX86" i="25"/>
  <c r="AX85" i="25" s="1"/>
  <c r="W76" i="25"/>
  <c r="AS76" i="25"/>
  <c r="BD76" i="25" s="1"/>
  <c r="P78" i="25"/>
  <c r="P77" i="25" s="1"/>
  <c r="AL78" i="25"/>
  <c r="AL77" i="25" s="1"/>
  <c r="T81" i="25"/>
  <c r="AP81" i="25"/>
  <c r="V77" i="29"/>
  <c r="AR77" i="29"/>
  <c r="M81" i="25"/>
  <c r="AI81" i="25"/>
  <c r="AT77" i="29"/>
  <c r="L76" i="25"/>
  <c r="L77" i="25" s="1"/>
  <c r="AH76" i="25"/>
  <c r="AH77" i="25" s="1"/>
  <c r="I77" i="29"/>
  <c r="M76" i="25"/>
  <c r="AI76" i="25"/>
  <c r="D77" i="29"/>
  <c r="Z77" i="29"/>
  <c r="J77" i="29"/>
  <c r="N76" i="25"/>
  <c r="AJ76" i="25"/>
  <c r="AJ77" i="25" s="1"/>
  <c r="G78" i="25"/>
  <c r="E77" i="29"/>
  <c r="AA77" i="29"/>
  <c r="H78" i="25"/>
  <c r="V81" i="25"/>
  <c r="F77" i="29"/>
  <c r="AB77" i="29"/>
  <c r="AW76" i="25"/>
  <c r="AE78" i="25"/>
  <c r="AE77" i="25" s="1"/>
  <c r="W81" i="25"/>
  <c r="AC77" i="29"/>
  <c r="U77" i="29"/>
  <c r="Q76" i="25"/>
  <c r="AM76" i="25"/>
  <c r="AF78" i="25"/>
  <c r="X81" i="25"/>
  <c r="AT82" i="25"/>
  <c r="AT81" i="25" s="1"/>
  <c r="AN76" i="25"/>
  <c r="K78" i="25"/>
  <c r="K77" i="25" s="1"/>
  <c r="AU81" i="25"/>
  <c r="S76" i="25"/>
  <c r="AO76" i="25"/>
  <c r="AO77" i="25" s="1"/>
  <c r="D81" i="25"/>
  <c r="Z81" i="25"/>
  <c r="AD77" i="29"/>
  <c r="R76" i="25"/>
  <c r="R77" i="25" s="1"/>
  <c r="Y81" i="25"/>
  <c r="T76" i="25"/>
  <c r="AP76" i="25"/>
  <c r="C81" i="25"/>
  <c r="B78" i="29"/>
  <c r="AG77" i="29"/>
  <c r="C77" i="29"/>
  <c r="AX82" i="25"/>
  <c r="AX81" i="25" s="1"/>
  <c r="BB74" i="29"/>
  <c r="H73" i="25"/>
  <c r="AD73" i="25"/>
  <c r="I73" i="25"/>
  <c r="AE73" i="25"/>
  <c r="AS73" i="25"/>
  <c r="X73" i="25"/>
  <c r="S37" i="29"/>
  <c r="Z73" i="25"/>
  <c r="AF73" i="25"/>
  <c r="AG73" i="25"/>
  <c r="AH73" i="25"/>
  <c r="O73" i="25"/>
  <c r="AK73" i="25"/>
  <c r="BC74" i="29"/>
  <c r="P73" i="25"/>
  <c r="AL73" i="25"/>
  <c r="AO37" i="29"/>
  <c r="J73" i="25"/>
  <c r="AI73" i="25"/>
  <c r="AJ73" i="25"/>
  <c r="W73" i="25"/>
  <c r="AP37" i="29"/>
  <c r="U37" i="29"/>
  <c r="M73" i="25"/>
  <c r="K73" i="25"/>
  <c r="N73" i="25"/>
  <c r="U73" i="25"/>
  <c r="G69" i="25"/>
  <c r="T69" i="25"/>
  <c r="AP69" i="25"/>
  <c r="V69" i="25"/>
  <c r="AR69" i="25"/>
  <c r="AC69" i="25"/>
  <c r="BC70" i="29"/>
  <c r="K132" i="29"/>
  <c r="AG132" i="29"/>
  <c r="W69" i="25"/>
  <c r="BD68" i="25"/>
  <c r="C69" i="25"/>
  <c r="Y69" i="25"/>
  <c r="D69" i="25"/>
  <c r="Z69" i="25"/>
  <c r="L65" i="25"/>
  <c r="AH65" i="25"/>
  <c r="M65" i="25"/>
  <c r="AI65" i="25"/>
  <c r="C65" i="25"/>
  <c r="Y65" i="25"/>
  <c r="Z65" i="25"/>
  <c r="AA65" i="25"/>
  <c r="F65" i="25"/>
  <c r="AB65" i="25"/>
  <c r="G65" i="25"/>
  <c r="E65" i="25"/>
  <c r="AC65" i="25"/>
  <c r="D65" i="25"/>
  <c r="T61" i="25"/>
  <c r="E61" i="25"/>
  <c r="AA61" i="25"/>
  <c r="G61" i="25"/>
  <c r="AG61" i="25"/>
  <c r="AP61" i="25"/>
  <c r="AC61" i="25"/>
  <c r="AN37" i="29"/>
  <c r="L61" i="25"/>
  <c r="AH61" i="25"/>
  <c r="H132" i="29"/>
  <c r="AD132" i="29"/>
  <c r="I132" i="29"/>
  <c r="AE132" i="29"/>
  <c r="U61" i="25"/>
  <c r="AQ61" i="25"/>
  <c r="W61" i="25"/>
  <c r="AS61" i="25"/>
  <c r="B61" i="25"/>
  <c r="X57" i="25"/>
  <c r="AP57" i="25"/>
  <c r="BB58" i="29"/>
  <c r="W57" i="25"/>
  <c r="AS57" i="25"/>
  <c r="D57" i="25"/>
  <c r="Z57" i="25"/>
  <c r="AX58" i="25"/>
  <c r="BD58" i="25" s="1"/>
  <c r="F57" i="25"/>
  <c r="AB57" i="25"/>
  <c r="G57" i="25"/>
  <c r="AC57" i="25"/>
  <c r="H57" i="25"/>
  <c r="AD57" i="25"/>
  <c r="T53" i="25"/>
  <c r="AP53" i="25"/>
  <c r="AP134" i="29"/>
  <c r="B38" i="29"/>
  <c r="B37" i="29" s="1"/>
  <c r="AT53" i="25"/>
  <c r="Y53" i="25"/>
  <c r="AU53" i="25"/>
  <c r="W36" i="25"/>
  <c r="W37" i="25" s="1"/>
  <c r="D53" i="25"/>
  <c r="Z53" i="25"/>
  <c r="E53" i="25"/>
  <c r="AA53" i="25"/>
  <c r="H53" i="25"/>
  <c r="AD53" i="25"/>
  <c r="AB53" i="25"/>
  <c r="BB54" i="29"/>
  <c r="G53" i="25"/>
  <c r="AC53" i="25"/>
  <c r="J53" i="25"/>
  <c r="AF53" i="25"/>
  <c r="AK134" i="29"/>
  <c r="C53" i="25"/>
  <c r="K53" i="25"/>
  <c r="AG53" i="25"/>
  <c r="L53" i="25"/>
  <c r="AH53" i="25"/>
  <c r="M53" i="25"/>
  <c r="AI53" i="25"/>
  <c r="Y132" i="29"/>
  <c r="Z132" i="29"/>
  <c r="BC50" i="29"/>
  <c r="E132" i="29"/>
  <c r="L132" i="29"/>
  <c r="AH132" i="29"/>
  <c r="W49" i="25"/>
  <c r="AS49" i="25"/>
  <c r="BB50" i="29"/>
  <c r="X36" i="25"/>
  <c r="N37" i="29"/>
  <c r="AJ37" i="29"/>
  <c r="F49" i="25"/>
  <c r="AB49" i="25"/>
  <c r="N134" i="29"/>
  <c r="G49" i="25"/>
  <c r="AC49" i="25"/>
  <c r="K49" i="25"/>
  <c r="AG49" i="25"/>
  <c r="H49" i="25"/>
  <c r="AD49" i="25"/>
  <c r="AF37" i="29"/>
  <c r="B49" i="25"/>
  <c r="M49" i="25"/>
  <c r="AR132" i="29"/>
  <c r="N49" i="25"/>
  <c r="AJ49" i="25"/>
  <c r="C49" i="25"/>
  <c r="AU49" i="25"/>
  <c r="AI49" i="25"/>
  <c r="AX38" i="29"/>
  <c r="BD38" i="29" s="1"/>
  <c r="W132" i="29"/>
  <c r="O49" i="25"/>
  <c r="AK49" i="25"/>
  <c r="D134" i="29"/>
  <c r="J37" i="29"/>
  <c r="X49" i="25"/>
  <c r="Y49" i="25"/>
  <c r="B132" i="29"/>
  <c r="X132" i="29"/>
  <c r="AT132" i="29"/>
  <c r="P49" i="25"/>
  <c r="AL49" i="25"/>
  <c r="AK37" i="29"/>
  <c r="Q37" i="29"/>
  <c r="AM37" i="29"/>
  <c r="AL37" i="29"/>
  <c r="AM134" i="29"/>
  <c r="W45" i="25"/>
  <c r="AS45" i="25"/>
  <c r="C37" i="29"/>
  <c r="Y37" i="29"/>
  <c r="D37" i="29"/>
  <c r="X45" i="25"/>
  <c r="C45" i="25"/>
  <c r="AW38" i="29"/>
  <c r="AW37" i="29" s="1"/>
  <c r="F37" i="29"/>
  <c r="G37" i="29"/>
  <c r="G45" i="25"/>
  <c r="AC45" i="25"/>
  <c r="M132" i="29"/>
  <c r="AI132" i="29"/>
  <c r="AD37" i="29"/>
  <c r="L45" i="25"/>
  <c r="AH45" i="25"/>
  <c r="AE37" i="29"/>
  <c r="AS36" i="25"/>
  <c r="AI45" i="25"/>
  <c r="Y45" i="25"/>
  <c r="AV38" i="29"/>
  <c r="N45" i="25"/>
  <c r="AJ45" i="25"/>
  <c r="O45" i="25"/>
  <c r="AK45" i="25"/>
  <c r="P45" i="25"/>
  <c r="AL45" i="25"/>
  <c r="AU45" i="25"/>
  <c r="E37" i="29"/>
  <c r="E38" i="25"/>
  <c r="F38" i="25"/>
  <c r="AB132" i="29"/>
  <c r="G38" i="25"/>
  <c r="G37" i="25" s="1"/>
  <c r="AU38" i="29"/>
  <c r="G132" i="29"/>
  <c r="O37" i="29"/>
  <c r="AD38" i="25"/>
  <c r="AD37" i="25" s="1"/>
  <c r="H41" i="25"/>
  <c r="AD41" i="25"/>
  <c r="U41" i="25"/>
  <c r="AV41" i="25"/>
  <c r="AE38" i="25"/>
  <c r="AE37" i="25" s="1"/>
  <c r="AE41" i="25"/>
  <c r="AA37" i="29"/>
  <c r="J38" i="25"/>
  <c r="AF38" i="25"/>
  <c r="AF37" i="25" s="1"/>
  <c r="AF41" i="25"/>
  <c r="R37" i="29"/>
  <c r="L41" i="25"/>
  <c r="H37" i="29"/>
  <c r="I37" i="29"/>
  <c r="AI41" i="25"/>
  <c r="BB42" i="29"/>
  <c r="H134" i="29"/>
  <c r="AD134" i="29"/>
  <c r="Q36" i="25"/>
  <c r="Q37" i="25" s="1"/>
  <c r="AM36" i="25"/>
  <c r="AM37" i="25" s="1"/>
  <c r="N38" i="25"/>
  <c r="AJ38" i="25"/>
  <c r="AE134" i="29"/>
  <c r="AR37" i="29"/>
  <c r="AN36" i="25"/>
  <c r="AN37" i="25" s="1"/>
  <c r="O38" i="25"/>
  <c r="O37" i="25" s="1"/>
  <c r="AK38" i="25"/>
  <c r="O41" i="25"/>
  <c r="AK41" i="25"/>
  <c r="K37" i="29"/>
  <c r="AG37" i="29"/>
  <c r="S36" i="25"/>
  <c r="AO36" i="25"/>
  <c r="AL38" i="25"/>
  <c r="AL37" i="25" s="1"/>
  <c r="P41" i="25"/>
  <c r="AL41" i="25"/>
  <c r="AQ41" i="25"/>
  <c r="V41" i="25"/>
  <c r="D41" i="25"/>
  <c r="L37" i="29"/>
  <c r="AH37" i="29"/>
  <c r="T36" i="25"/>
  <c r="T37" i="25" s="1"/>
  <c r="AP36" i="25"/>
  <c r="AP37" i="25" s="1"/>
  <c r="M37" i="29"/>
  <c r="AI37" i="29"/>
  <c r="U36" i="25"/>
  <c r="AQ36" i="25"/>
  <c r="R38" i="25"/>
  <c r="R37" i="25" s="1"/>
  <c r="AR41" i="25"/>
  <c r="Z41" i="25"/>
  <c r="P37" i="29"/>
  <c r="I41" i="25"/>
  <c r="J41" i="25"/>
  <c r="AG41" i="25"/>
  <c r="F134" i="29"/>
  <c r="AH41" i="25"/>
  <c r="V36" i="25"/>
  <c r="L37" i="25"/>
  <c r="U33" i="25"/>
  <c r="V33" i="25"/>
  <c r="AS33" i="25"/>
  <c r="Z33" i="25"/>
  <c r="AA33" i="25"/>
  <c r="AM33" i="25"/>
  <c r="D33" i="25"/>
  <c r="AR33" i="25"/>
  <c r="W33" i="25"/>
  <c r="X33" i="25"/>
  <c r="Y33" i="25"/>
  <c r="AQ29" i="25"/>
  <c r="AR29" i="25"/>
  <c r="M29" i="25"/>
  <c r="N29" i="25"/>
  <c r="AJ29" i="25"/>
  <c r="D29" i="25"/>
  <c r="Z29" i="25"/>
  <c r="O29" i="25"/>
  <c r="AK29" i="25"/>
  <c r="E29" i="25"/>
  <c r="AA29" i="25"/>
  <c r="P29" i="25"/>
  <c r="AL29" i="25"/>
  <c r="G29" i="25"/>
  <c r="AC29" i="25"/>
  <c r="AN29" i="25"/>
  <c r="AB29" i="25"/>
  <c r="Q29" i="25"/>
  <c r="AO29" i="25"/>
  <c r="AI29" i="25"/>
  <c r="F29" i="25"/>
  <c r="AM29" i="25"/>
  <c r="M25" i="25"/>
  <c r="C25" i="25"/>
  <c r="Y25" i="25"/>
  <c r="D25" i="25"/>
  <c r="Z25" i="25"/>
  <c r="E25" i="25"/>
  <c r="AA25" i="25"/>
  <c r="F25" i="25"/>
  <c r="AB25" i="25"/>
  <c r="AI25" i="25"/>
  <c r="H25" i="25"/>
  <c r="AD25" i="25"/>
  <c r="K25" i="25"/>
  <c r="AG25" i="25"/>
  <c r="BC20" i="25"/>
  <c r="U21" i="25"/>
  <c r="F21" i="25"/>
  <c r="AK21" i="25"/>
  <c r="BC22" i="29"/>
  <c r="W21" i="25"/>
  <c r="AS21" i="25"/>
  <c r="H21" i="25"/>
  <c r="AD21" i="25"/>
  <c r="I21" i="25"/>
  <c r="AE21" i="25"/>
  <c r="AL21" i="25"/>
  <c r="J21" i="25"/>
  <c r="AF21" i="25"/>
  <c r="M17" i="25"/>
  <c r="E17" i="25"/>
  <c r="AN17" i="25"/>
  <c r="F17" i="25"/>
  <c r="AB17" i="25"/>
  <c r="AO17" i="25"/>
  <c r="G17" i="25"/>
  <c r="AC17" i="25"/>
  <c r="AA17" i="25"/>
  <c r="BB18" i="29"/>
  <c r="AM17" i="25"/>
  <c r="R17" i="25"/>
  <c r="C17" i="25"/>
  <c r="Y17" i="25"/>
  <c r="R13" i="25"/>
  <c r="AN13" i="25"/>
  <c r="AG13" i="25"/>
  <c r="AO13" i="25"/>
  <c r="BB14" i="29"/>
  <c r="Q13" i="25"/>
  <c r="P9" i="25"/>
  <c r="AL9" i="25"/>
  <c r="AN9" i="25"/>
  <c r="S9" i="25"/>
  <c r="G9" i="25"/>
  <c r="AC9" i="25"/>
  <c r="AO9" i="25"/>
  <c r="Q9" i="25"/>
  <c r="R9" i="25"/>
  <c r="BB12" i="25"/>
  <c r="AZ25" i="25"/>
  <c r="T13" i="25"/>
  <c r="AP13" i="25"/>
  <c r="U13" i="25"/>
  <c r="AQ13" i="25"/>
  <c r="J13" i="25"/>
  <c r="AF13" i="25"/>
  <c r="W13" i="25"/>
  <c r="AS13" i="25"/>
  <c r="AH13" i="25"/>
  <c r="X13" i="25"/>
  <c r="AT13" i="25"/>
  <c r="AI13" i="25"/>
  <c r="C13" i="25"/>
  <c r="Y13" i="25"/>
  <c r="AU13" i="25"/>
  <c r="D13" i="25"/>
  <c r="Z13" i="25"/>
  <c r="X4" i="25"/>
  <c r="T9" i="25"/>
  <c r="Y4" i="25"/>
  <c r="Y5" i="25" s="1"/>
  <c r="E9" i="25"/>
  <c r="F9" i="25"/>
  <c r="AM9" i="25"/>
  <c r="AA9" i="25"/>
  <c r="AB9" i="25"/>
  <c r="V9" i="25"/>
  <c r="AY130" i="25"/>
  <c r="AZ116" i="25"/>
  <c r="AZ125" i="25"/>
  <c r="AY113" i="25"/>
  <c r="AZ113" i="25"/>
  <c r="AZ109" i="25"/>
  <c r="BA109" i="25" s="1"/>
  <c r="AZ96" i="25"/>
  <c r="AY106" i="25"/>
  <c r="AY105" i="25" s="1"/>
  <c r="AZ101" i="25"/>
  <c r="BA102" i="25"/>
  <c r="AY101" i="25"/>
  <c r="BB96" i="29"/>
  <c r="AY94" i="25"/>
  <c r="AY93" i="25" s="1"/>
  <c r="AY78" i="29"/>
  <c r="AZ76" i="25"/>
  <c r="BC76" i="25" s="1"/>
  <c r="AY82" i="25"/>
  <c r="AY73" i="25"/>
  <c r="BC28" i="25"/>
  <c r="BC40" i="25"/>
  <c r="BC44" i="25"/>
  <c r="BA44" i="25"/>
  <c r="AZ46" i="25"/>
  <c r="AZ45" i="25" s="1"/>
  <c r="BA48" i="25"/>
  <c r="AZ36" i="25"/>
  <c r="BA36" i="25" s="1"/>
  <c r="AZ54" i="25"/>
  <c r="AZ53" i="25" s="1"/>
  <c r="AY58" i="25"/>
  <c r="AY57" i="25" s="1"/>
  <c r="AZ58" i="25"/>
  <c r="AZ57" i="25" s="1"/>
  <c r="AZ62" i="25"/>
  <c r="AZ61" i="25" s="1"/>
  <c r="AY69" i="25"/>
  <c r="BA68" i="25"/>
  <c r="BB70" i="29"/>
  <c r="AZ70" i="25"/>
  <c r="AZ69" i="25" s="1"/>
  <c r="AY38" i="29"/>
  <c r="AY132" i="29"/>
  <c r="BA66" i="25"/>
  <c r="BC64" i="25"/>
  <c r="AX66" i="25"/>
  <c r="AX65" i="25" s="1"/>
  <c r="AW66" i="25"/>
  <c r="AW65" i="25" s="1"/>
  <c r="AV66" i="25"/>
  <c r="AV65" i="25" s="1"/>
  <c r="AU66" i="25"/>
  <c r="AT38" i="29"/>
  <c r="AU36" i="25"/>
  <c r="AX132" i="29"/>
  <c r="BD132" i="29" s="1"/>
  <c r="BB66" i="29"/>
  <c r="AW36" i="25"/>
  <c r="AX36" i="25"/>
  <c r="AT65" i="25"/>
  <c r="AU65" i="25"/>
  <c r="BC66" i="29"/>
  <c r="B86" i="25"/>
  <c r="B85" i="25" s="1"/>
  <c r="AQ33" i="25"/>
  <c r="BB34" i="29"/>
  <c r="AX34" i="25"/>
  <c r="BC34" i="29"/>
  <c r="AY34" i="25"/>
  <c r="H33" i="25"/>
  <c r="AD33" i="25"/>
  <c r="AE33" i="25"/>
  <c r="J33" i="25"/>
  <c r="T33" i="25"/>
  <c r="BD32" i="25"/>
  <c r="I33" i="25"/>
  <c r="AF33" i="25"/>
  <c r="AP33" i="25"/>
  <c r="S33" i="25"/>
  <c r="AO33" i="25"/>
  <c r="K29" i="25"/>
  <c r="AG29" i="25"/>
  <c r="L29" i="25"/>
  <c r="AH29" i="25"/>
  <c r="BB30" i="29"/>
  <c r="BC30" i="29"/>
  <c r="W29" i="25"/>
  <c r="AS29" i="25"/>
  <c r="C29" i="25"/>
  <c r="Y29" i="25"/>
  <c r="AU29" i="25"/>
  <c r="AY30" i="25"/>
  <c r="X29" i="25"/>
  <c r="AT29" i="25"/>
  <c r="AX30" i="25"/>
  <c r="BD30" i="25" s="1"/>
  <c r="H29" i="25"/>
  <c r="AD29" i="25"/>
  <c r="W4" i="25"/>
  <c r="I29" i="25"/>
  <c r="AE29" i="25"/>
  <c r="E4" i="25"/>
  <c r="G4" i="25"/>
  <c r="H4" i="25"/>
  <c r="Z4" i="25"/>
  <c r="Z5" i="25" s="1"/>
  <c r="K21" i="25"/>
  <c r="AG21" i="25"/>
  <c r="L21" i="25"/>
  <c r="AH21" i="25"/>
  <c r="M21" i="25"/>
  <c r="AI21" i="25"/>
  <c r="T132" i="29"/>
  <c r="N6" i="25"/>
  <c r="T21" i="25"/>
  <c r="AP21" i="25"/>
  <c r="AQ21" i="25"/>
  <c r="F5" i="29"/>
  <c r="AA132" i="29"/>
  <c r="AE6" i="25"/>
  <c r="V21" i="25"/>
  <c r="AR21" i="25"/>
  <c r="E5" i="29"/>
  <c r="AB134" i="29"/>
  <c r="X21" i="25"/>
  <c r="AA5" i="29"/>
  <c r="AW132" i="29"/>
  <c r="T17" i="25"/>
  <c r="AQ17" i="25"/>
  <c r="AG134" i="29"/>
  <c r="Z17" i="25"/>
  <c r="AX4" i="25"/>
  <c r="W17" i="25"/>
  <c r="AS17" i="25"/>
  <c r="T5" i="29"/>
  <c r="AB5" i="29"/>
  <c r="AC132" i="29"/>
  <c r="K134" i="29"/>
  <c r="D17" i="25"/>
  <c r="AY4" i="25"/>
  <c r="X17" i="25"/>
  <c r="AT17" i="25"/>
  <c r="AX18" i="25"/>
  <c r="BD18" i="25" s="1"/>
  <c r="AB4" i="25"/>
  <c r="AB5" i="25" s="1"/>
  <c r="AP17" i="25"/>
  <c r="AD4" i="25"/>
  <c r="U17" i="25"/>
  <c r="AE4" i="25"/>
  <c r="V17" i="25"/>
  <c r="AR17" i="25"/>
  <c r="AJ134" i="29"/>
  <c r="AT6" i="29"/>
  <c r="AT5" i="29" s="1"/>
  <c r="AL134" i="29"/>
  <c r="AY18" i="25"/>
  <c r="AY17" i="25" s="1"/>
  <c r="BC18" i="29"/>
  <c r="AG17" i="25"/>
  <c r="AH17" i="25"/>
  <c r="AI17" i="25"/>
  <c r="AH5" i="29"/>
  <c r="AX6" i="29"/>
  <c r="O5" i="29"/>
  <c r="AK5" i="29"/>
  <c r="AU6" i="29"/>
  <c r="AV6" i="29"/>
  <c r="L5" i="29"/>
  <c r="BC4" i="29"/>
  <c r="D132" i="29"/>
  <c r="F4" i="25"/>
  <c r="W5" i="29"/>
  <c r="U132" i="29"/>
  <c r="I4" i="25"/>
  <c r="AR5" i="29"/>
  <c r="J132" i="29"/>
  <c r="AS5" i="29"/>
  <c r="R132" i="29"/>
  <c r="S132" i="29"/>
  <c r="V132" i="29"/>
  <c r="F6" i="25"/>
  <c r="V5" i="29"/>
  <c r="I134" i="29"/>
  <c r="J5" i="29"/>
  <c r="AF5" i="29"/>
  <c r="AW6" i="29"/>
  <c r="V13" i="25"/>
  <c r="AR13" i="25"/>
  <c r="AF132" i="29"/>
  <c r="AV13" i="25"/>
  <c r="AD13" i="25"/>
  <c r="BA12" i="25"/>
  <c r="P5" i="29"/>
  <c r="AP132" i="29"/>
  <c r="E13" i="25"/>
  <c r="AA13" i="25"/>
  <c r="AW13" i="25"/>
  <c r="I13" i="25"/>
  <c r="AE13" i="25"/>
  <c r="AZ4" i="25"/>
  <c r="AN132" i="29"/>
  <c r="AO132" i="29"/>
  <c r="H13" i="25"/>
  <c r="Q5" i="29"/>
  <c r="AM5" i="29"/>
  <c r="C132" i="29"/>
  <c r="AQ132" i="29"/>
  <c r="AR4" i="25"/>
  <c r="F13" i="25"/>
  <c r="AB13" i="25"/>
  <c r="AS4" i="25"/>
  <c r="G13" i="25"/>
  <c r="AC13" i="25"/>
  <c r="K13" i="25"/>
  <c r="AO5" i="29"/>
  <c r="AS132" i="29"/>
  <c r="B4" i="25"/>
  <c r="AT4" i="25"/>
  <c r="L13" i="25"/>
  <c r="F132" i="29"/>
  <c r="M13" i="25"/>
  <c r="AL5" i="29"/>
  <c r="AN5" i="29"/>
  <c r="AN134" i="29"/>
  <c r="AN6" i="25"/>
  <c r="Z9" i="25"/>
  <c r="N132" i="29"/>
  <c r="N4" i="25"/>
  <c r="AJ132" i="29"/>
  <c r="AJ4" i="25"/>
  <c r="O134" i="29"/>
  <c r="AK6" i="25"/>
  <c r="O4" i="25"/>
  <c r="O132" i="29"/>
  <c r="P4" i="25"/>
  <c r="P132" i="29"/>
  <c r="AL4" i="25"/>
  <c r="AL132" i="29"/>
  <c r="B6" i="29"/>
  <c r="B10" i="25"/>
  <c r="B9" i="25" s="1"/>
  <c r="Q4" i="25"/>
  <c r="Q5" i="25" s="1"/>
  <c r="Q132" i="29"/>
  <c r="AM4" i="25"/>
  <c r="AM132" i="29"/>
  <c r="Q134" i="29"/>
  <c r="R134" i="29"/>
  <c r="R6" i="25"/>
  <c r="R5" i="29"/>
  <c r="AM6" i="25"/>
  <c r="AV10" i="25"/>
  <c r="AV9" i="25" s="1"/>
  <c r="AK4" i="25"/>
  <c r="AK132" i="29"/>
  <c r="P134" i="29"/>
  <c r="C9" i="25"/>
  <c r="Y9" i="25"/>
  <c r="AP6" i="25"/>
  <c r="M5" i="29"/>
  <c r="AI5" i="29"/>
  <c r="L134" i="29"/>
  <c r="AH134" i="29"/>
  <c r="L6" i="25"/>
  <c r="AH6" i="25"/>
  <c r="AR9" i="25"/>
  <c r="S5" i="29"/>
  <c r="N5" i="29"/>
  <c r="AJ5" i="29"/>
  <c r="M134" i="29"/>
  <c r="AI134" i="29"/>
  <c r="M6" i="25"/>
  <c r="AI6" i="25"/>
  <c r="X9" i="25"/>
  <c r="W9" i="25"/>
  <c r="AS9" i="25"/>
  <c r="T134" i="29"/>
  <c r="U5" i="29"/>
  <c r="AQ134" i="29"/>
  <c r="V6" i="25"/>
  <c r="J9" i="25"/>
  <c r="AS134" i="29"/>
  <c r="K9" i="25"/>
  <c r="M9" i="25"/>
  <c r="AP5" i="29"/>
  <c r="V134" i="29"/>
  <c r="X134" i="29"/>
  <c r="Y5" i="29"/>
  <c r="Y134" i="29"/>
  <c r="AG4" i="25"/>
  <c r="Z5" i="29"/>
  <c r="Z134" i="29"/>
  <c r="L4" i="25"/>
  <c r="AH4" i="25"/>
  <c r="D6" i="25"/>
  <c r="N9" i="25"/>
  <c r="AJ9" i="25"/>
  <c r="AO134" i="29"/>
  <c r="AO6" i="25"/>
  <c r="AO5" i="25" s="1"/>
  <c r="AD9" i="25"/>
  <c r="U134" i="29"/>
  <c r="AE9" i="25"/>
  <c r="AS6" i="25"/>
  <c r="AG9" i="25"/>
  <c r="X5" i="29"/>
  <c r="C5" i="29"/>
  <c r="C134" i="29"/>
  <c r="C134" i="25" s="1"/>
  <c r="K4" i="25"/>
  <c r="AI9" i="25"/>
  <c r="D5" i="29"/>
  <c r="BA10" i="29"/>
  <c r="AY6" i="29"/>
  <c r="E134" i="29"/>
  <c r="AA134" i="29"/>
  <c r="M4" i="25"/>
  <c r="AI4" i="25"/>
  <c r="O9" i="25"/>
  <c r="AK9" i="25"/>
  <c r="S134" i="29"/>
  <c r="H9" i="25"/>
  <c r="AQ5" i="29"/>
  <c r="I9" i="25"/>
  <c r="AR6" i="25"/>
  <c r="L9" i="25"/>
  <c r="G5" i="29"/>
  <c r="AC5" i="29"/>
  <c r="H5" i="29"/>
  <c r="AD5" i="29"/>
  <c r="G134" i="29"/>
  <c r="AC134" i="29"/>
  <c r="I5" i="29"/>
  <c r="AE5" i="29"/>
  <c r="H6" i="25"/>
  <c r="AD6" i="25"/>
  <c r="AR134" i="29"/>
  <c r="AF9" i="25"/>
  <c r="W134" i="29"/>
  <c r="W6" i="25"/>
  <c r="AH9" i="25"/>
  <c r="K5" i="29"/>
  <c r="AG5" i="29"/>
  <c r="J134" i="29"/>
  <c r="AF134" i="29"/>
  <c r="J6" i="25"/>
  <c r="AF6" i="25"/>
  <c r="U9" i="25"/>
  <c r="AQ9" i="25"/>
  <c r="AZ122" i="25"/>
  <c r="AZ14" i="25"/>
  <c r="AZ130" i="25"/>
  <c r="BA130" i="25" s="1"/>
  <c r="AZ94" i="25"/>
  <c r="AZ90" i="25"/>
  <c r="AZ74" i="25"/>
  <c r="BA74" i="25" s="1"/>
  <c r="AZ41" i="25"/>
  <c r="BC41" i="25" s="1"/>
  <c r="AZ34" i="25"/>
  <c r="AZ30" i="25"/>
  <c r="AZ22" i="25"/>
  <c r="AZ21" i="25" s="1"/>
  <c r="AZ18" i="25"/>
  <c r="BA18" i="29"/>
  <c r="AZ118" i="31"/>
  <c r="BA102" i="31"/>
  <c r="BC94" i="31"/>
  <c r="BA86" i="31"/>
  <c r="AZ78" i="31"/>
  <c r="BA26" i="31"/>
  <c r="BA10" i="31"/>
  <c r="BA94" i="30"/>
  <c r="AZ78" i="30"/>
  <c r="AZ77" i="30" s="1"/>
  <c r="AZ78" i="29"/>
  <c r="BA66" i="30"/>
  <c r="AZ118" i="29"/>
  <c r="AZ132" i="29"/>
  <c r="AZ98" i="29"/>
  <c r="AZ97" i="29" s="1"/>
  <c r="BA46" i="29"/>
  <c r="AY26" i="25"/>
  <c r="BA26" i="25" s="1"/>
  <c r="BB26" i="29"/>
  <c r="BA26" i="29"/>
  <c r="AS129" i="25"/>
  <c r="BB120" i="25"/>
  <c r="BA92" i="25"/>
  <c r="BC92" i="25"/>
  <c r="AS89" i="25"/>
  <c r="BC84" i="25"/>
  <c r="BD84" i="25"/>
  <c r="AS81" i="25"/>
  <c r="AS69" i="25"/>
  <c r="BD60" i="25"/>
  <c r="BA60" i="25"/>
  <c r="BC56" i="25"/>
  <c r="BB52" i="25"/>
  <c r="BD48" i="25"/>
  <c r="BB44" i="25"/>
  <c r="BD44" i="25"/>
  <c r="AS41" i="25"/>
  <c r="BC12" i="25"/>
  <c r="AU118" i="31"/>
  <c r="AU117" i="31" s="1"/>
  <c r="BB130" i="31"/>
  <c r="AT118" i="31"/>
  <c r="AT117" i="31" s="1"/>
  <c r="S117" i="31"/>
  <c r="BC126" i="31"/>
  <c r="BA122" i="31"/>
  <c r="C117" i="31"/>
  <c r="Y117" i="31"/>
  <c r="E117" i="31"/>
  <c r="AA117" i="31"/>
  <c r="X117" i="31"/>
  <c r="BB122" i="31"/>
  <c r="AC117" i="31"/>
  <c r="B98" i="31"/>
  <c r="B97" i="31" s="1"/>
  <c r="H97" i="31"/>
  <c r="AD97" i="31"/>
  <c r="J97" i="31"/>
  <c r="AF97" i="31"/>
  <c r="K97" i="31"/>
  <c r="AG97" i="31"/>
  <c r="AT98" i="31"/>
  <c r="AT97" i="31" s="1"/>
  <c r="BB110" i="31"/>
  <c r="BC110" i="31"/>
  <c r="AU98" i="31"/>
  <c r="AU97" i="31" s="1"/>
  <c r="AV98" i="31"/>
  <c r="AV97" i="31" s="1"/>
  <c r="BC106" i="31"/>
  <c r="BA106" i="31"/>
  <c r="AW98" i="31"/>
  <c r="AW97" i="31" s="1"/>
  <c r="AR97" i="31"/>
  <c r="T97" i="31"/>
  <c r="AP97" i="31"/>
  <c r="U97" i="31"/>
  <c r="BB96" i="31"/>
  <c r="C97" i="31"/>
  <c r="D97" i="31"/>
  <c r="Z97" i="31"/>
  <c r="E97" i="31"/>
  <c r="AA97" i="31"/>
  <c r="N97" i="31"/>
  <c r="W97" i="31"/>
  <c r="AS97" i="31"/>
  <c r="F97" i="31"/>
  <c r="AB97" i="31"/>
  <c r="BA94" i="31"/>
  <c r="AU78" i="31"/>
  <c r="AU77" i="31" s="1"/>
  <c r="AT78" i="31"/>
  <c r="AT77" i="31" s="1"/>
  <c r="AW78" i="31"/>
  <c r="AW77" i="31" s="1"/>
  <c r="B78" i="31"/>
  <c r="B77" i="31" s="1"/>
  <c r="BC90" i="31"/>
  <c r="BB90" i="31"/>
  <c r="BB76" i="31"/>
  <c r="AV78" i="31"/>
  <c r="AV77" i="31" s="1"/>
  <c r="BA76" i="31"/>
  <c r="AY78" i="31"/>
  <c r="AY77" i="31" s="1"/>
  <c r="BB66" i="31"/>
  <c r="BC66" i="31"/>
  <c r="AI134" i="31"/>
  <c r="M37" i="31"/>
  <c r="AI37" i="31"/>
  <c r="AC37" i="31"/>
  <c r="H37" i="31"/>
  <c r="AD37" i="31"/>
  <c r="I37" i="31"/>
  <c r="AE37" i="31"/>
  <c r="H134" i="31"/>
  <c r="AD134" i="31"/>
  <c r="AQ134" i="31"/>
  <c r="I134" i="31"/>
  <c r="AE134" i="31"/>
  <c r="K37" i="31"/>
  <c r="AG37" i="31"/>
  <c r="J134" i="31"/>
  <c r="AF134" i="31"/>
  <c r="O134" i="31"/>
  <c r="AK134" i="31"/>
  <c r="N37" i="31"/>
  <c r="AJ37" i="31"/>
  <c r="O37" i="31"/>
  <c r="AK37" i="31"/>
  <c r="Q37" i="31"/>
  <c r="BA42" i="31"/>
  <c r="BC74" i="31"/>
  <c r="BA70" i="31"/>
  <c r="BB62" i="31"/>
  <c r="AY38" i="31"/>
  <c r="AY37" i="31" s="1"/>
  <c r="BC62" i="31"/>
  <c r="BB58" i="31"/>
  <c r="BC58" i="31"/>
  <c r="B38" i="31"/>
  <c r="B37" i="31" s="1"/>
  <c r="BB54" i="31"/>
  <c r="BC54" i="31"/>
  <c r="BB50" i="31"/>
  <c r="BC50" i="31"/>
  <c r="U37" i="31"/>
  <c r="AQ37" i="31"/>
  <c r="F37" i="31"/>
  <c r="AB37" i="31"/>
  <c r="BB36" i="31"/>
  <c r="BC46" i="31"/>
  <c r="AV38" i="31"/>
  <c r="AV37" i="31" s="1"/>
  <c r="AW38" i="31"/>
  <c r="AX132" i="31"/>
  <c r="AI132" i="31"/>
  <c r="AI133" i="31" s="1"/>
  <c r="G37" i="31"/>
  <c r="L132" i="31"/>
  <c r="L133" i="31" s="1"/>
  <c r="AM37" i="31"/>
  <c r="R37" i="31"/>
  <c r="BB42" i="31"/>
  <c r="AT38" i="31"/>
  <c r="AT37" i="31" s="1"/>
  <c r="AK132" i="31"/>
  <c r="AX38" i="31"/>
  <c r="D37" i="31"/>
  <c r="Z37" i="31"/>
  <c r="AU38" i="31"/>
  <c r="AU37" i="31" s="1"/>
  <c r="AN37" i="31"/>
  <c r="O132" i="31"/>
  <c r="BA34" i="31"/>
  <c r="BC34" i="31"/>
  <c r="BB30" i="31"/>
  <c r="BA30" i="31"/>
  <c r="F132" i="31"/>
  <c r="H132" i="31"/>
  <c r="AD132" i="31"/>
  <c r="AY6" i="31"/>
  <c r="AY5" i="31" s="1"/>
  <c r="X132" i="31"/>
  <c r="C132" i="31"/>
  <c r="T132" i="31"/>
  <c r="G5" i="31"/>
  <c r="BB14" i="31"/>
  <c r="AU6" i="31"/>
  <c r="AU5" i="31" s="1"/>
  <c r="AP132" i="31"/>
  <c r="R132" i="31"/>
  <c r="AN132" i="31"/>
  <c r="M132" i="31"/>
  <c r="I132" i="31"/>
  <c r="I133" i="31" s="1"/>
  <c r="AE132" i="31"/>
  <c r="S132" i="31"/>
  <c r="AO132" i="31"/>
  <c r="U132" i="31"/>
  <c r="AQ132" i="31"/>
  <c r="J132" i="31"/>
  <c r="AF132" i="31"/>
  <c r="AJ132" i="31"/>
  <c r="R5" i="31"/>
  <c r="AB132" i="31"/>
  <c r="B132" i="31"/>
  <c r="AT132" i="31"/>
  <c r="L5" i="31"/>
  <c r="AH132" i="31"/>
  <c r="Q132" i="31"/>
  <c r="Q133" i="31" s="1"/>
  <c r="AN5" i="31"/>
  <c r="N132" i="31"/>
  <c r="AU132" i="31"/>
  <c r="W5" i="31"/>
  <c r="AS5" i="31"/>
  <c r="D132" i="31"/>
  <c r="Z132" i="31"/>
  <c r="AV132" i="31"/>
  <c r="BB4" i="31"/>
  <c r="C5" i="31"/>
  <c r="O5" i="31"/>
  <c r="BC4" i="31"/>
  <c r="D5" i="31"/>
  <c r="Z5" i="31"/>
  <c r="AV6" i="31"/>
  <c r="AV5" i="31" s="1"/>
  <c r="P132" i="31"/>
  <c r="AL132" i="31"/>
  <c r="G132" i="31"/>
  <c r="AC132" i="31"/>
  <c r="AZ6" i="31"/>
  <c r="BA14" i="31"/>
  <c r="W132" i="31"/>
  <c r="AS132" i="31"/>
  <c r="BD132" i="31" s="1"/>
  <c r="P5" i="31"/>
  <c r="AL5" i="31"/>
  <c r="BC14" i="31"/>
  <c r="P37" i="31"/>
  <c r="AL37" i="31"/>
  <c r="BA50" i="31"/>
  <c r="Q5" i="31"/>
  <c r="AM5" i="31"/>
  <c r="AW6" i="31"/>
  <c r="AW5" i="31" s="1"/>
  <c r="D117" i="31"/>
  <c r="D134" i="31"/>
  <c r="Z117" i="31"/>
  <c r="Z134" i="31"/>
  <c r="R134" i="31"/>
  <c r="BC10" i="31"/>
  <c r="BB10" i="31"/>
  <c r="AX6" i="31"/>
  <c r="BD6" i="31" s="1"/>
  <c r="AD117" i="31"/>
  <c r="S5" i="31"/>
  <c r="AO5" i="31"/>
  <c r="S37" i="31"/>
  <c r="AO37" i="31"/>
  <c r="BA46" i="31"/>
  <c r="BA90" i="31"/>
  <c r="X97" i="31"/>
  <c r="BB102" i="31"/>
  <c r="E132" i="31"/>
  <c r="AA132" i="31"/>
  <c r="AW132" i="31"/>
  <c r="T134" i="31"/>
  <c r="T5" i="31"/>
  <c r="AP5" i="31"/>
  <c r="T37" i="31"/>
  <c r="AP37" i="31"/>
  <c r="BB46" i="31"/>
  <c r="BB74" i="31"/>
  <c r="BC102" i="31"/>
  <c r="AZ98" i="31"/>
  <c r="G134" i="31"/>
  <c r="AC134" i="31"/>
  <c r="U134" i="31"/>
  <c r="AS37" i="31"/>
  <c r="BA82" i="31"/>
  <c r="BC86" i="31"/>
  <c r="AX98" i="31"/>
  <c r="Y132" i="31"/>
  <c r="AB134" i="31"/>
  <c r="BC30" i="31"/>
  <c r="X37" i="31"/>
  <c r="AX78" i="31"/>
  <c r="BB82" i="31"/>
  <c r="G97" i="31"/>
  <c r="AC97" i="31"/>
  <c r="AY98" i="31"/>
  <c r="AY97" i="31" s="1"/>
  <c r="K134" i="31"/>
  <c r="AG134" i="31"/>
  <c r="BC26" i="31"/>
  <c r="C37" i="31"/>
  <c r="Y37" i="31"/>
  <c r="BC82" i="31"/>
  <c r="K132" i="31"/>
  <c r="AG132" i="31"/>
  <c r="G117" i="31"/>
  <c r="AY132" i="31"/>
  <c r="V5" i="31"/>
  <c r="BC42" i="31"/>
  <c r="AZ38" i="31"/>
  <c r="BB26" i="31"/>
  <c r="BB22" i="31"/>
  <c r="BC130" i="31"/>
  <c r="BA62" i="31"/>
  <c r="BA130" i="31"/>
  <c r="AM132" i="31"/>
  <c r="BC18" i="31"/>
  <c r="BA54" i="31"/>
  <c r="AQ97" i="31"/>
  <c r="BA114" i="31"/>
  <c r="M134" i="31"/>
  <c r="AQ5" i="31"/>
  <c r="BB34" i="31"/>
  <c r="AR37" i="31"/>
  <c r="W37" i="31"/>
  <c r="BA66" i="31"/>
  <c r="BC36" i="31"/>
  <c r="BA36" i="31"/>
  <c r="BB126" i="31"/>
  <c r="C134" i="31"/>
  <c r="AP134" i="31"/>
  <c r="AW118" i="31"/>
  <c r="AW117" i="31" s="1"/>
  <c r="BC122" i="31"/>
  <c r="AX118" i="31"/>
  <c r="AK5" i="31"/>
  <c r="M5" i="31"/>
  <c r="AI5" i="31"/>
  <c r="B6" i="31"/>
  <c r="B5" i="31" s="1"/>
  <c r="BB18" i="31"/>
  <c r="V134" i="31"/>
  <c r="AR134" i="31"/>
  <c r="N134" i="31"/>
  <c r="U5" i="31"/>
  <c r="AR5" i="31"/>
  <c r="V37" i="31"/>
  <c r="AZ132" i="31"/>
  <c r="BA116" i="31"/>
  <c r="H117" i="31"/>
  <c r="BA96" i="31"/>
  <c r="BA22" i="31"/>
  <c r="BC76" i="31"/>
  <c r="K117" i="31"/>
  <c r="BC22" i="31"/>
  <c r="AN134" i="31"/>
  <c r="BA58" i="31"/>
  <c r="AO134" i="31"/>
  <c r="BA126" i="31"/>
  <c r="F134" i="31"/>
  <c r="AT6" i="31"/>
  <c r="AT5" i="31" s="1"/>
  <c r="V132" i="31"/>
  <c r="AR132" i="31"/>
  <c r="W117" i="31"/>
  <c r="W134" i="31"/>
  <c r="AS117" i="31"/>
  <c r="AS134" i="31"/>
  <c r="E134" i="31"/>
  <c r="AA134" i="31"/>
  <c r="BA4" i="31"/>
  <c r="BA74" i="31"/>
  <c r="BB122" i="30"/>
  <c r="BA116" i="30"/>
  <c r="D117" i="30"/>
  <c r="Z117" i="30"/>
  <c r="F117" i="30"/>
  <c r="E117" i="30"/>
  <c r="AB117" i="30"/>
  <c r="AA117" i="30"/>
  <c r="AU98" i="30"/>
  <c r="AU97" i="30" s="1"/>
  <c r="G97" i="30"/>
  <c r="AC97" i="30"/>
  <c r="C97" i="30"/>
  <c r="Y97" i="30"/>
  <c r="BB110" i="30"/>
  <c r="BA110" i="30"/>
  <c r="D97" i="30"/>
  <c r="Z97" i="30"/>
  <c r="B98" i="30"/>
  <c r="B97" i="30" s="1"/>
  <c r="BB106" i="30"/>
  <c r="AT98" i="30"/>
  <c r="AT97" i="30" s="1"/>
  <c r="AE97" i="30"/>
  <c r="H97" i="30"/>
  <c r="AD97" i="30"/>
  <c r="I97" i="30"/>
  <c r="BB94" i="30"/>
  <c r="AY78" i="30"/>
  <c r="BB86" i="30"/>
  <c r="AV78" i="30"/>
  <c r="AW78" i="30"/>
  <c r="AT78" i="30"/>
  <c r="BC94" i="30"/>
  <c r="AV77" i="30"/>
  <c r="B78" i="30"/>
  <c r="B77" i="30" s="1"/>
  <c r="BC90" i="30"/>
  <c r="BB90" i="30"/>
  <c r="AW77" i="30"/>
  <c r="BA86" i="30"/>
  <c r="J77" i="30"/>
  <c r="AF77" i="30"/>
  <c r="K77" i="30"/>
  <c r="L77" i="30"/>
  <c r="AH77" i="30"/>
  <c r="BA76" i="30"/>
  <c r="BC62" i="30"/>
  <c r="BB58" i="30"/>
  <c r="BC54" i="30"/>
  <c r="BC74" i="30"/>
  <c r="BB74" i="30"/>
  <c r="R37" i="30"/>
  <c r="AN37" i="30"/>
  <c r="S37" i="30"/>
  <c r="AO37" i="30"/>
  <c r="AP132" i="30"/>
  <c r="AO132" i="30"/>
  <c r="V37" i="30"/>
  <c r="AR37" i="30"/>
  <c r="BA70" i="30"/>
  <c r="BC70" i="30"/>
  <c r="AQ37" i="30"/>
  <c r="BB70" i="30"/>
  <c r="U37" i="30"/>
  <c r="BB66" i="30"/>
  <c r="BC66" i="30"/>
  <c r="BB62" i="30"/>
  <c r="BC58" i="30"/>
  <c r="BB54" i="30"/>
  <c r="BB50" i="30"/>
  <c r="T37" i="30"/>
  <c r="AP37" i="30"/>
  <c r="B38" i="30"/>
  <c r="B37" i="30" s="1"/>
  <c r="AT38" i="30"/>
  <c r="AT37" i="30" s="1"/>
  <c r="AU38" i="30"/>
  <c r="AU37" i="30" s="1"/>
  <c r="N132" i="30"/>
  <c r="AJ132" i="30"/>
  <c r="AV38" i="30"/>
  <c r="AV37" i="30" s="1"/>
  <c r="O132" i="30"/>
  <c r="O133" i="30" s="1"/>
  <c r="AK132" i="30"/>
  <c r="AK133" i="30" s="1"/>
  <c r="P132" i="30"/>
  <c r="P133" i="30" s="1"/>
  <c r="AL132" i="30"/>
  <c r="AL133" i="30" s="1"/>
  <c r="AM132" i="30"/>
  <c r="AN132" i="30"/>
  <c r="X37" i="30"/>
  <c r="BB36" i="30"/>
  <c r="BA36" i="30"/>
  <c r="AA37" i="30"/>
  <c r="W37" i="30"/>
  <c r="AS37" i="30"/>
  <c r="Q37" i="30"/>
  <c r="AM37" i="30"/>
  <c r="BA42" i="30"/>
  <c r="E37" i="30"/>
  <c r="BC34" i="30"/>
  <c r="BC30" i="30"/>
  <c r="BB30" i="30"/>
  <c r="BB26" i="30"/>
  <c r="BC26" i="30"/>
  <c r="BC10" i="30"/>
  <c r="R5" i="30"/>
  <c r="AN5" i="30"/>
  <c r="S5" i="30"/>
  <c r="AO5" i="30"/>
  <c r="Q132" i="30"/>
  <c r="V5" i="30"/>
  <c r="AR5" i="30"/>
  <c r="AI132" i="30"/>
  <c r="AI133" i="30" s="1"/>
  <c r="AP5" i="30"/>
  <c r="T5" i="30"/>
  <c r="U5" i="30"/>
  <c r="AQ5" i="30"/>
  <c r="L132" i="30"/>
  <c r="AH132" i="30"/>
  <c r="M132" i="30"/>
  <c r="M133" i="30" s="1"/>
  <c r="AF132" i="30"/>
  <c r="K132" i="30"/>
  <c r="R132" i="30"/>
  <c r="S132" i="30"/>
  <c r="J132" i="30"/>
  <c r="BC14" i="30"/>
  <c r="AS5" i="30"/>
  <c r="X5" i="30"/>
  <c r="T132" i="30"/>
  <c r="W5" i="30"/>
  <c r="BA4" i="30"/>
  <c r="BB4" i="30"/>
  <c r="AU117" i="30"/>
  <c r="AY77" i="30"/>
  <c r="W117" i="30"/>
  <c r="W134" i="30"/>
  <c r="Y117" i="30"/>
  <c r="Y134" i="30"/>
  <c r="U117" i="30"/>
  <c r="U134" i="30"/>
  <c r="V117" i="30"/>
  <c r="V134" i="30"/>
  <c r="BC22" i="30"/>
  <c r="BA22" i="30"/>
  <c r="AW38" i="30"/>
  <c r="AW37" i="30" s="1"/>
  <c r="BB130" i="30"/>
  <c r="BA114" i="30"/>
  <c r="BB18" i="30"/>
  <c r="BA62" i="30"/>
  <c r="X77" i="30"/>
  <c r="AT77" i="30"/>
  <c r="BC110" i="30"/>
  <c r="B132" i="30"/>
  <c r="AT132" i="30"/>
  <c r="S134" i="30"/>
  <c r="C77" i="30"/>
  <c r="Y77" i="30"/>
  <c r="BC86" i="30"/>
  <c r="BC106" i="30"/>
  <c r="C132" i="30"/>
  <c r="Y132" i="30"/>
  <c r="AU132" i="30"/>
  <c r="BA126" i="30"/>
  <c r="BB126" i="30"/>
  <c r="T134" i="30"/>
  <c r="C37" i="30"/>
  <c r="Y37" i="30"/>
  <c r="BA58" i="30"/>
  <c r="D77" i="30"/>
  <c r="Z77" i="30"/>
  <c r="BA82" i="30"/>
  <c r="BA106" i="30"/>
  <c r="D132" i="30"/>
  <c r="Z132" i="30"/>
  <c r="AV132" i="30"/>
  <c r="BC126" i="30"/>
  <c r="AC77" i="30"/>
  <c r="AY132" i="30"/>
  <c r="AW118" i="30"/>
  <c r="AR134" i="30"/>
  <c r="AR117" i="30"/>
  <c r="BB46" i="30"/>
  <c r="AX38" i="30"/>
  <c r="BB42" i="30"/>
  <c r="U132" i="30"/>
  <c r="AR132" i="30"/>
  <c r="W132" i="30"/>
  <c r="D37" i="30"/>
  <c r="AA77" i="30"/>
  <c r="BB82" i="30"/>
  <c r="AA132" i="30"/>
  <c r="BA54" i="30"/>
  <c r="AB77" i="30"/>
  <c r="BC82" i="30"/>
  <c r="BB96" i="30"/>
  <c r="F132" i="30"/>
  <c r="AV118" i="30"/>
  <c r="BA34" i="30"/>
  <c r="G77" i="30"/>
  <c r="BC96" i="30"/>
  <c r="AV6" i="30"/>
  <c r="AV5" i="30" s="1"/>
  <c r="H77" i="30"/>
  <c r="AD77" i="30"/>
  <c r="U97" i="30"/>
  <c r="AQ97" i="30"/>
  <c r="BB102" i="30"/>
  <c r="AY98" i="30"/>
  <c r="H132" i="30"/>
  <c r="AD132" i="30"/>
  <c r="AM134" i="30"/>
  <c r="BB22" i="30"/>
  <c r="BC130" i="30"/>
  <c r="AQ132" i="30"/>
  <c r="BA130" i="30"/>
  <c r="B6" i="30"/>
  <c r="B5" i="30" s="1"/>
  <c r="AT6" i="30"/>
  <c r="AT5" i="30" s="1"/>
  <c r="G132" i="30"/>
  <c r="G133" i="30" s="1"/>
  <c r="N5" i="30"/>
  <c r="AJ5" i="30"/>
  <c r="AW6" i="30"/>
  <c r="AW5" i="30" s="1"/>
  <c r="BA30" i="30"/>
  <c r="BC50" i="30"/>
  <c r="I77" i="30"/>
  <c r="AE77" i="30"/>
  <c r="V97" i="30"/>
  <c r="AR97" i="30"/>
  <c r="AZ98" i="30"/>
  <c r="BC102" i="30"/>
  <c r="BA102" i="30"/>
  <c r="I132" i="30"/>
  <c r="AE132" i="30"/>
  <c r="R117" i="30"/>
  <c r="AN117" i="30"/>
  <c r="AN134" i="30"/>
  <c r="AS117" i="30"/>
  <c r="AS134" i="30"/>
  <c r="X132" i="30"/>
  <c r="O5" i="30"/>
  <c r="AK5" i="30"/>
  <c r="BA50" i="30"/>
  <c r="W97" i="30"/>
  <c r="AS97" i="30"/>
  <c r="S117" i="30"/>
  <c r="AO117" i="30"/>
  <c r="AZ118" i="30"/>
  <c r="AO134" i="30"/>
  <c r="AQ117" i="30"/>
  <c r="AQ134" i="30"/>
  <c r="BA46" i="30"/>
  <c r="BC46" i="30"/>
  <c r="X134" i="30"/>
  <c r="X117" i="30"/>
  <c r="C134" i="30"/>
  <c r="C117" i="30"/>
  <c r="BB76" i="30"/>
  <c r="BA90" i="30"/>
  <c r="BC18" i="30"/>
  <c r="BC76" i="30"/>
  <c r="V132" i="30"/>
  <c r="Q134" i="30"/>
  <c r="AS132" i="30"/>
  <c r="R134" i="30"/>
  <c r="Z37" i="30"/>
  <c r="E77" i="30"/>
  <c r="E132" i="30"/>
  <c r="AW132" i="30"/>
  <c r="F77" i="30"/>
  <c r="AX78" i="30"/>
  <c r="AB132" i="30"/>
  <c r="AU6" i="30"/>
  <c r="AU5" i="30" s="1"/>
  <c r="AC132" i="30"/>
  <c r="P5" i="30"/>
  <c r="AL5" i="30"/>
  <c r="AY6" i="30"/>
  <c r="AG77" i="30"/>
  <c r="X97" i="30"/>
  <c r="AG132" i="30"/>
  <c r="T117" i="30"/>
  <c r="AP117" i="30"/>
  <c r="AP134" i="30"/>
  <c r="BA96" i="30"/>
  <c r="AX118" i="30"/>
  <c r="BA18" i="30"/>
  <c r="AY118" i="30"/>
  <c r="BA122" i="30"/>
  <c r="AY38" i="30"/>
  <c r="AZ38" i="30"/>
  <c r="BC122" i="30"/>
  <c r="AX6" i="30"/>
  <c r="E134" i="30"/>
  <c r="AZ132" i="30"/>
  <c r="D134" i="30"/>
  <c r="BC42" i="30"/>
  <c r="AA134" i="30"/>
  <c r="BA10" i="30"/>
  <c r="BC116" i="30"/>
  <c r="AX132" i="30"/>
  <c r="F134" i="30"/>
  <c r="AZ6" i="30"/>
  <c r="BB10" i="30"/>
  <c r="BC36" i="30"/>
  <c r="BA74" i="30"/>
  <c r="BA14" i="30"/>
  <c r="Z134" i="30"/>
  <c r="BB116" i="30"/>
  <c r="AB134" i="30"/>
  <c r="BC4" i="30"/>
  <c r="BD72" i="25"/>
  <c r="BB72" i="25"/>
  <c r="BC72" i="25"/>
  <c r="BB28" i="25"/>
  <c r="BB20" i="25"/>
  <c r="BB100" i="25"/>
  <c r="BC108" i="25"/>
  <c r="BD8" i="25"/>
  <c r="BC8" i="25"/>
  <c r="BA8" i="25"/>
  <c r="BB8" i="25"/>
  <c r="BB124" i="25"/>
  <c r="BD28" i="25"/>
  <c r="BA108" i="25"/>
  <c r="BD12" i="25"/>
  <c r="BB54" i="25"/>
  <c r="BB92" i="25"/>
  <c r="BC52" i="25"/>
  <c r="BB84" i="25"/>
  <c r="BD52" i="25"/>
  <c r="BB24" i="25"/>
  <c r="BD24" i="25"/>
  <c r="BC24" i="25"/>
  <c r="BB56" i="25"/>
  <c r="BB112" i="25"/>
  <c r="BD56" i="25"/>
  <c r="BD88" i="25"/>
  <c r="BD112" i="25"/>
  <c r="BA128" i="25"/>
  <c r="BC128" i="25"/>
  <c r="BA120" i="25"/>
  <c r="BB88" i="25"/>
  <c r="BB104" i="25"/>
  <c r="BC120" i="25"/>
  <c r="Z37" i="29"/>
  <c r="AB37" i="29"/>
  <c r="AC37" i="29"/>
  <c r="BC36" i="29"/>
  <c r="B117" i="29"/>
  <c r="BA82" i="29"/>
  <c r="BB82" i="29"/>
  <c r="BA50" i="29"/>
  <c r="BC82" i="29"/>
  <c r="AU77" i="29"/>
  <c r="BA66" i="29"/>
  <c r="BA122" i="29"/>
  <c r="AZ38" i="29"/>
  <c r="AV97" i="29"/>
  <c r="BA34" i="29"/>
  <c r="BA86" i="29"/>
  <c r="BB126" i="29"/>
  <c r="AW97" i="29"/>
  <c r="BA36" i="29"/>
  <c r="BC54" i="29"/>
  <c r="BC122" i="29"/>
  <c r="AY118" i="29"/>
  <c r="AY117" i="29" s="1"/>
  <c r="BC86" i="29"/>
  <c r="BB110" i="29"/>
  <c r="AY97" i="29"/>
  <c r="BB76" i="29"/>
  <c r="BC76" i="29"/>
  <c r="BC96" i="29"/>
  <c r="AU132" i="29"/>
  <c r="AV132" i="29"/>
  <c r="BA116" i="29"/>
  <c r="BC126" i="29"/>
  <c r="BB102" i="29"/>
  <c r="BB122" i="29"/>
  <c r="BA110" i="29"/>
  <c r="BC106" i="29"/>
  <c r="BA102" i="29"/>
  <c r="BC102" i="29"/>
  <c r="BA88" i="29"/>
  <c r="BB40" i="29"/>
  <c r="BA62" i="29"/>
  <c r="BB68" i="29"/>
  <c r="BA114" i="29"/>
  <c r="BC124" i="29"/>
  <c r="BB4" i="29"/>
  <c r="BA20" i="29"/>
  <c r="BA30" i="29"/>
  <c r="BC68" i="29"/>
  <c r="BA104" i="29"/>
  <c r="BB114" i="29"/>
  <c r="BB52" i="29"/>
  <c r="BC20" i="29"/>
  <c r="BB36" i="29"/>
  <c r="BB46" i="29"/>
  <c r="BC52" i="29"/>
  <c r="BA94" i="29"/>
  <c r="BC104" i="29"/>
  <c r="BA120" i="29"/>
  <c r="BA74" i="29"/>
  <c r="BC84" i="29"/>
  <c r="BA130" i="29"/>
  <c r="BA4" i="29"/>
  <c r="BC114" i="29"/>
  <c r="BB10" i="29"/>
  <c r="BC26" i="29"/>
  <c r="BB32" i="29"/>
  <c r="BA42" i="29"/>
  <c r="BB48" i="29"/>
  <c r="BC58" i="29"/>
  <c r="BB80" i="29"/>
  <c r="BA90" i="29"/>
  <c r="BC100" i="29"/>
  <c r="BC110" i="29"/>
  <c r="BB116" i="29"/>
  <c r="BC10" i="29"/>
  <c r="BC48" i="29"/>
  <c r="BC116" i="29"/>
  <c r="BA126" i="29"/>
  <c r="BC42" i="29"/>
  <c r="BA70" i="29"/>
  <c r="BA96" i="29"/>
  <c r="BA124" i="29"/>
  <c r="BA76" i="29"/>
  <c r="BA22" i="29"/>
  <c r="BA28" i="29"/>
  <c r="BA54" i="29"/>
  <c r="BB60" i="29"/>
  <c r="BA106" i="29"/>
  <c r="BA112" i="29"/>
  <c r="BB12" i="29"/>
  <c r="BC60" i="29"/>
  <c r="BA124" i="25"/>
  <c r="BD104" i="25"/>
  <c r="BD40" i="25"/>
  <c r="BB68" i="25"/>
  <c r="BA114" i="25"/>
  <c r="BC124" i="25"/>
  <c r="BA20" i="25"/>
  <c r="BC68" i="25"/>
  <c r="BA104" i="25"/>
  <c r="BA88" i="25"/>
  <c r="BB40" i="25"/>
  <c r="BD20" i="25"/>
  <c r="BA100" i="25"/>
  <c r="BA110" i="25"/>
  <c r="BC16" i="25"/>
  <c r="BB32" i="25"/>
  <c r="BB48" i="25"/>
  <c r="BD64" i="25"/>
  <c r="BB80" i="25"/>
  <c r="BC100" i="25"/>
  <c r="BD16" i="25"/>
  <c r="BC32" i="25"/>
  <c r="BC48" i="25"/>
  <c r="BC80" i="25"/>
  <c r="BC42" i="25"/>
  <c r="BA28" i="25"/>
  <c r="BB60" i="25"/>
  <c r="BA112" i="25"/>
  <c r="BC60" i="25"/>
  <c r="BB64" i="25"/>
  <c r="AX97" i="31" l="1"/>
  <c r="BD97" i="31" s="1"/>
  <c r="BD98" i="31"/>
  <c r="BA86" i="25"/>
  <c r="AX77" i="31"/>
  <c r="BD77" i="31" s="1"/>
  <c r="BD78" i="31"/>
  <c r="BA50" i="25"/>
  <c r="AX37" i="31"/>
  <c r="BD37" i="31" s="1"/>
  <c r="BD38" i="31"/>
  <c r="BB41" i="25"/>
  <c r="BB10" i="25"/>
  <c r="AF5" i="25"/>
  <c r="J5" i="25"/>
  <c r="AC5" i="25"/>
  <c r="BA10" i="25"/>
  <c r="BC118" i="31"/>
  <c r="BB118" i="31"/>
  <c r="AX117" i="31"/>
  <c r="BD118" i="31"/>
  <c r="BA118" i="31"/>
  <c r="BA117" i="31" s="1"/>
  <c r="BB73" i="25"/>
  <c r="AN97" i="25"/>
  <c r="AQ37" i="25"/>
  <c r="AI134" i="25"/>
  <c r="R5" i="25"/>
  <c r="U37" i="25"/>
  <c r="BA42" i="25"/>
  <c r="AH133" i="31"/>
  <c r="X134" i="25"/>
  <c r="AG134" i="25"/>
  <c r="G77" i="25"/>
  <c r="AG117" i="25"/>
  <c r="P117" i="25"/>
  <c r="AY98" i="25"/>
  <c r="AY97" i="25" s="1"/>
  <c r="P133" i="31"/>
  <c r="Z97" i="25"/>
  <c r="V117" i="25"/>
  <c r="AI117" i="25"/>
  <c r="C77" i="25"/>
  <c r="AZ105" i="25"/>
  <c r="BC105" i="25" s="1"/>
  <c r="AI97" i="25"/>
  <c r="AL134" i="25"/>
  <c r="V5" i="25"/>
  <c r="BD74" i="25"/>
  <c r="T134" i="25"/>
  <c r="AY125" i="25"/>
  <c r="BA125" i="25" s="1"/>
  <c r="AX53" i="25"/>
  <c r="BC53" i="25" s="1"/>
  <c r="Z37" i="25"/>
  <c r="F117" i="25"/>
  <c r="M117" i="25"/>
  <c r="AZ9" i="25"/>
  <c r="BA9" i="25" s="1"/>
  <c r="BB42" i="25"/>
  <c r="S37" i="25"/>
  <c r="X37" i="25"/>
  <c r="AL133" i="31"/>
  <c r="BC14" i="25"/>
  <c r="AZ118" i="25"/>
  <c r="BA53" i="25"/>
  <c r="AC77" i="25"/>
  <c r="AO37" i="25"/>
  <c r="M77" i="25"/>
  <c r="BB114" i="25"/>
  <c r="AV6" i="25"/>
  <c r="AV5" i="25" s="1"/>
  <c r="BA54" i="25"/>
  <c r="S133" i="31"/>
  <c r="AJ132" i="25"/>
  <c r="J117" i="25"/>
  <c r="O117" i="25"/>
  <c r="N77" i="25"/>
  <c r="AN77" i="25"/>
  <c r="AB37" i="25"/>
  <c r="AF132" i="25"/>
  <c r="AE133" i="31"/>
  <c r="AK37" i="25"/>
  <c r="AV38" i="25"/>
  <c r="AV37" i="25" s="1"/>
  <c r="Y77" i="25"/>
  <c r="AU118" i="25"/>
  <c r="AU117" i="25" s="1"/>
  <c r="U117" i="25"/>
  <c r="BC122" i="25"/>
  <c r="F37" i="25"/>
  <c r="BB50" i="25"/>
  <c r="BA62" i="25"/>
  <c r="AZ121" i="25"/>
  <c r="BC121" i="25" s="1"/>
  <c r="E37" i="25"/>
  <c r="BD50" i="25"/>
  <c r="AH133" i="30"/>
  <c r="BC10" i="25"/>
  <c r="BC126" i="25"/>
  <c r="L133" i="30"/>
  <c r="V37" i="25"/>
  <c r="AA97" i="25"/>
  <c r="AC37" i="25"/>
  <c r="AP134" i="25"/>
  <c r="AW132" i="25"/>
  <c r="AY78" i="25"/>
  <c r="AR117" i="25"/>
  <c r="AR37" i="25"/>
  <c r="AY13" i="25"/>
  <c r="AY38" i="25"/>
  <c r="AY37" i="25" s="1"/>
  <c r="BB94" i="25"/>
  <c r="BB22" i="25"/>
  <c r="R97" i="25"/>
  <c r="AP77" i="25"/>
  <c r="X97" i="25"/>
  <c r="AX13" i="25"/>
  <c r="BD13" i="25" s="1"/>
  <c r="AT118" i="25"/>
  <c r="AT117" i="25" s="1"/>
  <c r="D77" i="25"/>
  <c r="AX125" i="25"/>
  <c r="BC125" i="25" s="1"/>
  <c r="AX25" i="25"/>
  <c r="BD25" i="25" s="1"/>
  <c r="AS37" i="25"/>
  <c r="AX93" i="25"/>
  <c r="BD93" i="25" s="1"/>
  <c r="AS117" i="25"/>
  <c r="AA5" i="25"/>
  <c r="AG133" i="30"/>
  <c r="AA117" i="25"/>
  <c r="E5" i="25"/>
  <c r="BA101" i="25"/>
  <c r="BC62" i="25"/>
  <c r="D97" i="25"/>
  <c r="AH97" i="25"/>
  <c r="N132" i="25"/>
  <c r="AQ132" i="25"/>
  <c r="AW6" i="25"/>
  <c r="AW5" i="25" s="1"/>
  <c r="AJ133" i="30"/>
  <c r="Z134" i="25"/>
  <c r="BD26" i="25"/>
  <c r="BC96" i="25"/>
  <c r="AR132" i="25"/>
  <c r="AK97" i="25"/>
  <c r="BB122" i="25"/>
  <c r="BA46" i="25"/>
  <c r="S5" i="25"/>
  <c r="AX9" i="25"/>
  <c r="E132" i="25"/>
  <c r="Y117" i="25"/>
  <c r="BA49" i="25"/>
  <c r="AN134" i="25"/>
  <c r="BA113" i="25"/>
  <c r="AF77" i="25"/>
  <c r="AX78" i="25"/>
  <c r="AR97" i="25"/>
  <c r="AJ117" i="25"/>
  <c r="BB121" i="25"/>
  <c r="BD73" i="25"/>
  <c r="BB126" i="25"/>
  <c r="K133" i="30"/>
  <c r="AM77" i="25"/>
  <c r="V97" i="25"/>
  <c r="AB97" i="25"/>
  <c r="W77" i="25"/>
  <c r="BA82" i="25"/>
  <c r="S77" i="25"/>
  <c r="O97" i="25"/>
  <c r="BC46" i="25"/>
  <c r="N133" i="30"/>
  <c r="BB74" i="25"/>
  <c r="BC94" i="25"/>
  <c r="AB132" i="25"/>
  <c r="Y132" i="25"/>
  <c r="I97" i="25"/>
  <c r="BB58" i="25"/>
  <c r="BD70" i="25"/>
  <c r="BC69" i="25"/>
  <c r="BB69" i="25"/>
  <c r="BC50" i="25"/>
  <c r="AQ5" i="25"/>
  <c r="U5" i="25"/>
  <c r="P5" i="25"/>
  <c r="G5" i="25"/>
  <c r="AF133" i="31"/>
  <c r="BA41" i="25"/>
  <c r="I5" i="25"/>
  <c r="H134" i="25"/>
  <c r="BD46" i="25"/>
  <c r="J133" i="31"/>
  <c r="U132" i="25"/>
  <c r="H77" i="25"/>
  <c r="AT78" i="25"/>
  <c r="AT77" i="25" s="1"/>
  <c r="BA96" i="25"/>
  <c r="Y133" i="31"/>
  <c r="AQ133" i="31"/>
  <c r="AY132" i="25"/>
  <c r="BA85" i="25"/>
  <c r="H97" i="25"/>
  <c r="BC82" i="25"/>
  <c r="AR134" i="25"/>
  <c r="E134" i="25"/>
  <c r="AZ81" i="25"/>
  <c r="BC81" i="25" s="1"/>
  <c r="M134" i="25"/>
  <c r="AN5" i="25"/>
  <c r="AU6" i="25"/>
  <c r="AU5" i="25" s="1"/>
  <c r="J37" i="25"/>
  <c r="X117" i="25"/>
  <c r="AG5" i="25"/>
  <c r="C132" i="25"/>
  <c r="N134" i="25"/>
  <c r="AI77" i="25"/>
  <c r="BD121" i="25"/>
  <c r="D5" i="25"/>
  <c r="AA134" i="25"/>
  <c r="K5" i="25"/>
  <c r="K132" i="25"/>
  <c r="AO132" i="25"/>
  <c r="AK134" i="25"/>
  <c r="BC110" i="25"/>
  <c r="S132" i="25"/>
  <c r="AJ37" i="25"/>
  <c r="BB110" i="25"/>
  <c r="BB102" i="25"/>
  <c r="BB105" i="25"/>
  <c r="R132" i="25"/>
  <c r="N37" i="25"/>
  <c r="B78" i="25"/>
  <c r="B77" i="25" s="1"/>
  <c r="AM134" i="25"/>
  <c r="AE132" i="25"/>
  <c r="BA122" i="25"/>
  <c r="AM117" i="25"/>
  <c r="L97" i="25"/>
  <c r="AU132" i="25"/>
  <c r="AF97" i="25"/>
  <c r="V134" i="25"/>
  <c r="K134" i="25"/>
  <c r="W132" i="25"/>
  <c r="AE97" i="25"/>
  <c r="AT38" i="25"/>
  <c r="AT37" i="25" s="1"/>
  <c r="AX38" i="25"/>
  <c r="BD38" i="25" s="1"/>
  <c r="X133" i="31"/>
  <c r="AL5" i="25"/>
  <c r="BB106" i="25"/>
  <c r="H133" i="31"/>
  <c r="AY45" i="25"/>
  <c r="BB45" i="25" s="1"/>
  <c r="J132" i="25"/>
  <c r="AU38" i="25"/>
  <c r="AU37" i="25" s="1"/>
  <c r="I132" i="25"/>
  <c r="Q77" i="25"/>
  <c r="I117" i="25"/>
  <c r="AM133" i="31"/>
  <c r="AX129" i="25"/>
  <c r="BD129" i="25" s="1"/>
  <c r="BD41" i="25"/>
  <c r="BD105" i="25"/>
  <c r="BA106" i="25"/>
  <c r="BA58" i="25"/>
  <c r="AJ133" i="31"/>
  <c r="U134" i="25"/>
  <c r="AQ134" i="25"/>
  <c r="AP5" i="25"/>
  <c r="AJ134" i="25"/>
  <c r="AJ133" i="25" s="1"/>
  <c r="BB130" i="25"/>
  <c r="AD134" i="25"/>
  <c r="AX57" i="25"/>
  <c r="BD57" i="25" s="1"/>
  <c r="AD132" i="25"/>
  <c r="T77" i="25"/>
  <c r="AH134" i="25"/>
  <c r="AI132" i="25"/>
  <c r="AI133" i="25" s="1"/>
  <c r="H132" i="25"/>
  <c r="B98" i="25"/>
  <c r="B97" i="25" s="1"/>
  <c r="AE133" i="30"/>
  <c r="AD133" i="30"/>
  <c r="AS134" i="25"/>
  <c r="L134" i="25"/>
  <c r="F132" i="25"/>
  <c r="AN132" i="25"/>
  <c r="V132" i="25"/>
  <c r="AC132" i="25"/>
  <c r="F134" i="25"/>
  <c r="M132" i="25"/>
  <c r="AX21" i="25"/>
  <c r="BD21" i="25" s="1"/>
  <c r="G132" i="25"/>
  <c r="Y134" i="25"/>
  <c r="R134" i="25"/>
  <c r="AB134" i="25"/>
  <c r="AX61" i="25"/>
  <c r="BB61" i="25" s="1"/>
  <c r="BD62" i="25"/>
  <c r="BA78" i="30"/>
  <c r="L132" i="25"/>
  <c r="BD82" i="25"/>
  <c r="BC102" i="25"/>
  <c r="P132" i="25"/>
  <c r="BD69" i="25"/>
  <c r="AS132" i="25"/>
  <c r="S117" i="25"/>
  <c r="BC70" i="25"/>
  <c r="AV118" i="25"/>
  <c r="AV117" i="25" s="1"/>
  <c r="AV98" i="25"/>
  <c r="AV97" i="25" s="1"/>
  <c r="AT98" i="25"/>
  <c r="AT97" i="25" s="1"/>
  <c r="I134" i="25"/>
  <c r="AH132" i="25"/>
  <c r="BA70" i="25"/>
  <c r="H133" i="30"/>
  <c r="X5" i="25"/>
  <c r="AT132" i="25"/>
  <c r="Z132" i="25"/>
  <c r="BC54" i="25"/>
  <c r="BA61" i="25"/>
  <c r="AX132" i="25"/>
  <c r="X132" i="25"/>
  <c r="AD97" i="25"/>
  <c r="B132" i="25"/>
  <c r="W117" i="25"/>
  <c r="BA69" i="25"/>
  <c r="O132" i="25"/>
  <c r="T132" i="25"/>
  <c r="T133" i="25" s="1"/>
  <c r="J133" i="30"/>
  <c r="O5" i="25"/>
  <c r="W97" i="25"/>
  <c r="AU78" i="25"/>
  <c r="AU77" i="25" s="1"/>
  <c r="BB46" i="25"/>
  <c r="D134" i="25"/>
  <c r="AX101" i="25"/>
  <c r="BC101" i="25" s="1"/>
  <c r="AC134" i="25"/>
  <c r="AA132" i="25"/>
  <c r="H117" i="25"/>
  <c r="BB70" i="25"/>
  <c r="AU98" i="25"/>
  <c r="AU97" i="25" s="1"/>
  <c r="BD122" i="25"/>
  <c r="Q134" i="25"/>
  <c r="I133" i="30"/>
  <c r="AL132" i="25"/>
  <c r="AC133" i="30"/>
  <c r="AO117" i="25"/>
  <c r="AX97" i="30"/>
  <c r="AZ38" i="25"/>
  <c r="BB62" i="25"/>
  <c r="AF133" i="30"/>
  <c r="W134" i="25"/>
  <c r="AJ5" i="25"/>
  <c r="AX118" i="25"/>
  <c r="AX117" i="25" s="1"/>
  <c r="AV132" i="25"/>
  <c r="D132" i="25"/>
  <c r="AE134" i="25"/>
  <c r="AG132" i="25"/>
  <c r="AG133" i="25" s="1"/>
  <c r="AX109" i="25"/>
  <c r="AU117" i="29"/>
  <c r="AV117" i="29"/>
  <c r="AX117" i="29"/>
  <c r="BC118" i="29"/>
  <c r="AW117" i="29"/>
  <c r="AW118" i="25"/>
  <c r="AW117" i="25" s="1"/>
  <c r="AX113" i="25"/>
  <c r="BC114" i="25"/>
  <c r="B97" i="29"/>
  <c r="AS97" i="25"/>
  <c r="BD106" i="25"/>
  <c r="BC106" i="25"/>
  <c r="AX98" i="25"/>
  <c r="AU97" i="29"/>
  <c r="AX97" i="29"/>
  <c r="AX77" i="29"/>
  <c r="AV77" i="29"/>
  <c r="BB90" i="25"/>
  <c r="AX89" i="25"/>
  <c r="BB89" i="25" s="1"/>
  <c r="BD85" i="25"/>
  <c r="BC85" i="25"/>
  <c r="BB85" i="25"/>
  <c r="BB86" i="25"/>
  <c r="BC86" i="25"/>
  <c r="BD86" i="25"/>
  <c r="AS77" i="25"/>
  <c r="B77" i="29"/>
  <c r="BA78" i="29"/>
  <c r="BD81" i="25"/>
  <c r="AY77" i="29"/>
  <c r="BB77" i="29" s="1"/>
  <c r="BB78" i="29"/>
  <c r="B38" i="25"/>
  <c r="B37" i="25" s="1"/>
  <c r="BC58" i="25"/>
  <c r="H133" i="29"/>
  <c r="AU37" i="29"/>
  <c r="AP133" i="29"/>
  <c r="AV37" i="29"/>
  <c r="AT37" i="29"/>
  <c r="BD49" i="25"/>
  <c r="AX37" i="29"/>
  <c r="BD37" i="29" s="1"/>
  <c r="AX134" i="29"/>
  <c r="BD134" i="29" s="1"/>
  <c r="BB49" i="25"/>
  <c r="AY37" i="29"/>
  <c r="BA38" i="29"/>
  <c r="AE133" i="29"/>
  <c r="AD133" i="29"/>
  <c r="K133" i="29"/>
  <c r="AY129" i="25"/>
  <c r="BB118" i="29"/>
  <c r="AY118" i="25"/>
  <c r="AZ97" i="25"/>
  <c r="BA76" i="25"/>
  <c r="AZ77" i="29"/>
  <c r="BC78" i="29"/>
  <c r="AY81" i="25"/>
  <c r="BB81" i="25" s="1"/>
  <c r="BB82" i="25"/>
  <c r="AY134" i="29"/>
  <c r="AY133" i="29" s="1"/>
  <c r="BB38" i="29"/>
  <c r="BB65" i="25"/>
  <c r="BC65" i="25"/>
  <c r="BD65" i="25"/>
  <c r="BD66" i="25"/>
  <c r="BC66" i="25"/>
  <c r="BB66" i="25"/>
  <c r="BC36" i="25"/>
  <c r="BB36" i="25"/>
  <c r="BB132" i="29"/>
  <c r="BD36" i="25"/>
  <c r="AT134" i="29"/>
  <c r="AT6" i="25"/>
  <c r="AT5" i="25" s="1"/>
  <c r="AY33" i="25"/>
  <c r="BB34" i="25"/>
  <c r="BD34" i="25"/>
  <c r="AX33" i="25"/>
  <c r="BD33" i="25" s="1"/>
  <c r="AX29" i="25"/>
  <c r="BD29" i="25" s="1"/>
  <c r="BD4" i="25"/>
  <c r="AB133" i="29"/>
  <c r="BB30" i="25"/>
  <c r="W5" i="25"/>
  <c r="AS5" i="25"/>
  <c r="AY29" i="25"/>
  <c r="AP132" i="25"/>
  <c r="AR5" i="25"/>
  <c r="N5" i="25"/>
  <c r="BC4" i="25"/>
  <c r="AE5" i="25"/>
  <c r="D133" i="29"/>
  <c r="H5" i="25"/>
  <c r="BB4" i="25"/>
  <c r="AK5" i="25"/>
  <c r="AY5" i="29"/>
  <c r="BA4" i="25"/>
  <c r="AH5" i="25"/>
  <c r="L5" i="25"/>
  <c r="AG133" i="29"/>
  <c r="F5" i="25"/>
  <c r="BC18" i="25"/>
  <c r="AU5" i="29"/>
  <c r="X133" i="29"/>
  <c r="AX17" i="25"/>
  <c r="BB17" i="25" s="1"/>
  <c r="AI133" i="29"/>
  <c r="AM5" i="25"/>
  <c r="AD5" i="25"/>
  <c r="AX5" i="29"/>
  <c r="BD5" i="29" s="1"/>
  <c r="AX6" i="25"/>
  <c r="BD6" i="25" s="1"/>
  <c r="AV5" i="29"/>
  <c r="AW134" i="29"/>
  <c r="AW133" i="29" s="1"/>
  <c r="BB18" i="25"/>
  <c r="AW5" i="29"/>
  <c r="V133" i="29"/>
  <c r="AZ13" i="25"/>
  <c r="AN133" i="29"/>
  <c r="AL133" i="29"/>
  <c r="C133" i="25"/>
  <c r="AH133" i="29"/>
  <c r="AY6" i="25"/>
  <c r="F133" i="29"/>
  <c r="BA14" i="25"/>
  <c r="Y133" i="29"/>
  <c r="U133" i="29"/>
  <c r="I133" i="29"/>
  <c r="AQ133" i="29"/>
  <c r="O133" i="29"/>
  <c r="O134" i="25"/>
  <c r="AM133" i="29"/>
  <c r="AM132" i="25"/>
  <c r="Q133" i="29"/>
  <c r="Q132" i="25"/>
  <c r="J133" i="29"/>
  <c r="J134" i="25"/>
  <c r="AI5" i="25"/>
  <c r="N133" i="29"/>
  <c r="S133" i="29"/>
  <c r="S134" i="25"/>
  <c r="C133" i="29"/>
  <c r="G133" i="29"/>
  <c r="G134" i="25"/>
  <c r="AR133" i="29"/>
  <c r="E133" i="29"/>
  <c r="M5" i="25"/>
  <c r="P133" i="29"/>
  <c r="P134" i="25"/>
  <c r="Z133" i="29"/>
  <c r="AF133" i="29"/>
  <c r="AF134" i="25"/>
  <c r="AC133" i="29"/>
  <c r="AK133" i="29"/>
  <c r="AK132" i="25"/>
  <c r="B6" i="25"/>
  <c r="B5" i="25" s="1"/>
  <c r="B5" i="29"/>
  <c r="T133" i="29"/>
  <c r="AJ133" i="29"/>
  <c r="AO133" i="29"/>
  <c r="AO134" i="25"/>
  <c r="AS133" i="29"/>
  <c r="M133" i="29"/>
  <c r="W133" i="29"/>
  <c r="AA133" i="29"/>
  <c r="L133" i="29"/>
  <c r="R133" i="29"/>
  <c r="AZ129" i="25"/>
  <c r="BC130" i="25"/>
  <c r="AZ93" i="25"/>
  <c r="BA93" i="25" s="1"/>
  <c r="BA94" i="25"/>
  <c r="AZ89" i="25"/>
  <c r="BC90" i="25"/>
  <c r="BA90" i="25"/>
  <c r="AZ78" i="25"/>
  <c r="AZ73" i="25"/>
  <c r="BC74" i="25"/>
  <c r="BC34" i="25"/>
  <c r="BA34" i="25"/>
  <c r="AZ33" i="25"/>
  <c r="AZ29" i="25"/>
  <c r="BA30" i="25"/>
  <c r="BC30" i="25"/>
  <c r="BA22" i="25"/>
  <c r="AZ6" i="25"/>
  <c r="BA21" i="25"/>
  <c r="BC22" i="25"/>
  <c r="BA18" i="25"/>
  <c r="AZ17" i="25"/>
  <c r="BA17" i="25" s="1"/>
  <c r="BC38" i="29"/>
  <c r="AZ37" i="29"/>
  <c r="AZ117" i="29"/>
  <c r="BA117" i="29" s="1"/>
  <c r="BA118" i="29"/>
  <c r="BA98" i="29"/>
  <c r="BC98" i="29"/>
  <c r="AY25" i="25"/>
  <c r="BB26" i="25"/>
  <c r="AW98" i="25"/>
  <c r="AW97" i="25" s="1"/>
  <c r="AW78" i="25"/>
  <c r="AW77" i="25" s="1"/>
  <c r="BA57" i="25"/>
  <c r="BD45" i="25"/>
  <c r="BC45" i="25"/>
  <c r="AW37" i="31"/>
  <c r="AW38" i="25"/>
  <c r="AW37" i="25" s="1"/>
  <c r="BC78" i="31"/>
  <c r="BB78" i="31"/>
  <c r="BA78" i="31"/>
  <c r="BA77" i="31" s="1"/>
  <c r="AD133" i="31"/>
  <c r="O133" i="31"/>
  <c r="AK133" i="31"/>
  <c r="BB38" i="31"/>
  <c r="F133" i="31"/>
  <c r="BB37" i="31"/>
  <c r="AN133" i="31"/>
  <c r="C133" i="31"/>
  <c r="M133" i="31"/>
  <c r="AV134" i="31"/>
  <c r="AV133" i="31" s="1"/>
  <c r="AC133" i="31"/>
  <c r="G133" i="31"/>
  <c r="AO133" i="31"/>
  <c r="AP133" i="31"/>
  <c r="T133" i="31"/>
  <c r="U133" i="31"/>
  <c r="R133" i="31"/>
  <c r="Z133" i="31"/>
  <c r="W133" i="31"/>
  <c r="D133" i="31"/>
  <c r="N133" i="31"/>
  <c r="AU134" i="31"/>
  <c r="AU133" i="31" s="1"/>
  <c r="AB133" i="31"/>
  <c r="V133" i="31"/>
  <c r="AR133" i="31"/>
  <c r="AT134" i="31"/>
  <c r="AT133" i="31" s="1"/>
  <c r="AG133" i="31"/>
  <c r="AS133" i="31"/>
  <c r="BC132" i="31"/>
  <c r="BA132" i="31"/>
  <c r="AX5" i="31"/>
  <c r="BD5" i="31" s="1"/>
  <c r="BB6" i="31"/>
  <c r="BA98" i="31"/>
  <c r="BA97" i="31" s="1"/>
  <c r="BC98" i="31"/>
  <c r="BB98" i="31"/>
  <c r="BC38" i="31"/>
  <c r="BA38" i="31"/>
  <c r="AZ37" i="31"/>
  <c r="AA133" i="31"/>
  <c r="E133" i="31"/>
  <c r="BB132" i="31"/>
  <c r="AS135" i="31"/>
  <c r="BC6" i="31"/>
  <c r="BA6" i="31"/>
  <c r="AZ5" i="31"/>
  <c r="AX134" i="31"/>
  <c r="BD134" i="31" s="1"/>
  <c r="K133" i="31"/>
  <c r="AW134" i="31"/>
  <c r="AW133" i="31" s="1"/>
  <c r="AY134" i="31"/>
  <c r="AZ134" i="31"/>
  <c r="AP133" i="30"/>
  <c r="AM133" i="30"/>
  <c r="AO133" i="30"/>
  <c r="AN133" i="30"/>
  <c r="F133" i="30"/>
  <c r="Q133" i="30"/>
  <c r="R133" i="30"/>
  <c r="T133" i="30"/>
  <c r="AA133" i="30"/>
  <c r="AS133" i="30"/>
  <c r="U133" i="30"/>
  <c r="W133" i="30"/>
  <c r="D133" i="30"/>
  <c r="S133" i="30"/>
  <c r="E133" i="30"/>
  <c r="AR133" i="30"/>
  <c r="BB6" i="30"/>
  <c r="AY5" i="30"/>
  <c r="AW117" i="30"/>
  <c r="AW134" i="30"/>
  <c r="AW133" i="30" s="1"/>
  <c r="Y133" i="30"/>
  <c r="BA77" i="30"/>
  <c r="BA38" i="30"/>
  <c r="BC38" i="30"/>
  <c r="AZ37" i="30"/>
  <c r="AB133" i="30"/>
  <c r="AY134" i="30"/>
  <c r="BB118" i="30"/>
  <c r="AY117" i="30"/>
  <c r="AQ133" i="30"/>
  <c r="AV117" i="30"/>
  <c r="AV134" i="30"/>
  <c r="AV133" i="30" s="1"/>
  <c r="BB132" i="30"/>
  <c r="AS135" i="30"/>
  <c r="AX77" i="30"/>
  <c r="AX37" i="30"/>
  <c r="BC132" i="30"/>
  <c r="BA132" i="30"/>
  <c r="X133" i="30"/>
  <c r="BC78" i="30"/>
  <c r="AT134" i="30"/>
  <c r="AT133" i="30" s="1"/>
  <c r="Z133" i="30"/>
  <c r="AY97" i="30"/>
  <c r="BB98" i="30"/>
  <c r="AX5" i="30"/>
  <c r="B134" i="30"/>
  <c r="B133" i="30" s="1"/>
  <c r="BB38" i="30"/>
  <c r="AY37" i="30"/>
  <c r="AU134" i="30"/>
  <c r="AU133" i="30" s="1"/>
  <c r="C133" i="30"/>
  <c r="BB78" i="30"/>
  <c r="AZ97" i="30"/>
  <c r="BA98" i="30"/>
  <c r="BC98" i="30"/>
  <c r="AX117" i="30"/>
  <c r="AX134" i="30"/>
  <c r="BA118" i="30"/>
  <c r="BC118" i="30"/>
  <c r="AZ134" i="30"/>
  <c r="AZ117" i="30"/>
  <c r="BA6" i="30"/>
  <c r="BC6" i="30"/>
  <c r="AZ5" i="30"/>
  <c r="V133" i="30"/>
  <c r="AS135" i="29"/>
  <c r="BC77" i="29"/>
  <c r="BA97" i="29"/>
  <c r="BA132" i="29"/>
  <c r="BC132" i="29"/>
  <c r="BB53" i="25" l="1"/>
  <c r="BB132" i="25"/>
  <c r="AF133" i="25"/>
  <c r="BD132" i="25"/>
  <c r="BC117" i="31"/>
  <c r="BB117" i="31"/>
  <c r="BD117" i="31"/>
  <c r="X133" i="25"/>
  <c r="L133" i="25"/>
  <c r="BA121" i="25"/>
  <c r="BB13" i="25"/>
  <c r="BD53" i="25"/>
  <c r="BB125" i="25"/>
  <c r="Z133" i="25"/>
  <c r="AQ133" i="25"/>
  <c r="BB78" i="25"/>
  <c r="BC9" i="25"/>
  <c r="N133" i="25"/>
  <c r="BA98" i="25"/>
  <c r="BA38" i="25"/>
  <c r="BC25" i="25"/>
  <c r="BB93" i="25"/>
  <c r="BA105" i="25"/>
  <c r="AA133" i="25"/>
  <c r="BD9" i="25"/>
  <c r="BC13" i="25"/>
  <c r="AL133" i="25"/>
  <c r="H133" i="25"/>
  <c r="BC61" i="25"/>
  <c r="W133" i="25"/>
  <c r="F133" i="25"/>
  <c r="U133" i="25"/>
  <c r="BD78" i="25"/>
  <c r="AX77" i="25"/>
  <c r="BD77" i="25" s="1"/>
  <c r="BD117" i="25"/>
  <c r="AN133" i="25"/>
  <c r="AY77" i="25"/>
  <c r="BB9" i="25"/>
  <c r="BD125" i="25"/>
  <c r="AP133" i="25"/>
  <c r="AH133" i="25"/>
  <c r="E133" i="25"/>
  <c r="AM133" i="25"/>
  <c r="AB133" i="25"/>
  <c r="Y133" i="25"/>
  <c r="AE133" i="25"/>
  <c r="I133" i="25"/>
  <c r="AR133" i="25"/>
  <c r="AX37" i="25"/>
  <c r="BD37" i="25" s="1"/>
  <c r="BD61" i="25"/>
  <c r="D133" i="25"/>
  <c r="K133" i="25"/>
  <c r="V133" i="25"/>
  <c r="P133" i="25"/>
  <c r="AD133" i="25"/>
  <c r="R133" i="25"/>
  <c r="BB38" i="25"/>
  <c r="BC38" i="25"/>
  <c r="BB101" i="25"/>
  <c r="BB57" i="25"/>
  <c r="AS133" i="25"/>
  <c r="AK133" i="25"/>
  <c r="AT134" i="25"/>
  <c r="AT133" i="25" s="1"/>
  <c r="BC57" i="25"/>
  <c r="M133" i="25"/>
  <c r="AC133" i="25"/>
  <c r="S133" i="25"/>
  <c r="BA45" i="25"/>
  <c r="AO133" i="25"/>
  <c r="BB129" i="25"/>
  <c r="BD101" i="25"/>
  <c r="J133" i="25"/>
  <c r="Q133" i="25"/>
  <c r="O133" i="25"/>
  <c r="BC17" i="25"/>
  <c r="BB29" i="25"/>
  <c r="AS135" i="25"/>
  <c r="BC21" i="25"/>
  <c r="BD118" i="25"/>
  <c r="AZ37" i="25"/>
  <c r="BB97" i="30"/>
  <c r="G133" i="25"/>
  <c r="BC109" i="25"/>
  <c r="BD109" i="25"/>
  <c r="BB109" i="25"/>
  <c r="BB21" i="25"/>
  <c r="BB117" i="29"/>
  <c r="BB97" i="29"/>
  <c r="BD113" i="25"/>
  <c r="BC113" i="25"/>
  <c r="BB113" i="25"/>
  <c r="BD98" i="25"/>
  <c r="AX97" i="25"/>
  <c r="BC97" i="25" s="1"/>
  <c r="BB98" i="25"/>
  <c r="BC97" i="29"/>
  <c r="BC98" i="25"/>
  <c r="BD89" i="25"/>
  <c r="BA77" i="29"/>
  <c r="AT133" i="29"/>
  <c r="BB37" i="29"/>
  <c r="BC37" i="29"/>
  <c r="AX134" i="25"/>
  <c r="AX133" i="25" s="1"/>
  <c r="AX133" i="29"/>
  <c r="BD17" i="25"/>
  <c r="BA13" i="25"/>
  <c r="BB118" i="25"/>
  <c r="AY117" i="25"/>
  <c r="BB117" i="25" s="1"/>
  <c r="BA97" i="25"/>
  <c r="AY134" i="25"/>
  <c r="AY133" i="25" s="1"/>
  <c r="BB134" i="29"/>
  <c r="BC93" i="25"/>
  <c r="BA81" i="25"/>
  <c r="BB33" i="25"/>
  <c r="AW134" i="25"/>
  <c r="AW133" i="25" s="1"/>
  <c r="AX5" i="25"/>
  <c r="BD5" i="25" s="1"/>
  <c r="BA29" i="25"/>
  <c r="BC6" i="25"/>
  <c r="AY5" i="25"/>
  <c r="BB6" i="25"/>
  <c r="BC29" i="25"/>
  <c r="BA129" i="25"/>
  <c r="BC129" i="25"/>
  <c r="BC117" i="29"/>
  <c r="BC78" i="25"/>
  <c r="AZ77" i="25"/>
  <c r="BA78" i="25"/>
  <c r="BA89" i="25"/>
  <c r="BC89" i="25"/>
  <c r="BA37" i="25"/>
  <c r="BC73" i="25"/>
  <c r="BA73" i="25"/>
  <c r="BA37" i="29"/>
  <c r="AZ5" i="25"/>
  <c r="BA33" i="25"/>
  <c r="BC33" i="25"/>
  <c r="BA6" i="25"/>
  <c r="BB25" i="25"/>
  <c r="BA25" i="25"/>
  <c r="BB97" i="31"/>
  <c r="BB77" i="31"/>
  <c r="BC77" i="31"/>
  <c r="BB134" i="31"/>
  <c r="AY133" i="31"/>
  <c r="BA5" i="31"/>
  <c r="BC5" i="31"/>
  <c r="BC97" i="31"/>
  <c r="BB5" i="31"/>
  <c r="BC37" i="31"/>
  <c r="BA37" i="31"/>
  <c r="BC134" i="31"/>
  <c r="BA134" i="31"/>
  <c r="AZ133" i="31"/>
  <c r="AX133" i="31"/>
  <c r="BD133" i="31" s="1"/>
  <c r="BB37" i="30"/>
  <c r="BC77" i="30"/>
  <c r="BA97" i="30"/>
  <c r="BC97" i="30"/>
  <c r="BB117" i="30"/>
  <c r="BB134" i="30"/>
  <c r="AY133" i="30"/>
  <c r="BB77" i="30"/>
  <c r="AX133" i="30"/>
  <c r="BB5" i="30"/>
  <c r="BC37" i="30"/>
  <c r="BA37" i="30"/>
  <c r="BC5" i="30"/>
  <c r="BA5" i="30"/>
  <c r="BA117" i="30"/>
  <c r="BC117" i="30"/>
  <c r="BC134" i="30"/>
  <c r="BA134" i="30"/>
  <c r="AZ133" i="30"/>
  <c r="BB77" i="25" l="1"/>
  <c r="BC37" i="25"/>
  <c r="BB37" i="25"/>
  <c r="BB133" i="29"/>
  <c r="BD133" i="29"/>
  <c r="BB5" i="25"/>
  <c r="BD133" i="25"/>
  <c r="BB134" i="25"/>
  <c r="BD97" i="25"/>
  <c r="BB97" i="25"/>
  <c r="BD134" i="25"/>
  <c r="BC5" i="25"/>
  <c r="BA5" i="25"/>
  <c r="BB133" i="25"/>
  <c r="BC77" i="25"/>
  <c r="BA77" i="25"/>
  <c r="BC133" i="31"/>
  <c r="BA133" i="31"/>
  <c r="BB133" i="31"/>
  <c r="BC133" i="30"/>
  <c r="BA133" i="30"/>
  <c r="BB133" i="30"/>
  <c r="BA4" i="4" l="1"/>
  <c r="AZ5" i="4"/>
  <c r="AZ4" i="4"/>
  <c r="AZ12" i="4" l="1"/>
  <c r="AZ10" i="4"/>
  <c r="AZ6" i="4"/>
  <c r="AZ9" i="4"/>
  <c r="AU79" i="4"/>
  <c r="AV79" i="4"/>
  <c r="AU80" i="4"/>
  <c r="AV80" i="4"/>
  <c r="AU81" i="4"/>
  <c r="AV81" i="4"/>
  <c r="AU82" i="4"/>
  <c r="AV82" i="4"/>
  <c r="AU83" i="4"/>
  <c r="AV83" i="4"/>
  <c r="AU84" i="4"/>
  <c r="AV84" i="4"/>
  <c r="AU85" i="4"/>
  <c r="AV85" i="4"/>
  <c r="AU86" i="4"/>
  <c r="AV86" i="4"/>
  <c r="AU87" i="4"/>
  <c r="AV87" i="4"/>
  <c r="AU88" i="4"/>
  <c r="AV88" i="4"/>
  <c r="AU89" i="4"/>
  <c r="AV89" i="4"/>
  <c r="AV78" i="4"/>
  <c r="AZ48" i="4"/>
  <c r="AZ47" i="4"/>
  <c r="AZ32" i="4"/>
  <c r="AX16" i="3"/>
  <c r="AX15" i="3"/>
  <c r="AY8" i="3"/>
  <c r="AZ9" i="3"/>
  <c r="AX112" i="3"/>
  <c r="AY112" i="3"/>
  <c r="AZ112" i="3"/>
  <c r="AW4" i="4"/>
  <c r="AV4" i="4"/>
  <c r="AY6" i="4" l="1"/>
  <c r="AX6" i="4"/>
  <c r="AW6" i="4"/>
  <c r="AY4" i="4"/>
  <c r="AY9" i="4" l="1"/>
  <c r="AY14" i="4" s="1"/>
  <c r="AZ42" i="4"/>
  <c r="AZ43" i="4"/>
  <c r="AZ44" i="4"/>
  <c r="AZ45" i="4"/>
  <c r="AZ46" i="4"/>
  <c r="AY46" i="4"/>
  <c r="AY47" i="4"/>
  <c r="AY48" i="4"/>
  <c r="AY49" i="4"/>
  <c r="AY50" i="4"/>
  <c r="AY51" i="4"/>
  <c r="AY52" i="4"/>
  <c r="AY45" i="4"/>
  <c r="AX52" i="4"/>
  <c r="AX47" i="4"/>
  <c r="AY37" i="4"/>
  <c r="AX37" i="4"/>
  <c r="AW13" i="4"/>
  <c r="AX9" i="4"/>
  <c r="AV6" i="4"/>
  <c r="AY6" i="3"/>
  <c r="AX6" i="3"/>
  <c r="AW15" i="3"/>
  <c r="AY10" i="3"/>
  <c r="AY11" i="3" s="1"/>
  <c r="AY15" i="3"/>
  <c r="AX9" i="3"/>
  <c r="L89" i="12"/>
  <c r="M89" i="12"/>
  <c r="L100" i="12"/>
  <c r="M100" i="12"/>
  <c r="L111" i="12"/>
  <c r="M111" i="12"/>
  <c r="L122" i="12"/>
  <c r="M122" i="12"/>
  <c r="L133" i="12"/>
  <c r="M133" i="12"/>
  <c r="M125" i="12"/>
  <c r="M126" i="12"/>
  <c r="M127" i="12"/>
  <c r="M128" i="12"/>
  <c r="M129" i="12"/>
  <c r="M130" i="12"/>
  <c r="M131" i="12"/>
  <c r="M132" i="12"/>
  <c r="L125" i="12"/>
  <c r="L126" i="12"/>
  <c r="L127" i="12"/>
  <c r="L128" i="12"/>
  <c r="L129" i="12"/>
  <c r="L130" i="12"/>
  <c r="L131" i="12"/>
  <c r="L132" i="12"/>
  <c r="M124" i="12"/>
  <c r="L124" i="12"/>
  <c r="M114" i="12"/>
  <c r="M115" i="12"/>
  <c r="M116" i="12"/>
  <c r="M117" i="12"/>
  <c r="M118" i="12"/>
  <c r="M119" i="12"/>
  <c r="M120" i="12"/>
  <c r="M121" i="12"/>
  <c r="L114" i="12"/>
  <c r="L115" i="12"/>
  <c r="L116" i="12"/>
  <c r="L117" i="12"/>
  <c r="L118" i="12"/>
  <c r="L119" i="12"/>
  <c r="L120" i="12"/>
  <c r="L121" i="12"/>
  <c r="M113" i="12"/>
  <c r="L113" i="12"/>
  <c r="M103" i="12"/>
  <c r="M104" i="12"/>
  <c r="M105" i="12"/>
  <c r="M106" i="12"/>
  <c r="M107" i="12"/>
  <c r="M108" i="12"/>
  <c r="M109" i="12"/>
  <c r="M110" i="12"/>
  <c r="M102" i="12"/>
  <c r="L103" i="12"/>
  <c r="L104" i="12"/>
  <c r="L105" i="12"/>
  <c r="L106" i="12"/>
  <c r="L107" i="12"/>
  <c r="L108" i="12"/>
  <c r="L109" i="12"/>
  <c r="L110" i="12"/>
  <c r="L102" i="12"/>
  <c r="M92" i="12"/>
  <c r="M93" i="12"/>
  <c r="M94" i="12"/>
  <c r="M95" i="12"/>
  <c r="M96" i="12"/>
  <c r="M97" i="12"/>
  <c r="M98" i="12"/>
  <c r="M99" i="12"/>
  <c r="M91" i="12"/>
  <c r="L92" i="12"/>
  <c r="L93" i="12"/>
  <c r="L94" i="12"/>
  <c r="L95" i="12"/>
  <c r="L96" i="12"/>
  <c r="L97" i="12"/>
  <c r="L98" i="12"/>
  <c r="L99" i="12"/>
  <c r="L91" i="12"/>
  <c r="M81" i="12"/>
  <c r="M82" i="12"/>
  <c r="M83" i="12"/>
  <c r="M84" i="12"/>
  <c r="M85" i="12"/>
  <c r="M86" i="12"/>
  <c r="M87" i="12"/>
  <c r="M88" i="12"/>
  <c r="M80" i="12"/>
  <c r="L81" i="12"/>
  <c r="L82" i="12"/>
  <c r="L83" i="12"/>
  <c r="L84" i="12"/>
  <c r="L85" i="12"/>
  <c r="L86" i="12"/>
  <c r="L87" i="12"/>
  <c r="L88" i="12"/>
  <c r="L80" i="12"/>
  <c r="L78" i="12"/>
  <c r="M78" i="12"/>
  <c r="M70" i="12"/>
  <c r="M71" i="12"/>
  <c r="M72" i="12"/>
  <c r="M73" i="12"/>
  <c r="M74" i="12"/>
  <c r="M75" i="12"/>
  <c r="M76" i="12"/>
  <c r="M77" i="12"/>
  <c r="M69" i="12"/>
  <c r="L70" i="12"/>
  <c r="L71" i="12"/>
  <c r="L72" i="12"/>
  <c r="L73" i="12"/>
  <c r="L74" i="12"/>
  <c r="L75" i="12"/>
  <c r="L76" i="12"/>
  <c r="L77" i="12"/>
  <c r="L69" i="12"/>
  <c r="L67" i="12"/>
  <c r="M67" i="12"/>
  <c r="M59" i="12"/>
  <c r="M60" i="12"/>
  <c r="M61" i="12"/>
  <c r="M62" i="12"/>
  <c r="M63" i="12"/>
  <c r="M64" i="12"/>
  <c r="M65" i="12"/>
  <c r="M66" i="12"/>
  <c r="M58" i="12"/>
  <c r="L59" i="12"/>
  <c r="L60" i="12"/>
  <c r="L61" i="12"/>
  <c r="L62" i="12"/>
  <c r="L63" i="12"/>
  <c r="L64" i="12"/>
  <c r="L65" i="12"/>
  <c r="L66" i="12"/>
  <c r="L58" i="12"/>
  <c r="L56" i="12"/>
  <c r="M56" i="12"/>
  <c r="M48" i="12"/>
  <c r="M49" i="12"/>
  <c r="M50" i="12"/>
  <c r="M51" i="12"/>
  <c r="M52" i="12"/>
  <c r="M53" i="12"/>
  <c r="M54" i="12"/>
  <c r="M55" i="12"/>
  <c r="M47" i="12"/>
  <c r="L48" i="12"/>
  <c r="L49" i="12"/>
  <c r="L50" i="12"/>
  <c r="L51" i="12"/>
  <c r="L52" i="12"/>
  <c r="L53" i="12"/>
  <c r="L54" i="12"/>
  <c r="L55" i="12"/>
  <c r="L47" i="12"/>
  <c r="L45" i="12"/>
  <c r="M45" i="12"/>
  <c r="M44" i="12"/>
  <c r="M37" i="12"/>
  <c r="M38" i="12"/>
  <c r="M39" i="12"/>
  <c r="M40" i="12"/>
  <c r="M41" i="12"/>
  <c r="M42" i="12"/>
  <c r="M43" i="12"/>
  <c r="M36" i="12"/>
  <c r="L37" i="12"/>
  <c r="L38" i="12"/>
  <c r="L39" i="12"/>
  <c r="L40" i="12"/>
  <c r="L41" i="12"/>
  <c r="L42" i="12"/>
  <c r="L43" i="12"/>
  <c r="L44" i="12"/>
  <c r="L36" i="12"/>
  <c r="L34" i="12"/>
  <c r="M34" i="12"/>
  <c r="M26" i="12"/>
  <c r="M27" i="12"/>
  <c r="M28" i="12"/>
  <c r="M29" i="12"/>
  <c r="M30" i="12"/>
  <c r="M31" i="12"/>
  <c r="M32" i="12"/>
  <c r="M33" i="12"/>
  <c r="M25" i="12"/>
  <c r="L26" i="12"/>
  <c r="L27" i="12"/>
  <c r="L28" i="12"/>
  <c r="L29" i="12"/>
  <c r="L30" i="12"/>
  <c r="L31" i="12"/>
  <c r="L32" i="12"/>
  <c r="L33" i="12"/>
  <c r="L25" i="12"/>
  <c r="L23" i="12"/>
  <c r="M23" i="12"/>
  <c r="M15" i="12"/>
  <c r="M16" i="12"/>
  <c r="M17" i="12"/>
  <c r="M18" i="12"/>
  <c r="M19" i="12"/>
  <c r="M20" i="12"/>
  <c r="M21" i="12"/>
  <c r="M22" i="12"/>
  <c r="M14" i="12"/>
  <c r="L15" i="12"/>
  <c r="L16" i="12"/>
  <c r="L17" i="12"/>
  <c r="L18" i="12"/>
  <c r="L19" i="12"/>
  <c r="L20" i="12"/>
  <c r="L21" i="12"/>
  <c r="L22" i="12"/>
  <c r="L14" i="12"/>
  <c r="M4" i="12"/>
  <c r="M5" i="12"/>
  <c r="M6" i="12"/>
  <c r="M7" i="12"/>
  <c r="M8" i="12"/>
  <c r="M9" i="12"/>
  <c r="M10" i="12"/>
  <c r="M11" i="12"/>
  <c r="M3" i="12"/>
  <c r="L12" i="12"/>
  <c r="L4" i="12"/>
  <c r="L5" i="12"/>
  <c r="L6" i="12"/>
  <c r="L7" i="12"/>
  <c r="L8" i="12"/>
  <c r="L9" i="12"/>
  <c r="L10" i="12"/>
  <c r="L11" i="12"/>
  <c r="L3" i="12"/>
  <c r="H45" i="12"/>
  <c r="H34" i="12"/>
  <c r="H23" i="12"/>
  <c r="H12" i="12"/>
  <c r="E12" i="12"/>
  <c r="K125" i="12" a="1"/>
  <c r="K125" i="12" s="1"/>
  <c r="K126" i="12" a="1"/>
  <c r="K126" i="12" s="1"/>
  <c r="K127" i="12" a="1"/>
  <c r="K127" i="12" s="1"/>
  <c r="K128" i="12" a="1"/>
  <c r="K128" i="12" s="1"/>
  <c r="K129" i="12" a="1"/>
  <c r="K129" i="12" s="1"/>
  <c r="K130" i="12" a="1"/>
  <c r="K130" i="12" s="1"/>
  <c r="K131" i="12" a="1"/>
  <c r="K131" i="12" s="1"/>
  <c r="K132" i="12" a="1"/>
  <c r="K132" i="12" s="1"/>
  <c r="K124" i="12" a="1"/>
  <c r="K124" i="12" s="1"/>
  <c r="K115" i="12" a="1"/>
  <c r="K115" i="12" s="1"/>
  <c r="K116" i="12" a="1"/>
  <c r="K116" i="12" s="1"/>
  <c r="K117" i="12" a="1"/>
  <c r="K117" i="12" s="1"/>
  <c r="K118" i="12" a="1"/>
  <c r="K118" i="12" s="1"/>
  <c r="K119" i="12" a="1"/>
  <c r="K119" i="12" s="1"/>
  <c r="K120" i="12" a="1"/>
  <c r="K120" i="12" s="1"/>
  <c r="K121" i="12" a="1"/>
  <c r="K121" i="12" s="1"/>
  <c r="K114" i="12" a="1"/>
  <c r="K114" i="12" s="1"/>
  <c r="K113" i="12" a="1"/>
  <c r="K113" i="12" s="1"/>
  <c r="K106" i="12" a="1"/>
  <c r="K106" i="12" s="1"/>
  <c r="K107" i="12" a="1"/>
  <c r="K107" i="12" s="1"/>
  <c r="K108" i="12" a="1"/>
  <c r="K108" i="12" s="1"/>
  <c r="K109" i="12" a="1"/>
  <c r="K109" i="12" s="1"/>
  <c r="K110" i="12" a="1"/>
  <c r="K110" i="12" s="1"/>
  <c r="K105" i="12" a="1"/>
  <c r="K105" i="12" s="1"/>
  <c r="K104" i="12" a="1"/>
  <c r="K104" i="12" s="1"/>
  <c r="K103" i="12" a="1"/>
  <c r="K103" i="12" s="1"/>
  <c r="K102" i="12" a="1"/>
  <c r="K102" i="12" s="1"/>
  <c r="K92" i="12" a="1"/>
  <c r="K92" i="12" s="1"/>
  <c r="K93" i="12" a="1"/>
  <c r="K93" i="12" s="1"/>
  <c r="K94" i="12" a="1"/>
  <c r="K94" i="12" s="1"/>
  <c r="K95" i="12" a="1"/>
  <c r="K95" i="12" s="1"/>
  <c r="K96" i="12" a="1"/>
  <c r="K96" i="12" s="1"/>
  <c r="K97" i="12" a="1"/>
  <c r="K97" i="12" s="1"/>
  <c r="K98" i="12" a="1"/>
  <c r="K98" i="12" s="1"/>
  <c r="K99" i="12" a="1"/>
  <c r="K99" i="12" s="1"/>
  <c r="K91" i="12" a="1"/>
  <c r="K91" i="12" s="1"/>
  <c r="K81" i="12" a="1"/>
  <c r="K81" i="12" s="1"/>
  <c r="K82" i="12" a="1"/>
  <c r="K82" i="12" s="1"/>
  <c r="K83" i="12" a="1"/>
  <c r="K83" i="12" s="1"/>
  <c r="K84" i="12" a="1"/>
  <c r="K84" i="12" s="1"/>
  <c r="K85" i="12" a="1"/>
  <c r="K85" i="12" s="1"/>
  <c r="K86" i="12" a="1"/>
  <c r="K86" i="12" s="1"/>
  <c r="K87" i="12" a="1"/>
  <c r="K87" i="12" s="1"/>
  <c r="K88" i="12" a="1"/>
  <c r="K88" i="12" s="1"/>
  <c r="K80" i="12" a="1"/>
  <c r="K80" i="12" s="1"/>
  <c r="K70" i="12" a="1"/>
  <c r="K70" i="12" s="1"/>
  <c r="K71" i="12" a="1"/>
  <c r="K71" i="12" s="1"/>
  <c r="K72" i="12" a="1"/>
  <c r="K72" i="12" s="1"/>
  <c r="K73" i="12" a="1"/>
  <c r="K73" i="12" s="1"/>
  <c r="K74" i="12" a="1"/>
  <c r="K74" i="12" s="1"/>
  <c r="K75" i="12" a="1"/>
  <c r="K75" i="12" s="1"/>
  <c r="K76" i="12" a="1"/>
  <c r="K76" i="12" s="1"/>
  <c r="K77" i="12" a="1"/>
  <c r="K77" i="12" s="1"/>
  <c r="K69" i="12" a="1"/>
  <c r="K69" i="12" s="1"/>
  <c r="K59" i="12" a="1"/>
  <c r="K59" i="12" s="1"/>
  <c r="K60" i="12" a="1"/>
  <c r="K60" i="12" s="1"/>
  <c r="K61" i="12" a="1"/>
  <c r="K61" i="12" s="1"/>
  <c r="K62" i="12" a="1"/>
  <c r="K62" i="12" s="1"/>
  <c r="K63" i="12" a="1"/>
  <c r="K63" i="12" s="1"/>
  <c r="K64" i="12" a="1"/>
  <c r="K64" i="12" s="1"/>
  <c r="K65" i="12" a="1"/>
  <c r="K65" i="12" s="1"/>
  <c r="K66" i="12" a="1"/>
  <c r="K66" i="12" s="1"/>
  <c r="K58" i="12" a="1"/>
  <c r="K58" i="12" s="1"/>
  <c r="K48" i="12" a="1"/>
  <c r="K48" i="12" s="1"/>
  <c r="K49" i="12" a="1"/>
  <c r="K49" i="12" s="1"/>
  <c r="K50" i="12" a="1"/>
  <c r="K50" i="12" s="1"/>
  <c r="K51" i="12" a="1"/>
  <c r="K51" i="12" s="1"/>
  <c r="K52" i="12" a="1"/>
  <c r="K52" i="12" s="1"/>
  <c r="K53" i="12" a="1"/>
  <c r="K53" i="12" s="1"/>
  <c r="K54" i="12" a="1"/>
  <c r="K54" i="12" s="1"/>
  <c r="K55" i="12" a="1"/>
  <c r="K55" i="12" s="1"/>
  <c r="K47" i="12" a="1"/>
  <c r="K47" i="12" s="1"/>
  <c r="K37" i="12" a="1"/>
  <c r="K37" i="12" s="1"/>
  <c r="K38" i="12" a="1"/>
  <c r="K38" i="12" s="1"/>
  <c r="K39" i="12" a="1"/>
  <c r="K39" i="12" s="1"/>
  <c r="K40" i="12" a="1"/>
  <c r="K40" i="12" s="1"/>
  <c r="K41" i="12" a="1"/>
  <c r="K41" i="12" s="1"/>
  <c r="K42" i="12" a="1"/>
  <c r="K42" i="12" s="1"/>
  <c r="K43" i="12" a="1"/>
  <c r="K43" i="12" s="1"/>
  <c r="K44" i="12" a="1"/>
  <c r="K44" i="12" s="1"/>
  <c r="K36" i="12" a="1"/>
  <c r="K36" i="12" s="1"/>
  <c r="K26" i="12" a="1"/>
  <c r="K26" i="12" s="1"/>
  <c r="K27" i="12" a="1"/>
  <c r="K27" i="12" s="1"/>
  <c r="K28" i="12" a="1"/>
  <c r="K28" i="12" s="1"/>
  <c r="K29" i="12" a="1"/>
  <c r="K29" i="12" s="1"/>
  <c r="K30" i="12" a="1"/>
  <c r="K30" i="12" s="1"/>
  <c r="K31" i="12" a="1"/>
  <c r="K31" i="12" s="1"/>
  <c r="K32" i="12" a="1"/>
  <c r="K32" i="12" s="1"/>
  <c r="K33" i="12" a="1"/>
  <c r="K33" i="12" s="1"/>
  <c r="K25" i="12" a="1"/>
  <c r="K25" i="12" s="1"/>
  <c r="K15" i="12" a="1"/>
  <c r="K15" i="12" s="1"/>
  <c r="K16" i="12" a="1"/>
  <c r="K16" i="12" s="1"/>
  <c r="K17" i="12" a="1"/>
  <c r="K17" i="12" s="1"/>
  <c r="K18" i="12" a="1"/>
  <c r="K18" i="12" s="1"/>
  <c r="K19" i="12" a="1"/>
  <c r="K19" i="12" s="1"/>
  <c r="K20" i="12" a="1"/>
  <c r="K20" i="12" s="1"/>
  <c r="K21" i="12" a="1"/>
  <c r="K21" i="12" s="1"/>
  <c r="K22" i="12" a="1"/>
  <c r="K22" i="12" s="1"/>
  <c r="K23" i="12" s="1"/>
  <c r="K14" i="12" a="1"/>
  <c r="K14" i="12" s="1"/>
  <c r="K4" i="12" a="1"/>
  <c r="K4" i="12" s="1"/>
  <c r="K5" i="12" a="1"/>
  <c r="K5" i="12" s="1"/>
  <c r="K6" i="12" a="1"/>
  <c r="K6" i="12" s="1"/>
  <c r="K7" i="12" a="1"/>
  <c r="K7" i="12" s="1"/>
  <c r="K8" i="12" a="1"/>
  <c r="K8" i="12" s="1"/>
  <c r="K9" i="12" a="1"/>
  <c r="K9" i="12" s="1"/>
  <c r="K10" i="12" a="1"/>
  <c r="K10" i="12" s="1"/>
  <c r="K11" i="12" a="1"/>
  <c r="K11" i="12" s="1"/>
  <c r="K3" i="12" a="1"/>
  <c r="K3" i="12" s="1"/>
  <c r="I3" i="12" a="1"/>
  <c r="I3" i="12" s="1"/>
  <c r="I125" i="12" a="1"/>
  <c r="I125" i="12" s="1"/>
  <c r="I126" i="12" a="1"/>
  <c r="I126" i="12" s="1"/>
  <c r="I127" i="12" a="1"/>
  <c r="I127" i="12" s="1"/>
  <c r="I128" i="12" a="1"/>
  <c r="I128" i="12" s="1"/>
  <c r="I129" i="12" a="1"/>
  <c r="I129" i="12" s="1"/>
  <c r="I130" i="12" a="1"/>
  <c r="I130" i="12" s="1"/>
  <c r="I131" i="12" a="1"/>
  <c r="I131" i="12" s="1"/>
  <c r="I132" i="12" a="1"/>
  <c r="I132" i="12" s="1"/>
  <c r="I124" i="12" a="1"/>
  <c r="I124" i="12" s="1"/>
  <c r="I114" i="12" a="1"/>
  <c r="I114" i="12" s="1"/>
  <c r="I115" i="12" a="1"/>
  <c r="I115" i="12" s="1"/>
  <c r="I116" i="12" a="1"/>
  <c r="I116" i="12" s="1"/>
  <c r="I117" i="12" a="1"/>
  <c r="I117" i="12" s="1"/>
  <c r="I118" i="12" a="1"/>
  <c r="I118" i="12" s="1"/>
  <c r="I119" i="12" a="1"/>
  <c r="I119" i="12" s="1"/>
  <c r="I120" i="12" a="1"/>
  <c r="I120" i="12" s="1"/>
  <c r="I121" i="12" a="1"/>
  <c r="I121" i="12" s="1"/>
  <c r="I113" i="12" a="1"/>
  <c r="I113" i="12" s="1"/>
  <c r="I106" i="12" a="1"/>
  <c r="I106" i="12" s="1"/>
  <c r="I107" i="12" a="1"/>
  <c r="I107" i="12" s="1"/>
  <c r="I108" i="12" a="1"/>
  <c r="I108" i="12" s="1"/>
  <c r="I109" i="12" a="1"/>
  <c r="I109" i="12" s="1"/>
  <c r="I110" i="12" a="1"/>
  <c r="I110" i="12" s="1"/>
  <c r="I105" i="12" a="1"/>
  <c r="I105" i="12" s="1"/>
  <c r="I104" i="12" a="1"/>
  <c r="I104" i="12" s="1"/>
  <c r="I103" i="12" a="1"/>
  <c r="I103" i="12" s="1"/>
  <c r="I102" i="12" a="1"/>
  <c r="I102" i="12" s="1"/>
  <c r="I95" i="12" a="1"/>
  <c r="I95" i="12" s="1"/>
  <c r="I96" i="12" a="1"/>
  <c r="I96" i="12" s="1"/>
  <c r="I97" i="12" a="1"/>
  <c r="I97" i="12" s="1"/>
  <c r="I98" i="12" a="1"/>
  <c r="I98" i="12" s="1"/>
  <c r="I99" i="12" a="1"/>
  <c r="I99" i="12" s="1"/>
  <c r="I94" i="12" a="1"/>
  <c r="I94" i="12" s="1"/>
  <c r="I93" i="12" a="1"/>
  <c r="I93" i="12" s="1"/>
  <c r="I92" i="12" a="1"/>
  <c r="I92" i="12" s="1"/>
  <c r="I91" i="12" a="1"/>
  <c r="I91" i="12" s="1"/>
  <c r="I81" i="12" a="1"/>
  <c r="I81" i="12" s="1"/>
  <c r="I82" i="12" a="1"/>
  <c r="I82" i="12" s="1"/>
  <c r="I83" i="12" a="1"/>
  <c r="I83" i="12" s="1"/>
  <c r="I84" i="12" a="1"/>
  <c r="I84" i="12" s="1"/>
  <c r="I85" i="12" a="1"/>
  <c r="I85" i="12" s="1"/>
  <c r="I86" i="12" a="1"/>
  <c r="I86" i="12" s="1"/>
  <c r="I87" i="12" a="1"/>
  <c r="I87" i="12" s="1"/>
  <c r="I88" i="12" a="1"/>
  <c r="I88" i="12" s="1"/>
  <c r="I80" i="12" a="1"/>
  <c r="I80" i="12" s="1"/>
  <c r="I70" i="12" a="1"/>
  <c r="I70" i="12" s="1"/>
  <c r="I71" i="12" a="1"/>
  <c r="I71" i="12" s="1"/>
  <c r="I72" i="12" a="1"/>
  <c r="I72" i="12" s="1"/>
  <c r="I73" i="12" a="1"/>
  <c r="I73" i="12" s="1"/>
  <c r="I74" i="12" a="1"/>
  <c r="I74" i="12" s="1"/>
  <c r="I75" i="12" a="1"/>
  <c r="I75" i="12" s="1"/>
  <c r="I76" i="12" a="1"/>
  <c r="I76" i="12" s="1"/>
  <c r="I77" i="12" a="1"/>
  <c r="I77" i="12" s="1"/>
  <c r="I69" i="12" a="1"/>
  <c r="I69" i="12" s="1"/>
  <c r="I59" i="12" a="1"/>
  <c r="I59" i="12" s="1"/>
  <c r="I60" i="12" a="1"/>
  <c r="I60" i="12" s="1"/>
  <c r="I61" i="12" a="1"/>
  <c r="I61" i="12" s="1"/>
  <c r="I62" i="12" a="1"/>
  <c r="I62" i="12" s="1"/>
  <c r="I63" i="12" a="1"/>
  <c r="I63" i="12" s="1"/>
  <c r="I64" i="12" a="1"/>
  <c r="I64" i="12" s="1"/>
  <c r="I65" i="12" a="1"/>
  <c r="I65" i="12" s="1"/>
  <c r="I66" i="12" a="1"/>
  <c r="I66" i="12" s="1"/>
  <c r="I58" i="12" a="1"/>
  <c r="I58" i="12" s="1"/>
  <c r="I48" i="12" a="1"/>
  <c r="I48" i="12" s="1"/>
  <c r="I49" i="12" a="1"/>
  <c r="I49" i="12" s="1"/>
  <c r="I50" i="12" a="1"/>
  <c r="I50" i="12" s="1"/>
  <c r="I51" i="12" a="1"/>
  <c r="I51" i="12" s="1"/>
  <c r="I52" i="12" a="1"/>
  <c r="I52" i="12" s="1"/>
  <c r="I53" i="12" a="1"/>
  <c r="I53" i="12" s="1"/>
  <c r="I54" i="12" a="1"/>
  <c r="I54" i="12" s="1"/>
  <c r="I55" i="12" a="1"/>
  <c r="I55" i="12" s="1"/>
  <c r="I47" i="12" a="1"/>
  <c r="I47" i="12" s="1"/>
  <c r="I37" i="12" a="1"/>
  <c r="I37" i="12" s="1"/>
  <c r="I38" i="12" a="1"/>
  <c r="I38" i="12" s="1"/>
  <c r="I39" i="12" a="1"/>
  <c r="I39" i="12" s="1"/>
  <c r="I40" i="12" a="1"/>
  <c r="I40" i="12" s="1"/>
  <c r="I41" i="12" a="1"/>
  <c r="I41" i="12" s="1"/>
  <c r="I42" i="12" a="1"/>
  <c r="I42" i="12" s="1"/>
  <c r="I43" i="12" a="1"/>
  <c r="I43" i="12" s="1"/>
  <c r="I44" i="12" a="1"/>
  <c r="I44" i="12" s="1"/>
  <c r="I36" i="12" a="1"/>
  <c r="I36" i="12" s="1"/>
  <c r="I27" i="12" a="1"/>
  <c r="I27" i="12" s="1"/>
  <c r="I28" i="12" a="1"/>
  <c r="I28" i="12" s="1"/>
  <c r="I29" i="12" a="1"/>
  <c r="I29" i="12" s="1"/>
  <c r="I30" i="12" a="1"/>
  <c r="I30" i="12" s="1"/>
  <c r="I31" i="12" a="1"/>
  <c r="I31" i="12" s="1"/>
  <c r="I32" i="12" a="1"/>
  <c r="I32" i="12" s="1"/>
  <c r="I33" i="12" a="1"/>
  <c r="I33" i="12" s="1"/>
  <c r="I26" i="12" a="1"/>
  <c r="I26" i="12" s="1"/>
  <c r="I25" i="12" a="1"/>
  <c r="I25" i="12" s="1"/>
  <c r="I15" i="12" a="1"/>
  <c r="I15" i="12" s="1"/>
  <c r="I16" i="12" a="1"/>
  <c r="I16" i="12" s="1"/>
  <c r="I17" i="12" a="1"/>
  <c r="I17" i="12" s="1"/>
  <c r="I18" i="12" a="1"/>
  <c r="I18" i="12" s="1"/>
  <c r="I19" i="12" a="1"/>
  <c r="I19" i="12" s="1"/>
  <c r="I20" i="12" a="1"/>
  <c r="I20" i="12" s="1"/>
  <c r="I21" i="12" a="1"/>
  <c r="I21" i="12" s="1"/>
  <c r="I22" i="12" a="1"/>
  <c r="I22" i="12" s="1"/>
  <c r="I14" i="12" a="1"/>
  <c r="I14" i="12"/>
  <c r="I4" i="12" a="1"/>
  <c r="I4" i="12" s="1"/>
  <c r="I5" i="12" a="1"/>
  <c r="I5" i="12" s="1"/>
  <c r="I6" i="12" a="1"/>
  <c r="I6" i="12" s="1"/>
  <c r="I7" i="12" a="1"/>
  <c r="I7" i="12" s="1"/>
  <c r="I8" i="12" a="1"/>
  <c r="I8" i="12" s="1"/>
  <c r="I9" i="12" a="1"/>
  <c r="I9" i="12" s="1"/>
  <c r="I10" i="12" a="1"/>
  <c r="I10" i="12" s="1"/>
  <c r="I11" i="12" a="1"/>
  <c r="I11" i="12" s="1"/>
  <c r="J125" i="12" a="1"/>
  <c r="J125" i="12" s="1"/>
  <c r="J126" i="12" a="1"/>
  <c r="J126" i="12" s="1"/>
  <c r="J127" i="12" a="1"/>
  <c r="J127" i="12" s="1"/>
  <c r="J128" i="12" a="1"/>
  <c r="J128" i="12" s="1"/>
  <c r="J129" i="12" a="1"/>
  <c r="J129" i="12" s="1"/>
  <c r="J130" i="12" a="1"/>
  <c r="J130" i="12" s="1"/>
  <c r="J131" i="12" a="1"/>
  <c r="J131" i="12" s="1"/>
  <c r="J132" i="12" a="1"/>
  <c r="J132" i="12" s="1"/>
  <c r="J124" i="12" a="1"/>
  <c r="J124" i="12" s="1"/>
  <c r="J115" i="12" a="1"/>
  <c r="J115" i="12" s="1"/>
  <c r="J116" i="12" a="1"/>
  <c r="J116" i="12" s="1"/>
  <c r="J117" i="12" a="1"/>
  <c r="J117" i="12" s="1"/>
  <c r="J118" i="12" a="1"/>
  <c r="J118" i="12" s="1"/>
  <c r="J119" i="12" a="1"/>
  <c r="J119" i="12" s="1"/>
  <c r="J120" i="12" a="1"/>
  <c r="J120" i="12" s="1"/>
  <c r="J121" i="12" a="1"/>
  <c r="J121" i="12" s="1"/>
  <c r="J114" i="12" a="1"/>
  <c r="J114" i="12" s="1"/>
  <c r="J113" i="12" a="1"/>
  <c r="J113" i="12" s="1"/>
  <c r="J106" i="12" a="1"/>
  <c r="J106" i="12" s="1"/>
  <c r="J107" i="12" a="1"/>
  <c r="J107" i="12" s="1"/>
  <c r="J108" i="12" a="1"/>
  <c r="J108" i="12" s="1"/>
  <c r="J109" i="12" a="1"/>
  <c r="J109" i="12" s="1"/>
  <c r="J110" i="12" a="1"/>
  <c r="J110" i="12" s="1"/>
  <c r="J105" i="12" a="1"/>
  <c r="J105" i="12" s="1"/>
  <c r="J104" i="12" a="1"/>
  <c r="J104" i="12" s="1"/>
  <c r="J103" i="12" a="1"/>
  <c r="J103" i="12" s="1"/>
  <c r="J102" i="12" a="1"/>
  <c r="J102" i="12" s="1"/>
  <c r="J93" i="12" a="1"/>
  <c r="J93" i="12" s="1"/>
  <c r="J94" i="12" a="1"/>
  <c r="J94" i="12" s="1"/>
  <c r="J95" i="12" a="1"/>
  <c r="J95" i="12" s="1"/>
  <c r="J96" i="12" a="1"/>
  <c r="J96" i="12" s="1"/>
  <c r="J97" i="12" a="1"/>
  <c r="J97" i="12" s="1"/>
  <c r="J98" i="12" a="1"/>
  <c r="J98" i="12" s="1"/>
  <c r="J99" i="12" a="1"/>
  <c r="J99" i="12" s="1"/>
  <c r="J92" i="12" a="1"/>
  <c r="J92" i="12" s="1"/>
  <c r="J91" i="12" a="1"/>
  <c r="J91" i="12" s="1"/>
  <c r="J81" i="12" a="1"/>
  <c r="J81" i="12" s="1"/>
  <c r="J82" i="12" a="1"/>
  <c r="J82" i="12" s="1"/>
  <c r="J83" i="12" a="1"/>
  <c r="J83" i="12" s="1"/>
  <c r="J84" i="12" a="1"/>
  <c r="J84" i="12" s="1"/>
  <c r="J85" i="12" a="1"/>
  <c r="J85" i="12" s="1"/>
  <c r="J86" i="12" a="1"/>
  <c r="J86" i="12" s="1"/>
  <c r="J87" i="12" a="1"/>
  <c r="J87" i="12" s="1"/>
  <c r="J88" i="12" a="1"/>
  <c r="J88" i="12" s="1"/>
  <c r="J80" i="12" a="1"/>
  <c r="J80" i="12" s="1"/>
  <c r="J70" i="12" a="1"/>
  <c r="J70" i="12" s="1"/>
  <c r="J71" i="12" a="1"/>
  <c r="J71" i="12" s="1"/>
  <c r="J72" i="12" a="1"/>
  <c r="J72" i="12" s="1"/>
  <c r="J73" i="12" a="1"/>
  <c r="J73" i="12" s="1"/>
  <c r="J74" i="12" a="1"/>
  <c r="J74" i="12" s="1"/>
  <c r="J75" i="12" a="1"/>
  <c r="J75" i="12" s="1"/>
  <c r="J76" i="12" a="1"/>
  <c r="J76" i="12" s="1"/>
  <c r="J77" i="12" a="1"/>
  <c r="J77" i="12" s="1"/>
  <c r="J69" i="12" a="1"/>
  <c r="J69" i="12" s="1"/>
  <c r="J59" i="12" a="1"/>
  <c r="J59" i="12" s="1"/>
  <c r="J60" i="12" a="1"/>
  <c r="J60" i="12" s="1"/>
  <c r="J61" i="12" a="1"/>
  <c r="J61" i="12" s="1"/>
  <c r="J62" i="12" a="1"/>
  <c r="J62" i="12" s="1"/>
  <c r="J63" i="12" a="1"/>
  <c r="J63" i="12" s="1"/>
  <c r="J64" i="12" a="1"/>
  <c r="J64" i="12" s="1"/>
  <c r="J65" i="12" a="1"/>
  <c r="J65" i="12" s="1"/>
  <c r="J66" i="12" a="1"/>
  <c r="J66" i="12" s="1"/>
  <c r="J58" i="12" a="1"/>
  <c r="J58" i="12" s="1"/>
  <c r="J48" i="12" a="1"/>
  <c r="J48" i="12" s="1"/>
  <c r="J49" i="12" a="1"/>
  <c r="J49" i="12" s="1"/>
  <c r="J50" i="12" a="1"/>
  <c r="J50" i="12" s="1"/>
  <c r="J51" i="12" a="1"/>
  <c r="J51" i="12" s="1"/>
  <c r="J52" i="12" a="1"/>
  <c r="J52" i="12" s="1"/>
  <c r="J53" i="12" a="1"/>
  <c r="J53" i="12" s="1"/>
  <c r="J54" i="12" a="1"/>
  <c r="J54" i="12" s="1"/>
  <c r="J55" i="12" a="1"/>
  <c r="J55" i="12" s="1"/>
  <c r="J47" i="12" a="1"/>
  <c r="J47" i="12" s="1"/>
  <c r="J37" i="12" a="1"/>
  <c r="J37" i="12" s="1"/>
  <c r="J38" i="12" a="1"/>
  <c r="J38" i="12" s="1"/>
  <c r="J39" i="12" a="1"/>
  <c r="J39" i="12" s="1"/>
  <c r="J40" i="12" a="1"/>
  <c r="J40" i="12" s="1"/>
  <c r="J41" i="12" a="1"/>
  <c r="J41" i="12" s="1"/>
  <c r="J42" i="12" a="1"/>
  <c r="J42" i="12" s="1"/>
  <c r="J43" i="12" a="1"/>
  <c r="J43" i="12" s="1"/>
  <c r="J44" i="12" a="1"/>
  <c r="J44" i="12" s="1"/>
  <c r="J36" i="12" a="1"/>
  <c r="J36" i="12" s="1"/>
  <c r="J27" i="12" a="1"/>
  <c r="J27" i="12" s="1"/>
  <c r="J28" i="12" a="1"/>
  <c r="J28" i="12" s="1"/>
  <c r="J29" i="12" a="1"/>
  <c r="J29" i="12" s="1"/>
  <c r="J30" i="12" a="1"/>
  <c r="J30" i="12" s="1"/>
  <c r="J31" i="12" a="1"/>
  <c r="J31" i="12" s="1"/>
  <c r="J32" i="12" a="1"/>
  <c r="J32" i="12" s="1"/>
  <c r="J33" i="12" a="1"/>
  <c r="J33" i="12" s="1"/>
  <c r="J26" i="12" a="1"/>
  <c r="J26" i="12" s="1"/>
  <c r="J25" i="12" a="1"/>
  <c r="J25" i="12" s="1"/>
  <c r="J16" i="12" a="1"/>
  <c r="J16" i="12" s="1"/>
  <c r="J17" i="12" a="1"/>
  <c r="J17" i="12" s="1"/>
  <c r="J18" i="12" a="1"/>
  <c r="J18" i="12" s="1"/>
  <c r="J19" i="12" a="1"/>
  <c r="J19" i="12" s="1"/>
  <c r="J20" i="12" a="1"/>
  <c r="J20" i="12" s="1"/>
  <c r="J21" i="12" a="1"/>
  <c r="J21" i="12" s="1"/>
  <c r="J22" i="12" a="1"/>
  <c r="J22" i="12" s="1"/>
  <c r="J15" i="12" a="1"/>
  <c r="J15" i="12" s="1"/>
  <c r="J14" i="12" a="1"/>
  <c r="J14" i="12" s="1"/>
  <c r="J3" i="12" a="1"/>
  <c r="J3" i="12" s="1"/>
  <c r="J8" i="12" a="1"/>
  <c r="J8" i="12" s="1"/>
  <c r="J9" i="12" a="1"/>
  <c r="J9" i="12" s="1"/>
  <c r="J10" i="12" a="1"/>
  <c r="J10" i="12" s="1"/>
  <c r="J11" i="12" a="1"/>
  <c r="J11" i="12" s="1"/>
  <c r="J7" i="12" a="1"/>
  <c r="J7" i="12" s="1"/>
  <c r="J6" i="12" a="1"/>
  <c r="J6" i="12" s="1"/>
  <c r="J5" i="12" a="1"/>
  <c r="J5" i="12" s="1"/>
  <c r="J4" i="12" a="1"/>
  <c r="J4" i="12" s="1"/>
  <c r="G4" i="12" a="1"/>
  <c r="G4" i="12" s="1"/>
  <c r="F3" i="12" a="1"/>
  <c r="F3" i="12" s="1"/>
  <c r="G3" i="12" a="1"/>
  <c r="G3" i="12" s="1"/>
  <c r="H133" i="12"/>
  <c r="H122" i="12"/>
  <c r="H111" i="12"/>
  <c r="H100" i="12"/>
  <c r="H89" i="12"/>
  <c r="H78" i="12"/>
  <c r="H67" i="12"/>
  <c r="H56" i="12"/>
  <c r="AY16" i="4" l="1"/>
  <c r="AY12" i="4"/>
  <c r="AY10" i="4" s="1"/>
  <c r="AY16" i="3"/>
  <c r="M12" i="12"/>
  <c r="J23" i="12"/>
  <c r="J34" i="12"/>
  <c r="J45" i="12"/>
  <c r="J12" i="12"/>
  <c r="K34" i="12"/>
  <c r="I45" i="12"/>
  <c r="K45" i="12"/>
  <c r="I23" i="12"/>
  <c r="K12" i="12"/>
  <c r="I34" i="12"/>
  <c r="I12" i="12"/>
  <c r="K133" i="12"/>
  <c r="K122" i="12"/>
  <c r="K111" i="12"/>
  <c r="K100" i="12"/>
  <c r="K89" i="12"/>
  <c r="K78" i="12"/>
  <c r="K67" i="12"/>
  <c r="K56" i="12"/>
  <c r="I133" i="12"/>
  <c r="I122" i="12"/>
  <c r="I111" i="12"/>
  <c r="I100" i="12"/>
  <c r="I89" i="12"/>
  <c r="I78" i="12"/>
  <c r="I67" i="12"/>
  <c r="I56" i="12"/>
  <c r="J133" i="12"/>
  <c r="J122" i="12"/>
  <c r="J111" i="12"/>
  <c r="J100" i="12"/>
  <c r="J89" i="12"/>
  <c r="J78" i="12"/>
  <c r="J67" i="12"/>
  <c r="J56" i="12"/>
  <c r="AA53" i="2"/>
  <c r="AA52" i="2"/>
  <c r="AA51" i="2"/>
  <c r="AA50" i="2"/>
  <c r="AA49" i="2"/>
  <c r="AA48" i="2"/>
  <c r="AA47" i="2"/>
  <c r="AA46" i="2"/>
  <c r="AA45" i="2"/>
  <c r="AA44" i="2"/>
  <c r="AA43" i="2"/>
  <c r="AA42" i="2"/>
  <c r="AA37" i="2"/>
  <c r="AA36" i="2"/>
  <c r="AA35" i="2"/>
  <c r="AA34" i="2"/>
  <c r="AA33" i="2"/>
  <c r="AA32" i="2"/>
  <c r="Y5" i="2"/>
  <c r="H176" i="1"/>
  <c r="H175" i="1"/>
  <c r="H174" i="1"/>
  <c r="H171" i="1"/>
  <c r="H170" i="1"/>
  <c r="H168" i="1"/>
  <c r="H167" i="1"/>
  <c r="E176" i="1"/>
  <c r="E175" i="1"/>
  <c r="E174" i="1"/>
  <c r="E171" i="1"/>
  <c r="E170" i="1"/>
  <c r="E168" i="1"/>
  <c r="AY18" i="3" l="1"/>
  <c r="E167" i="1"/>
  <c r="D11" i="16" s="1"/>
  <c r="H166" i="1"/>
  <c r="E166" i="1"/>
  <c r="C166" i="1"/>
  <c r="B166" i="1"/>
  <c r="D110" i="18"/>
  <c r="D109" i="18"/>
  <c r="D108" i="18"/>
  <c r="D106" i="18"/>
  <c r="D99" i="18"/>
  <c r="D97" i="18"/>
  <c r="D91" i="18"/>
  <c r="D90" i="18"/>
  <c r="D88" i="18"/>
  <c r="D82" i="18"/>
  <c r="D81" i="18"/>
  <c r="D79" i="18"/>
  <c r="D74" i="18"/>
  <c r="D73" i="18"/>
  <c r="D72" i="18"/>
  <c r="D70" i="18"/>
  <c r="D65" i="18"/>
  <c r="D64" i="18"/>
  <c r="D63" i="18"/>
  <c r="D61" i="18"/>
  <c r="D56" i="18"/>
  <c r="D55" i="18"/>
  <c r="D54" i="18"/>
  <c r="D52" i="18"/>
  <c r="D46" i="18"/>
  <c r="D100" i="18" s="1"/>
  <c r="D45" i="18"/>
  <c r="D43" i="18"/>
  <c r="D38" i="18"/>
  <c r="D37" i="18"/>
  <c r="D36" i="18"/>
  <c r="D34" i="18"/>
  <c r="D29" i="18"/>
  <c r="D28" i="18"/>
  <c r="D27" i="18"/>
  <c r="D25" i="18"/>
  <c r="D19" i="18"/>
  <c r="D18" i="18"/>
  <c r="D16" i="18"/>
  <c r="D11" i="18"/>
  <c r="D10" i="18"/>
  <c r="D9" i="18"/>
  <c r="D7" i="18"/>
  <c r="D110" i="17"/>
  <c r="D109" i="17"/>
  <c r="D108" i="17"/>
  <c r="D106" i="17"/>
  <c r="D99" i="17"/>
  <c r="D97" i="17"/>
  <c r="D91" i="17"/>
  <c r="D90" i="17"/>
  <c r="D88" i="17"/>
  <c r="D82" i="17"/>
  <c r="D81" i="17"/>
  <c r="D79" i="17"/>
  <c r="D74" i="17"/>
  <c r="D73" i="17"/>
  <c r="D72" i="17"/>
  <c r="D70" i="17"/>
  <c r="D65" i="17"/>
  <c r="D64" i="17"/>
  <c r="D63" i="17"/>
  <c r="D61" i="17"/>
  <c r="D56" i="17"/>
  <c r="D55" i="17"/>
  <c r="D54" i="17"/>
  <c r="D52" i="17"/>
  <c r="D46" i="17"/>
  <c r="D100" i="17" s="1"/>
  <c r="D45" i="17"/>
  <c r="D43" i="17"/>
  <c r="D38" i="17"/>
  <c r="D37" i="17"/>
  <c r="D36" i="17"/>
  <c r="D34" i="17"/>
  <c r="D29" i="17"/>
  <c r="D28" i="17"/>
  <c r="D27" i="17"/>
  <c r="D25" i="17"/>
  <c r="D19" i="17"/>
  <c r="D18" i="17"/>
  <c r="D16" i="17"/>
  <c r="D10" i="17"/>
  <c r="D9" i="17"/>
  <c r="D7" i="17"/>
  <c r="D110" i="16"/>
  <c r="D109" i="16"/>
  <c r="D108" i="16"/>
  <c r="D106" i="16"/>
  <c r="D99" i="16"/>
  <c r="D97" i="16"/>
  <c r="D91" i="16"/>
  <c r="D90" i="16"/>
  <c r="D88" i="16"/>
  <c r="D82" i="16"/>
  <c r="D81" i="16"/>
  <c r="D79" i="16"/>
  <c r="D74" i="16"/>
  <c r="D73" i="16"/>
  <c r="D72" i="16"/>
  <c r="D70" i="16"/>
  <c r="D65" i="16"/>
  <c r="D64" i="16"/>
  <c r="D63" i="16"/>
  <c r="D61" i="16"/>
  <c r="D56" i="16"/>
  <c r="D55" i="16"/>
  <c r="D54" i="16"/>
  <c r="D52" i="16"/>
  <c r="D46" i="16"/>
  <c r="D100" i="16" s="1"/>
  <c r="D45" i="16"/>
  <c r="D43" i="16"/>
  <c r="D38" i="16"/>
  <c r="D37" i="16"/>
  <c r="D36" i="16"/>
  <c r="D34" i="16"/>
  <c r="D29" i="16"/>
  <c r="D28" i="16"/>
  <c r="D27" i="16"/>
  <c r="D25" i="16"/>
  <c r="D21" i="16"/>
  <c r="D20" i="16"/>
  <c r="D19" i="16"/>
  <c r="D18" i="16"/>
  <c r="D17" i="16"/>
  <c r="D16" i="16"/>
  <c r="D15" i="16"/>
  <c r="D13" i="16"/>
  <c r="D10" i="16"/>
  <c r="D9" i="16"/>
  <c r="D7" i="16"/>
  <c r="E133" i="12"/>
  <c r="D133" i="12"/>
  <c r="G132" i="12" a="1"/>
  <c r="G132" i="12" s="1"/>
  <c r="F132" i="12" a="1"/>
  <c r="F132" i="12" s="1"/>
  <c r="G131" i="12" a="1"/>
  <c r="G131" i="12" s="1"/>
  <c r="F168" i="1" s="1"/>
  <c r="F131" i="12" a="1"/>
  <c r="F131" i="12" s="1"/>
  <c r="C168" i="1" s="1"/>
  <c r="D168" i="1" s="1" a="1"/>
  <c r="D168" i="1" s="1"/>
  <c r="G130" i="12" a="1"/>
  <c r="G130" i="12" s="1"/>
  <c r="F130" i="12" a="1"/>
  <c r="F130" i="12" s="1"/>
  <c r="G129" i="12" a="1"/>
  <c r="G129" i="12" s="1"/>
  <c r="F129" i="12" a="1"/>
  <c r="F129" i="12" s="1"/>
  <c r="G128" i="12" a="1"/>
  <c r="G128" i="12" s="1"/>
  <c r="F128" i="12" a="1"/>
  <c r="F128" i="12" s="1"/>
  <c r="C108" i="1" s="1"/>
  <c r="G127" i="12" a="1"/>
  <c r="G127" i="12" s="1"/>
  <c r="F88" i="1" s="1"/>
  <c r="F127" i="12" a="1"/>
  <c r="F127" i="12" s="1"/>
  <c r="C88" i="1" s="1"/>
  <c r="G126" i="12" a="1"/>
  <c r="G126" i="12" s="1"/>
  <c r="F126" i="12" a="1"/>
  <c r="F126" i="12" s="1"/>
  <c r="G125" i="12" a="1"/>
  <c r="G125" i="12" s="1"/>
  <c r="F125" i="12" a="1"/>
  <c r="F125" i="12" s="1"/>
  <c r="G124" i="12" a="1"/>
  <c r="G124" i="12" s="1"/>
  <c r="F28" i="1" s="1"/>
  <c r="F124" i="12" a="1"/>
  <c r="F124" i="12" s="1"/>
  <c r="C28" i="1" s="1"/>
  <c r="D28" i="1" s="1" a="1"/>
  <c r="D28" i="1" s="1"/>
  <c r="E122" i="12"/>
  <c r="D122" i="12"/>
  <c r="E111" i="12"/>
  <c r="D111" i="12"/>
  <c r="G110" i="12" a="1"/>
  <c r="G110" i="12" s="1"/>
  <c r="F18" i="1" s="1"/>
  <c r="G18" i="1" s="1" a="1"/>
  <c r="G18" i="1" s="1"/>
  <c r="F110" i="12" a="1"/>
  <c r="F110" i="12" s="1"/>
  <c r="C18" i="1" s="1"/>
  <c r="D18" i="1" s="1" a="1"/>
  <c r="D18" i="1" s="1"/>
  <c r="G109" i="12" a="1"/>
  <c r="G109" i="12" s="1"/>
  <c r="F178" i="1" s="1"/>
  <c r="F109" i="12" a="1"/>
  <c r="F109" i="12" s="1"/>
  <c r="C178" i="1" s="1"/>
  <c r="G108" i="12" a="1"/>
  <c r="G108" i="12" s="1"/>
  <c r="F158" i="1" s="1"/>
  <c r="F108" i="12" a="1"/>
  <c r="F108" i="12" s="1"/>
  <c r="C158" i="1" s="1"/>
  <c r="G107" i="12" a="1"/>
  <c r="G107" i="12" s="1"/>
  <c r="F107" i="12" a="1"/>
  <c r="F107" i="12" s="1"/>
  <c r="C138" i="1" s="1"/>
  <c r="G106" i="12" a="1"/>
  <c r="G106" i="12" s="1"/>
  <c r="F118" i="1" s="1"/>
  <c r="F106" i="12" a="1"/>
  <c r="F106" i="12" s="1"/>
  <c r="C118" i="1" s="1"/>
  <c r="G105" i="12" a="1"/>
  <c r="G105" i="12" s="1"/>
  <c r="F98" i="1" s="1"/>
  <c r="F105" i="12" a="1"/>
  <c r="F105" i="12" s="1"/>
  <c r="C98" i="1" s="1"/>
  <c r="G104" i="12" a="1"/>
  <c r="G104" i="12" s="1"/>
  <c r="F78" i="1" s="1"/>
  <c r="F104" i="12" a="1"/>
  <c r="F104" i="12" s="1"/>
  <c r="C78" i="1" s="1"/>
  <c r="G103" i="12" a="1"/>
  <c r="G103" i="12" s="1"/>
  <c r="F58" i="1" s="1"/>
  <c r="F103" i="12" a="1"/>
  <c r="F103" i="12" s="1"/>
  <c r="C58" i="1" s="1"/>
  <c r="G102" i="12" a="1"/>
  <c r="G102" i="12" s="1"/>
  <c r="F38" i="1" s="1"/>
  <c r="F102" i="12" a="1"/>
  <c r="F102" i="12" s="1"/>
  <c r="C38" i="1" s="1"/>
  <c r="E100" i="12"/>
  <c r="D100" i="12"/>
  <c r="G99" i="12" a="1"/>
  <c r="G99" i="12" s="1"/>
  <c r="F99" i="12" a="1"/>
  <c r="F99" i="12" s="1"/>
  <c r="G98" i="12" a="1"/>
  <c r="G98" i="12" s="1"/>
  <c r="F98" i="12" a="1"/>
  <c r="F98" i="12" s="1"/>
  <c r="G97" i="12" a="1"/>
  <c r="G97" i="12" s="1"/>
  <c r="F97" i="12" a="1"/>
  <c r="F97" i="12" s="1"/>
  <c r="G96" i="12" a="1"/>
  <c r="G96" i="12" s="1"/>
  <c r="F96" i="12" a="1"/>
  <c r="F96" i="12" s="1"/>
  <c r="G95" i="12" a="1"/>
  <c r="G95" i="12" s="1"/>
  <c r="F95" i="12" a="1"/>
  <c r="F95" i="12" s="1"/>
  <c r="G94" i="12" a="1"/>
  <c r="G94" i="12" s="1"/>
  <c r="F94" i="12" a="1"/>
  <c r="F94" i="12" s="1"/>
  <c r="G93" i="12" a="1"/>
  <c r="G93" i="12" s="1"/>
  <c r="F93" i="12" a="1"/>
  <c r="F93" i="12" s="1"/>
  <c r="G92" i="12" a="1"/>
  <c r="G92" i="12" s="1"/>
  <c r="F92" i="12" a="1"/>
  <c r="F92" i="12" s="1"/>
  <c r="G91" i="12" a="1"/>
  <c r="G91" i="12" s="1"/>
  <c r="F91" i="12" a="1"/>
  <c r="F91" i="12" s="1"/>
  <c r="E89" i="12"/>
  <c r="D89" i="12"/>
  <c r="G88" i="12" a="1"/>
  <c r="G88" i="12" s="1"/>
  <c r="F15" i="1" s="1"/>
  <c r="G15" i="1" s="1" a="1"/>
  <c r="G15" i="1" s="1"/>
  <c r="F88" i="12" a="1"/>
  <c r="F88" i="12" s="1"/>
  <c r="C15" i="1" s="1"/>
  <c r="D15" i="1" s="1" a="1"/>
  <c r="D15" i="1" s="1"/>
  <c r="G87" i="12" a="1"/>
  <c r="G87" i="12" s="1"/>
  <c r="F175" i="1" s="1"/>
  <c r="F87" i="12" a="1"/>
  <c r="F87" i="12" s="1"/>
  <c r="C175" i="1" s="1"/>
  <c r="G86" i="12" a="1"/>
  <c r="G86" i="12" s="1"/>
  <c r="F155" i="1" s="1"/>
  <c r="F86" i="12" a="1"/>
  <c r="F86" i="12" s="1"/>
  <c r="C155" i="1" s="1"/>
  <c r="G85" i="12" a="1"/>
  <c r="G85" i="12" s="1"/>
  <c r="F135" i="1" s="1"/>
  <c r="F85" i="12" a="1"/>
  <c r="F85" i="12" s="1"/>
  <c r="C135" i="1" s="1"/>
  <c r="G84" i="12" a="1"/>
  <c r="G84" i="12" s="1"/>
  <c r="F115" i="1" s="1"/>
  <c r="F84" i="12" a="1"/>
  <c r="F84" i="12" s="1"/>
  <c r="C115" i="1" s="1"/>
  <c r="D115" i="1" s="1" a="1"/>
  <c r="D115" i="1" s="1"/>
  <c r="G83" i="12" a="1"/>
  <c r="G83" i="12" s="1"/>
  <c r="F95" i="1" s="1"/>
  <c r="F83" i="12" a="1"/>
  <c r="F83" i="12" s="1"/>
  <c r="C95" i="1" s="1"/>
  <c r="G82" i="12" a="1"/>
  <c r="G82" i="12" s="1"/>
  <c r="F75" i="1" s="1"/>
  <c r="F82" i="12" a="1"/>
  <c r="F82" i="12" s="1"/>
  <c r="C75" i="1" s="1"/>
  <c r="D75" i="1" s="1" a="1"/>
  <c r="D75" i="1" s="1"/>
  <c r="G81" i="12" a="1"/>
  <c r="G81" i="12" s="1"/>
  <c r="F55" i="1" s="1"/>
  <c r="F81" i="12" a="1"/>
  <c r="F81" i="12" s="1"/>
  <c r="C55" i="1" s="1"/>
  <c r="G80" i="12" a="1"/>
  <c r="G80" i="12" s="1"/>
  <c r="F35" i="1" s="1"/>
  <c r="F80" i="12" a="1"/>
  <c r="F80" i="12" s="1"/>
  <c r="C35" i="1" s="1"/>
  <c r="E78" i="12"/>
  <c r="D78" i="12"/>
  <c r="G77" i="12" a="1"/>
  <c r="G77" i="12" s="1"/>
  <c r="F14" i="1" s="1"/>
  <c r="G14" i="1" s="1" a="1"/>
  <c r="G14" i="1" s="1"/>
  <c r="F77" i="12" a="1"/>
  <c r="F77" i="12" s="1"/>
  <c r="C14" i="1" s="1"/>
  <c r="C13" i="1" s="1"/>
  <c r="G76" i="12" a="1"/>
  <c r="G76" i="12" s="1"/>
  <c r="F174" i="1" s="1"/>
  <c r="G174" i="1" s="1" a="1"/>
  <c r="G174" i="1" s="1"/>
  <c r="F76" i="12" a="1"/>
  <c r="F76" i="12" s="1"/>
  <c r="C174" i="1" s="1"/>
  <c r="D174" i="1" s="1" a="1"/>
  <c r="D174" i="1" s="1"/>
  <c r="G75" i="12" a="1"/>
  <c r="G75" i="12" s="1"/>
  <c r="F154" i="1" s="1"/>
  <c r="F75" i="12" a="1"/>
  <c r="F75" i="12" s="1"/>
  <c r="C154" i="1" s="1"/>
  <c r="G74" i="12" a="1"/>
  <c r="G74" i="12" s="1"/>
  <c r="F134" i="1" s="1"/>
  <c r="F74" i="12" a="1"/>
  <c r="F74" i="12" s="1"/>
  <c r="C134" i="1" s="1"/>
  <c r="D134" i="1" s="1" a="1"/>
  <c r="D134" i="1" s="1"/>
  <c r="G73" i="12" a="1"/>
  <c r="G73" i="12" s="1"/>
  <c r="F114" i="1" s="1"/>
  <c r="F73" i="12" a="1"/>
  <c r="F73" i="12" s="1"/>
  <c r="C114" i="1" s="1"/>
  <c r="C113" i="1" s="1"/>
  <c r="G72" i="12" a="1"/>
  <c r="G72" i="12" s="1"/>
  <c r="F94" i="1" s="1"/>
  <c r="F72" i="12" a="1"/>
  <c r="F72" i="12" s="1"/>
  <c r="C94" i="1" s="1"/>
  <c r="G71" i="12" a="1"/>
  <c r="G71" i="12" s="1"/>
  <c r="F74" i="1" s="1"/>
  <c r="F71" i="12" a="1"/>
  <c r="F71" i="12" s="1"/>
  <c r="C74" i="1" s="1"/>
  <c r="G70" i="12" a="1"/>
  <c r="G70" i="12" s="1"/>
  <c r="F54" i="1" s="1"/>
  <c r="F70" i="12" a="1"/>
  <c r="F70" i="12" s="1"/>
  <c r="C54" i="1" s="1"/>
  <c r="G69" i="12" a="1"/>
  <c r="G69" i="12" s="1"/>
  <c r="F34" i="1" s="1"/>
  <c r="F69" i="12" a="1"/>
  <c r="F69" i="12" s="1"/>
  <c r="C34" i="1" s="1"/>
  <c r="E67" i="12"/>
  <c r="D67" i="12"/>
  <c r="G66" i="12" a="1"/>
  <c r="G66" i="12" s="1"/>
  <c r="F16" i="1" s="1"/>
  <c r="G16" i="1" s="1" a="1"/>
  <c r="G16" i="1" s="1"/>
  <c r="F66" i="12" a="1"/>
  <c r="F66" i="12" s="1"/>
  <c r="C16" i="1" s="1"/>
  <c r="D16" i="1" s="1" a="1"/>
  <c r="D16" i="1" s="1"/>
  <c r="G65" i="12" a="1"/>
  <c r="G65" i="12" s="1"/>
  <c r="F176" i="1" s="1"/>
  <c r="F65" i="12" a="1"/>
  <c r="F65" i="12" s="1"/>
  <c r="C176" i="1" s="1"/>
  <c r="D176" i="1" s="1" a="1"/>
  <c r="D176" i="1" s="1"/>
  <c r="G64" i="12" a="1"/>
  <c r="G64" i="12" s="1"/>
  <c r="F156" i="1" s="1"/>
  <c r="F64" i="12" a="1"/>
  <c r="F64" i="12" s="1"/>
  <c r="C156" i="1" s="1"/>
  <c r="G63" i="12" a="1"/>
  <c r="G63" i="12" s="1"/>
  <c r="F136" i="1" s="1"/>
  <c r="F63" i="12" a="1"/>
  <c r="F63" i="12" s="1"/>
  <c r="C136" i="1" s="1"/>
  <c r="G62" i="12" a="1"/>
  <c r="G62" i="12" s="1"/>
  <c r="F116" i="1" s="1"/>
  <c r="F62" i="12" a="1"/>
  <c r="F62" i="12" s="1"/>
  <c r="C116" i="1" s="1"/>
  <c r="D116" i="1" s="1" a="1"/>
  <c r="D116" i="1" s="1"/>
  <c r="G61" i="12" a="1"/>
  <c r="G61" i="12" s="1"/>
  <c r="F96" i="1" s="1"/>
  <c r="F61" i="12" a="1"/>
  <c r="F61" i="12" s="1"/>
  <c r="C96" i="1" s="1"/>
  <c r="G60" i="12" a="1"/>
  <c r="G60" i="12" s="1"/>
  <c r="F76" i="1" s="1"/>
  <c r="F60" i="12" a="1"/>
  <c r="F60" i="12" s="1"/>
  <c r="C76" i="1" s="1"/>
  <c r="G59" i="12" a="1"/>
  <c r="G59" i="12" s="1"/>
  <c r="F56" i="1" s="1"/>
  <c r="F59" i="12" a="1"/>
  <c r="F59" i="12" s="1"/>
  <c r="C56" i="1" s="1"/>
  <c r="G58" i="12" a="1"/>
  <c r="G58" i="12" s="1"/>
  <c r="F36" i="1" s="1"/>
  <c r="F58" i="12" a="1"/>
  <c r="F58" i="12" s="1"/>
  <c r="C36" i="1" s="1"/>
  <c r="E56" i="12"/>
  <c r="D56" i="12"/>
  <c r="G55" i="12" a="1"/>
  <c r="G55" i="12" s="1"/>
  <c r="F55" i="12" a="1"/>
  <c r="F55" i="12" s="1"/>
  <c r="G54" i="12" a="1"/>
  <c r="G54" i="12" s="1"/>
  <c r="G120" i="12" s="1"/>
  <c r="F54" i="12" a="1"/>
  <c r="F54" i="12" s="1"/>
  <c r="F120" i="12" s="1"/>
  <c r="G53" i="12" a="1"/>
  <c r="G53" i="12" s="1"/>
  <c r="G119" i="12" s="1"/>
  <c r="F53" i="12" a="1"/>
  <c r="F53" i="12" s="1"/>
  <c r="F119" i="12" s="1"/>
  <c r="G52" i="12" a="1"/>
  <c r="G52" i="12" s="1"/>
  <c r="G118" i="12" s="1"/>
  <c r="F52" i="12" a="1"/>
  <c r="F52" i="12" s="1"/>
  <c r="F118" i="12" s="1"/>
  <c r="G51" i="12" a="1"/>
  <c r="G51" i="12" s="1"/>
  <c r="G117" i="12" s="1"/>
  <c r="F51" i="12" a="1"/>
  <c r="F51" i="12" s="1"/>
  <c r="F117" i="12" s="1"/>
  <c r="G50" i="12" a="1"/>
  <c r="G50" i="12" s="1"/>
  <c r="G116" i="12" s="1"/>
  <c r="F50" i="12" a="1"/>
  <c r="F50" i="12" s="1"/>
  <c r="F116" i="12" s="1"/>
  <c r="G49" i="12" a="1"/>
  <c r="G49" i="12" s="1"/>
  <c r="G115" i="12" s="1"/>
  <c r="F49" i="12" a="1"/>
  <c r="F49" i="12" s="1"/>
  <c r="F115" i="12" s="1"/>
  <c r="G48" i="12" a="1"/>
  <c r="G48" i="12" s="1"/>
  <c r="G114" i="12" s="1"/>
  <c r="F48" i="12" a="1"/>
  <c r="F48" i="12" s="1"/>
  <c r="F114" i="12" s="1"/>
  <c r="G47" i="12" a="1"/>
  <c r="G47" i="12" s="1"/>
  <c r="G113" i="12" s="1"/>
  <c r="F47" i="12" a="1"/>
  <c r="F47" i="12" s="1"/>
  <c r="F113" i="12" s="1"/>
  <c r="E45" i="12"/>
  <c r="D45" i="12"/>
  <c r="G44" i="12" a="1"/>
  <c r="G44" i="12" s="1"/>
  <c r="F44" i="12" a="1"/>
  <c r="F44" i="12" s="1"/>
  <c r="G43" i="12" a="1"/>
  <c r="G43" i="12" s="1"/>
  <c r="F43" i="12" a="1"/>
  <c r="F43" i="12" s="1"/>
  <c r="C171" i="1" s="1"/>
  <c r="D171" i="1" s="1" a="1"/>
  <c r="D171" i="1" s="1"/>
  <c r="G42" i="12" a="1"/>
  <c r="G42" i="12" s="1"/>
  <c r="F151" i="1" s="1"/>
  <c r="F42" i="12" a="1"/>
  <c r="F42" i="12" s="1"/>
  <c r="C151" i="1" s="1"/>
  <c r="G41" i="12" a="1"/>
  <c r="G41" i="12" s="1"/>
  <c r="F131" i="1" s="1"/>
  <c r="F41" i="12" a="1"/>
  <c r="F41" i="12" s="1"/>
  <c r="C131" i="1" s="1"/>
  <c r="G40" i="12" a="1"/>
  <c r="G40" i="12" s="1"/>
  <c r="F111" i="1" s="1"/>
  <c r="F40" i="12" a="1"/>
  <c r="F40" i="12" s="1"/>
  <c r="C111" i="1" s="1"/>
  <c r="G39" i="12" a="1"/>
  <c r="G39" i="12" s="1"/>
  <c r="F91" i="1" s="1"/>
  <c r="F39" i="12" a="1"/>
  <c r="F39" i="12" s="1"/>
  <c r="C91" i="1" s="1"/>
  <c r="G38" i="12" a="1"/>
  <c r="G38" i="12" s="1"/>
  <c r="F71" i="1" s="1"/>
  <c r="F38" i="12" a="1"/>
  <c r="F38" i="12" s="1"/>
  <c r="C71" i="1" s="1"/>
  <c r="G37" i="12" a="1"/>
  <c r="G37" i="12" s="1"/>
  <c r="F51" i="1" s="1"/>
  <c r="F37" i="12" a="1"/>
  <c r="F37" i="12" s="1"/>
  <c r="C51" i="1" s="1"/>
  <c r="G36" i="12" a="1"/>
  <c r="G36" i="12" s="1"/>
  <c r="F31" i="1" s="1"/>
  <c r="F36" i="12" a="1"/>
  <c r="F36" i="12" s="1"/>
  <c r="C31" i="1" s="1"/>
  <c r="E34" i="12"/>
  <c r="D34" i="12"/>
  <c r="G33" i="12" a="1"/>
  <c r="G33" i="12" s="1"/>
  <c r="F33" i="12" a="1"/>
  <c r="F33" i="12" s="1"/>
  <c r="G32" i="12" a="1"/>
  <c r="G32" i="12" s="1"/>
  <c r="F170" i="1" s="1"/>
  <c r="G170" i="1" s="1" a="1"/>
  <c r="G170" i="1" s="1"/>
  <c r="F32" i="12" a="1"/>
  <c r="F32" i="12" s="1"/>
  <c r="C170" i="1" s="1"/>
  <c r="D170" i="1" s="1" a="1"/>
  <c r="D170" i="1" s="1"/>
  <c r="G31" i="12" a="1"/>
  <c r="G31" i="12" s="1"/>
  <c r="F150" i="1" s="1"/>
  <c r="F31" i="12" a="1"/>
  <c r="F31" i="12" s="1"/>
  <c r="C150" i="1" s="1"/>
  <c r="G30" i="12" a="1"/>
  <c r="G30" i="12" s="1"/>
  <c r="F130" i="1" s="1"/>
  <c r="F30" i="12" a="1"/>
  <c r="F30" i="12" s="1"/>
  <c r="C130" i="1" s="1"/>
  <c r="G29" i="12" a="1"/>
  <c r="G29" i="12" s="1"/>
  <c r="F110" i="1" s="1"/>
  <c r="F29" i="12" a="1"/>
  <c r="F29" i="12" s="1"/>
  <c r="C110" i="1" s="1"/>
  <c r="G28" i="12" a="1"/>
  <c r="G28" i="12" s="1"/>
  <c r="F90" i="1" s="1"/>
  <c r="F28" i="12" a="1"/>
  <c r="F28" i="12" s="1"/>
  <c r="C90" i="1" s="1"/>
  <c r="G27" i="12" a="1"/>
  <c r="G27" i="12" s="1"/>
  <c r="F70" i="1" s="1"/>
  <c r="F27" i="12" a="1"/>
  <c r="F27" i="12" s="1"/>
  <c r="C70" i="1" s="1"/>
  <c r="G26" i="12" a="1"/>
  <c r="G26" i="12" s="1"/>
  <c r="F50" i="1" s="1"/>
  <c r="F26" i="12" a="1"/>
  <c r="F26" i="12" s="1"/>
  <c r="C50" i="1" s="1"/>
  <c r="G25" i="12" a="1"/>
  <c r="G25" i="12" s="1"/>
  <c r="F30" i="1" s="1"/>
  <c r="F25" i="12" a="1"/>
  <c r="F25" i="12" s="1"/>
  <c r="C30" i="1" s="1"/>
  <c r="E23" i="12"/>
  <c r="D23" i="12"/>
  <c r="G22" i="12" a="1"/>
  <c r="G22" i="12" s="1"/>
  <c r="F22" i="12" a="1"/>
  <c r="F22" i="12" s="1"/>
  <c r="G21" i="12" a="1"/>
  <c r="G21" i="12" s="1"/>
  <c r="F169" i="1" s="1"/>
  <c r="F21" i="12" a="1"/>
  <c r="F21" i="12" s="1"/>
  <c r="C169" i="1" s="1"/>
  <c r="D169" i="1" s="1" a="1"/>
  <c r="D169" i="1" s="1"/>
  <c r="G20" i="12" a="1"/>
  <c r="G20" i="12" s="1"/>
  <c r="F149" i="1" s="1"/>
  <c r="F20" i="12" a="1"/>
  <c r="F20" i="12" s="1"/>
  <c r="C149" i="1" s="1"/>
  <c r="G19" i="12" a="1"/>
  <c r="G19" i="12" s="1"/>
  <c r="F129" i="1" s="1"/>
  <c r="F19" i="12" a="1"/>
  <c r="F19" i="12" s="1"/>
  <c r="C129" i="1" s="1"/>
  <c r="G18" i="12" a="1"/>
  <c r="G18" i="12" s="1"/>
  <c r="F109" i="1" s="1"/>
  <c r="F18" i="12" a="1"/>
  <c r="F18" i="12" s="1"/>
  <c r="C109" i="1" s="1"/>
  <c r="G17" i="12" a="1"/>
  <c r="G17" i="12" s="1"/>
  <c r="F89" i="1" s="1"/>
  <c r="F17" i="12" a="1"/>
  <c r="F17" i="12" s="1"/>
  <c r="C89" i="1" s="1"/>
  <c r="G16" i="12" a="1"/>
  <c r="G16" i="12" s="1"/>
  <c r="F69" i="1" s="1"/>
  <c r="F16" i="12" a="1"/>
  <c r="F16" i="12" s="1"/>
  <c r="C69" i="1" s="1"/>
  <c r="G15" i="12" a="1"/>
  <c r="G15" i="12" s="1"/>
  <c r="F49" i="1" s="1"/>
  <c r="F15" i="12" a="1"/>
  <c r="F15" i="12" s="1"/>
  <c r="C49" i="1" s="1"/>
  <c r="G14" i="12" a="1"/>
  <c r="G14" i="12" s="1"/>
  <c r="F29" i="1" s="1"/>
  <c r="F14" i="12" a="1"/>
  <c r="F14" i="12" s="1"/>
  <c r="C29" i="1" s="1"/>
  <c r="D12" i="12"/>
  <c r="G11" i="12" a="1"/>
  <c r="G11" i="12" s="1"/>
  <c r="F11" i="12" a="1"/>
  <c r="F11" i="12" s="1"/>
  <c r="G10" i="12" a="1"/>
  <c r="G10" i="12" s="1"/>
  <c r="F167" i="1" s="1"/>
  <c r="G167" i="1" s="1" a="1"/>
  <c r="G167" i="1" s="1"/>
  <c r="F10" i="12" a="1"/>
  <c r="F10" i="12" s="1"/>
  <c r="G9" i="12" a="1"/>
  <c r="G9" i="12" s="1"/>
  <c r="F9" i="12" a="1"/>
  <c r="F9" i="12" s="1"/>
  <c r="G8" i="12" a="1"/>
  <c r="G8" i="12" s="1"/>
  <c r="F8" i="12" a="1"/>
  <c r="F8" i="12" s="1"/>
  <c r="G7" i="12" a="1"/>
  <c r="G7" i="12" s="1"/>
  <c r="F7" i="12" a="1"/>
  <c r="F7" i="12" s="1"/>
  <c r="G6" i="12" a="1"/>
  <c r="G6" i="12" s="1"/>
  <c r="F87" i="1" s="1"/>
  <c r="F6" i="12" a="1"/>
  <c r="F6" i="12" s="1"/>
  <c r="G5" i="12" a="1"/>
  <c r="G5" i="12" s="1"/>
  <c r="F5" i="12" a="1"/>
  <c r="F5" i="12" s="1"/>
  <c r="F4" i="12" a="1"/>
  <c r="F4" i="12" s="1"/>
  <c r="C47" i="1" s="1"/>
  <c r="AN54" i="11" a="1"/>
  <c r="AN54" i="11" s="1"/>
  <c r="AM54" i="11" a="1"/>
  <c r="AM54" i="11" s="1"/>
  <c r="AL54" i="11" a="1"/>
  <c r="AL54" i="11" s="1"/>
  <c r="AK54" i="11" a="1"/>
  <c r="AK54" i="11" s="1"/>
  <c r="AJ54" i="11" a="1"/>
  <c r="AJ54" i="11" s="1"/>
  <c r="AI54" i="11" a="1"/>
  <c r="AI54" i="11" s="1"/>
  <c r="AH54" i="11" a="1"/>
  <c r="AH54" i="11" s="1"/>
  <c r="AG54" i="11" a="1"/>
  <c r="AG54" i="11" s="1"/>
  <c r="AF54" i="11"/>
  <c r="AF54" i="11" a="1"/>
  <c r="AE54" i="11" a="1"/>
  <c r="AE54" i="11" s="1"/>
  <c r="AD54" i="11" a="1"/>
  <c r="AD54" i="11" s="1"/>
  <c r="AC54" i="11" a="1"/>
  <c r="AC54" i="11" s="1"/>
  <c r="AB54" i="11" a="1"/>
  <c r="AB54" i="11" s="1"/>
  <c r="AA54" i="11" a="1"/>
  <c r="AA54" i="11" s="1"/>
  <c r="Z54" i="11" a="1"/>
  <c r="Z54" i="11" s="1"/>
  <c r="Y54" i="11" a="1"/>
  <c r="Y54" i="11" s="1"/>
  <c r="X54" i="11" a="1"/>
  <c r="X54" i="11" s="1"/>
  <c r="W54" i="11" a="1"/>
  <c r="W54" i="11" s="1"/>
  <c r="V54" i="11" a="1"/>
  <c r="V54" i="11" s="1"/>
  <c r="U54" i="11"/>
  <c r="U54" i="11" a="1"/>
  <c r="T54" i="11" a="1"/>
  <c r="T54" i="11" s="1"/>
  <c r="S54" i="11" a="1"/>
  <c r="S54" i="11" s="1"/>
  <c r="R54" i="11" a="1"/>
  <c r="R54" i="11" s="1"/>
  <c r="Q54" i="11" a="1"/>
  <c r="Q54" i="11" s="1"/>
  <c r="P54" i="11" a="1"/>
  <c r="P54" i="11" s="1"/>
  <c r="AN53" i="11" a="1"/>
  <c r="AN53" i="11" s="1"/>
  <c r="AM53" i="11" a="1"/>
  <c r="AM53" i="11" s="1"/>
  <c r="AL53" i="11" a="1"/>
  <c r="AL53" i="11" s="1"/>
  <c r="AK53" i="11" a="1"/>
  <c r="AK53" i="11" s="1"/>
  <c r="AJ53" i="11"/>
  <c r="AJ53" i="11" a="1"/>
  <c r="AI53" i="11" a="1"/>
  <c r="AI53" i="11" s="1"/>
  <c r="AH53" i="11" a="1"/>
  <c r="AH53" i="11" s="1"/>
  <c r="AG53" i="11" a="1"/>
  <c r="AG53" i="11" s="1"/>
  <c r="AF53" i="11" a="1"/>
  <c r="AF53" i="11" s="1"/>
  <c r="AE53" i="11" a="1"/>
  <c r="AE53" i="11" s="1"/>
  <c r="AD53" i="11" a="1"/>
  <c r="AD53" i="11" s="1"/>
  <c r="AC53" i="11" a="1"/>
  <c r="AC53" i="11" s="1"/>
  <c r="AB53" i="11" a="1"/>
  <c r="AB53" i="11" s="1"/>
  <c r="AA53" i="11" a="1"/>
  <c r="AA53" i="11" s="1"/>
  <c r="Z53" i="11" a="1"/>
  <c r="Z53" i="11" s="1"/>
  <c r="Y53" i="11"/>
  <c r="Y53" i="11" a="1"/>
  <c r="X53" i="11" a="1"/>
  <c r="X53" i="11" s="1"/>
  <c r="W53" i="11" a="1"/>
  <c r="W53" i="11" s="1"/>
  <c r="V53" i="11" a="1"/>
  <c r="V53" i="11" s="1"/>
  <c r="U53" i="11" a="1"/>
  <c r="U53" i="11" s="1"/>
  <c r="T53" i="11" a="1"/>
  <c r="T53" i="11" s="1"/>
  <c r="S53" i="11" a="1"/>
  <c r="S53" i="11" s="1"/>
  <c r="R53" i="11" a="1"/>
  <c r="R53" i="11" s="1"/>
  <c r="Q53" i="11" a="1"/>
  <c r="Q53" i="11" s="1"/>
  <c r="P53" i="11" a="1"/>
  <c r="P53" i="11" s="1"/>
  <c r="AN52" i="11"/>
  <c r="AN52" i="11" a="1"/>
  <c r="AM52" i="11" a="1"/>
  <c r="AM52" i="11" s="1"/>
  <c r="AL52" i="11" a="1"/>
  <c r="AL52" i="11" s="1"/>
  <c r="AK52" i="11" a="1"/>
  <c r="AK52" i="11" s="1"/>
  <c r="AJ52" i="11" a="1"/>
  <c r="AJ52" i="11" s="1"/>
  <c r="AI52" i="11" a="1"/>
  <c r="AI52" i="11" s="1"/>
  <c r="AH52" i="11" a="1"/>
  <c r="AH52" i="11" s="1"/>
  <c r="AG52" i="11" a="1"/>
  <c r="AG52" i="11" s="1"/>
  <c r="AF52" i="11" a="1"/>
  <c r="AF52" i="11" s="1"/>
  <c r="AE52" i="11" a="1"/>
  <c r="AE52" i="11" s="1"/>
  <c r="AD52" i="11" a="1"/>
  <c r="AD52" i="11" s="1"/>
  <c r="AC52" i="11"/>
  <c r="AC52" i="11" a="1"/>
  <c r="AB52" i="11" a="1"/>
  <c r="AB52" i="11" s="1"/>
  <c r="AA52" i="11" a="1"/>
  <c r="AA52" i="11" s="1"/>
  <c r="Z52" i="11" a="1"/>
  <c r="Z52" i="11" s="1"/>
  <c r="Y52" i="11" a="1"/>
  <c r="Y52" i="11" s="1"/>
  <c r="X52" i="11" a="1"/>
  <c r="X52" i="11" s="1"/>
  <c r="W52" i="11" a="1"/>
  <c r="W52" i="11" s="1"/>
  <c r="V52" i="11" a="1"/>
  <c r="V52" i="11" s="1"/>
  <c r="U52" i="11" a="1"/>
  <c r="U52" i="11" s="1"/>
  <c r="T52" i="11" a="1"/>
  <c r="T52" i="11" s="1"/>
  <c r="S52" i="11" a="1"/>
  <c r="S52" i="11" s="1"/>
  <c r="R52" i="11"/>
  <c r="R52" i="11" a="1"/>
  <c r="Q52" i="11" a="1"/>
  <c r="Q52" i="11" s="1"/>
  <c r="P52" i="11" a="1"/>
  <c r="P52" i="11" s="1"/>
  <c r="AN51" i="11" a="1"/>
  <c r="AN51" i="11" s="1"/>
  <c r="AM51" i="11" a="1"/>
  <c r="AM51" i="11" s="1"/>
  <c r="AL51" i="11" a="1"/>
  <c r="AL51" i="11" s="1"/>
  <c r="AK51" i="11" a="1"/>
  <c r="AK51" i="11" s="1"/>
  <c r="AJ51" i="11" a="1"/>
  <c r="AJ51" i="11" s="1"/>
  <c r="AI51" i="11" a="1"/>
  <c r="AI51" i="11" s="1"/>
  <c r="AH51" i="11" a="1"/>
  <c r="AH51" i="11" s="1"/>
  <c r="AG51" i="11"/>
  <c r="AG51" i="11" a="1"/>
  <c r="AF51" i="11" a="1"/>
  <c r="AF51" i="11" s="1"/>
  <c r="AE51" i="11" a="1"/>
  <c r="AE51" i="11" s="1"/>
  <c r="AD51" i="11" a="1"/>
  <c r="AD51" i="11" s="1"/>
  <c r="AC51" i="11" a="1"/>
  <c r="AC51" i="11" s="1"/>
  <c r="AB51" i="11" a="1"/>
  <c r="AB51" i="11" s="1"/>
  <c r="AA51" i="11" a="1"/>
  <c r="AA51" i="11" s="1"/>
  <c r="Z51" i="11" a="1"/>
  <c r="Z51" i="11" s="1"/>
  <c r="Y51" i="11" a="1"/>
  <c r="Y51" i="11" s="1"/>
  <c r="X51" i="11" a="1"/>
  <c r="X51" i="11" s="1"/>
  <c r="W51" i="11" a="1"/>
  <c r="W51" i="11" s="1"/>
  <c r="V51" i="11"/>
  <c r="V51" i="11" a="1"/>
  <c r="U51" i="11" a="1"/>
  <c r="U51" i="11" s="1"/>
  <c r="T51" i="11" a="1"/>
  <c r="T51" i="11" s="1"/>
  <c r="S51" i="11" a="1"/>
  <c r="S51" i="11" s="1"/>
  <c r="R51" i="11" a="1"/>
  <c r="R51" i="11" s="1"/>
  <c r="Q51" i="11" a="1"/>
  <c r="Q51" i="11" s="1"/>
  <c r="P51" i="11" a="1"/>
  <c r="P51" i="11" s="1"/>
  <c r="AN50" i="11" a="1"/>
  <c r="AN50" i="11" s="1"/>
  <c r="AM50" i="11" a="1"/>
  <c r="AM50" i="11" s="1"/>
  <c r="AL50" i="11" a="1"/>
  <c r="AL50" i="11" s="1"/>
  <c r="AK50" i="11"/>
  <c r="AK50" i="11" a="1"/>
  <c r="AJ50" i="11" a="1"/>
  <c r="AJ50" i="11" s="1"/>
  <c r="AI50" i="11" a="1"/>
  <c r="AI50" i="11" s="1"/>
  <c r="AH50" i="11" a="1"/>
  <c r="AH50" i="11" s="1"/>
  <c r="AG50" i="11" a="1"/>
  <c r="AG50" i="11" s="1"/>
  <c r="AF50" i="11" a="1"/>
  <c r="AF50" i="11" s="1"/>
  <c r="AE50" i="11" a="1"/>
  <c r="AE50" i="11" s="1"/>
  <c r="AD50" i="11" a="1"/>
  <c r="AD50" i="11" s="1"/>
  <c r="AC50" i="11" a="1"/>
  <c r="AC50" i="11" s="1"/>
  <c r="AB50" i="11" a="1"/>
  <c r="AB50" i="11" s="1"/>
  <c r="AA50" i="11" a="1"/>
  <c r="AA50" i="11" s="1"/>
  <c r="Z50" i="11"/>
  <c r="Z50" i="11" a="1"/>
  <c r="Y50" i="11" a="1"/>
  <c r="Y50" i="11" s="1"/>
  <c r="X50" i="11" a="1"/>
  <c r="X50" i="11" s="1"/>
  <c r="W50" i="11" a="1"/>
  <c r="W50" i="11" s="1"/>
  <c r="V50" i="11" a="1"/>
  <c r="V50" i="11" s="1"/>
  <c r="U50" i="11" a="1"/>
  <c r="U50" i="11" s="1"/>
  <c r="T50" i="11" a="1"/>
  <c r="T50" i="11" s="1"/>
  <c r="S50" i="11" a="1"/>
  <c r="S50" i="11" s="1"/>
  <c r="R50" i="11" a="1"/>
  <c r="R50" i="11" s="1"/>
  <c r="Q50" i="11" a="1"/>
  <c r="Q50" i="11" s="1"/>
  <c r="P50" i="11" a="1"/>
  <c r="P50" i="11" s="1"/>
  <c r="AN49" i="11" a="1"/>
  <c r="AN49" i="11" s="1"/>
  <c r="AM49" i="11" a="1"/>
  <c r="AM49" i="11" s="1"/>
  <c r="AL49" i="11" a="1"/>
  <c r="AL49" i="11" s="1"/>
  <c r="AK49" i="11" a="1"/>
  <c r="AK49" i="11" s="1"/>
  <c r="AJ49" i="11" a="1"/>
  <c r="AJ49" i="11" s="1"/>
  <c r="AI49" i="11" a="1"/>
  <c r="AI49" i="11" s="1"/>
  <c r="AH49" i="11" a="1"/>
  <c r="AH49" i="11" s="1"/>
  <c r="AG49" i="11" a="1"/>
  <c r="AG49" i="11" s="1"/>
  <c r="AF49" i="11" a="1"/>
  <c r="AF49" i="11" s="1"/>
  <c r="AE49" i="11" a="1"/>
  <c r="AE49" i="11" s="1"/>
  <c r="AD49" i="11"/>
  <c r="AD49" i="11" a="1"/>
  <c r="AC49" i="11" a="1"/>
  <c r="AC49" i="11" s="1"/>
  <c r="AB49" i="11" a="1"/>
  <c r="AB49" i="11" s="1"/>
  <c r="AA49" i="11" a="1"/>
  <c r="AA49" i="11" s="1"/>
  <c r="Z49" i="11" a="1"/>
  <c r="Z49" i="11" s="1"/>
  <c r="Y49" i="11" a="1"/>
  <c r="Y49" i="11" s="1"/>
  <c r="X49" i="11" a="1"/>
  <c r="X49" i="11" s="1"/>
  <c r="W49" i="11" a="1"/>
  <c r="W49" i="11" s="1"/>
  <c r="V49" i="11" a="1"/>
  <c r="V49" i="11" s="1"/>
  <c r="U49" i="11" a="1"/>
  <c r="U49" i="11" s="1"/>
  <c r="T49" i="11" a="1"/>
  <c r="T49" i="11" s="1"/>
  <c r="S49" i="11"/>
  <c r="S49" i="11" a="1"/>
  <c r="R49" i="11" a="1"/>
  <c r="R49" i="11" s="1"/>
  <c r="Q49" i="11" a="1"/>
  <c r="Q49" i="11" s="1"/>
  <c r="P49" i="11" a="1"/>
  <c r="P49" i="11" s="1"/>
  <c r="AN48" i="11" a="1"/>
  <c r="AN48" i="11" s="1"/>
  <c r="AM48" i="11" a="1"/>
  <c r="AM48" i="11" s="1"/>
  <c r="AL48" i="11" a="1"/>
  <c r="AL48" i="11" s="1"/>
  <c r="AK48" i="11" a="1"/>
  <c r="AK48" i="11" s="1"/>
  <c r="AJ48" i="11" a="1"/>
  <c r="AJ48" i="11" s="1"/>
  <c r="AI48" i="11" a="1"/>
  <c r="AI48" i="11" s="1"/>
  <c r="AH48" i="11"/>
  <c r="AH48" i="11" a="1"/>
  <c r="AG48" i="11" a="1"/>
  <c r="AG48" i="11" s="1"/>
  <c r="AF48" i="11" a="1"/>
  <c r="AF48" i="11" s="1"/>
  <c r="AE48" i="11" a="1"/>
  <c r="AE48" i="11" s="1"/>
  <c r="AD48" i="11" a="1"/>
  <c r="AD48" i="11" s="1"/>
  <c r="AC48" i="11" a="1"/>
  <c r="AC48" i="11" s="1"/>
  <c r="AB48" i="11" a="1"/>
  <c r="AB48" i="11" s="1"/>
  <c r="AA48" i="11" a="1"/>
  <c r="AA48" i="11" s="1"/>
  <c r="Z48" i="11" a="1"/>
  <c r="Z48" i="11" s="1"/>
  <c r="Y48" i="11" a="1"/>
  <c r="Y48" i="11" s="1"/>
  <c r="X48" i="11" a="1"/>
  <c r="X48" i="11" s="1"/>
  <c r="W48" i="11"/>
  <c r="W48" i="11" a="1"/>
  <c r="V48" i="11" a="1"/>
  <c r="V48" i="11" s="1"/>
  <c r="U48" i="11" a="1"/>
  <c r="U48" i="11" s="1"/>
  <c r="T48" i="11" a="1"/>
  <c r="T48" i="11" s="1"/>
  <c r="S48" i="11" a="1"/>
  <c r="S48" i="11" s="1"/>
  <c r="R48" i="11" a="1"/>
  <c r="R48" i="11" s="1"/>
  <c r="Q48" i="11" a="1"/>
  <c r="Q48" i="11" s="1"/>
  <c r="P48" i="11" a="1"/>
  <c r="P48" i="11" s="1"/>
  <c r="AN47" i="11" a="1"/>
  <c r="AN47" i="11" s="1"/>
  <c r="AM47" i="11" a="1"/>
  <c r="AM47" i="11" s="1"/>
  <c r="AL47" i="11"/>
  <c r="AL47" i="11" a="1"/>
  <c r="AK47" i="11" a="1"/>
  <c r="AK47" i="11" s="1"/>
  <c r="AJ47" i="11" a="1"/>
  <c r="AJ47" i="11" s="1"/>
  <c r="AI47" i="11" a="1"/>
  <c r="AI47" i="11" s="1"/>
  <c r="AH47" i="11" a="1"/>
  <c r="AH47" i="11" s="1"/>
  <c r="AG47" i="11" a="1"/>
  <c r="AG47" i="11" s="1"/>
  <c r="AF47" i="11" a="1"/>
  <c r="AF47" i="11" s="1"/>
  <c r="AE47" i="11" a="1"/>
  <c r="AE47" i="11" s="1"/>
  <c r="AD47" i="11" a="1"/>
  <c r="AD47" i="11" s="1"/>
  <c r="AC47" i="11" a="1"/>
  <c r="AC47" i="11" s="1"/>
  <c r="AB47" i="11" a="1"/>
  <c r="AB47" i="11" s="1"/>
  <c r="AA47" i="11"/>
  <c r="AA47" i="11" a="1"/>
  <c r="Z47" i="11" a="1"/>
  <c r="Z47" i="11" s="1"/>
  <c r="Y47" i="11" a="1"/>
  <c r="Y47" i="11" s="1"/>
  <c r="X47" i="11" a="1"/>
  <c r="X47" i="11" s="1"/>
  <c r="W47" i="11" a="1"/>
  <c r="W47" i="11" s="1"/>
  <c r="V47" i="11" a="1"/>
  <c r="V47" i="11" s="1"/>
  <c r="U47" i="11" a="1"/>
  <c r="U47" i="11" s="1"/>
  <c r="T47" i="11" a="1"/>
  <c r="T47" i="11" s="1"/>
  <c r="S47" i="11" a="1"/>
  <c r="S47" i="11" s="1"/>
  <c r="R47" i="11" a="1"/>
  <c r="R47" i="11" s="1"/>
  <c r="Q47" i="11" a="1"/>
  <c r="Q47" i="11" s="1"/>
  <c r="P47" i="11"/>
  <c r="P47" i="11" a="1"/>
  <c r="AN46" i="11" a="1"/>
  <c r="AN46" i="11" s="1"/>
  <c r="AM46" i="11" a="1"/>
  <c r="AM46" i="11" s="1"/>
  <c r="AL46" i="11" a="1"/>
  <c r="AL46" i="11" s="1"/>
  <c r="AK46" i="11" a="1"/>
  <c r="AK46" i="11" s="1"/>
  <c r="AJ46" i="11" a="1"/>
  <c r="AJ46" i="11" s="1"/>
  <c r="AI46" i="11" a="1"/>
  <c r="AI46" i="11" s="1"/>
  <c r="AH46" i="11" a="1"/>
  <c r="AH46" i="11" s="1"/>
  <c r="AG46" i="11" a="1"/>
  <c r="AG46" i="11" s="1"/>
  <c r="AF46" i="11" a="1"/>
  <c r="AF46" i="11" s="1"/>
  <c r="AE46" i="11"/>
  <c r="AE46" i="11" a="1"/>
  <c r="AD46" i="11" a="1"/>
  <c r="AD46" i="11" s="1"/>
  <c r="AC46" i="11" a="1"/>
  <c r="AC46" i="11" s="1"/>
  <c r="AB46" i="11" a="1"/>
  <c r="AB46" i="11" s="1"/>
  <c r="AA46" i="11" a="1"/>
  <c r="AA46" i="11" s="1"/>
  <c r="Z46" i="11" a="1"/>
  <c r="Z46" i="11" s="1"/>
  <c r="Y46" i="11" a="1"/>
  <c r="Y46" i="11" s="1"/>
  <c r="X46" i="11" a="1"/>
  <c r="X46" i="11" s="1"/>
  <c r="W46" i="11" a="1"/>
  <c r="W46" i="11" s="1"/>
  <c r="V46" i="11" a="1"/>
  <c r="V46" i="11" s="1"/>
  <c r="U46" i="11" a="1"/>
  <c r="U46" i="11" s="1"/>
  <c r="T46" i="11"/>
  <c r="T46" i="11" a="1"/>
  <c r="S46" i="11" a="1"/>
  <c r="S46" i="11" s="1"/>
  <c r="R46" i="11" a="1"/>
  <c r="R46" i="11" s="1"/>
  <c r="Q46" i="11" a="1"/>
  <c r="Q46" i="11" s="1"/>
  <c r="P46" i="11" a="1"/>
  <c r="P46" i="11" s="1"/>
  <c r="AO45" i="11"/>
  <c r="AO45" i="11" a="1"/>
  <c r="AN45" i="11" a="1"/>
  <c r="AN45" i="11" s="1"/>
  <c r="AM45" i="11" a="1"/>
  <c r="AM45" i="11" s="1"/>
  <c r="AL45" i="11" a="1"/>
  <c r="AL45" i="11" s="1"/>
  <c r="AK45" i="11" a="1"/>
  <c r="AK45" i="11" s="1"/>
  <c r="AJ45" i="11" a="1"/>
  <c r="AJ45" i="11" s="1"/>
  <c r="AI45" i="11"/>
  <c r="AI45" i="11" a="1"/>
  <c r="AH45" i="11"/>
  <c r="AH45" i="11" a="1"/>
  <c r="AG45" i="11"/>
  <c r="AG45" i="11" a="1"/>
  <c r="AF45" i="11" a="1"/>
  <c r="AF45" i="11" s="1"/>
  <c r="AE45" i="11"/>
  <c r="AE45" i="11" a="1"/>
  <c r="AD45" i="11"/>
  <c r="AD45" i="11" a="1"/>
  <c r="AC45" i="11" a="1"/>
  <c r="AC45" i="11" s="1"/>
  <c r="AB45" i="11" a="1"/>
  <c r="AB45" i="11" s="1"/>
  <c r="AA45" i="11" a="1"/>
  <c r="AA45" i="11" s="1"/>
  <c r="Z45" i="11" a="1"/>
  <c r="Z45" i="11" s="1"/>
  <c r="Y45" i="11" a="1"/>
  <c r="Y45" i="11" s="1"/>
  <c r="X45" i="11"/>
  <c r="X45" i="11" a="1"/>
  <c r="W45" i="11"/>
  <c r="W45" i="11" a="1"/>
  <c r="V45" i="11"/>
  <c r="V45" i="11" a="1"/>
  <c r="U45" i="11" a="1"/>
  <c r="U45" i="11" s="1"/>
  <c r="T45" i="11"/>
  <c r="T45" i="11" a="1"/>
  <c r="S45" i="11"/>
  <c r="S45" i="11" a="1"/>
  <c r="R45" i="11" a="1"/>
  <c r="R45" i="11" s="1"/>
  <c r="Q45" i="11" a="1"/>
  <c r="Q45" i="11" s="1"/>
  <c r="P45" i="11" a="1"/>
  <c r="P45" i="11" s="1"/>
  <c r="AO44" i="11" a="1"/>
  <c r="AO44" i="11" s="1"/>
  <c r="AN44" i="11"/>
  <c r="AN44" i="11" a="1"/>
  <c r="AM44" i="11"/>
  <c r="AM44" i="11" a="1"/>
  <c r="AL44" i="11" a="1"/>
  <c r="AL44" i="11" s="1"/>
  <c r="AK44" i="11" a="1"/>
  <c r="AK44" i="11" s="1"/>
  <c r="AJ44" i="11" a="1"/>
  <c r="AJ44" i="11" s="1"/>
  <c r="AI44" i="11" a="1"/>
  <c r="AI44" i="11" s="1"/>
  <c r="AH44" i="11" a="1"/>
  <c r="AH44" i="11" s="1"/>
  <c r="AG44" i="11" a="1"/>
  <c r="AG44" i="11" s="1"/>
  <c r="AF44" i="11" a="1"/>
  <c r="AF44" i="11" s="1"/>
  <c r="AE44" i="11" a="1"/>
  <c r="AE44" i="11" s="1"/>
  <c r="AD44" i="11" a="1"/>
  <c r="AD44" i="11" s="1"/>
  <c r="AC44" i="11"/>
  <c r="AC44" i="11" a="1"/>
  <c r="AB44" i="11"/>
  <c r="AB44" i="11" a="1"/>
  <c r="AA44" i="11" a="1"/>
  <c r="AA44" i="11" s="1"/>
  <c r="Z44" i="11" a="1"/>
  <c r="Z44" i="11" s="1"/>
  <c r="Y44" i="11" a="1"/>
  <c r="Y44" i="11" s="1"/>
  <c r="X44" i="11" a="1"/>
  <c r="X44" i="11" s="1"/>
  <c r="W44" i="11" a="1"/>
  <c r="W44" i="11" s="1"/>
  <c r="V44" i="11" a="1"/>
  <c r="V44" i="11" s="1"/>
  <c r="U44" i="11" a="1"/>
  <c r="U44" i="11" s="1"/>
  <c r="T44" i="11" a="1"/>
  <c r="T44" i="11" s="1"/>
  <c r="S44" i="11" a="1"/>
  <c r="S44" i="11" s="1"/>
  <c r="R44" i="11"/>
  <c r="R44" i="11" a="1"/>
  <c r="Q44" i="11"/>
  <c r="Q44" i="11" a="1"/>
  <c r="P44" i="11" a="1"/>
  <c r="P44" i="11" s="1"/>
  <c r="AO43" i="11" a="1"/>
  <c r="AO43" i="11" s="1"/>
  <c r="AN43" i="11"/>
  <c r="AN43" i="11" a="1"/>
  <c r="AM43" i="11"/>
  <c r="AM43" i="11" a="1"/>
  <c r="AL43" i="11" a="1"/>
  <c r="AL43" i="11" s="1"/>
  <c r="AK43" i="11" a="1"/>
  <c r="AK43" i="11" s="1"/>
  <c r="AJ43" i="11" a="1"/>
  <c r="AJ43" i="11" s="1"/>
  <c r="AI43" i="11" a="1"/>
  <c r="AI43" i="11" s="1"/>
  <c r="AH43" i="11" a="1"/>
  <c r="AH43" i="11" s="1"/>
  <c r="AG43" i="11"/>
  <c r="AG43" i="11" a="1"/>
  <c r="AF43" i="11"/>
  <c r="AF43" i="11" a="1"/>
  <c r="AE43" i="11"/>
  <c r="AE43" i="11" a="1"/>
  <c r="AD43" i="11" a="1"/>
  <c r="AD43" i="11" s="1"/>
  <c r="AC43" i="11"/>
  <c r="AC43" i="11" a="1"/>
  <c r="AB43" i="11"/>
  <c r="AB43" i="11" a="1"/>
  <c r="AA43" i="11" a="1"/>
  <c r="AA43" i="11" s="1"/>
  <c r="Z43" i="11" a="1"/>
  <c r="Z43" i="11" s="1"/>
  <c r="Y43" i="11" a="1"/>
  <c r="Y43" i="11" s="1"/>
  <c r="X43" i="11" a="1"/>
  <c r="X43" i="11" s="1"/>
  <c r="W43" i="11" a="1"/>
  <c r="W43" i="11" s="1"/>
  <c r="V43" i="11"/>
  <c r="V43" i="11" a="1"/>
  <c r="U43" i="11"/>
  <c r="U43" i="11" a="1"/>
  <c r="T43" i="11"/>
  <c r="T43" i="11" a="1"/>
  <c r="S43" i="11" a="1"/>
  <c r="S43" i="11" s="1"/>
  <c r="R43" i="11"/>
  <c r="R43" i="11" a="1"/>
  <c r="Q43" i="11"/>
  <c r="Q43" i="11" a="1"/>
  <c r="P43" i="11" a="1"/>
  <c r="P43" i="11" s="1"/>
  <c r="P55" i="11" s="1"/>
  <c r="P15" i="11" s="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P42" i="11"/>
  <c r="AP26" i="1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AO16" i="11"/>
  <c r="AO14" i="11" s="1"/>
  <c r="AO12" i="11" s="1"/>
  <c r="AN16" i="11"/>
  <c r="AN14" i="11" s="1"/>
  <c r="AN12" i="11" s="1"/>
  <c r="AM16" i="11"/>
  <c r="AM14" i="11" s="1"/>
  <c r="AM12" i="11" s="1"/>
  <c r="AP13" i="11"/>
  <c r="AO11" i="11"/>
  <c r="AN11" i="11"/>
  <c r="AM11" i="11"/>
  <c r="AL11" i="11"/>
  <c r="AL16" i="11" s="1"/>
  <c r="AK11" i="11"/>
  <c r="AK16" i="11" s="1"/>
  <c r="AJ11" i="11"/>
  <c r="AJ16" i="11" s="1"/>
  <c r="AI11" i="11"/>
  <c r="AI16" i="11" s="1"/>
  <c r="AH11" i="11"/>
  <c r="AH16" i="11" s="1"/>
  <c r="AG11" i="11"/>
  <c r="AG16" i="11" s="1"/>
  <c r="AO10" i="11"/>
  <c r="AN10" i="11"/>
  <c r="AM10" i="11"/>
  <c r="AL10" i="11"/>
  <c r="AK10" i="11"/>
  <c r="AJ10" i="11"/>
  <c r="AI10" i="11"/>
  <c r="AH10" i="11"/>
  <c r="AG10" i="11"/>
  <c r="AF10" i="11"/>
  <c r="AF11" i="11" s="1"/>
  <c r="AF16" i="11" s="1"/>
  <c r="AE10" i="11"/>
  <c r="AE11" i="11" s="1"/>
  <c r="AE16" i="11" s="1"/>
  <c r="AD10" i="11"/>
  <c r="AD11" i="11" s="1"/>
  <c r="AD16" i="11" s="1"/>
  <c r="AC10" i="11"/>
  <c r="AC11" i="11" s="1"/>
  <c r="AC16" i="11" s="1"/>
  <c r="AB10" i="11"/>
  <c r="AB11" i="11" s="1"/>
  <c r="AB16" i="11" s="1"/>
  <c r="AA10" i="11"/>
  <c r="AA11" i="11" s="1"/>
  <c r="AA16" i="11" s="1"/>
  <c r="AP8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AP6" i="11"/>
  <c r="AP9" i="11" s="1"/>
  <c r="AP11" i="11" s="1"/>
  <c r="AP16" i="11" s="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AA2" i="11"/>
  <c r="Z2" i="11"/>
  <c r="Z42" i="11" s="1"/>
  <c r="Y2" i="11"/>
  <c r="Y42" i="11" s="1"/>
  <c r="X2" i="11"/>
  <c r="X42" i="11" s="1"/>
  <c r="W2" i="11"/>
  <c r="W42" i="11" s="1"/>
  <c r="V2" i="11"/>
  <c r="V42" i="11" s="1"/>
  <c r="U2" i="11"/>
  <c r="U42" i="11" s="1"/>
  <c r="T2" i="11"/>
  <c r="T42" i="11" s="1"/>
  <c r="S2" i="11"/>
  <c r="S42" i="11" s="1"/>
  <c r="R2" i="11"/>
  <c r="R42" i="11" s="1"/>
  <c r="Q2" i="11"/>
  <c r="Q26" i="11" s="1"/>
  <c r="P2" i="11"/>
  <c r="P26" i="11" s="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AN54" i="10" a="1"/>
  <c r="AN54" i="10" s="1"/>
  <c r="AM54" i="10" a="1"/>
  <c r="AM54" i="10" s="1"/>
  <c r="AL54" i="10"/>
  <c r="AL54" i="10" a="1"/>
  <c r="AK54" i="10" a="1"/>
  <c r="AK54" i="10" s="1"/>
  <c r="AJ54" i="10" a="1"/>
  <c r="AJ54" i="10" s="1"/>
  <c r="AI54" i="10" a="1"/>
  <c r="AI54" i="10" s="1"/>
  <c r="AH54" i="10" a="1"/>
  <c r="AH54" i="10" s="1"/>
  <c r="AG54" i="10" a="1"/>
  <c r="AG54" i="10" s="1"/>
  <c r="AF54" i="10" a="1"/>
  <c r="AF54" i="10" s="1"/>
  <c r="AE54" i="10" a="1"/>
  <c r="AE54" i="10" s="1"/>
  <c r="AD54" i="10" a="1"/>
  <c r="AD54" i="10" s="1"/>
  <c r="AC54" i="10" a="1"/>
  <c r="AC54" i="10" s="1"/>
  <c r="AB54" i="10" a="1"/>
  <c r="AB54" i="10" s="1"/>
  <c r="AA54" i="10"/>
  <c r="AA54" i="10" a="1"/>
  <c r="Z54" i="10" a="1"/>
  <c r="Z54" i="10" s="1"/>
  <c r="Y54" i="10" a="1"/>
  <c r="Y54" i="10" s="1"/>
  <c r="X54" i="10" a="1"/>
  <c r="X54" i="10" s="1"/>
  <c r="W54" i="10" a="1"/>
  <c r="W54" i="10" s="1"/>
  <c r="V54" i="10" a="1"/>
  <c r="V54" i="10" s="1"/>
  <c r="U54" i="10" a="1"/>
  <c r="U54" i="10" s="1"/>
  <c r="T54" i="10" a="1"/>
  <c r="T54" i="10" s="1"/>
  <c r="S54" i="10" a="1"/>
  <c r="S54" i="10" s="1"/>
  <c r="R54" i="10" a="1"/>
  <c r="R54" i="10" s="1"/>
  <c r="Q54" i="10" a="1"/>
  <c r="Q54" i="10" s="1"/>
  <c r="P54" i="10"/>
  <c r="P54" i="10" a="1"/>
  <c r="AN53" i="10" a="1"/>
  <c r="AN53" i="10" s="1"/>
  <c r="AM53" i="10" a="1"/>
  <c r="AM53" i="10" s="1"/>
  <c r="AL53" i="10" a="1"/>
  <c r="AL53" i="10" s="1"/>
  <c r="AK53" i="10" a="1"/>
  <c r="AK53" i="10" s="1"/>
  <c r="AJ53" i="10" a="1"/>
  <c r="AJ53" i="10" s="1"/>
  <c r="AI53" i="10" a="1"/>
  <c r="AI53" i="10" s="1"/>
  <c r="AH53" i="10" a="1"/>
  <c r="AH53" i="10" s="1"/>
  <c r="AG53" i="10" a="1"/>
  <c r="AG53" i="10" s="1"/>
  <c r="AF53" i="10" a="1"/>
  <c r="AF53" i="10" s="1"/>
  <c r="AE53" i="10"/>
  <c r="AE53" i="10" a="1"/>
  <c r="AD53" i="10" a="1"/>
  <c r="AD53" i="10" s="1"/>
  <c r="AC53" i="10" a="1"/>
  <c r="AC53" i="10" s="1"/>
  <c r="AB53" i="10" a="1"/>
  <c r="AB53" i="10" s="1"/>
  <c r="AA53" i="10" a="1"/>
  <c r="AA53" i="10" s="1"/>
  <c r="Z53" i="10" a="1"/>
  <c r="Z53" i="10" s="1"/>
  <c r="Y53" i="10" a="1"/>
  <c r="Y53" i="10" s="1"/>
  <c r="X53" i="10" a="1"/>
  <c r="X53" i="10" s="1"/>
  <c r="W53" i="10" a="1"/>
  <c r="W53" i="10" s="1"/>
  <c r="V53" i="10" a="1"/>
  <c r="V53" i="10" s="1"/>
  <c r="U53" i="10" a="1"/>
  <c r="U53" i="10" s="1"/>
  <c r="T53" i="10"/>
  <c r="T53" i="10" a="1"/>
  <c r="S53" i="10" a="1"/>
  <c r="S53" i="10" s="1"/>
  <c r="R53" i="10" a="1"/>
  <c r="R53" i="10" s="1"/>
  <c r="Q53" i="10" a="1"/>
  <c r="Q53" i="10" s="1"/>
  <c r="P53" i="10" a="1"/>
  <c r="P53" i="10" s="1"/>
  <c r="AN52" i="10" a="1"/>
  <c r="AN52" i="10" s="1"/>
  <c r="AM52" i="10" a="1"/>
  <c r="AM52" i="10" s="1"/>
  <c r="AL52" i="10" a="1"/>
  <c r="AL52" i="10" s="1"/>
  <c r="AK52" i="10" a="1"/>
  <c r="AK52" i="10" s="1"/>
  <c r="AJ52" i="10" a="1"/>
  <c r="AJ52" i="10" s="1"/>
  <c r="AI52" i="10" a="1"/>
  <c r="AI52" i="10" s="1"/>
  <c r="AH52" i="10" a="1"/>
  <c r="AH52" i="10" s="1"/>
  <c r="AG52" i="10" a="1"/>
  <c r="AG52" i="10" s="1"/>
  <c r="AF52" i="10" a="1"/>
  <c r="AF52" i="10" s="1"/>
  <c r="AE52" i="10" a="1"/>
  <c r="AE52" i="10" s="1"/>
  <c r="AD52" i="10" a="1"/>
  <c r="AD52" i="10" s="1"/>
  <c r="AC52" i="10" a="1"/>
  <c r="AC52" i="10" s="1"/>
  <c r="AB52" i="10" a="1"/>
  <c r="AB52" i="10" s="1"/>
  <c r="AA52" i="10" a="1"/>
  <c r="AA52" i="10" s="1"/>
  <c r="Z52" i="10" a="1"/>
  <c r="Z52" i="10" s="1"/>
  <c r="Y52" i="10" a="1"/>
  <c r="Y52" i="10" s="1"/>
  <c r="X52" i="10" a="1"/>
  <c r="X52" i="10" s="1"/>
  <c r="W52" i="10" a="1"/>
  <c r="W52" i="10" s="1"/>
  <c r="V52" i="10" a="1"/>
  <c r="V52" i="10" s="1"/>
  <c r="U52" i="10" a="1"/>
  <c r="U52" i="10" s="1"/>
  <c r="T52" i="10" a="1"/>
  <c r="T52" i="10" s="1"/>
  <c r="S52" i="10" a="1"/>
  <c r="S52" i="10" s="1"/>
  <c r="R52" i="10" a="1"/>
  <c r="R52" i="10" s="1"/>
  <c r="Q52" i="10" a="1"/>
  <c r="Q52" i="10" s="1"/>
  <c r="P52" i="10" a="1"/>
  <c r="P52" i="10" s="1"/>
  <c r="AN51" i="10" a="1"/>
  <c r="AN51" i="10" s="1"/>
  <c r="AM51" i="10" a="1"/>
  <c r="AM51" i="10" s="1"/>
  <c r="AL51" i="10" a="1"/>
  <c r="AL51" i="10" s="1"/>
  <c r="AK51" i="10" a="1"/>
  <c r="AK51" i="10" s="1"/>
  <c r="AJ51" i="10" a="1"/>
  <c r="AJ51" i="10" s="1"/>
  <c r="AI51" i="10" a="1"/>
  <c r="AI51" i="10" s="1"/>
  <c r="AH51" i="10" a="1"/>
  <c r="AH51" i="10" s="1"/>
  <c r="AG51" i="10" a="1"/>
  <c r="AG51" i="10" s="1"/>
  <c r="AF51" i="10" a="1"/>
  <c r="AF51" i="10" s="1"/>
  <c r="AE51" i="10" a="1"/>
  <c r="AE51" i="10" s="1"/>
  <c r="AD51" i="10" a="1"/>
  <c r="AD51" i="10" s="1"/>
  <c r="AC51" i="10" a="1"/>
  <c r="AC51" i="10" s="1"/>
  <c r="AB51" i="10" a="1"/>
  <c r="AB51" i="10" s="1"/>
  <c r="AA51" i="10" a="1"/>
  <c r="AA51" i="10" s="1"/>
  <c r="Z51" i="10" a="1"/>
  <c r="Z51" i="10" s="1"/>
  <c r="Y51" i="10" a="1"/>
  <c r="Y51" i="10" s="1"/>
  <c r="X51" i="10" a="1"/>
  <c r="X51" i="10" s="1"/>
  <c r="W51" i="10" a="1"/>
  <c r="W51" i="10" s="1"/>
  <c r="V51" i="10" a="1"/>
  <c r="V51" i="10" s="1"/>
  <c r="U51" i="10" a="1"/>
  <c r="U51" i="10" s="1"/>
  <c r="T51" i="10" a="1"/>
  <c r="T51" i="10" s="1"/>
  <c r="S51" i="10" a="1"/>
  <c r="S51" i="10" s="1"/>
  <c r="R51" i="10" a="1"/>
  <c r="R51" i="10" s="1"/>
  <c r="Q51" i="10" a="1"/>
  <c r="Q51" i="10" s="1"/>
  <c r="P51" i="10" a="1"/>
  <c r="P51" i="10" s="1"/>
  <c r="AN50" i="10" a="1"/>
  <c r="AN50" i="10" s="1"/>
  <c r="AM50" i="10" a="1"/>
  <c r="AM50" i="10" s="1"/>
  <c r="AL50" i="10" a="1"/>
  <c r="AL50" i="10" s="1"/>
  <c r="AK50" i="10" a="1"/>
  <c r="AK50" i="10" s="1"/>
  <c r="AJ50" i="10" a="1"/>
  <c r="AJ50" i="10" s="1"/>
  <c r="AI50" i="10" a="1"/>
  <c r="AI50" i="10" s="1"/>
  <c r="AH50" i="10" a="1"/>
  <c r="AH50" i="10" s="1"/>
  <c r="AG50" i="10" a="1"/>
  <c r="AG50" i="10" s="1"/>
  <c r="AF50" i="10" a="1"/>
  <c r="AF50" i="10" s="1"/>
  <c r="AE50" i="10" a="1"/>
  <c r="AE50" i="10" s="1"/>
  <c r="AD50" i="10" a="1"/>
  <c r="AD50" i="10" s="1"/>
  <c r="AC50" i="10" a="1"/>
  <c r="AC50" i="10" s="1"/>
  <c r="AB50" i="10" a="1"/>
  <c r="AB50" i="10" s="1"/>
  <c r="AA50" i="10" a="1"/>
  <c r="AA50" i="10" s="1"/>
  <c r="Z50" i="10" a="1"/>
  <c r="Z50" i="10" s="1"/>
  <c r="Y50" i="10" a="1"/>
  <c r="Y50" i="10" s="1"/>
  <c r="X50" i="10" a="1"/>
  <c r="X50" i="10" s="1"/>
  <c r="W50" i="10" a="1"/>
  <c r="W50" i="10" s="1"/>
  <c r="V50" i="10" a="1"/>
  <c r="V50" i="10" s="1"/>
  <c r="U50" i="10" a="1"/>
  <c r="U50" i="10" s="1"/>
  <c r="T50" i="10" a="1"/>
  <c r="T50" i="10" s="1"/>
  <c r="S50" i="10" a="1"/>
  <c r="S50" i="10" s="1"/>
  <c r="R50" i="10" a="1"/>
  <c r="R50" i="10" s="1"/>
  <c r="Q50" i="10" a="1"/>
  <c r="Q50" i="10" s="1"/>
  <c r="P50" i="10" a="1"/>
  <c r="P50" i="10" s="1"/>
  <c r="AN49" i="10" a="1"/>
  <c r="AN49" i="10" s="1"/>
  <c r="AM49" i="10" a="1"/>
  <c r="AM49" i="10" s="1"/>
  <c r="AL49" i="10" a="1"/>
  <c r="AL49" i="10" s="1"/>
  <c r="AK49" i="10" a="1"/>
  <c r="AK49" i="10" s="1"/>
  <c r="AJ49" i="10" a="1"/>
  <c r="AJ49" i="10" s="1"/>
  <c r="AI49" i="10" a="1"/>
  <c r="AI49" i="10" s="1"/>
  <c r="AH49" i="10" a="1"/>
  <c r="AH49" i="10" s="1"/>
  <c r="AG49" i="10" a="1"/>
  <c r="AG49" i="10" s="1"/>
  <c r="AF49" i="10" a="1"/>
  <c r="AF49" i="10" s="1"/>
  <c r="AE49" i="10" a="1"/>
  <c r="AE49" i="10" s="1"/>
  <c r="AD49" i="10" a="1"/>
  <c r="AD49" i="10" s="1"/>
  <c r="AC49" i="10" a="1"/>
  <c r="AC49" i="10" s="1"/>
  <c r="AB49" i="10" a="1"/>
  <c r="AB49" i="10" s="1"/>
  <c r="AA49" i="10" a="1"/>
  <c r="AA49" i="10" s="1"/>
  <c r="Z49" i="10" a="1"/>
  <c r="Z49" i="10" s="1"/>
  <c r="Y49" i="10" a="1"/>
  <c r="Y49" i="10" s="1"/>
  <c r="X49" i="10" a="1"/>
  <c r="X49" i="10" s="1"/>
  <c r="W49" i="10" a="1"/>
  <c r="W49" i="10" s="1"/>
  <c r="V49" i="10" a="1"/>
  <c r="V49" i="10" s="1"/>
  <c r="U49" i="10" a="1"/>
  <c r="U49" i="10" s="1"/>
  <c r="T49" i="10" a="1"/>
  <c r="T49" i="10" s="1"/>
  <c r="S49" i="10" a="1"/>
  <c r="S49" i="10" s="1"/>
  <c r="R49" i="10" a="1"/>
  <c r="R49" i="10" s="1"/>
  <c r="Q49" i="10" a="1"/>
  <c r="Q49" i="10" s="1"/>
  <c r="P49" i="10" a="1"/>
  <c r="P49" i="10" s="1"/>
  <c r="AN48" i="10" a="1"/>
  <c r="AN48" i="10" s="1"/>
  <c r="AM48" i="10" a="1"/>
  <c r="AM48" i="10" s="1"/>
  <c r="AL48" i="10" a="1"/>
  <c r="AL48" i="10" s="1"/>
  <c r="AK48" i="10" a="1"/>
  <c r="AK48" i="10" s="1"/>
  <c r="AJ48" i="10" a="1"/>
  <c r="AJ48" i="10" s="1"/>
  <c r="AI48" i="10" a="1"/>
  <c r="AI48" i="10" s="1"/>
  <c r="AH48" i="10" a="1"/>
  <c r="AH48" i="10" s="1"/>
  <c r="AG48" i="10" a="1"/>
  <c r="AG48" i="10" s="1"/>
  <c r="AF48" i="10" a="1"/>
  <c r="AF48" i="10" s="1"/>
  <c r="AE48" i="10" a="1"/>
  <c r="AE48" i="10" s="1"/>
  <c r="AD48" i="10" a="1"/>
  <c r="AD48" i="10" s="1"/>
  <c r="AC48" i="10" a="1"/>
  <c r="AC48" i="10" s="1"/>
  <c r="AB48" i="10" a="1"/>
  <c r="AB48" i="10" s="1"/>
  <c r="AA48" i="10" a="1"/>
  <c r="AA48" i="10" s="1"/>
  <c r="Z48" i="10" a="1"/>
  <c r="Z48" i="10" s="1"/>
  <c r="Y48" i="10" a="1"/>
  <c r="Y48" i="10" s="1"/>
  <c r="X48" i="10" a="1"/>
  <c r="X48" i="10" s="1"/>
  <c r="W48" i="10" a="1"/>
  <c r="W48" i="10" s="1"/>
  <c r="V48" i="10" a="1"/>
  <c r="V48" i="10" s="1"/>
  <c r="U48" i="10" a="1"/>
  <c r="U48" i="10" s="1"/>
  <c r="T48" i="10" a="1"/>
  <c r="T48" i="10" s="1"/>
  <c r="S48" i="10" a="1"/>
  <c r="S48" i="10" s="1"/>
  <c r="R48" i="10" a="1"/>
  <c r="R48" i="10" s="1"/>
  <c r="Q48" i="10" a="1"/>
  <c r="Q48" i="10" s="1"/>
  <c r="P48" i="10" a="1"/>
  <c r="P48" i="10" s="1"/>
  <c r="AN47" i="10" a="1"/>
  <c r="AN47" i="10" s="1"/>
  <c r="AM47" i="10" a="1"/>
  <c r="AM47" i="10" s="1"/>
  <c r="AL47" i="10" a="1"/>
  <c r="AL47" i="10" s="1"/>
  <c r="AK47" i="10" a="1"/>
  <c r="AK47" i="10" s="1"/>
  <c r="AJ47" i="10" a="1"/>
  <c r="AJ47" i="10" s="1"/>
  <c r="AI47" i="10" a="1"/>
  <c r="AI47" i="10" s="1"/>
  <c r="AH47" i="10" a="1"/>
  <c r="AH47" i="10" s="1"/>
  <c r="AG47" i="10" a="1"/>
  <c r="AG47" i="10" s="1"/>
  <c r="AF47" i="10" a="1"/>
  <c r="AF47" i="10" s="1"/>
  <c r="AE47" i="10" a="1"/>
  <c r="AE47" i="10" s="1"/>
  <c r="AD47" i="10" a="1"/>
  <c r="AD47" i="10" s="1"/>
  <c r="AC47" i="10" a="1"/>
  <c r="AC47" i="10" s="1"/>
  <c r="AB47" i="10" a="1"/>
  <c r="AB47" i="10" s="1"/>
  <c r="AA47" i="10" a="1"/>
  <c r="AA47" i="10" s="1"/>
  <c r="Z47" i="10" a="1"/>
  <c r="Z47" i="10" s="1"/>
  <c r="Y47" i="10" a="1"/>
  <c r="Y47" i="10" s="1"/>
  <c r="X47" i="10" a="1"/>
  <c r="X47" i="10" s="1"/>
  <c r="W47" i="10" a="1"/>
  <c r="W47" i="10" s="1"/>
  <c r="V47" i="10" a="1"/>
  <c r="V47" i="10" s="1"/>
  <c r="U47" i="10" a="1"/>
  <c r="U47" i="10" s="1"/>
  <c r="T47" i="10" a="1"/>
  <c r="T47" i="10" s="1"/>
  <c r="S47" i="10" a="1"/>
  <c r="S47" i="10" s="1"/>
  <c r="R47" i="10" a="1"/>
  <c r="R47" i="10" s="1"/>
  <c r="Q47" i="10" a="1"/>
  <c r="Q47" i="10" s="1"/>
  <c r="P47" i="10" a="1"/>
  <c r="P47" i="10" s="1"/>
  <c r="AN46" i="10" a="1"/>
  <c r="AN46" i="10" s="1"/>
  <c r="AM46" i="10" a="1"/>
  <c r="AM46" i="10" s="1"/>
  <c r="AL46" i="10" a="1"/>
  <c r="AL46" i="10" s="1"/>
  <c r="AK46" i="10" a="1"/>
  <c r="AK46" i="10" s="1"/>
  <c r="AJ46" i="10" a="1"/>
  <c r="AJ46" i="10" s="1"/>
  <c r="AI46" i="10" a="1"/>
  <c r="AI46" i="10" s="1"/>
  <c r="AH46" i="10" a="1"/>
  <c r="AH46" i="10" s="1"/>
  <c r="AG46" i="10" a="1"/>
  <c r="AG46" i="10" s="1"/>
  <c r="AF46" i="10" a="1"/>
  <c r="AF46" i="10" s="1"/>
  <c r="AE46" i="10" a="1"/>
  <c r="AE46" i="10" s="1"/>
  <c r="AD46" i="10" a="1"/>
  <c r="AD46" i="10" s="1"/>
  <c r="AC46" i="10" a="1"/>
  <c r="AC46" i="10" s="1"/>
  <c r="AB46" i="10" a="1"/>
  <c r="AB46" i="10" s="1"/>
  <c r="AA46" i="10" a="1"/>
  <c r="AA46" i="10" s="1"/>
  <c r="Z46" i="10" a="1"/>
  <c r="Z46" i="10" s="1"/>
  <c r="Y46" i="10" a="1"/>
  <c r="Y46" i="10" s="1"/>
  <c r="X46" i="10" a="1"/>
  <c r="X46" i="10" s="1"/>
  <c r="W46" i="10" a="1"/>
  <c r="W46" i="10" s="1"/>
  <c r="V46" i="10" a="1"/>
  <c r="V46" i="10" s="1"/>
  <c r="U46" i="10" a="1"/>
  <c r="U46" i="10" s="1"/>
  <c r="T46" i="10" a="1"/>
  <c r="T46" i="10" s="1"/>
  <c r="S46" i="10" a="1"/>
  <c r="S46" i="10" s="1"/>
  <c r="R46" i="10" a="1"/>
  <c r="R46" i="10" s="1"/>
  <c r="Q46" i="10" a="1"/>
  <c r="Q46" i="10" s="1"/>
  <c r="P46" i="10" a="1"/>
  <c r="P46" i="10" s="1"/>
  <c r="AO45" i="10"/>
  <c r="AO45" i="10" a="1"/>
  <c r="AN45" i="10"/>
  <c r="AN45" i="10" a="1"/>
  <c r="AM45" i="10" a="1"/>
  <c r="AM45" i="10" s="1"/>
  <c r="AL45" i="10" a="1"/>
  <c r="AL45" i="10" s="1"/>
  <c r="AK45" i="10" a="1"/>
  <c r="AK45" i="10" s="1"/>
  <c r="AJ45" i="10" a="1"/>
  <c r="AJ45" i="10" s="1"/>
  <c r="AI45" i="10"/>
  <c r="AI45" i="10" a="1"/>
  <c r="AH45" i="10"/>
  <c r="AH45" i="10" a="1"/>
  <c r="AG45" i="10"/>
  <c r="AG45" i="10" a="1"/>
  <c r="AF45" i="10"/>
  <c r="AF45" i="10" a="1"/>
  <c r="AE45" i="10"/>
  <c r="AE45" i="10" a="1"/>
  <c r="AD45" i="10"/>
  <c r="AD45" i="10" a="1"/>
  <c r="AC45" i="10"/>
  <c r="AC45" i="10" a="1"/>
  <c r="AB45" i="10" a="1"/>
  <c r="AB45" i="10" s="1"/>
  <c r="AA45" i="10" a="1"/>
  <c r="AA45" i="10" s="1"/>
  <c r="Z45" i="10" a="1"/>
  <c r="Z45" i="10" s="1"/>
  <c r="Y45" i="10" a="1"/>
  <c r="Y45" i="10" s="1"/>
  <c r="X45" i="10"/>
  <c r="X45" i="10" a="1"/>
  <c r="W45" i="10"/>
  <c r="W45" i="10" a="1"/>
  <c r="V45" i="10"/>
  <c r="V45" i="10" a="1"/>
  <c r="U45" i="10"/>
  <c r="U45" i="10" a="1"/>
  <c r="T45" i="10"/>
  <c r="T45" i="10" a="1"/>
  <c r="S45" i="10"/>
  <c r="S45" i="10" a="1"/>
  <c r="R45" i="10"/>
  <c r="R45" i="10" a="1"/>
  <c r="Q45" i="10" a="1"/>
  <c r="Q45" i="10" s="1"/>
  <c r="P45" i="10" a="1"/>
  <c r="P45" i="10" s="1"/>
  <c r="AO44" i="10" a="1"/>
  <c r="AO44" i="10" s="1"/>
  <c r="AN44" i="10" a="1"/>
  <c r="AN44" i="10" s="1"/>
  <c r="AM44" i="10" a="1"/>
  <c r="AM44" i="10" s="1"/>
  <c r="AL44" i="10" a="1"/>
  <c r="AL44" i="10" s="1"/>
  <c r="AK44" i="10" a="1"/>
  <c r="AK44" i="10" s="1"/>
  <c r="AJ44" i="10" a="1"/>
  <c r="AJ44" i="10" s="1"/>
  <c r="AI44" i="10"/>
  <c r="AI44" i="10" a="1"/>
  <c r="AH44" i="10" a="1"/>
  <c r="AH44" i="10" s="1"/>
  <c r="AG44" i="10" a="1"/>
  <c r="AG44" i="10" s="1"/>
  <c r="AF44" i="10" a="1"/>
  <c r="AF44" i="10" s="1"/>
  <c r="AE44" i="10" a="1"/>
  <c r="AE44" i="10" s="1"/>
  <c r="AD44" i="10" a="1"/>
  <c r="AD44" i="10" s="1"/>
  <c r="AC44" i="10" a="1"/>
  <c r="AC44" i="10" s="1"/>
  <c r="AB44" i="10" a="1"/>
  <c r="AB44" i="10" s="1"/>
  <c r="AA44" i="10" a="1"/>
  <c r="AA44" i="10" s="1"/>
  <c r="Z44" i="10" a="1"/>
  <c r="Z44" i="10" s="1"/>
  <c r="Y44" i="10" a="1"/>
  <c r="Y44" i="10" s="1"/>
  <c r="X44" i="10"/>
  <c r="X44" i="10" a="1"/>
  <c r="W44" i="10" a="1"/>
  <c r="W44" i="10" s="1"/>
  <c r="V44" i="10" a="1"/>
  <c r="V44" i="10" s="1"/>
  <c r="U44" i="10" a="1"/>
  <c r="U44" i="10" s="1"/>
  <c r="T44" i="10" a="1"/>
  <c r="T44" i="10" s="1"/>
  <c r="S44" i="10" a="1"/>
  <c r="S44" i="10" s="1"/>
  <c r="R44" i="10" a="1"/>
  <c r="R44" i="10" s="1"/>
  <c r="Q44" i="10" a="1"/>
  <c r="Q44" i="10" s="1"/>
  <c r="P44" i="10" a="1"/>
  <c r="P44" i="10" s="1"/>
  <c r="AO43" i="10"/>
  <c r="AO43" i="10" a="1"/>
  <c r="AN43" i="10"/>
  <c r="AN43" i="10" a="1"/>
  <c r="AM43" i="10"/>
  <c r="AM43" i="10" a="1"/>
  <c r="AL43" i="10"/>
  <c r="AL55" i="10" s="1"/>
  <c r="AL43" i="10" a="1"/>
  <c r="AK43" i="10" a="1"/>
  <c r="AK43" i="10" s="1"/>
  <c r="AJ43" i="10" a="1"/>
  <c r="AJ43" i="10" s="1"/>
  <c r="AI43" i="10" a="1"/>
  <c r="AI43" i="10" s="1"/>
  <c r="AH43" i="10" a="1"/>
  <c r="AH43" i="10" s="1"/>
  <c r="AG43" i="10"/>
  <c r="AG43" i="10" a="1"/>
  <c r="AF43" i="10"/>
  <c r="AF43" i="10" a="1"/>
  <c r="AE43" i="10"/>
  <c r="AE43" i="10" a="1"/>
  <c r="AD43" i="10"/>
  <c r="AD43" i="10" a="1"/>
  <c r="AC43" i="10"/>
  <c r="AC43" i="10" a="1"/>
  <c r="AB43" i="10"/>
  <c r="AB43" i="10" a="1"/>
  <c r="AA43" i="10"/>
  <c r="AA43" i="10" a="1"/>
  <c r="Z43" i="10" a="1"/>
  <c r="Z43" i="10" s="1"/>
  <c r="Y43" i="10" a="1"/>
  <c r="Y43" i="10" s="1"/>
  <c r="X43" i="10" a="1"/>
  <c r="X43" i="10" s="1"/>
  <c r="W43" i="10" a="1"/>
  <c r="W43" i="10" s="1"/>
  <c r="V43" i="10"/>
  <c r="V43" i="10" a="1"/>
  <c r="U43" i="10"/>
  <c r="U43" i="10" a="1"/>
  <c r="T43" i="10"/>
  <c r="T43" i="10" a="1"/>
  <c r="S43" i="10" a="1"/>
  <c r="S43" i="10" s="1"/>
  <c r="R43" i="10"/>
  <c r="R43" i="10" a="1"/>
  <c r="Q43" i="10"/>
  <c r="Q43" i="10" a="1"/>
  <c r="P43" i="10"/>
  <c r="P43" i="10" a="1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Y42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Y26" i="10"/>
  <c r="X26" i="10"/>
  <c r="W26" i="10"/>
  <c r="V26" i="10"/>
  <c r="U26" i="10"/>
  <c r="T26" i="10"/>
  <c r="S26" i="10"/>
  <c r="R26" i="10"/>
  <c r="Q26" i="10"/>
  <c r="AN16" i="10"/>
  <c r="AN14" i="10" s="1"/>
  <c r="AN12" i="10" s="1"/>
  <c r="AM16" i="10"/>
  <c r="AM14" i="10" s="1"/>
  <c r="AM12" i="10" s="1"/>
  <c r="AL16" i="10"/>
  <c r="AL14" i="10" s="1"/>
  <c r="AL12" i="10" s="1"/>
  <c r="AP13" i="10"/>
  <c r="AN11" i="10"/>
  <c r="AM11" i="10"/>
  <c r="AL11" i="10"/>
  <c r="AK11" i="10"/>
  <c r="AK16" i="10" s="1"/>
  <c r="AJ11" i="10"/>
  <c r="AJ16" i="10" s="1"/>
  <c r="AI11" i="10"/>
  <c r="AI16" i="10" s="1"/>
  <c r="AH11" i="10"/>
  <c r="AH16" i="10" s="1"/>
  <c r="AG11" i="10"/>
  <c r="AG16" i="10" s="1"/>
  <c r="AF11" i="10"/>
  <c r="AF16" i="10" s="1"/>
  <c r="AO10" i="10"/>
  <c r="AO11" i="10" s="1"/>
  <c r="AO16" i="10" s="1"/>
  <c r="AN10" i="10"/>
  <c r="AM10" i="10"/>
  <c r="AL10" i="10"/>
  <c r="AK10" i="10"/>
  <c r="AJ10" i="10"/>
  <c r="AI10" i="10"/>
  <c r="AH10" i="10"/>
  <c r="AG10" i="10"/>
  <c r="AF10" i="10"/>
  <c r="AE10" i="10"/>
  <c r="AE11" i="10" s="1"/>
  <c r="AE16" i="10" s="1"/>
  <c r="AD10" i="10"/>
  <c r="AD11" i="10" s="1"/>
  <c r="AD16" i="10" s="1"/>
  <c r="AC10" i="10"/>
  <c r="AC11" i="10" s="1"/>
  <c r="AC16" i="10" s="1"/>
  <c r="AB10" i="10"/>
  <c r="AB11" i="10" s="1"/>
  <c r="AB16" i="10" s="1"/>
  <c r="AA10" i="10"/>
  <c r="AA11" i="10" s="1"/>
  <c r="AA16" i="10" s="1"/>
  <c r="AP8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AP6" i="10"/>
  <c r="AP9" i="10" s="1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AA2" i="10"/>
  <c r="AA42" i="10" s="1"/>
  <c r="Z2" i="10"/>
  <c r="Z42" i="10" s="1"/>
  <c r="Y2" i="10"/>
  <c r="X2" i="10"/>
  <c r="X42" i="10" s="1"/>
  <c r="W2" i="10"/>
  <c r="W42" i="10" s="1"/>
  <c r="V2" i="10"/>
  <c r="V42" i="10" s="1"/>
  <c r="U2" i="10"/>
  <c r="U42" i="10" s="1"/>
  <c r="T2" i="10"/>
  <c r="T42" i="10" s="1"/>
  <c r="S2" i="10"/>
  <c r="S42" i="10" s="1"/>
  <c r="R2" i="10"/>
  <c r="R42" i="10" s="1"/>
  <c r="Q2" i="10"/>
  <c r="Q42" i="10" s="1"/>
  <c r="P2" i="10"/>
  <c r="P26" i="10" s="1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AP57" i="9"/>
  <c r="AO57" i="9"/>
  <c r="AN57" i="9"/>
  <c r="AM57" i="9"/>
  <c r="AL57" i="9"/>
  <c r="AK57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H57" i="9"/>
  <c r="G57" i="9"/>
  <c r="F57" i="9"/>
  <c r="E57" i="9"/>
  <c r="D57" i="9"/>
  <c r="C57" i="9"/>
  <c r="B57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AN37" i="9" a="1"/>
  <c r="AN37" i="9" s="1"/>
  <c r="AM37" i="9" a="1"/>
  <c r="AM37" i="9" s="1"/>
  <c r="AL37" i="9" a="1"/>
  <c r="AL37" i="9" s="1"/>
  <c r="AK37" i="9" a="1"/>
  <c r="AK37" i="9" s="1"/>
  <c r="AJ37" i="9" a="1"/>
  <c r="AJ37" i="9" s="1"/>
  <c r="AI37" i="9" a="1"/>
  <c r="AI37" i="9" s="1"/>
  <c r="AH37" i="9" a="1"/>
  <c r="AH37" i="9" s="1"/>
  <c r="AG37" i="9"/>
  <c r="AG37" i="9" a="1"/>
  <c r="AF37" i="9" a="1"/>
  <c r="AF37" i="9" s="1"/>
  <c r="AE37" i="9" a="1"/>
  <c r="AE37" i="9" s="1"/>
  <c r="AD37" i="9" a="1"/>
  <c r="AD37" i="9" s="1"/>
  <c r="AC37" i="9" a="1"/>
  <c r="AC37" i="9" s="1"/>
  <c r="AB37" i="9" a="1"/>
  <c r="AB37" i="9" s="1"/>
  <c r="AA37" i="9" a="1"/>
  <c r="AA37" i="9" s="1"/>
  <c r="Z37" i="9" a="1"/>
  <c r="Z37" i="9" s="1"/>
  <c r="Y37" i="9" a="1"/>
  <c r="Y37" i="9" s="1"/>
  <c r="X37" i="9" a="1"/>
  <c r="X37" i="9" s="1"/>
  <c r="W37" i="9" a="1"/>
  <c r="W37" i="9" s="1"/>
  <c r="V37" i="9"/>
  <c r="V37" i="9" a="1"/>
  <c r="U37" i="9" a="1"/>
  <c r="U37" i="9" s="1"/>
  <c r="T37" i="9" a="1"/>
  <c r="T37" i="9" s="1"/>
  <c r="S37" i="9" a="1"/>
  <c r="S37" i="9" s="1"/>
  <c r="R37" i="9" a="1"/>
  <c r="R37" i="9" s="1"/>
  <c r="Q37" i="9" a="1"/>
  <c r="Q37" i="9" s="1"/>
  <c r="P37" i="9" a="1"/>
  <c r="P37" i="9" s="1"/>
  <c r="AN36" i="9" a="1"/>
  <c r="AN36" i="9" s="1"/>
  <c r="AM36" i="9" a="1"/>
  <c r="AM36" i="9" s="1"/>
  <c r="AL36" i="9" a="1"/>
  <c r="AL36" i="9" s="1"/>
  <c r="AK36" i="9"/>
  <c r="AK36" i="9" a="1"/>
  <c r="AJ36" i="9" a="1"/>
  <c r="AJ36" i="9" s="1"/>
  <c r="AI36" i="9" a="1"/>
  <c r="AI36" i="9" s="1"/>
  <c r="AH36" i="9" a="1"/>
  <c r="AH36" i="9" s="1"/>
  <c r="AG36" i="9" a="1"/>
  <c r="AG36" i="9" s="1"/>
  <c r="AF36" i="9" a="1"/>
  <c r="AF36" i="9" s="1"/>
  <c r="AE36" i="9" a="1"/>
  <c r="AE36" i="9" s="1"/>
  <c r="AD36" i="9" a="1"/>
  <c r="AD36" i="9" s="1"/>
  <c r="AC36" i="9" a="1"/>
  <c r="AC36" i="9" s="1"/>
  <c r="AB36" i="9" a="1"/>
  <c r="AB36" i="9" s="1"/>
  <c r="AA36" i="9" a="1"/>
  <c r="AA36" i="9" s="1"/>
  <c r="Z36" i="9"/>
  <c r="Z36" i="9" a="1"/>
  <c r="Y36" i="9" a="1"/>
  <c r="Y36" i="9" s="1"/>
  <c r="X36" i="9" a="1"/>
  <c r="X36" i="9" s="1"/>
  <c r="W36" i="9" a="1"/>
  <c r="W36" i="9" s="1"/>
  <c r="V36" i="9" a="1"/>
  <c r="V36" i="9" s="1"/>
  <c r="U36" i="9" a="1"/>
  <c r="U36" i="9" s="1"/>
  <c r="T36" i="9" a="1"/>
  <c r="T36" i="9" s="1"/>
  <c r="S36" i="9" a="1"/>
  <c r="S36" i="9" s="1"/>
  <c r="R36" i="9" a="1"/>
  <c r="R36" i="9" s="1"/>
  <c r="Q36" i="9" a="1"/>
  <c r="Q36" i="9" s="1"/>
  <c r="P36" i="9" a="1"/>
  <c r="P36" i="9" s="1"/>
  <c r="AN35" i="9" a="1"/>
  <c r="AN35" i="9" s="1"/>
  <c r="AM35" i="9" a="1"/>
  <c r="AM35" i="9" s="1"/>
  <c r="AL35" i="9" a="1"/>
  <c r="AL35" i="9" s="1"/>
  <c r="AK35" i="9" a="1"/>
  <c r="AK35" i="9" s="1"/>
  <c r="AJ35" i="9" a="1"/>
  <c r="AJ35" i="9" s="1"/>
  <c r="AI35" i="9" a="1"/>
  <c r="AI35" i="9" s="1"/>
  <c r="AH35" i="9" a="1"/>
  <c r="AH35" i="9" s="1"/>
  <c r="AG35" i="9" a="1"/>
  <c r="AG35" i="9" s="1"/>
  <c r="AF35" i="9" a="1"/>
  <c r="AF35" i="9" s="1"/>
  <c r="AE35" i="9" a="1"/>
  <c r="AE35" i="9" s="1"/>
  <c r="AD35" i="9"/>
  <c r="AD35" i="9" a="1"/>
  <c r="AC35" i="9" a="1"/>
  <c r="AC35" i="9" s="1"/>
  <c r="AB35" i="9" a="1"/>
  <c r="AB35" i="9" s="1"/>
  <c r="AA35" i="9" a="1"/>
  <c r="AA35" i="9" s="1"/>
  <c r="Z35" i="9" a="1"/>
  <c r="Z35" i="9" s="1"/>
  <c r="Y35" i="9" a="1"/>
  <c r="Y35" i="9" s="1"/>
  <c r="X35" i="9" a="1"/>
  <c r="X35" i="9" s="1"/>
  <c r="W35" i="9" a="1"/>
  <c r="W35" i="9" s="1"/>
  <c r="V35" i="9" a="1"/>
  <c r="V35" i="9" s="1"/>
  <c r="U35" i="9" a="1"/>
  <c r="U35" i="9" s="1"/>
  <c r="T35" i="9" a="1"/>
  <c r="T35" i="9" s="1"/>
  <c r="S35" i="9"/>
  <c r="S35" i="9" a="1"/>
  <c r="R35" i="9" a="1"/>
  <c r="R35" i="9" s="1"/>
  <c r="Q35" i="9" a="1"/>
  <c r="Q35" i="9" s="1"/>
  <c r="P35" i="9" a="1"/>
  <c r="P35" i="9" s="1"/>
  <c r="AN34" i="9" a="1"/>
  <c r="AN34" i="9" s="1"/>
  <c r="AM34" i="9" a="1"/>
  <c r="AM34" i="9" s="1"/>
  <c r="AL34" i="9" a="1"/>
  <c r="AL34" i="9" s="1"/>
  <c r="AK34" i="9" a="1"/>
  <c r="AK34" i="9" s="1"/>
  <c r="AJ34" i="9" a="1"/>
  <c r="AJ34" i="9" s="1"/>
  <c r="AI34" i="9" a="1"/>
  <c r="AI34" i="9" s="1"/>
  <c r="AH34" i="9"/>
  <c r="AH34" i="9" a="1"/>
  <c r="AG34" i="9" a="1"/>
  <c r="AG34" i="9" s="1"/>
  <c r="AF34" i="9" a="1"/>
  <c r="AF34" i="9" s="1"/>
  <c r="AE34" i="9" a="1"/>
  <c r="AE34" i="9" s="1"/>
  <c r="AD34" i="9" a="1"/>
  <c r="AD34" i="9" s="1"/>
  <c r="AC34" i="9" a="1"/>
  <c r="AC34" i="9" s="1"/>
  <c r="AB34" i="9" a="1"/>
  <c r="AB34" i="9" s="1"/>
  <c r="AA34" i="9" a="1"/>
  <c r="AA34" i="9" s="1"/>
  <c r="Z34" i="9" a="1"/>
  <c r="Z34" i="9" s="1"/>
  <c r="Y34" i="9" a="1"/>
  <c r="Y34" i="9" s="1"/>
  <c r="X34" i="9" a="1"/>
  <c r="X34" i="9" s="1"/>
  <c r="W34" i="9"/>
  <c r="W34" i="9" a="1"/>
  <c r="V34" i="9" a="1"/>
  <c r="V34" i="9" s="1"/>
  <c r="U34" i="9" a="1"/>
  <c r="U34" i="9" s="1"/>
  <c r="T34" i="9" a="1"/>
  <c r="T34" i="9" s="1"/>
  <c r="S34" i="9" a="1"/>
  <c r="S34" i="9" s="1"/>
  <c r="R34" i="9" a="1"/>
  <c r="R34" i="9" s="1"/>
  <c r="Q34" i="9" a="1"/>
  <c r="Q34" i="9" s="1"/>
  <c r="P34" i="9" a="1"/>
  <c r="P34" i="9" s="1"/>
  <c r="AN33" i="9" a="1"/>
  <c r="AN33" i="9" s="1"/>
  <c r="AM33" i="9" a="1"/>
  <c r="AM33" i="9" s="1"/>
  <c r="AL33" i="9"/>
  <c r="AL33" i="9" a="1"/>
  <c r="AK33" i="9" a="1"/>
  <c r="AK33" i="9" s="1"/>
  <c r="AJ33" i="9" a="1"/>
  <c r="AJ33" i="9" s="1"/>
  <c r="AI33" i="9" a="1"/>
  <c r="AI33" i="9" s="1"/>
  <c r="AH33" i="9" a="1"/>
  <c r="AH33" i="9" s="1"/>
  <c r="AG33" i="9" a="1"/>
  <c r="AG33" i="9" s="1"/>
  <c r="AF33" i="9" a="1"/>
  <c r="AF33" i="9" s="1"/>
  <c r="AE33" i="9" a="1"/>
  <c r="AE33" i="9" s="1"/>
  <c r="AD33" i="9" a="1"/>
  <c r="AD33" i="9" s="1"/>
  <c r="AC33" i="9" a="1"/>
  <c r="AC33" i="9" s="1"/>
  <c r="AB33" i="9" a="1"/>
  <c r="AB33" i="9" s="1"/>
  <c r="AA33" i="9"/>
  <c r="AA33" i="9" a="1"/>
  <c r="Z33" i="9" a="1"/>
  <c r="Z33" i="9" s="1"/>
  <c r="Y33" i="9" a="1"/>
  <c r="Y33" i="9" s="1"/>
  <c r="X33" i="9" a="1"/>
  <c r="X33" i="9" s="1"/>
  <c r="W33" i="9" a="1"/>
  <c r="W33" i="9" s="1"/>
  <c r="V33" i="9" a="1"/>
  <c r="V33" i="9" s="1"/>
  <c r="U33" i="9" a="1"/>
  <c r="U33" i="9" s="1"/>
  <c r="T33" i="9" a="1"/>
  <c r="T33" i="9" s="1"/>
  <c r="S33" i="9" a="1"/>
  <c r="S33" i="9" s="1"/>
  <c r="R33" i="9" a="1"/>
  <c r="R33" i="9" s="1"/>
  <c r="Q33" i="9" a="1"/>
  <c r="Q33" i="9" s="1"/>
  <c r="P33" i="9"/>
  <c r="P33" i="9" a="1"/>
  <c r="AN32" i="9" a="1"/>
  <c r="AN32" i="9" s="1"/>
  <c r="AM32" i="9" a="1"/>
  <c r="AM32" i="9" s="1"/>
  <c r="AL32" i="9" a="1"/>
  <c r="AL32" i="9" s="1"/>
  <c r="AK32" i="9" a="1"/>
  <c r="AK32" i="9" s="1"/>
  <c r="AJ32" i="9" a="1"/>
  <c r="AJ32" i="9" s="1"/>
  <c r="AI32" i="9" a="1"/>
  <c r="AI32" i="9" s="1"/>
  <c r="AH32" i="9" a="1"/>
  <c r="AH32" i="9" s="1"/>
  <c r="AG32" i="9" a="1"/>
  <c r="AG32" i="9" s="1"/>
  <c r="AF32" i="9" a="1"/>
  <c r="AF32" i="9" s="1"/>
  <c r="AE32" i="9"/>
  <c r="AE32" i="9" a="1"/>
  <c r="AD32" i="9" a="1"/>
  <c r="AD32" i="9" s="1"/>
  <c r="AC32" i="9" a="1"/>
  <c r="AC32" i="9" s="1"/>
  <c r="AB32" i="9" a="1"/>
  <c r="AB32" i="9" s="1"/>
  <c r="AA32" i="9" a="1"/>
  <c r="AA32" i="9" s="1"/>
  <c r="Z32" i="9" a="1"/>
  <c r="Z32" i="9" s="1"/>
  <c r="Y32" i="9" a="1"/>
  <c r="Y32" i="9" s="1"/>
  <c r="X32" i="9" a="1"/>
  <c r="X32" i="9" s="1"/>
  <c r="W32" i="9" a="1"/>
  <c r="W32" i="9" s="1"/>
  <c r="V32" i="9" a="1"/>
  <c r="V32" i="9" s="1"/>
  <c r="U32" i="9" a="1"/>
  <c r="U32" i="9" s="1"/>
  <c r="T32" i="9"/>
  <c r="T32" i="9" a="1"/>
  <c r="S32" i="9" a="1"/>
  <c r="S32" i="9" s="1"/>
  <c r="R32" i="9" a="1"/>
  <c r="R32" i="9" s="1"/>
  <c r="Q32" i="9" a="1"/>
  <c r="Q32" i="9" s="1"/>
  <c r="P32" i="9" a="1"/>
  <c r="P32" i="9" s="1"/>
  <c r="AN31" i="9" a="1"/>
  <c r="AN31" i="9" s="1"/>
  <c r="AM31" i="9" a="1"/>
  <c r="AM31" i="9" s="1"/>
  <c r="AL31" i="9" a="1"/>
  <c r="AL31" i="9" s="1"/>
  <c r="AK31" i="9" a="1"/>
  <c r="AK31" i="9" s="1"/>
  <c r="AJ31" i="9" a="1"/>
  <c r="AJ31" i="9" s="1"/>
  <c r="AI31" i="9"/>
  <c r="AI31" i="9" a="1"/>
  <c r="AH31" i="9" a="1"/>
  <c r="AH31" i="9" s="1"/>
  <c r="AG31" i="9" a="1"/>
  <c r="AG31" i="9" s="1"/>
  <c r="AF31" i="9" a="1"/>
  <c r="AF31" i="9" s="1"/>
  <c r="AE31" i="9" a="1"/>
  <c r="AE31" i="9" s="1"/>
  <c r="AD31" i="9" a="1"/>
  <c r="AD31" i="9" s="1"/>
  <c r="AC31" i="9" a="1"/>
  <c r="AC31" i="9" s="1"/>
  <c r="AB31" i="9" a="1"/>
  <c r="AB31" i="9" s="1"/>
  <c r="AA31" i="9" a="1"/>
  <c r="AA31" i="9" s="1"/>
  <c r="Z31" i="9" a="1"/>
  <c r="Z31" i="9" s="1"/>
  <c r="Y31" i="9" a="1"/>
  <c r="Y31" i="9" s="1"/>
  <c r="X31" i="9"/>
  <c r="X31" i="9" a="1"/>
  <c r="W31" i="9" a="1"/>
  <c r="W31" i="9" s="1"/>
  <c r="V31" i="9" a="1"/>
  <c r="V31" i="9" s="1"/>
  <c r="U31" i="9" a="1"/>
  <c r="U31" i="9" s="1"/>
  <c r="T31" i="9" a="1"/>
  <c r="T31" i="9" s="1"/>
  <c r="S31" i="9" a="1"/>
  <c r="S31" i="9" s="1"/>
  <c r="R31" i="9" a="1"/>
  <c r="R31" i="9" s="1"/>
  <c r="Q31" i="9" a="1"/>
  <c r="Q31" i="9" s="1"/>
  <c r="P31" i="9" a="1"/>
  <c r="P31" i="9" s="1"/>
  <c r="AN30" i="9" a="1"/>
  <c r="AN30" i="9" s="1"/>
  <c r="AM30" i="9"/>
  <c r="AM30" i="9" a="1"/>
  <c r="AL30" i="9" a="1"/>
  <c r="AL30" i="9" s="1"/>
  <c r="AK30" i="9" a="1"/>
  <c r="AK30" i="9" s="1"/>
  <c r="AJ30" i="9" a="1"/>
  <c r="AJ30" i="9" s="1"/>
  <c r="AI30" i="9" a="1"/>
  <c r="AI30" i="9" s="1"/>
  <c r="AH30" i="9" a="1"/>
  <c r="AH30" i="9" s="1"/>
  <c r="AG30" i="9" a="1"/>
  <c r="AG30" i="9" s="1"/>
  <c r="AF30" i="9" a="1"/>
  <c r="AF30" i="9" s="1"/>
  <c r="AE30" i="9" a="1"/>
  <c r="AE30" i="9" s="1"/>
  <c r="AD30" i="9" a="1"/>
  <c r="AD30" i="9" s="1"/>
  <c r="AC30" i="9" a="1"/>
  <c r="AC30" i="9" s="1"/>
  <c r="AB30" i="9"/>
  <c r="AB30" i="9" a="1"/>
  <c r="AA30" i="9" a="1"/>
  <c r="AA30" i="9" s="1"/>
  <c r="Z30" i="9" a="1"/>
  <c r="Z30" i="9" s="1"/>
  <c r="Y30" i="9" a="1"/>
  <c r="Y30" i="9" s="1"/>
  <c r="X30" i="9" a="1"/>
  <c r="X30" i="9" s="1"/>
  <c r="W30" i="9" a="1"/>
  <c r="W30" i="9" s="1"/>
  <c r="V30" i="9" a="1"/>
  <c r="V30" i="9" s="1"/>
  <c r="U30" i="9" a="1"/>
  <c r="U30" i="9" s="1"/>
  <c r="T30" i="9" a="1"/>
  <c r="T30" i="9" s="1"/>
  <c r="S30" i="9" a="1"/>
  <c r="S30" i="9" s="1"/>
  <c r="R30" i="9" a="1"/>
  <c r="R30" i="9" s="1"/>
  <c r="Q30" i="9"/>
  <c r="Q30" i="9" a="1"/>
  <c r="P30" i="9" a="1"/>
  <c r="P30" i="9" s="1"/>
  <c r="AN29" i="9" a="1"/>
  <c r="AN29" i="9" s="1"/>
  <c r="AM29" i="9" a="1"/>
  <c r="AM29" i="9" s="1"/>
  <c r="AL29" i="9" a="1"/>
  <c r="AL29" i="9" s="1"/>
  <c r="AK29" i="9" a="1"/>
  <c r="AK29" i="9" s="1"/>
  <c r="AJ29" i="9" a="1"/>
  <c r="AJ29" i="9" s="1"/>
  <c r="AI29" i="9" a="1"/>
  <c r="AI29" i="9" s="1"/>
  <c r="AH29" i="9" a="1"/>
  <c r="AH29" i="9" s="1"/>
  <c r="AG29" i="9" a="1"/>
  <c r="AG29" i="9" s="1"/>
  <c r="AF29" i="9"/>
  <c r="AF29" i="9" a="1"/>
  <c r="AE29" i="9" a="1"/>
  <c r="AE29" i="9" s="1"/>
  <c r="AD29" i="9" a="1"/>
  <c r="AD29" i="9" s="1"/>
  <c r="AC29" i="9" a="1"/>
  <c r="AC29" i="9" s="1"/>
  <c r="AB29" i="9" a="1"/>
  <c r="AB29" i="9" s="1"/>
  <c r="AA29" i="9" a="1"/>
  <c r="AA29" i="9" s="1"/>
  <c r="Z29" i="9" a="1"/>
  <c r="Z29" i="9" s="1"/>
  <c r="Y29" i="9" a="1"/>
  <c r="Y29" i="9" s="1"/>
  <c r="X29" i="9" a="1"/>
  <c r="X29" i="9" s="1"/>
  <c r="W29" i="9" a="1"/>
  <c r="W29" i="9" s="1"/>
  <c r="V29" i="9" a="1"/>
  <c r="V29" i="9" s="1"/>
  <c r="U29" i="9"/>
  <c r="U29" i="9" a="1"/>
  <c r="T29" i="9" a="1"/>
  <c r="T29" i="9" s="1"/>
  <c r="S29" i="9" a="1"/>
  <c r="S29" i="9" s="1"/>
  <c r="R29" i="9" a="1"/>
  <c r="R29" i="9" s="1"/>
  <c r="Q29" i="9" a="1"/>
  <c r="Q29" i="9" s="1"/>
  <c r="P29" i="9" a="1"/>
  <c r="P29" i="9" s="1"/>
  <c r="AN28" i="9" a="1"/>
  <c r="AN28" i="9" s="1"/>
  <c r="AM28" i="9" a="1"/>
  <c r="AM28" i="9" s="1"/>
  <c r="AL28" i="9" a="1"/>
  <c r="AL28" i="9" s="1"/>
  <c r="AK28" i="9" a="1"/>
  <c r="AK28" i="9" s="1"/>
  <c r="AJ28" i="9"/>
  <c r="AJ28" i="9" a="1"/>
  <c r="AI28" i="9" a="1"/>
  <c r="AI28" i="9" s="1"/>
  <c r="AH28" i="9" a="1"/>
  <c r="AH28" i="9" s="1"/>
  <c r="AG28" i="9" a="1"/>
  <c r="AG28" i="9" s="1"/>
  <c r="AF28" i="9" a="1"/>
  <c r="AF28" i="9" s="1"/>
  <c r="AE28" i="9" a="1"/>
  <c r="AE28" i="9" s="1"/>
  <c r="AD28" i="9" a="1"/>
  <c r="AD28" i="9" s="1"/>
  <c r="AC28" i="9" a="1"/>
  <c r="AC28" i="9" s="1"/>
  <c r="AB28" i="9" a="1"/>
  <c r="AB28" i="9" s="1"/>
  <c r="AA28" i="9" a="1"/>
  <c r="AA28" i="9" s="1"/>
  <c r="Z28" i="9" a="1"/>
  <c r="Z28" i="9" s="1"/>
  <c r="Y28" i="9"/>
  <c r="Y28" i="9" a="1"/>
  <c r="X28" i="9" a="1"/>
  <c r="X28" i="9" s="1"/>
  <c r="W28" i="9" a="1"/>
  <c r="W28" i="9" s="1"/>
  <c r="V28" i="9" a="1"/>
  <c r="V28" i="9" s="1"/>
  <c r="U28" i="9" a="1"/>
  <c r="U28" i="9" s="1"/>
  <c r="T28" i="9" a="1"/>
  <c r="T28" i="9" s="1"/>
  <c r="S28" i="9" a="1"/>
  <c r="S28" i="9" s="1"/>
  <c r="R28" i="9" a="1"/>
  <c r="R28" i="9" s="1"/>
  <c r="Q28" i="9" a="1"/>
  <c r="Q28" i="9" s="1"/>
  <c r="P28" i="9" a="1"/>
  <c r="P28" i="9" s="1"/>
  <c r="AO27" i="9" a="1"/>
  <c r="AO27" i="9" s="1"/>
  <c r="AN27" i="9"/>
  <c r="AN27" i="9" a="1"/>
  <c r="AM27" i="9"/>
  <c r="AM27" i="9" a="1"/>
  <c r="AL27" i="9"/>
  <c r="AL27" i="9" a="1"/>
  <c r="AK27" i="9"/>
  <c r="AK27" i="9" a="1"/>
  <c r="AJ27" i="9"/>
  <c r="AJ27" i="9" a="1"/>
  <c r="AI27" i="9"/>
  <c r="AI27" i="9" a="1"/>
  <c r="AH27" i="9" a="1"/>
  <c r="AH27" i="9" s="1"/>
  <c r="AG27" i="9" a="1"/>
  <c r="AG27" i="9" s="1"/>
  <c r="AF27" i="9" a="1"/>
  <c r="AF27" i="9" s="1"/>
  <c r="AE27" i="9" a="1"/>
  <c r="AE27" i="9" s="1"/>
  <c r="AD27" i="9" a="1"/>
  <c r="AD27" i="9" s="1"/>
  <c r="AC27" i="9"/>
  <c r="AC27" i="9" a="1"/>
  <c r="AB27" i="9"/>
  <c r="AB27" i="9" a="1"/>
  <c r="AA27" i="9"/>
  <c r="AA27" i="9" a="1"/>
  <c r="Z27" i="9"/>
  <c r="Z27" i="9" a="1"/>
  <c r="Y27" i="9"/>
  <c r="Y27" i="9" a="1"/>
  <c r="X27" i="9"/>
  <c r="X27" i="9" a="1"/>
  <c r="W27" i="9" a="1"/>
  <c r="W27" i="9" s="1"/>
  <c r="V27" i="9" a="1"/>
  <c r="V27" i="9" s="1"/>
  <c r="U27" i="9" a="1"/>
  <c r="U27" i="9" s="1"/>
  <c r="T27" i="9" a="1"/>
  <c r="T27" i="9" s="1"/>
  <c r="S27" i="9" a="1"/>
  <c r="S27" i="9" s="1"/>
  <c r="R27" i="9"/>
  <c r="R27" i="9" a="1"/>
  <c r="Q27" i="9"/>
  <c r="Q27" i="9" a="1"/>
  <c r="P27" i="9"/>
  <c r="P27" i="9" a="1"/>
  <c r="AO26" i="9" a="1"/>
  <c r="AO26" i="9" s="1"/>
  <c r="AN26" i="9" a="1"/>
  <c r="AN26" i="9" s="1"/>
  <c r="AM26" i="9" a="1"/>
  <c r="AM26" i="9" s="1"/>
  <c r="AL26" i="9" a="1"/>
  <c r="AL26" i="9" s="1"/>
  <c r="AK26" i="9" a="1"/>
  <c r="AK26" i="9" s="1"/>
  <c r="AK38" i="9" s="1"/>
  <c r="AK15" i="9" s="1"/>
  <c r="AJ26" i="9" a="1"/>
  <c r="AJ26" i="9" s="1"/>
  <c r="AI26" i="9" a="1"/>
  <c r="AI26" i="9" s="1"/>
  <c r="AI38" i="9" s="1"/>
  <c r="AI15" i="9" s="1"/>
  <c r="AH26" i="9"/>
  <c r="AH26" i="9" a="1"/>
  <c r="AG26" i="9" a="1"/>
  <c r="AG26" i="9" s="1"/>
  <c r="AF26" i="9" a="1"/>
  <c r="AF26" i="9" s="1"/>
  <c r="AE26" i="9" a="1"/>
  <c r="AE26" i="9" s="1"/>
  <c r="AD26" i="9" a="1"/>
  <c r="AD26" i="9" s="1"/>
  <c r="AC26" i="9" a="1"/>
  <c r="AC26" i="9" s="1"/>
  <c r="AB26" i="9" a="1"/>
  <c r="AB26" i="9" s="1"/>
  <c r="AA26" i="9" a="1"/>
  <c r="AA26" i="9" s="1"/>
  <c r="Z26" i="9" a="1"/>
  <c r="Z26" i="9" s="1"/>
  <c r="Y26" i="9" a="1"/>
  <c r="Y26" i="9" s="1"/>
  <c r="X26" i="9" a="1"/>
  <c r="X26" i="9" s="1"/>
  <c r="W26" i="9"/>
  <c r="W26" i="9" a="1"/>
  <c r="V26" i="9" a="1"/>
  <c r="V26" i="9" s="1"/>
  <c r="U26" i="9" a="1"/>
  <c r="U26" i="9" s="1"/>
  <c r="T26" i="9" a="1"/>
  <c r="T26" i="9" s="1"/>
  <c r="S26" i="9" a="1"/>
  <c r="S26" i="9" s="1"/>
  <c r="R26" i="9" a="1"/>
  <c r="R26" i="9" s="1"/>
  <c r="Q26" i="9" a="1"/>
  <c r="Q26" i="9" s="1"/>
  <c r="Q38" i="9" s="1"/>
  <c r="Q15" i="9" s="1"/>
  <c r="P26" i="9" a="1"/>
  <c r="P26" i="9" s="1"/>
  <c r="P38" i="9" s="1"/>
  <c r="P15" i="9" s="1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Y25" i="9"/>
  <c r="W25" i="9"/>
  <c r="V25" i="9"/>
  <c r="U25" i="9"/>
  <c r="T25" i="9"/>
  <c r="S25" i="9"/>
  <c r="R25" i="9"/>
  <c r="Q25" i="9"/>
  <c r="P25" i="9"/>
  <c r="AP15" i="9"/>
  <c r="AO15" i="9"/>
  <c r="AP13" i="9"/>
  <c r="AF11" i="9"/>
  <c r="AF16" i="9" s="1"/>
  <c r="AE11" i="9"/>
  <c r="AE16" i="9" s="1"/>
  <c r="AD11" i="9"/>
  <c r="AD16" i="9" s="1"/>
  <c r="AC11" i="9"/>
  <c r="AC16" i="9" s="1"/>
  <c r="AB11" i="9"/>
  <c r="AB16" i="9" s="1"/>
  <c r="AA11" i="9"/>
  <c r="AA16" i="9" s="1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AP8" i="9"/>
  <c r="AO8" i="9"/>
  <c r="AN8" i="9"/>
  <c r="AN11" i="9" s="1"/>
  <c r="AN16" i="9" s="1"/>
  <c r="AM8" i="9"/>
  <c r="AM11" i="9" s="1"/>
  <c r="AM16" i="9" s="1"/>
  <c r="AL8" i="9"/>
  <c r="AL11" i="9" s="1"/>
  <c r="AL16" i="9" s="1"/>
  <c r="AK8" i="9"/>
  <c r="AK11" i="9" s="1"/>
  <c r="AK16" i="9" s="1"/>
  <c r="AJ8" i="9"/>
  <c r="AJ11" i="9" s="1"/>
  <c r="AJ16" i="9" s="1"/>
  <c r="AI8" i="9"/>
  <c r="AI11" i="9" s="1"/>
  <c r="AI16" i="9" s="1"/>
  <c r="AH8" i="9"/>
  <c r="AH11" i="9" s="1"/>
  <c r="AH16" i="9" s="1"/>
  <c r="AG8" i="9"/>
  <c r="AG11" i="9" s="1"/>
  <c r="AG16" i="9" s="1"/>
  <c r="AF8" i="9"/>
  <c r="AE8" i="9"/>
  <c r="AD8" i="9"/>
  <c r="AC8" i="9"/>
  <c r="AB8" i="9"/>
  <c r="AW7" i="9"/>
  <c r="AU7" i="9"/>
  <c r="AS7" i="9"/>
  <c r="AM7" i="9"/>
  <c r="AK7" i="9"/>
  <c r="AI7" i="9"/>
  <c r="AH7" i="9"/>
  <c r="AG7" i="9"/>
  <c r="AF7" i="9"/>
  <c r="AE7" i="9"/>
  <c r="AJ5" i="9" s="1"/>
  <c r="AD7" i="9"/>
  <c r="AC7" i="9"/>
  <c r="AB7" i="9"/>
  <c r="AA7" i="9"/>
  <c r="AM6" i="9"/>
  <c r="AK6" i="9"/>
  <c r="AI6" i="9"/>
  <c r="AH6" i="9"/>
  <c r="AG6" i="9"/>
  <c r="AF6" i="9"/>
  <c r="AE6" i="9"/>
  <c r="AD6" i="9"/>
  <c r="AC6" i="9"/>
  <c r="AB6" i="9"/>
  <c r="AA6" i="9"/>
  <c r="AP4" i="9"/>
  <c r="AA2" i="9"/>
  <c r="Z2" i="9"/>
  <c r="Z25" i="9" s="1"/>
  <c r="Y2" i="9"/>
  <c r="X2" i="9"/>
  <c r="X25" i="9" s="1"/>
  <c r="W2" i="9"/>
  <c r="V2" i="9"/>
  <c r="U2" i="9"/>
  <c r="T2" i="9"/>
  <c r="T57" i="9" s="1"/>
  <c r="S2" i="9"/>
  <c r="S57" i="9" s="1"/>
  <c r="R2" i="9"/>
  <c r="R57" i="9" s="1"/>
  <c r="Q2" i="9"/>
  <c r="Q41" i="9" s="1"/>
  <c r="P2" i="9"/>
  <c r="P41" i="9" s="1"/>
  <c r="O2" i="9"/>
  <c r="O57" i="9" s="1"/>
  <c r="N2" i="9"/>
  <c r="N57" i="9" s="1"/>
  <c r="M2" i="9"/>
  <c r="M57" i="9" s="1"/>
  <c r="L2" i="9"/>
  <c r="L57" i="9" s="1"/>
  <c r="K2" i="9"/>
  <c r="K57" i="9" s="1"/>
  <c r="J2" i="9"/>
  <c r="J57" i="9" s="1"/>
  <c r="I2" i="9"/>
  <c r="I57" i="9" s="1"/>
  <c r="H2" i="9"/>
  <c r="G2" i="9"/>
  <c r="F2" i="9"/>
  <c r="E2" i="9"/>
  <c r="D2" i="9"/>
  <c r="C2" i="9"/>
  <c r="B2" i="9"/>
  <c r="BM57" i="8"/>
  <c r="BL57" i="8"/>
  <c r="BK57" i="8"/>
  <c r="BJ57" i="8"/>
  <c r="BI57" i="8"/>
  <c r="BH57" i="8"/>
  <c r="BG57" i="8"/>
  <c r="BF57" i="8"/>
  <c r="BE57" i="8"/>
  <c r="BD57" i="8"/>
  <c r="BC57" i="8"/>
  <c r="BB57" i="8"/>
  <c r="BA57" i="8"/>
  <c r="AZ57" i="8"/>
  <c r="AY57" i="8"/>
  <c r="AX57" i="8"/>
  <c r="AW57" i="8"/>
  <c r="AV57" i="8"/>
  <c r="AU57" i="8"/>
  <c r="AT57" i="8"/>
  <c r="AS57" i="8"/>
  <c r="AR57" i="8"/>
  <c r="AQ57" i="8"/>
  <c r="AP57" i="8"/>
  <c r="AO57" i="8"/>
  <c r="AN57" i="8"/>
  <c r="AM57" i="8"/>
  <c r="AL57" i="8"/>
  <c r="AB57" i="8"/>
  <c r="AA57" i="8"/>
  <c r="Z57" i="8"/>
  <c r="Y57" i="8"/>
  <c r="X57" i="8"/>
  <c r="W57" i="8"/>
  <c r="V57" i="8"/>
  <c r="F57" i="8"/>
  <c r="E57" i="8"/>
  <c r="D57" i="8"/>
  <c r="C57" i="8"/>
  <c r="B57" i="8"/>
  <c r="BM40" i="8"/>
  <c r="BL40" i="8"/>
  <c r="BK40" i="8"/>
  <c r="BJ40" i="8"/>
  <c r="BI40" i="8"/>
  <c r="BH40" i="8"/>
  <c r="BG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T40" i="8"/>
  <c r="AS40" i="8"/>
  <c r="AR40" i="8"/>
  <c r="AQ40" i="8"/>
  <c r="AP40" i="8"/>
  <c r="AO40" i="8"/>
  <c r="AN40" i="8"/>
  <c r="AM40" i="8"/>
  <c r="AL40" i="8"/>
  <c r="AB40" i="8"/>
  <c r="AA40" i="8"/>
  <c r="Z40" i="8"/>
  <c r="Y40" i="8"/>
  <c r="X40" i="8"/>
  <c r="W40" i="8"/>
  <c r="V40" i="8"/>
  <c r="U40" i="8"/>
  <c r="T40" i="8"/>
  <c r="AW36" i="8" a="1"/>
  <c r="AW36" i="8" s="1"/>
  <c r="AV36" i="8" a="1"/>
  <c r="AV36" i="8" s="1"/>
  <c r="AU36" i="8" a="1"/>
  <c r="AU36" i="8" s="1"/>
  <c r="AT36" i="8" a="1"/>
  <c r="AT36" i="8" s="1"/>
  <c r="AS36" i="8" a="1"/>
  <c r="AS36" i="8" s="1"/>
  <c r="AR36" i="8"/>
  <c r="AR36" i="8" a="1"/>
  <c r="AQ36" i="8" a="1"/>
  <c r="AQ36" i="8" s="1"/>
  <c r="AP36" i="8"/>
  <c r="AP36" i="8" a="1"/>
  <c r="AO36" i="8"/>
  <c r="AO36" i="8" a="1"/>
  <c r="AN36" i="8" a="1"/>
  <c r="AN36" i="8" s="1"/>
  <c r="AM36" i="8" a="1"/>
  <c r="AM36" i="8" s="1"/>
  <c r="AL36" i="8" a="1"/>
  <c r="AL36" i="8" s="1"/>
  <c r="AW35" i="8"/>
  <c r="AW35" i="8" a="1"/>
  <c r="AV35" i="8"/>
  <c r="AV35" i="8" a="1"/>
  <c r="AU35" i="8" a="1"/>
  <c r="AU35" i="8" s="1"/>
  <c r="AT35" i="8"/>
  <c r="AT35" i="8" a="1"/>
  <c r="AS35" i="8" a="1"/>
  <c r="AS35" i="8" s="1"/>
  <c r="AR35" i="8" a="1"/>
  <c r="AR35" i="8" s="1"/>
  <c r="AQ35" i="8" a="1"/>
  <c r="AQ35" i="8" s="1"/>
  <c r="AP35" i="8" a="1"/>
  <c r="AP35" i="8" s="1"/>
  <c r="AO35" i="8" a="1"/>
  <c r="AO35" i="8" s="1"/>
  <c r="AN35" i="8" a="1"/>
  <c r="AN35" i="8" s="1"/>
  <c r="AM35" i="8" a="1"/>
  <c r="AM35" i="8" s="1"/>
  <c r="AL35" i="8"/>
  <c r="AL35" i="8" a="1"/>
  <c r="AW34" i="8"/>
  <c r="AW34" i="8" a="1"/>
  <c r="AV34" i="8" a="1"/>
  <c r="AV34" i="8" s="1"/>
  <c r="AU34" i="8"/>
  <c r="AU34" i="8" a="1"/>
  <c r="AT34" i="8"/>
  <c r="AT34" i="8" a="1"/>
  <c r="AS34" i="8" a="1"/>
  <c r="AS34" i="8" s="1"/>
  <c r="AR34" i="8" a="1"/>
  <c r="AR34" i="8" s="1"/>
  <c r="AQ34" i="8" a="1"/>
  <c r="AQ34" i="8" s="1"/>
  <c r="AP34" i="8" a="1"/>
  <c r="AP34" i="8" s="1"/>
  <c r="AO34" i="8" a="1"/>
  <c r="AO34" i="8" s="1"/>
  <c r="AN34" i="8" a="1"/>
  <c r="AN34" i="8" s="1"/>
  <c r="AM34" i="8" a="1"/>
  <c r="AM34" i="8" s="1"/>
  <c r="AL34" i="8"/>
  <c r="AL34" i="8" a="1"/>
  <c r="AW33" i="8" a="1"/>
  <c r="AW33" i="8" s="1"/>
  <c r="AV33" i="8" a="1"/>
  <c r="AV33" i="8" s="1"/>
  <c r="AU33" i="8" a="1"/>
  <c r="AU33" i="8" s="1"/>
  <c r="AT33" i="8" a="1"/>
  <c r="AT33" i="8" s="1"/>
  <c r="AS33" i="8" a="1"/>
  <c r="AS33" i="8" s="1"/>
  <c r="AR33" i="8" a="1"/>
  <c r="AR33" i="8" s="1"/>
  <c r="AQ33" i="8"/>
  <c r="AQ33" i="8" a="1"/>
  <c r="AP33" i="8"/>
  <c r="AP33" i="8" a="1"/>
  <c r="AO33" i="8" a="1"/>
  <c r="AO33" i="8" s="1"/>
  <c r="AN33" i="8"/>
  <c r="AN33" i="8" a="1"/>
  <c r="AM33" i="8" a="1"/>
  <c r="AM33" i="8" s="1"/>
  <c r="AL33" i="8" a="1"/>
  <c r="AL33" i="8" s="1"/>
  <c r="AW32" i="8" a="1"/>
  <c r="AW32" i="8" s="1"/>
  <c r="AV32" i="8" a="1"/>
  <c r="AV32" i="8" s="1"/>
  <c r="AU32" i="8" a="1"/>
  <c r="AU32" i="8" s="1"/>
  <c r="AT32" i="8" a="1"/>
  <c r="AT32" i="8" s="1"/>
  <c r="AS32" i="8" a="1"/>
  <c r="AS32" i="8" s="1"/>
  <c r="AR32" i="8" a="1"/>
  <c r="AR32" i="8" s="1"/>
  <c r="AQ32" i="8"/>
  <c r="AQ32" i="8" a="1"/>
  <c r="AP32" i="8" a="1"/>
  <c r="AP32" i="8" s="1"/>
  <c r="AO32" i="8"/>
  <c r="AO32" i="8" a="1"/>
  <c r="AN32" i="8"/>
  <c r="AN32" i="8" a="1"/>
  <c r="AM32" i="8" a="1"/>
  <c r="AM32" i="8" s="1"/>
  <c r="AL32" i="8" a="1"/>
  <c r="AL32" i="8" s="1"/>
  <c r="AX31" i="8" a="1"/>
  <c r="AX31" i="8" s="1"/>
  <c r="AW31" i="8" a="1"/>
  <c r="AW31" i="8" s="1"/>
  <c r="AV31" i="8" a="1"/>
  <c r="AV31" i="8" s="1"/>
  <c r="AU31" i="8" a="1"/>
  <c r="AU31" i="8" s="1"/>
  <c r="AT31" i="8"/>
  <c r="AT31" i="8" a="1"/>
  <c r="AS31" i="8" a="1"/>
  <c r="AS31" i="8" s="1"/>
  <c r="AR31" i="8"/>
  <c r="AR31" i="8" a="1"/>
  <c r="AQ31" i="8"/>
  <c r="AQ31" i="8" a="1"/>
  <c r="AP31" i="8" a="1"/>
  <c r="AP31" i="8" s="1"/>
  <c r="AO31" i="8" a="1"/>
  <c r="AO31" i="8" s="1"/>
  <c r="AN31" i="8" a="1"/>
  <c r="AN31" i="8" s="1"/>
  <c r="AM31" i="8" a="1"/>
  <c r="AM31" i="8" s="1"/>
  <c r="AL31" i="8" a="1"/>
  <c r="AL31" i="8" s="1"/>
  <c r="AX30" i="8" a="1"/>
  <c r="AX30" i="8" s="1"/>
  <c r="AW30" i="8"/>
  <c r="AW30" i="8" a="1"/>
  <c r="AV30" i="8" a="1"/>
  <c r="AV30" i="8" s="1"/>
  <c r="AU30" i="8"/>
  <c r="AU30" i="8" a="1"/>
  <c r="AT30" i="8"/>
  <c r="AT30" i="8" a="1"/>
  <c r="AS30" i="8" a="1"/>
  <c r="AS30" i="8" s="1"/>
  <c r="AR30" i="8" a="1"/>
  <c r="AR30" i="8" s="1"/>
  <c r="AQ30" i="8" a="1"/>
  <c r="AQ30" i="8" s="1"/>
  <c r="AP30" i="8" a="1"/>
  <c r="AP30" i="8" s="1"/>
  <c r="AO30" i="8" a="1"/>
  <c r="AO30" i="8" s="1"/>
  <c r="AN30" i="8" a="1"/>
  <c r="AN30" i="8" s="1"/>
  <c r="AM30" i="8" a="1"/>
  <c r="AM30" i="8" s="1"/>
  <c r="AL30" i="8"/>
  <c r="AL30" i="8" a="1"/>
  <c r="AX29" i="8"/>
  <c r="AX29" i="8" a="1"/>
  <c r="AW29" i="8"/>
  <c r="AW29" i="8" a="1"/>
  <c r="AV29" i="8" a="1"/>
  <c r="AV29" i="8" s="1"/>
  <c r="AU29" i="8" a="1"/>
  <c r="AU29" i="8" s="1"/>
  <c r="AT29" i="8" a="1"/>
  <c r="AT29" i="8" s="1"/>
  <c r="AS29" i="8" a="1"/>
  <c r="AS29" i="8" s="1"/>
  <c r="AR29" i="8" a="1"/>
  <c r="AR29" i="8" s="1"/>
  <c r="AQ29" i="8" a="1"/>
  <c r="AQ29" i="8" s="1"/>
  <c r="AP29" i="8" a="1"/>
  <c r="AP29" i="8" s="1"/>
  <c r="AO29" i="8"/>
  <c r="AO29" i="8" a="1"/>
  <c r="AN29" i="8" a="1"/>
  <c r="AN29" i="8" s="1"/>
  <c r="AM29" i="8"/>
  <c r="AM29" i="8" a="1"/>
  <c r="AL29" i="8"/>
  <c r="AL29" i="8" a="1"/>
  <c r="AX28" i="8" a="1"/>
  <c r="AX28" i="8" s="1"/>
  <c r="AW28" i="8" a="1"/>
  <c r="AW28" i="8" s="1"/>
  <c r="AV28" i="8" a="1"/>
  <c r="AV28" i="8" s="1"/>
  <c r="AU28" i="8" a="1"/>
  <c r="AU28" i="8" s="1"/>
  <c r="AT28" i="8" a="1"/>
  <c r="AT28" i="8" s="1"/>
  <c r="AS28" i="8" a="1"/>
  <c r="AS28" i="8" s="1"/>
  <c r="AR28" i="8"/>
  <c r="AR28" i="8" a="1"/>
  <c r="AQ28" i="8" a="1"/>
  <c r="AQ28" i="8" s="1"/>
  <c r="AP28" i="8"/>
  <c r="AP28" i="8" a="1"/>
  <c r="AO28" i="8"/>
  <c r="AO28" i="8" a="1"/>
  <c r="AN28" i="8" a="1"/>
  <c r="AN28" i="8" s="1"/>
  <c r="AM28" i="8" a="1"/>
  <c r="AM28" i="8" s="1"/>
  <c r="AL28" i="8" a="1"/>
  <c r="AL28" i="8" s="1"/>
  <c r="AX27" i="8" a="1"/>
  <c r="AX27" i="8" s="1"/>
  <c r="AW27" i="8" a="1"/>
  <c r="AW27" i="8" s="1"/>
  <c r="AV27" i="8" a="1"/>
  <c r="AV27" i="8" s="1"/>
  <c r="AU27" i="8"/>
  <c r="AU27" i="8" a="1"/>
  <c r="AT27" i="8" a="1"/>
  <c r="AT27" i="8" s="1"/>
  <c r="AS27" i="8"/>
  <c r="AS27" i="8" a="1"/>
  <c r="AR27" i="8"/>
  <c r="AR27" i="8" a="1"/>
  <c r="AQ27" i="8" a="1"/>
  <c r="AQ27" i="8" s="1"/>
  <c r="AP27" i="8" a="1"/>
  <c r="AP27" i="8" s="1"/>
  <c r="AO27" i="8" a="1"/>
  <c r="AO27" i="8" s="1"/>
  <c r="AN27" i="8" a="1"/>
  <c r="AN27" i="8" s="1"/>
  <c r="AM27" i="8" a="1"/>
  <c r="AM27" i="8" s="1"/>
  <c r="AL27" i="8" a="1"/>
  <c r="AL27" i="8" s="1"/>
  <c r="AX26" i="8"/>
  <c r="AX26" i="8" a="1"/>
  <c r="AW26" i="8" a="1"/>
  <c r="AW26" i="8" s="1"/>
  <c r="AV26" i="8"/>
  <c r="AV26" i="8" a="1"/>
  <c r="AU26" i="8"/>
  <c r="AU26" i="8" a="1"/>
  <c r="AT26" i="8" a="1"/>
  <c r="AT26" i="8" s="1"/>
  <c r="AS26" i="8" a="1"/>
  <c r="AS26" i="8" s="1"/>
  <c r="AR26" i="8" a="1"/>
  <c r="AR26" i="8" s="1"/>
  <c r="AQ26" i="8" a="1"/>
  <c r="AQ26" i="8" s="1"/>
  <c r="AP26" i="8" a="1"/>
  <c r="AP26" i="8" s="1"/>
  <c r="AO26" i="8" a="1"/>
  <c r="AO26" i="8" s="1"/>
  <c r="AN26" i="8" a="1"/>
  <c r="AN26" i="8" s="1"/>
  <c r="AM26" i="8"/>
  <c r="AM26" i="8" a="1"/>
  <c r="AL26" i="8" a="1"/>
  <c r="AL26" i="8" s="1"/>
  <c r="AX25" i="8"/>
  <c r="AX25" i="8" a="1"/>
  <c r="AW25" i="8" a="1"/>
  <c r="AW25" i="8" s="1"/>
  <c r="AV25" i="8" a="1"/>
  <c r="AV25" i="8" s="1"/>
  <c r="AU25" i="8" a="1"/>
  <c r="AU25" i="8" s="1"/>
  <c r="AT25" i="8" a="1"/>
  <c r="AT25" i="8" s="1"/>
  <c r="AT37" i="8" s="1"/>
  <c r="AT14" i="8" s="1"/>
  <c r="AS25" i="8" a="1"/>
  <c r="AS25" i="8" s="1"/>
  <c r="AS37" i="8" s="1"/>
  <c r="AS14" i="8" s="1"/>
  <c r="AR25" i="8" a="1"/>
  <c r="AR25" i="8" s="1"/>
  <c r="AQ25" i="8" a="1"/>
  <c r="AQ25" i="8" s="1"/>
  <c r="AP25" i="8"/>
  <c r="AP25" i="8" a="1"/>
  <c r="AO25" i="8" a="1"/>
  <c r="AO25" i="8" s="1"/>
  <c r="AN25" i="8"/>
  <c r="AN25" i="8" a="1"/>
  <c r="AM25" i="8"/>
  <c r="AM25" i="8" a="1"/>
  <c r="AL25" i="8" a="1"/>
  <c r="AL25" i="8" s="1"/>
  <c r="BM24" i="8"/>
  <c r="BL24" i="8"/>
  <c r="BK24" i="8"/>
  <c r="BJ24" i="8"/>
  <c r="BI24" i="8"/>
  <c r="BH24" i="8"/>
  <c r="BG24" i="8"/>
  <c r="BF24" i="8"/>
  <c r="BE24" i="8"/>
  <c r="BD24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B24" i="8"/>
  <c r="W24" i="8"/>
  <c r="V24" i="8"/>
  <c r="U24" i="8"/>
  <c r="T24" i="8"/>
  <c r="S24" i="8"/>
  <c r="R24" i="8"/>
  <c r="Q24" i="8"/>
  <c r="AT21" i="8"/>
  <c r="AR21" i="8"/>
  <c r="AQ21" i="8"/>
  <c r="AP21" i="8"/>
  <c r="AO21" i="8"/>
  <c r="AR17" i="8"/>
  <c r="W17" i="8"/>
  <c r="V17" i="8"/>
  <c r="AR15" i="8"/>
  <c r="AG15" i="8"/>
  <c r="AG17" i="8" s="1"/>
  <c r="AF15" i="8"/>
  <c r="AF17" i="8" s="1"/>
  <c r="AE15" i="8"/>
  <c r="AE17" i="8" s="1"/>
  <c r="AD15" i="8"/>
  <c r="AD17" i="8" s="1"/>
  <c r="AC15" i="8"/>
  <c r="AC17" i="8" s="1"/>
  <c r="AB15" i="8"/>
  <c r="AB17" i="8" s="1"/>
  <c r="AA15" i="8"/>
  <c r="AA17" i="8" s="1"/>
  <c r="W15" i="8"/>
  <c r="V15" i="8"/>
  <c r="AZ14" i="8"/>
  <c r="AY14" i="8"/>
  <c r="AX14" i="8"/>
  <c r="AW14" i="8"/>
  <c r="AV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BD12" i="8"/>
  <c r="BE12" i="8" s="1"/>
  <c r="BF12" i="8" s="1"/>
  <c r="BG12" i="8" s="1"/>
  <c r="BH12" i="8" s="1"/>
  <c r="BI12" i="8" s="1"/>
  <c r="BJ12" i="8" s="1"/>
  <c r="BK12" i="8" s="1"/>
  <c r="BL12" i="8" s="1"/>
  <c r="BM12" i="8" s="1"/>
  <c r="BC12" i="8"/>
  <c r="BB12" i="8"/>
  <c r="BA12" i="8"/>
  <c r="AY11" i="8"/>
  <c r="AY21" i="8" s="1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AT10" i="8"/>
  <c r="AT15" i="8" s="1"/>
  <c r="AT17" i="8" s="1"/>
  <c r="AR10" i="8"/>
  <c r="AQ10" i="8"/>
  <c r="AQ15" i="8" s="1"/>
  <c r="AQ17" i="8" s="1"/>
  <c r="AP10" i="8"/>
  <c r="AP15" i="8" s="1"/>
  <c r="AP17" i="8" s="1"/>
  <c r="AO10" i="8"/>
  <c r="AO15" i="8" s="1"/>
  <c r="AO17" i="8" s="1"/>
  <c r="AN10" i="8"/>
  <c r="AN15" i="8" s="1"/>
  <c r="AN17" i="8" s="1"/>
  <c r="AM10" i="8"/>
  <c r="AM15" i="8" s="1"/>
  <c r="AM17" i="8" s="1"/>
  <c r="AL10" i="8"/>
  <c r="AL15" i="8" s="1"/>
  <c r="AL17" i="8" s="1"/>
  <c r="AK10" i="8"/>
  <c r="AK15" i="8" s="1"/>
  <c r="AK17" i="8" s="1"/>
  <c r="AJ10" i="8"/>
  <c r="AJ15" i="8" s="1"/>
  <c r="AJ17" i="8" s="1"/>
  <c r="AI10" i="8"/>
  <c r="AI15" i="8" s="1"/>
  <c r="AI17" i="8" s="1"/>
  <c r="AH10" i="8"/>
  <c r="AH15" i="8" s="1"/>
  <c r="AH17" i="8" s="1"/>
  <c r="AG10" i="8"/>
  <c r="AF10" i="8"/>
  <c r="AE10" i="8"/>
  <c r="AD10" i="8"/>
  <c r="AC10" i="8"/>
  <c r="AB10" i="8"/>
  <c r="AA10" i="8"/>
  <c r="Z10" i="8"/>
  <c r="Z15" i="8" s="1"/>
  <c r="Z17" i="8" s="1"/>
  <c r="Y10" i="8"/>
  <c r="Y15" i="8" s="1"/>
  <c r="Y17" i="8" s="1"/>
  <c r="X10" i="8"/>
  <c r="X15" i="8" s="1"/>
  <c r="X17" i="8" s="1"/>
  <c r="W10" i="8"/>
  <c r="V10" i="8"/>
  <c r="U10" i="8"/>
  <c r="U15" i="8" s="1"/>
  <c r="U17" i="8" s="1"/>
  <c r="T10" i="8"/>
  <c r="T15" i="8" s="1"/>
  <c r="T17" i="8" s="1"/>
  <c r="S10" i="8"/>
  <c r="S15" i="8" s="1"/>
  <c r="S17" i="8" s="1"/>
  <c r="R10" i="8"/>
  <c r="R15" i="8" s="1"/>
  <c r="R17" i="8" s="1"/>
  <c r="Q10" i="8"/>
  <c r="Q15" i="8" s="1"/>
  <c r="Q17" i="8" s="1"/>
  <c r="AY9" i="8"/>
  <c r="AY10" i="8" s="1"/>
  <c r="AY15" i="8" s="1"/>
  <c r="AY17" i="8" s="1"/>
  <c r="AX9" i="8"/>
  <c r="AX10" i="8" s="1"/>
  <c r="AW9" i="8"/>
  <c r="AW10" i="8" s="1"/>
  <c r="AV9" i="8"/>
  <c r="AV10" i="8" s="1"/>
  <c r="AU9" i="8"/>
  <c r="AU10" i="8" s="1"/>
  <c r="AT9" i="8"/>
  <c r="AS9" i="8"/>
  <c r="AS10" i="8" s="1"/>
  <c r="AR9" i="8"/>
  <c r="AQ9" i="8"/>
  <c r="AP9" i="8"/>
  <c r="AO9" i="8"/>
  <c r="AN9" i="8"/>
  <c r="AM9" i="8"/>
  <c r="AL9" i="8"/>
  <c r="AK9" i="8"/>
  <c r="BM7" i="8"/>
  <c r="BL7" i="8"/>
  <c r="BK7" i="8"/>
  <c r="BJ7" i="8"/>
  <c r="BI7" i="8"/>
  <c r="BH7" i="8"/>
  <c r="BG7" i="8"/>
  <c r="BF7" i="8"/>
  <c r="BE7" i="8"/>
  <c r="BD7" i="8"/>
  <c r="BC7" i="8"/>
  <c r="BB7" i="8"/>
  <c r="BA7" i="8"/>
  <c r="AZ7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AZ4" i="8"/>
  <c r="AK2" i="8"/>
  <c r="AK40" i="8" s="1"/>
  <c r="AJ2" i="8"/>
  <c r="AJ40" i="8" s="1"/>
  <c r="AI2" i="8"/>
  <c r="AI24" i="8" s="1"/>
  <c r="AH2" i="8"/>
  <c r="AH24" i="8" s="1"/>
  <c r="AG2" i="8"/>
  <c r="AG24" i="8" s="1"/>
  <c r="AF2" i="8"/>
  <c r="AF24" i="8" s="1"/>
  <c r="AE2" i="8"/>
  <c r="AE24" i="8" s="1"/>
  <c r="AD2" i="8"/>
  <c r="AD24" i="8" s="1"/>
  <c r="AC2" i="8"/>
  <c r="AC57" i="8" s="1"/>
  <c r="AB2" i="8"/>
  <c r="AA2" i="8"/>
  <c r="AA24" i="8" s="1"/>
  <c r="Z2" i="8"/>
  <c r="Z24" i="8" s="1"/>
  <c r="Y2" i="8"/>
  <c r="Y24" i="8" s="1"/>
  <c r="X2" i="8"/>
  <c r="X24" i="8" s="1"/>
  <c r="W2" i="8"/>
  <c r="V2" i="8"/>
  <c r="U2" i="8"/>
  <c r="U57" i="8" s="1"/>
  <c r="T2" i="8"/>
  <c r="T57" i="8" s="1"/>
  <c r="S2" i="8"/>
  <c r="S40" i="8" s="1"/>
  <c r="R2" i="8"/>
  <c r="R40" i="8" s="1"/>
  <c r="Q2" i="8"/>
  <c r="Q40" i="8" s="1"/>
  <c r="P2" i="8"/>
  <c r="P57" i="8" s="1"/>
  <c r="O2" i="8"/>
  <c r="O57" i="8" s="1"/>
  <c r="N2" i="8"/>
  <c r="N57" i="8" s="1"/>
  <c r="M2" i="8"/>
  <c r="M57" i="8" s="1"/>
  <c r="L2" i="8"/>
  <c r="L57" i="8" s="1"/>
  <c r="K2" i="8"/>
  <c r="K57" i="8" s="1"/>
  <c r="J2" i="8"/>
  <c r="J57" i="8" s="1"/>
  <c r="I2" i="8"/>
  <c r="I57" i="8" s="1"/>
  <c r="H2" i="8"/>
  <c r="H57" i="8" s="1"/>
  <c r="G2" i="8"/>
  <c r="G57" i="8" s="1"/>
  <c r="F2" i="8"/>
  <c r="E2" i="8"/>
  <c r="D2" i="8"/>
  <c r="C2" i="8"/>
  <c r="B2" i="8"/>
  <c r="AH58" i="7"/>
  <c r="AX57" i="7" a="1"/>
  <c r="AX57" i="7" s="1"/>
  <c r="AW57" i="7" a="1"/>
  <c r="AW57" i="7" s="1"/>
  <c r="AV57" i="7"/>
  <c r="AV57" i="7" a="1"/>
  <c r="AU57" i="7" a="1"/>
  <c r="AU57" i="7" s="1"/>
  <c r="AT57" i="7" a="1"/>
  <c r="AT57" i="7" s="1"/>
  <c r="AS57" i="7" a="1"/>
  <c r="AS57" i="7" s="1"/>
  <c r="AR57" i="7" a="1"/>
  <c r="AR57" i="7" s="1"/>
  <c r="AQ57" i="7" a="1"/>
  <c r="AQ57" i="7" s="1"/>
  <c r="AP57" i="7"/>
  <c r="AP57" i="7" a="1"/>
  <c r="AO57" i="7" a="1"/>
  <c r="AO57" i="7" s="1"/>
  <c r="AN57" i="7"/>
  <c r="AN57" i="7" a="1"/>
  <c r="AM57" i="7" a="1"/>
  <c r="AM57" i="7" s="1"/>
  <c r="AL57" i="7" a="1"/>
  <c r="AL57" i="7" s="1"/>
  <c r="AK57" i="7"/>
  <c r="AK57" i="7" a="1"/>
  <c r="AJ57" i="7" a="1"/>
  <c r="AJ57" i="7" s="1"/>
  <c r="AI57" i="7" a="1"/>
  <c r="AI57" i="7" s="1"/>
  <c r="AH57" i="7" a="1"/>
  <c r="AH57" i="7" s="1"/>
  <c r="AG57" i="7" a="1"/>
  <c r="AG57" i="7" s="1"/>
  <c r="AF57" i="7" a="1"/>
  <c r="AF57" i="7" s="1"/>
  <c r="AE57" i="7"/>
  <c r="AE57" i="7" a="1"/>
  <c r="AD57" i="7" a="1"/>
  <c r="AD57" i="7" s="1"/>
  <c r="AC57" i="7"/>
  <c r="AC57" i="7" a="1"/>
  <c r="AB57" i="7" a="1"/>
  <c r="AB57" i="7" s="1"/>
  <c r="AA57" i="7" a="1"/>
  <c r="AA57" i="7" s="1"/>
  <c r="AX56" i="7" a="1"/>
  <c r="AX56" i="7" s="1"/>
  <c r="AW56" i="7" a="1"/>
  <c r="AW56" i="7" s="1"/>
  <c r="AV56" i="7" a="1"/>
  <c r="AV56" i="7" s="1"/>
  <c r="AU56" i="7" a="1"/>
  <c r="AU56" i="7" s="1"/>
  <c r="AT56" i="7" a="1"/>
  <c r="AT56" i="7" s="1"/>
  <c r="AS56" i="7" a="1"/>
  <c r="AS56" i="7" s="1"/>
  <c r="AR56" i="7" a="1"/>
  <c r="AR56" i="7" s="1"/>
  <c r="AQ56" i="7"/>
  <c r="AQ56" i="7" a="1"/>
  <c r="AP56" i="7"/>
  <c r="AP56" i="7" a="1"/>
  <c r="AO56" i="7" a="1"/>
  <c r="AO56" i="7" s="1"/>
  <c r="AN56" i="7" a="1"/>
  <c r="AN56" i="7" s="1"/>
  <c r="AM56" i="7" a="1"/>
  <c r="AM56" i="7" s="1"/>
  <c r="AL56" i="7" a="1"/>
  <c r="AL56" i="7" s="1"/>
  <c r="AK56" i="7" a="1"/>
  <c r="AK56" i="7" s="1"/>
  <c r="AJ56" i="7" a="1"/>
  <c r="AJ56" i="7" s="1"/>
  <c r="AI56" i="7" a="1"/>
  <c r="AI56" i="7" s="1"/>
  <c r="AH56" i="7" a="1"/>
  <c r="AH56" i="7" s="1"/>
  <c r="AG56" i="7" a="1"/>
  <c r="AG56" i="7" s="1"/>
  <c r="AF56" i="7"/>
  <c r="AF56" i="7" a="1"/>
  <c r="AE56" i="7"/>
  <c r="AE56" i="7" a="1"/>
  <c r="AD56" i="7" a="1"/>
  <c r="AD56" i="7" s="1"/>
  <c r="AC56" i="7" a="1"/>
  <c r="AC56" i="7" s="1"/>
  <c r="AB56" i="7" a="1"/>
  <c r="AB56" i="7" s="1"/>
  <c r="AA56" i="7" a="1"/>
  <c r="AA56" i="7" s="1"/>
  <c r="AX55" i="7" a="1"/>
  <c r="AX55" i="7" s="1"/>
  <c r="AW55" i="7"/>
  <c r="AW55" i="7" a="1"/>
  <c r="AV55" i="7"/>
  <c r="AV55" i="7" a="1"/>
  <c r="AU55" i="7"/>
  <c r="AU55" i="7" a="1"/>
  <c r="AT55" i="7" a="1"/>
  <c r="AT55" i="7" s="1"/>
  <c r="AS55" i="7" a="1"/>
  <c r="AS55" i="7" s="1"/>
  <c r="AR55" i="7"/>
  <c r="AR55" i="7" a="1"/>
  <c r="AQ55" i="7" a="1"/>
  <c r="AQ55" i="7" s="1"/>
  <c r="AP55" i="7" a="1"/>
  <c r="AP55" i="7" s="1"/>
  <c r="AO55" i="7" a="1"/>
  <c r="AO55" i="7" s="1"/>
  <c r="AN55" i="7" a="1"/>
  <c r="AN55" i="7" s="1"/>
  <c r="AM55" i="7" a="1"/>
  <c r="AM55" i="7" s="1"/>
  <c r="AL55" i="7"/>
  <c r="AL55" i="7" a="1"/>
  <c r="AK55" i="7"/>
  <c r="AK55" i="7" a="1"/>
  <c r="AJ55" i="7"/>
  <c r="AJ55" i="7" a="1"/>
  <c r="AI55" i="7" a="1"/>
  <c r="AI55" i="7" s="1"/>
  <c r="AH55" i="7" a="1"/>
  <c r="AH55" i="7" s="1"/>
  <c r="AG55" i="7"/>
  <c r="AG55" i="7" a="1"/>
  <c r="AF55" i="7" a="1"/>
  <c r="AF55" i="7" s="1"/>
  <c r="AE55" i="7" a="1"/>
  <c r="AE55" i="7" s="1"/>
  <c r="AD55" i="7" a="1"/>
  <c r="AD55" i="7" s="1"/>
  <c r="AC55" i="7" a="1"/>
  <c r="AC55" i="7" s="1"/>
  <c r="AB55" i="7" a="1"/>
  <c r="AB55" i="7" s="1"/>
  <c r="AA55" i="7"/>
  <c r="AA55" i="7" a="1"/>
  <c r="AX54" i="7"/>
  <c r="AX54" i="7" a="1"/>
  <c r="AW54" i="7"/>
  <c r="AW54" i="7" a="1"/>
  <c r="AV54" i="7" a="1"/>
  <c r="AV54" i="7" s="1"/>
  <c r="AU54" i="7" a="1"/>
  <c r="AU54" i="7" s="1"/>
  <c r="AT54" i="7" a="1"/>
  <c r="AT54" i="7" s="1"/>
  <c r="AS54" i="7" a="1"/>
  <c r="AS54" i="7" s="1"/>
  <c r="AR54" i="7" a="1"/>
  <c r="AR54" i="7" s="1"/>
  <c r="AQ54" i="7" a="1"/>
  <c r="AQ54" i="7" s="1"/>
  <c r="AP54" i="7" a="1"/>
  <c r="AP54" i="7" s="1"/>
  <c r="AO54" i="7" a="1"/>
  <c r="AO54" i="7" s="1"/>
  <c r="AN54" i="7" a="1"/>
  <c r="AN54" i="7" s="1"/>
  <c r="AM54" i="7" a="1"/>
  <c r="AM54" i="7" s="1"/>
  <c r="AL54" i="7"/>
  <c r="AL54" i="7" a="1"/>
  <c r="AK54" i="7" a="1"/>
  <c r="AK54" i="7" s="1"/>
  <c r="AJ54" i="7" a="1"/>
  <c r="AJ54" i="7" s="1"/>
  <c r="AI54" i="7" a="1"/>
  <c r="AI54" i="7" s="1"/>
  <c r="AH54" i="7" a="1"/>
  <c r="AH54" i="7" s="1"/>
  <c r="AG54" i="7" a="1"/>
  <c r="AG54" i="7" s="1"/>
  <c r="AF54" i="7" a="1"/>
  <c r="AF54" i="7" s="1"/>
  <c r="AE54" i="7" a="1"/>
  <c r="AE54" i="7" s="1"/>
  <c r="AD54" i="7" a="1"/>
  <c r="AD54" i="7" s="1"/>
  <c r="AC54" i="7" a="1"/>
  <c r="AC54" i="7" s="1"/>
  <c r="AB54" i="7" a="1"/>
  <c r="AB54" i="7" s="1"/>
  <c r="AA54" i="7"/>
  <c r="AA54" i="7" a="1"/>
  <c r="AX53" i="7" a="1"/>
  <c r="AX53" i="7" s="1"/>
  <c r="AW53" i="7" a="1"/>
  <c r="AW53" i="7" s="1"/>
  <c r="AV53" i="7" a="1"/>
  <c r="AV53" i="7" s="1"/>
  <c r="AU53" i="7" a="1"/>
  <c r="AU53" i="7" s="1"/>
  <c r="AT53" i="7" a="1"/>
  <c r="AT53" i="7" s="1"/>
  <c r="AS53" i="7"/>
  <c r="AS53" i="7" a="1"/>
  <c r="AR53" i="7"/>
  <c r="AR53" i="7" a="1"/>
  <c r="AQ53" i="7"/>
  <c r="AQ53" i="7" a="1"/>
  <c r="AP53" i="7" a="1"/>
  <c r="AP53" i="7" s="1"/>
  <c r="AO53" i="7" a="1"/>
  <c r="AO53" i="7" s="1"/>
  <c r="AN53" i="7"/>
  <c r="AN53" i="7" a="1"/>
  <c r="AM53" i="7" a="1"/>
  <c r="AM53" i="7" s="1"/>
  <c r="AL53" i="7" a="1"/>
  <c r="AL53" i="7" s="1"/>
  <c r="AK53" i="7" a="1"/>
  <c r="AK53" i="7" s="1"/>
  <c r="AJ53" i="7" a="1"/>
  <c r="AJ53" i="7" s="1"/>
  <c r="AI53" i="7" a="1"/>
  <c r="AI53" i="7" s="1"/>
  <c r="AH53" i="7"/>
  <c r="AH53" i="7" a="1"/>
  <c r="AG53" i="7"/>
  <c r="AG53" i="7" a="1"/>
  <c r="AF53" i="7"/>
  <c r="AF53" i="7" a="1"/>
  <c r="AE53" i="7" a="1"/>
  <c r="AE53" i="7" s="1"/>
  <c r="AD53" i="7" a="1"/>
  <c r="AD53" i="7" s="1"/>
  <c r="AC53" i="7"/>
  <c r="AC53" i="7" a="1"/>
  <c r="AB53" i="7" a="1"/>
  <c r="AB53" i="7" s="1"/>
  <c r="AA53" i="7" a="1"/>
  <c r="AA53" i="7" s="1"/>
  <c r="AX52" i="7" a="1"/>
  <c r="AX52" i="7" s="1"/>
  <c r="AW52" i="7" a="1"/>
  <c r="AW52" i="7" s="1"/>
  <c r="AV52" i="7" a="1"/>
  <c r="AV52" i="7" s="1"/>
  <c r="AU52" i="7" a="1"/>
  <c r="AU52" i="7" s="1"/>
  <c r="AT52" i="7"/>
  <c r="AT52" i="7" a="1"/>
  <c r="AS52" i="7"/>
  <c r="AS52" i="7" a="1"/>
  <c r="AR52" i="7" a="1"/>
  <c r="AR52" i="7" s="1"/>
  <c r="AQ52" i="7" a="1"/>
  <c r="AQ52" i="7" s="1"/>
  <c r="AP52" i="7" a="1"/>
  <c r="AP52" i="7" s="1"/>
  <c r="AO52" i="7" a="1"/>
  <c r="AO52" i="7" s="1"/>
  <c r="AN52" i="7" a="1"/>
  <c r="AN52" i="7" s="1"/>
  <c r="AM52" i="7" a="1"/>
  <c r="AM52" i="7" s="1"/>
  <c r="AL52" i="7" a="1"/>
  <c r="AL52" i="7" s="1"/>
  <c r="AK52" i="7" a="1"/>
  <c r="AK52" i="7" s="1"/>
  <c r="AJ52" i="7" a="1"/>
  <c r="AJ52" i="7" s="1"/>
  <c r="AI52" i="7" a="1"/>
  <c r="AI52" i="7" s="1"/>
  <c r="AH52" i="7"/>
  <c r="AH52" i="7" a="1"/>
  <c r="AG52" i="7" a="1"/>
  <c r="AG52" i="7" s="1"/>
  <c r="AF52" i="7" a="1"/>
  <c r="AF52" i="7" s="1"/>
  <c r="AE52" i="7" a="1"/>
  <c r="AE52" i="7" s="1"/>
  <c r="AD52" i="7" a="1"/>
  <c r="AD52" i="7" s="1"/>
  <c r="AC52" i="7" a="1"/>
  <c r="AC52" i="7" s="1"/>
  <c r="AB52" i="7" a="1"/>
  <c r="AB52" i="7" s="1"/>
  <c r="AA52" i="7" a="1"/>
  <c r="AA52" i="7" s="1"/>
  <c r="AX51" i="7"/>
  <c r="AX51" i="7" a="1"/>
  <c r="AW51" i="7" a="1"/>
  <c r="AW51" i="7" s="1"/>
  <c r="AV51" i="7" a="1"/>
  <c r="AV51" i="7" s="1"/>
  <c r="AU51" i="7"/>
  <c r="AU51" i="7" a="1"/>
  <c r="AT51" i="7" a="1"/>
  <c r="AT51" i="7" s="1"/>
  <c r="AS51" i="7" a="1"/>
  <c r="AS51" i="7" s="1"/>
  <c r="AR51" i="7" a="1"/>
  <c r="AR51" i="7" s="1"/>
  <c r="AQ51" i="7" a="1"/>
  <c r="AQ51" i="7" s="1"/>
  <c r="AP51" i="7" a="1"/>
  <c r="AP51" i="7" s="1"/>
  <c r="AO51" i="7"/>
  <c r="AO51" i="7" a="1"/>
  <c r="AN51" i="7"/>
  <c r="AN51" i="7" a="1"/>
  <c r="AM51" i="7"/>
  <c r="AM51" i="7" a="1"/>
  <c r="AL51" i="7" a="1"/>
  <c r="AL51" i="7" s="1"/>
  <c r="AK51" i="7" a="1"/>
  <c r="AK51" i="7" s="1"/>
  <c r="AJ51" i="7"/>
  <c r="AJ51" i="7" a="1"/>
  <c r="AI51" i="7" a="1"/>
  <c r="AI51" i="7" s="1"/>
  <c r="AH51" i="7" a="1"/>
  <c r="AH51" i="7" s="1"/>
  <c r="AG51" i="7" a="1"/>
  <c r="AG51" i="7" s="1"/>
  <c r="AF51" i="7" a="1"/>
  <c r="AF51" i="7" s="1"/>
  <c r="AE51" i="7" a="1"/>
  <c r="AE51" i="7" s="1"/>
  <c r="AD51" i="7"/>
  <c r="AD51" i="7" a="1"/>
  <c r="AC51" i="7"/>
  <c r="AC51" i="7" a="1"/>
  <c r="AB51" i="7"/>
  <c r="AB51" i="7" a="1"/>
  <c r="AA51" i="7" a="1"/>
  <c r="AA51" i="7" s="1"/>
  <c r="AX50" i="7" a="1"/>
  <c r="AX50" i="7" s="1"/>
  <c r="AW50" i="7" a="1"/>
  <c r="AW50" i="7" s="1"/>
  <c r="AV50" i="7" a="1"/>
  <c r="AV50" i="7" s="1"/>
  <c r="AU50" i="7" a="1"/>
  <c r="AU50" i="7" s="1"/>
  <c r="AT50" i="7" a="1"/>
  <c r="AT50" i="7" s="1"/>
  <c r="AS50" i="7" a="1"/>
  <c r="AS50" i="7" s="1"/>
  <c r="AR50" i="7" a="1"/>
  <c r="AR50" i="7" s="1"/>
  <c r="AQ50" i="7" a="1"/>
  <c r="AQ50" i="7" s="1"/>
  <c r="AP50" i="7"/>
  <c r="AP50" i="7" a="1"/>
  <c r="AO50" i="7"/>
  <c r="AO50" i="7" a="1"/>
  <c r="AN50" i="7" a="1"/>
  <c r="AN50" i="7" s="1"/>
  <c r="AM50" i="7" a="1"/>
  <c r="AM50" i="7" s="1"/>
  <c r="AL50" i="7" a="1"/>
  <c r="AL50" i="7" s="1"/>
  <c r="AK50" i="7" a="1"/>
  <c r="AK50" i="7" s="1"/>
  <c r="AJ50" i="7" a="1"/>
  <c r="AJ50" i="7" s="1"/>
  <c r="AI50" i="7" a="1"/>
  <c r="AI50" i="7" s="1"/>
  <c r="AH50" i="7" a="1"/>
  <c r="AH50" i="7" s="1"/>
  <c r="AG50" i="7" a="1"/>
  <c r="AG50" i="7" s="1"/>
  <c r="AF50" i="7" a="1"/>
  <c r="AF50" i="7" s="1"/>
  <c r="AE50" i="7" a="1"/>
  <c r="AE50" i="7" s="1"/>
  <c r="AD50" i="7"/>
  <c r="AD50" i="7" a="1"/>
  <c r="AC50" i="7" a="1"/>
  <c r="AC50" i="7" s="1"/>
  <c r="AB50" i="7" a="1"/>
  <c r="AB50" i="7" s="1"/>
  <c r="AA50" i="7" a="1"/>
  <c r="AA50" i="7" s="1"/>
  <c r="AX49" i="7" a="1"/>
  <c r="AX49" i="7" s="1"/>
  <c r="AW49" i="7" a="1"/>
  <c r="AW49" i="7" s="1"/>
  <c r="AV49" i="7"/>
  <c r="AV49" i="7" a="1"/>
  <c r="AU49" i="7"/>
  <c r="AU49" i="7" a="1"/>
  <c r="AT49" i="7"/>
  <c r="AT49" i="7" a="1"/>
  <c r="AS49" i="7" a="1"/>
  <c r="AS49" i="7" s="1"/>
  <c r="AR49" i="7" a="1"/>
  <c r="AR49" i="7" s="1"/>
  <c r="AQ49" i="7"/>
  <c r="AQ49" i="7" a="1"/>
  <c r="AP49" i="7" a="1"/>
  <c r="AP49" i="7" s="1"/>
  <c r="AO49" i="7" a="1"/>
  <c r="AO49" i="7" s="1"/>
  <c r="AN49" i="7" a="1"/>
  <c r="AN49" i="7" s="1"/>
  <c r="AM49" i="7" a="1"/>
  <c r="AM49" i="7" s="1"/>
  <c r="AL49" i="7" a="1"/>
  <c r="AL49" i="7" s="1"/>
  <c r="AK49" i="7"/>
  <c r="AK49" i="7" a="1"/>
  <c r="AJ49" i="7"/>
  <c r="AJ49" i="7" a="1"/>
  <c r="AI49" i="7"/>
  <c r="AI49" i="7" a="1"/>
  <c r="AH49" i="7" a="1"/>
  <c r="AH49" i="7" s="1"/>
  <c r="AG49" i="7" a="1"/>
  <c r="AG49" i="7" s="1"/>
  <c r="AF49" i="7"/>
  <c r="AF49" i="7" a="1"/>
  <c r="AE49" i="7" a="1"/>
  <c r="AE49" i="7" s="1"/>
  <c r="AD49" i="7" a="1"/>
  <c r="AD49" i="7" s="1"/>
  <c r="AC49" i="7" a="1"/>
  <c r="AC49" i="7" s="1"/>
  <c r="AB49" i="7" a="1"/>
  <c r="AB49" i="7" s="1"/>
  <c r="AA49" i="7" a="1"/>
  <c r="AA49" i="7" s="1"/>
  <c r="AX48" i="7" a="1"/>
  <c r="AX48" i="7" s="1"/>
  <c r="AW48" i="7" a="1"/>
  <c r="AW48" i="7" s="1"/>
  <c r="AV48" i="7"/>
  <c r="AV48" i="7" a="1"/>
  <c r="AU48" i="7" a="1"/>
  <c r="AU48" i="7" s="1"/>
  <c r="AT48" i="7" a="1"/>
  <c r="AT48" i="7" s="1"/>
  <c r="AS48" i="7" a="1"/>
  <c r="AS48" i="7" s="1"/>
  <c r="AR48" i="7" a="1"/>
  <c r="AR48" i="7" s="1"/>
  <c r="AQ48" i="7" a="1"/>
  <c r="AQ48" i="7" s="1"/>
  <c r="AP48" i="7" a="1"/>
  <c r="AP48" i="7" s="1"/>
  <c r="AO48" i="7" a="1"/>
  <c r="AO48" i="7" s="1"/>
  <c r="AN48" i="7" a="1"/>
  <c r="AN48" i="7" s="1"/>
  <c r="AM48" i="7" a="1"/>
  <c r="AM48" i="7" s="1"/>
  <c r="AL48" i="7" a="1"/>
  <c r="AL48" i="7" s="1"/>
  <c r="AK48" i="7"/>
  <c r="AK48" i="7" a="1"/>
  <c r="AJ48" i="7" a="1"/>
  <c r="AJ48" i="7" s="1"/>
  <c r="AI48" i="7" a="1"/>
  <c r="AI48" i="7" s="1"/>
  <c r="AH48" i="7" a="1"/>
  <c r="AH48" i="7" s="1"/>
  <c r="AG48" i="7" a="1"/>
  <c r="AG48" i="7" s="1"/>
  <c r="AF48" i="7" a="1"/>
  <c r="AF48" i="7" s="1"/>
  <c r="AE48" i="7" a="1"/>
  <c r="AE48" i="7" s="1"/>
  <c r="AD48" i="7" a="1"/>
  <c r="AD48" i="7" s="1"/>
  <c r="AC48" i="7" a="1"/>
  <c r="AC48" i="7" s="1"/>
  <c r="AB48" i="7" a="1"/>
  <c r="AB48" i="7" s="1"/>
  <c r="AA48" i="7" a="1"/>
  <c r="AA48" i="7" s="1"/>
  <c r="AY47" i="7" a="1"/>
  <c r="AY47" i="7" s="1"/>
  <c r="AX47" i="7" a="1"/>
  <c r="AX47" i="7" s="1"/>
  <c r="AW47" i="7" a="1"/>
  <c r="AW47" i="7" s="1"/>
  <c r="AV47" i="7" a="1"/>
  <c r="AV47" i="7" s="1"/>
  <c r="AU47" i="7" a="1"/>
  <c r="AU47" i="7" s="1"/>
  <c r="AT47" i="7" a="1"/>
  <c r="AT47" i="7" s="1"/>
  <c r="AS47" i="7" a="1"/>
  <c r="AS47" i="7" s="1"/>
  <c r="AR47" i="7" a="1"/>
  <c r="AR47" i="7" s="1"/>
  <c r="AQ47" i="7" a="1"/>
  <c r="AQ47" i="7" s="1"/>
  <c r="AP47" i="7" a="1"/>
  <c r="AP47" i="7" s="1"/>
  <c r="AO47" i="7"/>
  <c r="AO47" i="7" a="1"/>
  <c r="AN47" i="7" a="1"/>
  <c r="AN47" i="7" s="1"/>
  <c r="AM47" i="7" a="1"/>
  <c r="AM47" i="7" s="1"/>
  <c r="AL47" i="7" a="1"/>
  <c r="AL47" i="7" s="1"/>
  <c r="AK47" i="7" a="1"/>
  <c r="AK47" i="7" s="1"/>
  <c r="AJ47" i="7" a="1"/>
  <c r="AJ47" i="7" s="1"/>
  <c r="AI47" i="7" a="1"/>
  <c r="AI47" i="7" s="1"/>
  <c r="AH47" i="7" a="1"/>
  <c r="AH47" i="7" s="1"/>
  <c r="AG47" i="7" a="1"/>
  <c r="AG47" i="7" s="1"/>
  <c r="AF47" i="7" a="1"/>
  <c r="AF47" i="7" s="1"/>
  <c r="AE47" i="7" a="1"/>
  <c r="AE47" i="7" s="1"/>
  <c r="AD47" i="7"/>
  <c r="AD47" i="7" a="1"/>
  <c r="AC47" i="7" a="1"/>
  <c r="AC47" i="7" s="1"/>
  <c r="AB47" i="7" a="1"/>
  <c r="AB47" i="7" s="1"/>
  <c r="AA47" i="7" a="1"/>
  <c r="AA47" i="7" s="1"/>
  <c r="AY46" i="7" a="1"/>
  <c r="AY46" i="7" s="1"/>
  <c r="AX46" i="7" a="1"/>
  <c r="AX46" i="7" s="1"/>
  <c r="AW46" i="7" a="1"/>
  <c r="AW46" i="7" s="1"/>
  <c r="AV46" i="7" a="1"/>
  <c r="AV46" i="7" s="1"/>
  <c r="AV58" i="7" s="1"/>
  <c r="AV10" i="7" s="1"/>
  <c r="AU46" i="7" a="1"/>
  <c r="AU46" i="7" s="1"/>
  <c r="AT46" i="7" a="1"/>
  <c r="AT46" i="7" s="1"/>
  <c r="AT58" i="7" s="1"/>
  <c r="AT10" i="7" s="1"/>
  <c r="AS46" i="7"/>
  <c r="AS46" i="7" a="1"/>
  <c r="AR46" i="7" a="1"/>
  <c r="AR46" i="7" s="1"/>
  <c r="AQ46" i="7" a="1"/>
  <c r="AQ46" i="7" s="1"/>
  <c r="AP46" i="7" a="1"/>
  <c r="AP46" i="7" s="1"/>
  <c r="AO46" i="7" a="1"/>
  <c r="AO46" i="7" s="1"/>
  <c r="AN46" i="7" a="1"/>
  <c r="AN46" i="7" s="1"/>
  <c r="AM46" i="7" a="1"/>
  <c r="AM46" i="7" s="1"/>
  <c r="AL46" i="7" a="1"/>
  <c r="AL46" i="7" s="1"/>
  <c r="AK46" i="7" a="1"/>
  <c r="AK46" i="7" s="1"/>
  <c r="AJ46" i="7" a="1"/>
  <c r="AJ46" i="7" s="1"/>
  <c r="AJ58" i="7" s="1"/>
  <c r="AI46" i="7" a="1"/>
  <c r="AI46" i="7" s="1"/>
  <c r="AI58" i="7" s="1"/>
  <c r="AH46" i="7"/>
  <c r="AH46" i="7" a="1"/>
  <c r="AG46" i="7" a="1"/>
  <c r="AG46" i="7" s="1"/>
  <c r="AG58" i="7" s="1"/>
  <c r="AF46" i="7" a="1"/>
  <c r="AF46" i="7" s="1"/>
  <c r="AF58" i="7" s="1"/>
  <c r="AE46" i="7" a="1"/>
  <c r="AE46" i="7" s="1"/>
  <c r="AE58" i="7" s="1"/>
  <c r="AD46" i="7" a="1"/>
  <c r="AD46" i="7" s="1"/>
  <c r="AD58" i="7" s="1"/>
  <c r="AC46" i="7" a="1"/>
  <c r="AC46" i="7" s="1"/>
  <c r="AC58" i="7" s="1"/>
  <c r="AB46" i="7" a="1"/>
  <c r="AB46" i="7" s="1"/>
  <c r="AB58" i="7" s="1"/>
  <c r="AA46" i="7" a="1"/>
  <c r="AA46" i="7" s="1"/>
  <c r="AA58" i="7" s="1"/>
  <c r="AZ45" i="7"/>
  <c r="AY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X40" i="7" a="1"/>
  <c r="AX40" i="7" s="1"/>
  <c r="AW40" i="7" a="1"/>
  <c r="AW40" i="7" s="1"/>
  <c r="AV40" i="7" a="1"/>
  <c r="AV40" i="7" s="1"/>
  <c r="AU40" i="7"/>
  <c r="AU40" i="7" a="1"/>
  <c r="AT40" i="7" a="1"/>
  <c r="AT40" i="7" s="1"/>
  <c r="AS40" i="7" a="1"/>
  <c r="AS40" i="7" s="1"/>
  <c r="AR40" i="7" a="1"/>
  <c r="AR40" i="7" s="1"/>
  <c r="AQ40" i="7" a="1"/>
  <c r="AQ40" i="7" s="1"/>
  <c r="AP40" i="7" a="1"/>
  <c r="AP40" i="7" s="1"/>
  <c r="AO40" i="7" a="1"/>
  <c r="AO40" i="7" s="1"/>
  <c r="AN40" i="7" a="1"/>
  <c r="AN40" i="7" s="1"/>
  <c r="AM40" i="7" a="1"/>
  <c r="AM40" i="7" s="1"/>
  <c r="AL40" i="7" a="1"/>
  <c r="AL40" i="7" s="1"/>
  <c r="AK40" i="7" a="1"/>
  <c r="AK40" i="7" s="1"/>
  <c r="AX39" i="7"/>
  <c r="AX39" i="7" a="1"/>
  <c r="AW39" i="7" a="1"/>
  <c r="AW39" i="7" s="1"/>
  <c r="AV39" i="7" a="1"/>
  <c r="AV39" i="7" s="1"/>
  <c r="AU39" i="7" a="1"/>
  <c r="AU39" i="7" s="1"/>
  <c r="AT39" i="7" a="1"/>
  <c r="AT39" i="7" s="1"/>
  <c r="AS39" i="7" a="1"/>
  <c r="AS39" i="7" s="1"/>
  <c r="AR39" i="7"/>
  <c r="AR39" i="7" a="1"/>
  <c r="AQ39" i="7"/>
  <c r="AQ39" i="7" a="1"/>
  <c r="AP39" i="7"/>
  <c r="AP39" i="7" a="1"/>
  <c r="AO39" i="7" a="1"/>
  <c r="AO39" i="7" s="1"/>
  <c r="AN39" i="7" a="1"/>
  <c r="AN39" i="7" s="1"/>
  <c r="AM39" i="7"/>
  <c r="AM39" i="7" a="1"/>
  <c r="AL39" i="7" a="1"/>
  <c r="AL39" i="7" s="1"/>
  <c r="AK39" i="7" a="1"/>
  <c r="AK39" i="7" s="1"/>
  <c r="AX38" i="7" a="1"/>
  <c r="AX38" i="7" s="1"/>
  <c r="AW38" i="7" a="1"/>
  <c r="AW38" i="7" s="1"/>
  <c r="AV38" i="7" a="1"/>
  <c r="AV38" i="7" s="1"/>
  <c r="AU38" i="7" a="1"/>
  <c r="AU38" i="7" s="1"/>
  <c r="AT38" i="7" a="1"/>
  <c r="AT38" i="7" s="1"/>
  <c r="AS38" i="7"/>
  <c r="AS38" i="7" a="1"/>
  <c r="AR38" i="7" a="1"/>
  <c r="AR38" i="7" s="1"/>
  <c r="AQ38" i="7" a="1"/>
  <c r="AQ38" i="7" s="1"/>
  <c r="AP38" i="7" a="1"/>
  <c r="AP38" i="7" s="1"/>
  <c r="AO38" i="7" a="1"/>
  <c r="AO38" i="7" s="1"/>
  <c r="AN38" i="7" a="1"/>
  <c r="AN38" i="7" s="1"/>
  <c r="AM38" i="7" a="1"/>
  <c r="AM38" i="7" s="1"/>
  <c r="AL38" i="7" a="1"/>
  <c r="AL38" i="7" s="1"/>
  <c r="AK38" i="7" a="1"/>
  <c r="AK38" i="7" s="1"/>
  <c r="AX37" i="7" a="1"/>
  <c r="AX37" i="7" s="1"/>
  <c r="AW37" i="7" a="1"/>
  <c r="AW37" i="7" s="1"/>
  <c r="AV37" i="7"/>
  <c r="AV37" i="7" a="1"/>
  <c r="AU37" i="7" a="1"/>
  <c r="AU37" i="7" s="1"/>
  <c r="AT37" i="7" a="1"/>
  <c r="AT37" i="7" s="1"/>
  <c r="AS37" i="7" a="1"/>
  <c r="AS37" i="7" s="1"/>
  <c r="AR37" i="7" a="1"/>
  <c r="AR37" i="7" s="1"/>
  <c r="AQ37" i="7" a="1"/>
  <c r="AQ37" i="7" s="1"/>
  <c r="AP37" i="7"/>
  <c r="AP37" i="7" a="1"/>
  <c r="AO37" i="7"/>
  <c r="AO37" i="7" a="1"/>
  <c r="AN37" i="7"/>
  <c r="AN37" i="7" a="1"/>
  <c r="AM37" i="7" a="1"/>
  <c r="AM37" i="7" s="1"/>
  <c r="AL37" i="7" a="1"/>
  <c r="AL37" i="7" s="1"/>
  <c r="AK37" i="7"/>
  <c r="AK37" i="7" a="1"/>
  <c r="AX36" i="7" a="1"/>
  <c r="AX36" i="7" s="1"/>
  <c r="AW36" i="7" a="1"/>
  <c r="AW36" i="7" s="1"/>
  <c r="AV36" i="7" a="1"/>
  <c r="AV36" i="7" s="1"/>
  <c r="AU36" i="7" a="1"/>
  <c r="AU36" i="7" s="1"/>
  <c r="AT36" i="7" a="1"/>
  <c r="AT36" i="7" s="1"/>
  <c r="AS36" i="7" a="1"/>
  <c r="AS36" i="7" s="1"/>
  <c r="AR36" i="7" a="1"/>
  <c r="AR36" i="7" s="1"/>
  <c r="AQ36" i="7"/>
  <c r="AQ36" i="7" a="1"/>
  <c r="AP36" i="7" a="1"/>
  <c r="AP36" i="7" s="1"/>
  <c r="AO36" i="7"/>
  <c r="AO36" i="7" a="1"/>
  <c r="AN36" i="7" a="1"/>
  <c r="AN36" i="7" s="1"/>
  <c r="AM36" i="7" a="1"/>
  <c r="AM36" i="7" s="1"/>
  <c r="AL36" i="7" a="1"/>
  <c r="AL36" i="7" s="1"/>
  <c r="AK36" i="7" a="1"/>
  <c r="AK36" i="7" s="1"/>
  <c r="AX35" i="7"/>
  <c r="AX35" i="7" a="1"/>
  <c r="AW35" i="7"/>
  <c r="AW35" i="7" a="1"/>
  <c r="AV35" i="7" a="1"/>
  <c r="AV35" i="7" s="1"/>
  <c r="AU35" i="7" a="1"/>
  <c r="AU35" i="7" s="1"/>
  <c r="AT35" i="7"/>
  <c r="AT35" i="7" a="1"/>
  <c r="AS35" i="7" a="1"/>
  <c r="AS35" i="7" s="1"/>
  <c r="AR35" i="7" a="1"/>
  <c r="AR35" i="7" s="1"/>
  <c r="AQ35" i="7" a="1"/>
  <c r="AQ35" i="7" s="1"/>
  <c r="AP35" i="7" a="1"/>
  <c r="AP35" i="7" s="1"/>
  <c r="AO35" i="7" a="1"/>
  <c r="AO35" i="7" s="1"/>
  <c r="AN35" i="7"/>
  <c r="AN35" i="7" a="1"/>
  <c r="AM35" i="7"/>
  <c r="AM35" i="7" a="1"/>
  <c r="AL35" i="7"/>
  <c r="AL35" i="7" a="1"/>
  <c r="AK35" i="7" a="1"/>
  <c r="AK35" i="7" s="1"/>
  <c r="AX34" i="7" a="1"/>
  <c r="AX34" i="7" s="1"/>
  <c r="AW34" i="7" a="1"/>
  <c r="AW34" i="7" s="1"/>
  <c r="AV34" i="7" a="1"/>
  <c r="AV34" i="7" s="1"/>
  <c r="AU34" i="7" a="1"/>
  <c r="AU34" i="7" s="1"/>
  <c r="AT34" i="7" a="1"/>
  <c r="AT34" i="7" s="1"/>
  <c r="AS34" i="7" a="1"/>
  <c r="AS34" i="7" s="1"/>
  <c r="AR34" i="7" a="1"/>
  <c r="AR34" i="7" s="1"/>
  <c r="AQ34" i="7" a="1"/>
  <c r="AQ34" i="7" s="1"/>
  <c r="AP34" i="7"/>
  <c r="AP34" i="7" a="1"/>
  <c r="AO34" i="7"/>
  <c r="AO34" i="7" a="1"/>
  <c r="AN34" i="7" a="1"/>
  <c r="AN34" i="7" s="1"/>
  <c r="AM34" i="7" a="1"/>
  <c r="AM34" i="7" s="1"/>
  <c r="AL34" i="7" a="1"/>
  <c r="AL34" i="7" s="1"/>
  <c r="AK34" i="7" a="1"/>
  <c r="AK34" i="7" s="1"/>
  <c r="AX33" i="7" a="1"/>
  <c r="AX33" i="7" s="1"/>
  <c r="AW33" i="7"/>
  <c r="AW33" i="7" a="1"/>
  <c r="AV33" i="7"/>
  <c r="AV33" i="7" a="1"/>
  <c r="AU33" i="7"/>
  <c r="AU33" i="7" a="1"/>
  <c r="AT33" i="7" a="1"/>
  <c r="AT33" i="7" s="1"/>
  <c r="AS33" i="7" a="1"/>
  <c r="AS33" i="7" s="1"/>
  <c r="AR33" i="7"/>
  <c r="AR33" i="7" a="1"/>
  <c r="AQ33" i="7" a="1"/>
  <c r="AQ33" i="7" s="1"/>
  <c r="AP33" i="7" a="1"/>
  <c r="AP33" i="7" s="1"/>
  <c r="AO33" i="7" a="1"/>
  <c r="AO33" i="7" s="1"/>
  <c r="AN33" i="7" a="1"/>
  <c r="AN33" i="7" s="1"/>
  <c r="AM33" i="7" a="1"/>
  <c r="AM33" i="7" s="1"/>
  <c r="AL33" i="7"/>
  <c r="AL33" i="7" a="1"/>
  <c r="AK33" i="7"/>
  <c r="AK33" i="7" a="1"/>
  <c r="AX32" i="7"/>
  <c r="AX32" i="7" a="1"/>
  <c r="AW32" i="7" a="1"/>
  <c r="AW32" i="7" s="1"/>
  <c r="AV32" i="7" a="1"/>
  <c r="AV32" i="7" s="1"/>
  <c r="AU32" i="7" a="1"/>
  <c r="AU32" i="7" s="1"/>
  <c r="AT32" i="7" a="1"/>
  <c r="AT32" i="7" s="1"/>
  <c r="AS32" i="7" a="1"/>
  <c r="AS32" i="7" s="1"/>
  <c r="AR32" i="7" a="1"/>
  <c r="AR32" i="7" s="1"/>
  <c r="AQ32" i="7" a="1"/>
  <c r="AQ32" i="7" s="1"/>
  <c r="AP32" i="7" a="1"/>
  <c r="AP32" i="7" s="1"/>
  <c r="AO32" i="7" a="1"/>
  <c r="AO32" i="7" s="1"/>
  <c r="AN32" i="7"/>
  <c r="AN32" i="7" a="1"/>
  <c r="AM32" i="7"/>
  <c r="AM32" i="7" a="1"/>
  <c r="AL32" i="7" a="1"/>
  <c r="AL32" i="7" s="1"/>
  <c r="AK32" i="7" a="1"/>
  <c r="AK32" i="7" s="1"/>
  <c r="AY31" i="7" a="1"/>
  <c r="AY31" i="7" s="1"/>
  <c r="AX31" i="7" a="1"/>
  <c r="AX31" i="7" s="1"/>
  <c r="AW31" i="7" a="1"/>
  <c r="AW31" i="7" s="1"/>
  <c r="AV31" i="7" a="1"/>
  <c r="AV31" i="7" s="1"/>
  <c r="AU31" i="7" a="1"/>
  <c r="AU31" i="7" s="1"/>
  <c r="AT31" i="7" a="1"/>
  <c r="AT31" i="7" s="1"/>
  <c r="AS31" i="7"/>
  <c r="AS31" i="7" a="1"/>
  <c r="AR31" i="7"/>
  <c r="AR31" i="7" a="1"/>
  <c r="AQ31" i="7" a="1"/>
  <c r="AQ31" i="7" s="1"/>
  <c r="AP31" i="7" a="1"/>
  <c r="AP31" i="7" s="1"/>
  <c r="AO31" i="7" a="1"/>
  <c r="AO31" i="7" s="1"/>
  <c r="AN31" i="7" a="1"/>
  <c r="AN31" i="7" s="1"/>
  <c r="AM31" i="7" a="1"/>
  <c r="AM31" i="7" s="1"/>
  <c r="AL31" i="7" a="1"/>
  <c r="AL31" i="7" s="1"/>
  <c r="AK31" i="7" a="1"/>
  <c r="AK31" i="7" s="1"/>
  <c r="AY30" i="7" a="1"/>
  <c r="AY30" i="7" s="1"/>
  <c r="AX30" i="7" a="1"/>
  <c r="AX30" i="7" s="1"/>
  <c r="AW30" i="7"/>
  <c r="AW30" i="7" a="1"/>
  <c r="AV30" i="7" a="1"/>
  <c r="AV30" i="7" s="1"/>
  <c r="AU30" i="7" a="1"/>
  <c r="AU30" i="7" s="1"/>
  <c r="AT30" i="7" a="1"/>
  <c r="AT30" i="7" s="1"/>
  <c r="AS30" i="7" a="1"/>
  <c r="AS30" i="7" s="1"/>
  <c r="AR30" i="7" a="1"/>
  <c r="AR30" i="7" s="1"/>
  <c r="AQ30" i="7" a="1"/>
  <c r="AQ30" i="7" s="1"/>
  <c r="AP30" i="7" a="1"/>
  <c r="AP30" i="7" s="1"/>
  <c r="AO30" i="7" a="1"/>
  <c r="AO30" i="7" s="1"/>
  <c r="AN30" i="7" a="1"/>
  <c r="AN30" i="7" s="1"/>
  <c r="AM30" i="7" a="1"/>
  <c r="AM30" i="7" s="1"/>
  <c r="AL30" i="7"/>
  <c r="AL30" i="7" a="1"/>
  <c r="AK30" i="7" a="1"/>
  <c r="AK30" i="7" s="1"/>
  <c r="AY29" i="7" a="1"/>
  <c r="AY29" i="7" s="1"/>
  <c r="AX29" i="7" a="1"/>
  <c r="AX29" i="7" s="1"/>
  <c r="AW29" i="7" a="1"/>
  <c r="AW29" i="7" s="1"/>
  <c r="AW41" i="7" s="1"/>
  <c r="AW18" i="7" s="1"/>
  <c r="AV29" i="7" a="1"/>
  <c r="AV29" i="7" s="1"/>
  <c r="AU29" i="7" a="1"/>
  <c r="AU29" i="7" s="1"/>
  <c r="AT29" i="7" a="1"/>
  <c r="AT29" i="7" s="1"/>
  <c r="AT41" i="7" s="1"/>
  <c r="AT18" i="7" s="1"/>
  <c r="AS29" i="7" a="1"/>
  <c r="AS29" i="7" s="1"/>
  <c r="AS41" i="7" s="1"/>
  <c r="AS18" i="7" s="1"/>
  <c r="AR29" i="7" a="1"/>
  <c r="AR29" i="7" s="1"/>
  <c r="AR41" i="7" s="1"/>
  <c r="AR18" i="7" s="1"/>
  <c r="AQ29" i="7"/>
  <c r="AQ29" i="7" a="1"/>
  <c r="AP29" i="7" a="1"/>
  <c r="AP29" i="7" s="1"/>
  <c r="AO29" i="7" a="1"/>
  <c r="AO29" i="7" s="1"/>
  <c r="AN29" i="7" a="1"/>
  <c r="AN29" i="7" s="1"/>
  <c r="AM29" i="7" a="1"/>
  <c r="AM29" i="7" s="1"/>
  <c r="AL29" i="7" a="1"/>
  <c r="AL29" i="7" s="1"/>
  <c r="AK29" i="7" a="1"/>
  <c r="AK29" i="7" s="1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Y8" i="7"/>
  <c r="AY11" i="7" s="1"/>
  <c r="AY19" i="7" s="1"/>
  <c r="AX8" i="7"/>
  <c r="AU8" i="7"/>
  <c r="AT8" i="7"/>
  <c r="AL8" i="7"/>
  <c r="AZ18" i="7"/>
  <c r="AY18" i="7"/>
  <c r="AZ16" i="7"/>
  <c r="AZ15" i="7"/>
  <c r="AZ13" i="7"/>
  <c r="AZ10" i="7"/>
  <c r="AY10" i="7"/>
  <c r="AX6" i="7"/>
  <c r="AM6" i="7"/>
  <c r="AL6" i="7"/>
  <c r="AK6" i="7"/>
  <c r="AZ8" i="7"/>
  <c r="AW8" i="7"/>
  <c r="AV8" i="7"/>
  <c r="AY7" i="7"/>
  <c r="AX7" i="7"/>
  <c r="AW7" i="7"/>
  <c r="AV7" i="7"/>
  <c r="AU7" i="7"/>
  <c r="AZ5" i="7" s="1"/>
  <c r="AZ7" i="7" s="1"/>
  <c r="AT7" i="7"/>
  <c r="AS7" i="7"/>
  <c r="AR7" i="7"/>
  <c r="AQ7" i="7"/>
  <c r="AP7" i="7"/>
  <c r="AO7" i="7"/>
  <c r="AN7" i="7"/>
  <c r="AM7" i="7"/>
  <c r="AL7" i="7"/>
  <c r="AK7" i="7"/>
  <c r="AY6" i="7"/>
  <c r="AW6" i="7"/>
  <c r="AV6" i="7"/>
  <c r="AU6" i="7"/>
  <c r="AT6" i="7"/>
  <c r="AS6" i="7"/>
  <c r="AR6" i="7"/>
  <c r="AQ6" i="7"/>
  <c r="AP6" i="7"/>
  <c r="AO6" i="7"/>
  <c r="AN6" i="7"/>
  <c r="AZ4" i="7"/>
  <c r="AJ2" i="7"/>
  <c r="AI2" i="7"/>
  <c r="AH2" i="7"/>
  <c r="AG2" i="7"/>
  <c r="AF2" i="7"/>
  <c r="AE2" i="7"/>
  <c r="AD2" i="7"/>
  <c r="AD45" i="7" s="1"/>
  <c r="AC2" i="7"/>
  <c r="AC45" i="7" s="1"/>
  <c r="AB2" i="7"/>
  <c r="AB45" i="7" s="1"/>
  <c r="AA2" i="7"/>
  <c r="AA45" i="7" s="1"/>
  <c r="Z2" i="7"/>
  <c r="Z45" i="7" s="1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BA96" i="6"/>
  <c r="AZ96" i="6"/>
  <c r="AY96" i="6"/>
  <c r="AX96" i="6"/>
  <c r="AW96" i="6"/>
  <c r="AW90" i="6" s="1"/>
  <c r="AV96" i="6"/>
  <c r="AT96" i="6"/>
  <c r="AT64" i="6" s="1"/>
  <c r="AS96" i="6"/>
  <c r="AR96" i="6"/>
  <c r="AR64" i="6" s="1"/>
  <c r="AQ96" i="6"/>
  <c r="AQ64" i="6" s="1"/>
  <c r="AP96" i="6"/>
  <c r="AV90" i="6" s="1"/>
  <c r="AO96" i="6"/>
  <c r="AO64" i="6" s="1"/>
  <c r="AN96" i="6"/>
  <c r="AN64" i="6" s="1"/>
  <c r="AM96" i="6"/>
  <c r="AM64" i="6" s="1"/>
  <c r="AL96" i="6"/>
  <c r="AL64" i="6" s="1"/>
  <c r="AK96" i="6"/>
  <c r="AK64" i="6" s="1"/>
  <c r="AJ96" i="6"/>
  <c r="AJ64" i="6" s="1"/>
  <c r="AI96" i="6"/>
  <c r="AI64" i="6" s="1"/>
  <c r="AH96" i="6"/>
  <c r="AH64" i="6" s="1"/>
  <c r="AG96" i="6"/>
  <c r="AG64" i="6" s="1"/>
  <c r="AF96" i="6"/>
  <c r="AF64" i="6" s="1"/>
  <c r="AE96" i="6"/>
  <c r="AE64" i="6" s="1"/>
  <c r="AD96" i="6"/>
  <c r="AC96" i="6"/>
  <c r="AB96" i="6"/>
  <c r="AA96" i="6"/>
  <c r="Z96" i="6"/>
  <c r="Y96" i="6"/>
  <c r="X96" i="6"/>
  <c r="X64" i="6" s="1"/>
  <c r="W96" i="6"/>
  <c r="V96" i="6"/>
  <c r="V64" i="6" s="1"/>
  <c r="AU95" i="6"/>
  <c r="AX94" i="6"/>
  <c r="AW94" i="6"/>
  <c r="AV94" i="6"/>
  <c r="AW92" i="6"/>
  <c r="AV92" i="6"/>
  <c r="AW91" i="6"/>
  <c r="AV91" i="6"/>
  <c r="AY90" i="6"/>
  <c r="AX90" i="6"/>
  <c r="AZ90" i="6" s="1"/>
  <c r="AW88" i="6"/>
  <c r="AV88" i="6"/>
  <c r="AX88" i="6" s="1"/>
  <c r="AW87" i="6"/>
  <c r="AV87" i="6"/>
  <c r="AW84" i="6"/>
  <c r="AV84" i="6"/>
  <c r="AY84" i="6" s="1"/>
  <c r="BA83" i="6"/>
  <c r="AZ83" i="6"/>
  <c r="AY83" i="6"/>
  <c r="AX83" i="6"/>
  <c r="AW83" i="6"/>
  <c r="AV83" i="6"/>
  <c r="AU83" i="6"/>
  <c r="AT83" i="6"/>
  <c r="AS83" i="6"/>
  <c r="AR83" i="6"/>
  <c r="AQ83" i="6"/>
  <c r="AP83" i="6"/>
  <c r="AO83" i="6"/>
  <c r="AN83" i="6"/>
  <c r="AM83" i="6"/>
  <c r="AL83" i="6"/>
  <c r="AK83" i="6"/>
  <c r="AJ83" i="6"/>
  <c r="AI83" i="6"/>
  <c r="AH83" i="6"/>
  <c r="AG83" i="6"/>
  <c r="AF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AU64" i="6"/>
  <c r="AS64" i="6"/>
  <c r="AD64" i="6"/>
  <c r="AC64" i="6"/>
  <c r="AB64" i="6"/>
  <c r="AA64" i="6"/>
  <c r="Z64" i="6"/>
  <c r="Y64" i="6"/>
  <c r="W64" i="6"/>
  <c r="Q59" i="6"/>
  <c r="P59" i="6"/>
  <c r="AS56" i="6"/>
  <c r="AR56" i="6"/>
  <c r="AQ56" i="6"/>
  <c r="AP56" i="6"/>
  <c r="BA55" i="6"/>
  <c r="AX55" i="6"/>
  <c r="AS55" i="6"/>
  <c r="AR55" i="6"/>
  <c r="AQ55" i="6"/>
  <c r="AP55" i="6"/>
  <c r="AO55" i="6"/>
  <c r="AO8" i="6" s="1"/>
  <c r="AN55" i="6"/>
  <c r="AN8" i="6" s="1"/>
  <c r="AM55" i="6"/>
  <c r="AM8" i="6" s="1"/>
  <c r="AM9" i="6" s="1"/>
  <c r="AM14" i="6" s="1"/>
  <c r="AM12" i="6" s="1"/>
  <c r="AM10" i="6" s="1"/>
  <c r="AM59" i="6" s="1"/>
  <c r="AL55" i="6"/>
  <c r="AL8" i="6" s="1"/>
  <c r="AK55" i="6"/>
  <c r="AK8" i="6" s="1"/>
  <c r="AJ55" i="6"/>
  <c r="AJ8" i="6" s="1"/>
  <c r="AI55" i="6"/>
  <c r="AI8" i="6" s="1"/>
  <c r="AH55" i="6"/>
  <c r="AH8" i="6" s="1"/>
  <c r="AG55" i="6"/>
  <c r="AG8" i="6" s="1"/>
  <c r="AF55" i="6"/>
  <c r="AF8" i="6" s="1"/>
  <c r="AE55" i="6"/>
  <c r="AE8" i="6" s="1"/>
  <c r="AD55" i="6"/>
  <c r="AD8" i="6" s="1"/>
  <c r="AC55" i="6"/>
  <c r="AC8" i="6" s="1"/>
  <c r="AB55" i="6"/>
  <c r="AA55" i="6"/>
  <c r="Z55" i="6"/>
  <c r="Y55" i="6"/>
  <c r="X55" i="6"/>
  <c r="W55" i="6"/>
  <c r="V55" i="6"/>
  <c r="U55" i="6"/>
  <c r="T55" i="6"/>
  <c r="AX54" i="6" a="1"/>
  <c r="AX54" i="6" s="1"/>
  <c r="AW54" i="6" a="1"/>
  <c r="AW54" i="6" s="1"/>
  <c r="AV54" i="6" a="1"/>
  <c r="AV54" i="6" s="1"/>
  <c r="AU54" i="6" a="1"/>
  <c r="AU54" i="6" s="1"/>
  <c r="AT54" i="6"/>
  <c r="AT54" i="6" a="1"/>
  <c r="AX53" i="6" a="1"/>
  <c r="AX53" i="6" s="1"/>
  <c r="AW53" i="6" a="1"/>
  <c r="AW53" i="6" s="1"/>
  <c r="AV53" i="6" a="1"/>
  <c r="AV53" i="6" s="1"/>
  <c r="AU53" i="6" a="1"/>
  <c r="AU53" i="6" s="1"/>
  <c r="AT53" i="6" a="1"/>
  <c r="AT53" i="6" s="1"/>
  <c r="AX52" i="6" a="1"/>
  <c r="AX52" i="6" s="1"/>
  <c r="AW52" i="6" a="1"/>
  <c r="AW52" i="6" s="1"/>
  <c r="AV52" i="6" a="1"/>
  <c r="AV52" i="6" s="1"/>
  <c r="AU52" i="6" a="1"/>
  <c r="AU52" i="6" s="1"/>
  <c r="AT52" i="6" a="1"/>
  <c r="AT52" i="6" s="1"/>
  <c r="AX51" i="6" a="1"/>
  <c r="AX51" i="6" s="1"/>
  <c r="AW51" i="6" a="1"/>
  <c r="AW51" i="6" s="1"/>
  <c r="AV51" i="6"/>
  <c r="AV51" i="6" a="1"/>
  <c r="AU51" i="6" a="1"/>
  <c r="AU51" i="6" s="1"/>
  <c r="AT51" i="6" a="1"/>
  <c r="AT51" i="6" s="1"/>
  <c r="AX50" i="6" a="1"/>
  <c r="AX50" i="6" s="1"/>
  <c r="AW50" i="6" a="1"/>
  <c r="AW50" i="6" s="1"/>
  <c r="AV50" i="6" a="1"/>
  <c r="AV50" i="6" s="1"/>
  <c r="AU50" i="6" a="1"/>
  <c r="AU50" i="6" s="1"/>
  <c r="AT50" i="6" a="1"/>
  <c r="AT50" i="6" s="1"/>
  <c r="AX49" i="6" a="1"/>
  <c r="AX49" i="6" s="1"/>
  <c r="AW49" i="6" a="1"/>
  <c r="AW49" i="6" s="1"/>
  <c r="AV49" i="6" a="1"/>
  <c r="AV49" i="6" s="1"/>
  <c r="AU49" i="6" a="1"/>
  <c r="AU49" i="6" s="1"/>
  <c r="AT49" i="6" a="1"/>
  <c r="AT49" i="6" s="1"/>
  <c r="AX48" i="6"/>
  <c r="AX48" i="6" a="1"/>
  <c r="AW48" i="6" a="1"/>
  <c r="AW48" i="6" s="1"/>
  <c r="AV48" i="6" a="1"/>
  <c r="AV48" i="6" s="1"/>
  <c r="AU48" i="6" a="1"/>
  <c r="AU48" i="6" s="1"/>
  <c r="AT48" i="6" a="1"/>
  <c r="AT48" i="6" s="1"/>
  <c r="AX47" i="6" a="1"/>
  <c r="AX47" i="6" s="1"/>
  <c r="AW47" i="6" a="1"/>
  <c r="AW47" i="6" s="1"/>
  <c r="AV47" i="6" a="1"/>
  <c r="AV47" i="6" s="1"/>
  <c r="AU47" i="6" a="1"/>
  <c r="AU47" i="6" s="1"/>
  <c r="AT47" i="6" a="1"/>
  <c r="AT47" i="6" s="1"/>
  <c r="AX46" i="6" a="1"/>
  <c r="AX46" i="6" s="1"/>
  <c r="AW46" i="6" a="1"/>
  <c r="AW46" i="6" s="1"/>
  <c r="AV46" i="6" a="1"/>
  <c r="AV46" i="6" s="1"/>
  <c r="AU46" i="6" a="1"/>
  <c r="AU46" i="6" s="1"/>
  <c r="AT46" i="6" a="1"/>
  <c r="AT46" i="6" s="1"/>
  <c r="AY45" i="6" a="1"/>
  <c r="AY45" i="6" s="1"/>
  <c r="AX45" i="6" a="1"/>
  <c r="AX45" i="6" s="1"/>
  <c r="AW45" i="6" a="1"/>
  <c r="AW45" i="6" s="1"/>
  <c r="AV45" i="6" a="1"/>
  <c r="AV45" i="6" s="1"/>
  <c r="AU45" i="6" a="1"/>
  <c r="AU45" i="6" s="1"/>
  <c r="AT45" i="6"/>
  <c r="AT45" i="6" a="1"/>
  <c r="AY44" i="6" a="1"/>
  <c r="AY44" i="6" s="1"/>
  <c r="AX44" i="6" a="1"/>
  <c r="AX44" i="6" s="1"/>
  <c r="AW44" i="6" a="1"/>
  <c r="AW44" i="6" s="1"/>
  <c r="AV44" i="6" a="1"/>
  <c r="AV44" i="6" s="1"/>
  <c r="AU44" i="6" a="1"/>
  <c r="AU44" i="6" s="1"/>
  <c r="AT44" i="6" a="1"/>
  <c r="AT44" i="6" s="1"/>
  <c r="AY43" i="6" a="1"/>
  <c r="AY43" i="6" s="1"/>
  <c r="AX43" i="6" a="1"/>
  <c r="AX43" i="6" s="1"/>
  <c r="AW43" i="6" a="1"/>
  <c r="AW43" i="6" s="1"/>
  <c r="AV43" i="6" a="1"/>
  <c r="AV43" i="6" s="1"/>
  <c r="AV55" i="6" s="1"/>
  <c r="AU43" i="6"/>
  <c r="AU43" i="6" a="1"/>
  <c r="AT43" i="6" a="1"/>
  <c r="AT43" i="6" s="1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BA37" i="6"/>
  <c r="AZ37" i="6"/>
  <c r="AY37" i="6"/>
  <c r="AX37" i="6"/>
  <c r="AW37" i="6"/>
  <c r="AV37" i="6"/>
  <c r="AV13" i="6" s="1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B13" i="6" s="1"/>
  <c r="AA37" i="6"/>
  <c r="AA13" i="6" s="1"/>
  <c r="Z37" i="6"/>
  <c r="Z13" i="6" s="1"/>
  <c r="Y37" i="6"/>
  <c r="Y13" i="6" s="1"/>
  <c r="X37" i="6"/>
  <c r="X13" i="6" s="1"/>
  <c r="W37" i="6"/>
  <c r="W13" i="6" s="1"/>
  <c r="V37" i="6"/>
  <c r="V13" i="6" s="1"/>
  <c r="U37" i="6"/>
  <c r="U13" i="6" s="1"/>
  <c r="T37" i="6"/>
  <c r="S37" i="6"/>
  <c r="R37" i="6"/>
  <c r="Q37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O16" i="6"/>
  <c r="T16" i="6"/>
  <c r="S16" i="6"/>
  <c r="R16" i="6"/>
  <c r="Q16" i="6"/>
  <c r="B16" i="6"/>
  <c r="AW14" i="6"/>
  <c r="AA14" i="6"/>
  <c r="Z14" i="6"/>
  <c r="Y14" i="6"/>
  <c r="T14" i="6"/>
  <c r="S14" i="6"/>
  <c r="R14" i="6"/>
  <c r="Q14" i="6"/>
  <c r="P14" i="6"/>
  <c r="P16" i="6" s="1"/>
  <c r="O14" i="6"/>
  <c r="O16" i="6" s="1"/>
  <c r="N14" i="6"/>
  <c r="N16" i="6" s="1"/>
  <c r="M14" i="6"/>
  <c r="M16" i="6" s="1"/>
  <c r="L14" i="6"/>
  <c r="L16" i="6" s="1"/>
  <c r="K14" i="6"/>
  <c r="K16" i="6" s="1"/>
  <c r="J14" i="6"/>
  <c r="J16" i="6" s="1"/>
  <c r="I14" i="6"/>
  <c r="I16" i="6" s="1"/>
  <c r="H14" i="6"/>
  <c r="H12" i="6" s="1"/>
  <c r="H10" i="6" s="1"/>
  <c r="H59" i="6" s="1"/>
  <c r="G14" i="6"/>
  <c r="G12" i="6" s="1"/>
  <c r="G10" i="6" s="1"/>
  <c r="G59" i="6" s="1"/>
  <c r="F14" i="6"/>
  <c r="F12" i="6" s="1"/>
  <c r="E14" i="6"/>
  <c r="D14" i="6"/>
  <c r="C14" i="6"/>
  <c r="B14" i="6"/>
  <c r="AW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T12" i="6"/>
  <c r="T10" i="6" s="1"/>
  <c r="T59" i="6" s="1"/>
  <c r="S12" i="6"/>
  <c r="S10" i="6" s="1"/>
  <c r="S59" i="6" s="1"/>
  <c r="R12" i="6"/>
  <c r="R10" i="6" s="1"/>
  <c r="R59" i="6" s="1"/>
  <c r="Q12" i="6"/>
  <c r="P12" i="6"/>
  <c r="B12" i="6"/>
  <c r="B10" i="6" s="1"/>
  <c r="B59" i="6" s="1"/>
  <c r="Q10" i="6"/>
  <c r="P10" i="6"/>
  <c r="F10" i="6"/>
  <c r="F59" i="6" s="1"/>
  <c r="BA8" i="6"/>
  <c r="AZ8" i="6"/>
  <c r="AW8" i="6"/>
  <c r="AW55" i="6" s="1"/>
  <c r="AS8" i="6"/>
  <c r="AR8" i="6"/>
  <c r="AQ8" i="6"/>
  <c r="AP8" i="6"/>
  <c r="AB8" i="6"/>
  <c r="AA8" i="6"/>
  <c r="Z8" i="6"/>
  <c r="Y8" i="6"/>
  <c r="X8" i="6"/>
  <c r="X9" i="6" s="1"/>
  <c r="X14" i="6" s="1"/>
  <c r="W8" i="6"/>
  <c r="V8" i="6"/>
  <c r="U8" i="6"/>
  <c r="BA6" i="6"/>
  <c r="AZ6" i="6"/>
  <c r="AY6" i="6"/>
  <c r="AY9" i="6" s="1"/>
  <c r="AY14" i="6" s="1"/>
  <c r="AX6" i="6"/>
  <c r="AX9" i="6" s="1"/>
  <c r="AX14" i="6" s="1"/>
  <c r="AW6" i="6"/>
  <c r="AW9" i="6" s="1"/>
  <c r="AV6" i="6"/>
  <c r="AU6" i="6"/>
  <c r="AT6" i="6"/>
  <c r="AS6" i="6"/>
  <c r="AR6" i="6"/>
  <c r="AQ6" i="6"/>
  <c r="AP6" i="6"/>
  <c r="AP9" i="6" s="1"/>
  <c r="AP14" i="6" s="1"/>
  <c r="AP16" i="6" s="1"/>
  <c r="AO6" i="6"/>
  <c r="AO9" i="6" s="1"/>
  <c r="AO14" i="6" s="1"/>
  <c r="AO12" i="6" s="1"/>
  <c r="AO10" i="6" s="1"/>
  <c r="AO59" i="6" s="1"/>
  <c r="AO65" i="6" s="1"/>
  <c r="AN6" i="6"/>
  <c r="AN9" i="6" s="1"/>
  <c r="AN14" i="6" s="1"/>
  <c r="AN16" i="6" s="1"/>
  <c r="AM6" i="6"/>
  <c r="AL6" i="6"/>
  <c r="AL9" i="6" s="1"/>
  <c r="AL14" i="6" s="1"/>
  <c r="AK6" i="6"/>
  <c r="AK9" i="6" s="1"/>
  <c r="AK14" i="6" s="1"/>
  <c r="AJ6" i="6"/>
  <c r="AJ9" i="6" s="1"/>
  <c r="AJ14" i="6" s="1"/>
  <c r="AI6" i="6"/>
  <c r="AI9" i="6" s="1"/>
  <c r="AI14" i="6" s="1"/>
  <c r="AH6" i="6"/>
  <c r="AH9" i="6" s="1"/>
  <c r="AH14" i="6" s="1"/>
  <c r="AG6" i="6"/>
  <c r="AG9" i="6" s="1"/>
  <c r="AG14" i="6" s="1"/>
  <c r="AF6" i="6"/>
  <c r="AF9" i="6" s="1"/>
  <c r="AF14" i="6" s="1"/>
  <c r="AE6" i="6"/>
  <c r="AE9" i="6" s="1"/>
  <c r="AE14" i="6" s="1"/>
  <c r="AD6" i="6"/>
  <c r="AD9" i="6" s="1"/>
  <c r="AD14" i="6" s="1"/>
  <c r="AC6" i="6"/>
  <c r="AC9" i="6" s="1"/>
  <c r="AC14" i="6" s="1"/>
  <c r="AB6" i="6"/>
  <c r="AB9" i="6" s="1"/>
  <c r="AB14" i="6" s="1"/>
  <c r="AA6" i="6"/>
  <c r="AA9" i="6" s="1"/>
  <c r="Z6" i="6"/>
  <c r="Z9" i="6" s="1"/>
  <c r="Y6" i="6"/>
  <c r="Y9" i="6" s="1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AZ4" i="6"/>
  <c r="AY4" i="6"/>
  <c r="AC109" i="5"/>
  <c r="AB109" i="5"/>
  <c r="AA109" i="5"/>
  <c r="Z109" i="5"/>
  <c r="Y109" i="5"/>
  <c r="X109" i="5"/>
  <c r="W109" i="5"/>
  <c r="V109" i="5"/>
  <c r="U109" i="5"/>
  <c r="T109" i="5"/>
  <c r="S109" i="5"/>
  <c r="R109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AL99" i="5"/>
  <c r="AI99" i="5"/>
  <c r="H99" i="5"/>
  <c r="AC98" i="5" a="1"/>
  <c r="AC98" i="5" s="1"/>
  <c r="AB98" i="5" a="1"/>
  <c r="AB98" i="5" s="1"/>
  <c r="AA98" i="5" a="1"/>
  <c r="AA98" i="5" s="1"/>
  <c r="Z98" i="5"/>
  <c r="Z98" i="5" a="1"/>
  <c r="Y98" i="5" a="1"/>
  <c r="Y98" i="5" s="1"/>
  <c r="X98" i="5" a="1"/>
  <c r="X98" i="5" s="1"/>
  <c r="W98" i="5" a="1"/>
  <c r="W98" i="5" s="1"/>
  <c r="V98" i="5"/>
  <c r="V56" i="5" s="1"/>
  <c r="V98" i="5" a="1"/>
  <c r="U98" i="5" a="1"/>
  <c r="U98" i="5" s="1"/>
  <c r="U56" i="5" s="1"/>
  <c r="T98" i="5" a="1"/>
  <c r="T98" i="5" s="1"/>
  <c r="T56" i="5" s="1"/>
  <c r="S98" i="5" a="1"/>
  <c r="S98" i="5" s="1"/>
  <c r="R98" i="5" a="1"/>
  <c r="R98" i="5" s="1"/>
  <c r="Q98" i="5" a="1"/>
  <c r="Q98" i="5" s="1"/>
  <c r="P98" i="5" a="1"/>
  <c r="P98" i="5" s="1"/>
  <c r="O98" i="5"/>
  <c r="O98" i="5" a="1"/>
  <c r="N98" i="5" a="1"/>
  <c r="N98" i="5" s="1"/>
  <c r="M98" i="5" a="1"/>
  <c r="M98" i="5" s="1"/>
  <c r="L98" i="5" a="1"/>
  <c r="L98" i="5" s="1"/>
  <c r="K98" i="5" a="1"/>
  <c r="K98" i="5" s="1"/>
  <c r="J98" i="5"/>
  <c r="J98" i="5" a="1"/>
  <c r="I98" i="5"/>
  <c r="I98" i="5" a="1"/>
  <c r="H98" i="5" a="1"/>
  <c r="H98" i="5" s="1"/>
  <c r="G98" i="5" a="1"/>
  <c r="G98" i="5" s="1"/>
  <c r="F98" i="5" a="1"/>
  <c r="F98" i="5" s="1"/>
  <c r="E98" i="5" a="1"/>
  <c r="E98" i="5" s="1"/>
  <c r="D98" i="5"/>
  <c r="D98" i="5" a="1"/>
  <c r="C98" i="5" a="1"/>
  <c r="C98" i="5" s="1"/>
  <c r="B98" i="5" a="1"/>
  <c r="B98" i="5" s="1"/>
  <c r="AC97" i="5"/>
  <c r="AC97" i="5" a="1"/>
  <c r="AB97" i="5"/>
  <c r="AB97" i="5" a="1"/>
  <c r="AA97" i="5" a="1"/>
  <c r="AA97" i="5" s="1"/>
  <c r="Z97" i="5"/>
  <c r="Z97" i="5" a="1"/>
  <c r="Y97" i="5"/>
  <c r="Y97" i="5" a="1"/>
  <c r="X97" i="5" a="1"/>
  <c r="X97" i="5" s="1"/>
  <c r="W97" i="5" a="1"/>
  <c r="W97" i="5" s="1"/>
  <c r="V97" i="5" a="1"/>
  <c r="V97" i="5" s="1"/>
  <c r="U97" i="5" a="1"/>
  <c r="U97" i="5" s="1"/>
  <c r="T97" i="5"/>
  <c r="T97" i="5" a="1"/>
  <c r="S97" i="5" a="1"/>
  <c r="S97" i="5" s="1"/>
  <c r="R97" i="5" a="1"/>
  <c r="R97" i="5" s="1"/>
  <c r="Q97" i="5" a="1"/>
  <c r="Q97" i="5" s="1"/>
  <c r="P97" i="5"/>
  <c r="P97" i="5" a="1"/>
  <c r="O97" i="5"/>
  <c r="O97" i="5" a="1"/>
  <c r="N97" i="5" a="1"/>
  <c r="N97" i="5" s="1"/>
  <c r="M97" i="5"/>
  <c r="M97" i="5" a="1"/>
  <c r="L97" i="5" a="1"/>
  <c r="L97" i="5" s="1"/>
  <c r="K97" i="5" a="1"/>
  <c r="K97" i="5" s="1"/>
  <c r="J97" i="5" a="1"/>
  <c r="J97" i="5" s="1"/>
  <c r="I97" i="5"/>
  <c r="I97" i="5" a="1"/>
  <c r="H97" i="5" a="1"/>
  <c r="H97" i="5" s="1"/>
  <c r="G97" i="5" a="1"/>
  <c r="G97" i="5" s="1"/>
  <c r="F97" i="5"/>
  <c r="F97" i="5" a="1"/>
  <c r="E97" i="5" a="1"/>
  <c r="E97" i="5" s="1"/>
  <c r="D97" i="5"/>
  <c r="D97" i="5" a="1"/>
  <c r="C97" i="5"/>
  <c r="C97" i="5" a="1"/>
  <c r="B97" i="5"/>
  <c r="B97" i="5" a="1"/>
  <c r="AC96" i="5" a="1"/>
  <c r="AC96" i="5" s="1"/>
  <c r="AB96" i="5" a="1"/>
  <c r="AB96" i="5" s="1"/>
  <c r="AA96" i="5" a="1"/>
  <c r="AA96" i="5" s="1"/>
  <c r="AA56" i="5" s="1"/>
  <c r="Z96" i="5" a="1"/>
  <c r="Z96" i="5" s="1"/>
  <c r="Y96" i="5"/>
  <c r="Y96" i="5" a="1"/>
  <c r="X96" i="5" a="1"/>
  <c r="X96" i="5" s="1"/>
  <c r="W96" i="5" a="1"/>
  <c r="W96" i="5" s="1"/>
  <c r="V96" i="5" a="1"/>
  <c r="V96" i="5" s="1"/>
  <c r="U96" i="5" a="1"/>
  <c r="U96" i="5" s="1"/>
  <c r="T96" i="5" a="1"/>
  <c r="T96" i="5" s="1"/>
  <c r="S96" i="5" a="1"/>
  <c r="S96" i="5" s="1"/>
  <c r="R96" i="5"/>
  <c r="R96" i="5" a="1"/>
  <c r="Q96" i="5" a="1"/>
  <c r="Q96" i="5" s="1"/>
  <c r="P96" i="5" a="1"/>
  <c r="P96" i="5" s="1"/>
  <c r="O96" i="5" a="1"/>
  <c r="O96" i="5" s="1"/>
  <c r="N96" i="5"/>
  <c r="N96" i="5" a="1"/>
  <c r="M96" i="5" a="1"/>
  <c r="M96" i="5" s="1"/>
  <c r="L96" i="5" a="1"/>
  <c r="L96" i="5" s="1"/>
  <c r="K96" i="5"/>
  <c r="K96" i="5" a="1"/>
  <c r="J96" i="5" a="1"/>
  <c r="J96" i="5" s="1"/>
  <c r="I96" i="5" a="1"/>
  <c r="I96" i="5" s="1"/>
  <c r="H96" i="5" a="1"/>
  <c r="H96" i="5" s="1"/>
  <c r="G96" i="5" a="1"/>
  <c r="G96" i="5" s="1"/>
  <c r="F96" i="5" a="1"/>
  <c r="F96" i="5" s="1"/>
  <c r="E96" i="5" a="1"/>
  <c r="E96" i="5" s="1"/>
  <c r="D96" i="5" a="1"/>
  <c r="D96" i="5" s="1"/>
  <c r="C96" i="5"/>
  <c r="C96" i="5" a="1"/>
  <c r="B96" i="5" a="1"/>
  <c r="B96" i="5" s="1"/>
  <c r="B56" i="5" s="1"/>
  <c r="AC95" i="5" a="1"/>
  <c r="AC95" i="5" s="1"/>
  <c r="AB95" i="5"/>
  <c r="AB95" i="5" a="1"/>
  <c r="AA95" i="5"/>
  <c r="AA95" i="5" a="1"/>
  <c r="Z95" i="5" a="1"/>
  <c r="Z95" i="5" s="1"/>
  <c r="Y95" i="5" a="1"/>
  <c r="Y95" i="5" s="1"/>
  <c r="X95" i="5"/>
  <c r="X95" i="5" a="1"/>
  <c r="W95" i="5" a="1"/>
  <c r="W95" i="5" s="1"/>
  <c r="W56" i="5" s="1"/>
  <c r="V95" i="5" a="1"/>
  <c r="V95" i="5" s="1"/>
  <c r="U95" i="5" a="1"/>
  <c r="U95" i="5" s="1"/>
  <c r="T95" i="5" a="1"/>
  <c r="T95" i="5" s="1"/>
  <c r="S95" i="5"/>
  <c r="S95" i="5" a="1"/>
  <c r="R95" i="5" a="1"/>
  <c r="R95" i="5" s="1"/>
  <c r="Q95" i="5"/>
  <c r="Q95" i="5" a="1"/>
  <c r="P95" i="5" a="1"/>
  <c r="P95" i="5" s="1"/>
  <c r="O95" i="5"/>
  <c r="O95" i="5" a="1"/>
  <c r="N95" i="5"/>
  <c r="N95" i="5" a="1"/>
  <c r="M95" i="5" a="1"/>
  <c r="M95" i="5" s="1"/>
  <c r="M56" i="5" s="1"/>
  <c r="L95" i="5" a="1"/>
  <c r="L95" i="5" s="1"/>
  <c r="K95" i="5" a="1"/>
  <c r="K95" i="5" s="1"/>
  <c r="J95" i="5" a="1"/>
  <c r="J95" i="5" s="1"/>
  <c r="J56" i="5" s="1"/>
  <c r="I95" i="5" a="1"/>
  <c r="I95" i="5" s="1"/>
  <c r="H95" i="5"/>
  <c r="H95" i="5" a="1"/>
  <c r="G95" i="5" a="1"/>
  <c r="G95" i="5" s="1"/>
  <c r="F95" i="5" a="1"/>
  <c r="F95" i="5" s="1"/>
  <c r="E95" i="5" a="1"/>
  <c r="E95" i="5" s="1"/>
  <c r="D95" i="5"/>
  <c r="D95" i="5" a="1"/>
  <c r="C95" i="5" a="1"/>
  <c r="C95" i="5" s="1"/>
  <c r="B95" i="5"/>
  <c r="B95" i="5" a="1"/>
  <c r="AC94" i="5" a="1"/>
  <c r="AC94" i="5" s="1"/>
  <c r="AC56" i="5" s="1"/>
  <c r="AB94" i="5"/>
  <c r="AB56" i="5" s="1"/>
  <c r="AB94" i="5" a="1"/>
  <c r="AA94" i="5" a="1"/>
  <c r="AA94" i="5" s="1"/>
  <c r="Z94" i="5" a="1"/>
  <c r="Z94" i="5" s="1"/>
  <c r="Y94" i="5" a="1"/>
  <c r="Y94" i="5" s="1"/>
  <c r="X94" i="5"/>
  <c r="X94" i="5" a="1"/>
  <c r="W94" i="5" a="1"/>
  <c r="W94" i="5" s="1"/>
  <c r="V94" i="5" a="1"/>
  <c r="V94" i="5" s="1"/>
  <c r="U94" i="5" a="1"/>
  <c r="U94" i="5" s="1"/>
  <c r="T94" i="5"/>
  <c r="T94" i="5" a="1"/>
  <c r="S94" i="5" a="1"/>
  <c r="S94" i="5" s="1"/>
  <c r="R94" i="5"/>
  <c r="R94" i="5" a="1"/>
  <c r="Q94" i="5" a="1"/>
  <c r="Q94" i="5" s="1"/>
  <c r="P94" i="5" a="1"/>
  <c r="P94" i="5" s="1"/>
  <c r="P56" i="5" s="1"/>
  <c r="O94" i="5" a="1"/>
  <c r="O94" i="5" s="1"/>
  <c r="O56" i="5" s="1"/>
  <c r="N94" i="5" a="1"/>
  <c r="N94" i="5" s="1"/>
  <c r="N56" i="5" s="1"/>
  <c r="M94" i="5"/>
  <c r="M94" i="5" a="1"/>
  <c r="L94" i="5" a="1"/>
  <c r="L94" i="5" s="1"/>
  <c r="K94" i="5" a="1"/>
  <c r="K94" i="5" s="1"/>
  <c r="J94" i="5" a="1"/>
  <c r="J94" i="5" s="1"/>
  <c r="I94" i="5" a="1"/>
  <c r="I94" i="5" s="1"/>
  <c r="H94" i="5" a="1"/>
  <c r="H94" i="5" s="1"/>
  <c r="G94" i="5"/>
  <c r="G94" i="5" a="1"/>
  <c r="F94" i="5" a="1"/>
  <c r="F94" i="5" s="1"/>
  <c r="E94" i="5" a="1"/>
  <c r="E94" i="5" s="1"/>
  <c r="D94" i="5" a="1"/>
  <c r="D94" i="5" s="1"/>
  <c r="C94" i="5" a="1"/>
  <c r="C94" i="5" s="1"/>
  <c r="C56" i="5" s="1"/>
  <c r="B94" i="5"/>
  <c r="B94" i="5" a="1"/>
  <c r="AC93" i="5"/>
  <c r="AC93" i="5" a="1"/>
  <c r="AB93" i="5" a="1"/>
  <c r="AB93" i="5" s="1"/>
  <c r="AA93" i="5" a="1"/>
  <c r="AA93" i="5" s="1"/>
  <c r="Z93" i="5" a="1"/>
  <c r="Z93" i="5" s="1"/>
  <c r="Y93" i="5"/>
  <c r="Y93" i="5" a="1"/>
  <c r="X93" i="5" a="1"/>
  <c r="X93" i="5" s="1"/>
  <c r="W93" i="5" a="1"/>
  <c r="W93" i="5" s="1"/>
  <c r="V93" i="5"/>
  <c r="V93" i="5" a="1"/>
  <c r="U93" i="5" a="1"/>
  <c r="U93" i="5" s="1"/>
  <c r="T93" i="5" a="1"/>
  <c r="T93" i="5" s="1"/>
  <c r="S93" i="5" a="1"/>
  <c r="S93" i="5" s="1"/>
  <c r="R93" i="5"/>
  <c r="R93" i="5" a="1"/>
  <c r="Q93" i="5" a="1"/>
  <c r="Q93" i="5" s="1"/>
  <c r="P93" i="5"/>
  <c r="P93" i="5" a="1"/>
  <c r="O93" i="5" a="1"/>
  <c r="O93" i="5" s="1"/>
  <c r="N93" i="5" a="1"/>
  <c r="N93" i="5" s="1"/>
  <c r="M93" i="5" a="1"/>
  <c r="M93" i="5" s="1"/>
  <c r="L93" i="5" a="1"/>
  <c r="L93" i="5" s="1"/>
  <c r="L43" i="5" s="1"/>
  <c r="K93" i="5"/>
  <c r="K43" i="5" s="1"/>
  <c r="K93" i="5" a="1"/>
  <c r="J93" i="5" a="1"/>
  <c r="J93" i="5" s="1"/>
  <c r="I93" i="5" a="1"/>
  <c r="I93" i="5" s="1"/>
  <c r="H93" i="5" a="1"/>
  <c r="H93" i="5" s="1"/>
  <c r="G93" i="5"/>
  <c r="G93" i="5" a="1"/>
  <c r="F93" i="5" a="1"/>
  <c r="F93" i="5" s="1"/>
  <c r="E93" i="5"/>
  <c r="E93" i="5" a="1"/>
  <c r="D93" i="5"/>
  <c r="D93" i="5" a="1"/>
  <c r="C93" i="5"/>
  <c r="C93" i="5" a="1"/>
  <c r="B93" i="5" a="1"/>
  <c r="B93" i="5" s="1"/>
  <c r="AC92" i="5" a="1"/>
  <c r="AC92" i="5" s="1"/>
  <c r="AB92" i="5" a="1"/>
  <c r="AB92" i="5" s="1"/>
  <c r="AB43" i="5" s="1"/>
  <c r="AA92" i="5" a="1"/>
  <c r="AA92" i="5" s="1"/>
  <c r="Z92" i="5" a="1"/>
  <c r="Z92" i="5" s="1"/>
  <c r="Y92" i="5" a="1"/>
  <c r="Y92" i="5" s="1"/>
  <c r="X92" i="5" a="1"/>
  <c r="X92" i="5" s="1"/>
  <c r="W92" i="5"/>
  <c r="W92" i="5" a="1"/>
  <c r="V92" i="5" a="1"/>
  <c r="V92" i="5" s="1"/>
  <c r="U92" i="5" a="1"/>
  <c r="U92" i="5" s="1"/>
  <c r="T92" i="5"/>
  <c r="T92" i="5" a="1"/>
  <c r="S92" i="5" a="1"/>
  <c r="S92" i="5" s="1"/>
  <c r="S43" i="5" s="1"/>
  <c r="R92" i="5"/>
  <c r="R43" i="5" s="1"/>
  <c r="R92" i="5" a="1"/>
  <c r="Q92" i="5" a="1"/>
  <c r="Q92" i="5" s="1"/>
  <c r="Q43" i="5" s="1"/>
  <c r="P92" i="5" a="1"/>
  <c r="P92" i="5" s="1"/>
  <c r="O92" i="5" a="1"/>
  <c r="O92" i="5" s="1"/>
  <c r="N92" i="5" a="1"/>
  <c r="N92" i="5" s="1"/>
  <c r="M92" i="5" a="1"/>
  <c r="M92" i="5" s="1"/>
  <c r="L92" i="5"/>
  <c r="L92" i="5" a="1"/>
  <c r="K92" i="5" a="1"/>
  <c r="K92" i="5" s="1"/>
  <c r="J92" i="5"/>
  <c r="J92" i="5" a="1"/>
  <c r="I92" i="5" a="1"/>
  <c r="I92" i="5" s="1"/>
  <c r="I43" i="5" s="1"/>
  <c r="H92" i="5"/>
  <c r="H92" i="5" a="1"/>
  <c r="G92" i="5" a="1"/>
  <c r="G92" i="5" s="1"/>
  <c r="G43" i="5" s="1"/>
  <c r="F92" i="5" a="1"/>
  <c r="F92" i="5" s="1"/>
  <c r="F43" i="5" s="1"/>
  <c r="E92" i="5"/>
  <c r="E92" i="5" a="1"/>
  <c r="D92" i="5" a="1"/>
  <c r="D92" i="5" s="1"/>
  <c r="C92" i="5" a="1"/>
  <c r="C92" i="5" s="1"/>
  <c r="B92" i="5" a="1"/>
  <c r="B92" i="5" s="1"/>
  <c r="AC91" i="5" a="1"/>
  <c r="AC91" i="5" s="1"/>
  <c r="AC43" i="5" s="1"/>
  <c r="AB91" i="5"/>
  <c r="AB91" i="5" a="1"/>
  <c r="AA91" i="5" a="1"/>
  <c r="AA91" i="5" s="1"/>
  <c r="Z91" i="5"/>
  <c r="Z91" i="5" a="1"/>
  <c r="Y91" i="5" a="1"/>
  <c r="Y91" i="5" s="1"/>
  <c r="X91" i="5" a="1"/>
  <c r="X91" i="5" s="1"/>
  <c r="W91" i="5" a="1"/>
  <c r="W91" i="5" s="1"/>
  <c r="W43" i="5" s="1"/>
  <c r="V91" i="5" a="1"/>
  <c r="V91" i="5" s="1"/>
  <c r="V43" i="5" s="1"/>
  <c r="U91" i="5" a="1"/>
  <c r="U91" i="5" s="1"/>
  <c r="T91" i="5" a="1"/>
  <c r="T91" i="5" s="1"/>
  <c r="S91" i="5" a="1"/>
  <c r="S91" i="5" s="1"/>
  <c r="R91" i="5" a="1"/>
  <c r="R91" i="5" s="1"/>
  <c r="Q91" i="5"/>
  <c r="Q91" i="5" a="1"/>
  <c r="P91" i="5" a="1"/>
  <c r="P91" i="5" s="1"/>
  <c r="O91" i="5" a="1"/>
  <c r="O91" i="5" s="1"/>
  <c r="O43" i="5" s="1"/>
  <c r="N91" i="5" a="1"/>
  <c r="N91" i="5" s="1"/>
  <c r="M91" i="5"/>
  <c r="M91" i="5" a="1"/>
  <c r="L91" i="5" a="1"/>
  <c r="L91" i="5" s="1"/>
  <c r="K91" i="5" a="1"/>
  <c r="K91" i="5" s="1"/>
  <c r="J91" i="5" a="1"/>
  <c r="J91" i="5" s="1"/>
  <c r="I91" i="5" a="1"/>
  <c r="I91" i="5" s="1"/>
  <c r="H91" i="5" a="1"/>
  <c r="H91" i="5" s="1"/>
  <c r="G91" i="5" a="1"/>
  <c r="G91" i="5" s="1"/>
  <c r="F91" i="5"/>
  <c r="F91" i="5" a="1"/>
  <c r="E91" i="5" a="1"/>
  <c r="E91" i="5" s="1"/>
  <c r="D91" i="5" a="1"/>
  <c r="D91" i="5" s="1"/>
  <c r="D43" i="5" s="1"/>
  <c r="C91" i="5"/>
  <c r="C43" i="5" s="1"/>
  <c r="C91" i="5" a="1"/>
  <c r="B91" i="5" a="1"/>
  <c r="B91" i="5" s="1"/>
  <c r="B43" i="5" s="1"/>
  <c r="AD90" i="5" a="1"/>
  <c r="AD90" i="5" s="1"/>
  <c r="AD30" i="5" s="1"/>
  <c r="AC90" i="5" a="1"/>
  <c r="AC90" i="5" s="1"/>
  <c r="AC30" i="5" s="1"/>
  <c r="AC10" i="5" s="1"/>
  <c r="AB90" i="5"/>
  <c r="AB30" i="5" s="1"/>
  <c r="AB10" i="5" s="1"/>
  <c r="AB90" i="5" a="1"/>
  <c r="AA90" i="5" a="1"/>
  <c r="AA90" i="5" s="1"/>
  <c r="Z90" i="5"/>
  <c r="Z90" i="5" a="1"/>
  <c r="Y90" i="5"/>
  <c r="Y90" i="5" a="1"/>
  <c r="X90" i="5"/>
  <c r="X90" i="5" a="1"/>
  <c r="W90" i="5"/>
  <c r="W90" i="5" a="1"/>
  <c r="V90" i="5" a="1"/>
  <c r="V90" i="5" s="1"/>
  <c r="U90" i="5"/>
  <c r="U90" i="5" a="1"/>
  <c r="T90" i="5" a="1"/>
  <c r="T90" i="5" s="1"/>
  <c r="S90" i="5"/>
  <c r="S90" i="5" a="1"/>
  <c r="R90" i="5"/>
  <c r="R30" i="5" s="1"/>
  <c r="R90" i="5" a="1"/>
  <c r="Q90" i="5" a="1"/>
  <c r="Q90" i="5" s="1"/>
  <c r="P90" i="5" a="1"/>
  <c r="P90" i="5" s="1"/>
  <c r="O90" i="5"/>
  <c r="O90" i="5" a="1"/>
  <c r="N90" i="5"/>
  <c r="N90" i="5" a="1"/>
  <c r="M90" i="5"/>
  <c r="M90" i="5" a="1"/>
  <c r="L90" i="5"/>
  <c r="L90" i="5" a="1"/>
  <c r="K90" i="5" a="1"/>
  <c r="K90" i="5" s="1"/>
  <c r="J90" i="5" a="1"/>
  <c r="J90" i="5" s="1"/>
  <c r="I90" i="5" a="1"/>
  <c r="I90" i="5" s="1"/>
  <c r="H90" i="5" a="1"/>
  <c r="H90" i="5" s="1"/>
  <c r="G90" i="5" a="1"/>
  <c r="G90" i="5" s="1"/>
  <c r="F90" i="5" a="1"/>
  <c r="F90" i="5" s="1"/>
  <c r="E90" i="5"/>
  <c r="E30" i="5" s="1"/>
  <c r="E90" i="5" a="1"/>
  <c r="D90" i="5"/>
  <c r="D90" i="5" a="1"/>
  <c r="C90" i="5"/>
  <c r="C90" i="5" a="1"/>
  <c r="B90" i="5"/>
  <c r="B90" i="5" a="1"/>
  <c r="AD89" i="5" a="1"/>
  <c r="AD89" i="5" s="1"/>
  <c r="AC89" i="5" a="1"/>
  <c r="AC89" i="5" s="1"/>
  <c r="AB89" i="5"/>
  <c r="AB89" i="5" a="1"/>
  <c r="AA89" i="5" a="1"/>
  <c r="AA89" i="5" s="1"/>
  <c r="Z89" i="5"/>
  <c r="Z89" i="5" a="1"/>
  <c r="Y89" i="5" a="1"/>
  <c r="Y89" i="5" s="1"/>
  <c r="X89" i="5" a="1"/>
  <c r="X89" i="5" s="1"/>
  <c r="W89" i="5"/>
  <c r="W89" i="5" a="1"/>
  <c r="V89" i="5" a="1"/>
  <c r="V89" i="5" s="1"/>
  <c r="U89" i="5" a="1"/>
  <c r="U89" i="5" s="1"/>
  <c r="T89" i="5" a="1"/>
  <c r="T89" i="5" s="1"/>
  <c r="S89" i="5" a="1"/>
  <c r="S89" i="5" s="1"/>
  <c r="R89" i="5" a="1"/>
  <c r="R89" i="5" s="1"/>
  <c r="Q89" i="5"/>
  <c r="Q89" i="5" a="1"/>
  <c r="P89" i="5" a="1"/>
  <c r="P89" i="5" s="1"/>
  <c r="P30" i="5" s="1"/>
  <c r="P10" i="5" s="1"/>
  <c r="O89" i="5"/>
  <c r="O89" i="5" a="1"/>
  <c r="N89" i="5" a="1"/>
  <c r="N89" i="5" s="1"/>
  <c r="M89" i="5" a="1"/>
  <c r="M89" i="5" s="1"/>
  <c r="L89" i="5" a="1"/>
  <c r="L89" i="5" s="1"/>
  <c r="K89" i="5" a="1"/>
  <c r="K89" i="5" s="1"/>
  <c r="J89" i="5"/>
  <c r="J89" i="5" a="1"/>
  <c r="I89" i="5" a="1"/>
  <c r="I89" i="5" s="1"/>
  <c r="H89" i="5" a="1"/>
  <c r="H89" i="5" s="1"/>
  <c r="G89" i="5" a="1"/>
  <c r="G89" i="5" s="1"/>
  <c r="F89" i="5"/>
  <c r="F89" i="5" a="1"/>
  <c r="E89" i="5" a="1"/>
  <c r="E89" i="5" s="1"/>
  <c r="D89" i="5" a="1"/>
  <c r="D89" i="5" s="1"/>
  <c r="C89" i="5" a="1"/>
  <c r="C89" i="5" s="1"/>
  <c r="B89" i="5"/>
  <c r="B89" i="5" a="1"/>
  <c r="AD88" i="5" a="1"/>
  <c r="AD88" i="5" s="1"/>
  <c r="AC88" i="5" a="1"/>
  <c r="AC88" i="5" s="1"/>
  <c r="AB88" i="5" a="1"/>
  <c r="AB88" i="5" s="1"/>
  <c r="AA88" i="5" a="1"/>
  <c r="AA88" i="5" s="1"/>
  <c r="Z88" i="5"/>
  <c r="Z88" i="5" a="1"/>
  <c r="Y88" i="5"/>
  <c r="Y88" i="5" a="1"/>
  <c r="X88" i="5"/>
  <c r="X88" i="5" a="1"/>
  <c r="W88" i="5"/>
  <c r="W88" i="5" a="1"/>
  <c r="V88" i="5" a="1"/>
  <c r="V88" i="5" s="1"/>
  <c r="U88" i="5" a="1"/>
  <c r="U88" i="5" s="1"/>
  <c r="T88" i="5" a="1"/>
  <c r="T88" i="5" s="1"/>
  <c r="S88" i="5"/>
  <c r="S88" i="5" a="1"/>
  <c r="R88" i="5"/>
  <c r="R88" i="5" a="1"/>
  <c r="Q88" i="5" a="1"/>
  <c r="Q88" i="5" s="1"/>
  <c r="P88" i="5"/>
  <c r="P88" i="5" a="1"/>
  <c r="O88" i="5"/>
  <c r="O88" i="5" a="1"/>
  <c r="N88" i="5"/>
  <c r="N88" i="5" a="1"/>
  <c r="M88" i="5"/>
  <c r="M88" i="5" a="1"/>
  <c r="L88" i="5"/>
  <c r="L88" i="5" a="1"/>
  <c r="K88" i="5" a="1"/>
  <c r="K88" i="5" s="1"/>
  <c r="J88" i="5" a="1"/>
  <c r="J88" i="5" s="1"/>
  <c r="J30" i="5" s="1"/>
  <c r="J10" i="5" s="1"/>
  <c r="I88" i="5" a="1"/>
  <c r="I88" i="5" s="1"/>
  <c r="H88" i="5"/>
  <c r="H88" i="5" a="1"/>
  <c r="G88" i="5" a="1"/>
  <c r="G88" i="5" s="1"/>
  <c r="F88" i="5" a="1"/>
  <c r="F88" i="5" s="1"/>
  <c r="E88" i="5" a="1"/>
  <c r="E88" i="5" s="1"/>
  <c r="D88" i="5"/>
  <c r="D88" i="5" a="1"/>
  <c r="C88" i="5"/>
  <c r="C88" i="5" a="1"/>
  <c r="B88" i="5"/>
  <c r="B88" i="5" a="1"/>
  <c r="AD87" i="5" a="1"/>
  <c r="AD87" i="5" s="1"/>
  <c r="AC87" i="5" a="1"/>
  <c r="AC87" i="5" s="1"/>
  <c r="AB87" i="5"/>
  <c r="AB87" i="5" a="1"/>
  <c r="AA87" i="5" a="1"/>
  <c r="AA87" i="5" s="1"/>
  <c r="Z87" i="5" a="1"/>
  <c r="Z87" i="5" s="1"/>
  <c r="Y87" i="5"/>
  <c r="Y87" i="5" a="1"/>
  <c r="X87" i="5" a="1"/>
  <c r="X87" i="5" s="1"/>
  <c r="W87" i="5"/>
  <c r="W87" i="5" a="1"/>
  <c r="V87" i="5" a="1"/>
  <c r="V87" i="5" s="1"/>
  <c r="U87" i="5" a="1"/>
  <c r="U87" i="5" s="1"/>
  <c r="T87" i="5" a="1"/>
  <c r="T87" i="5" s="1"/>
  <c r="S87" i="5" a="1"/>
  <c r="S87" i="5" s="1"/>
  <c r="R87" i="5" a="1"/>
  <c r="R87" i="5" s="1"/>
  <c r="Q87" i="5"/>
  <c r="Q87" i="5" a="1"/>
  <c r="P87" i="5" a="1"/>
  <c r="P87" i="5" s="1"/>
  <c r="O87" i="5" a="1"/>
  <c r="O87" i="5" s="1"/>
  <c r="O30" i="5" s="1"/>
  <c r="N87" i="5" a="1"/>
  <c r="N87" i="5" s="1"/>
  <c r="N30" i="5" s="1"/>
  <c r="M87" i="5" a="1"/>
  <c r="M87" i="5" s="1"/>
  <c r="L87" i="5"/>
  <c r="L87" i="5" a="1"/>
  <c r="K87" i="5" a="1"/>
  <c r="K87" i="5" s="1"/>
  <c r="J87" i="5"/>
  <c r="J87" i="5" a="1"/>
  <c r="I87" i="5" a="1"/>
  <c r="I87" i="5" s="1"/>
  <c r="H87" i="5" a="1"/>
  <c r="H87" i="5" s="1"/>
  <c r="G87" i="5" a="1"/>
  <c r="G87" i="5" s="1"/>
  <c r="F87" i="5"/>
  <c r="F87" i="5" a="1"/>
  <c r="E87" i="5" a="1"/>
  <c r="E87" i="5" s="1"/>
  <c r="D87" i="5" a="1"/>
  <c r="D87" i="5" s="1"/>
  <c r="C87" i="5" a="1"/>
  <c r="C87" i="5" s="1"/>
  <c r="B87" i="5" a="1"/>
  <c r="B87" i="5" s="1"/>
  <c r="AW86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I83" i="5"/>
  <c r="AF83" i="5"/>
  <c r="AC82" i="5" a="1"/>
  <c r="AC82" i="5" s="1"/>
  <c r="AB82" i="5" a="1"/>
  <c r="AB82" i="5" s="1"/>
  <c r="AA82" i="5"/>
  <c r="AA82" i="5" a="1"/>
  <c r="Z82" i="5"/>
  <c r="Z82" i="5" a="1"/>
  <c r="Y82" i="5"/>
  <c r="Y82" i="5" a="1"/>
  <c r="X82" i="5"/>
  <c r="X82" i="5" a="1"/>
  <c r="W82" i="5" a="1"/>
  <c r="W82" i="5" s="1"/>
  <c r="V82" i="5" a="1"/>
  <c r="V82" i="5" s="1"/>
  <c r="U82" i="5"/>
  <c r="U82" i="5" a="1"/>
  <c r="T82" i="5"/>
  <c r="T82" i="5" a="1"/>
  <c r="S82" i="5" a="1"/>
  <c r="S82" i="5" s="1"/>
  <c r="R82" i="5" a="1"/>
  <c r="R82" i="5" s="1"/>
  <c r="Q82" i="5" a="1"/>
  <c r="Q82" i="5" s="1"/>
  <c r="P82" i="5"/>
  <c r="P82" i="5" a="1"/>
  <c r="O82" i="5"/>
  <c r="O82" i="5" a="1"/>
  <c r="N82" i="5"/>
  <c r="N82" i="5" a="1"/>
  <c r="M82" i="5"/>
  <c r="M82" i="5" a="1"/>
  <c r="L82" i="5" a="1"/>
  <c r="L82" i="5" s="1"/>
  <c r="K82" i="5" a="1"/>
  <c r="K82" i="5" s="1"/>
  <c r="J82" i="5" a="1"/>
  <c r="J82" i="5" s="1"/>
  <c r="I82" i="5" a="1"/>
  <c r="I82" i="5" s="1"/>
  <c r="H82" i="5" a="1"/>
  <c r="H82" i="5" s="1"/>
  <c r="G82" i="5"/>
  <c r="G82" i="5" a="1"/>
  <c r="F82" i="5" a="1"/>
  <c r="F82" i="5" s="1"/>
  <c r="E82" i="5"/>
  <c r="E82" i="5" a="1"/>
  <c r="D82" i="5"/>
  <c r="D82" i="5" a="1"/>
  <c r="C82" i="5"/>
  <c r="C82" i="5" a="1"/>
  <c r="B82" i="5"/>
  <c r="B57" i="5" s="1"/>
  <c r="B82" i="5" a="1"/>
  <c r="AC81" i="5"/>
  <c r="AC81" i="5" a="1"/>
  <c r="AB81" i="5" a="1"/>
  <c r="AB81" i="5" s="1"/>
  <c r="AA81" i="5" a="1"/>
  <c r="AA81" i="5" s="1"/>
  <c r="Z81" i="5"/>
  <c r="Z81" i="5" a="1"/>
  <c r="Y81" i="5"/>
  <c r="Y81" i="5" a="1"/>
  <c r="X81" i="5" a="1"/>
  <c r="X81" i="5" s="1"/>
  <c r="W81" i="5" a="1"/>
  <c r="W81" i="5" s="1"/>
  <c r="W57" i="5" s="1"/>
  <c r="V81" i="5" a="1"/>
  <c r="V81" i="5" s="1"/>
  <c r="U81" i="5"/>
  <c r="U81" i="5" a="1"/>
  <c r="T81" i="5"/>
  <c r="T81" i="5" a="1"/>
  <c r="S81" i="5"/>
  <c r="S81" i="5" a="1"/>
  <c r="R81" i="5"/>
  <c r="R81" i="5" a="1"/>
  <c r="Q81" i="5" a="1"/>
  <c r="Q81" i="5" s="1"/>
  <c r="P81" i="5" a="1"/>
  <c r="P81" i="5" s="1"/>
  <c r="O81" i="5"/>
  <c r="O81" i="5" a="1"/>
  <c r="N81" i="5" a="1"/>
  <c r="N81" i="5" s="1"/>
  <c r="M81" i="5"/>
  <c r="M81" i="5" a="1"/>
  <c r="L81" i="5"/>
  <c r="L81" i="5" a="1"/>
  <c r="K81" i="5" a="1"/>
  <c r="K81" i="5" s="1"/>
  <c r="J81" i="5"/>
  <c r="J81" i="5" a="1"/>
  <c r="I81" i="5"/>
  <c r="I81" i="5" a="1"/>
  <c r="H81" i="5"/>
  <c r="H81" i="5" a="1"/>
  <c r="G81" i="5"/>
  <c r="G81" i="5" a="1"/>
  <c r="F81" i="5" a="1"/>
  <c r="F81" i="5" s="1"/>
  <c r="E81" i="5" a="1"/>
  <c r="E81" i="5" s="1"/>
  <c r="D81" i="5" a="1"/>
  <c r="D81" i="5" s="1"/>
  <c r="C81" i="5"/>
  <c r="C81" i="5" a="1"/>
  <c r="B81" i="5"/>
  <c r="B81" i="5" a="1"/>
  <c r="AC80" i="5" a="1"/>
  <c r="AC80" i="5" s="1"/>
  <c r="AB80" i="5" a="1"/>
  <c r="AB80" i="5" s="1"/>
  <c r="AA80" i="5"/>
  <c r="AA80" i="5" a="1"/>
  <c r="Z80" i="5"/>
  <c r="Z80" i="5" a="1"/>
  <c r="Y80" i="5"/>
  <c r="Y80" i="5" a="1"/>
  <c r="X80" i="5"/>
  <c r="X80" i="5" a="1"/>
  <c r="W80" i="5"/>
  <c r="W80" i="5" a="1"/>
  <c r="V80" i="5" a="1"/>
  <c r="V80" i="5" s="1"/>
  <c r="U80" i="5"/>
  <c r="U80" i="5" a="1"/>
  <c r="T80" i="5"/>
  <c r="T80" i="5" a="1"/>
  <c r="S80" i="5" a="1"/>
  <c r="S80" i="5" s="1"/>
  <c r="R80" i="5" a="1"/>
  <c r="R80" i="5" s="1"/>
  <c r="Q80" i="5" a="1"/>
  <c r="Q80" i="5" s="1"/>
  <c r="P80" i="5" a="1"/>
  <c r="P80" i="5" s="1"/>
  <c r="O80" i="5"/>
  <c r="O80" i="5" a="1"/>
  <c r="N80" i="5"/>
  <c r="N80" i="5" a="1"/>
  <c r="M80" i="5"/>
  <c r="M80" i="5" a="1"/>
  <c r="L80" i="5"/>
  <c r="L80" i="5" a="1"/>
  <c r="K80" i="5" a="1"/>
  <c r="K80" i="5" s="1"/>
  <c r="J80" i="5" a="1"/>
  <c r="J80" i="5" s="1"/>
  <c r="I80" i="5" a="1"/>
  <c r="I80" i="5" s="1"/>
  <c r="H80" i="5" a="1"/>
  <c r="H80" i="5" s="1"/>
  <c r="G80" i="5"/>
  <c r="G80" i="5" a="1"/>
  <c r="F80" i="5" a="1"/>
  <c r="F80" i="5" s="1"/>
  <c r="E80" i="5" a="1"/>
  <c r="E80" i="5" s="1"/>
  <c r="D80" i="5"/>
  <c r="D80" i="5" a="1"/>
  <c r="C80" i="5"/>
  <c r="C80" i="5" a="1"/>
  <c r="B80" i="5"/>
  <c r="B80" i="5" a="1"/>
  <c r="AC79" i="5"/>
  <c r="AC79" i="5" a="1"/>
  <c r="AB79" i="5"/>
  <c r="AB79" i="5" a="1"/>
  <c r="AA79" i="5" a="1"/>
  <c r="AA79" i="5" s="1"/>
  <c r="Z79" i="5" a="1"/>
  <c r="Z79" i="5" s="1"/>
  <c r="Y79" i="5"/>
  <c r="Y79" i="5" a="1"/>
  <c r="X79" i="5"/>
  <c r="X79" i="5" a="1"/>
  <c r="W79" i="5" a="1"/>
  <c r="W79" i="5" s="1"/>
  <c r="V79" i="5"/>
  <c r="V79" i="5" a="1"/>
  <c r="U79" i="5"/>
  <c r="U79" i="5" a="1"/>
  <c r="T79" i="5"/>
  <c r="T79" i="5" a="1"/>
  <c r="S79" i="5"/>
  <c r="S79" i="5" a="1"/>
  <c r="R79" i="5"/>
  <c r="R79" i="5" a="1"/>
  <c r="Q79" i="5" a="1"/>
  <c r="Q79" i="5" s="1"/>
  <c r="P79" i="5" a="1"/>
  <c r="P79" i="5" s="1"/>
  <c r="O79" i="5" a="1"/>
  <c r="O79" i="5" s="1"/>
  <c r="N79" i="5"/>
  <c r="N79" i="5" a="1"/>
  <c r="M79" i="5" a="1"/>
  <c r="M79" i="5" s="1"/>
  <c r="M57" i="5" s="1"/>
  <c r="L79" i="5" a="1"/>
  <c r="L79" i="5" s="1"/>
  <c r="L57" i="5" s="1"/>
  <c r="K79" i="5" a="1"/>
  <c r="K79" i="5" s="1"/>
  <c r="J79" i="5" a="1"/>
  <c r="J79" i="5" s="1"/>
  <c r="I79" i="5"/>
  <c r="I79" i="5" a="1"/>
  <c r="H79" i="5"/>
  <c r="H79" i="5" a="1"/>
  <c r="G79" i="5"/>
  <c r="G79" i="5" a="1"/>
  <c r="F79" i="5" a="1"/>
  <c r="F79" i="5" s="1"/>
  <c r="E79" i="5" a="1"/>
  <c r="E79" i="5" s="1"/>
  <c r="D79" i="5" a="1"/>
  <c r="D79" i="5" s="1"/>
  <c r="C79" i="5" a="1"/>
  <c r="C79" i="5" s="1"/>
  <c r="B79" i="5"/>
  <c r="B79" i="5" a="1"/>
  <c r="AC78" i="5" a="1"/>
  <c r="AC78" i="5" s="1"/>
  <c r="AC57" i="5" s="1"/>
  <c r="AB78" i="5"/>
  <c r="AB78" i="5" a="1"/>
  <c r="AA78" i="5" a="1"/>
  <c r="AA78" i="5" s="1"/>
  <c r="Z78" i="5"/>
  <c r="Z78" i="5" a="1"/>
  <c r="Y78" i="5"/>
  <c r="Y78" i="5" a="1"/>
  <c r="X78" i="5"/>
  <c r="X78" i="5" a="1"/>
  <c r="W78" i="5"/>
  <c r="W78" i="5" a="1"/>
  <c r="V78" i="5" a="1"/>
  <c r="V78" i="5" s="1"/>
  <c r="V57" i="5" s="1"/>
  <c r="AF61" i="5" s="1"/>
  <c r="U78" i="5" a="1"/>
  <c r="U78" i="5" s="1"/>
  <c r="T78" i="5" a="1"/>
  <c r="T78" i="5" s="1"/>
  <c r="T57" i="5" s="1"/>
  <c r="S78" i="5" a="1"/>
  <c r="S78" i="5" s="1"/>
  <c r="R78" i="5" a="1"/>
  <c r="R78" i="5" s="1"/>
  <c r="R57" i="5" s="1"/>
  <c r="Q78" i="5"/>
  <c r="Q78" i="5" a="1"/>
  <c r="P78" i="5" a="1"/>
  <c r="P78" i="5" s="1"/>
  <c r="O78" i="5"/>
  <c r="O78" i="5" a="1"/>
  <c r="N78" i="5"/>
  <c r="N78" i="5" a="1"/>
  <c r="M78" i="5"/>
  <c r="M78" i="5" a="1"/>
  <c r="L78" i="5"/>
  <c r="L78" i="5" a="1"/>
  <c r="K78" i="5"/>
  <c r="K78" i="5" a="1"/>
  <c r="J78" i="5" a="1"/>
  <c r="J78" i="5" s="1"/>
  <c r="I78" i="5" a="1"/>
  <c r="I78" i="5" s="1"/>
  <c r="H78" i="5"/>
  <c r="H57" i="5" s="1"/>
  <c r="H78" i="5" a="1"/>
  <c r="G78" i="5" a="1"/>
  <c r="G78" i="5" s="1"/>
  <c r="G57" i="5" s="1"/>
  <c r="F78" i="5" a="1"/>
  <c r="F78" i="5" s="1"/>
  <c r="E78" i="5" a="1"/>
  <c r="E78" i="5" s="1"/>
  <c r="D78" i="5" a="1"/>
  <c r="D78" i="5" s="1"/>
  <c r="C78" i="5"/>
  <c r="C78" i="5" a="1"/>
  <c r="B78" i="5"/>
  <c r="B78" i="5" a="1"/>
  <c r="AC77" i="5"/>
  <c r="AC77" i="5" a="1"/>
  <c r="AB77" i="5"/>
  <c r="AB77" i="5" a="1"/>
  <c r="AA77" i="5"/>
  <c r="AA77" i="5" a="1"/>
  <c r="Z77" i="5" a="1"/>
  <c r="Z77" i="5" s="1"/>
  <c r="Y77" i="5" a="1"/>
  <c r="Y77" i="5" s="1"/>
  <c r="Y44" i="5" s="1"/>
  <c r="X77" i="5" a="1"/>
  <c r="X77" i="5" s="1"/>
  <c r="W77" i="5" a="1"/>
  <c r="W77" i="5" s="1"/>
  <c r="V77" i="5" a="1"/>
  <c r="V77" i="5" s="1"/>
  <c r="U77" i="5"/>
  <c r="U77" i="5" a="1"/>
  <c r="T77" i="5" a="1"/>
  <c r="T77" i="5" s="1"/>
  <c r="S77" i="5"/>
  <c r="S77" i="5" a="1"/>
  <c r="R77" i="5"/>
  <c r="R77" i="5" a="1"/>
  <c r="Q77" i="5" a="1"/>
  <c r="Q77" i="5" s="1"/>
  <c r="P77" i="5" a="1"/>
  <c r="P77" i="5" s="1"/>
  <c r="O77" i="5" a="1"/>
  <c r="O77" i="5" s="1"/>
  <c r="N77" i="5" a="1"/>
  <c r="N77" i="5" s="1"/>
  <c r="M77" i="5" a="1"/>
  <c r="M77" i="5" s="1"/>
  <c r="L77" i="5" a="1"/>
  <c r="L77" i="5" s="1"/>
  <c r="K77" i="5" a="1"/>
  <c r="K77" i="5" s="1"/>
  <c r="J77" i="5" a="1"/>
  <c r="J77" i="5" s="1"/>
  <c r="I77" i="5"/>
  <c r="I44" i="5" s="1"/>
  <c r="I77" i="5" a="1"/>
  <c r="H77" i="5"/>
  <c r="H77" i="5" a="1"/>
  <c r="G77" i="5"/>
  <c r="G77" i="5" a="1"/>
  <c r="F77" i="5" a="1"/>
  <c r="F77" i="5" s="1"/>
  <c r="E77" i="5"/>
  <c r="E77" i="5" a="1"/>
  <c r="D77" i="5" a="1"/>
  <c r="D77" i="5" s="1"/>
  <c r="C77" i="5"/>
  <c r="C77" i="5" a="1"/>
  <c r="B77" i="5" a="1"/>
  <c r="B77" i="5" s="1"/>
  <c r="AC76" i="5"/>
  <c r="AC76" i="5" a="1"/>
  <c r="AB76" i="5" a="1"/>
  <c r="AB76" i="5" s="1"/>
  <c r="AB44" i="5" s="1"/>
  <c r="AA76" i="5" a="1"/>
  <c r="AA76" i="5" s="1"/>
  <c r="Z76" i="5"/>
  <c r="Z76" i="5" a="1"/>
  <c r="Y76" i="5"/>
  <c r="Y76" i="5" a="1"/>
  <c r="X76" i="5"/>
  <c r="X76" i="5" a="1"/>
  <c r="W76" i="5"/>
  <c r="W76" i="5" a="1"/>
  <c r="V76" i="5" a="1"/>
  <c r="V76" i="5" s="1"/>
  <c r="U76" i="5" a="1"/>
  <c r="U76" i="5" s="1"/>
  <c r="T76" i="5" a="1"/>
  <c r="T76" i="5" s="1"/>
  <c r="S76" i="5" a="1"/>
  <c r="S76" i="5" s="1"/>
  <c r="R76" i="5" a="1"/>
  <c r="R76" i="5" s="1"/>
  <c r="R44" i="5" s="1"/>
  <c r="Q76" i="5" a="1"/>
  <c r="Q76" i="5" s="1"/>
  <c r="Q44" i="5" s="1"/>
  <c r="P76" i="5"/>
  <c r="P76" i="5" a="1"/>
  <c r="O76" i="5" a="1"/>
  <c r="O76" i="5" s="1"/>
  <c r="N76" i="5"/>
  <c r="N76" i="5" a="1"/>
  <c r="M76" i="5"/>
  <c r="M76" i="5" a="1"/>
  <c r="L76" i="5"/>
  <c r="L76" i="5" a="1"/>
  <c r="K76" i="5" a="1"/>
  <c r="K76" i="5" s="1"/>
  <c r="J76" i="5" a="1"/>
  <c r="J76" i="5" s="1"/>
  <c r="I76" i="5" a="1"/>
  <c r="I76" i="5" s="1"/>
  <c r="H76" i="5"/>
  <c r="H76" i="5" a="1"/>
  <c r="G76" i="5" a="1"/>
  <c r="G76" i="5" s="1"/>
  <c r="G44" i="5" s="1"/>
  <c r="F76" i="5"/>
  <c r="F44" i="5" s="1"/>
  <c r="F76" i="5" a="1"/>
  <c r="E76" i="5" a="1"/>
  <c r="E76" i="5" s="1"/>
  <c r="D76" i="5" a="1"/>
  <c r="D76" i="5" s="1"/>
  <c r="C76" i="5"/>
  <c r="C76" i="5" a="1"/>
  <c r="B76" i="5"/>
  <c r="B76" i="5" a="1"/>
  <c r="AC75" i="5"/>
  <c r="AC44" i="5" s="1"/>
  <c r="AC75" i="5" a="1"/>
  <c r="AB75" i="5"/>
  <c r="AB75" i="5" a="1"/>
  <c r="AA75" i="5" a="1"/>
  <c r="AA75" i="5" s="1"/>
  <c r="Z75" i="5"/>
  <c r="Z75" i="5" a="1"/>
  <c r="Y75" i="5" a="1"/>
  <c r="Y75" i="5" s="1"/>
  <c r="X75" i="5" a="1"/>
  <c r="X75" i="5" s="1"/>
  <c r="W75" i="5" a="1"/>
  <c r="W75" i="5" s="1"/>
  <c r="V75" i="5" a="1"/>
  <c r="V75" i="5" s="1"/>
  <c r="U75" i="5" a="1"/>
  <c r="U75" i="5" s="1"/>
  <c r="U44" i="5" s="1"/>
  <c r="T75" i="5"/>
  <c r="T44" i="5" s="1"/>
  <c r="T75" i="5" a="1"/>
  <c r="S75" i="5" a="1"/>
  <c r="S75" i="5" s="1"/>
  <c r="S44" i="5" s="1"/>
  <c r="R75" i="5"/>
  <c r="R75" i="5" a="1"/>
  <c r="Q75" i="5"/>
  <c r="Q75" i="5" a="1"/>
  <c r="P75" i="5" a="1"/>
  <c r="P75" i="5" s="1"/>
  <c r="O75" i="5" a="1"/>
  <c r="O75" i="5" s="1"/>
  <c r="N75" i="5" a="1"/>
  <c r="N75" i="5" s="1"/>
  <c r="M75" i="5" a="1"/>
  <c r="M75" i="5" s="1"/>
  <c r="L75" i="5" a="1"/>
  <c r="L75" i="5" s="1"/>
  <c r="K75" i="5" a="1"/>
  <c r="K75" i="5" s="1"/>
  <c r="J75" i="5" a="1"/>
  <c r="J75" i="5" s="1"/>
  <c r="J44" i="5" s="1"/>
  <c r="I75" i="5" a="1"/>
  <c r="I75" i="5" s="1"/>
  <c r="H75" i="5"/>
  <c r="H44" i="5" s="1"/>
  <c r="H75" i="5" a="1"/>
  <c r="G75" i="5"/>
  <c r="G75" i="5" a="1"/>
  <c r="F75" i="5"/>
  <c r="F75" i="5" a="1"/>
  <c r="E75" i="5" a="1"/>
  <c r="E75" i="5" s="1"/>
  <c r="D75" i="5"/>
  <c r="D75" i="5" a="1"/>
  <c r="C75" i="5" a="1"/>
  <c r="C75" i="5" s="1"/>
  <c r="C44" i="5" s="1"/>
  <c r="B75" i="5"/>
  <c r="B44" i="5" s="1"/>
  <c r="B15" i="5" s="1"/>
  <c r="B75" i="5" a="1"/>
  <c r="AE74" i="5" a="1"/>
  <c r="AE74" i="5" s="1"/>
  <c r="AD74" i="5" a="1"/>
  <c r="AD74" i="5" s="1"/>
  <c r="AC74" i="5" a="1"/>
  <c r="AC74" i="5" s="1"/>
  <c r="AB74" i="5"/>
  <c r="AB74" i="5" a="1"/>
  <c r="AA74" i="5"/>
  <c r="AA74" i="5" a="1"/>
  <c r="Z74" i="5" a="1"/>
  <c r="Z74" i="5" s="1"/>
  <c r="Y74" i="5" a="1"/>
  <c r="Y74" i="5" s="1"/>
  <c r="X74" i="5"/>
  <c r="X74" i="5" a="1"/>
  <c r="W74" i="5"/>
  <c r="W74" i="5" a="1"/>
  <c r="V74" i="5" a="1"/>
  <c r="V74" i="5" s="1"/>
  <c r="U74" i="5" a="1"/>
  <c r="U74" i="5" s="1"/>
  <c r="T74" i="5" a="1"/>
  <c r="T74" i="5" s="1"/>
  <c r="S74" i="5" a="1"/>
  <c r="S74" i="5" s="1"/>
  <c r="R74" i="5" a="1"/>
  <c r="R74" i="5" s="1"/>
  <c r="Q74" i="5" a="1"/>
  <c r="Q74" i="5" s="1"/>
  <c r="P74" i="5"/>
  <c r="P74" i="5" a="1"/>
  <c r="O74" i="5"/>
  <c r="O74" i="5" a="1"/>
  <c r="N74" i="5" a="1"/>
  <c r="N74" i="5" s="1"/>
  <c r="M74" i="5"/>
  <c r="M74" i="5" a="1"/>
  <c r="L74" i="5"/>
  <c r="L74" i="5" a="1"/>
  <c r="K74" i="5" a="1"/>
  <c r="K74" i="5" s="1"/>
  <c r="J74" i="5"/>
  <c r="J74" i="5" a="1"/>
  <c r="I74" i="5" a="1"/>
  <c r="I74" i="5" s="1"/>
  <c r="H74" i="5"/>
  <c r="H74" i="5" a="1"/>
  <c r="G74" i="5" a="1"/>
  <c r="G74" i="5" s="1"/>
  <c r="F74" i="5" a="1"/>
  <c r="F74" i="5" s="1"/>
  <c r="E74" i="5" a="1"/>
  <c r="E74" i="5" s="1"/>
  <c r="D74" i="5" a="1"/>
  <c r="D74" i="5" s="1"/>
  <c r="C74" i="5"/>
  <c r="C74" i="5" a="1"/>
  <c r="B74" i="5"/>
  <c r="B74" i="5" a="1"/>
  <c r="AE73" i="5" a="1"/>
  <c r="AE73" i="5" s="1"/>
  <c r="AD73" i="5"/>
  <c r="AD73" i="5" a="1"/>
  <c r="AC73" i="5"/>
  <c r="AC73" i="5" a="1"/>
  <c r="AB73" i="5" a="1"/>
  <c r="AB73" i="5" s="1"/>
  <c r="AA73" i="5" a="1"/>
  <c r="AA73" i="5" s="1"/>
  <c r="Z73" i="5" a="1"/>
  <c r="Z73" i="5" s="1"/>
  <c r="Y73" i="5"/>
  <c r="Y73" i="5" a="1"/>
  <c r="X73" i="5"/>
  <c r="X73" i="5" a="1"/>
  <c r="W73" i="5"/>
  <c r="W73" i="5" a="1"/>
  <c r="V73" i="5" a="1"/>
  <c r="V73" i="5" s="1"/>
  <c r="U73" i="5" a="1"/>
  <c r="U73" i="5" s="1"/>
  <c r="T73" i="5"/>
  <c r="T73" i="5" a="1"/>
  <c r="S73" i="5"/>
  <c r="S73" i="5" a="1"/>
  <c r="R73" i="5"/>
  <c r="R73" i="5" a="1"/>
  <c r="Q73" i="5" a="1"/>
  <c r="Q73" i="5" s="1"/>
  <c r="P73" i="5"/>
  <c r="P73" i="5" a="1"/>
  <c r="O73" i="5" a="1"/>
  <c r="O73" i="5" s="1"/>
  <c r="N73" i="5"/>
  <c r="N73" i="5" a="1"/>
  <c r="M73" i="5"/>
  <c r="M73" i="5" a="1"/>
  <c r="L73" i="5"/>
  <c r="L73" i="5" a="1"/>
  <c r="K73" i="5"/>
  <c r="K73" i="5" a="1"/>
  <c r="J73" i="5"/>
  <c r="J73" i="5" a="1"/>
  <c r="I73" i="5" a="1"/>
  <c r="I73" i="5" s="1"/>
  <c r="H73" i="5"/>
  <c r="H73" i="5" a="1"/>
  <c r="G73" i="5"/>
  <c r="G73" i="5" a="1"/>
  <c r="F73" i="5" a="1"/>
  <c r="F73" i="5" s="1"/>
  <c r="E73" i="5" a="1"/>
  <c r="E73" i="5" s="1"/>
  <c r="E31" i="5" s="1"/>
  <c r="D73" i="5" a="1"/>
  <c r="D73" i="5" s="1"/>
  <c r="C73" i="5"/>
  <c r="C73" i="5" a="1"/>
  <c r="B73" i="5"/>
  <c r="B73" i="5" a="1"/>
  <c r="AE72" i="5" a="1"/>
  <c r="AE72" i="5" s="1"/>
  <c r="AD72" i="5"/>
  <c r="AD31" i="5" s="1"/>
  <c r="AD72" i="5" a="1"/>
  <c r="AC72" i="5"/>
  <c r="AC72" i="5" a="1"/>
  <c r="AB72" i="5" a="1"/>
  <c r="AB72" i="5" s="1"/>
  <c r="AA72" i="5" a="1"/>
  <c r="AA72" i="5" s="1"/>
  <c r="Z72" i="5" a="1"/>
  <c r="Z72" i="5" s="1"/>
  <c r="Y72" i="5" a="1"/>
  <c r="Y72" i="5" s="1"/>
  <c r="X72" i="5"/>
  <c r="X72" i="5" a="1"/>
  <c r="W72" i="5" a="1"/>
  <c r="W72" i="5" s="1"/>
  <c r="V72" i="5" a="1"/>
  <c r="V72" i="5" s="1"/>
  <c r="U72" i="5" a="1"/>
  <c r="U72" i="5" s="1"/>
  <c r="U83" i="5" s="1"/>
  <c r="T72" i="5"/>
  <c r="T72" i="5" a="1"/>
  <c r="S72" i="5" a="1"/>
  <c r="S72" i="5" s="1"/>
  <c r="S31" i="5" s="1"/>
  <c r="R72" i="5" a="1"/>
  <c r="R72" i="5" s="1"/>
  <c r="R31" i="5" s="1"/>
  <c r="R15" i="5" s="1"/>
  <c r="Q72" i="5"/>
  <c r="Q72" i="5" a="1"/>
  <c r="P72" i="5" a="1"/>
  <c r="P72" i="5" s="1"/>
  <c r="P31" i="5" s="1"/>
  <c r="O72" i="5" a="1"/>
  <c r="O72" i="5" s="1"/>
  <c r="O31" i="5" s="1"/>
  <c r="N72" i="5" a="1"/>
  <c r="N72" i="5" s="1"/>
  <c r="M72" i="5"/>
  <c r="M72" i="5" a="1"/>
  <c r="L72" i="5" a="1"/>
  <c r="L72" i="5" s="1"/>
  <c r="K72" i="5" a="1"/>
  <c r="K72" i="5" s="1"/>
  <c r="J72" i="5" a="1"/>
  <c r="J72" i="5" s="1"/>
  <c r="I72" i="5" a="1"/>
  <c r="I72" i="5" s="1"/>
  <c r="H72" i="5" a="1"/>
  <c r="H72" i="5" s="1"/>
  <c r="G72" i="5" a="1"/>
  <c r="G72" i="5" s="1"/>
  <c r="F72" i="5" a="1"/>
  <c r="F72" i="5" s="1"/>
  <c r="F31" i="5" s="1"/>
  <c r="E72" i="5"/>
  <c r="E72" i="5" a="1"/>
  <c r="D72" i="5" a="1"/>
  <c r="D72" i="5" s="1"/>
  <c r="C72" i="5" a="1"/>
  <c r="C72" i="5" s="1"/>
  <c r="C83" i="5" s="1"/>
  <c r="B72" i="5"/>
  <c r="B72" i="5" a="1"/>
  <c r="AE71" i="5"/>
  <c r="AE71" i="5" a="1"/>
  <c r="AD71" i="5"/>
  <c r="AD71" i="5" a="1"/>
  <c r="AC71" i="5" a="1"/>
  <c r="AC71" i="5" s="1"/>
  <c r="AB71" i="5" a="1"/>
  <c r="AB71" i="5" s="1"/>
  <c r="AA71" i="5" a="1"/>
  <c r="AA71" i="5" s="1"/>
  <c r="Z71" i="5"/>
  <c r="Z31" i="5" s="1"/>
  <c r="Z71" i="5" a="1"/>
  <c r="Y71" i="5" a="1"/>
  <c r="Y71" i="5" s="1"/>
  <c r="X71" i="5" a="1"/>
  <c r="X71" i="5" s="1"/>
  <c r="W71" i="5" a="1"/>
  <c r="W71" i="5" s="1"/>
  <c r="V71" i="5" a="1"/>
  <c r="V71" i="5" s="1"/>
  <c r="U71" i="5"/>
  <c r="U71" i="5" a="1"/>
  <c r="T71" i="5" a="1"/>
  <c r="T71" i="5" s="1"/>
  <c r="S71" i="5"/>
  <c r="S71" i="5" a="1"/>
  <c r="R71" i="5" a="1"/>
  <c r="R71" i="5" s="1"/>
  <c r="Q71" i="5" a="1"/>
  <c r="Q71" i="5" s="1"/>
  <c r="P71" i="5" a="1"/>
  <c r="P71" i="5" s="1"/>
  <c r="O71" i="5"/>
  <c r="O71" i="5" a="1"/>
  <c r="N71" i="5"/>
  <c r="N31" i="5" s="1"/>
  <c r="N71" i="5" a="1"/>
  <c r="M71" i="5" a="1"/>
  <c r="M71" i="5" s="1"/>
  <c r="L71" i="5" a="1"/>
  <c r="L71" i="5" s="1"/>
  <c r="L83" i="5" s="1"/>
  <c r="K71" i="5" a="1"/>
  <c r="K71" i="5" s="1"/>
  <c r="J71" i="5" a="1"/>
  <c r="J71" i="5" s="1"/>
  <c r="I71" i="5" a="1"/>
  <c r="I71" i="5" s="1"/>
  <c r="H71" i="5"/>
  <c r="H71" i="5" a="1"/>
  <c r="G71" i="5" a="1"/>
  <c r="G71" i="5" s="1"/>
  <c r="F71" i="5" a="1"/>
  <c r="F71" i="5" s="1"/>
  <c r="E71" i="5" a="1"/>
  <c r="E71" i="5" s="1"/>
  <c r="D71" i="5"/>
  <c r="D71" i="5" a="1"/>
  <c r="C71" i="5"/>
  <c r="C71" i="5" a="1"/>
  <c r="B71" i="5"/>
  <c r="B31" i="5" s="1"/>
  <c r="B71" i="5" a="1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B67" i="5"/>
  <c r="AB17" i="5" s="1"/>
  <c r="AA67" i="5"/>
  <c r="AA17" i="5" s="1"/>
  <c r="Z67" i="5"/>
  <c r="Z17" i="5" s="1"/>
  <c r="Y67" i="5"/>
  <c r="Y17" i="5" s="1"/>
  <c r="X67" i="5"/>
  <c r="W67" i="5"/>
  <c r="V67" i="5"/>
  <c r="V17" i="5" s="1"/>
  <c r="U67" i="5"/>
  <c r="U17" i="5" s="1"/>
  <c r="T67" i="5"/>
  <c r="T17" i="5" s="1"/>
  <c r="S67" i="5"/>
  <c r="S17" i="5" s="1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F17" i="5" s="1"/>
  <c r="E67" i="5"/>
  <c r="D67" i="5"/>
  <c r="D17" i="5" s="1"/>
  <c r="C67" i="5"/>
  <c r="C17" i="5" s="1"/>
  <c r="B67" i="5"/>
  <c r="AC67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D62" i="5"/>
  <c r="AM61" i="5"/>
  <c r="AL61" i="5"/>
  <c r="AK61" i="5"/>
  <c r="AJ61" i="5"/>
  <c r="AI61" i="5"/>
  <c r="AH61" i="5"/>
  <c r="AG61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E14" i="5" s="1"/>
  <c r="AD60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C63" i="5"/>
  <c r="AU57" i="5"/>
  <c r="AU61" i="5" s="1"/>
  <c r="AT57" i="5"/>
  <c r="AT61" i="5" s="1"/>
  <c r="AS57" i="5"/>
  <c r="AS61" i="5" s="1"/>
  <c r="AR57" i="5"/>
  <c r="AR61" i="5" s="1"/>
  <c r="AQ57" i="5"/>
  <c r="AQ61" i="5" s="1"/>
  <c r="AP57" i="5"/>
  <c r="AP61" i="5" s="1"/>
  <c r="AO57" i="5"/>
  <c r="AO61" i="5" s="1"/>
  <c r="AN57" i="5"/>
  <c r="AN61" i="5" s="1"/>
  <c r="AM57" i="5"/>
  <c r="AL57" i="5"/>
  <c r="AK57" i="5"/>
  <c r="AJ57" i="5"/>
  <c r="AI57" i="5"/>
  <c r="AH57" i="5"/>
  <c r="AG57" i="5"/>
  <c r="AF57" i="5"/>
  <c r="U57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U50" i="5"/>
  <c r="AT50" i="5"/>
  <c r="AS50" i="5"/>
  <c r="AP50" i="5"/>
  <c r="AO50" i="5"/>
  <c r="AL50" i="5"/>
  <c r="AJ50" i="5"/>
  <c r="AI50" i="5"/>
  <c r="AH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S49" i="5"/>
  <c r="AO49" i="5"/>
  <c r="AM49" i="5"/>
  <c r="AJ49" i="5"/>
  <c r="AT49" i="5" s="1"/>
  <c r="AF49" i="5"/>
  <c r="AD49" i="5"/>
  <c r="AD108" i="5" s="1"/>
  <c r="AT48" i="5"/>
  <c r="AS48" i="5"/>
  <c r="AR48" i="5"/>
  <c r="AQ48" i="5"/>
  <c r="AP48" i="5"/>
  <c r="AO48" i="5"/>
  <c r="AK48" i="5"/>
  <c r="AF48" i="5"/>
  <c r="AU47" i="5"/>
  <c r="AT47" i="5"/>
  <c r="AS47" i="5"/>
  <c r="AR47" i="5"/>
  <c r="AQ47" i="5"/>
  <c r="AP47" i="5"/>
  <c r="AP49" i="5" s="1"/>
  <c r="AO47" i="5"/>
  <c r="AN47" i="5"/>
  <c r="AN50" i="5" s="1"/>
  <c r="AM47" i="5"/>
  <c r="AM50" i="5" s="1"/>
  <c r="AL47" i="5"/>
  <c r="AL49" i="5" s="1"/>
  <c r="AK47" i="5"/>
  <c r="AK49" i="5" s="1"/>
  <c r="AU49" i="5" s="1"/>
  <c r="AJ47" i="5"/>
  <c r="AI47" i="5"/>
  <c r="AI49" i="5" s="1"/>
  <c r="AH47" i="5"/>
  <c r="AH49" i="5" s="1"/>
  <c r="AG47" i="5"/>
  <c r="AF47" i="5"/>
  <c r="AF50" i="5" s="1"/>
  <c r="AD47" i="5"/>
  <c r="AU44" i="5"/>
  <c r="AU48" i="5" s="1"/>
  <c r="AT44" i="5"/>
  <c r="AS44" i="5"/>
  <c r="AR44" i="5"/>
  <c r="AQ44" i="5"/>
  <c r="AP44" i="5"/>
  <c r="AO44" i="5"/>
  <c r="AN44" i="5"/>
  <c r="AN48" i="5" s="1"/>
  <c r="AM44" i="5"/>
  <c r="AM48" i="5" s="1"/>
  <c r="AL44" i="5"/>
  <c r="AL48" i="5" s="1"/>
  <c r="AK44" i="5"/>
  <c r="AJ44" i="5"/>
  <c r="AJ48" i="5" s="1"/>
  <c r="AI44" i="5"/>
  <c r="AI48" i="5" s="1"/>
  <c r="AH44" i="5"/>
  <c r="AH48" i="5" s="1"/>
  <c r="AG44" i="5"/>
  <c r="AG48" i="5" s="1"/>
  <c r="AF44" i="5"/>
  <c r="Z44" i="5"/>
  <c r="V44" i="5"/>
  <c r="N44" i="5"/>
  <c r="M44" i="5"/>
  <c r="L44" i="5"/>
  <c r="K44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P43" i="5"/>
  <c r="J43" i="5"/>
  <c r="H43" i="5"/>
  <c r="E43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T37" i="5"/>
  <c r="AS37" i="5"/>
  <c r="AQ37" i="5"/>
  <c r="AP37" i="5"/>
  <c r="AL37" i="5"/>
  <c r="AH37" i="5"/>
  <c r="AG37" i="5"/>
  <c r="AF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P36" i="5"/>
  <c r="AF36" i="5"/>
  <c r="AE36" i="5"/>
  <c r="AD36" i="5"/>
  <c r="AD107" i="5" s="1"/>
  <c r="AU34" i="5"/>
  <c r="AU36" i="5" s="1"/>
  <c r="AT34" i="5"/>
  <c r="AT36" i="5" s="1"/>
  <c r="AS34" i="5"/>
  <c r="AR34" i="5"/>
  <c r="AQ34" i="5"/>
  <c r="AQ36" i="5" s="1"/>
  <c r="AP34" i="5"/>
  <c r="AO34" i="5"/>
  <c r="AO36" i="5" s="1"/>
  <c r="AN34" i="5"/>
  <c r="AN37" i="5" s="1"/>
  <c r="AM34" i="5"/>
  <c r="AL34" i="5"/>
  <c r="AL36" i="5" s="1"/>
  <c r="AK34" i="5"/>
  <c r="AJ34" i="5"/>
  <c r="AJ37" i="5" s="1"/>
  <c r="AI34" i="5"/>
  <c r="AH34" i="5"/>
  <c r="AH36" i="5" s="1"/>
  <c r="AG34" i="5"/>
  <c r="AG36" i="5" s="1"/>
  <c r="AF34" i="5"/>
  <c r="AE34" i="5"/>
  <c r="AD34" i="5"/>
  <c r="AU31" i="5"/>
  <c r="AT31" i="5"/>
  <c r="AS31" i="5"/>
  <c r="AR31" i="5"/>
  <c r="AQ31" i="5"/>
  <c r="AP31" i="5"/>
  <c r="AO31" i="5"/>
  <c r="AN31" i="5"/>
  <c r="AN35" i="5" s="1"/>
  <c r="AM31" i="5"/>
  <c r="AM35" i="5" s="1"/>
  <c r="AL31" i="5"/>
  <c r="AL35" i="5" s="1"/>
  <c r="AK31" i="5"/>
  <c r="AK35" i="5" s="1"/>
  <c r="AU35" i="5" s="1"/>
  <c r="AJ31" i="5"/>
  <c r="AJ35" i="5" s="1"/>
  <c r="AT35" i="5" s="1"/>
  <c r="AI31" i="5"/>
  <c r="AI35" i="5" s="1"/>
  <c r="AS35" i="5" s="1"/>
  <c r="AH31" i="5"/>
  <c r="AG31" i="5"/>
  <c r="AF31" i="5"/>
  <c r="AU30" i="5"/>
  <c r="AT30" i="5"/>
  <c r="AS30" i="5"/>
  <c r="AR30" i="5"/>
  <c r="AQ30" i="5"/>
  <c r="AQ10" i="5" s="1"/>
  <c r="AQ99" i="5" s="1"/>
  <c r="AP30" i="5"/>
  <c r="AO30" i="5"/>
  <c r="AN30" i="5"/>
  <c r="AM30" i="5"/>
  <c r="AL30" i="5"/>
  <c r="AL10" i="5" s="1"/>
  <c r="AK30" i="5"/>
  <c r="AJ30" i="5"/>
  <c r="AI30" i="5"/>
  <c r="AI10" i="5" s="1"/>
  <c r="AH30" i="5"/>
  <c r="AH10" i="5" s="1"/>
  <c r="AH99" i="5" s="1"/>
  <c r="AG30" i="5"/>
  <c r="AG10" i="5" s="1"/>
  <c r="AG99" i="5" s="1"/>
  <c r="AF30" i="5"/>
  <c r="AF10" i="5" s="1"/>
  <c r="AF99" i="5" s="1"/>
  <c r="S30" i="5"/>
  <c r="H30" i="5"/>
  <c r="G30" i="5"/>
  <c r="F30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F26" i="5"/>
  <c r="AF25" i="5"/>
  <c r="AF27" i="5" s="1"/>
  <c r="AF41" i="5" s="1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X17" i="5"/>
  <c r="W17" i="5"/>
  <c r="X8" i="5" s="1"/>
  <c r="R17" i="5"/>
  <c r="Q17" i="5"/>
  <c r="P17" i="5"/>
  <c r="O17" i="5"/>
  <c r="N17" i="5"/>
  <c r="O8" i="5" s="1"/>
  <c r="M17" i="5"/>
  <c r="N8" i="5" s="1"/>
  <c r="L17" i="5"/>
  <c r="M8" i="5" s="1"/>
  <c r="K17" i="5"/>
  <c r="L8" i="5" s="1"/>
  <c r="J17" i="5"/>
  <c r="K8" i="5" s="1"/>
  <c r="I17" i="5"/>
  <c r="J8" i="5" s="1"/>
  <c r="H17" i="5"/>
  <c r="I8" i="5" s="1"/>
  <c r="G17" i="5"/>
  <c r="E17" i="5"/>
  <c r="B17" i="5"/>
  <c r="AU16" i="5"/>
  <c r="AP16" i="5"/>
  <c r="AM16" i="5"/>
  <c r="AL16" i="5"/>
  <c r="AK16" i="5"/>
  <c r="AJ16" i="5"/>
  <c r="AI16" i="5"/>
  <c r="AG16" i="5"/>
  <c r="AF16" i="5"/>
  <c r="AJ15" i="5"/>
  <c r="AJ83" i="5" s="1"/>
  <c r="AI15" i="5"/>
  <c r="AH15" i="5"/>
  <c r="AH83" i="5" s="1"/>
  <c r="AG15" i="5"/>
  <c r="AG83" i="5" s="1"/>
  <c r="AW14" i="5"/>
  <c r="AW12" i="5" s="1"/>
  <c r="AW16" i="5" s="1"/>
  <c r="AV14" i="5"/>
  <c r="AU14" i="5"/>
  <c r="AU12" i="5" s="1"/>
  <c r="AT14" i="5"/>
  <c r="AS14" i="5"/>
  <c r="AS12" i="5" s="1"/>
  <c r="AS16" i="5" s="1"/>
  <c r="AR14" i="5"/>
  <c r="AQ14" i="5"/>
  <c r="AP14" i="5"/>
  <c r="AO14" i="5"/>
  <c r="AN14" i="5"/>
  <c r="AM14" i="5"/>
  <c r="AL14" i="5"/>
  <c r="AK14" i="5"/>
  <c r="AJ14" i="5"/>
  <c r="AI14" i="5"/>
  <c r="AH14" i="5"/>
  <c r="AH12" i="5" s="1"/>
  <c r="AH16" i="5" s="1"/>
  <c r="AG14" i="5"/>
  <c r="AF14" i="5"/>
  <c r="AF12" i="5" s="1"/>
  <c r="AC14" i="5"/>
  <c r="AB14" i="5"/>
  <c r="AA14" i="5"/>
  <c r="AA12" i="5" s="1"/>
  <c r="Z14" i="5"/>
  <c r="Z12" i="5" s="1"/>
  <c r="Y14" i="5"/>
  <c r="Y12" i="5" s="1"/>
  <c r="X14" i="5"/>
  <c r="X12" i="5" s="1"/>
  <c r="W14" i="5"/>
  <c r="W12" i="5" s="1"/>
  <c r="V14" i="5"/>
  <c r="U14" i="5"/>
  <c r="U12" i="5" s="1"/>
  <c r="T14" i="5"/>
  <c r="S14" i="5"/>
  <c r="R14" i="5"/>
  <c r="Q14" i="5"/>
  <c r="P14" i="5"/>
  <c r="O14" i="5"/>
  <c r="N14" i="5"/>
  <c r="N12" i="5" s="1"/>
  <c r="M14" i="5"/>
  <c r="L14" i="5"/>
  <c r="L12" i="5" s="1"/>
  <c r="K14" i="5"/>
  <c r="J14" i="5"/>
  <c r="J12" i="5" s="1"/>
  <c r="I14" i="5"/>
  <c r="H14" i="5"/>
  <c r="G14" i="5"/>
  <c r="F14" i="5"/>
  <c r="F12" i="5" s="1"/>
  <c r="E14" i="5"/>
  <c r="E12" i="5" s="1"/>
  <c r="D14" i="5"/>
  <c r="D12" i="5" s="1"/>
  <c r="C14" i="5"/>
  <c r="C12" i="5" s="1"/>
  <c r="B14" i="5"/>
  <c r="AD13" i="5"/>
  <c r="AC13" i="5"/>
  <c r="AC12" i="5" s="1"/>
  <c r="AB13" i="5"/>
  <c r="AB12" i="5" s="1"/>
  <c r="AA13" i="5"/>
  <c r="Z13" i="5"/>
  <c r="Y13" i="5"/>
  <c r="X13" i="5"/>
  <c r="W13" i="5"/>
  <c r="V13" i="5"/>
  <c r="V12" i="5" s="1"/>
  <c r="U13" i="5"/>
  <c r="T13" i="5"/>
  <c r="T12" i="5" s="1"/>
  <c r="S13" i="5"/>
  <c r="S12" i="5" s="1"/>
  <c r="R13" i="5"/>
  <c r="R12" i="5" s="1"/>
  <c r="Q13" i="5"/>
  <c r="P13" i="5"/>
  <c r="O13" i="5"/>
  <c r="N13" i="5"/>
  <c r="M13" i="5"/>
  <c r="L13" i="5"/>
  <c r="K13" i="5"/>
  <c r="J13" i="5"/>
  <c r="I13" i="5"/>
  <c r="I12" i="5" s="1"/>
  <c r="H13" i="5"/>
  <c r="H12" i="5" s="1"/>
  <c r="G13" i="5"/>
  <c r="G12" i="5" s="1"/>
  <c r="F13" i="5"/>
  <c r="E13" i="5"/>
  <c r="D13" i="5"/>
  <c r="C13" i="5"/>
  <c r="B13" i="5"/>
  <c r="AV12" i="5"/>
  <c r="AV16" i="5" s="1"/>
  <c r="AT12" i="5"/>
  <c r="AT16" i="5" s="1"/>
  <c r="AR12" i="5"/>
  <c r="AR16" i="5" s="1"/>
  <c r="AQ12" i="5"/>
  <c r="AQ16" i="5" s="1"/>
  <c r="AP12" i="5"/>
  <c r="AO12" i="5"/>
  <c r="AO16" i="5" s="1"/>
  <c r="AN12" i="5"/>
  <c r="AN16" i="5" s="1"/>
  <c r="AM12" i="5"/>
  <c r="AL12" i="5"/>
  <c r="AK12" i="5"/>
  <c r="AJ12" i="5"/>
  <c r="AI12" i="5"/>
  <c r="AG12" i="5"/>
  <c r="Q12" i="5"/>
  <c r="P12" i="5"/>
  <c r="O12" i="5"/>
  <c r="M12" i="5"/>
  <c r="K12" i="5"/>
  <c r="B12" i="5"/>
  <c r="AW10" i="5"/>
  <c r="AW99" i="5" s="1"/>
  <c r="AV10" i="5"/>
  <c r="AV99" i="5" s="1"/>
  <c r="AU10" i="5"/>
  <c r="AU99" i="5" s="1"/>
  <c r="AT10" i="5"/>
  <c r="AT99" i="5" s="1"/>
  <c r="AS10" i="5"/>
  <c r="AS99" i="5" s="1"/>
  <c r="AR10" i="5"/>
  <c r="AR99" i="5" s="1"/>
  <c r="AP10" i="5"/>
  <c r="AP99" i="5" s="1"/>
  <c r="AO10" i="5"/>
  <c r="AO99" i="5" s="1"/>
  <c r="AN10" i="5"/>
  <c r="AN99" i="5" s="1"/>
  <c r="AM10" i="5"/>
  <c r="AM99" i="5" s="1"/>
  <c r="AK10" i="5"/>
  <c r="AK99" i="5" s="1"/>
  <c r="AJ10" i="5"/>
  <c r="AJ99" i="5" s="1"/>
  <c r="AB8" i="5"/>
  <c r="Z8" i="5"/>
  <c r="Y8" i="5"/>
  <c r="W8" i="5"/>
  <c r="U8" i="5"/>
  <c r="T8" i="5"/>
  <c r="S8" i="5"/>
  <c r="R8" i="5"/>
  <c r="Q8" i="5"/>
  <c r="H8" i="5"/>
  <c r="F8" i="5"/>
  <c r="C8" i="5"/>
  <c r="B8" i="5"/>
  <c r="AC7" i="5"/>
  <c r="AD5" i="5" s="1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E4" i="5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AY103" i="4"/>
  <c r="AY102" i="4"/>
  <c r="AY101" i="4"/>
  <c r="AZ96" i="4"/>
  <c r="AY96" i="4"/>
  <c r="AX96" i="4"/>
  <c r="AW96" i="4"/>
  <c r="AV96" i="4"/>
  <c r="AU96" i="4"/>
  <c r="BA95" i="4"/>
  <c r="BA94" i="4"/>
  <c r="BA93" i="4"/>
  <c r="AS81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U74" i="4"/>
  <c r="AT74" i="4"/>
  <c r="AV73" i="4"/>
  <c r="AU73" i="4"/>
  <c r="AT73" i="4"/>
  <c r="AT72" i="4"/>
  <c r="AT71" i="4"/>
  <c r="AT70" i="4"/>
  <c r="AT69" i="4"/>
  <c r="AT68" i="4"/>
  <c r="AT67" i="4"/>
  <c r="AU67" i="4" s="1"/>
  <c r="AT66" i="4"/>
  <c r="AT65" i="4"/>
  <c r="AT64" i="4"/>
  <c r="AU63" i="4"/>
  <c r="AT63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K8" i="4" s="1"/>
  <c r="AK9" i="4" s="1"/>
  <c r="AK14" i="4" s="1"/>
  <c r="AJ53" i="4"/>
  <c r="AJ8" i="4" s="1"/>
  <c r="AI53" i="4"/>
  <c r="AI8" i="4" s="1"/>
  <c r="AH53" i="4"/>
  <c r="AH8" i="4" s="1"/>
  <c r="AG53" i="4"/>
  <c r="AG8" i="4" s="1"/>
  <c r="AF53" i="4"/>
  <c r="AF8" i="4" s="1"/>
  <c r="AE53" i="4"/>
  <c r="AE8" i="4" s="1"/>
  <c r="AD53" i="4"/>
  <c r="AD8" i="4" s="1"/>
  <c r="AC53" i="4"/>
  <c r="AC8" i="4" s="1"/>
  <c r="AB53" i="4"/>
  <c r="AB8" i="4" s="1"/>
  <c r="AA53" i="4"/>
  <c r="Z53" i="4"/>
  <c r="Y53" i="4"/>
  <c r="X53" i="4"/>
  <c r="AX50" i="4"/>
  <c r="AX49" i="4"/>
  <c r="AX48" i="4"/>
  <c r="AX46" i="4"/>
  <c r="AX44" i="4"/>
  <c r="AX43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X13" i="4"/>
  <c r="AW37" i="4"/>
  <c r="AV37" i="4"/>
  <c r="AV13" i="4" s="1"/>
  <c r="AU37" i="4"/>
  <c r="AU13" i="4" s="1"/>
  <c r="AT37" i="4"/>
  <c r="AT13" i="4" s="1"/>
  <c r="AS37" i="4"/>
  <c r="AS13" i="4" s="1"/>
  <c r="AR37" i="4"/>
  <c r="AR13" i="4" s="1"/>
  <c r="AQ37" i="4"/>
  <c r="AP37" i="4"/>
  <c r="AO37" i="4"/>
  <c r="AN37" i="4"/>
  <c r="AM37" i="4"/>
  <c r="AL37" i="4"/>
  <c r="AK37" i="4"/>
  <c r="AA37" i="4"/>
  <c r="AA13" i="4" s="1"/>
  <c r="Z37" i="4"/>
  <c r="Z13" i="4" s="1"/>
  <c r="Y37" i="4"/>
  <c r="X37" i="4"/>
  <c r="X13" i="4" s="1"/>
  <c r="AJ36" i="4" a="1"/>
  <c r="AJ36" i="4" s="1"/>
  <c r="AI36" i="4" a="1"/>
  <c r="AI36" i="4" s="1"/>
  <c r="AH36" i="4" a="1"/>
  <c r="AH36" i="4" s="1"/>
  <c r="AG36" i="4" a="1"/>
  <c r="AG36" i="4" s="1"/>
  <c r="AF36" i="4"/>
  <c r="AF36" i="4" a="1"/>
  <c r="AE36" i="4" a="1"/>
  <c r="AE36" i="4" s="1"/>
  <c r="AD36" i="4" a="1"/>
  <c r="AD36" i="4" s="1"/>
  <c r="AC36" i="4" a="1"/>
  <c r="AC36" i="4" s="1"/>
  <c r="AB36" i="4"/>
  <c r="AC18" i="4" s="1"/>
  <c r="AJ35" i="4" a="1"/>
  <c r="AJ35" i="4" s="1"/>
  <c r="AI35" i="4"/>
  <c r="AI35" i="4" a="1"/>
  <c r="AH35" i="4" a="1"/>
  <c r="AH35" i="4" s="1"/>
  <c r="AG35" i="4" a="1"/>
  <c r="AG35" i="4" s="1"/>
  <c r="AF35" i="4" a="1"/>
  <c r="AF35" i="4" s="1"/>
  <c r="AE35" i="4"/>
  <c r="AE35" i="4" a="1"/>
  <c r="AD35" i="4" a="1"/>
  <c r="AD35" i="4" s="1"/>
  <c r="AC35" i="4"/>
  <c r="AC35" i="4" a="1"/>
  <c r="AB35" i="4"/>
  <c r="AY34" i="4" a="1"/>
  <c r="AY34" i="4" s="1"/>
  <c r="AJ34" i="4"/>
  <c r="AJ34" i="4" a="1"/>
  <c r="AI34" i="4" a="1"/>
  <c r="AI34" i="4" s="1"/>
  <c r="AH34" i="4" a="1"/>
  <c r="AH34" i="4" s="1"/>
  <c r="AG34" i="4" a="1"/>
  <c r="AG34" i="4" s="1"/>
  <c r="AF34" i="4" a="1"/>
  <c r="AF34" i="4" s="1"/>
  <c r="AE34" i="4"/>
  <c r="AE34" i="4" a="1"/>
  <c r="AD34" i="4" a="1"/>
  <c r="AD34" i="4" s="1"/>
  <c r="AC34" i="4" a="1"/>
  <c r="AC34" i="4" s="1"/>
  <c r="AY33" i="4" a="1"/>
  <c r="AY33" i="4" s="1"/>
  <c r="AJ33" i="4"/>
  <c r="AJ33" i="4" a="1"/>
  <c r="AI33" i="4" a="1"/>
  <c r="AI33" i="4" s="1"/>
  <c r="AH33" i="4" a="1"/>
  <c r="AH33" i="4" s="1"/>
  <c r="AG33" i="4" a="1"/>
  <c r="AG33" i="4" s="1"/>
  <c r="AF33" i="4" a="1"/>
  <c r="AF33" i="4" s="1"/>
  <c r="AE33" i="4" a="1"/>
  <c r="AE33" i="4" s="1"/>
  <c r="AD33" i="4"/>
  <c r="AD33" i="4" a="1"/>
  <c r="AC33" i="4" a="1"/>
  <c r="AC33" i="4" s="1"/>
  <c r="AY32" i="4" a="1"/>
  <c r="AY32" i="4" s="1"/>
  <c r="AJ32" i="4" a="1"/>
  <c r="AJ32" i="4" s="1"/>
  <c r="AI32" i="4" a="1"/>
  <c r="AI32" i="4" s="1"/>
  <c r="AH32" i="4" a="1"/>
  <c r="AH32" i="4" s="1"/>
  <c r="AI18" i="4" s="1"/>
  <c r="AG32" i="4" a="1"/>
  <c r="AG32" i="4" s="1"/>
  <c r="AH18" i="4" s="1"/>
  <c r="AF32" i="4" a="1"/>
  <c r="AF32" i="4" s="1"/>
  <c r="AE32" i="4" a="1"/>
  <c r="AE32" i="4" s="1"/>
  <c r="AF18" i="4" s="1"/>
  <c r="AD32" i="4" a="1"/>
  <c r="AD32" i="4" s="1"/>
  <c r="AC32" i="4"/>
  <c r="AC32" i="4" a="1"/>
  <c r="AY31" i="4" a="1"/>
  <c r="AY31" i="4" s="1"/>
  <c r="AJ31" i="4"/>
  <c r="AJ31" i="4" a="1"/>
  <c r="AI31" i="4" a="1"/>
  <c r="AI31" i="4" s="1"/>
  <c r="AH31" i="4" a="1"/>
  <c r="AH31" i="4" s="1"/>
  <c r="AG31" i="4" a="1"/>
  <c r="AG31" i="4" s="1"/>
  <c r="AF31" i="4" a="1"/>
  <c r="AF31" i="4" s="1"/>
  <c r="AE31" i="4" a="1"/>
  <c r="AE31" i="4" s="1"/>
  <c r="AD31" i="4" a="1"/>
  <c r="AD31" i="4" s="1"/>
  <c r="AC31" i="4" a="1"/>
  <c r="AC31" i="4" s="1"/>
  <c r="AY30" i="4" a="1"/>
  <c r="AY30" i="4" s="1"/>
  <c r="AJ30" i="4" a="1"/>
  <c r="AJ30" i="4" s="1"/>
  <c r="AI30" i="4" a="1"/>
  <c r="AI30" i="4" s="1"/>
  <c r="AH30" i="4"/>
  <c r="AH30" i="4" a="1"/>
  <c r="AG30" i="4" a="1"/>
  <c r="AG30" i="4" s="1"/>
  <c r="AF30" i="4"/>
  <c r="AF30" i="4" a="1"/>
  <c r="AE30" i="4" a="1"/>
  <c r="AE30" i="4" s="1"/>
  <c r="AD30" i="4" a="1"/>
  <c r="AD30" i="4" s="1"/>
  <c r="AC30" i="4" a="1"/>
  <c r="AC30" i="4" s="1"/>
  <c r="AY29" i="4"/>
  <c r="AY29" i="4" a="1"/>
  <c r="AJ29" i="4" a="1"/>
  <c r="AJ29" i="4" s="1"/>
  <c r="AI29" i="4" a="1"/>
  <c r="AI29" i="4" s="1"/>
  <c r="AH29" i="4" a="1"/>
  <c r="AH29" i="4" s="1"/>
  <c r="AG29" i="4" a="1"/>
  <c r="AG29" i="4" s="1"/>
  <c r="AF29" i="4" a="1"/>
  <c r="AF29" i="4" s="1"/>
  <c r="AE29" i="4" a="1"/>
  <c r="AE29" i="4" s="1"/>
  <c r="AD29" i="4"/>
  <c r="AD29" i="4" a="1"/>
  <c r="AC29" i="4" a="1"/>
  <c r="AC29" i="4" s="1"/>
  <c r="AY28" i="4" a="1"/>
  <c r="AY28" i="4" s="1"/>
  <c r="AJ28" i="4"/>
  <c r="AJ28" i="4" a="1"/>
  <c r="AI28" i="4" a="1"/>
  <c r="AI28" i="4" s="1"/>
  <c r="AH28" i="4" a="1"/>
  <c r="AH28" i="4" s="1"/>
  <c r="AG28" i="4" a="1"/>
  <c r="AG28" i="4" s="1"/>
  <c r="AG18" i="4" s="1"/>
  <c r="AF28" i="4" a="1"/>
  <c r="AF28" i="4" s="1"/>
  <c r="AE28" i="4" a="1"/>
  <c r="AE28" i="4" s="1"/>
  <c r="AD28" i="4" a="1"/>
  <c r="AD28" i="4" s="1"/>
  <c r="AC28" i="4" a="1"/>
  <c r="AC28" i="4" s="1"/>
  <c r="AY27" i="4" a="1"/>
  <c r="AY27" i="4" s="1"/>
  <c r="AJ27" i="4" a="1"/>
  <c r="AJ27" i="4" s="1"/>
  <c r="AI27" i="4"/>
  <c r="AI27" i="4" a="1"/>
  <c r="AH27" i="4" a="1"/>
  <c r="AH27" i="4" s="1"/>
  <c r="AG27" i="4" a="1"/>
  <c r="AG27" i="4" s="1"/>
  <c r="AF27" i="4" a="1"/>
  <c r="AF27" i="4" s="1"/>
  <c r="AE27" i="4"/>
  <c r="AE27" i="4" a="1"/>
  <c r="AD27" i="4" a="1"/>
  <c r="AD27" i="4" s="1"/>
  <c r="AC27" i="4" a="1"/>
  <c r="AC27" i="4" s="1"/>
  <c r="AY26" i="4" a="1"/>
  <c r="AY26" i="4" s="1"/>
  <c r="AJ26" i="4" a="1"/>
  <c r="AJ26" i="4" s="1"/>
  <c r="AI26" i="4" a="1"/>
  <c r="AI26" i="4" s="1"/>
  <c r="AH26" i="4"/>
  <c r="AH26" i="4" a="1"/>
  <c r="AG26" i="4" a="1"/>
  <c r="AG26" i="4" s="1"/>
  <c r="AF26" i="4" a="1"/>
  <c r="AF26" i="4" s="1"/>
  <c r="AE26" i="4"/>
  <c r="AE26" i="4" a="1"/>
  <c r="AD26" i="4" a="1"/>
  <c r="AD26" i="4" s="1"/>
  <c r="AC26" i="4" a="1"/>
  <c r="AC26" i="4" s="1"/>
  <c r="AY25" i="4" a="1"/>
  <c r="AY25" i="4" s="1"/>
  <c r="AJ25" i="4" a="1"/>
  <c r="AJ25" i="4" s="1"/>
  <c r="AI25" i="4" a="1"/>
  <c r="AI25" i="4" s="1"/>
  <c r="AH25" i="4" a="1"/>
  <c r="AH25" i="4" s="1"/>
  <c r="AH37" i="4" s="1"/>
  <c r="AH13" i="4" s="1"/>
  <c r="AG25" i="4"/>
  <c r="AG25" i="4" a="1"/>
  <c r="AF25" i="4" a="1"/>
  <c r="AF25" i="4" s="1"/>
  <c r="AE25" i="4" a="1"/>
  <c r="AE25" i="4" s="1"/>
  <c r="AD25" i="4" a="1"/>
  <c r="AD25" i="4" s="1"/>
  <c r="AC25" i="4" a="1"/>
  <c r="AC25" i="4" s="1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V18" i="4"/>
  <c r="AU18" i="4"/>
  <c r="AT18" i="4"/>
  <c r="AS18" i="4"/>
  <c r="AR18" i="4"/>
  <c r="AQ18" i="4"/>
  <c r="AP18" i="4"/>
  <c r="AO18" i="4"/>
  <c r="AN18" i="4"/>
  <c r="AM18" i="4"/>
  <c r="AL18" i="4"/>
  <c r="AB18" i="4"/>
  <c r="AA18" i="4"/>
  <c r="Z18" i="4"/>
  <c r="Y18" i="4"/>
  <c r="AV17" i="4"/>
  <c r="AU17" i="4"/>
  <c r="AT17" i="4"/>
  <c r="AS17" i="4"/>
  <c r="AR17" i="4"/>
  <c r="AQ17" i="4"/>
  <c r="AP17" i="4"/>
  <c r="AO17" i="4"/>
  <c r="AN17" i="4"/>
  <c r="AM17" i="4"/>
  <c r="AL17" i="4"/>
  <c r="AI17" i="4"/>
  <c r="AB17" i="4"/>
  <c r="AA17" i="4"/>
  <c r="Z17" i="4"/>
  <c r="Y17" i="4"/>
  <c r="B16" i="4"/>
  <c r="H14" i="4"/>
  <c r="G14" i="4"/>
  <c r="G16" i="4" s="1"/>
  <c r="F14" i="4"/>
  <c r="B14" i="4"/>
  <c r="BA13" i="4"/>
  <c r="AZ13" i="4"/>
  <c r="AY13" i="4"/>
  <c r="AQ13" i="4"/>
  <c r="AP13" i="4"/>
  <c r="AO13" i="4"/>
  <c r="AN13" i="4"/>
  <c r="AM13" i="4"/>
  <c r="AL13" i="4"/>
  <c r="AK13" i="4"/>
  <c r="Y13" i="4"/>
  <c r="W12" i="4"/>
  <c r="W10" i="4" s="1"/>
  <c r="V12" i="4"/>
  <c r="V10" i="4" s="1"/>
  <c r="U12" i="4"/>
  <c r="U10" i="4" s="1"/>
  <c r="T12" i="4"/>
  <c r="T10" i="4" s="1"/>
  <c r="B12" i="4"/>
  <c r="B10" i="4" s="1"/>
  <c r="AW9" i="4"/>
  <c r="AW14" i="4" s="1"/>
  <c r="AS9" i="4"/>
  <c r="AS14" i="4" s="1"/>
  <c r="AS12" i="4" s="1"/>
  <c r="AR9" i="4"/>
  <c r="AR14" i="4" s="1"/>
  <c r="W9" i="4"/>
  <c r="W14" i="4" s="1"/>
  <c r="W16" i="4" s="1"/>
  <c r="V9" i="4"/>
  <c r="V14" i="4" s="1"/>
  <c r="V16" i="4" s="1"/>
  <c r="U9" i="4"/>
  <c r="U14" i="4" s="1"/>
  <c r="U16" i="4" s="1"/>
  <c r="T9" i="4"/>
  <c r="T14" i="4" s="1"/>
  <c r="T16" i="4" s="1"/>
  <c r="S9" i="4"/>
  <c r="S14" i="4" s="1"/>
  <c r="S12" i="4" s="1"/>
  <c r="S10" i="4" s="1"/>
  <c r="R9" i="4"/>
  <c r="R14" i="4" s="1"/>
  <c r="R12" i="4" s="1"/>
  <c r="R10" i="4" s="1"/>
  <c r="Q9" i="4"/>
  <c r="Q14" i="4" s="1"/>
  <c r="P9" i="4"/>
  <c r="P14" i="4" s="1"/>
  <c r="P12" i="4" s="1"/>
  <c r="P10" i="4" s="1"/>
  <c r="O9" i="4"/>
  <c r="O14" i="4" s="1"/>
  <c r="N9" i="4"/>
  <c r="N14" i="4" s="1"/>
  <c r="M9" i="4"/>
  <c r="M14" i="4" s="1"/>
  <c r="B9" i="4"/>
  <c r="AW8" i="4"/>
  <c r="AV8" i="4"/>
  <c r="AU8" i="4"/>
  <c r="AT8" i="4"/>
  <c r="AT9" i="4" s="1"/>
  <c r="AT14" i="4" s="1"/>
  <c r="AS8" i="4"/>
  <c r="AR8" i="4"/>
  <c r="AQ8" i="4"/>
  <c r="AQ9" i="4" s="1"/>
  <c r="AQ14" i="4" s="1"/>
  <c r="AP8" i="4"/>
  <c r="AP9" i="4" s="1"/>
  <c r="AP14" i="4" s="1"/>
  <c r="AO8" i="4"/>
  <c r="AO9" i="4" s="1"/>
  <c r="AO14" i="4" s="1"/>
  <c r="AN8" i="4"/>
  <c r="AM8" i="4"/>
  <c r="AM9" i="4" s="1"/>
  <c r="AM14" i="4" s="1"/>
  <c r="AL8" i="4"/>
  <c r="AL9" i="4" s="1"/>
  <c r="AL14" i="4" s="1"/>
  <c r="AA8" i="4"/>
  <c r="AA9" i="4" s="1"/>
  <c r="AA14" i="4" s="1"/>
  <c r="Z8" i="4"/>
  <c r="Y8" i="4"/>
  <c r="X8" i="4"/>
  <c r="X9" i="4" s="1"/>
  <c r="X14" i="4" s="1"/>
  <c r="BA6" i="4"/>
  <c r="AZ14" i="4"/>
  <c r="AX14" i="4"/>
  <c r="AV9" i="4"/>
  <c r="AV14" i="4" s="1"/>
  <c r="AV12" i="4" s="1"/>
  <c r="AV10" i="4" s="1"/>
  <c r="AU6" i="4"/>
  <c r="AU9" i="4" s="1"/>
  <c r="AU14" i="4" s="1"/>
  <c r="AT6" i="4"/>
  <c r="AS6" i="4"/>
  <c r="AR6" i="4"/>
  <c r="AQ6" i="4"/>
  <c r="AP6" i="4"/>
  <c r="AO6" i="4"/>
  <c r="AN6" i="4"/>
  <c r="AN9" i="4" s="1"/>
  <c r="AN14" i="4" s="1"/>
  <c r="AM6" i="4"/>
  <c r="AL6" i="4"/>
  <c r="AK6" i="4"/>
  <c r="AJ6" i="4"/>
  <c r="AJ9" i="4" s="1"/>
  <c r="AJ14" i="4" s="1"/>
  <c r="AI6" i="4"/>
  <c r="AI9" i="4" s="1"/>
  <c r="AI14" i="4" s="1"/>
  <c r="AH6" i="4"/>
  <c r="AH9" i="4" s="1"/>
  <c r="AH14" i="4" s="1"/>
  <c r="AG6" i="4"/>
  <c r="AG9" i="4" s="1"/>
  <c r="AG14" i="4" s="1"/>
  <c r="AF6" i="4"/>
  <c r="AF9" i="4" s="1"/>
  <c r="AF14" i="4" s="1"/>
  <c r="AE6" i="4"/>
  <c r="AE9" i="4" s="1"/>
  <c r="AE14" i="4" s="1"/>
  <c r="AD6" i="4"/>
  <c r="AC6" i="4"/>
  <c r="AB6" i="4"/>
  <c r="AB9" i="4" s="1"/>
  <c r="AB14" i="4" s="1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L9" i="4" s="1"/>
  <c r="L14" i="4" s="1"/>
  <c r="K6" i="4"/>
  <c r="K9" i="4" s="1"/>
  <c r="K14" i="4" s="1"/>
  <c r="J6" i="4"/>
  <c r="J9" i="4" s="1"/>
  <c r="J14" i="4" s="1"/>
  <c r="I6" i="4"/>
  <c r="I9" i="4" s="1"/>
  <c r="I14" i="4" s="1"/>
  <c r="H6" i="4"/>
  <c r="H9" i="4" s="1"/>
  <c r="G6" i="4"/>
  <c r="G9" i="4" s="1"/>
  <c r="F6" i="4"/>
  <c r="F9" i="4" s="1"/>
  <c r="E6" i="4"/>
  <c r="E9" i="4" s="1"/>
  <c r="E14" i="4" s="1"/>
  <c r="D6" i="4"/>
  <c r="D9" i="4" s="1"/>
  <c r="D14" i="4" s="1"/>
  <c r="C6" i="4"/>
  <c r="C9" i="4" s="1"/>
  <c r="C14" i="4" s="1"/>
  <c r="AP5" i="4"/>
  <c r="AO5" i="4"/>
  <c r="AN5" i="4"/>
  <c r="AM5" i="4"/>
  <c r="AL5" i="4"/>
  <c r="AK5" i="4"/>
  <c r="AJ5" i="4"/>
  <c r="AI5" i="4"/>
  <c r="AH5" i="4"/>
  <c r="AG5" i="4"/>
  <c r="AF5" i="4"/>
  <c r="Y5" i="4"/>
  <c r="T5" i="4"/>
  <c r="Q5" i="4"/>
  <c r="P5" i="4"/>
  <c r="O5" i="4"/>
  <c r="N5" i="4"/>
  <c r="M5" i="4"/>
  <c r="L5" i="4"/>
  <c r="J5" i="4"/>
  <c r="C5" i="4"/>
  <c r="B5" i="4"/>
  <c r="E48" i="1"/>
  <c r="D104" i="16" s="1"/>
  <c r="AY5" i="4"/>
  <c r="AX4" i="4"/>
  <c r="AX5" i="4" s="1"/>
  <c r="AW5" i="4"/>
  <c r="AV5" i="4"/>
  <c r="AU4" i="4"/>
  <c r="AU5" i="4" s="1"/>
  <c r="AT4" i="4"/>
  <c r="AT5" i="4" s="1"/>
  <c r="AS4" i="4"/>
  <c r="AS5" i="4" s="1"/>
  <c r="AR4" i="4"/>
  <c r="AR5" i="4" s="1"/>
  <c r="AQ4" i="4"/>
  <c r="AQ5" i="4" s="1"/>
  <c r="AP4" i="4"/>
  <c r="AO4" i="4"/>
  <c r="AN4" i="4"/>
  <c r="AM4" i="4"/>
  <c r="AL4" i="4"/>
  <c r="AK4" i="4"/>
  <c r="AJ4" i="4"/>
  <c r="AI4" i="4"/>
  <c r="AH4" i="4"/>
  <c r="AG4" i="4"/>
  <c r="AF4" i="4"/>
  <c r="AE4" i="4"/>
  <c r="AE5" i="4" s="1"/>
  <c r="AD4" i="4"/>
  <c r="AD5" i="4" s="1"/>
  <c r="AC4" i="4"/>
  <c r="AC5" i="4" s="1"/>
  <c r="AB4" i="4"/>
  <c r="AB5" i="4" s="1"/>
  <c r="AA4" i="4"/>
  <c r="AA5" i="4" s="1"/>
  <c r="Z4" i="4"/>
  <c r="Z5" i="4" s="1"/>
  <c r="Y4" i="4"/>
  <c r="X4" i="4"/>
  <c r="X5" i="4" s="1"/>
  <c r="W4" i="4"/>
  <c r="W5" i="4" s="1"/>
  <c r="V4" i="4"/>
  <c r="V5" i="4" s="1"/>
  <c r="U4" i="4"/>
  <c r="U5" i="4" s="1"/>
  <c r="T4" i="4"/>
  <c r="S4" i="4"/>
  <c r="S5" i="4" s="1"/>
  <c r="R4" i="4"/>
  <c r="R5" i="4" s="1"/>
  <c r="Q4" i="4"/>
  <c r="P4" i="4"/>
  <c r="O4" i="4"/>
  <c r="N4" i="4"/>
  <c r="M4" i="4"/>
  <c r="L4" i="4"/>
  <c r="K4" i="4"/>
  <c r="K5" i="4" s="1"/>
  <c r="J4" i="4"/>
  <c r="I4" i="4"/>
  <c r="I5" i="4" s="1"/>
  <c r="H4" i="4"/>
  <c r="H5" i="4" s="1"/>
  <c r="G4" i="4"/>
  <c r="G5" i="4" s="1"/>
  <c r="F4" i="4"/>
  <c r="F5" i="4" s="1"/>
  <c r="E4" i="4"/>
  <c r="E5" i="4" s="1"/>
  <c r="D4" i="4"/>
  <c r="D5" i="4" s="1"/>
  <c r="AK129" i="3"/>
  <c r="AQ123" i="3"/>
  <c r="AP123" i="3"/>
  <c r="AO123" i="3"/>
  <c r="AN123" i="3"/>
  <c r="AM123" i="3"/>
  <c r="AQ122" i="3"/>
  <c r="AP122" i="3"/>
  <c r="AO122" i="3"/>
  <c r="AN122" i="3"/>
  <c r="AM122" i="3"/>
  <c r="AQ120" i="3"/>
  <c r="AP120" i="3"/>
  <c r="AO120" i="3"/>
  <c r="AN120" i="3"/>
  <c r="AM120" i="3"/>
  <c r="AW112" i="3"/>
  <c r="AW13" i="3" s="1"/>
  <c r="AV112" i="3"/>
  <c r="AV13" i="3" s="1"/>
  <c r="AU112" i="3"/>
  <c r="AT112" i="3"/>
  <c r="AS112" i="3"/>
  <c r="AR112" i="3"/>
  <c r="AQ112" i="3"/>
  <c r="AQ13" i="3" s="1"/>
  <c r="AP112" i="3"/>
  <c r="AP13" i="3" s="1"/>
  <c r="BA99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AX91" i="3"/>
  <c r="AW91" i="3"/>
  <c r="AV91" i="3"/>
  <c r="AU91" i="3"/>
  <c r="AT91" i="3"/>
  <c r="AS91" i="3"/>
  <c r="AR91" i="3"/>
  <c r="AQ91" i="3"/>
  <c r="AP91" i="3"/>
  <c r="AO91" i="3"/>
  <c r="AN91" i="3"/>
  <c r="AX92" i="3" s="1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AR80" i="3"/>
  <c r="AQ80" i="3"/>
  <c r="AP80" i="3"/>
  <c r="AO80" i="3"/>
  <c r="AN80" i="3"/>
  <c r="AM80" i="3"/>
  <c r="AL80" i="3"/>
  <c r="AK80" i="3"/>
  <c r="AI80" i="3"/>
  <c r="V80" i="3"/>
  <c r="U80" i="3"/>
  <c r="T80" i="3"/>
  <c r="S80" i="3"/>
  <c r="R80" i="3"/>
  <c r="Q80" i="3"/>
  <c r="P80" i="3"/>
  <c r="O80" i="3"/>
  <c r="M80" i="3"/>
  <c r="BA80" i="3"/>
  <c r="AZ80" i="3"/>
  <c r="AY80" i="3"/>
  <c r="AX80" i="3"/>
  <c r="AW80" i="3"/>
  <c r="AV80" i="3"/>
  <c r="AU80" i="3"/>
  <c r="AT80" i="3"/>
  <c r="AS80" i="3"/>
  <c r="AJ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N80" i="3"/>
  <c r="L80" i="3"/>
  <c r="K80" i="3"/>
  <c r="J80" i="3"/>
  <c r="I80" i="3"/>
  <c r="H80" i="3"/>
  <c r="G80" i="3"/>
  <c r="F80" i="3"/>
  <c r="E80" i="3"/>
  <c r="D80" i="3"/>
  <c r="C80" i="3"/>
  <c r="B80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Y61" i="3"/>
  <c r="AY59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BA54" i="3"/>
  <c r="AZ54" i="3"/>
  <c r="AW54" i="3"/>
  <c r="AW10" i="3" s="1"/>
  <c r="AW11" i="3" s="1"/>
  <c r="AW16" i="3" s="1"/>
  <c r="AV54" i="3"/>
  <c r="AU54" i="3"/>
  <c r="AU10" i="3" s="1"/>
  <c r="AU11" i="3" s="1"/>
  <c r="AU16" i="3" s="1"/>
  <c r="AT54" i="3"/>
  <c r="AT10" i="3" s="1"/>
  <c r="AS54" i="3"/>
  <c r="AS10" i="3" s="1"/>
  <c r="AR54" i="3"/>
  <c r="AR10" i="3" s="1"/>
  <c r="AQ54" i="3"/>
  <c r="AQ10" i="3" s="1"/>
  <c r="AP54" i="3"/>
  <c r="AP10" i="3" s="1"/>
  <c r="AO54" i="3"/>
  <c r="AO10" i="3" s="1"/>
  <c r="AN54" i="3"/>
  <c r="AN10" i="3" s="1"/>
  <c r="AM54" i="3"/>
  <c r="AM10" i="3" s="1"/>
  <c r="AL54" i="3"/>
  <c r="AL10" i="3" s="1"/>
  <c r="AK54" i="3"/>
  <c r="AK10" i="3" s="1"/>
  <c r="AJ54" i="3"/>
  <c r="AJ10" i="3" s="1"/>
  <c r="AJ11" i="3" s="1"/>
  <c r="AJ16" i="3" s="1"/>
  <c r="AI54" i="3"/>
  <c r="AH54" i="3"/>
  <c r="AG54" i="3"/>
  <c r="AF54" i="3"/>
  <c r="AE54" i="3"/>
  <c r="AD54" i="3"/>
  <c r="AC54" i="3"/>
  <c r="AB54" i="3"/>
  <c r="AA54" i="3"/>
  <c r="AA10" i="3" s="1"/>
  <c r="AA11" i="3" s="1"/>
  <c r="AA16" i="3" s="1"/>
  <c r="Z54" i="3"/>
  <c r="Y54" i="3"/>
  <c r="Y10" i="3" s="1"/>
  <c r="Y11" i="3" s="1"/>
  <c r="Y16" i="3" s="1"/>
  <c r="X54" i="3"/>
  <c r="X10" i="3" s="1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X38" i="3"/>
  <c r="AW38" i="3"/>
  <c r="AV38" i="3"/>
  <c r="AV15" i="3" s="1"/>
  <c r="AU38" i="3"/>
  <c r="AU15" i="3" s="1"/>
  <c r="AT38" i="3"/>
  <c r="AY37" i="3" s="1"/>
  <c r="AS38" i="3"/>
  <c r="AS15" i="3" s="1"/>
  <c r="AR38" i="3"/>
  <c r="AR15" i="3" s="1"/>
  <c r="AQ38" i="3"/>
  <c r="AQ15" i="3" s="1"/>
  <c r="AP38" i="3"/>
  <c r="AO38" i="3"/>
  <c r="AN38" i="3"/>
  <c r="AM38" i="3"/>
  <c r="AL38" i="3"/>
  <c r="AK38" i="3"/>
  <c r="AJ38" i="3"/>
  <c r="AI38" i="3"/>
  <c r="AH38" i="3"/>
  <c r="AH15" i="3" s="1"/>
  <c r="AG38" i="3"/>
  <c r="AF38" i="3"/>
  <c r="AF15" i="3" s="1"/>
  <c r="AE38" i="3"/>
  <c r="AE15" i="3" s="1"/>
  <c r="AD38" i="3"/>
  <c r="AC38" i="3"/>
  <c r="AC15" i="3" s="1"/>
  <c r="AB38" i="3"/>
  <c r="AB15" i="3" s="1"/>
  <c r="AA38" i="3"/>
  <c r="AA15" i="3" s="1"/>
  <c r="Z38" i="3"/>
  <c r="Z15" i="3" s="1"/>
  <c r="Y38" i="3"/>
  <c r="Y15" i="3" s="1"/>
  <c r="X38" i="3"/>
  <c r="X15" i="3" s="1"/>
  <c r="W38" i="3"/>
  <c r="W15" i="3" s="1"/>
  <c r="V38" i="3"/>
  <c r="V15" i="3" s="1"/>
  <c r="U38" i="3"/>
  <c r="U15" i="3" s="1"/>
  <c r="T38" i="3"/>
  <c r="S38" i="3"/>
  <c r="R38" i="3"/>
  <c r="Q38" i="3"/>
  <c r="P38" i="3"/>
  <c r="O38" i="3"/>
  <c r="N38" i="3"/>
  <c r="M38" i="3"/>
  <c r="L38" i="3"/>
  <c r="L15" i="3" s="1"/>
  <c r="K38" i="3"/>
  <c r="J38" i="3"/>
  <c r="J15" i="3" s="1"/>
  <c r="I38" i="3"/>
  <c r="I15" i="3" s="1"/>
  <c r="H38" i="3"/>
  <c r="BD37" i="3"/>
  <c r="AB37" i="3"/>
  <c r="BD36" i="3"/>
  <c r="AY36" i="3"/>
  <c r="AZ36" i="3" s="1"/>
  <c r="AB36" i="3"/>
  <c r="AB83" i="3" s="1"/>
  <c r="BD35" i="3"/>
  <c r="AY35" i="3"/>
  <c r="AY35" i="3" a="1"/>
  <c r="BD34" i="3"/>
  <c r="AY34" i="3" a="1"/>
  <c r="AY34" i="3" s="1"/>
  <c r="BD33" i="3"/>
  <c r="AY33" i="3" a="1"/>
  <c r="AY33" i="3" s="1"/>
  <c r="BD32" i="3"/>
  <c r="AY32" i="3" a="1"/>
  <c r="AY32" i="3" s="1"/>
  <c r="BD31" i="3"/>
  <c r="AY31" i="3" a="1"/>
  <c r="AY31" i="3" s="1"/>
  <c r="BD30" i="3"/>
  <c r="AY30" i="3" a="1"/>
  <c r="AY30" i="3" s="1"/>
  <c r="BD29" i="3"/>
  <c r="AY29" i="3" a="1"/>
  <c r="AY29" i="3" s="1"/>
  <c r="BD28" i="3"/>
  <c r="AY28" i="3" a="1"/>
  <c r="AY28" i="3" s="1"/>
  <c r="AY27" i="3"/>
  <c r="AY27" i="3" a="1"/>
  <c r="AY26" i="3" a="1"/>
  <c r="AY26" i="3" s="1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N16" i="3"/>
  <c r="N14" i="3" s="1"/>
  <c r="N12" i="3" s="1"/>
  <c r="M16" i="3"/>
  <c r="M14" i="3" s="1"/>
  <c r="M12" i="3" s="1"/>
  <c r="J16" i="3"/>
  <c r="J14" i="3" s="1"/>
  <c r="J12" i="3" s="1"/>
  <c r="I16" i="3"/>
  <c r="BA15" i="3"/>
  <c r="AZ15" i="3"/>
  <c r="AP15" i="3"/>
  <c r="AO15" i="3"/>
  <c r="AN15" i="3"/>
  <c r="AM15" i="3"/>
  <c r="AL15" i="3"/>
  <c r="AK15" i="3"/>
  <c r="AJ15" i="3"/>
  <c r="AI15" i="3"/>
  <c r="AG15" i="3"/>
  <c r="AD15" i="3"/>
  <c r="T15" i="3"/>
  <c r="S15" i="3"/>
  <c r="R15" i="3"/>
  <c r="Q15" i="3"/>
  <c r="P15" i="3"/>
  <c r="O15" i="3"/>
  <c r="N15" i="3"/>
  <c r="M15" i="3"/>
  <c r="K15" i="3"/>
  <c r="H15" i="3"/>
  <c r="AU13" i="3"/>
  <c r="AT13" i="3"/>
  <c r="AS13" i="3"/>
  <c r="AR13" i="3"/>
  <c r="AV11" i="3"/>
  <c r="AV16" i="3" s="1"/>
  <c r="AC11" i="3"/>
  <c r="AC16" i="3" s="1"/>
  <c r="AB11" i="3"/>
  <c r="AB16" i="3" s="1"/>
  <c r="Z11" i="3"/>
  <c r="Z16" i="3" s="1"/>
  <c r="N11" i="3"/>
  <c r="M11" i="3"/>
  <c r="J11" i="3"/>
  <c r="I11" i="3"/>
  <c r="H11" i="3"/>
  <c r="H16" i="3" s="1"/>
  <c r="G11" i="3"/>
  <c r="G16" i="3" s="1"/>
  <c r="F11" i="3"/>
  <c r="F16" i="3" s="1"/>
  <c r="E11" i="3"/>
  <c r="E16" i="3" s="1"/>
  <c r="D11" i="3"/>
  <c r="D16" i="3" s="1"/>
  <c r="C11" i="3"/>
  <c r="C16" i="3" s="1"/>
  <c r="AY54" i="3"/>
  <c r="AV10" i="3"/>
  <c r="AI10" i="3"/>
  <c r="AI11" i="3" s="1"/>
  <c r="AI16" i="3" s="1"/>
  <c r="AH10" i="3"/>
  <c r="AG10" i="3"/>
  <c r="AF10" i="3"/>
  <c r="AF11" i="3" s="1"/>
  <c r="AF16" i="3" s="1"/>
  <c r="AE10" i="3"/>
  <c r="AE11" i="3" s="1"/>
  <c r="AE16" i="3" s="1"/>
  <c r="AD10" i="3"/>
  <c r="AD11" i="3" s="1"/>
  <c r="AD16" i="3" s="1"/>
  <c r="AC10" i="3"/>
  <c r="AB10" i="3"/>
  <c r="Z10" i="3"/>
  <c r="AY9" i="3"/>
  <c r="AX95" i="3"/>
  <c r="AW9" i="3"/>
  <c r="AV9" i="3"/>
  <c r="AU9" i="3"/>
  <c r="AT9" i="3"/>
  <c r="AS9" i="3"/>
  <c r="AR9" i="3"/>
  <c r="AQ9" i="3"/>
  <c r="AQ11" i="3" s="1"/>
  <c r="AQ16" i="3" s="1"/>
  <c r="AP9" i="3"/>
  <c r="AP11" i="3" s="1"/>
  <c r="AP16" i="3" s="1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U11" i="3" s="1"/>
  <c r="U16" i="3" s="1"/>
  <c r="T9" i="3"/>
  <c r="T11" i="3" s="1"/>
  <c r="T16" i="3" s="1"/>
  <c r="S9" i="3"/>
  <c r="S6" i="3" s="1"/>
  <c r="R9" i="3"/>
  <c r="R6" i="3" s="1"/>
  <c r="Q9" i="3"/>
  <c r="Q6" i="3" s="1"/>
  <c r="P9" i="3"/>
  <c r="P11" i="3" s="1"/>
  <c r="P16" i="3" s="1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B11" i="3" s="1"/>
  <c r="B16" i="3" s="1"/>
  <c r="BA8" i="3"/>
  <c r="AZ8" i="3"/>
  <c r="AX8" i="3"/>
  <c r="AW8" i="3"/>
  <c r="AV8" i="3"/>
  <c r="AU8" i="3"/>
  <c r="AT8" i="3"/>
  <c r="AS8" i="3"/>
  <c r="AS11" i="3" s="1"/>
  <c r="AS16" i="3" s="1"/>
  <c r="AR8" i="3"/>
  <c r="AR11" i="3" s="1"/>
  <c r="AR16" i="3" s="1"/>
  <c r="AQ8" i="3"/>
  <c r="AP8" i="3"/>
  <c r="AO8" i="3"/>
  <c r="AO11" i="3" s="1"/>
  <c r="AO16" i="3" s="1"/>
  <c r="AN8" i="3"/>
  <c r="AN11" i="3" s="1"/>
  <c r="AN16" i="3" s="1"/>
  <c r="AM8" i="3"/>
  <c r="AM11" i="3" s="1"/>
  <c r="AM16" i="3" s="1"/>
  <c r="AL8" i="3"/>
  <c r="AK8" i="3"/>
  <c r="AK11" i="3" s="1"/>
  <c r="AK16" i="3" s="1"/>
  <c r="AJ8" i="3"/>
  <c r="AI8" i="3"/>
  <c r="AH8" i="3"/>
  <c r="AH11" i="3" s="1"/>
  <c r="AH16" i="3" s="1"/>
  <c r="AG8" i="3"/>
  <c r="AG11" i="3" s="1"/>
  <c r="AG16" i="3" s="1"/>
  <c r="AF8" i="3"/>
  <c r="AE8" i="3"/>
  <c r="AD8" i="3"/>
  <c r="AC8" i="3"/>
  <c r="AB8" i="3"/>
  <c r="AA8" i="3"/>
  <c r="Z8" i="3"/>
  <c r="Y8" i="3"/>
  <c r="X8" i="3"/>
  <c r="W8" i="3"/>
  <c r="W11" i="3" s="1"/>
  <c r="W16" i="3" s="1"/>
  <c r="V8" i="3"/>
  <c r="V11" i="3" s="1"/>
  <c r="V16" i="3" s="1"/>
  <c r="U8" i="3"/>
  <c r="T8" i="3"/>
  <c r="S8" i="3"/>
  <c r="S11" i="3" s="1"/>
  <c r="S16" i="3" s="1"/>
  <c r="R8" i="3"/>
  <c r="R11" i="3" s="1"/>
  <c r="R16" i="3" s="1"/>
  <c r="Q8" i="3"/>
  <c r="Q11" i="3" s="1"/>
  <c r="Q16" i="3" s="1"/>
  <c r="P8" i="3"/>
  <c r="O8" i="3"/>
  <c r="O11" i="3" s="1"/>
  <c r="O16" i="3" s="1"/>
  <c r="N8" i="3"/>
  <c r="M8" i="3"/>
  <c r="L8" i="3"/>
  <c r="L11" i="3" s="1"/>
  <c r="L16" i="3" s="1"/>
  <c r="K8" i="3"/>
  <c r="K11" i="3" s="1"/>
  <c r="K16" i="3" s="1"/>
  <c r="J8" i="3"/>
  <c r="I8" i="3"/>
  <c r="H8" i="3"/>
  <c r="G8" i="3"/>
  <c r="F8" i="3"/>
  <c r="E8" i="3"/>
  <c r="D8" i="3"/>
  <c r="C8" i="3"/>
  <c r="AG7" i="3"/>
  <c r="L7" i="3"/>
  <c r="J7" i="3"/>
  <c r="AS6" i="3"/>
  <c r="AR6" i="3"/>
  <c r="AQ6" i="3"/>
  <c r="AP6" i="3"/>
  <c r="AO6" i="3"/>
  <c r="AN6" i="3"/>
  <c r="AM6" i="3"/>
  <c r="AL6" i="3"/>
  <c r="AJ6" i="3"/>
  <c r="W6" i="3"/>
  <c r="V6" i="3"/>
  <c r="U6" i="3"/>
  <c r="T6" i="3"/>
  <c r="P6" i="3"/>
  <c r="N6" i="3"/>
  <c r="AY5" i="3"/>
  <c r="AY7" i="3" s="1"/>
  <c r="AX5" i="3"/>
  <c r="AX7" i="3" s="1"/>
  <c r="AW5" i="3"/>
  <c r="AW7" i="3" s="1"/>
  <c r="AV5" i="3"/>
  <c r="AV7" i="3" s="1"/>
  <c r="AU5" i="3"/>
  <c r="AU7" i="3" s="1"/>
  <c r="AZ5" i="3" s="1"/>
  <c r="AZ7" i="3" s="1"/>
  <c r="AT5" i="3"/>
  <c r="AT7" i="3" s="1"/>
  <c r="AS5" i="3"/>
  <c r="AS7" i="3" s="1"/>
  <c r="AR5" i="3"/>
  <c r="AQ5" i="3"/>
  <c r="AQ7" i="3" s="1"/>
  <c r="AP5" i="3"/>
  <c r="AO5" i="3"/>
  <c r="AN5" i="3"/>
  <c r="AM5" i="3"/>
  <c r="AL5" i="3"/>
  <c r="AK5" i="3"/>
  <c r="AK6" i="3" s="1"/>
  <c r="AJ5" i="3"/>
  <c r="AI5" i="3"/>
  <c r="AI6" i="3" s="1"/>
  <c r="AH5" i="3"/>
  <c r="AH6" i="3" s="1"/>
  <c r="AG5" i="3"/>
  <c r="AG6" i="3" s="1"/>
  <c r="AF5" i="3"/>
  <c r="AF6" i="3" s="1"/>
  <c r="AE5" i="3"/>
  <c r="AE6" i="3" s="1"/>
  <c r="AD5" i="3"/>
  <c r="AD7" i="3" s="1"/>
  <c r="AC5" i="3"/>
  <c r="AC7" i="3" s="1"/>
  <c r="AB5" i="3"/>
  <c r="AB7" i="3" s="1"/>
  <c r="AA5" i="3"/>
  <c r="AA7" i="3" s="1"/>
  <c r="Z5" i="3"/>
  <c r="Z6" i="3" s="1"/>
  <c r="Y5" i="3"/>
  <c r="Y7" i="3" s="1"/>
  <c r="X5" i="3"/>
  <c r="X7" i="3" s="1"/>
  <c r="W5" i="3"/>
  <c r="W7" i="3" s="1"/>
  <c r="V5" i="3"/>
  <c r="U5" i="3"/>
  <c r="U7" i="3" s="1"/>
  <c r="T5" i="3"/>
  <c r="S5" i="3"/>
  <c r="R5" i="3"/>
  <c r="Q5" i="3"/>
  <c r="P5" i="3"/>
  <c r="O5" i="3"/>
  <c r="O6" i="3" s="1"/>
  <c r="N5" i="3"/>
  <c r="M5" i="3"/>
  <c r="M6" i="3" s="1"/>
  <c r="L5" i="3"/>
  <c r="L6" i="3" s="1"/>
  <c r="K5" i="3"/>
  <c r="K6" i="3" s="1"/>
  <c r="J5" i="3"/>
  <c r="J6" i="3" s="1"/>
  <c r="I5" i="3"/>
  <c r="I6" i="3" s="1"/>
  <c r="H5" i="3"/>
  <c r="H7" i="3" s="1"/>
  <c r="G5" i="3"/>
  <c r="G7" i="3" s="1"/>
  <c r="F5" i="3"/>
  <c r="F7" i="3" s="1"/>
  <c r="E5" i="3"/>
  <c r="E7" i="3" s="1"/>
  <c r="D5" i="3"/>
  <c r="D7" i="3" s="1"/>
  <c r="C5" i="3"/>
  <c r="C7" i="3" s="1"/>
  <c r="B5" i="3"/>
  <c r="B7" i="3" s="1"/>
  <c r="AY4" i="3"/>
  <c r="AX4" i="3"/>
  <c r="AW4" i="3"/>
  <c r="AV4" i="3"/>
  <c r="AU4" i="3"/>
  <c r="AT4" i="3"/>
  <c r="AS4" i="3"/>
  <c r="AR4" i="3"/>
  <c r="AR7" i="3" s="1"/>
  <c r="AQ4" i="3"/>
  <c r="AP4" i="3"/>
  <c r="AP7" i="3" s="1"/>
  <c r="AO4" i="3"/>
  <c r="AO7" i="3" s="1"/>
  <c r="AN4" i="3"/>
  <c r="AN7" i="3" s="1"/>
  <c r="AM4" i="3"/>
  <c r="AM7" i="3" s="1"/>
  <c r="AL4" i="3"/>
  <c r="AL7" i="3" s="1"/>
  <c r="AK4" i="3"/>
  <c r="AK7" i="3" s="1"/>
  <c r="AJ4" i="3"/>
  <c r="AJ7" i="3" s="1"/>
  <c r="AI4" i="3"/>
  <c r="AI7" i="3" s="1"/>
  <c r="AH4" i="3"/>
  <c r="AH7" i="3" s="1"/>
  <c r="AG4" i="3"/>
  <c r="AF4" i="3"/>
  <c r="AF7" i="3" s="1"/>
  <c r="AE4" i="3"/>
  <c r="AE7" i="3" s="1"/>
  <c r="AD4" i="3"/>
  <c r="AC4" i="3"/>
  <c r="AB4" i="3"/>
  <c r="AA4" i="3"/>
  <c r="Z4" i="3"/>
  <c r="Y4" i="3"/>
  <c r="X4" i="3"/>
  <c r="W4" i="3"/>
  <c r="V4" i="3"/>
  <c r="V7" i="3" s="1"/>
  <c r="U4" i="3"/>
  <c r="T4" i="3"/>
  <c r="T7" i="3" s="1"/>
  <c r="S4" i="3"/>
  <c r="S7" i="3" s="1"/>
  <c r="R4" i="3"/>
  <c r="R7" i="3" s="1"/>
  <c r="Q4" i="3"/>
  <c r="Q7" i="3" s="1"/>
  <c r="P4" i="3"/>
  <c r="P7" i="3" s="1"/>
  <c r="O4" i="3"/>
  <c r="O7" i="3" s="1"/>
  <c r="N4" i="3"/>
  <c r="N7" i="3" s="1"/>
  <c r="M4" i="3"/>
  <c r="M7" i="3" s="1"/>
  <c r="L4" i="3"/>
  <c r="K4" i="3"/>
  <c r="K7" i="3" s="1"/>
  <c r="J4" i="3"/>
  <c r="I4" i="3"/>
  <c r="I7" i="3" s="1"/>
  <c r="H4" i="3"/>
  <c r="G4" i="3"/>
  <c r="F4" i="3"/>
  <c r="E4" i="3"/>
  <c r="D4" i="3"/>
  <c r="C4" i="3"/>
  <c r="B4" i="3"/>
  <c r="W54" i="2"/>
  <c r="V54" i="2"/>
  <c r="U54" i="2"/>
  <c r="T54" i="2"/>
  <c r="S54" i="2"/>
  <c r="R54" i="2"/>
  <c r="Q54" i="2"/>
  <c r="Q10" i="2" s="1"/>
  <c r="P54" i="2"/>
  <c r="P10" i="2" s="1"/>
  <c r="O54" i="2"/>
  <c r="N54" i="2"/>
  <c r="M54" i="2"/>
  <c r="M10" i="2" s="1"/>
  <c r="L54" i="2"/>
  <c r="L10" i="2" s="1"/>
  <c r="K54" i="2"/>
  <c r="K10" i="2" s="1"/>
  <c r="J54" i="2"/>
  <c r="J10" i="2" s="1"/>
  <c r="I54" i="2"/>
  <c r="I10" i="2" s="1"/>
  <c r="H54" i="2"/>
  <c r="H10" i="2" s="1"/>
  <c r="G54" i="2"/>
  <c r="G10" i="2" s="1"/>
  <c r="F54" i="2"/>
  <c r="F10" i="2" s="1"/>
  <c r="E54" i="2"/>
  <c r="D54" i="2"/>
  <c r="C54" i="2"/>
  <c r="B54" i="2"/>
  <c r="X53" i="2"/>
  <c r="X52" i="2"/>
  <c r="X51" i="2"/>
  <c r="X50" i="2"/>
  <c r="X49" i="2"/>
  <c r="X48" i="2"/>
  <c r="X47" i="2"/>
  <c r="X46" i="2"/>
  <c r="X45" i="2"/>
  <c r="X44" i="2"/>
  <c r="X43" i="2"/>
  <c r="AA54" i="2"/>
  <c r="AA10" i="2" s="1"/>
  <c r="H11" i="1" s="1"/>
  <c r="D39" i="17" s="1"/>
  <c r="X42" i="2"/>
  <c r="X54" i="2" s="1"/>
  <c r="X10" i="2" s="1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X37" i="2"/>
  <c r="X36" i="2"/>
  <c r="X35" i="2"/>
  <c r="X34" i="2"/>
  <c r="X33" i="2"/>
  <c r="X32" i="2"/>
  <c r="X31" i="2"/>
  <c r="X30" i="2"/>
  <c r="X29" i="2"/>
  <c r="X28" i="2"/>
  <c r="X27" i="2"/>
  <c r="X26" i="2"/>
  <c r="X38" i="2" s="1"/>
  <c r="X15" i="2" s="1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X17" i="2"/>
  <c r="Y8" i="2" s="1"/>
  <c r="W17" i="2"/>
  <c r="V17" i="2"/>
  <c r="W8" i="2" s="1"/>
  <c r="W11" i="2" s="1"/>
  <c r="W16" i="2" s="1"/>
  <c r="W14" i="2" s="1"/>
  <c r="W12" i="2" s="1"/>
  <c r="U17" i="2"/>
  <c r="V8" i="2" s="1"/>
  <c r="V11" i="2" s="1"/>
  <c r="V16" i="2" s="1"/>
  <c r="V14" i="2" s="1"/>
  <c r="V12" i="2" s="1"/>
  <c r="T17" i="2"/>
  <c r="U8" i="2" s="1"/>
  <c r="U11" i="2" s="1"/>
  <c r="U16" i="2" s="1"/>
  <c r="S17" i="2"/>
  <c r="T8" i="2" s="1"/>
  <c r="T11" i="2" s="1"/>
  <c r="T16" i="2" s="1"/>
  <c r="R17" i="2"/>
  <c r="Q17" i="2"/>
  <c r="R8" i="2" s="1"/>
  <c r="R11" i="2" s="1"/>
  <c r="R16" i="2" s="1"/>
  <c r="R14" i="2" s="1"/>
  <c r="R12" i="2" s="1"/>
  <c r="P17" i="2"/>
  <c r="Q8" i="2" s="1"/>
  <c r="Q11" i="2" s="1"/>
  <c r="Q16" i="2" s="1"/>
  <c r="Q14" i="2" s="1"/>
  <c r="Q12" i="2" s="1"/>
  <c r="O17" i="2"/>
  <c r="P8" i="2" s="1"/>
  <c r="P11" i="2" s="1"/>
  <c r="P16" i="2" s="1"/>
  <c r="P14" i="2" s="1"/>
  <c r="P12" i="2" s="1"/>
  <c r="N17" i="2"/>
  <c r="O8" i="2" s="1"/>
  <c r="O11" i="2" s="1"/>
  <c r="O16" i="2" s="1"/>
  <c r="O14" i="2" s="1"/>
  <c r="O12" i="2" s="1"/>
  <c r="M17" i="2"/>
  <c r="L17" i="2"/>
  <c r="L18" i="2" s="1"/>
  <c r="K17" i="2"/>
  <c r="J17" i="2"/>
  <c r="I17" i="2"/>
  <c r="H17" i="2"/>
  <c r="G17" i="2"/>
  <c r="F17" i="2"/>
  <c r="F18" i="2" s="1"/>
  <c r="E17" i="2"/>
  <c r="E18" i="2" s="1"/>
  <c r="D17" i="2"/>
  <c r="D18" i="2" s="1"/>
  <c r="C17" i="2"/>
  <c r="B17" i="2"/>
  <c r="C8" i="2" s="1"/>
  <c r="C11" i="2" s="1"/>
  <c r="C16" i="2" s="1"/>
  <c r="C14" i="2" s="1"/>
  <c r="C12" i="2" s="1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B11" i="2"/>
  <c r="B16" i="2" s="1"/>
  <c r="B14" i="2" s="1"/>
  <c r="B12" i="2" s="1"/>
  <c r="W10" i="2"/>
  <c r="V10" i="2"/>
  <c r="U10" i="2"/>
  <c r="T10" i="2"/>
  <c r="S10" i="2"/>
  <c r="R10" i="2"/>
  <c r="O10" i="2"/>
  <c r="N10" i="2"/>
  <c r="E10" i="2"/>
  <c r="D10" i="2"/>
  <c r="C10" i="2"/>
  <c r="B10" i="2"/>
  <c r="X9" i="2"/>
  <c r="X11" i="2" s="1"/>
  <c r="X16" i="2" s="1"/>
  <c r="X14" i="2" s="1"/>
  <c r="X12" i="2" s="1"/>
  <c r="W9" i="2"/>
  <c r="W6" i="2" s="1"/>
  <c r="V9" i="2"/>
  <c r="V6" i="2" s="1"/>
  <c r="U9" i="2"/>
  <c r="T9" i="2"/>
  <c r="S9" i="2"/>
  <c r="R9" i="2"/>
  <c r="Q9" i="2"/>
  <c r="P9" i="2"/>
  <c r="O9" i="2"/>
  <c r="N9" i="2"/>
  <c r="M9" i="2"/>
  <c r="L9" i="2"/>
  <c r="K9" i="2"/>
  <c r="K6" i="2" s="1"/>
  <c r="J9" i="2"/>
  <c r="J6" i="2" s="1"/>
  <c r="I9" i="2"/>
  <c r="I6" i="2" s="1"/>
  <c r="H9" i="2"/>
  <c r="H6" i="2" s="1"/>
  <c r="G9" i="2"/>
  <c r="G6" i="2" s="1"/>
  <c r="F9" i="2"/>
  <c r="F6" i="2" s="1"/>
  <c r="E9" i="2"/>
  <c r="E6" i="2" s="1"/>
  <c r="D9" i="2"/>
  <c r="D6" i="2" s="1"/>
  <c r="C9" i="2"/>
  <c r="C6" i="2" s="1"/>
  <c r="B9" i="2"/>
  <c r="B6" i="2" s="1"/>
  <c r="X8" i="2"/>
  <c r="L8" i="2"/>
  <c r="L11" i="2" s="1"/>
  <c r="L16" i="2" s="1"/>
  <c r="L14" i="2" s="1"/>
  <c r="L12" i="2" s="1"/>
  <c r="K8" i="2"/>
  <c r="K11" i="2" s="1"/>
  <c r="K16" i="2" s="1"/>
  <c r="J8" i="2"/>
  <c r="J11" i="2" s="1"/>
  <c r="J16" i="2" s="1"/>
  <c r="I8" i="2"/>
  <c r="I11" i="2" s="1"/>
  <c r="I16" i="2" s="1"/>
  <c r="H8" i="2"/>
  <c r="H11" i="2" s="1"/>
  <c r="H16" i="2" s="1"/>
  <c r="G8" i="2"/>
  <c r="G11" i="2" s="1"/>
  <c r="G16" i="2" s="1"/>
  <c r="F8" i="2"/>
  <c r="F11" i="2" s="1"/>
  <c r="F16" i="2" s="1"/>
  <c r="F14" i="2" s="1"/>
  <c r="F12" i="2" s="1"/>
  <c r="E8" i="2"/>
  <c r="E11" i="2" s="1"/>
  <c r="E16" i="2" s="1"/>
  <c r="E14" i="2" s="1"/>
  <c r="E12" i="2" s="1"/>
  <c r="D8" i="2"/>
  <c r="D11" i="2" s="1"/>
  <c r="D16" i="2" s="1"/>
  <c r="D14" i="2" s="1"/>
  <c r="D12" i="2" s="1"/>
  <c r="B8" i="2"/>
  <c r="O7" i="2"/>
  <c r="N7" i="2"/>
  <c r="M7" i="2"/>
  <c r="L7" i="2"/>
  <c r="K7" i="2"/>
  <c r="J7" i="2"/>
  <c r="I7" i="2"/>
  <c r="H7" i="2"/>
  <c r="O6" i="2"/>
  <c r="N6" i="2"/>
  <c r="M6" i="2"/>
  <c r="L6" i="2"/>
  <c r="Y7" i="2"/>
  <c r="X5" i="2"/>
  <c r="X7" i="2" s="1"/>
  <c r="W5" i="2"/>
  <c r="W7" i="2" s="1"/>
  <c r="V5" i="2"/>
  <c r="V7" i="2" s="1"/>
  <c r="U5" i="2"/>
  <c r="U7" i="2" s="1"/>
  <c r="T5" i="2"/>
  <c r="T7" i="2" s="1"/>
  <c r="S5" i="2"/>
  <c r="S7" i="2" s="1"/>
  <c r="R5" i="2"/>
  <c r="R7" i="2" s="1"/>
  <c r="Q5" i="2"/>
  <c r="Q6" i="2" s="1"/>
  <c r="P5" i="2"/>
  <c r="P6" i="2" s="1"/>
  <c r="O5" i="2"/>
  <c r="N5" i="2"/>
  <c r="M5" i="2"/>
  <c r="L5" i="2"/>
  <c r="K5" i="2"/>
  <c r="J5" i="2"/>
  <c r="I5" i="2"/>
  <c r="H5" i="2"/>
  <c r="G5" i="2"/>
  <c r="G7" i="2" s="1"/>
  <c r="F5" i="2"/>
  <c r="F7" i="2" s="1"/>
  <c r="E5" i="2"/>
  <c r="E7" i="2" s="1"/>
  <c r="D5" i="2"/>
  <c r="D7" i="2" s="1"/>
  <c r="C5" i="2"/>
  <c r="C7" i="2" s="1"/>
  <c r="B5" i="2"/>
  <c r="B7" i="2" s="1"/>
  <c r="B178" i="1"/>
  <c r="B176" i="1"/>
  <c r="B175" i="1"/>
  <c r="B173" i="1" s="1"/>
  <c r="H173" i="1"/>
  <c r="H177" i="1" s="1"/>
  <c r="E173" i="1"/>
  <c r="E177" i="1" s="1"/>
  <c r="B174" i="1"/>
  <c r="E172" i="1"/>
  <c r="D47" i="16" s="1"/>
  <c r="D101" i="16" s="1"/>
  <c r="F171" i="1"/>
  <c r="B171" i="1"/>
  <c r="B170" i="1"/>
  <c r="B172" i="1" s="1"/>
  <c r="E169" i="1"/>
  <c r="B169" i="1"/>
  <c r="B168" i="1"/>
  <c r="D11" i="17"/>
  <c r="C167" i="1"/>
  <c r="D167" i="1" s="1" a="1"/>
  <c r="D167" i="1" s="1"/>
  <c r="B167" i="1"/>
  <c r="G166" i="1"/>
  <c r="F166" i="1"/>
  <c r="G165" i="1"/>
  <c r="D165" i="1"/>
  <c r="H164" i="1"/>
  <c r="G164" i="1"/>
  <c r="B158" i="1"/>
  <c r="H156" i="1"/>
  <c r="E156" i="1"/>
  <c r="B156" i="1"/>
  <c r="H155" i="1"/>
  <c r="E155" i="1"/>
  <c r="B155" i="1"/>
  <c r="H154" i="1"/>
  <c r="E154" i="1"/>
  <c r="B154" i="1"/>
  <c r="B153" i="1" s="1"/>
  <c r="H153" i="1"/>
  <c r="H157" i="1" s="1"/>
  <c r="E153" i="1"/>
  <c r="E157" i="1" s="1"/>
  <c r="E152" i="1"/>
  <c r="H151" i="1"/>
  <c r="E151" i="1"/>
  <c r="B151" i="1"/>
  <c r="B152" i="1" s="1"/>
  <c r="H150" i="1"/>
  <c r="E150" i="1"/>
  <c r="B150" i="1"/>
  <c r="E149" i="1"/>
  <c r="B149" i="1"/>
  <c r="H148" i="1"/>
  <c r="F148" i="1"/>
  <c r="E148" i="1"/>
  <c r="C148" i="1"/>
  <c r="B148" i="1"/>
  <c r="H147" i="1"/>
  <c r="F147" i="1"/>
  <c r="E147" i="1"/>
  <c r="C147" i="1"/>
  <c r="B147" i="1"/>
  <c r="H144" i="1"/>
  <c r="G144" i="1"/>
  <c r="F138" i="1"/>
  <c r="B138" i="1"/>
  <c r="H136" i="1"/>
  <c r="H137" i="1" s="1"/>
  <c r="E136" i="1"/>
  <c r="B136" i="1"/>
  <c r="H135" i="1"/>
  <c r="E135" i="1"/>
  <c r="B135" i="1"/>
  <c r="H134" i="1"/>
  <c r="H133" i="1" s="1"/>
  <c r="E134" i="1"/>
  <c r="B134" i="1"/>
  <c r="B133" i="1" s="1"/>
  <c r="B137" i="1" s="1"/>
  <c r="B139" i="1" s="1"/>
  <c r="E133" i="1"/>
  <c r="E137" i="1" s="1"/>
  <c r="H131" i="1"/>
  <c r="E131" i="1"/>
  <c r="B131" i="1"/>
  <c r="H130" i="1"/>
  <c r="E130" i="1"/>
  <c r="B130" i="1"/>
  <c r="E129" i="1"/>
  <c r="E132" i="1" s="1"/>
  <c r="E138" i="1" s="1"/>
  <c r="B129" i="1"/>
  <c r="B132" i="1" s="1"/>
  <c r="H128" i="1"/>
  <c r="F128" i="1"/>
  <c r="E128" i="1"/>
  <c r="C128" i="1"/>
  <c r="B128" i="1"/>
  <c r="H127" i="1"/>
  <c r="F127" i="1"/>
  <c r="E127" i="1"/>
  <c r="C127" i="1"/>
  <c r="B127" i="1"/>
  <c r="H124" i="1"/>
  <c r="G124" i="1"/>
  <c r="B118" i="1"/>
  <c r="B119" i="1" s="1"/>
  <c r="H116" i="1"/>
  <c r="D53" i="18" s="1"/>
  <c r="E116" i="1"/>
  <c r="D53" i="16" s="1"/>
  <c r="B116" i="1"/>
  <c r="B117" i="1" s="1"/>
  <c r="H115" i="1"/>
  <c r="D71" i="18" s="1"/>
  <c r="E115" i="1"/>
  <c r="D71" i="16" s="1"/>
  <c r="B115" i="1"/>
  <c r="B114" i="1"/>
  <c r="B113" i="1" s="1"/>
  <c r="H111" i="1"/>
  <c r="D35" i="18" s="1"/>
  <c r="E111" i="1"/>
  <c r="D35" i="16" s="1"/>
  <c r="B111" i="1"/>
  <c r="E110" i="1"/>
  <c r="D26" i="16" s="1"/>
  <c r="B110" i="1"/>
  <c r="B112" i="1" s="1"/>
  <c r="E109" i="1"/>
  <c r="B109" i="1"/>
  <c r="F108" i="1"/>
  <c r="E108" i="1"/>
  <c r="D107" i="16" s="1"/>
  <c r="B108" i="1"/>
  <c r="H107" i="1"/>
  <c r="D8" i="18" s="1"/>
  <c r="F107" i="1"/>
  <c r="E107" i="1"/>
  <c r="D8" i="16" s="1"/>
  <c r="C107" i="1"/>
  <c r="D107" i="1" s="1" a="1"/>
  <c r="D107" i="1" s="1"/>
  <c r="B107" i="1"/>
  <c r="H104" i="1"/>
  <c r="G104" i="1"/>
  <c r="B98" i="1"/>
  <c r="E89" i="1" s="1"/>
  <c r="H96" i="1"/>
  <c r="E96" i="1"/>
  <c r="B96" i="1"/>
  <c r="H95" i="1"/>
  <c r="H93" i="1" s="1"/>
  <c r="E95" i="1"/>
  <c r="B95" i="1"/>
  <c r="H94" i="1"/>
  <c r="E94" i="1"/>
  <c r="E93" i="1" s="1"/>
  <c r="E97" i="1" s="1"/>
  <c r="B94" i="1"/>
  <c r="B93" i="1"/>
  <c r="B97" i="1" s="1"/>
  <c r="E92" i="1"/>
  <c r="E98" i="1" s="1"/>
  <c r="H91" i="1"/>
  <c r="E91" i="1"/>
  <c r="B91" i="1"/>
  <c r="H90" i="1"/>
  <c r="E90" i="1"/>
  <c r="B90" i="1"/>
  <c r="B89" i="1"/>
  <c r="B92" i="1" s="1"/>
  <c r="H88" i="1"/>
  <c r="E88" i="1"/>
  <c r="B88" i="1"/>
  <c r="H87" i="1"/>
  <c r="E87" i="1"/>
  <c r="C87" i="1"/>
  <c r="B87" i="1"/>
  <c r="H84" i="1"/>
  <c r="G84" i="1"/>
  <c r="B79" i="1"/>
  <c r="B78" i="1"/>
  <c r="H76" i="1"/>
  <c r="D51" i="18" s="1"/>
  <c r="E76" i="1"/>
  <c r="D51" i="16" s="1"/>
  <c r="B76" i="1"/>
  <c r="B77" i="1" s="1"/>
  <c r="H75" i="1"/>
  <c r="E75" i="1"/>
  <c r="B75" i="1"/>
  <c r="H74" i="1"/>
  <c r="D60" i="18" s="1"/>
  <c r="E74" i="1"/>
  <c r="D60" i="16" s="1"/>
  <c r="B74" i="1"/>
  <c r="B73" i="1" s="1"/>
  <c r="H71" i="1"/>
  <c r="D33" i="18" s="1"/>
  <c r="E71" i="1"/>
  <c r="D33" i="16" s="1"/>
  <c r="B71" i="1"/>
  <c r="B72" i="1" s="1"/>
  <c r="H70" i="1"/>
  <c r="D24" i="18" s="1"/>
  <c r="E70" i="1"/>
  <c r="D24" i="16" s="1"/>
  <c r="B70" i="1"/>
  <c r="E69" i="1"/>
  <c r="B69" i="1"/>
  <c r="H68" i="1"/>
  <c r="D105" i="18" s="1"/>
  <c r="F68" i="1"/>
  <c r="E68" i="1"/>
  <c r="D105" i="16" s="1"/>
  <c r="C68" i="1"/>
  <c r="D68" i="1" s="1" a="1"/>
  <c r="D68" i="1" s="1"/>
  <c r="B68" i="1"/>
  <c r="H67" i="1"/>
  <c r="D6" i="18" s="1"/>
  <c r="F67" i="1"/>
  <c r="E67" i="1"/>
  <c r="D6" i="16" s="1"/>
  <c r="C67" i="1"/>
  <c r="B67" i="1"/>
  <c r="H64" i="1"/>
  <c r="G64" i="1"/>
  <c r="B58" i="1"/>
  <c r="E49" i="1" s="1"/>
  <c r="H56" i="1"/>
  <c r="D50" i="17" s="1"/>
  <c r="E56" i="1"/>
  <c r="B56" i="1"/>
  <c r="B57" i="1" s="1"/>
  <c r="B59" i="1" s="1"/>
  <c r="H55" i="1"/>
  <c r="D68" i="17" s="1"/>
  <c r="E55" i="1"/>
  <c r="D68" i="16" s="1"/>
  <c r="B55" i="1"/>
  <c r="B54" i="1"/>
  <c r="B53" i="1"/>
  <c r="H51" i="1"/>
  <c r="D32" i="17" s="1"/>
  <c r="E51" i="1"/>
  <c r="D32" i="16" s="1"/>
  <c r="B51" i="1"/>
  <c r="E50" i="1"/>
  <c r="B50" i="1"/>
  <c r="B49" i="1"/>
  <c r="B52" i="1" s="1"/>
  <c r="F48" i="1"/>
  <c r="C48" i="1"/>
  <c r="B48" i="1"/>
  <c r="H47" i="1"/>
  <c r="D5" i="17" s="1"/>
  <c r="F47" i="1"/>
  <c r="E47" i="1"/>
  <c r="D5" i="16" s="1"/>
  <c r="B47" i="1"/>
  <c r="H44" i="1"/>
  <c r="G44" i="1"/>
  <c r="B38" i="1"/>
  <c r="H36" i="1"/>
  <c r="D49" i="18" s="1"/>
  <c r="E36" i="1"/>
  <c r="D49" i="16" s="1"/>
  <c r="B36" i="1"/>
  <c r="B37" i="1" s="1"/>
  <c r="B39" i="1" s="1"/>
  <c r="B35" i="1"/>
  <c r="B34" i="1"/>
  <c r="B33" i="1" s="1"/>
  <c r="H31" i="1"/>
  <c r="D31" i="17" s="1"/>
  <c r="E31" i="1"/>
  <c r="D31" i="16" s="1"/>
  <c r="B31" i="1"/>
  <c r="B32" i="1" s="1"/>
  <c r="E30" i="1"/>
  <c r="D22" i="16" s="1"/>
  <c r="B30" i="1"/>
  <c r="E29" i="1"/>
  <c r="B29" i="1"/>
  <c r="B28" i="1"/>
  <c r="F27" i="1"/>
  <c r="E27" i="1"/>
  <c r="D4" i="16" s="1"/>
  <c r="C27" i="1"/>
  <c r="D27" i="1" s="1" a="1"/>
  <c r="D27" i="1" s="1"/>
  <c r="B27" i="1"/>
  <c r="D25" i="1"/>
  <c r="D65" i="1" s="1"/>
  <c r="D105" i="1" s="1"/>
  <c r="D125" i="1" s="1"/>
  <c r="H24" i="1"/>
  <c r="G24" i="1"/>
  <c r="B18" i="1"/>
  <c r="E9" i="1" s="1"/>
  <c r="B16" i="1"/>
  <c r="B15" i="1"/>
  <c r="B14" i="1"/>
  <c r="B13" i="1" s="1"/>
  <c r="B11" i="1"/>
  <c r="B10" i="1"/>
  <c r="B9" i="1"/>
  <c r="F8" i="1"/>
  <c r="G8" i="1" s="1" a="1"/>
  <c r="G8" i="1" s="1"/>
  <c r="C8" i="1"/>
  <c r="D8" i="1" s="1" a="1"/>
  <c r="D8" i="1" s="1"/>
  <c r="B8" i="1"/>
  <c r="F7" i="1"/>
  <c r="G7" i="1" s="1" a="1"/>
  <c r="G7" i="1" s="1"/>
  <c r="B7" i="1"/>
  <c r="G5" i="1"/>
  <c r="H4" i="1"/>
  <c r="G4" i="1"/>
  <c r="AX16" i="4" l="1"/>
  <c r="AX12" i="4"/>
  <c r="E52" i="1"/>
  <c r="D41" i="16" s="1"/>
  <c r="D95" i="16" s="1"/>
  <c r="D23" i="16"/>
  <c r="D32" i="18"/>
  <c r="D50" i="18"/>
  <c r="D5" i="18"/>
  <c r="D68" i="18"/>
  <c r="D50" i="16"/>
  <c r="C9" i="1"/>
  <c r="D9" i="1" s="1" a="1"/>
  <c r="D9" i="1" s="1"/>
  <c r="F23" i="12"/>
  <c r="C10" i="1"/>
  <c r="D10" i="1" s="1" a="1"/>
  <c r="D10" i="1" s="1"/>
  <c r="F34" i="12"/>
  <c r="C33" i="1"/>
  <c r="C37" i="1" s="1"/>
  <c r="C39" i="1" s="1"/>
  <c r="D39" i="1" s="1" a="1"/>
  <c r="D39" i="1" s="1"/>
  <c r="C7" i="1"/>
  <c r="D7" i="1" s="1" a="1"/>
  <c r="D7" i="1" s="1"/>
  <c r="F12" i="12"/>
  <c r="Z5" i="2" s="1"/>
  <c r="C11" i="1"/>
  <c r="D11" i="1" s="1" a="1"/>
  <c r="D11" i="1" s="1"/>
  <c r="F45" i="12"/>
  <c r="F92" i="1"/>
  <c r="G12" i="12"/>
  <c r="F9" i="1"/>
  <c r="G23" i="12"/>
  <c r="F10" i="1"/>
  <c r="G10" i="1" s="1" a="1"/>
  <c r="G10" i="1" s="1"/>
  <c r="G34" i="12"/>
  <c r="F11" i="1"/>
  <c r="G11" i="1" s="1" a="1"/>
  <c r="G11" i="1" s="1"/>
  <c r="G12" i="1" s="1"/>
  <c r="G45" i="12"/>
  <c r="F52" i="1"/>
  <c r="F33" i="1"/>
  <c r="F37" i="1" s="1"/>
  <c r="F39" i="1" s="1"/>
  <c r="G39" i="1" s="1" a="1"/>
  <c r="G39" i="1" s="1"/>
  <c r="F113" i="1"/>
  <c r="F152" i="1"/>
  <c r="F112" i="1"/>
  <c r="G169" i="1" a="1"/>
  <c r="G169" i="1" s="1"/>
  <c r="F172" i="1"/>
  <c r="F73" i="1"/>
  <c r="F77" i="1" s="1"/>
  <c r="F79" i="1" s="1"/>
  <c r="G79" i="1" s="1" a="1"/>
  <c r="G79" i="1" s="1"/>
  <c r="F153" i="1"/>
  <c r="F157" i="1" s="1"/>
  <c r="F159" i="1" s="1"/>
  <c r="F13" i="1"/>
  <c r="F17" i="1" s="1"/>
  <c r="F19" i="1" s="1"/>
  <c r="G19" i="1" s="1" a="1"/>
  <c r="G19" i="1" s="1"/>
  <c r="F93" i="1"/>
  <c r="F97" i="1" s="1"/>
  <c r="F99" i="1" s="1"/>
  <c r="F133" i="1"/>
  <c r="F137" i="1" s="1"/>
  <c r="F139" i="1" s="1"/>
  <c r="F132" i="1"/>
  <c r="G89" i="12"/>
  <c r="F32" i="1"/>
  <c r="G67" i="12"/>
  <c r="F173" i="1"/>
  <c r="F177" i="1" s="1"/>
  <c r="F179" i="1" s="1"/>
  <c r="G179" i="1" s="1" a="1"/>
  <c r="G179" i="1" s="1"/>
  <c r="G9" i="1" a="1"/>
  <c r="G9" i="1" s="1"/>
  <c r="C17" i="1"/>
  <c r="C72" i="1"/>
  <c r="C52" i="1"/>
  <c r="C53" i="1"/>
  <c r="C57" i="1" s="1"/>
  <c r="C59" i="1" s="1"/>
  <c r="D59" i="1" s="1" a="1"/>
  <c r="D59" i="1" s="1"/>
  <c r="C92" i="1"/>
  <c r="C73" i="1"/>
  <c r="C77" i="1" s="1"/>
  <c r="C79" i="1" s="1"/>
  <c r="D79" i="1" s="1" a="1"/>
  <c r="D79" i="1" s="1"/>
  <c r="C93" i="1"/>
  <c r="C97" i="1" s="1"/>
  <c r="D172" i="1"/>
  <c r="C173" i="1"/>
  <c r="D109" i="1" a="1"/>
  <c r="D109" i="1" s="1"/>
  <c r="C112" i="1"/>
  <c r="D29" i="1" a="1"/>
  <c r="D29" i="1" s="1"/>
  <c r="C32" i="1"/>
  <c r="C153" i="1"/>
  <c r="C157" i="1" s="1"/>
  <c r="C159" i="1" s="1"/>
  <c r="F89" i="12"/>
  <c r="C133" i="1"/>
  <c r="C137" i="1" s="1"/>
  <c r="C139" i="1" s="1"/>
  <c r="D139" i="1" s="1" a="1"/>
  <c r="D139" i="1" s="1"/>
  <c r="BB16" i="7"/>
  <c r="D71" i="17"/>
  <c r="E112" i="1"/>
  <c r="D44" i="16" s="1"/>
  <c r="D98" i="16" s="1"/>
  <c r="D8" i="17"/>
  <c r="D35" i="17"/>
  <c r="D53" i="17"/>
  <c r="AP11" i="10"/>
  <c r="AP16" i="10" s="1"/>
  <c r="E73" i="1"/>
  <c r="D78" i="16" s="1"/>
  <c r="D31" i="18"/>
  <c r="E32" i="1"/>
  <c r="D40" i="16" s="1"/>
  <c r="D94" i="16" s="1"/>
  <c r="D49" i="17"/>
  <c r="D83" i="16"/>
  <c r="D83" i="17"/>
  <c r="D83" i="18"/>
  <c r="H73" i="1"/>
  <c r="D78" i="18" s="1"/>
  <c r="E72" i="1"/>
  <c r="D42" i="16" s="1"/>
  <c r="D96" i="16" s="1"/>
  <c r="D24" i="17"/>
  <c r="D39" i="18"/>
  <c r="D33" i="17"/>
  <c r="D51" i="17"/>
  <c r="D69" i="16"/>
  <c r="D60" i="17"/>
  <c r="E77" i="1"/>
  <c r="E78" i="1" s="1"/>
  <c r="D69" i="17"/>
  <c r="D6" i="17"/>
  <c r="D105" i="17"/>
  <c r="D69" i="18"/>
  <c r="G121" i="12"/>
  <c r="G122" i="12" s="1"/>
  <c r="G56" i="12"/>
  <c r="F78" i="12"/>
  <c r="F121" i="12"/>
  <c r="F122" i="12" s="1"/>
  <c r="F56" i="12"/>
  <c r="Y9" i="2"/>
  <c r="Y6" i="2" s="1"/>
  <c r="F111" i="12"/>
  <c r="F133" i="12"/>
  <c r="G78" i="12"/>
  <c r="F67" i="12"/>
  <c r="G111" i="12"/>
  <c r="G133" i="12"/>
  <c r="F100" i="12"/>
  <c r="G100" i="12"/>
  <c r="AE14" i="11"/>
  <c r="AE12" i="11" s="1"/>
  <c r="AE18" i="11"/>
  <c r="AK55" i="11"/>
  <c r="AL55" i="11"/>
  <c r="AP43" i="11" s="1"/>
  <c r="AG14" i="11"/>
  <c r="AG12" i="11" s="1"/>
  <c r="AG18" i="11"/>
  <c r="AH14" i="11"/>
  <c r="AH12" i="11" s="1"/>
  <c r="AH18" i="11"/>
  <c r="W55" i="11"/>
  <c r="W15" i="11" s="1"/>
  <c r="AM55" i="11"/>
  <c r="AP44" i="11" s="1"/>
  <c r="AI14" i="11"/>
  <c r="AI12" i="11" s="1"/>
  <c r="AI18" i="11"/>
  <c r="X55" i="11"/>
  <c r="X15" i="11" s="1"/>
  <c r="AJ14" i="11"/>
  <c r="AJ12" i="11" s="1"/>
  <c r="AJ18" i="11"/>
  <c r="Y55" i="11"/>
  <c r="Y15" i="11" s="1"/>
  <c r="AN55" i="11"/>
  <c r="AO49" i="11" s="1"/>
  <c r="AP49" i="11" s="1"/>
  <c r="T55" i="11"/>
  <c r="T15" i="11" s="1"/>
  <c r="AF18" i="11"/>
  <c r="AF14" i="11"/>
  <c r="AF12" i="11" s="1"/>
  <c r="AE55" i="11"/>
  <c r="Q55" i="11"/>
  <c r="Q15" i="11" s="1"/>
  <c r="AG55" i="11"/>
  <c r="AH55" i="11"/>
  <c r="AI55" i="11"/>
  <c r="AJ55" i="11"/>
  <c r="AO52" i="11" s="1"/>
  <c r="AP52" i="11" s="1"/>
  <c r="AK14" i="11"/>
  <c r="AK12" i="11" s="1"/>
  <c r="AK18" i="11"/>
  <c r="Z55" i="11"/>
  <c r="Z15" i="11" s="1"/>
  <c r="AL14" i="11"/>
  <c r="AL12" i="11" s="1"/>
  <c r="AL18" i="11"/>
  <c r="AA55" i="11"/>
  <c r="AP14" i="11"/>
  <c r="AP12" i="11" s="1"/>
  <c r="AP18" i="11"/>
  <c r="AA18" i="11"/>
  <c r="AA14" i="11"/>
  <c r="AA12" i="11" s="1"/>
  <c r="AB14" i="11"/>
  <c r="AB12" i="11" s="1"/>
  <c r="AB18" i="11"/>
  <c r="AC14" i="11"/>
  <c r="AC12" i="11" s="1"/>
  <c r="AC18" i="11"/>
  <c r="AC55" i="11"/>
  <c r="U55" i="11"/>
  <c r="U15" i="11" s="1"/>
  <c r="V55" i="11"/>
  <c r="V15" i="11" s="1"/>
  <c r="AF55" i="11"/>
  <c r="R55" i="11"/>
  <c r="R15" i="11" s="1"/>
  <c r="S55" i="11"/>
  <c r="S15" i="11" s="1"/>
  <c r="AD18" i="11"/>
  <c r="AD14" i="11"/>
  <c r="AD12" i="11" s="1"/>
  <c r="AD55" i="11"/>
  <c r="AB55" i="11"/>
  <c r="Q42" i="11"/>
  <c r="AM18" i="11"/>
  <c r="AN18" i="11"/>
  <c r="AO18" i="11"/>
  <c r="W55" i="10"/>
  <c r="W15" i="10" s="1"/>
  <c r="AJ14" i="10"/>
  <c r="AJ12" i="10" s="1"/>
  <c r="AJ18" i="10"/>
  <c r="AA14" i="10"/>
  <c r="AA12" i="10" s="1"/>
  <c r="AA18" i="10"/>
  <c r="AD14" i="10"/>
  <c r="AD12" i="10" s="1"/>
  <c r="AD18" i="10"/>
  <c r="AE14" i="10"/>
  <c r="AE12" i="10" s="1"/>
  <c r="AE18" i="10"/>
  <c r="P55" i="10"/>
  <c r="P15" i="10" s="1"/>
  <c r="R55" i="10"/>
  <c r="R15" i="10" s="1"/>
  <c r="AP46" i="10"/>
  <c r="AO46" i="10"/>
  <c r="AD55" i="10"/>
  <c r="AO53" i="10"/>
  <c r="AP53" i="10"/>
  <c r="AO52" i="10"/>
  <c r="AP52" i="10"/>
  <c r="Q55" i="10"/>
  <c r="Q15" i="10" s="1"/>
  <c r="T55" i="10"/>
  <c r="T15" i="10" s="1"/>
  <c r="AE55" i="10"/>
  <c r="U55" i="10"/>
  <c r="U15" i="10" s="1"/>
  <c r="AM55" i="10"/>
  <c r="AP14" i="10"/>
  <c r="AP12" i="10" s="1"/>
  <c r="AP18" i="10"/>
  <c r="AC55" i="10"/>
  <c r="S55" i="10"/>
  <c r="S15" i="10" s="1"/>
  <c r="AF55" i="10"/>
  <c r="X55" i="10"/>
  <c r="X15" i="10" s="1"/>
  <c r="AI14" i="10"/>
  <c r="AI12" i="10" s="1"/>
  <c r="AI18" i="10"/>
  <c r="Z55" i="10"/>
  <c r="Z15" i="10" s="1"/>
  <c r="AK14" i="10"/>
  <c r="AK12" i="10" s="1"/>
  <c r="AK18" i="10"/>
  <c r="AA55" i="10"/>
  <c r="AP48" i="10"/>
  <c r="AG55" i="10"/>
  <c r="AH55" i="10"/>
  <c r="AI55" i="10"/>
  <c r="AO14" i="10"/>
  <c r="AO12" i="10" s="1"/>
  <c r="AO18" i="10"/>
  <c r="AJ55" i="10"/>
  <c r="AO48" i="10" s="1"/>
  <c r="AP43" i="10"/>
  <c r="AG14" i="10"/>
  <c r="AG12" i="10" s="1"/>
  <c r="AG18" i="10"/>
  <c r="AH14" i="10"/>
  <c r="AH12" i="10" s="1"/>
  <c r="AH18" i="10"/>
  <c r="Y55" i="10"/>
  <c r="Y15" i="10" s="1"/>
  <c r="AB14" i="10"/>
  <c r="AB12" i="10" s="1"/>
  <c r="AB18" i="10"/>
  <c r="AC18" i="10"/>
  <c r="AC14" i="10"/>
  <c r="AC12" i="10" s="1"/>
  <c r="AF18" i="10"/>
  <c r="AF14" i="10"/>
  <c r="AF12" i="10" s="1"/>
  <c r="V55" i="10"/>
  <c r="V15" i="10" s="1"/>
  <c r="AK55" i="10"/>
  <c r="AB55" i="10"/>
  <c r="Z26" i="10"/>
  <c r="AL18" i="10"/>
  <c r="P42" i="10"/>
  <c r="AM18" i="10"/>
  <c r="AN18" i="10"/>
  <c r="AL38" i="9"/>
  <c r="AL15" i="9" s="1"/>
  <c r="AH18" i="9"/>
  <c r="W38" i="9"/>
  <c r="W15" i="9" s="1"/>
  <c r="AI18" i="9"/>
  <c r="AI14" i="9"/>
  <c r="AI12" i="9" s="1"/>
  <c r="X38" i="9"/>
  <c r="X15" i="9" s="1"/>
  <c r="AP32" i="9"/>
  <c r="AO32" i="9"/>
  <c r="AJ18" i="9"/>
  <c r="AA18" i="9"/>
  <c r="AA14" i="9"/>
  <c r="AA12" i="9" s="1"/>
  <c r="Y38" i="9"/>
  <c r="Y15" i="9" s="1"/>
  <c r="AK18" i="9"/>
  <c r="AK14" i="9"/>
  <c r="AK12" i="9" s="1"/>
  <c r="AB18" i="9"/>
  <c r="AB14" i="9"/>
  <c r="AB12" i="9" s="1"/>
  <c r="Z38" i="9"/>
  <c r="Z15" i="9" s="1"/>
  <c r="AL14" i="9"/>
  <c r="AL12" i="9" s="1"/>
  <c r="AL18" i="9"/>
  <c r="AC18" i="9"/>
  <c r="AA38" i="9"/>
  <c r="AA15" i="9" s="1"/>
  <c r="AM18" i="9"/>
  <c r="AD18" i="9"/>
  <c r="AB38" i="9"/>
  <c r="AB15" i="9" s="1"/>
  <c r="AP30" i="9"/>
  <c r="AO30" i="9"/>
  <c r="AP34" i="9"/>
  <c r="AO34" i="9"/>
  <c r="T38" i="9"/>
  <c r="T15" i="9" s="1"/>
  <c r="AP37" i="9"/>
  <c r="AO37" i="9"/>
  <c r="AG18" i="9"/>
  <c r="AJ7" i="9"/>
  <c r="AT7" i="9"/>
  <c r="AJ6" i="9"/>
  <c r="AN18" i="9"/>
  <c r="AE18" i="9"/>
  <c r="AC38" i="9"/>
  <c r="AC15" i="9" s="1"/>
  <c r="AC14" i="9" s="1"/>
  <c r="AC12" i="9" s="1"/>
  <c r="AJ38" i="9"/>
  <c r="AM38" i="9"/>
  <c r="AM15" i="9" s="1"/>
  <c r="AM14" i="9" s="1"/>
  <c r="AM12" i="9" s="1"/>
  <c r="U38" i="9"/>
  <c r="U15" i="9" s="1"/>
  <c r="AF18" i="9"/>
  <c r="AD38" i="9"/>
  <c r="AD15" i="9" s="1"/>
  <c r="AD14" i="9" s="1"/>
  <c r="AD12" i="9" s="1"/>
  <c r="AE38" i="9"/>
  <c r="AE15" i="9" s="1"/>
  <c r="AE14" i="9" s="1"/>
  <c r="AE12" i="9" s="1"/>
  <c r="AF38" i="9"/>
  <c r="AF15" i="9" s="1"/>
  <c r="AF14" i="9" s="1"/>
  <c r="AF12" i="9" s="1"/>
  <c r="AP33" i="9"/>
  <c r="AO33" i="9"/>
  <c r="AG38" i="9"/>
  <c r="AG15" i="9" s="1"/>
  <c r="AG14" i="9" s="1"/>
  <c r="AG12" i="9" s="1"/>
  <c r="AO35" i="9"/>
  <c r="R38" i="9"/>
  <c r="R15" i="9" s="1"/>
  <c r="S38" i="9"/>
  <c r="S15" i="9" s="1"/>
  <c r="AN38" i="9"/>
  <c r="AN15" i="9" s="1"/>
  <c r="AN14" i="9" s="1"/>
  <c r="AN12" i="9" s="1"/>
  <c r="V38" i="9"/>
  <c r="V15" i="9" s="1"/>
  <c r="AH38" i="9"/>
  <c r="AH15" i="9" s="1"/>
  <c r="AH14" i="9" s="1"/>
  <c r="AH12" i="9" s="1"/>
  <c r="AP28" i="9"/>
  <c r="P57" i="9"/>
  <c r="Q57" i="9"/>
  <c r="AS21" i="8"/>
  <c r="AS15" i="8"/>
  <c r="AS17" i="8" s="1"/>
  <c r="AX35" i="8"/>
  <c r="AY35" i="8" s="1"/>
  <c r="AZ35" i="8" s="1"/>
  <c r="AX33" i="8"/>
  <c r="AU15" i="8"/>
  <c r="AU17" i="8" s="1"/>
  <c r="AU21" i="8"/>
  <c r="AP37" i="8"/>
  <c r="AP14" i="8" s="1"/>
  <c r="AQ37" i="8"/>
  <c r="AQ14" i="8" s="1"/>
  <c r="AR37" i="8"/>
  <c r="AR14" i="8" s="1"/>
  <c r="AV15" i="8"/>
  <c r="AV17" i="8" s="1"/>
  <c r="AV21" i="8"/>
  <c r="AL37" i="8"/>
  <c r="AL14" i="8" s="1"/>
  <c r="AW21" i="8"/>
  <c r="AW15" i="8"/>
  <c r="AW17" i="8" s="1"/>
  <c r="AU37" i="8"/>
  <c r="AU14" i="8" s="1"/>
  <c r="AX21" i="8"/>
  <c r="AX15" i="8"/>
  <c r="AX17" i="8" s="1"/>
  <c r="AM37" i="8"/>
  <c r="AM14" i="8" s="1"/>
  <c r="AY33" i="8"/>
  <c r="AZ33" i="8"/>
  <c r="AY27" i="8"/>
  <c r="AZ27" i="8"/>
  <c r="AN37" i="8"/>
  <c r="AN14" i="8" s="1"/>
  <c r="AO37" i="8"/>
  <c r="AO14" i="8" s="1"/>
  <c r="BA4" i="8"/>
  <c r="AD40" i="8"/>
  <c r="AF57" i="8"/>
  <c r="BB4" i="8"/>
  <c r="AE40" i="8"/>
  <c r="AG57" i="8"/>
  <c r="AC40" i="8"/>
  <c r="BC4" i="8"/>
  <c r="AF40" i="8"/>
  <c r="AH57" i="8"/>
  <c r="AG40" i="8"/>
  <c r="AI57" i="8"/>
  <c r="AZ5" i="8"/>
  <c r="BA5" i="8" s="1"/>
  <c r="AH40" i="8"/>
  <c r="AJ57" i="8"/>
  <c r="AC24" i="8"/>
  <c r="AI40" i="8"/>
  <c r="AK57" i="8"/>
  <c r="AD57" i="8"/>
  <c r="AE57" i="8"/>
  <c r="Q57" i="8"/>
  <c r="AX34" i="8"/>
  <c r="AY34" i="8" s="1"/>
  <c r="R57" i="8"/>
  <c r="S57" i="8"/>
  <c r="AZ6" i="7"/>
  <c r="AK58" i="7"/>
  <c r="AK10" i="7" s="1"/>
  <c r="AK11" i="7"/>
  <c r="AK19" i="7" s="1"/>
  <c r="AK17" i="7" s="1"/>
  <c r="AK12" i="7" s="1"/>
  <c r="AL58" i="7"/>
  <c r="AL10" i="7" s="1"/>
  <c r="AL11" i="7" s="1"/>
  <c r="AL19" i="7" s="1"/>
  <c r="AV11" i="7"/>
  <c r="AV19" i="7" s="1"/>
  <c r="AT11" i="7"/>
  <c r="AT19" i="7" s="1"/>
  <c r="AK41" i="7"/>
  <c r="AK18" i="7" s="1"/>
  <c r="AM58" i="7"/>
  <c r="AM10" i="7" s="1"/>
  <c r="AL41" i="7"/>
  <c r="AL18" i="7" s="1"/>
  <c r="AQ41" i="7"/>
  <c r="AQ18" i="7" s="1"/>
  <c r="AN58" i="7"/>
  <c r="AN10" i="7" s="1"/>
  <c r="AX41" i="7"/>
  <c r="AX18" i="7" s="1"/>
  <c r="AM41" i="7"/>
  <c r="AM18" i="7" s="1"/>
  <c r="AY36" i="7"/>
  <c r="AO58" i="7"/>
  <c r="AO10" i="7" s="1"/>
  <c r="AX58" i="7"/>
  <c r="AX10" i="7" s="1"/>
  <c r="AN41" i="7"/>
  <c r="AP58" i="7"/>
  <c r="AP10" i="7" s="1"/>
  <c r="AW58" i="7"/>
  <c r="AW10" i="7" s="1"/>
  <c r="AW11" i="7" s="1"/>
  <c r="AW19" i="7" s="1"/>
  <c r="AX11" i="7"/>
  <c r="AX19" i="7" s="1"/>
  <c r="AO41" i="7"/>
  <c r="AO18" i="7" s="1"/>
  <c r="AQ58" i="7"/>
  <c r="AQ10" i="7" s="1"/>
  <c r="AV41" i="7"/>
  <c r="AV18" i="7" s="1"/>
  <c r="AY21" i="7"/>
  <c r="AY17" i="7"/>
  <c r="BB14" i="7" s="1"/>
  <c r="AP41" i="7"/>
  <c r="AP18" i="7" s="1"/>
  <c r="AR58" i="7"/>
  <c r="AR10" i="7" s="1"/>
  <c r="AU58" i="7"/>
  <c r="AY55" i="7" s="1"/>
  <c r="AZ46" i="7" a="1"/>
  <c r="AZ46" i="7" s="1"/>
  <c r="AU41" i="7"/>
  <c r="AY32" i="7" s="1"/>
  <c r="AZ29" i="7" a="1"/>
  <c r="AZ29" i="7" s="1"/>
  <c r="AY50" i="7"/>
  <c r="AS58" i="7"/>
  <c r="AS10" i="7" s="1"/>
  <c r="AN8" i="7"/>
  <c r="AM8" i="7"/>
  <c r="AM11" i="7" s="1"/>
  <c r="AM19" i="7" s="1"/>
  <c r="AO8" i="7"/>
  <c r="AP8" i="7"/>
  <c r="AP11" i="7" s="1"/>
  <c r="AP19" i="7" s="1"/>
  <c r="AQ8" i="7"/>
  <c r="AQ11" i="7" s="1"/>
  <c r="AQ19" i="7" s="1"/>
  <c r="AQ17" i="7" s="1"/>
  <c r="AQ12" i="7" s="1"/>
  <c r="AR8" i="7"/>
  <c r="AS8" i="7"/>
  <c r="AS11" i="7" s="1"/>
  <c r="AS19" i="7" s="1"/>
  <c r="AV56" i="6"/>
  <c r="AV8" i="6"/>
  <c r="AH16" i="6"/>
  <c r="AH12" i="6"/>
  <c r="AH10" i="6" s="1"/>
  <c r="AH59" i="6" s="1"/>
  <c r="AH65" i="6" s="1"/>
  <c r="AI16" i="6"/>
  <c r="AI12" i="6"/>
  <c r="AI10" i="6" s="1"/>
  <c r="AI59" i="6" s="1"/>
  <c r="AI65" i="6" s="1"/>
  <c r="AI66" i="6" s="1"/>
  <c r="AJ16" i="6"/>
  <c r="AJ12" i="6"/>
  <c r="AJ10" i="6" s="1"/>
  <c r="AJ59" i="6" s="1"/>
  <c r="AJ65" i="6" s="1"/>
  <c r="AJ66" i="6" s="1"/>
  <c r="AZ91" i="6"/>
  <c r="X12" i="6"/>
  <c r="X10" i="6" s="1"/>
  <c r="X59" i="6" s="1"/>
  <c r="X65" i="6" s="1"/>
  <c r="X16" i="6"/>
  <c r="AY33" i="6" a="1"/>
  <c r="AY33" i="6" s="1"/>
  <c r="AY27" i="6" a="1"/>
  <c r="AY27" i="6" s="1"/>
  <c r="AY35" i="6" a="1"/>
  <c r="AY35" i="6" s="1"/>
  <c r="AY28" i="6" a="1"/>
  <c r="AY28" i="6" s="1"/>
  <c r="BA28" i="6" s="1" a="1"/>
  <c r="BA28" i="6" s="1"/>
  <c r="AY25" i="6" a="1"/>
  <c r="AY25" i="6" s="1"/>
  <c r="BA25" i="6" s="1" a="1"/>
  <c r="BA25" i="6" s="1"/>
  <c r="AS13" i="6"/>
  <c r="AY29" i="6" a="1"/>
  <c r="AY29" i="6" s="1"/>
  <c r="BA29" i="6" s="1" a="1"/>
  <c r="BA29" i="6" s="1"/>
  <c r="AY26" i="6" a="1"/>
  <c r="AY26" i="6" s="1"/>
  <c r="AY5" i="6"/>
  <c r="AZ5" i="6"/>
  <c r="AZ7" i="6" s="1"/>
  <c r="AZ9" i="6" s="1"/>
  <c r="AZ14" i="6" s="1"/>
  <c r="AK16" i="6"/>
  <c r="AK12" i="6"/>
  <c r="AK10" i="6" s="1"/>
  <c r="AK59" i="6" s="1"/>
  <c r="AK65" i="6" s="1"/>
  <c r="AX56" i="6"/>
  <c r="AT55" i="6"/>
  <c r="AX30" i="6" a="1"/>
  <c r="AX30" i="6" s="1"/>
  <c r="AX33" i="6" a="1"/>
  <c r="AX33" i="6" s="1"/>
  <c r="AX32" i="6" a="1"/>
  <c r="AX32" i="6" s="1"/>
  <c r="AX35" i="6" a="1"/>
  <c r="AX35" i="6" s="1"/>
  <c r="AX34" i="6" a="1"/>
  <c r="AX34" i="6" s="1"/>
  <c r="AX27" i="6" a="1"/>
  <c r="AX27" i="6" s="1"/>
  <c r="BA27" i="6" s="1" a="1"/>
  <c r="BA27" i="6" s="1"/>
  <c r="AX26" i="6" a="1"/>
  <c r="AX26" i="6" s="1"/>
  <c r="BA26" i="6" s="1" a="1"/>
  <c r="BA26" i="6" s="1"/>
  <c r="AX31" i="6" a="1"/>
  <c r="AX31" i="6" s="1"/>
  <c r="AX36" i="6" s="1"/>
  <c r="AR13" i="6"/>
  <c r="AX29" i="6" a="1"/>
  <c r="AX29" i="6" s="1"/>
  <c r="AX28" i="6" a="1"/>
  <c r="AX28" i="6" s="1"/>
  <c r="BA4" i="6"/>
  <c r="AL16" i="6"/>
  <c r="AL12" i="6"/>
  <c r="AL10" i="6" s="1"/>
  <c r="AL59" i="6" s="1"/>
  <c r="AL65" i="6" s="1"/>
  <c r="Y16" i="6"/>
  <c r="Y12" i="6"/>
  <c r="Y10" i="6" s="1"/>
  <c r="Y59" i="6" s="1"/>
  <c r="Y65" i="6" s="1"/>
  <c r="AX25" i="6" a="1"/>
  <c r="AX25" i="6" s="1"/>
  <c r="AZ25" i="6" s="1" a="1"/>
  <c r="AZ25" i="6" s="1"/>
  <c r="AY56" i="6"/>
  <c r="AY94" i="6"/>
  <c r="BA94" i="6" s="1"/>
  <c r="AZ94" i="6"/>
  <c r="AD12" i="6"/>
  <c r="AD10" i="6" s="1"/>
  <c r="AD59" i="6" s="1"/>
  <c r="AD65" i="6" s="1"/>
  <c r="AD66" i="6" s="1"/>
  <c r="AD16" i="6"/>
  <c r="AF16" i="6"/>
  <c r="AF12" i="6"/>
  <c r="AF10" i="6" s="1"/>
  <c r="AF59" i="6" s="1"/>
  <c r="AF65" i="6" s="1"/>
  <c r="AF66" i="6" s="1"/>
  <c r="BA90" i="6"/>
  <c r="AZ51" i="6" a="1"/>
  <c r="AZ51" i="6" s="1"/>
  <c r="C16" i="6"/>
  <c r="C12" i="6"/>
  <c r="C10" i="6" s="1"/>
  <c r="C59" i="6" s="1"/>
  <c r="Z12" i="6"/>
  <c r="Z10" i="6" s="1"/>
  <c r="Z59" i="6" s="1"/>
  <c r="Z65" i="6" s="1"/>
  <c r="Z66" i="6" s="1"/>
  <c r="Z16" i="6"/>
  <c r="D16" i="6"/>
  <c r="D12" i="6"/>
  <c r="D10" i="6" s="1"/>
  <c r="D59" i="6" s="1"/>
  <c r="AW16" i="6"/>
  <c r="AW12" i="6"/>
  <c r="AW10" i="6" s="1"/>
  <c r="AW59" i="6" s="1"/>
  <c r="AW65" i="6" s="1"/>
  <c r="AZ48" i="6" a="1"/>
  <c r="AZ48" i="6" s="1"/>
  <c r="AM65" i="6"/>
  <c r="AM66" i="6" s="1"/>
  <c r="AE16" i="6"/>
  <c r="AE12" i="6"/>
  <c r="AE10" i="6" s="1"/>
  <c r="AE59" i="6" s="1"/>
  <c r="AE65" i="6" s="1"/>
  <c r="AE66" i="6" s="1"/>
  <c r="AG16" i="6"/>
  <c r="AG12" i="6"/>
  <c r="AG10" i="6" s="1"/>
  <c r="AG59" i="6" s="1"/>
  <c r="AG65" i="6" s="1"/>
  <c r="AG66" i="6" s="1"/>
  <c r="AA16" i="6"/>
  <c r="AA12" i="6"/>
  <c r="AA10" i="6" s="1"/>
  <c r="AA59" i="6" s="1"/>
  <c r="AA65" i="6" s="1"/>
  <c r="V9" i="6"/>
  <c r="V14" i="6" s="1"/>
  <c r="AR9" i="6"/>
  <c r="AR14" i="6" s="1"/>
  <c r="AW56" i="6"/>
  <c r="E16" i="6"/>
  <c r="E12" i="6"/>
  <c r="E10" i="6" s="1"/>
  <c r="E59" i="6" s="1"/>
  <c r="AC16" i="6"/>
  <c r="AC12" i="6"/>
  <c r="AC10" i="6" s="1"/>
  <c r="AC59" i="6" s="1"/>
  <c r="AC65" i="6" s="1"/>
  <c r="AC66" i="6" s="1"/>
  <c r="AW33" i="6" a="1"/>
  <c r="AW33" i="6" s="1"/>
  <c r="BA33" i="6" s="1" a="1"/>
  <c r="BA33" i="6" s="1"/>
  <c r="AW30" i="6" a="1"/>
  <c r="AW30" i="6" s="1"/>
  <c r="AY30" i="6" s="1" a="1"/>
  <c r="AY30" i="6" s="1"/>
  <c r="BA30" i="6" s="1" a="1"/>
  <c r="BA30" i="6" s="1"/>
  <c r="AW32" i="6" a="1"/>
  <c r="AW32" i="6" s="1"/>
  <c r="AY32" i="6" s="1" a="1"/>
  <c r="AY32" i="6" s="1"/>
  <c r="AW35" i="6" a="1"/>
  <c r="AW35" i="6" s="1"/>
  <c r="AW34" i="6" a="1"/>
  <c r="AW34" i="6" s="1"/>
  <c r="AZ34" i="6" s="1" a="1"/>
  <c r="AZ34" i="6" s="1"/>
  <c r="AQ13" i="6"/>
  <c r="AW31" i="6" a="1"/>
  <c r="AW31" i="6" s="1"/>
  <c r="AY31" i="6" s="1" a="1"/>
  <c r="AY31" i="6" s="1"/>
  <c r="W9" i="6"/>
  <c r="W14" i="6" s="1"/>
  <c r="AS9" i="6"/>
  <c r="AS14" i="6" s="1"/>
  <c r="AN12" i="6"/>
  <c r="AN10" i="6" s="1"/>
  <c r="AN59" i="6" s="1"/>
  <c r="AN65" i="6" s="1"/>
  <c r="AU55" i="6"/>
  <c r="AP12" i="6"/>
  <c r="AP10" i="6" s="1"/>
  <c r="AP59" i="6" s="1"/>
  <c r="U9" i="6"/>
  <c r="U14" i="6" s="1"/>
  <c r="AV9" i="6"/>
  <c r="AV14" i="6" s="1"/>
  <c r="AY86" i="6"/>
  <c r="AM16" i="6"/>
  <c r="AY87" i="6"/>
  <c r="AX87" i="6"/>
  <c r="AZ87" i="6" s="1"/>
  <c r="BA87" i="6"/>
  <c r="AY12" i="6"/>
  <c r="AY10" i="6" s="1"/>
  <c r="AY59" i="6" s="1"/>
  <c r="AY65" i="6" s="1"/>
  <c r="AY66" i="6" s="1"/>
  <c r="AY16" i="6"/>
  <c r="AQ9" i="6"/>
  <c r="AQ14" i="6" s="1"/>
  <c r="AB12" i="6"/>
  <c r="AB10" i="6" s="1"/>
  <c r="AB59" i="6" s="1"/>
  <c r="AB65" i="6" s="1"/>
  <c r="AB66" i="6" s="1"/>
  <c r="AB16" i="6"/>
  <c r="AX12" i="6"/>
  <c r="AX10" i="6" s="1"/>
  <c r="AX59" i="6" s="1"/>
  <c r="AX65" i="6" s="1"/>
  <c r="AX16" i="6"/>
  <c r="AZ28" i="6" a="1"/>
  <c r="AZ28" i="6" s="1"/>
  <c r="F16" i="6"/>
  <c r="I12" i="6"/>
  <c r="I10" i="6" s="1"/>
  <c r="I59" i="6" s="1"/>
  <c r="H16" i="6"/>
  <c r="AW85" i="6"/>
  <c r="BA88" i="6"/>
  <c r="AY92" i="6"/>
  <c r="AZ35" i="6" a="1"/>
  <c r="AZ35" i="6" s="1"/>
  <c r="BA35" i="6" a="1"/>
  <c r="BA35" i="6" s="1"/>
  <c r="G16" i="6"/>
  <c r="J12" i="6"/>
  <c r="J10" i="6" s="1"/>
  <c r="J59" i="6" s="1"/>
  <c r="AV89" i="6"/>
  <c r="AX84" i="6"/>
  <c r="AZ84" i="6" s="1"/>
  <c r="AV85" i="6"/>
  <c r="AX92" i="6"/>
  <c r="AZ92" i="6" s="1"/>
  <c r="K12" i="6"/>
  <c r="K10" i="6" s="1"/>
  <c r="K59" i="6" s="1"/>
  <c r="AZ29" i="6" a="1"/>
  <c r="AZ29" i="6" s="1"/>
  <c r="AW89" i="6"/>
  <c r="AX91" i="6"/>
  <c r="BA91" i="6" s="1"/>
  <c r="AY88" i="6"/>
  <c r="AZ88" i="6"/>
  <c r="L12" i="6"/>
  <c r="L10" i="6" s="1"/>
  <c r="L59" i="6" s="1"/>
  <c r="AV93" i="6"/>
  <c r="M12" i="6"/>
  <c r="M10" i="6" s="1"/>
  <c r="M59" i="6" s="1"/>
  <c r="AT13" i="6"/>
  <c r="AP64" i="6"/>
  <c r="AW93" i="6"/>
  <c r="BA84" i="6"/>
  <c r="N12" i="6"/>
  <c r="N10" i="6" s="1"/>
  <c r="N59" i="6" s="1"/>
  <c r="AU13" i="6"/>
  <c r="AV86" i="6"/>
  <c r="O12" i="6"/>
  <c r="O10" i="6" s="1"/>
  <c r="O59" i="6" s="1"/>
  <c r="AW86" i="6"/>
  <c r="AY91" i="6"/>
  <c r="D83" i="5"/>
  <c r="AB57" i="5"/>
  <c r="G99" i="5"/>
  <c r="AF54" i="5"/>
  <c r="T83" i="5"/>
  <c r="T31" i="5"/>
  <c r="T15" i="5" s="1"/>
  <c r="L99" i="5"/>
  <c r="V99" i="5"/>
  <c r="V30" i="5"/>
  <c r="V10" i="5" s="1"/>
  <c r="K30" i="5"/>
  <c r="K10" i="5" s="1"/>
  <c r="K11" i="5" s="1"/>
  <c r="G83" i="5"/>
  <c r="G31" i="5"/>
  <c r="G15" i="5" s="1"/>
  <c r="H83" i="5"/>
  <c r="H31" i="5"/>
  <c r="H15" i="5" s="1"/>
  <c r="H16" i="5" s="1"/>
  <c r="H18" i="5" s="1"/>
  <c r="E83" i="5"/>
  <c r="V31" i="5"/>
  <c r="V15" i="5" s="1"/>
  <c r="V83" i="5"/>
  <c r="D57" i="5"/>
  <c r="S57" i="5"/>
  <c r="O10" i="5"/>
  <c r="O11" i="5" s="1"/>
  <c r="K56" i="5"/>
  <c r="U16" i="5"/>
  <c r="R16" i="5"/>
  <c r="R18" i="5" s="1"/>
  <c r="F83" i="5"/>
  <c r="W31" i="5"/>
  <c r="W83" i="5"/>
  <c r="E57" i="5"/>
  <c r="Z56" i="5"/>
  <c r="F57" i="5"/>
  <c r="F15" i="5" s="1"/>
  <c r="F16" i="5" s="1"/>
  <c r="F18" i="5" s="1"/>
  <c r="M83" i="5"/>
  <c r="M31" i="5"/>
  <c r="M15" i="5" s="1"/>
  <c r="M16" i="5" s="1"/>
  <c r="M18" i="5" s="1"/>
  <c r="S15" i="5"/>
  <c r="S16" i="5" s="1"/>
  <c r="S18" i="5" s="1"/>
  <c r="T16" i="5"/>
  <c r="T18" i="5" s="1"/>
  <c r="Y31" i="5"/>
  <c r="Y83" i="5"/>
  <c r="AD79" i="5" s="1"/>
  <c r="AA57" i="5"/>
  <c r="V8" i="5"/>
  <c r="U18" i="5"/>
  <c r="P57" i="5"/>
  <c r="E99" i="5"/>
  <c r="I31" i="5"/>
  <c r="I15" i="5" s="1"/>
  <c r="I16" i="5" s="1"/>
  <c r="I18" i="5" s="1"/>
  <c r="I83" i="5"/>
  <c r="Z15" i="5"/>
  <c r="Z16" i="5" s="1"/>
  <c r="Z18" i="5" s="1"/>
  <c r="O44" i="5"/>
  <c r="O15" i="5" s="1"/>
  <c r="O16" i="5" s="1"/>
  <c r="O18" i="5" s="1"/>
  <c r="F99" i="5"/>
  <c r="I30" i="5"/>
  <c r="I10" i="5" s="1"/>
  <c r="I11" i="5" s="1"/>
  <c r="I99" i="5"/>
  <c r="L56" i="5"/>
  <c r="AD6" i="5"/>
  <c r="AD7" i="5"/>
  <c r="J83" i="5"/>
  <c r="J31" i="5"/>
  <c r="AE31" i="5"/>
  <c r="K83" i="5"/>
  <c r="K31" i="5"/>
  <c r="K15" i="5" s="1"/>
  <c r="K16" i="5" s="1"/>
  <c r="K18" i="5" s="1"/>
  <c r="U99" i="5"/>
  <c r="U30" i="5"/>
  <c r="U10" i="5" s="1"/>
  <c r="U11" i="5" s="1"/>
  <c r="N43" i="5"/>
  <c r="N10" i="5" s="1"/>
  <c r="N11" i="5" s="1"/>
  <c r="Q56" i="5"/>
  <c r="M43" i="5"/>
  <c r="AB11" i="5"/>
  <c r="AA83" i="5"/>
  <c r="AG73" i="5" s="1"/>
  <c r="I57" i="5"/>
  <c r="AB31" i="5"/>
  <c r="AB83" i="5"/>
  <c r="AG72" i="5" s="1"/>
  <c r="J57" i="5"/>
  <c r="Q57" i="5"/>
  <c r="AP35" i="5"/>
  <c r="AF5" i="5"/>
  <c r="AO37" i="5"/>
  <c r="AN49" i="5"/>
  <c r="AC83" i="5"/>
  <c r="AG74" i="5" s="1"/>
  <c r="D44" i="5"/>
  <c r="B99" i="5"/>
  <c r="T99" i="5"/>
  <c r="T30" i="5"/>
  <c r="X31" i="5"/>
  <c r="X83" i="5"/>
  <c r="AD78" i="5" s="1"/>
  <c r="O83" i="5"/>
  <c r="G16" i="5"/>
  <c r="G18" i="5" s="1"/>
  <c r="U43" i="5"/>
  <c r="S56" i="5"/>
  <c r="S10" i="5" s="1"/>
  <c r="S11" i="5" s="1"/>
  <c r="C31" i="5"/>
  <c r="C15" i="5" s="1"/>
  <c r="Q83" i="5"/>
  <c r="Q31" i="5"/>
  <c r="AB99" i="5"/>
  <c r="B16" i="5"/>
  <c r="B18" i="5" s="1"/>
  <c r="AC16" i="5"/>
  <c r="AA8" i="5"/>
  <c r="D30" i="5"/>
  <c r="D10" i="5" s="1"/>
  <c r="AE6" i="5"/>
  <c r="AF89" i="5"/>
  <c r="AN89" i="5" s="1"/>
  <c r="AV89" i="5" s="1"/>
  <c r="AF87" i="5"/>
  <c r="AN87" i="5" s="1"/>
  <c r="AF91" i="5"/>
  <c r="AN91" i="5" s="1"/>
  <c r="AV91" i="5" s="1"/>
  <c r="AQ49" i="5"/>
  <c r="AQ50" i="5"/>
  <c r="G8" i="5"/>
  <c r="AC8" i="5"/>
  <c r="AC11" i="5" s="1"/>
  <c r="W44" i="5"/>
  <c r="AM36" i="5"/>
  <c r="AM37" i="5"/>
  <c r="AD75" i="5"/>
  <c r="AC99" i="5"/>
  <c r="AD96" i="5" s="1"/>
  <c r="AD95" i="5"/>
  <c r="AE95" i="5" s="1"/>
  <c r="P99" i="5"/>
  <c r="E44" i="5"/>
  <c r="E15" i="5" s="1"/>
  <c r="E16" i="5" s="1"/>
  <c r="E18" i="5" s="1"/>
  <c r="C11" i="5"/>
  <c r="L31" i="5"/>
  <c r="L15" i="5" s="1"/>
  <c r="L16" i="5" s="1"/>
  <c r="L18" i="5" s="1"/>
  <c r="AE102" i="5"/>
  <c r="AR49" i="5"/>
  <c r="AR50" i="5"/>
  <c r="AD102" i="5"/>
  <c r="AD14" i="5"/>
  <c r="AD12" i="5" s="1"/>
  <c r="X44" i="5"/>
  <c r="X43" i="5"/>
  <c r="D56" i="5"/>
  <c r="AR36" i="5"/>
  <c r="AR37" i="5"/>
  <c r="C16" i="5"/>
  <c r="C18" i="5" s="1"/>
  <c r="Z57" i="5"/>
  <c r="W99" i="5"/>
  <c r="W30" i="5"/>
  <c r="W10" i="5" s="1"/>
  <c r="W11" i="5" s="1"/>
  <c r="Q30" i="5"/>
  <c r="Y43" i="5"/>
  <c r="E56" i="5"/>
  <c r="E10" i="5" s="1"/>
  <c r="N99" i="5"/>
  <c r="AF72" i="5"/>
  <c r="AE49" i="5"/>
  <c r="AE108" i="5" s="1"/>
  <c r="D31" i="5"/>
  <c r="X99" i="5"/>
  <c r="AF93" i="5" s="1"/>
  <c r="AN93" i="5" s="1"/>
  <c r="AV93" i="5" s="1"/>
  <c r="X30" i="5"/>
  <c r="F56" i="5"/>
  <c r="F10" i="5" s="1"/>
  <c r="F11" i="5" s="1"/>
  <c r="X56" i="5"/>
  <c r="M30" i="5"/>
  <c r="M99" i="5"/>
  <c r="R56" i="5"/>
  <c r="R10" i="5" s="1"/>
  <c r="R11" i="5" s="1"/>
  <c r="AJ36" i="5"/>
  <c r="Y56" i="5"/>
  <c r="AA31" i="5"/>
  <c r="AA15" i="5" s="1"/>
  <c r="AA16" i="5" s="1"/>
  <c r="AA18" i="5" s="1"/>
  <c r="Z43" i="5"/>
  <c r="AC17" i="5"/>
  <c r="AD24" i="5"/>
  <c r="P44" i="5"/>
  <c r="P15" i="5" s="1"/>
  <c r="P16" i="5" s="1"/>
  <c r="P18" i="5" s="1"/>
  <c r="O99" i="5"/>
  <c r="AI37" i="5"/>
  <c r="AI36" i="5"/>
  <c r="AS36" i="5" s="1"/>
  <c r="AN36" i="5"/>
  <c r="AA44" i="5"/>
  <c r="O57" i="5"/>
  <c r="Y99" i="5"/>
  <c r="Y30" i="5"/>
  <c r="AA43" i="5"/>
  <c r="G56" i="5"/>
  <c r="G10" i="5" s="1"/>
  <c r="D99" i="5"/>
  <c r="P8" i="5"/>
  <c r="P11" i="5" s="1"/>
  <c r="AF35" i="5"/>
  <c r="U31" i="5"/>
  <c r="U15" i="5" s="1"/>
  <c r="C57" i="5"/>
  <c r="J99" i="5"/>
  <c r="Z30" i="5"/>
  <c r="Z99" i="5"/>
  <c r="AH87" i="5" s="1"/>
  <c r="H56" i="5"/>
  <c r="H10" i="5" s="1"/>
  <c r="H11" i="5" s="1"/>
  <c r="E8" i="5"/>
  <c r="J11" i="5"/>
  <c r="B30" i="5"/>
  <c r="B10" i="5" s="1"/>
  <c r="B11" i="5" s="1"/>
  <c r="AG35" i="5"/>
  <c r="AQ35" i="5" s="1"/>
  <c r="AK37" i="5"/>
  <c r="AK36" i="5"/>
  <c r="X57" i="5"/>
  <c r="AC31" i="5"/>
  <c r="AC15" i="5" s="1"/>
  <c r="K99" i="5"/>
  <c r="AA30" i="5"/>
  <c r="I56" i="5"/>
  <c r="L30" i="5"/>
  <c r="L10" i="5" s="1"/>
  <c r="L11" i="5" s="1"/>
  <c r="V16" i="5"/>
  <c r="V18" i="5" s="1"/>
  <c r="C99" i="5"/>
  <c r="C30" i="5"/>
  <c r="C10" i="5" s="1"/>
  <c r="T43" i="5"/>
  <c r="D8" i="5"/>
  <c r="AH35" i="5"/>
  <c r="AR35" i="5" s="1"/>
  <c r="AK50" i="5"/>
  <c r="Y57" i="5"/>
  <c r="AD82" i="5"/>
  <c r="AD59" i="5"/>
  <c r="N83" i="5"/>
  <c r="AD50" i="5"/>
  <c r="AD103" i="5"/>
  <c r="K57" i="5"/>
  <c r="Z83" i="5"/>
  <c r="AF71" i="5" s="1"/>
  <c r="AU37" i="5"/>
  <c r="AE47" i="5"/>
  <c r="AD109" i="5"/>
  <c r="AE62" i="5"/>
  <c r="AE107" i="5" s="1"/>
  <c r="P83" i="5"/>
  <c r="AA99" i="5"/>
  <c r="AG50" i="5"/>
  <c r="AG49" i="5"/>
  <c r="AE37" i="5"/>
  <c r="R83" i="5"/>
  <c r="Q99" i="5"/>
  <c r="R99" i="5"/>
  <c r="S83" i="5"/>
  <c r="N57" i="5"/>
  <c r="N15" i="5" s="1"/>
  <c r="N16" i="5" s="1"/>
  <c r="N18" i="5" s="1"/>
  <c r="AE79" i="5"/>
  <c r="B83" i="5"/>
  <c r="S99" i="5"/>
  <c r="AG16" i="4"/>
  <c r="L16" i="4"/>
  <c r="L12" i="4"/>
  <c r="L10" i="4" s="1"/>
  <c r="AJ16" i="4"/>
  <c r="AJ12" i="4"/>
  <c r="AM12" i="4"/>
  <c r="AM16" i="4"/>
  <c r="AJ18" i="4"/>
  <c r="J16" i="4"/>
  <c r="J12" i="4"/>
  <c r="J10" i="4" s="1"/>
  <c r="AU69" i="4"/>
  <c r="AV69" i="4"/>
  <c r="AW69" i="4"/>
  <c r="AI16" i="4"/>
  <c r="AI12" i="4"/>
  <c r="AL12" i="4"/>
  <c r="AL16" i="4"/>
  <c r="AK18" i="4"/>
  <c r="AK17" i="4"/>
  <c r="AS87" i="4"/>
  <c r="AS10" i="4"/>
  <c r="AS89" i="4"/>
  <c r="AS88" i="4"/>
  <c r="AS85" i="4"/>
  <c r="AS83" i="4"/>
  <c r="AS82" i="4"/>
  <c r="AS84" i="4"/>
  <c r="AS78" i="4"/>
  <c r="AS79" i="4"/>
  <c r="AS86" i="4"/>
  <c r="AS80" i="4"/>
  <c r="BA32" i="4"/>
  <c r="AA27" i="2" s="1"/>
  <c r="AZ34" i="4"/>
  <c r="BA34" i="4" s="1"/>
  <c r="AA29" i="2" s="1"/>
  <c r="K16" i="4"/>
  <c r="K12" i="4"/>
  <c r="K10" i="4" s="1"/>
  <c r="AH12" i="4"/>
  <c r="AH16" i="4"/>
  <c r="AA16" i="4"/>
  <c r="AA12" i="4"/>
  <c r="AA10" i="4" s="1"/>
  <c r="AP12" i="4"/>
  <c r="AP16" i="4"/>
  <c r="AD18" i="4"/>
  <c r="AQ16" i="4"/>
  <c r="AQ12" i="4"/>
  <c r="AU12" i="4"/>
  <c r="AU16" i="4"/>
  <c r="Q12" i="4"/>
  <c r="Q10" i="4" s="1"/>
  <c r="Q16" i="4"/>
  <c r="AN16" i="4"/>
  <c r="AN12" i="4"/>
  <c r="AW16" i="4"/>
  <c r="AW12" i="4"/>
  <c r="AW10" i="4" s="1"/>
  <c r="AE18" i="4"/>
  <c r="AK16" i="4"/>
  <c r="AK12" i="4"/>
  <c r="X16" i="4"/>
  <c r="X12" i="4"/>
  <c r="X10" i="4" s="1"/>
  <c r="AE17" i="4"/>
  <c r="AF16" i="4"/>
  <c r="AO16" i="4"/>
  <c r="AO12" i="4"/>
  <c r="AT12" i="4"/>
  <c r="AT84" i="4" s="1"/>
  <c r="AT16" i="4"/>
  <c r="AC37" i="4"/>
  <c r="AC13" i="4" s="1"/>
  <c r="AF17" i="4"/>
  <c r="AE16" i="4"/>
  <c r="AD37" i="4"/>
  <c r="AD13" i="4" s="1"/>
  <c r="AG17" i="4"/>
  <c r="AB16" i="4"/>
  <c r="AB12" i="4"/>
  <c r="AB10" i="4" s="1"/>
  <c r="AT88" i="4"/>
  <c r="AR12" i="4"/>
  <c r="AR16" i="4"/>
  <c r="AH17" i="4"/>
  <c r="C16" i="4"/>
  <c r="C12" i="4"/>
  <c r="C10" i="4" s="1"/>
  <c r="I12" i="4"/>
  <c r="I10" i="4" s="1"/>
  <c r="I16" i="4"/>
  <c r="AY41" i="4"/>
  <c r="AZ50" i="4"/>
  <c r="AY44" i="4"/>
  <c r="AY43" i="4"/>
  <c r="AZ49" i="4"/>
  <c r="D12" i="4"/>
  <c r="D10" i="4" s="1"/>
  <c r="D16" i="4"/>
  <c r="AJ17" i="4"/>
  <c r="AZ33" i="4"/>
  <c r="BA33" i="4" s="1"/>
  <c r="AA28" i="2" s="1"/>
  <c r="AZ35" i="4"/>
  <c r="BA35" i="4" s="1"/>
  <c r="AA30" i="2" s="1"/>
  <c r="BA25" i="4"/>
  <c r="F16" i="4"/>
  <c r="F12" i="4"/>
  <c r="F10" i="4" s="1"/>
  <c r="E12" i="4"/>
  <c r="E10" i="4" s="1"/>
  <c r="E16" i="4"/>
  <c r="M16" i="4"/>
  <c r="M12" i="4"/>
  <c r="M10" i="4" s="1"/>
  <c r="AW64" i="4"/>
  <c r="AW79" i="4" s="1"/>
  <c r="BA26" i="4"/>
  <c r="AS16" i="4"/>
  <c r="AI37" i="4"/>
  <c r="AI13" i="4" s="1"/>
  <c r="P16" i="4"/>
  <c r="AV16" i="4"/>
  <c r="AJ37" i="4"/>
  <c r="AJ13" i="4" s="1"/>
  <c r="AB37" i="4"/>
  <c r="AB13" i="4" s="1"/>
  <c r="BA46" i="4"/>
  <c r="AT81" i="4"/>
  <c r="AU66" i="4"/>
  <c r="BA30" i="4"/>
  <c r="AW74" i="4"/>
  <c r="AG37" i="4"/>
  <c r="AG13" i="4" s="1"/>
  <c r="AG12" i="4" s="1"/>
  <c r="BA29" i="4"/>
  <c r="AV71" i="4"/>
  <c r="R16" i="4"/>
  <c r="N16" i="4"/>
  <c r="N12" i="4"/>
  <c r="N10" i="4" s="1"/>
  <c r="H16" i="4"/>
  <c r="H12" i="4"/>
  <c r="H10" i="4" s="1"/>
  <c r="AU64" i="4"/>
  <c r="AF37" i="4"/>
  <c r="AF13" i="4" s="1"/>
  <c r="AF12" i="4" s="1"/>
  <c r="Y9" i="4"/>
  <c r="Y14" i="4" s="1"/>
  <c r="AT87" i="4"/>
  <c r="AW73" i="4"/>
  <c r="AD17" i="4"/>
  <c r="AE37" i="4"/>
  <c r="AE13" i="4" s="1"/>
  <c r="AE12" i="4" s="1"/>
  <c r="BA5" i="4"/>
  <c r="Z9" i="4"/>
  <c r="Z14" i="4" s="1"/>
  <c r="AV63" i="4"/>
  <c r="AU72" i="4"/>
  <c r="G12" i="4"/>
  <c r="G10" i="4" s="1"/>
  <c r="AW65" i="4"/>
  <c r="AV65" i="4"/>
  <c r="AU65" i="4"/>
  <c r="AT79" i="4"/>
  <c r="BA27" i="4"/>
  <c r="O16" i="4"/>
  <c r="O12" i="4"/>
  <c r="O10" i="4" s="1"/>
  <c r="AV64" i="4"/>
  <c r="AT89" i="4"/>
  <c r="AZ16" i="4"/>
  <c r="E54" i="1"/>
  <c r="D59" i="16" s="1"/>
  <c r="AX74" i="4"/>
  <c r="AC17" i="4"/>
  <c r="AV74" i="4"/>
  <c r="S16" i="4"/>
  <c r="AW67" i="4"/>
  <c r="AV67" i="4"/>
  <c r="AX67" i="4" s="1"/>
  <c r="AT82" i="4"/>
  <c r="BA96" i="4"/>
  <c r="BA28" i="4"/>
  <c r="BA31" i="4"/>
  <c r="AA26" i="2" s="1"/>
  <c r="AA38" i="2" s="1"/>
  <c r="AA15" i="2" s="1"/>
  <c r="H16" i="1" s="1"/>
  <c r="D57" i="18" s="1"/>
  <c r="AC9" i="4"/>
  <c r="AC14" i="4" s="1"/>
  <c r="AD9" i="4"/>
  <c r="AD14" i="4" s="1"/>
  <c r="AX10" i="4"/>
  <c r="AX42" i="4"/>
  <c r="AX51" i="4"/>
  <c r="AX45" i="4"/>
  <c r="AU70" i="4"/>
  <c r="AV70" i="4"/>
  <c r="AW70" i="4"/>
  <c r="AU68" i="4"/>
  <c r="AU71" i="4"/>
  <c r="O14" i="3"/>
  <c r="O12" i="3" s="1"/>
  <c r="O18" i="3"/>
  <c r="AK14" i="3"/>
  <c r="AK12" i="3" s="1"/>
  <c r="AK18" i="3"/>
  <c r="Z18" i="3"/>
  <c r="Z14" i="3"/>
  <c r="Z12" i="3" s="1"/>
  <c r="AH14" i="3"/>
  <c r="AH12" i="3" s="1"/>
  <c r="AH18" i="3"/>
  <c r="BA35" i="3"/>
  <c r="AB18" i="3"/>
  <c r="AB14" i="3"/>
  <c r="AB12" i="3" s="1"/>
  <c r="B18" i="3"/>
  <c r="B14" i="3"/>
  <c r="B12" i="3" s="1"/>
  <c r="AC14" i="3"/>
  <c r="AC12" i="3" s="1"/>
  <c r="AC18" i="3"/>
  <c r="AN14" i="3"/>
  <c r="AN12" i="3" s="1"/>
  <c r="AN18" i="3"/>
  <c r="AZ26" i="3"/>
  <c r="AX83" i="3"/>
  <c r="AX84" i="3"/>
  <c r="S18" i="3"/>
  <c r="S14" i="3"/>
  <c r="S12" i="3" s="1"/>
  <c r="AO14" i="3"/>
  <c r="AO12" i="3" s="1"/>
  <c r="AO18" i="3"/>
  <c r="AD14" i="3"/>
  <c r="AD12" i="3" s="1"/>
  <c r="AD18" i="3"/>
  <c r="AJ14" i="3"/>
  <c r="AJ12" i="3" s="1"/>
  <c r="AJ18" i="3"/>
  <c r="E18" i="3"/>
  <c r="E14" i="3"/>
  <c r="E12" i="3" s="1"/>
  <c r="G14" i="3"/>
  <c r="G12" i="3" s="1"/>
  <c r="G18" i="3"/>
  <c r="AW18" i="3"/>
  <c r="AW14" i="3"/>
  <c r="AW12" i="3" s="1"/>
  <c r="AW120" i="3" s="1"/>
  <c r="BA27" i="3"/>
  <c r="U18" i="3"/>
  <c r="U14" i="3"/>
  <c r="U12" i="3" s="1"/>
  <c r="AZ32" i="3"/>
  <c r="BA32" i="3" s="1"/>
  <c r="AZ33" i="3"/>
  <c r="BA33" i="3" s="1"/>
  <c r="AZ34" i="3"/>
  <c r="BA34" i="3" s="1"/>
  <c r="V18" i="3"/>
  <c r="V14" i="3"/>
  <c r="V12" i="3" s="1"/>
  <c r="AR18" i="3"/>
  <c r="AR14" i="3"/>
  <c r="AR12" i="3" s="1"/>
  <c r="AR120" i="3" s="1"/>
  <c r="AU18" i="3"/>
  <c r="AU14" i="3"/>
  <c r="AU12" i="3" s="1"/>
  <c r="AU120" i="3" s="1"/>
  <c r="R14" i="3"/>
  <c r="R12" i="3" s="1"/>
  <c r="R18" i="3"/>
  <c r="W18" i="3"/>
  <c r="W14" i="3"/>
  <c r="W12" i="3" s="1"/>
  <c r="AS14" i="3"/>
  <c r="AS12" i="3" s="1"/>
  <c r="AS120" i="3" s="1"/>
  <c r="AS18" i="3"/>
  <c r="AZ29" i="3"/>
  <c r="BA29" i="3"/>
  <c r="Y14" i="3"/>
  <c r="Y12" i="3" s="1"/>
  <c r="Y18" i="3"/>
  <c r="AA18" i="3"/>
  <c r="AA14" i="3"/>
  <c r="AA12" i="3" s="1"/>
  <c r="AM14" i="3"/>
  <c r="AM12" i="3" s="1"/>
  <c r="AM18" i="3"/>
  <c r="X11" i="3"/>
  <c r="X16" i="3" s="1"/>
  <c r="P14" i="3"/>
  <c r="P12" i="3" s="1"/>
  <c r="P18" i="3"/>
  <c r="AL11" i="3"/>
  <c r="AL16" i="3" s="1"/>
  <c r="AI14" i="3"/>
  <c r="AI12" i="3" s="1"/>
  <c r="AI18" i="3"/>
  <c r="AQ18" i="3"/>
  <c r="AQ14" i="3"/>
  <c r="AQ12" i="3" s="1"/>
  <c r="H14" i="3"/>
  <c r="H12" i="3" s="1"/>
  <c r="H18" i="3"/>
  <c r="AG18" i="3"/>
  <c r="AG14" i="3"/>
  <c r="AG12" i="3" s="1"/>
  <c r="AV18" i="3"/>
  <c r="AV14" i="3"/>
  <c r="AV12" i="3" s="1"/>
  <c r="AV120" i="3" s="1"/>
  <c r="AE14" i="3"/>
  <c r="AE12" i="3" s="1"/>
  <c r="AE18" i="3"/>
  <c r="AZ28" i="3"/>
  <c r="BA28" i="3"/>
  <c r="BA30" i="3"/>
  <c r="AZ30" i="3"/>
  <c r="L14" i="3"/>
  <c r="L12" i="3" s="1"/>
  <c r="L18" i="3"/>
  <c r="AT11" i="3"/>
  <c r="AT16" i="3" s="1"/>
  <c r="C14" i="3"/>
  <c r="C12" i="3" s="1"/>
  <c r="C18" i="3"/>
  <c r="AZ31" i="3"/>
  <c r="BA31" i="3" s="1"/>
  <c r="F14" i="3"/>
  <c r="F12" i="3" s="1"/>
  <c r="F18" i="3"/>
  <c r="K18" i="3"/>
  <c r="K14" i="3"/>
  <c r="K12" i="3" s="1"/>
  <c r="Q14" i="3"/>
  <c r="Q12" i="3" s="1"/>
  <c r="Q18" i="3"/>
  <c r="AF14" i="3"/>
  <c r="AF12" i="3" s="1"/>
  <c r="AF18" i="3"/>
  <c r="T18" i="3"/>
  <c r="T14" i="3"/>
  <c r="T12" i="3" s="1"/>
  <c r="AP18" i="3"/>
  <c r="AP14" i="3"/>
  <c r="AP12" i="3" s="1"/>
  <c r="D18" i="3"/>
  <c r="D14" i="3"/>
  <c r="D12" i="3" s="1"/>
  <c r="I14" i="3"/>
  <c r="I12" i="3" s="1"/>
  <c r="B6" i="3"/>
  <c r="X6" i="3"/>
  <c r="AT6" i="3"/>
  <c r="I18" i="3"/>
  <c r="AT15" i="3"/>
  <c r="C6" i="3"/>
  <c r="Y6" i="3"/>
  <c r="AU6" i="3"/>
  <c r="J18" i="3"/>
  <c r="E6" i="3"/>
  <c r="F6" i="3"/>
  <c r="AB6" i="3"/>
  <c r="M18" i="3"/>
  <c r="AB84" i="3"/>
  <c r="BA36" i="3"/>
  <c r="AW6" i="3"/>
  <c r="AC6" i="3"/>
  <c r="N18" i="3"/>
  <c r="H6" i="3"/>
  <c r="AD6" i="3"/>
  <c r="AV6" i="3"/>
  <c r="G6" i="3"/>
  <c r="D6" i="3"/>
  <c r="AA6" i="3"/>
  <c r="Z7" i="3"/>
  <c r="AZ27" i="3"/>
  <c r="AZ35" i="3"/>
  <c r="AY60" i="3"/>
  <c r="W18" i="2"/>
  <c r="G18" i="2"/>
  <c r="G14" i="2"/>
  <c r="G12" i="2" s="1"/>
  <c r="H18" i="2"/>
  <c r="H14" i="2"/>
  <c r="H12" i="2" s="1"/>
  <c r="I18" i="2"/>
  <c r="I14" i="2"/>
  <c r="I12" i="2" s="1"/>
  <c r="R18" i="2"/>
  <c r="C18" i="2"/>
  <c r="J18" i="2"/>
  <c r="J14" i="2"/>
  <c r="J12" i="2" s="1"/>
  <c r="T14" i="2"/>
  <c r="T12" i="2" s="1"/>
  <c r="T18" i="2"/>
  <c r="M18" i="2"/>
  <c r="K18" i="2"/>
  <c r="K14" i="2"/>
  <c r="K12" i="2" s="1"/>
  <c r="U18" i="2"/>
  <c r="U14" i="2"/>
  <c r="U12" i="2" s="1"/>
  <c r="R6" i="2"/>
  <c r="O18" i="2"/>
  <c r="T6" i="2"/>
  <c r="P7" i="2"/>
  <c r="P18" i="2"/>
  <c r="S6" i="2"/>
  <c r="U6" i="2"/>
  <c r="Q7" i="2"/>
  <c r="M8" i="2"/>
  <c r="M11" i="2" s="1"/>
  <c r="M16" i="2" s="1"/>
  <c r="M14" i="2" s="1"/>
  <c r="M12" i="2" s="1"/>
  <c r="Q18" i="2"/>
  <c r="X6" i="2"/>
  <c r="V18" i="2"/>
  <c r="S8" i="2"/>
  <c r="S11" i="2" s="1"/>
  <c r="S16" i="2" s="1"/>
  <c r="N8" i="2"/>
  <c r="N11" i="2" s="1"/>
  <c r="N16" i="2" s="1"/>
  <c r="N14" i="2" s="1"/>
  <c r="N12" i="2" s="1"/>
  <c r="B18" i="2"/>
  <c r="X18" i="2"/>
  <c r="H97" i="1"/>
  <c r="D54" i="1" a="1"/>
  <c r="D54" i="1" s="1"/>
  <c r="D49" i="1" a="1"/>
  <c r="D49" i="1" s="1"/>
  <c r="G131" i="1" a="1"/>
  <c r="G131" i="1" s="1"/>
  <c r="H129" i="1"/>
  <c r="H132" i="1" s="1"/>
  <c r="H138" i="1" s="1"/>
  <c r="H139" i="1" s="1"/>
  <c r="E139" i="1"/>
  <c r="H77" i="1"/>
  <c r="D50" i="1" a="1"/>
  <c r="D50" i="1" s="1"/>
  <c r="E99" i="1"/>
  <c r="H89" i="1"/>
  <c r="H92" i="1" s="1"/>
  <c r="G68" i="1" a="1"/>
  <c r="G68" i="1" s="1"/>
  <c r="G78" i="1" a="1"/>
  <c r="G78" i="1" s="1"/>
  <c r="D136" i="1" a="1"/>
  <c r="D136" i="1" s="1"/>
  <c r="G125" i="1"/>
  <c r="G128" i="1" s="1" a="1"/>
  <c r="G128" i="1" s="1"/>
  <c r="D135" i="1" a="1"/>
  <c r="D135" i="1" s="1"/>
  <c r="D133" i="1" s="1"/>
  <c r="D128" i="1" a="1"/>
  <c r="D128" i="1" s="1"/>
  <c r="D138" i="1" a="1"/>
  <c r="D138" i="1" s="1"/>
  <c r="D131" i="1" a="1"/>
  <c r="D131" i="1" s="1"/>
  <c r="G30" i="1" a="1"/>
  <c r="G30" i="1" s="1"/>
  <c r="D130" i="1" a="1"/>
  <c r="D130" i="1" s="1"/>
  <c r="G116" i="1" a="1"/>
  <c r="G116" i="1" s="1"/>
  <c r="G76" i="1" a="1"/>
  <c r="G76" i="1" s="1"/>
  <c r="D114" i="1" a="1"/>
  <c r="D114" i="1" s="1"/>
  <c r="D113" i="1" s="1"/>
  <c r="D117" i="1" s="1"/>
  <c r="G107" i="1" a="1"/>
  <c r="G107" i="1" s="1"/>
  <c r="D36" i="1" a="1"/>
  <c r="D36" i="1" s="1"/>
  <c r="D76" i="1" a="1"/>
  <c r="D76" i="1" s="1"/>
  <c r="G171" i="1" a="1"/>
  <c r="G171" i="1" s="1"/>
  <c r="G172" i="1" s="1"/>
  <c r="D56" i="1" a="1"/>
  <c r="D56" i="1" s="1"/>
  <c r="C117" i="1"/>
  <c r="C119" i="1" s="1"/>
  <c r="D119" i="1" s="1" a="1"/>
  <c r="D119" i="1" s="1"/>
  <c r="D67" i="1" a="1"/>
  <c r="D67" i="1" s="1"/>
  <c r="D74" i="1" a="1"/>
  <c r="D74" i="1" s="1"/>
  <c r="D73" i="1" s="1"/>
  <c r="B177" i="1"/>
  <c r="G29" i="1" a="1"/>
  <c r="G29" i="1" s="1"/>
  <c r="D14" i="1" a="1"/>
  <c r="D14" i="1" s="1"/>
  <c r="D13" i="1" s="1"/>
  <c r="D17" i="1" s="1"/>
  <c r="G13" i="1"/>
  <c r="G17" i="1" s="1"/>
  <c r="B12" i="1"/>
  <c r="D70" i="1" a="1"/>
  <c r="D70" i="1" s="1"/>
  <c r="B19" i="1"/>
  <c r="C99" i="1"/>
  <c r="D118" i="1" a="1"/>
  <c r="D118" i="1" s="1"/>
  <c r="C177" i="1"/>
  <c r="C179" i="1" s="1"/>
  <c r="D179" i="1" s="1" a="1"/>
  <c r="D179" i="1" s="1"/>
  <c r="G25" i="1"/>
  <c r="D110" i="1" a="1"/>
  <c r="D110" i="1" s="1"/>
  <c r="D175" i="1" a="1"/>
  <c r="D175" i="1" s="1"/>
  <c r="D173" i="1" s="1"/>
  <c r="D177" i="1" s="1"/>
  <c r="D38" i="1" a="1"/>
  <c r="D38" i="1" s="1"/>
  <c r="G28" i="1" a="1"/>
  <c r="G28" i="1" s="1"/>
  <c r="F53" i="1"/>
  <c r="F57" i="1" s="1"/>
  <c r="F59" i="1" s="1"/>
  <c r="D111" i="1" a="1"/>
  <c r="D111" i="1" s="1"/>
  <c r="B157" i="1"/>
  <c r="B159" i="1" s="1"/>
  <c r="D127" i="1" a="1"/>
  <c r="D127" i="1" s="1"/>
  <c r="F12" i="1"/>
  <c r="D35" i="1" a="1"/>
  <c r="D35" i="1" s="1"/>
  <c r="D78" i="1" a="1"/>
  <c r="D78" i="1" s="1"/>
  <c r="E178" i="1"/>
  <c r="D92" i="16" s="1"/>
  <c r="D69" i="1" a="1"/>
  <c r="D69" i="1" s="1"/>
  <c r="G105" i="1"/>
  <c r="G109" i="1" s="1" a="1"/>
  <c r="G109" i="1" s="1"/>
  <c r="G27" i="1" a="1"/>
  <c r="G27" i="1" s="1"/>
  <c r="F72" i="1"/>
  <c r="F117" i="1"/>
  <c r="F119" i="1" s="1"/>
  <c r="G119" i="1" s="1" a="1"/>
  <c r="G119" i="1" s="1"/>
  <c r="C19" i="1"/>
  <c r="D19" i="1" s="1" a="1"/>
  <c r="D19" i="1" s="1"/>
  <c r="C172" i="1"/>
  <c r="B17" i="1"/>
  <c r="G108" i="1" a="1"/>
  <c r="G108" i="1" s="1"/>
  <c r="G176" i="1" a="1"/>
  <c r="G176" i="1" s="1"/>
  <c r="G168" i="1" a="1"/>
  <c r="G168" i="1" s="1"/>
  <c r="G175" i="1" a="1"/>
  <c r="G175" i="1" s="1"/>
  <c r="G173" i="1" s="1"/>
  <c r="D108" i="1" a="1"/>
  <c r="D108" i="1" s="1"/>
  <c r="G35" i="1" a="1"/>
  <c r="G35" i="1" s="1"/>
  <c r="B99" i="1"/>
  <c r="C152" i="1"/>
  <c r="B179" i="1"/>
  <c r="G36" i="1" a="1"/>
  <c r="G36" i="1" s="1"/>
  <c r="D30" i="1" a="1"/>
  <c r="D30" i="1" s="1"/>
  <c r="D45" i="1"/>
  <c r="D34" i="1" a="1"/>
  <c r="D34" i="1" s="1"/>
  <c r="G65" i="1"/>
  <c r="G70" i="1" s="1" a="1"/>
  <c r="G70" i="1" s="1"/>
  <c r="G111" i="1" a="1"/>
  <c r="G111" i="1" s="1"/>
  <c r="D71" i="1" a="1"/>
  <c r="D71" i="1" s="1"/>
  <c r="G115" i="1" a="1"/>
  <c r="G115" i="1" s="1"/>
  <c r="C132" i="1"/>
  <c r="E158" i="1"/>
  <c r="G71" i="1" a="1"/>
  <c r="G71" i="1" s="1"/>
  <c r="D31" i="1" a="1"/>
  <c r="D31" i="1" s="1"/>
  <c r="D129" i="1" a="1"/>
  <c r="D129" i="1" s="1"/>
  <c r="D178" i="1" a="1"/>
  <c r="D178" i="1" s="1"/>
  <c r="G129" i="1" a="1"/>
  <c r="G129" i="1" s="1"/>
  <c r="G178" i="1" a="1"/>
  <c r="G178" i="1" s="1"/>
  <c r="D57" i="17" l="1"/>
  <c r="AX82" i="4"/>
  <c r="AW84" i="4"/>
  <c r="AX89" i="4"/>
  <c r="E53" i="1"/>
  <c r="D77" i="16" s="1"/>
  <c r="H48" i="1"/>
  <c r="D12" i="1"/>
  <c r="C12" i="1"/>
  <c r="Z34" i="2"/>
  <c r="Z30" i="2"/>
  <c r="Z26" i="2"/>
  <c r="Z37" i="2"/>
  <c r="Z33" i="2"/>
  <c r="Z29" i="2"/>
  <c r="Z36" i="2"/>
  <c r="Z28" i="2"/>
  <c r="Z31" i="2"/>
  <c r="Z32" i="2"/>
  <c r="Z35" i="2"/>
  <c r="Z27" i="2"/>
  <c r="Z50" i="2"/>
  <c r="Z49" i="2"/>
  <c r="Z48" i="2"/>
  <c r="Z51" i="2"/>
  <c r="Z52" i="2"/>
  <c r="Z53" i="2"/>
  <c r="D77" i="1"/>
  <c r="D112" i="1"/>
  <c r="D32" i="1"/>
  <c r="Y17" i="2"/>
  <c r="Z8" i="2" s="1"/>
  <c r="Z7" i="2"/>
  <c r="E7" i="1"/>
  <c r="D12" i="16" s="1"/>
  <c r="Y34" i="2"/>
  <c r="Y26" i="2"/>
  <c r="Y31" i="2"/>
  <c r="Y35" i="2"/>
  <c r="Y29" i="2"/>
  <c r="Y36" i="2"/>
  <c r="Y28" i="2"/>
  <c r="Y37" i="2"/>
  <c r="Y33" i="2"/>
  <c r="Y27" i="2"/>
  <c r="Y30" i="2"/>
  <c r="Y32" i="2"/>
  <c r="AZ9" i="7"/>
  <c r="H108" i="1"/>
  <c r="D78" i="17"/>
  <c r="D87" i="16"/>
  <c r="E79" i="1"/>
  <c r="H69" i="1"/>
  <c r="AO50" i="11"/>
  <c r="AP50" i="11" s="1"/>
  <c r="AO47" i="11"/>
  <c r="AP47" i="11" s="1"/>
  <c r="AO46" i="11"/>
  <c r="AP46" i="11" s="1"/>
  <c r="AO48" i="11"/>
  <c r="AP48" i="11" s="1"/>
  <c r="AO53" i="11"/>
  <c r="AP53" i="11" s="1"/>
  <c r="AO54" i="11"/>
  <c r="AP54" i="11" s="1"/>
  <c r="AP45" i="11"/>
  <c r="AO51" i="11"/>
  <c r="AP51" i="11" s="1"/>
  <c r="AO49" i="10"/>
  <c r="AP45" i="10"/>
  <c r="AP44" i="10"/>
  <c r="AP49" i="10"/>
  <c r="AP47" i="10"/>
  <c r="AO47" i="10"/>
  <c r="AO51" i="10"/>
  <c r="AP51" i="10"/>
  <c r="AO54" i="10"/>
  <c r="AO50" i="10"/>
  <c r="AP54" i="10"/>
  <c r="AP50" i="10"/>
  <c r="AL5" i="9"/>
  <c r="AP26" i="9"/>
  <c r="AO29" i="9"/>
  <c r="AO36" i="9"/>
  <c r="AJ15" i="9"/>
  <c r="AJ14" i="9" s="1"/>
  <c r="AJ12" i="9" s="1"/>
  <c r="AP27" i="9"/>
  <c r="AP29" i="9"/>
  <c r="AP36" i="9"/>
  <c r="AO31" i="9"/>
  <c r="AP31" i="9"/>
  <c r="AO28" i="9"/>
  <c r="AP35" i="9"/>
  <c r="BA8" i="8"/>
  <c r="BA10" i="8" s="1"/>
  <c r="BA15" i="8" s="1"/>
  <c r="AZ34" i="8"/>
  <c r="BB5" i="8"/>
  <c r="BB8" i="8" s="1"/>
  <c r="BB10" i="8" s="1"/>
  <c r="BB15" i="8" s="1"/>
  <c r="AY25" i="8"/>
  <c r="AZ25" i="8" s="1"/>
  <c r="BF4" i="8"/>
  <c r="AY26" i="8"/>
  <c r="AZ26" i="8" s="1"/>
  <c r="BE4" i="8"/>
  <c r="AX32" i="8"/>
  <c r="AY28" i="8"/>
  <c r="AZ28" i="8" s="1"/>
  <c r="AZ8" i="8"/>
  <c r="AZ10" i="8" s="1"/>
  <c r="AZ15" i="8" s="1"/>
  <c r="AY30" i="8"/>
  <c r="AZ30" i="8" s="1"/>
  <c r="BD4" i="8"/>
  <c r="AY29" i="8"/>
  <c r="AZ29" i="8" s="1"/>
  <c r="AX36" i="8"/>
  <c r="AY31" i="8"/>
  <c r="AZ31" i="8" s="1"/>
  <c r="AL17" i="7"/>
  <c r="AL12" i="7" s="1"/>
  <c r="AL21" i="7"/>
  <c r="AR11" i="7"/>
  <c r="AR19" i="7" s="1"/>
  <c r="AY39" i="7"/>
  <c r="AQ21" i="7"/>
  <c r="AP17" i="7"/>
  <c r="AP12" i="7" s="1"/>
  <c r="AY49" i="7"/>
  <c r="AZ49" i="7" s="1" a="1"/>
  <c r="AZ49" i="7" s="1"/>
  <c r="AY51" i="7"/>
  <c r="AM17" i="7"/>
  <c r="AM12" i="7" s="1"/>
  <c r="AZ30" i="7" a="1"/>
  <c r="AZ30" i="7" s="1"/>
  <c r="AZ37" i="7" a="1"/>
  <c r="AZ37" i="7" s="1"/>
  <c r="AZ35" i="7" a="1"/>
  <c r="AZ35" i="7" s="1"/>
  <c r="AY56" i="7"/>
  <c r="AN11" i="7"/>
  <c r="AN19" i="7" s="1"/>
  <c r="AZ31" i="7" a="1"/>
  <c r="AZ31" i="7" s="1"/>
  <c r="AY38" i="7"/>
  <c r="AZ38" i="7" s="1" a="1"/>
  <c r="AZ38" i="7" s="1"/>
  <c r="AZ47" i="7" a="1"/>
  <c r="AZ47" i="7" s="1"/>
  <c r="AZ54" i="7" a="1"/>
  <c r="AZ54" i="7" s="1"/>
  <c r="AZ57" i="7" a="1"/>
  <c r="AZ57" i="7" s="1"/>
  <c r="AU10" i="7"/>
  <c r="AU11" i="7" s="1"/>
  <c r="AU19" i="7" s="1"/>
  <c r="AZ55" i="7" a="1"/>
  <c r="AZ55" i="7" s="1"/>
  <c r="AY53" i="7"/>
  <c r="AZ53" i="7" s="1" a="1"/>
  <c r="AZ53" i="7" s="1"/>
  <c r="AY34" i="7"/>
  <c r="AY54" i="7"/>
  <c r="AK21" i="7"/>
  <c r="AY57" i="7"/>
  <c r="AZ32" i="7" a="1"/>
  <c r="AZ32" i="7" s="1"/>
  <c r="AW21" i="7"/>
  <c r="AW17" i="7"/>
  <c r="AW12" i="7" s="1"/>
  <c r="AP21" i="7"/>
  <c r="AS21" i="7"/>
  <c r="AS17" i="7"/>
  <c r="AS12" i="7" s="1"/>
  <c r="AY12" i="7"/>
  <c r="BB13" i="7"/>
  <c r="AX21" i="7"/>
  <c r="AX17" i="7"/>
  <c r="AX12" i="7" s="1"/>
  <c r="AM21" i="7"/>
  <c r="AZ51" i="7" a="1"/>
  <c r="AZ51" i="7" s="1"/>
  <c r="BB15" i="7"/>
  <c r="AO11" i="7"/>
  <c r="AO19" i="7" s="1"/>
  <c r="AY40" i="7"/>
  <c r="AZ40" i="7" s="1" a="1"/>
  <c r="AZ40" i="7" s="1"/>
  <c r="AY37" i="7"/>
  <c r="AZ34" i="7" a="1"/>
  <c r="AZ34" i="7" s="1"/>
  <c r="AY52" i="7"/>
  <c r="AZ52" i="7" a="1"/>
  <c r="AZ52" i="7" s="1"/>
  <c r="AY35" i="7"/>
  <c r="AT17" i="7"/>
  <c r="AT12" i="7" s="1"/>
  <c r="AT21" i="7"/>
  <c r="AZ56" i="7" a="1"/>
  <c r="AZ56" i="7" s="1"/>
  <c r="AY48" i="7"/>
  <c r="AZ48" i="7" s="1" a="1"/>
  <c r="AZ48" i="7" s="1"/>
  <c r="AY33" i="7"/>
  <c r="AZ33" i="7" s="1" a="1"/>
  <c r="AZ33" i="7" s="1"/>
  <c r="AV21" i="7"/>
  <c r="AV17" i="7"/>
  <c r="AV12" i="7" s="1"/>
  <c r="AZ36" i="7" a="1"/>
  <c r="AZ36" i="7" s="1"/>
  <c r="AZ50" i="7" a="1"/>
  <c r="AZ50" i="7" s="1"/>
  <c r="AZ39" i="7" a="1"/>
  <c r="AZ39" i="7" s="1"/>
  <c r="AZ89" i="6"/>
  <c r="AZ12" i="6"/>
  <c r="AZ10" i="6" s="1"/>
  <c r="AZ59" i="6" s="1"/>
  <c r="AZ65" i="6" s="1"/>
  <c r="AZ66" i="6" s="1"/>
  <c r="AZ16" i="6"/>
  <c r="AZ31" i="6" a="1"/>
  <c r="AZ31" i="6" s="1"/>
  <c r="AY52" i="6" a="1"/>
  <c r="AY52" i="6" s="1"/>
  <c r="BA52" i="6" s="1" a="1"/>
  <c r="BA52" i="6" s="1"/>
  <c r="AY46" i="6" a="1"/>
  <c r="AY46" i="6" s="1"/>
  <c r="AT56" i="6"/>
  <c r="AY51" i="6" a="1"/>
  <c r="AY51" i="6" s="1"/>
  <c r="BA51" i="6" s="1" a="1"/>
  <c r="BA51" i="6" s="1"/>
  <c r="AY49" i="6" a="1"/>
  <c r="AY49" i="6" s="1"/>
  <c r="BA49" i="6" s="1" a="1"/>
  <c r="BA49" i="6" s="1"/>
  <c r="AY53" i="6" a="1"/>
  <c r="AY53" i="6" s="1"/>
  <c r="BA53" i="6" s="1" a="1"/>
  <c r="BA53" i="6" s="1"/>
  <c r="AY47" i="6" a="1"/>
  <c r="AY47" i="6" s="1"/>
  <c r="AY50" i="6" a="1"/>
  <c r="AY50" i="6" s="1"/>
  <c r="BA50" i="6" s="1" a="1"/>
  <c r="BA50" i="6" s="1"/>
  <c r="AT8" i="6"/>
  <c r="AT9" i="6" s="1"/>
  <c r="AT14" i="6" s="1"/>
  <c r="AY48" i="6" a="1"/>
  <c r="AY48" i="6" s="1"/>
  <c r="BA48" i="6" s="1" a="1"/>
  <c r="BA48" i="6" s="1"/>
  <c r="AZ52" i="6" a="1"/>
  <c r="AZ52" i="6" s="1"/>
  <c r="AZ26" i="6" a="1"/>
  <c r="AZ26" i="6" s="1"/>
  <c r="AZ36" i="6" s="1"/>
  <c r="X66" i="6"/>
  <c r="AY34" i="6" a="1"/>
  <c r="AY34" i="6" s="1"/>
  <c r="AY36" i="6" s="1"/>
  <c r="AY89" i="6"/>
  <c r="AX89" i="6"/>
  <c r="BA89" i="6" s="1"/>
  <c r="W16" i="6"/>
  <c r="W12" i="6"/>
  <c r="W10" i="6" s="1"/>
  <c r="W59" i="6" s="1"/>
  <c r="W65" i="6" s="1"/>
  <c r="BA32" i="6" a="1"/>
  <c r="BA32" i="6" s="1"/>
  <c r="AZ32" i="6" a="1"/>
  <c r="AZ32" i="6" s="1"/>
  <c r="AZ33" i="6" a="1"/>
  <c r="AZ33" i="6" s="1"/>
  <c r="AV16" i="6"/>
  <c r="AV12" i="6"/>
  <c r="AV10" i="6" s="1"/>
  <c r="AV59" i="6" s="1"/>
  <c r="AV65" i="6" s="1"/>
  <c r="AZ53" i="6" a="1"/>
  <c r="AZ53" i="6" s="1"/>
  <c r="Y66" i="6"/>
  <c r="AK66" i="6"/>
  <c r="AS12" i="6"/>
  <c r="AS10" i="6" s="1"/>
  <c r="AS59" i="6" s="1"/>
  <c r="AS65" i="6" s="1"/>
  <c r="AS66" i="6" s="1"/>
  <c r="AS16" i="6"/>
  <c r="AV95" i="6"/>
  <c r="AQ12" i="6"/>
  <c r="AQ10" i="6" s="1"/>
  <c r="AQ59" i="6" s="1"/>
  <c r="AQ65" i="6" s="1"/>
  <c r="AQ66" i="6" s="1"/>
  <c r="AQ16" i="6"/>
  <c r="AW95" i="6"/>
  <c r="AL66" i="6"/>
  <c r="AH66" i="6"/>
  <c r="AZ30" i="6" a="1"/>
  <c r="AZ30" i="6" s="1"/>
  <c r="BA5" i="6"/>
  <c r="BA31" i="6" a="1"/>
  <c r="BA31" i="6" s="1"/>
  <c r="AX86" i="6"/>
  <c r="BA86" i="6"/>
  <c r="AZ86" i="6"/>
  <c r="AY85" i="6"/>
  <c r="AY95" i="6" s="1"/>
  <c r="AX85" i="6"/>
  <c r="AZ85" i="6" s="1"/>
  <c r="AU56" i="6"/>
  <c r="AU8" i="6"/>
  <c r="AU9" i="6" s="1"/>
  <c r="AU14" i="6" s="1"/>
  <c r="AR16" i="6"/>
  <c r="AR12" i="6"/>
  <c r="AR10" i="6" s="1"/>
  <c r="AR59" i="6" s="1"/>
  <c r="AR65" i="6" s="1"/>
  <c r="BA7" i="6"/>
  <c r="BA9" i="6" s="1"/>
  <c r="BA14" i="6" s="1"/>
  <c r="AZ50" i="6" a="1"/>
  <c r="AZ50" i="6" s="1"/>
  <c r="AZ27" i="6" a="1"/>
  <c r="AZ27" i="6" s="1"/>
  <c r="AP65" i="6"/>
  <c r="AP66" i="6" s="1"/>
  <c r="AX66" i="6"/>
  <c r="V12" i="6"/>
  <c r="V10" i="6" s="1"/>
  <c r="V59" i="6" s="1"/>
  <c r="V65" i="6" s="1"/>
  <c r="V16" i="6"/>
  <c r="AW36" i="6"/>
  <c r="BA92" i="6"/>
  <c r="AY93" i="6"/>
  <c r="AX93" i="6"/>
  <c r="BA93" i="6" s="1"/>
  <c r="AZ54" i="6" a="1"/>
  <c r="AZ54" i="6" s="1"/>
  <c r="U16" i="6"/>
  <c r="U12" i="6"/>
  <c r="U10" i="6" s="1"/>
  <c r="U59" i="6" s="1"/>
  <c r="AN66" i="6"/>
  <c r="AA66" i="6"/>
  <c r="AZ49" i="6" a="1"/>
  <c r="AZ49" i="6" s="1"/>
  <c r="AO66" i="6"/>
  <c r="AE96" i="5"/>
  <c r="AI96" i="5"/>
  <c r="AQ96" i="5" s="1"/>
  <c r="AH96" i="5"/>
  <c r="AP96" i="5" s="1"/>
  <c r="AG78" i="5"/>
  <c r="AH78" i="5"/>
  <c r="AI78" i="5"/>
  <c r="AF78" i="5"/>
  <c r="AF79" i="5"/>
  <c r="AG79" i="5"/>
  <c r="AH79" i="5"/>
  <c r="AH98" i="5"/>
  <c r="AP87" i="5"/>
  <c r="AP98" i="5" s="1"/>
  <c r="AH71" i="5"/>
  <c r="AV87" i="5"/>
  <c r="AV98" i="5" s="1"/>
  <c r="AN98" i="5"/>
  <c r="AH75" i="5"/>
  <c r="AI72" i="5"/>
  <c r="Z10" i="5"/>
  <c r="Z11" i="5" s="1"/>
  <c r="X10" i="5"/>
  <c r="X11" i="5" s="1"/>
  <c r="Y10" i="5"/>
  <c r="Y11" i="5" s="1"/>
  <c r="AF88" i="5"/>
  <c r="AN88" i="5" s="1"/>
  <c r="AV88" i="5" s="1"/>
  <c r="AG87" i="5"/>
  <c r="AG96" i="5"/>
  <c r="AO96" i="5" s="1"/>
  <c r="AW96" i="5" s="1"/>
  <c r="AD98" i="5"/>
  <c r="AE98" i="5" s="1"/>
  <c r="AG92" i="5"/>
  <c r="AO92" i="5" s="1"/>
  <c r="AW92" i="5" s="1"/>
  <c r="Q10" i="5"/>
  <c r="Q11" i="5" s="1"/>
  <c r="AG97" i="5"/>
  <c r="AO97" i="5" s="1"/>
  <c r="AW97" i="5" s="1"/>
  <c r="AD81" i="5"/>
  <c r="AG90" i="5"/>
  <c r="AO90" i="5" s="1"/>
  <c r="AW90" i="5" s="1"/>
  <c r="AI95" i="5"/>
  <c r="AQ95" i="5" s="1"/>
  <c r="AG95" i="5"/>
  <c r="AO95" i="5" s="1"/>
  <c r="AW95" i="5" s="1"/>
  <c r="AD92" i="5"/>
  <c r="AG88" i="5"/>
  <c r="AO88" i="5" s="1"/>
  <c r="AW88" i="5" s="1"/>
  <c r="D11" i="5"/>
  <c r="AF73" i="5"/>
  <c r="AG91" i="5"/>
  <c r="AO91" i="5" s="1"/>
  <c r="AW91" i="5" s="1"/>
  <c r="AE88" i="5"/>
  <c r="J15" i="5"/>
  <c r="J16" i="5" s="1"/>
  <c r="J18" i="5" s="1"/>
  <c r="M10" i="5"/>
  <c r="M11" i="5" s="1"/>
  <c r="AH88" i="5"/>
  <c r="AP88" i="5" s="1"/>
  <c r="AE77" i="5"/>
  <c r="AJ72" i="5"/>
  <c r="AA10" i="5"/>
  <c r="AA11" i="5" s="1"/>
  <c r="Q15" i="5"/>
  <c r="Q16" i="5" s="1"/>
  <c r="Q18" i="5" s="1"/>
  <c r="AG93" i="5"/>
  <c r="AO93" i="5" s="1"/>
  <c r="AW93" i="5" s="1"/>
  <c r="AE75" i="5"/>
  <c r="AD94" i="5"/>
  <c r="AE76" i="5"/>
  <c r="AH95" i="5"/>
  <c r="AP95" i="5" s="1"/>
  <c r="AE90" i="5"/>
  <c r="AO35" i="5"/>
  <c r="AF74" i="5"/>
  <c r="AF96" i="5"/>
  <c r="AN96" i="5" s="1"/>
  <c r="AV96" i="5" s="1"/>
  <c r="AH72" i="5"/>
  <c r="AF9" i="5"/>
  <c r="AF7" i="5"/>
  <c r="AE5" i="5"/>
  <c r="AE82" i="5"/>
  <c r="AD76" i="5"/>
  <c r="AD44" i="5" s="1"/>
  <c r="AG89" i="5"/>
  <c r="AO89" i="5" s="1"/>
  <c r="AW89" i="5" s="1"/>
  <c r="AE81" i="5"/>
  <c r="AL72" i="5"/>
  <c r="AG71" i="5"/>
  <c r="AI71" i="5" s="1"/>
  <c r="AF98" i="5"/>
  <c r="AG94" i="5"/>
  <c r="AO94" i="5" s="1"/>
  <c r="AW94" i="5" s="1"/>
  <c r="V11" i="5"/>
  <c r="AE87" i="5"/>
  <c r="AD91" i="5"/>
  <c r="AE78" i="5"/>
  <c r="AJ78" i="5" s="1"/>
  <c r="E11" i="5"/>
  <c r="AE80" i="5"/>
  <c r="AF90" i="5"/>
  <c r="AN90" i="5" s="1"/>
  <c r="AV90" i="5" s="1"/>
  <c r="X15" i="5"/>
  <c r="X16" i="5" s="1"/>
  <c r="X18" i="5" s="1"/>
  <c r="AD97" i="5"/>
  <c r="G11" i="5"/>
  <c r="AD93" i="5"/>
  <c r="AH89" i="5"/>
  <c r="AP89" i="5" s="1"/>
  <c r="AF92" i="5"/>
  <c r="AN92" i="5" s="1"/>
  <c r="AV92" i="5" s="1"/>
  <c r="AD77" i="5"/>
  <c r="AF94" i="5"/>
  <c r="AN94" i="5" s="1"/>
  <c r="AV94" i="5" s="1"/>
  <c r="AF75" i="5"/>
  <c r="AD27" i="5"/>
  <c r="AD41" i="5"/>
  <c r="AF97" i="5"/>
  <c r="AN97" i="5" s="1"/>
  <c r="AV97" i="5" s="1"/>
  <c r="AF63" i="5"/>
  <c r="AF62" i="5" s="1"/>
  <c r="AD80" i="5"/>
  <c r="AB15" i="5"/>
  <c r="AB16" i="5" s="1"/>
  <c r="AB18" i="5" s="1"/>
  <c r="AD63" i="5"/>
  <c r="AE59" i="5"/>
  <c r="AE63" i="5" s="1"/>
  <c r="AE109" i="5"/>
  <c r="AE13" i="5"/>
  <c r="AE12" i="5" s="1"/>
  <c r="AC18" i="5"/>
  <c r="AD8" i="5"/>
  <c r="AH90" i="5"/>
  <c r="AP90" i="5" s="1"/>
  <c r="AF95" i="5"/>
  <c r="AN95" i="5" s="1"/>
  <c r="AV95" i="5" s="1"/>
  <c r="T10" i="5"/>
  <c r="T11" i="5" s="1"/>
  <c r="W15" i="5"/>
  <c r="W16" i="5" s="1"/>
  <c r="W18" i="5" s="1"/>
  <c r="AE50" i="5"/>
  <c r="AE103" i="5"/>
  <c r="AE104" i="5"/>
  <c r="Y15" i="5"/>
  <c r="Y16" i="5" s="1"/>
  <c r="Y18" i="5" s="1"/>
  <c r="AE89" i="5"/>
  <c r="D15" i="5"/>
  <c r="D16" i="5" s="1"/>
  <c r="D18" i="5" s="1"/>
  <c r="AF83" i="4"/>
  <c r="AF82" i="4"/>
  <c r="AF78" i="4"/>
  <c r="AF81" i="4"/>
  <c r="AF80" i="4"/>
  <c r="AF79" i="4"/>
  <c r="AF87" i="4"/>
  <c r="AF86" i="4"/>
  <c r="AF85" i="4"/>
  <c r="AF89" i="4"/>
  <c r="AF84" i="4"/>
  <c r="AF88" i="4"/>
  <c r="AF10" i="4"/>
  <c r="AG82" i="4"/>
  <c r="AG81" i="4"/>
  <c r="AG80" i="4"/>
  <c r="AG79" i="4"/>
  <c r="AG78" i="4"/>
  <c r="AG86" i="4"/>
  <c r="AG84" i="4"/>
  <c r="AG85" i="4"/>
  <c r="AG10" i="4"/>
  <c r="AG89" i="4"/>
  <c r="AG83" i="4"/>
  <c r="AG88" i="4"/>
  <c r="AG87" i="4"/>
  <c r="AE84" i="4"/>
  <c r="AE83" i="4"/>
  <c r="AE82" i="4"/>
  <c r="AE81" i="4"/>
  <c r="AE80" i="4"/>
  <c r="AE79" i="4"/>
  <c r="AE10" i="4"/>
  <c r="AE89" i="4"/>
  <c r="AE87" i="4"/>
  <c r="AE86" i="4"/>
  <c r="AE78" i="4"/>
  <c r="AE85" i="4"/>
  <c r="AE88" i="4"/>
  <c r="AS90" i="4"/>
  <c r="AD16" i="4"/>
  <c r="AD12" i="4"/>
  <c r="AD10" i="4" s="1"/>
  <c r="AW89" i="4"/>
  <c r="BA43" i="4"/>
  <c r="AU10" i="4"/>
  <c r="AU78" i="4"/>
  <c r="Y16" i="4"/>
  <c r="Y12" i="4"/>
  <c r="Y10" i="4" s="1"/>
  <c r="AV68" i="4"/>
  <c r="AZ65" i="4"/>
  <c r="AZ80" i="4" s="1"/>
  <c r="AM88" i="4"/>
  <c r="AM10" i="4"/>
  <c r="AM89" i="4"/>
  <c r="AM78" i="4"/>
  <c r="AM83" i="4"/>
  <c r="AM80" i="4"/>
  <c r="AM85" i="4"/>
  <c r="AM82" i="4"/>
  <c r="AM81" i="4"/>
  <c r="AM86" i="4"/>
  <c r="AM79" i="4"/>
  <c r="AM84" i="4"/>
  <c r="AM87" i="4"/>
  <c r="AK78" i="4"/>
  <c r="AK82" i="4"/>
  <c r="AK10" i="4"/>
  <c r="AK84" i="4"/>
  <c r="AK83" i="4"/>
  <c r="AK89" i="4"/>
  <c r="AK88" i="4"/>
  <c r="AK87" i="4"/>
  <c r="AK81" i="4"/>
  <c r="AK86" i="4"/>
  <c r="AK79" i="4"/>
  <c r="AK80" i="4"/>
  <c r="AK85" i="4"/>
  <c r="AR10" i="4"/>
  <c r="AR89" i="4"/>
  <c r="AR88" i="4"/>
  <c r="AR86" i="4"/>
  <c r="AR85" i="4"/>
  <c r="AR84" i="4"/>
  <c r="AR83" i="4"/>
  <c r="AR81" i="4"/>
  <c r="AR87" i="4"/>
  <c r="AR79" i="4"/>
  <c r="AR78" i="4"/>
  <c r="AR82" i="4"/>
  <c r="AR80" i="4"/>
  <c r="AW54" i="4"/>
  <c r="BA42" i="4"/>
  <c r="AW88" i="4"/>
  <c r="AT10" i="4"/>
  <c r="AT86" i="4"/>
  <c r="AT85" i="4"/>
  <c r="AT78" i="4"/>
  <c r="AY74" i="4"/>
  <c r="AY89" i="4" s="1"/>
  <c r="AJ79" i="4"/>
  <c r="AJ78" i="4"/>
  <c r="AJ85" i="4"/>
  <c r="AJ84" i="4"/>
  <c r="AJ82" i="4"/>
  <c r="AJ83" i="4"/>
  <c r="AJ88" i="4"/>
  <c r="AJ89" i="4"/>
  <c r="AJ10" i="4"/>
  <c r="AJ81" i="4"/>
  <c r="AJ87" i="4"/>
  <c r="AJ86" i="4"/>
  <c r="AJ80" i="4"/>
  <c r="AC16" i="4"/>
  <c r="AC12" i="4"/>
  <c r="AC10" i="4" s="1"/>
  <c r="Z12" i="4"/>
  <c r="Z10" i="4" s="1"/>
  <c r="Z16" i="4"/>
  <c r="AX64" i="4"/>
  <c r="AX79" i="4" s="1"/>
  <c r="AN10" i="4"/>
  <c r="AN89" i="4"/>
  <c r="AN88" i="4"/>
  <c r="AN87" i="4"/>
  <c r="AN83" i="4"/>
  <c r="AN81" i="4"/>
  <c r="AN86" i="4"/>
  <c r="AN82" i="4"/>
  <c r="AN79" i="4"/>
  <c r="AN84" i="4"/>
  <c r="AN80" i="4"/>
  <c r="AN85" i="4"/>
  <c r="AN78" i="4"/>
  <c r="AX73" i="4"/>
  <c r="AX88" i="4" s="1"/>
  <c r="AY42" i="4"/>
  <c r="AX71" i="4"/>
  <c r="AX86" i="4" s="1"/>
  <c r="AW71" i="4"/>
  <c r="AW86" i="4" s="1"/>
  <c r="AZ41" i="4"/>
  <c r="AW82" i="4"/>
  <c r="AT83" i="4"/>
  <c r="AY65" i="4"/>
  <c r="AY80" i="4" s="1"/>
  <c r="AP10" i="4"/>
  <c r="AP88" i="4"/>
  <c r="AP86" i="4"/>
  <c r="AP87" i="4"/>
  <c r="AP85" i="4"/>
  <c r="AP79" i="4"/>
  <c r="AP78" i="4"/>
  <c r="AP81" i="4"/>
  <c r="AP89" i="4"/>
  <c r="AP84" i="4"/>
  <c r="AP82" i="4"/>
  <c r="AP80" i="4"/>
  <c r="AP83" i="4"/>
  <c r="AX69" i="4"/>
  <c r="AX84" i="4" s="1"/>
  <c r="BA51" i="4"/>
  <c r="AZ51" i="4"/>
  <c r="AX54" i="4"/>
  <c r="BA44" i="4"/>
  <c r="AW80" i="4"/>
  <c r="AO89" i="4"/>
  <c r="AO86" i="4"/>
  <c r="AO88" i="4"/>
  <c r="AO87" i="4"/>
  <c r="AO82" i="4"/>
  <c r="AO85" i="4"/>
  <c r="AO78" i="4"/>
  <c r="AO81" i="4"/>
  <c r="AO79" i="4"/>
  <c r="AO80" i="4"/>
  <c r="AO84" i="4"/>
  <c r="AO10" i="4"/>
  <c r="AO83" i="4"/>
  <c r="AY67" i="4"/>
  <c r="AY82" i="4" s="1"/>
  <c r="AZ36" i="4"/>
  <c r="BA36" i="4" s="1"/>
  <c r="AA31" i="2" s="1"/>
  <c r="BA50" i="4"/>
  <c r="BA49" i="4"/>
  <c r="AQ89" i="4"/>
  <c r="AQ10" i="4"/>
  <c r="AQ87" i="4"/>
  <c r="AQ84" i="4"/>
  <c r="AQ86" i="4"/>
  <c r="AQ85" i="4"/>
  <c r="AQ81" i="4"/>
  <c r="AQ78" i="4"/>
  <c r="AQ88" i="4"/>
  <c r="AQ79" i="4"/>
  <c r="AQ83" i="4"/>
  <c r="AQ82" i="4"/>
  <c r="AQ80" i="4"/>
  <c r="AW85" i="4"/>
  <c r="AX65" i="4"/>
  <c r="AX80" i="4" s="1"/>
  <c r="AW63" i="4"/>
  <c r="AW78" i="4" s="1"/>
  <c r="AZ67" i="4"/>
  <c r="AZ82" i="4" s="1"/>
  <c r="AI80" i="4"/>
  <c r="AI79" i="4"/>
  <c r="AI78" i="4"/>
  <c r="AI88" i="4"/>
  <c r="AI85" i="4"/>
  <c r="AI82" i="4"/>
  <c r="AI83" i="4"/>
  <c r="AI84" i="4"/>
  <c r="AI10" i="4"/>
  <c r="AI87" i="4"/>
  <c r="AI86" i="4"/>
  <c r="AI89" i="4"/>
  <c r="AI81" i="4"/>
  <c r="BA47" i="4"/>
  <c r="AV72" i="4"/>
  <c r="AW72" i="4" s="1"/>
  <c r="AW87" i="4" s="1"/>
  <c r="AT80" i="4"/>
  <c r="AX70" i="4"/>
  <c r="BA45" i="4"/>
  <c r="AV66" i="4"/>
  <c r="AH81" i="4"/>
  <c r="AH80" i="4"/>
  <c r="AH79" i="4"/>
  <c r="AH78" i="4"/>
  <c r="AH83" i="4"/>
  <c r="AH10" i="4"/>
  <c r="AH85" i="4"/>
  <c r="AH82" i="4"/>
  <c r="AH87" i="4"/>
  <c r="AH84" i="4"/>
  <c r="AH88" i="4"/>
  <c r="AH86" i="4"/>
  <c r="AH89" i="4"/>
  <c r="AL10" i="4"/>
  <c r="AL89" i="4"/>
  <c r="AL81" i="4"/>
  <c r="AL78" i="4"/>
  <c r="AL83" i="4"/>
  <c r="AL88" i="4"/>
  <c r="AL82" i="4"/>
  <c r="AL87" i="4"/>
  <c r="AL86" i="4"/>
  <c r="AL84" i="4"/>
  <c r="AL80" i="4"/>
  <c r="AL79" i="4"/>
  <c r="AL85" i="4"/>
  <c r="AR118" i="3"/>
  <c r="AR116" i="3"/>
  <c r="AR117" i="3"/>
  <c r="AR119" i="3"/>
  <c r="AS118" i="3"/>
  <c r="AS117" i="3"/>
  <c r="AZ37" i="3"/>
  <c r="AT18" i="3"/>
  <c r="AT14" i="3"/>
  <c r="AT12" i="3" s="1"/>
  <c r="AT120" i="3" s="1"/>
  <c r="X18" i="3"/>
  <c r="X14" i="3"/>
  <c r="X12" i="3" s="1"/>
  <c r="AZ6" i="3"/>
  <c r="BA26" i="3"/>
  <c r="BA37" i="3" s="1"/>
  <c r="AL14" i="3"/>
  <c r="AL12" i="3" s="1"/>
  <c r="AL18" i="3"/>
  <c r="S18" i="2"/>
  <c r="S14" i="2"/>
  <c r="S12" i="2" s="1"/>
  <c r="N18" i="2"/>
  <c r="H98" i="1"/>
  <c r="H99" i="1" s="1"/>
  <c r="E179" i="1"/>
  <c r="H169" i="1"/>
  <c r="G138" i="1" a="1"/>
  <c r="G138" i="1" s="1"/>
  <c r="G130" i="1" a="1"/>
  <c r="G130" i="1" s="1"/>
  <c r="G132" i="1" s="1"/>
  <c r="G127" i="1" a="1"/>
  <c r="G127" i="1" s="1"/>
  <c r="G177" i="1"/>
  <c r="E159" i="1"/>
  <c r="H149" i="1"/>
  <c r="H152" i="1" s="1"/>
  <c r="H158" i="1" s="1"/>
  <c r="H159" i="1" s="1"/>
  <c r="G139" i="1" a="1"/>
  <c r="G139" i="1" s="1"/>
  <c r="G136" i="1" a="1"/>
  <c r="G136" i="1" s="1"/>
  <c r="D137" i="1"/>
  <c r="G134" i="1" a="1"/>
  <c r="G134" i="1" s="1"/>
  <c r="D132" i="1"/>
  <c r="G135" i="1" a="1"/>
  <c r="G135" i="1" s="1"/>
  <c r="G67" i="1" a="1"/>
  <c r="G67" i="1" s="1"/>
  <c r="G74" i="1" a="1"/>
  <c r="G74" i="1" s="1"/>
  <c r="G69" i="1" a="1"/>
  <c r="G69" i="1" s="1"/>
  <c r="G72" i="1" s="1"/>
  <c r="D33" i="1"/>
  <c r="D37" i="1" s="1"/>
  <c r="D99" i="1" a="1"/>
  <c r="D99" i="1" s="1"/>
  <c r="G31" i="1" a="1"/>
  <c r="G31" i="1" s="1"/>
  <c r="G32" i="1" s="1"/>
  <c r="G38" i="1" a="1"/>
  <c r="G38" i="1" s="1"/>
  <c r="G45" i="1"/>
  <c r="D55" i="1" a="1"/>
  <c r="D55" i="1" s="1"/>
  <c r="D53" i="1" s="1"/>
  <c r="D57" i="1" s="1"/>
  <c r="D51" i="1" a="1"/>
  <c r="D51" i="1" s="1"/>
  <c r="D52" i="1" s="1"/>
  <c r="D48" i="1" a="1"/>
  <c r="D48" i="1" s="1"/>
  <c r="D58" i="1" a="1"/>
  <c r="D58" i="1" s="1"/>
  <c r="D85" i="1"/>
  <c r="D47" i="1" a="1"/>
  <c r="D47" i="1" s="1"/>
  <c r="G118" i="1" a="1"/>
  <c r="G118" i="1" s="1"/>
  <c r="G114" i="1" a="1"/>
  <c r="G114" i="1" s="1"/>
  <c r="G113" i="1" s="1"/>
  <c r="G117" i="1" s="1"/>
  <c r="G110" i="1" a="1"/>
  <c r="G110" i="1" s="1"/>
  <c r="G112" i="1" s="1"/>
  <c r="G34" i="1" a="1"/>
  <c r="G34" i="1" s="1"/>
  <c r="G33" i="1" s="1"/>
  <c r="G37" i="1" s="1"/>
  <c r="D72" i="1"/>
  <c r="G75" i="1" a="1"/>
  <c r="G75" i="1" s="1"/>
  <c r="AY54" i="4" l="1"/>
  <c r="E57" i="1"/>
  <c r="E58" i="1" s="1"/>
  <c r="E59" i="1" s="1"/>
  <c r="D14" i="16" s="1"/>
  <c r="D104" i="17"/>
  <c r="D104" i="18"/>
  <c r="BA9" i="4"/>
  <c r="BA14" i="4" s="1"/>
  <c r="H50" i="1"/>
  <c r="AZ11" i="3"/>
  <c r="AZ16" i="3" s="1"/>
  <c r="E28" i="1"/>
  <c r="D103" i="16" s="1"/>
  <c r="G73" i="1"/>
  <c r="G77" i="1" s="1"/>
  <c r="Z38" i="2"/>
  <c r="Z15" i="2" s="1"/>
  <c r="E16" i="1" s="1"/>
  <c r="D57" i="16" s="1"/>
  <c r="Y38" i="2"/>
  <c r="Y15" i="2" s="1"/>
  <c r="D107" i="18"/>
  <c r="D107" i="17"/>
  <c r="Z9" i="2"/>
  <c r="H110" i="1"/>
  <c r="AZ11" i="7"/>
  <c r="AZ19" i="7" s="1"/>
  <c r="BB12" i="7"/>
  <c r="E114" i="1"/>
  <c r="H172" i="1"/>
  <c r="D20" i="18"/>
  <c r="D20" i="17"/>
  <c r="H72" i="1"/>
  <c r="D15" i="17"/>
  <c r="D15" i="18"/>
  <c r="AV7" i="9"/>
  <c r="AL7" i="9"/>
  <c r="AL6" i="9"/>
  <c r="AY32" i="8"/>
  <c r="AZ32" i="8"/>
  <c r="BB13" i="8"/>
  <c r="BB11" i="8" s="1"/>
  <c r="BB21" i="8" s="1"/>
  <c r="BB17" i="8"/>
  <c r="AY36" i="8"/>
  <c r="AZ36" i="8"/>
  <c r="BG4" i="8"/>
  <c r="AZ13" i="8"/>
  <c r="AZ11" i="8" s="1"/>
  <c r="AZ21" i="8" s="1"/>
  <c r="AZ17" i="8"/>
  <c r="BC5" i="8"/>
  <c r="BA17" i="8"/>
  <c r="BA13" i="8"/>
  <c r="BA11" i="8" s="1"/>
  <c r="BA21" i="8" s="1"/>
  <c r="AU17" i="7"/>
  <c r="AU12" i="7" s="1"/>
  <c r="AU21" i="7"/>
  <c r="AN17" i="7"/>
  <c r="AN12" i="7" s="1"/>
  <c r="AN21" i="7"/>
  <c r="AO17" i="7"/>
  <c r="AO12" i="7" s="1"/>
  <c r="AO21" i="7"/>
  <c r="AR17" i="7"/>
  <c r="AR12" i="7" s="1"/>
  <c r="AR21" i="7"/>
  <c r="BA16" i="6"/>
  <c r="BA12" i="6"/>
  <c r="BA10" i="6" s="1"/>
  <c r="BA59" i="6" s="1"/>
  <c r="BA65" i="6" s="1"/>
  <c r="BA66" i="6" s="1"/>
  <c r="AR66" i="6"/>
  <c r="BA54" i="6"/>
  <c r="AY54" i="6"/>
  <c r="BA34" i="6" a="1"/>
  <c r="BA34" i="6" s="1"/>
  <c r="BA36" i="6" s="1"/>
  <c r="BA85" i="6"/>
  <c r="BA95" i="6" s="1"/>
  <c r="AX95" i="6"/>
  <c r="AT16" i="6"/>
  <c r="AT12" i="6"/>
  <c r="AT10" i="6" s="1"/>
  <c r="AT59" i="6" s="1"/>
  <c r="AT65" i="6" s="1"/>
  <c r="AT66" i="6" s="1"/>
  <c r="AW66" i="6"/>
  <c r="W66" i="6"/>
  <c r="AU16" i="6"/>
  <c r="AU12" i="6"/>
  <c r="AU10" i="6" s="1"/>
  <c r="AU59" i="6" s="1"/>
  <c r="AU65" i="6" s="1"/>
  <c r="AU66" i="6" s="1"/>
  <c r="AZ93" i="6"/>
  <c r="AZ95" i="6" s="1"/>
  <c r="AM95" i="5"/>
  <c r="AU95" i="5" s="1"/>
  <c r="AE97" i="5"/>
  <c r="AM97" i="5" s="1"/>
  <c r="AU97" i="5" s="1"/>
  <c r="AL97" i="5"/>
  <c r="AT97" i="5" s="1"/>
  <c r="AJ97" i="5"/>
  <c r="AR97" i="5" s="1"/>
  <c r="AI97" i="5"/>
  <c r="AQ97" i="5" s="1"/>
  <c r="AH97" i="5"/>
  <c r="AP97" i="5" s="1"/>
  <c r="AK97" i="5"/>
  <c r="AS97" i="5" s="1"/>
  <c r="AN72" i="5"/>
  <c r="AK88" i="5"/>
  <c r="AS88" i="5" s="1"/>
  <c r="AL88" i="5"/>
  <c r="AT88" i="5" s="1"/>
  <c r="AJ88" i="5"/>
  <c r="AR88" i="5" s="1"/>
  <c r="AM88" i="5"/>
  <c r="AU88" i="5" s="1"/>
  <c r="AI88" i="5"/>
  <c r="AQ88" i="5" s="1"/>
  <c r="AH93" i="5"/>
  <c r="AP93" i="5" s="1"/>
  <c r="AK93" i="5"/>
  <c r="AS93" i="5" s="1"/>
  <c r="AE93" i="5"/>
  <c r="AM93" i="5" s="1"/>
  <c r="AU93" i="5" s="1"/>
  <c r="AI93" i="5"/>
  <c r="AQ93" i="5" s="1"/>
  <c r="AL78" i="5"/>
  <c r="AO87" i="5"/>
  <c r="AG98" i="5"/>
  <c r="AJ79" i="5"/>
  <c r="AF80" i="5"/>
  <c r="AH80" i="5"/>
  <c r="AG80" i="5"/>
  <c r="AI80" i="5" s="1"/>
  <c r="AJ80" i="5"/>
  <c r="AJ95" i="5"/>
  <c r="AR95" i="5" s="1"/>
  <c r="AM78" i="5"/>
  <c r="AF76" i="5"/>
  <c r="AG76" i="5"/>
  <c r="AI79" i="5"/>
  <c r="AI73" i="5"/>
  <c r="AH73" i="5"/>
  <c r="AK72" i="5"/>
  <c r="AO72" i="5" s="1"/>
  <c r="AM90" i="5"/>
  <c r="AU90" i="5" s="1"/>
  <c r="AL90" i="5"/>
  <c r="AT90" i="5" s="1"/>
  <c r="AJ90" i="5"/>
  <c r="AR90" i="5" s="1"/>
  <c r="AK90" i="5"/>
  <c r="AS90" i="5" s="1"/>
  <c r="AI90" i="5"/>
  <c r="AQ90" i="5" s="1"/>
  <c r="AE57" i="5"/>
  <c r="AK78" i="5"/>
  <c r="AN78" i="5" s="1"/>
  <c r="AH92" i="5"/>
  <c r="AP92" i="5" s="1"/>
  <c r="AI92" i="5"/>
  <c r="AQ92" i="5" s="1"/>
  <c r="AK92" i="5"/>
  <c r="AS92" i="5" s="1"/>
  <c r="AJ92" i="5"/>
  <c r="AR92" i="5" s="1"/>
  <c r="AE92" i="5"/>
  <c r="AM92" i="5" s="1"/>
  <c r="AU92" i="5" s="1"/>
  <c r="AL92" i="5"/>
  <c r="AT92" i="5" s="1"/>
  <c r="AD57" i="5"/>
  <c r="AD15" i="5" s="1"/>
  <c r="AD16" i="5" s="1"/>
  <c r="AF77" i="5"/>
  <c r="AG77" i="5"/>
  <c r="AJ77" i="5" s="1"/>
  <c r="AH77" i="5"/>
  <c r="AI77" i="5"/>
  <c r="AE7" i="5"/>
  <c r="AE9" i="5"/>
  <c r="AE28" i="5" s="1"/>
  <c r="AK79" i="5"/>
  <c r="AD43" i="5"/>
  <c r="AD10" i="5" s="1"/>
  <c r="AD11" i="5" s="1"/>
  <c r="AH91" i="5"/>
  <c r="AP91" i="5" s="1"/>
  <c r="AE91" i="5"/>
  <c r="AI91" i="5" s="1"/>
  <c r="AQ91" i="5" s="1"/>
  <c r="AK91" i="5"/>
  <c r="AS91" i="5" s="1"/>
  <c r="AK95" i="5"/>
  <c r="AS95" i="5" s="1"/>
  <c r="AM72" i="5"/>
  <c r="AK96" i="5"/>
  <c r="AS96" i="5" s="1"/>
  <c r="AE30" i="5"/>
  <c r="AL87" i="5"/>
  <c r="AK87" i="5"/>
  <c r="AJ87" i="5"/>
  <c r="AM87" i="5"/>
  <c r="AI87" i="5"/>
  <c r="AM71" i="5"/>
  <c r="AJ89" i="5"/>
  <c r="AR89" i="5" s="1"/>
  <c r="AM89" i="5"/>
  <c r="AU89" i="5" s="1"/>
  <c r="AK89" i="5"/>
  <c r="AS89" i="5" s="1"/>
  <c r="AI89" i="5"/>
  <c r="AQ89" i="5" s="1"/>
  <c r="AL89" i="5"/>
  <c r="AT89" i="5" s="1"/>
  <c r="AL95" i="5"/>
  <c r="AT95" i="5" s="1"/>
  <c r="AH74" i="5"/>
  <c r="AI74" i="5"/>
  <c r="AJ74" i="5"/>
  <c r="AD56" i="5"/>
  <c r="AE94" i="5"/>
  <c r="AH94" i="5"/>
  <c r="AP94" i="5" s="1"/>
  <c r="AK94" i="5"/>
  <c r="AS94" i="5" s="1"/>
  <c r="AI94" i="5"/>
  <c r="AQ94" i="5" s="1"/>
  <c r="AM96" i="5"/>
  <c r="AU96" i="5" s="1"/>
  <c r="AE44" i="5"/>
  <c r="AE15" i="5" s="1"/>
  <c r="AE16" i="5" s="1"/>
  <c r="AG75" i="5"/>
  <c r="AH81" i="5"/>
  <c r="AJ81" i="5"/>
  <c r="AF81" i="5"/>
  <c r="AI81" i="5"/>
  <c r="AG81" i="5"/>
  <c r="AJ71" i="5"/>
  <c r="AL96" i="5"/>
  <c r="AT96" i="5" s="1"/>
  <c r="AK71" i="5"/>
  <c r="AJ96" i="5"/>
  <c r="AR96" i="5" s="1"/>
  <c r="AR90" i="4"/>
  <c r="AX72" i="4"/>
  <c r="AX87" i="4" s="1"/>
  <c r="BA48" i="4"/>
  <c r="AK90" i="4"/>
  <c r="AY64" i="4"/>
  <c r="AY79" i="4" s="1"/>
  <c r="AY72" i="4"/>
  <c r="AY87" i="4" s="1"/>
  <c r="BA74" i="4"/>
  <c r="AY71" i="4"/>
  <c r="AY86" i="4" s="1"/>
  <c r="AX63" i="4"/>
  <c r="AX78" i="4" s="1"/>
  <c r="AX85" i="4"/>
  <c r="AY70" i="4"/>
  <c r="AY85" i="4" s="1"/>
  <c r="AZ70" i="4"/>
  <c r="AZ85" i="4" s="1"/>
  <c r="AZ52" i="4"/>
  <c r="AZ54" i="4" s="1"/>
  <c r="BA70" i="4"/>
  <c r="BA65" i="4"/>
  <c r="BA41" i="4"/>
  <c r="AZ74" i="4"/>
  <c r="AZ89" i="4" s="1"/>
  <c r="AJ90" i="4"/>
  <c r="AH90" i="4"/>
  <c r="BA67" i="4"/>
  <c r="AG90" i="4"/>
  <c r="AT90" i="4"/>
  <c r="AN90" i="4"/>
  <c r="AY73" i="4"/>
  <c r="AF90" i="4"/>
  <c r="AZ71" i="4"/>
  <c r="AZ86" i="4" s="1"/>
  <c r="AP90" i="4"/>
  <c r="AM90" i="4"/>
  <c r="AQ90" i="4"/>
  <c r="AL90" i="4"/>
  <c r="AW66" i="4"/>
  <c r="AX66" i="4"/>
  <c r="AX81" i="4" s="1"/>
  <c r="AW68" i="4"/>
  <c r="AW83" i="4" s="1"/>
  <c r="AI90" i="4"/>
  <c r="AU90" i="4"/>
  <c r="AO90" i="4"/>
  <c r="AE90" i="4"/>
  <c r="AY69" i="4"/>
  <c r="AS116" i="3"/>
  <c r="AT116" i="3"/>
  <c r="AT119" i="3" s="1"/>
  <c r="AT118" i="3"/>
  <c r="AT117" i="3"/>
  <c r="AZ18" i="3"/>
  <c r="BA6" i="3"/>
  <c r="H28" i="1" s="1"/>
  <c r="BA4" i="3"/>
  <c r="BA5" i="3" s="1"/>
  <c r="G51" i="1" a="1"/>
  <c r="G51" i="1" s="1"/>
  <c r="G50" i="1" a="1"/>
  <c r="G50" i="1" s="1"/>
  <c r="G58" i="1" a="1"/>
  <c r="G58" i="1" s="1"/>
  <c r="G49" i="1" a="1"/>
  <c r="G49" i="1" s="1"/>
  <c r="G48" i="1" a="1"/>
  <c r="G48" i="1" s="1"/>
  <c r="G47" i="1" a="1"/>
  <c r="G47" i="1" s="1"/>
  <c r="G55" i="1" a="1"/>
  <c r="G55" i="1" s="1"/>
  <c r="G56" i="1" a="1"/>
  <c r="G56" i="1" s="1"/>
  <c r="G54" i="1" a="1"/>
  <c r="G54" i="1" s="1"/>
  <c r="G59" i="1" a="1"/>
  <c r="G59" i="1" s="1"/>
  <c r="D145" i="1"/>
  <c r="D95" i="1" a="1"/>
  <c r="D95" i="1" s="1"/>
  <c r="D98" i="1" a="1"/>
  <c r="D98" i="1" s="1"/>
  <c r="D91" i="1" a="1"/>
  <c r="D91" i="1" s="1"/>
  <c r="G85" i="1"/>
  <c r="D94" i="1" a="1"/>
  <c r="D94" i="1" s="1"/>
  <c r="D96" i="1" a="1"/>
  <c r="D96" i="1" s="1"/>
  <c r="D88" i="1" a="1"/>
  <c r="D88" i="1" s="1"/>
  <c r="D90" i="1" a="1"/>
  <c r="D90" i="1" s="1"/>
  <c r="D87" i="1" a="1"/>
  <c r="D87" i="1" s="1"/>
  <c r="D89" i="1" a="1"/>
  <c r="D89" i="1" s="1"/>
  <c r="D92" i="1" s="1"/>
  <c r="G133" i="1"/>
  <c r="G137" i="1" s="1"/>
  <c r="AV90" i="4" l="1"/>
  <c r="H49" i="1"/>
  <c r="H52" i="1" s="1"/>
  <c r="D41" i="18" s="1"/>
  <c r="D95" i="18" s="1"/>
  <c r="D86" i="16"/>
  <c r="D23" i="17"/>
  <c r="D23" i="18"/>
  <c r="BA12" i="4"/>
  <c r="BA10" i="4" s="1"/>
  <c r="H54" i="1" s="1"/>
  <c r="BA16" i="4"/>
  <c r="D103" i="17"/>
  <c r="D103" i="18"/>
  <c r="BA7" i="3"/>
  <c r="H27" i="1"/>
  <c r="AA5" i="2"/>
  <c r="D93" i="1"/>
  <c r="D97" i="1" s="1"/>
  <c r="Z6" i="2"/>
  <c r="E8" i="1" s="1"/>
  <c r="D111" i="16" s="1"/>
  <c r="E10" i="1"/>
  <c r="D26" i="18"/>
  <c r="D26" i="17"/>
  <c r="AZ21" i="7"/>
  <c r="AZ17" i="7"/>
  <c r="AZ12" i="7" s="1"/>
  <c r="H114" i="1" s="1"/>
  <c r="E113" i="1"/>
  <c r="D62" i="16"/>
  <c r="H178" i="1"/>
  <c r="D47" i="18"/>
  <c r="D101" i="18" s="1"/>
  <c r="D47" i="17"/>
  <c r="D101" i="17" s="1"/>
  <c r="D42" i="18"/>
  <c r="D96" i="18" s="1"/>
  <c r="D42" i="17"/>
  <c r="D96" i="17" s="1"/>
  <c r="H78" i="1"/>
  <c r="AN5" i="9"/>
  <c r="BC8" i="8"/>
  <c r="BC10" i="8" s="1"/>
  <c r="BC15" i="8" s="1"/>
  <c r="BD5" i="8"/>
  <c r="BH4" i="8"/>
  <c r="BI4" i="8" s="1"/>
  <c r="BJ4" i="8" s="1"/>
  <c r="BK4" i="8" s="1"/>
  <c r="BL4" i="8" s="1"/>
  <c r="BM4" i="8" s="1"/>
  <c r="AV66" i="6"/>
  <c r="AK80" i="5"/>
  <c r="AJ91" i="5"/>
  <c r="AR91" i="5" s="1"/>
  <c r="AR87" i="5"/>
  <c r="AR98" i="5" s="1"/>
  <c r="AJ98" i="5"/>
  <c r="AM73" i="5"/>
  <c r="AW87" i="5"/>
  <c r="AW98" i="5" s="1"/>
  <c r="AO98" i="5"/>
  <c r="AQ78" i="5"/>
  <c r="AL80" i="5"/>
  <c r="AN80" i="5" s="1"/>
  <c r="AP72" i="5"/>
  <c r="AM75" i="5"/>
  <c r="AI75" i="5"/>
  <c r="AJ75" i="5"/>
  <c r="AK75" i="5"/>
  <c r="AL91" i="5"/>
  <c r="AT91" i="5" s="1"/>
  <c r="AF82" i="5"/>
  <c r="AI98" i="5"/>
  <c r="AQ87" i="5"/>
  <c r="AQ98" i="5" s="1"/>
  <c r="AE56" i="5"/>
  <c r="AM94" i="5"/>
  <c r="AU94" i="5" s="1"/>
  <c r="AS87" i="5"/>
  <c r="AS98" i="5" s="1"/>
  <c r="AK98" i="5"/>
  <c r="AM79" i="5"/>
  <c r="AD54" i="5"/>
  <c r="AO79" i="5"/>
  <c r="AP78" i="5"/>
  <c r="AS78" i="5"/>
  <c r="AL75" i="5"/>
  <c r="AG5" i="5"/>
  <c r="AH5" i="5"/>
  <c r="AL94" i="5"/>
  <c r="AT94" i="5" s="1"/>
  <c r="AM77" i="5"/>
  <c r="AK74" i="5"/>
  <c r="AO78" i="5"/>
  <c r="AL77" i="5"/>
  <c r="AI76" i="5"/>
  <c r="AK76" i="5" s="1"/>
  <c r="AL71" i="5"/>
  <c r="AQ72" i="5"/>
  <c r="AK73" i="5"/>
  <c r="AJ73" i="5"/>
  <c r="AM81" i="5"/>
  <c r="AL74" i="5"/>
  <c r="AH76" i="5"/>
  <c r="AJ93" i="5"/>
  <c r="AR93" i="5" s="1"/>
  <c r="AI82" i="5"/>
  <c r="AE43" i="5"/>
  <c r="AE10" i="5" s="1"/>
  <c r="AM91" i="5"/>
  <c r="AU91" i="5" s="1"/>
  <c r="AG82" i="5"/>
  <c r="AM80" i="5"/>
  <c r="AJ94" i="5"/>
  <c r="AR94" i="5" s="1"/>
  <c r="AL98" i="5"/>
  <c r="AT87" i="5"/>
  <c r="AT98" i="5" s="1"/>
  <c r="AK81" i="5"/>
  <c r="AO71" i="5"/>
  <c r="AM98" i="5"/>
  <c r="AU87" i="5"/>
  <c r="AU98" i="5" s="1"/>
  <c r="AL79" i="5"/>
  <c r="AK77" i="5"/>
  <c r="AL81" i="5"/>
  <c r="AN71" i="5"/>
  <c r="AL93" i="5"/>
  <c r="AT93" i="5" s="1"/>
  <c r="AY84" i="4"/>
  <c r="AZ69" i="4"/>
  <c r="AZ84" i="4" s="1"/>
  <c r="AX68" i="4"/>
  <c r="AX83" i="4" s="1"/>
  <c r="AX90" i="4" s="1"/>
  <c r="BA69" i="4"/>
  <c r="BA71" i="4"/>
  <c r="AZ72" i="4"/>
  <c r="AY63" i="4"/>
  <c r="AY78" i="4" s="1"/>
  <c r="AW81" i="4"/>
  <c r="AW90" i="4" s="1"/>
  <c r="AY66" i="4"/>
  <c r="AY81" i="4" s="1"/>
  <c r="AZ66" i="4"/>
  <c r="AZ81" i="4" s="1"/>
  <c r="AZ64" i="4"/>
  <c r="AY88" i="4"/>
  <c r="AZ73" i="4"/>
  <c r="AZ88" i="4" s="1"/>
  <c r="AZ63" i="4"/>
  <c r="AZ78" i="4" s="1"/>
  <c r="BA52" i="4"/>
  <c r="BA54" i="4" s="1"/>
  <c r="BA9" i="3"/>
  <c r="AU118" i="3"/>
  <c r="AU116" i="3"/>
  <c r="AU119" i="3" s="1"/>
  <c r="AS119" i="3"/>
  <c r="AV117" i="3"/>
  <c r="AU117" i="3"/>
  <c r="D156" i="1" a="1"/>
  <c r="D156" i="1" s="1"/>
  <c r="G145" i="1"/>
  <c r="D155" i="1" a="1"/>
  <c r="D155" i="1" s="1"/>
  <c r="D151" i="1" a="1"/>
  <c r="D151" i="1" s="1"/>
  <c r="D148" i="1" a="1"/>
  <c r="D148" i="1" s="1"/>
  <c r="D149" i="1" a="1"/>
  <c r="D149" i="1" s="1"/>
  <c r="D154" i="1" a="1"/>
  <c r="D154" i="1" s="1"/>
  <c r="D150" i="1" a="1"/>
  <c r="D150" i="1" s="1"/>
  <c r="D158" i="1" a="1"/>
  <c r="D158" i="1" s="1"/>
  <c r="D147" i="1" a="1"/>
  <c r="D147" i="1" s="1"/>
  <c r="D159" i="1" a="1"/>
  <c r="D159" i="1" s="1"/>
  <c r="G53" i="1"/>
  <c r="G57" i="1" s="1"/>
  <c r="G95" i="1" a="1"/>
  <c r="G95" i="1" s="1"/>
  <c r="G87" i="1" a="1"/>
  <c r="G87" i="1" s="1"/>
  <c r="G99" i="1" a="1"/>
  <c r="G99" i="1" s="1"/>
  <c r="G98" i="1" a="1"/>
  <c r="G98" i="1" s="1"/>
  <c r="G91" i="1" a="1"/>
  <c r="G91" i="1" s="1"/>
  <c r="G96" i="1" a="1"/>
  <c r="G96" i="1" s="1"/>
  <c r="G94" i="1" a="1"/>
  <c r="G94" i="1" s="1"/>
  <c r="G89" i="1" a="1"/>
  <c r="G89" i="1" s="1"/>
  <c r="G88" i="1" a="1"/>
  <c r="G88" i="1" s="1"/>
  <c r="G90" i="1" a="1"/>
  <c r="G90" i="1" s="1"/>
  <c r="G52" i="1"/>
  <c r="AW117" i="3" l="1"/>
  <c r="D41" i="17"/>
  <c r="D95" i="17" s="1"/>
  <c r="D59" i="18"/>
  <c r="H53" i="1"/>
  <c r="D59" i="17"/>
  <c r="BA86" i="4"/>
  <c r="BA84" i="4"/>
  <c r="BA85" i="4"/>
  <c r="BA89" i="4"/>
  <c r="BA80" i="4"/>
  <c r="BA82" i="4"/>
  <c r="H7" i="1"/>
  <c r="AA7" i="2"/>
  <c r="BA11" i="3"/>
  <c r="BA16" i="3" s="1"/>
  <c r="AA9" i="2"/>
  <c r="H30" i="1"/>
  <c r="D4" i="17"/>
  <c r="D4" i="18"/>
  <c r="G93" i="1"/>
  <c r="G97" i="1" s="1"/>
  <c r="D153" i="1"/>
  <c r="D152" i="1"/>
  <c r="D62" i="18"/>
  <c r="H113" i="1"/>
  <c r="D62" i="17"/>
  <c r="D30" i="16"/>
  <c r="E117" i="1"/>
  <c r="E118" i="1" s="1"/>
  <c r="D80" i="16"/>
  <c r="H179" i="1"/>
  <c r="D92" i="18"/>
  <c r="D92" i="17"/>
  <c r="H79" i="1"/>
  <c r="D87" i="17"/>
  <c r="D87" i="18"/>
  <c r="AN7" i="9"/>
  <c r="AX7" i="9"/>
  <c r="AN6" i="9"/>
  <c r="AP6" i="9" s="1"/>
  <c r="BD8" i="8"/>
  <c r="BD10" i="8" s="1"/>
  <c r="BD15" i="8" s="1"/>
  <c r="BE5" i="8"/>
  <c r="BC17" i="8"/>
  <c r="BC13" i="8"/>
  <c r="BC11" i="8" s="1"/>
  <c r="BC21" i="8" s="1"/>
  <c r="AN74" i="5"/>
  <c r="AP71" i="5"/>
  <c r="AD67" i="5"/>
  <c r="AO74" i="5"/>
  <c r="AQ77" i="5"/>
  <c r="AP74" i="5"/>
  <c r="AG7" i="5"/>
  <c r="AG9" i="5"/>
  <c r="AJ76" i="5"/>
  <c r="AS72" i="5"/>
  <c r="AP80" i="5"/>
  <c r="AR72" i="5"/>
  <c r="AV72" i="5" s="1"/>
  <c r="AN81" i="5"/>
  <c r="AQ71" i="5"/>
  <c r="AR71" i="5"/>
  <c r="AQ75" i="5"/>
  <c r="AO80" i="5"/>
  <c r="AM74" i="5"/>
  <c r="AQ74" i="5" s="1"/>
  <c r="AO77" i="5"/>
  <c r="AH82" i="5"/>
  <c r="AK82" i="5"/>
  <c r="AP77" i="5"/>
  <c r="AT72" i="5"/>
  <c r="AW72" i="5" s="1"/>
  <c r="AL73" i="5"/>
  <c r="AR77" i="5"/>
  <c r="AP75" i="5"/>
  <c r="AU72" i="5"/>
  <c r="AR75" i="5"/>
  <c r="AR78" i="5"/>
  <c r="AN79" i="5"/>
  <c r="AH9" i="5"/>
  <c r="AH7" i="5"/>
  <c r="AO81" i="5"/>
  <c r="AN77" i="5"/>
  <c r="AO75" i="5"/>
  <c r="AN75" i="5"/>
  <c r="BA63" i="4"/>
  <c r="BA78" i="4" s="1"/>
  <c r="AZ79" i="4"/>
  <c r="BA64" i="4"/>
  <c r="BA79" i="4" s="1"/>
  <c r="BA66" i="4"/>
  <c r="BA81" i="4" s="1"/>
  <c r="AZ87" i="4"/>
  <c r="BA72" i="4"/>
  <c r="BA87" i="4" s="1"/>
  <c r="AY68" i="4"/>
  <c r="BA73" i="4"/>
  <c r="BA88" i="4" s="1"/>
  <c r="AV116" i="3"/>
  <c r="AV118" i="3"/>
  <c r="AW118" i="3" s="1"/>
  <c r="BA14" i="3"/>
  <c r="BA18" i="3"/>
  <c r="G155" i="1" a="1"/>
  <c r="G155" i="1" s="1"/>
  <c r="G154" i="1" a="1"/>
  <c r="G154" i="1" s="1"/>
  <c r="G158" i="1" a="1"/>
  <c r="G158" i="1" s="1"/>
  <c r="G148" i="1" a="1"/>
  <c r="G148" i="1" s="1"/>
  <c r="G147" i="1" a="1"/>
  <c r="G147" i="1" s="1"/>
  <c r="G156" i="1" a="1"/>
  <c r="G156" i="1" s="1"/>
  <c r="G150" i="1" a="1"/>
  <c r="G150" i="1" s="1"/>
  <c r="G151" i="1" a="1"/>
  <c r="G151" i="1" s="1"/>
  <c r="G159" i="1" a="1"/>
  <c r="G159" i="1" s="1"/>
  <c r="G149" i="1" a="1"/>
  <c r="G149" i="1" s="1"/>
  <c r="G92" i="1"/>
  <c r="D157" i="1"/>
  <c r="AV119" i="3" l="1"/>
  <c r="H57" i="1"/>
  <c r="H58" i="1" s="1"/>
  <c r="D77" i="17"/>
  <c r="D77" i="18"/>
  <c r="D22" i="17"/>
  <c r="D22" i="18"/>
  <c r="H10" i="1"/>
  <c r="AA6" i="2"/>
  <c r="H8" i="1" s="1"/>
  <c r="D12" i="17"/>
  <c r="D12" i="18"/>
  <c r="G153" i="1"/>
  <c r="G157" i="1"/>
  <c r="G152" i="1"/>
  <c r="H117" i="1"/>
  <c r="D80" i="17"/>
  <c r="D80" i="18"/>
  <c r="D89" i="16"/>
  <c r="E119" i="1"/>
  <c r="H109" i="1"/>
  <c r="AO5" i="9"/>
  <c r="BD17" i="8"/>
  <c r="BD13" i="8"/>
  <c r="BD11" i="8" s="1"/>
  <c r="BD21" i="8" s="1"/>
  <c r="BE8" i="8"/>
  <c r="BE10" i="8" s="1"/>
  <c r="BE15" i="8" s="1"/>
  <c r="BF5" i="8"/>
  <c r="AT74" i="5"/>
  <c r="AV74" i="5" s="1"/>
  <c r="AT78" i="5"/>
  <c r="AV78" i="5" s="1"/>
  <c r="AR80" i="5"/>
  <c r="AU74" i="5"/>
  <c r="AT75" i="5"/>
  <c r="AV75" i="5" s="1"/>
  <c r="AD17" i="5"/>
  <c r="Z17" i="2" s="1"/>
  <c r="AE24" i="5"/>
  <c r="AT71" i="5"/>
  <c r="AJ5" i="5"/>
  <c r="AI5" i="5"/>
  <c r="AR79" i="5"/>
  <c r="AT79" i="5" s="1"/>
  <c r="AN73" i="5"/>
  <c r="AO73" i="5"/>
  <c r="AQ80" i="5"/>
  <c r="AS80" i="5" s="1"/>
  <c r="AS71" i="5"/>
  <c r="AS77" i="5"/>
  <c r="AR74" i="5"/>
  <c r="AW74" i="5" s="1"/>
  <c r="AU78" i="5"/>
  <c r="AS74" i="5"/>
  <c r="AS75" i="5"/>
  <c r="AU75" i="5" s="1"/>
  <c r="AP79" i="5"/>
  <c r="AQ79" i="5"/>
  <c r="AU71" i="5"/>
  <c r="AS79" i="5"/>
  <c r="AU77" i="5"/>
  <c r="AP81" i="5"/>
  <c r="AT77" i="5"/>
  <c r="AV77" i="5" s="1"/>
  <c r="AQ81" i="5"/>
  <c r="AJ82" i="5"/>
  <c r="AM76" i="5"/>
  <c r="AL76" i="5"/>
  <c r="AY83" i="4"/>
  <c r="AY90" i="4" s="1"/>
  <c r="AZ68" i="4"/>
  <c r="AZ83" i="4" s="1"/>
  <c r="AZ90" i="4" s="1"/>
  <c r="AW116" i="3"/>
  <c r="H59" i="1" l="1"/>
  <c r="D86" i="17"/>
  <c r="D86" i="18"/>
  <c r="D111" i="17"/>
  <c r="D111" i="18"/>
  <c r="D30" i="18"/>
  <c r="D30" i="17"/>
  <c r="H112" i="1"/>
  <c r="D17" i="17"/>
  <c r="D17" i="18"/>
  <c r="AA8" i="2"/>
  <c r="AA11" i="2" s="1"/>
  <c r="AO9" i="9"/>
  <c r="AO11" i="9" s="1"/>
  <c r="AO16" i="9" s="1"/>
  <c r="AO7" i="9"/>
  <c r="AP5" i="9" s="1"/>
  <c r="BE17" i="8"/>
  <c r="BE13" i="8"/>
  <c r="BE11" i="8" s="1"/>
  <c r="BE21" i="8" s="1"/>
  <c r="BF8" i="8"/>
  <c r="BF10" i="8" s="1"/>
  <c r="BF15" i="8" s="1"/>
  <c r="BG5" i="8"/>
  <c r="AO82" i="5"/>
  <c r="AD18" i="5"/>
  <c r="AE8" i="5"/>
  <c r="AE11" i="5" s="1"/>
  <c r="AW77" i="5"/>
  <c r="AE27" i="5"/>
  <c r="AE41" i="5"/>
  <c r="AW78" i="5"/>
  <c r="AW75" i="5"/>
  <c r="AQ73" i="5"/>
  <c r="AS81" i="5"/>
  <c r="AV71" i="5"/>
  <c r="AV79" i="5"/>
  <c r="AU79" i="5"/>
  <c r="AW79" i="5" s="1"/>
  <c r="AR81" i="5"/>
  <c r="AR76" i="5"/>
  <c r="AL82" i="5"/>
  <c r="AO76" i="5"/>
  <c r="AN76" i="5"/>
  <c r="AI9" i="5"/>
  <c r="AI7" i="5"/>
  <c r="AM82" i="5"/>
  <c r="AN82" i="5"/>
  <c r="AW71" i="5"/>
  <c r="AJ7" i="5"/>
  <c r="AJ9" i="5"/>
  <c r="AT80" i="5"/>
  <c r="AW80" i="5" s="1"/>
  <c r="AU80" i="5"/>
  <c r="AP76" i="5"/>
  <c r="AV80" i="5"/>
  <c r="AP73" i="5"/>
  <c r="BA68" i="4"/>
  <c r="BA83" i="4" s="1"/>
  <c r="BA90" i="4" s="1"/>
  <c r="AW119" i="3"/>
  <c r="D14" i="17" l="1"/>
  <c r="D14" i="18"/>
  <c r="H118" i="1"/>
  <c r="D44" i="18"/>
  <c r="D98" i="18" s="1"/>
  <c r="D44" i="17"/>
  <c r="D98" i="17" s="1"/>
  <c r="AP7" i="9"/>
  <c r="AP9" i="9"/>
  <c r="AP11" i="9" s="1"/>
  <c r="AP16" i="9" s="1"/>
  <c r="AO14" i="9"/>
  <c r="AO12" i="9" s="1"/>
  <c r="AO18" i="9"/>
  <c r="BG8" i="8"/>
  <c r="BG10" i="8" s="1"/>
  <c r="BG15" i="8" s="1"/>
  <c r="BH5" i="8"/>
  <c r="BF17" i="8"/>
  <c r="BF13" i="8"/>
  <c r="BF11" i="8" s="1"/>
  <c r="BF21" i="8" s="1"/>
  <c r="AS73" i="5"/>
  <c r="AT76" i="5"/>
  <c r="AV81" i="5"/>
  <c r="AS76" i="5"/>
  <c r="AK5" i="5"/>
  <c r="AL5" i="5"/>
  <c r="AU81" i="5"/>
  <c r="AW81" i="5" s="1"/>
  <c r="AT81" i="5"/>
  <c r="AE54" i="5"/>
  <c r="AF40" i="5"/>
  <c r="AF39" i="5"/>
  <c r="AQ76" i="5"/>
  <c r="AV76" i="5" s="1"/>
  <c r="AP82" i="5"/>
  <c r="AR73" i="5"/>
  <c r="AR82" i="5" s="1"/>
  <c r="H119" i="1" l="1"/>
  <c r="D89" i="18"/>
  <c r="D89" i="17"/>
  <c r="AP18" i="9"/>
  <c r="AP14" i="9"/>
  <c r="AP12" i="9" s="1"/>
  <c r="BH8" i="8"/>
  <c r="BH10" i="8" s="1"/>
  <c r="BH15" i="8" s="1"/>
  <c r="BI5" i="8"/>
  <c r="BG17" i="8"/>
  <c r="BG13" i="8"/>
  <c r="BG11" i="8" s="1"/>
  <c r="BG21" i="8" s="1"/>
  <c r="AL7" i="5"/>
  <c r="AL9" i="5"/>
  <c r="AK9" i="5"/>
  <c r="AK7" i="5"/>
  <c r="AT73" i="5"/>
  <c r="AT82" i="5" s="1"/>
  <c r="AQ82" i="5"/>
  <c r="AU76" i="5"/>
  <c r="AS82" i="5"/>
  <c r="AE67" i="5"/>
  <c r="AF53" i="5"/>
  <c r="AF52" i="5"/>
  <c r="AW76" i="5"/>
  <c r="AV73" i="5"/>
  <c r="AV82" i="5" s="1"/>
  <c r="AU73" i="5"/>
  <c r="AU82" i="5" s="1"/>
  <c r="BI8" i="8" l="1"/>
  <c r="BI10" i="8" s="1"/>
  <c r="BI15" i="8" s="1"/>
  <c r="BJ5" i="8"/>
  <c r="BH17" i="8"/>
  <c r="BH13" i="8"/>
  <c r="BH11" i="8" s="1"/>
  <c r="BH21" i="8" s="1"/>
  <c r="AW73" i="5"/>
  <c r="AW82" i="5" s="1"/>
  <c r="AE17" i="5"/>
  <c r="AA17" i="2" s="1"/>
  <c r="AF65" i="5"/>
  <c r="AF66" i="5"/>
  <c r="AM5" i="5"/>
  <c r="AN5" i="5"/>
  <c r="AA16" i="2" l="1"/>
  <c r="AA14" i="2" s="1"/>
  <c r="BJ8" i="8"/>
  <c r="BJ10" i="8" s="1"/>
  <c r="BJ15" i="8" s="1"/>
  <c r="BK5" i="8"/>
  <c r="BI17" i="8"/>
  <c r="BI13" i="8"/>
  <c r="BI11" i="8" s="1"/>
  <c r="BI21" i="8" s="1"/>
  <c r="AN7" i="5"/>
  <c r="AN9" i="5"/>
  <c r="AM7" i="5"/>
  <c r="AM9" i="5"/>
  <c r="AG26" i="5"/>
  <c r="AL66" i="5"/>
  <c r="AM26" i="5" s="1"/>
  <c r="AI66" i="5"/>
  <c r="AH66" i="5"/>
  <c r="AK66" i="5"/>
  <c r="AP66" i="5"/>
  <c r="AQ26" i="5" s="1"/>
  <c r="AM66" i="5"/>
  <c r="AN26" i="5" s="1"/>
  <c r="AO66" i="5"/>
  <c r="AP26" i="5" s="1"/>
  <c r="AG66" i="5"/>
  <c r="AJ66" i="5"/>
  <c r="AN66" i="5"/>
  <c r="AO26" i="5" s="1"/>
  <c r="AK65" i="5"/>
  <c r="AL65" i="5"/>
  <c r="AM25" i="5" s="1"/>
  <c r="AM27" i="5" s="1"/>
  <c r="AM41" i="5" s="1"/>
  <c r="AG65" i="5"/>
  <c r="AN65" i="5"/>
  <c r="AO25" i="5" s="1"/>
  <c r="AO27" i="5" s="1"/>
  <c r="AO41" i="5" s="1"/>
  <c r="AM65" i="5"/>
  <c r="AN25" i="5" s="1"/>
  <c r="AN27" i="5" s="1"/>
  <c r="AN41" i="5" s="1"/>
  <c r="AG25" i="5"/>
  <c r="AG27" i="5" s="1"/>
  <c r="AG41" i="5" s="1"/>
  <c r="AP65" i="5"/>
  <c r="AQ25" i="5" s="1"/>
  <c r="AQ27" i="5" s="1"/>
  <c r="AQ41" i="5" s="1"/>
  <c r="AI65" i="5"/>
  <c r="AO65" i="5"/>
  <c r="AP25" i="5" s="1"/>
  <c r="AP27" i="5" s="1"/>
  <c r="AP41" i="5" s="1"/>
  <c r="AH65" i="5"/>
  <c r="AJ65" i="5"/>
  <c r="AE18" i="5"/>
  <c r="AF8" i="5"/>
  <c r="AF11" i="5" s="1"/>
  <c r="AF17" i="5" s="1"/>
  <c r="AA18" i="2" l="1"/>
  <c r="BK8" i="8"/>
  <c r="BK10" i="8" s="1"/>
  <c r="BK15" i="8" s="1"/>
  <c r="BL5" i="8"/>
  <c r="BJ17" i="8"/>
  <c r="BJ13" i="8"/>
  <c r="BJ11" i="8" s="1"/>
  <c r="BJ21" i="8" s="1"/>
  <c r="AM40" i="5"/>
  <c r="AM54" i="5"/>
  <c r="AM39" i="5"/>
  <c r="AQ54" i="5"/>
  <c r="AI26" i="5"/>
  <c r="AR66" i="5"/>
  <c r="AS26" i="5" s="1"/>
  <c r="AN54" i="5"/>
  <c r="AN40" i="5"/>
  <c r="AN39" i="5"/>
  <c r="AL25" i="5"/>
  <c r="AL27" i="5" s="1"/>
  <c r="AL41" i="5" s="1"/>
  <c r="AU65" i="5"/>
  <c r="AJ26" i="5"/>
  <c r="AS66" i="5"/>
  <c r="AT26" i="5" s="1"/>
  <c r="AG39" i="5"/>
  <c r="AQ39" i="5" s="1"/>
  <c r="AG40" i="5"/>
  <c r="AQ40" i="5" s="1"/>
  <c r="AG54" i="5"/>
  <c r="AK26" i="5"/>
  <c r="AT66" i="5"/>
  <c r="AU26" i="5" s="1"/>
  <c r="AO5" i="5"/>
  <c r="AH25" i="5"/>
  <c r="AH27" i="5" s="1"/>
  <c r="AH41" i="5" s="1"/>
  <c r="AQ65" i="5"/>
  <c r="AR25" i="5" s="1"/>
  <c r="AR27" i="5" s="1"/>
  <c r="AR41" i="5" s="1"/>
  <c r="AP54" i="5"/>
  <c r="AP39" i="5"/>
  <c r="AP40" i="5"/>
  <c r="AO54" i="5"/>
  <c r="AO39" i="5"/>
  <c r="AO40" i="5"/>
  <c r="AH26" i="5"/>
  <c r="AQ66" i="5"/>
  <c r="AR26" i="5" s="1"/>
  <c r="AL26" i="5"/>
  <c r="AU66" i="5"/>
  <c r="AG8" i="5"/>
  <c r="AG11" i="5" s="1"/>
  <c r="AG17" i="5" s="1"/>
  <c r="AF18" i="5"/>
  <c r="AK25" i="5"/>
  <c r="AK27" i="5" s="1"/>
  <c r="AK41" i="5" s="1"/>
  <c r="AT65" i="5"/>
  <c r="AU25" i="5" s="1"/>
  <c r="AU27" i="5" s="1"/>
  <c r="AU41" i="5" s="1"/>
  <c r="AI25" i="5"/>
  <c r="AI27" i="5" s="1"/>
  <c r="AI41" i="5" s="1"/>
  <c r="AR65" i="5"/>
  <c r="AS25" i="5" s="1"/>
  <c r="AS27" i="5" s="1"/>
  <c r="AS41" i="5" s="1"/>
  <c r="AJ25" i="5"/>
  <c r="AJ27" i="5" s="1"/>
  <c r="AJ41" i="5" s="1"/>
  <c r="AS65" i="5"/>
  <c r="AT25" i="5" s="1"/>
  <c r="AT27" i="5" s="1"/>
  <c r="AT41" i="5" s="1"/>
  <c r="AP5" i="5"/>
  <c r="BL8" i="8" l="1"/>
  <c r="BL10" i="8" s="1"/>
  <c r="BL15" i="8" s="1"/>
  <c r="BM5" i="8"/>
  <c r="BM8" i="8" s="1"/>
  <c r="BM10" i="8" s="1"/>
  <c r="BM15" i="8" s="1"/>
  <c r="BK17" i="8"/>
  <c r="BK13" i="8"/>
  <c r="BK11" i="8" s="1"/>
  <c r="BK21" i="8" s="1"/>
  <c r="AG52" i="5"/>
  <c r="AQ52" i="5" s="1"/>
  <c r="AG63" i="5"/>
  <c r="AG62" i="5" s="1"/>
  <c r="AG53" i="5"/>
  <c r="AP7" i="5"/>
  <c r="AP9" i="5"/>
  <c r="AU54" i="5"/>
  <c r="AO7" i="5"/>
  <c r="AO9" i="5"/>
  <c r="AI39" i="5"/>
  <c r="AS39" i="5" s="1"/>
  <c r="AI40" i="5"/>
  <c r="AS40" i="5" s="1"/>
  <c r="AI54" i="5"/>
  <c r="AK54" i="5"/>
  <c r="AK39" i="5"/>
  <c r="AU39" i="5" s="1"/>
  <c r="AK40" i="5"/>
  <c r="AU40" i="5" s="1"/>
  <c r="AL40" i="5"/>
  <c r="AL54" i="5"/>
  <c r="AL39" i="5"/>
  <c r="AO63" i="5"/>
  <c r="AO62" i="5" s="1"/>
  <c r="AO52" i="5"/>
  <c r="AO53" i="5"/>
  <c r="AT54" i="5"/>
  <c r="AN63" i="5"/>
  <c r="AN62" i="5" s="1"/>
  <c r="AN52" i="5"/>
  <c r="AN53" i="5"/>
  <c r="AP53" i="5"/>
  <c r="AP63" i="5"/>
  <c r="AP62" i="5" s="1"/>
  <c r="AP52" i="5"/>
  <c r="AQ53" i="5"/>
  <c r="AQ63" i="5"/>
  <c r="AQ62" i="5" s="1"/>
  <c r="AS54" i="5"/>
  <c r="AR54" i="5"/>
  <c r="AH39" i="5"/>
  <c r="AR39" i="5" s="1"/>
  <c r="AH40" i="5"/>
  <c r="AR40" i="5" s="1"/>
  <c r="AH54" i="5"/>
  <c r="AM52" i="5"/>
  <c r="AM53" i="5"/>
  <c r="AM63" i="5"/>
  <c r="AM62" i="5" s="1"/>
  <c r="AJ39" i="5"/>
  <c r="AT39" i="5" s="1"/>
  <c r="AJ40" i="5"/>
  <c r="AT40" i="5" s="1"/>
  <c r="AJ54" i="5"/>
  <c r="AH8" i="5"/>
  <c r="AH11" i="5" s="1"/>
  <c r="AH17" i="5" s="1"/>
  <c r="AG18" i="5"/>
  <c r="BM17" i="8" l="1"/>
  <c r="BM13" i="8"/>
  <c r="BM11" i="8" s="1"/>
  <c r="BM21" i="8" s="1"/>
  <c r="BL17" i="8"/>
  <c r="BL13" i="8"/>
  <c r="BL11" i="8" s="1"/>
  <c r="BL21" i="8" s="1"/>
  <c r="AJ52" i="5"/>
  <c r="AT52" i="5" s="1"/>
  <c r="AJ63" i="5"/>
  <c r="AJ62" i="5" s="1"/>
  <c r="AJ53" i="5"/>
  <c r="AT53" i="5" s="1"/>
  <c r="AI52" i="5"/>
  <c r="AS52" i="5" s="1"/>
  <c r="AI63" i="5"/>
  <c r="AI62" i="5" s="1"/>
  <c r="AI53" i="5"/>
  <c r="AS53" i="5" s="1"/>
  <c r="AR5" i="5"/>
  <c r="AH52" i="5"/>
  <c r="AR52" i="5" s="1"/>
  <c r="AH63" i="5"/>
  <c r="AH62" i="5" s="1"/>
  <c r="AH53" i="5"/>
  <c r="AR53" i="5" s="1"/>
  <c r="AI8" i="5"/>
  <c r="AI11" i="5" s="1"/>
  <c r="AI17" i="5" s="1"/>
  <c r="AH18" i="5"/>
  <c r="AL52" i="5"/>
  <c r="AL63" i="5"/>
  <c r="AL62" i="5" s="1"/>
  <c r="AL53" i="5"/>
  <c r="AS63" i="5"/>
  <c r="AS62" i="5" s="1"/>
  <c r="AU63" i="5"/>
  <c r="AU62" i="5" s="1"/>
  <c r="AT63" i="5"/>
  <c r="AT62" i="5" s="1"/>
  <c r="AR63" i="5"/>
  <c r="AR62" i="5" s="1"/>
  <c r="AK52" i="5"/>
  <c r="AU52" i="5" s="1"/>
  <c r="AK63" i="5"/>
  <c r="AK62" i="5" s="1"/>
  <c r="AK53" i="5"/>
  <c r="AU53" i="5" s="1"/>
  <c r="AQ5" i="5"/>
  <c r="AQ7" i="5" l="1"/>
  <c r="AS5" i="5" s="1"/>
  <c r="AQ9" i="5"/>
  <c r="AJ8" i="5"/>
  <c r="AJ11" i="5" s="1"/>
  <c r="AJ17" i="5" s="1"/>
  <c r="AI18" i="5"/>
  <c r="AR9" i="5"/>
  <c r="AR7" i="5"/>
  <c r="AT5" i="5" s="1"/>
  <c r="AJ18" i="5" l="1"/>
  <c r="AK8" i="5"/>
  <c r="AK11" i="5" s="1"/>
  <c r="AK17" i="5" s="1"/>
  <c r="AT9" i="5"/>
  <c r="AT7" i="5"/>
  <c r="AV5" i="5" s="1"/>
  <c r="AS9" i="5"/>
  <c r="AS7" i="5"/>
  <c r="AU5" i="5" s="1"/>
  <c r="AV7" i="5" l="1"/>
  <c r="AV9" i="5"/>
  <c r="AU7" i="5"/>
  <c r="AW5" i="5" s="1"/>
  <c r="AU9" i="5"/>
  <c r="AK18" i="5"/>
  <c r="AL8" i="5"/>
  <c r="AL11" i="5" s="1"/>
  <c r="AL17" i="5" s="1"/>
  <c r="AL18" i="5" l="1"/>
  <c r="AM8" i="5"/>
  <c r="AM11" i="5" s="1"/>
  <c r="AM17" i="5" s="1"/>
  <c r="AW7" i="5"/>
  <c r="AW9" i="5"/>
  <c r="AM18" i="5" l="1"/>
  <c r="AN8" i="5"/>
  <c r="AN11" i="5" s="1"/>
  <c r="AN17" i="5" s="1"/>
  <c r="AN18" i="5" l="1"/>
  <c r="AO8" i="5"/>
  <c r="AO11" i="5" s="1"/>
  <c r="AO17" i="5" s="1"/>
  <c r="AO18" i="5" l="1"/>
  <c r="AP8" i="5"/>
  <c r="AP11" i="5" s="1"/>
  <c r="AP17" i="5" s="1"/>
  <c r="AP18" i="5" l="1"/>
  <c r="AQ8" i="5"/>
  <c r="AQ11" i="5" s="1"/>
  <c r="AQ17" i="5" s="1"/>
  <c r="AQ18" i="5" l="1"/>
  <c r="AR8" i="5"/>
  <c r="AR11" i="5" s="1"/>
  <c r="AR17" i="5" s="1"/>
  <c r="AR18" i="5" l="1"/>
  <c r="AS8" i="5"/>
  <c r="AS11" i="5" s="1"/>
  <c r="AS17" i="5" s="1"/>
  <c r="AT8" i="5" l="1"/>
  <c r="AT11" i="5" s="1"/>
  <c r="AT17" i="5" s="1"/>
  <c r="AS18" i="5"/>
  <c r="AT18" i="5" l="1"/>
  <c r="AU8" i="5"/>
  <c r="AU11" i="5" s="1"/>
  <c r="AU17" i="5" s="1"/>
  <c r="AU18" i="5" l="1"/>
  <c r="AV8" i="5"/>
  <c r="AV11" i="5" s="1"/>
  <c r="AV17" i="5" s="1"/>
  <c r="AV18" i="5" l="1"/>
  <c r="AW8" i="5"/>
  <c r="AW11" i="5" s="1"/>
  <c r="AW17" i="5" s="1"/>
  <c r="AW18" i="5" s="1"/>
  <c r="AX13" i="3" l="1"/>
  <c r="AX54" i="3"/>
  <c r="AY51" i="3" s="1"/>
  <c r="AX11" i="3"/>
  <c r="AX12" i="3" l="1"/>
  <c r="AX120" i="3" s="1"/>
  <c r="AX116" i="3" s="1"/>
  <c r="AX18" i="3"/>
  <c r="AZ12" i="3"/>
  <c r="BA13" i="3"/>
  <c r="BA112" i="3" s="1"/>
  <c r="Z13" i="2"/>
  <c r="E15" i="1" s="1"/>
  <c r="D75" i="16" s="1"/>
  <c r="E35" i="1"/>
  <c r="D67" i="16" s="1"/>
  <c r="AZ51" i="3"/>
  <c r="Y45" i="2" s="1"/>
  <c r="AY48" i="3"/>
  <c r="AY45" i="3"/>
  <c r="AY50" i="3"/>
  <c r="AX52" i="3"/>
  <c r="AX53" i="3" s="1"/>
  <c r="AY47" i="3"/>
  <c r="AY42" i="3"/>
  <c r="AY46" i="3"/>
  <c r="Y13" i="2"/>
  <c r="AY49" i="3"/>
  <c r="AY12" i="3"/>
  <c r="AY120" i="3" s="1"/>
  <c r="AY44" i="3"/>
  <c r="AY43" i="3"/>
  <c r="AX118" i="3" l="1"/>
  <c r="AX117" i="3"/>
  <c r="AX119" i="3" s="1"/>
  <c r="AZ49" i="3"/>
  <c r="Y43" i="2" s="1"/>
  <c r="H35" i="1"/>
  <c r="BA12" i="3"/>
  <c r="AA13" i="2"/>
  <c r="AZ42" i="3"/>
  <c r="BA42" i="3" s="1"/>
  <c r="AZ47" i="3"/>
  <c r="BA47" i="3"/>
  <c r="Y53" i="2" s="1"/>
  <c r="AZ48" i="3"/>
  <c r="Y42" i="2" s="1"/>
  <c r="AZ43" i="3"/>
  <c r="BA43" i="3"/>
  <c r="Y49" i="2" s="1"/>
  <c r="AY52" i="3"/>
  <c r="AY53" i="3" s="1"/>
  <c r="AZ44" i="3"/>
  <c r="BA44" i="3" s="1"/>
  <c r="Y50" i="2" s="1"/>
  <c r="AZ50" i="3"/>
  <c r="Y44" i="2" s="1"/>
  <c r="AY118" i="3"/>
  <c r="AY116" i="3"/>
  <c r="AZ45" i="3"/>
  <c r="BA45" i="3" s="1"/>
  <c r="Y51" i="2" s="1"/>
  <c r="BA51" i="3"/>
  <c r="Z45" i="2" s="1"/>
  <c r="AZ46" i="3"/>
  <c r="BA46" i="3" s="1"/>
  <c r="Y52" i="2" s="1"/>
  <c r="AZ120" i="3"/>
  <c r="E34" i="1"/>
  <c r="AY117" i="3" l="1"/>
  <c r="AY119" i="3" s="1"/>
  <c r="AZ52" i="3"/>
  <c r="Y46" i="2" s="1"/>
  <c r="E33" i="1"/>
  <c r="D58" i="16"/>
  <c r="BA52" i="3"/>
  <c r="Z46" i="2" s="1"/>
  <c r="H15" i="1"/>
  <c r="AA12" i="2"/>
  <c r="H14" i="1" s="1"/>
  <c r="AZ117" i="3"/>
  <c r="AZ118" i="3"/>
  <c r="AZ116" i="3"/>
  <c r="H34" i="1"/>
  <c r="BA120" i="3"/>
  <c r="Y48" i="2"/>
  <c r="BA50" i="3"/>
  <c r="Z44" i="2" s="1"/>
  <c r="BA48" i="3"/>
  <c r="Z42" i="2" s="1"/>
  <c r="D67" i="18"/>
  <c r="D67" i="17"/>
  <c r="BA49" i="3"/>
  <c r="Z43" i="2" s="1"/>
  <c r="AZ119" i="3" l="1"/>
  <c r="AZ53" i="3"/>
  <c r="Y47" i="2" s="1"/>
  <c r="Y54" i="2" s="1"/>
  <c r="Y10" i="2" s="1"/>
  <c r="Y11" i="2" s="1"/>
  <c r="Y16" i="2" s="1"/>
  <c r="Y18" i="2" s="1"/>
  <c r="H13" i="1"/>
  <c r="D66" i="17"/>
  <c r="D66" i="18"/>
  <c r="D75" i="17"/>
  <c r="D75" i="18"/>
  <c r="D58" i="17"/>
  <c r="H33" i="1"/>
  <c r="D58" i="18"/>
  <c r="BA53" i="3"/>
  <c r="Z47" i="2" s="1"/>
  <c r="Z54" i="2" s="1"/>
  <c r="Z10" i="2" s="1"/>
  <c r="BA118" i="3"/>
  <c r="BA117" i="3"/>
  <c r="BA116" i="3"/>
  <c r="E37" i="1"/>
  <c r="E38" i="1" s="1"/>
  <c r="D76" i="16"/>
  <c r="BA119" i="3" l="1"/>
  <c r="Y14" i="2"/>
  <c r="Y12" i="2" s="1"/>
  <c r="Z11" i="2"/>
  <c r="Z16" i="2" s="1"/>
  <c r="E11" i="1"/>
  <c r="D85" i="16"/>
  <c r="H29" i="1"/>
  <c r="E39" i="1"/>
  <c r="D84" i="18"/>
  <c r="H17" i="1"/>
  <c r="D84" i="17"/>
  <c r="D76" i="17"/>
  <c r="D76" i="18"/>
  <c r="H37" i="1"/>
  <c r="D39" i="16" l="1"/>
  <c r="E12" i="1"/>
  <c r="D13" i="17"/>
  <c r="H32" i="1"/>
  <c r="D13" i="18"/>
  <c r="Z14" i="2"/>
  <c r="Z12" i="2" s="1"/>
  <c r="E14" i="1" s="1"/>
  <c r="Z18" i="2"/>
  <c r="D48" i="16" l="1"/>
  <c r="D102" i="16" s="1"/>
  <c r="D40" i="18"/>
  <c r="D94" i="18" s="1"/>
  <c r="H38" i="1"/>
  <c r="D40" i="17"/>
  <c r="D94" i="17" s="1"/>
  <c r="E13" i="1"/>
  <c r="D66" i="16"/>
  <c r="E17" i="1" l="1"/>
  <c r="E18" i="1" s="1"/>
  <c r="D84" i="16"/>
  <c r="D85" i="17"/>
  <c r="H39" i="1"/>
  <c r="D85" i="18"/>
  <c r="D93" i="16" l="1"/>
  <c r="E19" i="1"/>
  <c r="H9" i="1"/>
  <c r="D21" i="17" l="1"/>
  <c r="H12" i="1"/>
  <c r="D21" i="18"/>
  <c r="D48" i="17" l="1"/>
  <c r="D102" i="17" s="1"/>
  <c r="D48" i="18"/>
  <c r="D102" i="18" s="1"/>
  <c r="H18" i="1"/>
  <c r="H19" i="1" l="1"/>
  <c r="D93" i="18"/>
  <c r="D93" i="17"/>
  <c r="BA108" i="3"/>
  <c r="BA110" i="3"/>
  <c r="BA107" i="3"/>
  <c r="BA111" i="3" s="1"/>
  <c r="BA109" i="3"/>
  <c r="AU134" i="29" l="1"/>
  <c r="AV134" i="29"/>
  <c r="B134" i="29"/>
  <c r="BB5" i="29"/>
  <c r="B133" i="29" l="1"/>
  <c r="AV133" i="29"/>
  <c r="AV134" i="25"/>
  <c r="AV133" i="25" s="1"/>
  <c r="AU133" i="29"/>
  <c r="AU134" i="25"/>
  <c r="AU133" i="25" s="1"/>
  <c r="BB6" i="29"/>
  <c r="AZ6" i="29" l="1"/>
  <c r="AZ134" i="29" s="1"/>
  <c r="BC13" i="29"/>
  <c r="BA14" i="29"/>
  <c r="BA13" i="29"/>
  <c r="BC134" i="29" l="1"/>
  <c r="BA134" i="29"/>
  <c r="AZ133" i="29"/>
  <c r="BA6" i="29"/>
  <c r="BC6" i="29"/>
  <c r="AZ5" i="29"/>
  <c r="BC14" i="29"/>
  <c r="BC5" i="29" l="1"/>
  <c r="BA5" i="29"/>
  <c r="BA133" i="29"/>
  <c r="BC133" i="29"/>
  <c r="BA118" i="25"/>
  <c r="AZ134" i="25"/>
  <c r="BA134" i="25" s="1"/>
  <c r="BC118" i="25"/>
  <c r="BC134" i="25" l="1"/>
  <c r="AZ117" i="25"/>
  <c r="BC117" i="25" s="1"/>
  <c r="BA116" i="25"/>
  <c r="AZ132" i="25"/>
  <c r="AZ133" i="25" s="1"/>
  <c r="BC116" i="25"/>
  <c r="BA133" i="25" l="1"/>
  <c r="BC133" i="25"/>
  <c r="BA117" i="25"/>
  <c r="BC132" i="25"/>
  <c r="BA132" i="25"/>
  <c r="B118" i="31"/>
  <c r="B134" i="31" s="1"/>
  <c r="B121" i="31"/>
  <c r="B122" i="25"/>
  <c r="B121" i="25" s="1"/>
  <c r="B118" i="25" l="1"/>
  <c r="B117" i="25" s="1"/>
  <c r="B117" i="31"/>
  <c r="B134" i="25"/>
  <c r="B133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tc={F8F21FC0-E656-466C-BF52-4CE08B822030}</author>
  </authors>
  <commentList>
    <comment ref="AJ2" authorId="0" shapeId="0" xr:uid="{F8F21FC0-E656-466C-BF52-4CE08B822030}">
      <text>
        <t>[Threaded comment]
Your version of Excel allows you to read this threaded comment; however, any edits to it will get removed if the file is opened in a newer version of Excel. Learn more: https://go.microsoft.com/fwlink/?linkid=870924
Comment:
    Planted, harvested area &amp; production Bolsa de Cereals from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tc={157092DF-5C95-47F6-8107-567DD20CB430}</author>
  </authors>
  <commentList>
    <comment ref="AV2" authorId="0" shapeId="0" xr:uid="{157092DF-5C95-47F6-8107-567DD20CB430}">
      <text>
        <t>[Threaded comment]
Your version of Excel allows you to read this threaded comment; however, any edits to it will get removed if the file is opened in a newer version of Excel. Learn more: https://go.microsoft.com/fwlink/?linkid=870924
Comment:
    Safrinha harvested start of MY
Reply:
    Marketing years starts as main crop comes to market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tc={2F5E2108-0BCB-4131-B518-FB1EF99E8A59}</author>
  </authors>
  <commentList>
    <comment ref="A4" authorId="0" shapeId="0" xr:uid="{2F5E2108-0BCB-4131-B518-FB1EF99E8A5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https://www-ukrstat-gov-ua.translate.goog/operativ/operativ2019/sg/ppsgk/arh_ppsgk_u.html?_x_tr_sl=uk&amp;_x_tr_tl=en&amp;_x_tr_hl=en&amp;_x_tr_pto=sc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tc={81E59A61-F04A-4BEF-BE74-E33BC52CDBAA}</author>
  </authors>
  <commentList>
    <comment ref="A4" authorId="0" shapeId="0" xr:uid="{81E59A61-F04A-4BEF-BE74-E33BC52CDBA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https://www-ukrstat-gov-ua.translate.goog/operativ/operativ2019/sg/ppsgk/arh_ppsgk_u.html?_x_tr_sl=uk&amp;_x_tr_tl=en&amp;_x_tr_hl=en&amp;_x_tr_pto=sc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tc={4A392E87-086A-425E-A698-6704EFB6BF59}</author>
  </authors>
  <commentList>
    <comment ref="A4" authorId="0" shapeId="0" xr:uid="{4A392E87-086A-425E-A698-6704EFB6BF5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https://www-ukrstat-gov-ua.translate.goog/operativ/operativ2019/sg/ppsgk/arh_ppsgk_u.html?_x_tr_sl=uk&amp;_x_tr_tl=en&amp;_x_tr_hl=en&amp;_x_tr_pto=sc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tc={35985356-6898-48D4-83D2-C7EE7D1D1F81}</author>
  </authors>
  <commentList>
    <comment ref="A4" authorId="0" shapeId="0" xr:uid="{35985356-6898-48D4-83D2-C7EE7D1D1F81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https://www-ukrstat-gov-ua.translate.goog/operativ/operativ2019/sg/ppsgk/arh_ppsgk_u.html?_x_tr_sl=uk&amp;_x_tr_tl=en&amp;_x_tr_hl=en&amp;_x_tr_pto=sc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<sst xmlns="http://schemas.openxmlformats.org/spreadsheetml/2006/main" count="3794" uniqueCount="389">
  <si>
    <t>WORLD CORN SUPPLY AND DEMAND (Million Tonnes/Million Hectares)</t>
  </si>
  <si>
    <t>World</t>
  </si>
  <si>
    <t>23/24</t>
  </si>
  <si>
    <t>24/25</t>
  </si>
  <si>
    <t>25/26</t>
  </si>
  <si>
    <t>Marketing Year -  Oct to Sep</t>
  </si>
  <si>
    <t>USDA</t>
  </si>
  <si>
    <t>Change from</t>
  </si>
  <si>
    <t>Fastmarkets</t>
  </si>
  <si>
    <t>Planted Area</t>
  </si>
  <si>
    <t>Harvested Area</t>
  </si>
  <si>
    <t>Yield</t>
  </si>
  <si>
    <t>Beginning Stocks</t>
  </si>
  <si>
    <t>Production</t>
  </si>
  <si>
    <t>Imports</t>
  </si>
  <si>
    <t xml:space="preserve">  Total Supply</t>
  </si>
  <si>
    <t>Domestic Use</t>
  </si>
  <si>
    <t>Feed &amp; Residual</t>
  </si>
  <si>
    <t>Food/Seed/Industrial</t>
  </si>
  <si>
    <t>Exports</t>
  </si>
  <si>
    <t xml:space="preserve">  Total Use</t>
  </si>
  <si>
    <t>Ending Stocks</t>
  </si>
  <si>
    <t>Stocks/Use</t>
  </si>
  <si>
    <t>ARGENTINA CORN SUPPLY AND DEMAND (Million Tonnes/Million Hectares)</t>
  </si>
  <si>
    <t>Argentina</t>
  </si>
  <si>
    <t>Marketing Year -  Mar to Feb</t>
  </si>
  <si>
    <t>BRAZIL CORN SUPPLY AND DEMAND (Million Tonnes/Million Hectares)</t>
  </si>
  <si>
    <t>Brazil</t>
  </si>
  <si>
    <t>CANADA CORN SUPPLY AND DEMAND (Million Tonnes/Million Hectares)</t>
  </si>
  <si>
    <t>Canada</t>
  </si>
  <si>
    <t>Marketing Year -  Sep to Aug</t>
  </si>
  <si>
    <t>CHINA CORN SUPPLY AND DEMAND (Million Tonnes/Million Hectares)</t>
  </si>
  <si>
    <t>China</t>
  </si>
  <si>
    <t>EU 27 CORN SUPPLY AND DEMAND (Million Tonnes/Million Hectares)</t>
  </si>
  <si>
    <t>EU 27</t>
  </si>
  <si>
    <t>RUSSIA CORN SUPPLY AND DEMAND (Million Tonnes/Million Hectares)</t>
  </si>
  <si>
    <t>Russia</t>
  </si>
  <si>
    <t>UKRAINE CORN SUPPLY AND DEMAND (Million Tonnes/Million Hectares)</t>
  </si>
  <si>
    <t>Ukraine</t>
  </si>
  <si>
    <t>UNITED STATES CORN SUPPLY AND DEMAND (Million Tonnes/Million Hectares)</t>
  </si>
  <si>
    <t>United States</t>
  </si>
  <si>
    <r>
      <t xml:space="preserve">WORLD CORN SUPPLY AND DEMAND </t>
    </r>
    <r>
      <rPr>
        <b/>
        <sz val="12"/>
        <color theme="0"/>
        <rFont val="Arial Narrow"/>
        <family val="2"/>
      </rPr>
      <t>(Milllion Tonnes/Million Hectares)</t>
    </r>
  </si>
  <si>
    <t>BR</t>
  </si>
  <si>
    <t xml:space="preserve">00/01 </t>
  </si>
  <si>
    <t xml:space="preserve">01/02 </t>
  </si>
  <si>
    <t xml:space="preserve">02/03 </t>
  </si>
  <si>
    <t xml:space="preserve">03/04 </t>
  </si>
  <si>
    <t xml:space="preserve">04/05 </t>
  </si>
  <si>
    <t xml:space="preserve">05/06 </t>
  </si>
  <si>
    <t xml:space="preserve">06/07 </t>
  </si>
  <si>
    <t xml:space="preserve">07/08 </t>
  </si>
  <si>
    <t xml:space="preserve">08/09 </t>
  </si>
  <si>
    <t xml:space="preserve">09/10 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</si>
  <si>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</si>
  <si>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</si>
  <si>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</si>
  <si>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</si>
  <si>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</si>
  <si>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15/16 </t>
  </si>
  <si>
    <t xml:space="preserve">16/17 </t>
  </si>
  <si>
    <t xml:space="preserve">17/18 </t>
  </si>
  <si>
    <t xml:space="preserve">18/19 </t>
  </si>
  <si>
    <t>19/20</t>
  </si>
  <si>
    <t>20/21</t>
  </si>
  <si>
    <t>21/22</t>
  </si>
  <si>
    <t>22/23</t>
  </si>
  <si>
    <t>Harvested Percent</t>
  </si>
  <si>
    <t>Carryin (Jul 01)</t>
  </si>
  <si>
    <t xml:space="preserve">  Domestic Use</t>
  </si>
  <si>
    <t xml:space="preserve">    Total Use</t>
  </si>
  <si>
    <t>Carryout (Sep 30)</t>
  </si>
  <si>
    <t>Bold numbers are Jacobsen projections</t>
  </si>
  <si>
    <t>CORN EXPORTS (1,000 Tonnes)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</si>
  <si>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</si>
  <si>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</si>
  <si>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</si>
  <si>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</si>
  <si>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</si>
  <si>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</si>
  <si>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</si>
  <si>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</si>
  <si>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</si>
  <si>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</si>
  <si>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</si>
  <si>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</si>
  <si>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 xml:space="preserve">  Total</t>
  </si>
  <si>
    <t>CORN IMPORTS (1,000 Tonnes)</t>
  </si>
  <si>
    <r>
      <t xml:space="preserve">ARGENTINA CORN SUPPLY AND DEMAND </t>
    </r>
    <r>
      <rPr>
        <b/>
        <sz val="12"/>
        <color theme="0"/>
        <rFont val="Arial Narrow"/>
        <family val="2"/>
      </rPr>
      <t>(Milllion Tonnes/Million Hectares)</t>
    </r>
  </si>
  <si>
    <t>74/75</t>
  </si>
  <si>
    <t xml:space="preserve">75/76 </t>
  </si>
  <si>
    <t xml:space="preserve">76/77 </t>
  </si>
  <si>
    <t xml:space="preserve">77/78 </t>
  </si>
  <si>
    <t xml:space="preserve">78/79 </t>
  </si>
  <si>
    <t xml:space="preserve">79/80 </t>
  </si>
  <si>
    <t xml:space="preserve">80/81 </t>
  </si>
  <si>
    <t xml:space="preserve">81/82 </t>
  </si>
  <si>
    <t xml:space="preserve">82/83 </t>
  </si>
  <si>
    <t xml:space="preserve">83/84 </t>
  </si>
  <si>
    <t xml:space="preserve">84/85 </t>
  </si>
  <si>
    <t xml:space="preserve">85/86 </t>
  </si>
  <si>
    <t xml:space="preserve">86/87 </t>
  </si>
  <si>
    <t xml:space="preserve">87/88 </t>
  </si>
  <si>
    <t xml:space="preserve">88/89 </t>
  </si>
  <si>
    <t xml:space="preserve">89/90 </t>
  </si>
  <si>
    <t xml:space="preserve">90/91 </t>
  </si>
  <si>
    <t xml:space="preserve">91/92 </t>
  </si>
  <si>
    <t xml:space="preserve">92/93 </t>
  </si>
  <si>
    <t xml:space="preserve">93/94 </t>
  </si>
  <si>
    <t xml:space="preserve">94/95 </t>
  </si>
  <si>
    <t xml:space="preserve">95/96 </t>
  </si>
  <si>
    <t xml:space="preserve">96/97 </t>
  </si>
  <si>
    <t xml:space="preserve">97/98 </t>
  </si>
  <si>
    <t xml:space="preserve">98/99 </t>
  </si>
  <si>
    <t xml:space="preserve">99/00 </t>
  </si>
  <si>
    <t>Carryin (Mar 1)</t>
  </si>
  <si>
    <t>Carryout (Feb 28)</t>
  </si>
  <si>
    <t>HS Codes</t>
  </si>
  <si>
    <t>10051, 10059</t>
  </si>
  <si>
    <t>Mar-Feb</t>
  </si>
  <si>
    <t>Argentina Ministry of Agriculture (Million Tonnes/Million Hectares)</t>
  </si>
  <si>
    <t>http://www.siia.gov.ar/index.php/series-por-tema/agricultura</t>
  </si>
  <si>
    <t>Bolsa De Cereales (Million Tonnes/Million Hectares)</t>
  </si>
  <si>
    <t>https://www.bolsadecereales.com/estimaciones-informes</t>
  </si>
  <si>
    <t>USDA (Million Tonnes/Million Hectares)</t>
  </si>
  <si>
    <t>https://apps.fas.usda.gov/psdonline/app/index.html#/app/advQuery</t>
  </si>
  <si>
    <t>Soybean Acres</t>
  </si>
  <si>
    <t>Wheat Acres</t>
  </si>
  <si>
    <t>Total Corn. Soybean, and Wheat Acres</t>
  </si>
  <si>
    <t>Export Quota</t>
  </si>
  <si>
    <t>Exports (Sep/Aug)</t>
  </si>
  <si>
    <t>Exports (Oct/Sep)</t>
  </si>
  <si>
    <t>Argentina corn stocks</t>
  </si>
  <si>
    <t>Argentina wheat stocks</t>
  </si>
  <si>
    <t>USDA Production</t>
  </si>
  <si>
    <t>CORN GRIND (1,000 Tonnes)</t>
  </si>
  <si>
    <t>MAGyP Corn Grind</t>
  </si>
  <si>
    <t>MAGyP Domestic Use</t>
  </si>
  <si>
    <t>Calendar Year</t>
  </si>
  <si>
    <t>Feed</t>
  </si>
  <si>
    <t>Human Consumption</t>
  </si>
  <si>
    <t>Ethanol</t>
  </si>
  <si>
    <t>Seed</t>
  </si>
  <si>
    <t>(million tonnes)</t>
  </si>
  <si>
    <t>Feed and Residual</t>
  </si>
  <si>
    <t>FSI</t>
  </si>
  <si>
    <t>Arg maize prod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</si>
  <si>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</si>
  <si>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</si>
  <si>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</si>
  <si>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</si>
  <si>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</si>
  <si>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</si>
  <si>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</si>
  <si>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</si>
  <si>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</si>
  <si>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</si>
  <si>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</si>
  <si>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</si>
  <si>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</si>
  <si>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</si>
  <si>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</si>
  <si>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Bolsa De cereales</t>
  </si>
  <si>
    <r>
      <t xml:space="preserve">BRAZIL CORN SUPPLY AND DEMAND </t>
    </r>
    <r>
      <rPr>
        <b/>
        <sz val="12"/>
        <color theme="0"/>
        <rFont val="Arial Narrow"/>
        <family val="2"/>
      </rPr>
      <t>(Milllion Tonnes/Million Hectares)</t>
    </r>
  </si>
  <si>
    <t>26/27</t>
  </si>
  <si>
    <t>Oct/Sep Imports</t>
  </si>
  <si>
    <t>Matrix Exports to</t>
  </si>
  <si>
    <t>Domestic Consumption Percentage</t>
  </si>
  <si>
    <t>Monthly Domestic Usage</t>
  </si>
  <si>
    <t>Main Crop</t>
  </si>
  <si>
    <t>Safrinha Crop</t>
  </si>
  <si>
    <t>3rd Crop</t>
  </si>
  <si>
    <t>Check</t>
  </si>
  <si>
    <t>Main %</t>
  </si>
  <si>
    <t>Exports/Production</t>
  </si>
  <si>
    <t>www.sindiracoes.org.br</t>
  </si>
  <si>
    <t>Consumption of Corn</t>
  </si>
  <si>
    <t>Broilers</t>
  </si>
  <si>
    <t>Layers</t>
  </si>
  <si>
    <t>Swine</t>
  </si>
  <si>
    <t>Dairy</t>
  </si>
  <si>
    <t>Beef</t>
  </si>
  <si>
    <t>Other</t>
  </si>
  <si>
    <t>Total</t>
  </si>
  <si>
    <t>Brazil Corn Usage</t>
  </si>
  <si>
    <t>Poultry</t>
  </si>
  <si>
    <t>Other Feed and Residual</t>
  </si>
  <si>
    <t>Food, Seed, and Industrial</t>
  </si>
  <si>
    <t>CONAB** Different MY</t>
  </si>
  <si>
    <t>Carryin (Feb 1)</t>
  </si>
  <si>
    <t>Supply</t>
  </si>
  <si>
    <t>Domestic Consumption</t>
  </si>
  <si>
    <t>Final stocks</t>
  </si>
  <si>
    <t>27/28</t>
  </si>
  <si>
    <t>28/29</t>
  </si>
  <si>
    <t>29/30</t>
  </si>
  <si>
    <t>30/31</t>
  </si>
  <si>
    <t>31/32</t>
  </si>
  <si>
    <t>32/33</t>
  </si>
  <si>
    <t>33/34</t>
  </si>
  <si>
    <t>34/35</t>
  </si>
  <si>
    <t>35/36</t>
  </si>
  <si>
    <t>36/37</t>
  </si>
  <si>
    <t>37/38</t>
  </si>
  <si>
    <t>38/39</t>
  </si>
  <si>
    <t>39/40</t>
  </si>
  <si>
    <t>40/41</t>
  </si>
  <si>
    <t>41/42</t>
  </si>
  <si>
    <t>42/43</t>
  </si>
  <si>
    <t>43/44</t>
  </si>
  <si>
    <r>
      <t xml:space="preserve">Beginning Stocks </t>
    </r>
    <r>
      <rPr>
        <b/>
        <sz val="10"/>
        <color theme="1"/>
        <rFont val="Arial Narrow"/>
        <family val="2"/>
      </rPr>
      <t>(September 1)</t>
    </r>
  </si>
  <si>
    <r>
      <t xml:space="preserve">Ending Stocks </t>
    </r>
    <r>
      <rPr>
        <b/>
        <sz val="10"/>
        <color theme="1"/>
        <rFont val="Arial Narrow"/>
        <family val="2"/>
      </rPr>
      <t>(August 31)</t>
    </r>
  </si>
  <si>
    <t>Futures Price ($/bu.)</t>
  </si>
  <si>
    <t>Farm Price ($/bu.)</t>
  </si>
  <si>
    <t>Bold numbers are Jacobsen Projections</t>
  </si>
  <si>
    <t>STATISTICS CANADA (1,000 Tonnes)</t>
  </si>
  <si>
    <t>STATS CANADA STOCKS REPORT</t>
  </si>
  <si>
    <t xml:space="preserve">  On Farms</t>
  </si>
  <si>
    <t xml:space="preserve">  In Commerical Positions</t>
  </si>
  <si>
    <t xml:space="preserve">    Total</t>
  </si>
  <si>
    <t>Sep/Dec</t>
  </si>
  <si>
    <t>Domestic Disappearance</t>
  </si>
  <si>
    <t xml:space="preserve">  Seed Requirements</t>
  </si>
  <si>
    <t xml:space="preserve">  Industrial Use</t>
  </si>
  <si>
    <t xml:space="preserve">  Loss in Handling</t>
  </si>
  <si>
    <t xml:space="preserve">  Feed, Waste &amp; Dockage</t>
  </si>
  <si>
    <t>Dec. 31 Stocks</t>
  </si>
  <si>
    <t>Ending stocks on farms</t>
  </si>
  <si>
    <t>Ending stocks in commercial positions</t>
  </si>
  <si>
    <t>Jan/Mar</t>
  </si>
  <si>
    <t>Mar. 31 Stocks</t>
  </si>
  <si>
    <t>Apr/Aug</t>
  </si>
  <si>
    <t>Aug 31 Stocks</t>
  </si>
  <si>
    <t>CORN EXPORTS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</si>
  <si>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</si>
  <si>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</si>
  <si>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</si>
  <si>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</si>
  <si>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</si>
  <si>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</si>
  <si>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</si>
  <si>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</si>
  <si>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June</t>
  </si>
  <si>
    <t>July</t>
  </si>
  <si>
    <t>August</t>
  </si>
  <si>
    <t>CORN IMPORTS</t>
  </si>
  <si>
    <t>Industrial use</t>
  </si>
  <si>
    <t>Sep to Dec</t>
  </si>
  <si>
    <t>Jan to Mar</t>
  </si>
  <si>
    <t>Apr to Aug</t>
  </si>
  <si>
    <t>Feed, Waste &amp; Dockage</t>
  </si>
  <si>
    <r>
      <t xml:space="preserve">CHINA CORN SUPPLY AND DEMAND </t>
    </r>
    <r>
      <rPr>
        <b/>
        <sz val="12"/>
        <color theme="0"/>
        <rFont val="Arial Narrow"/>
        <family val="2"/>
      </rPr>
      <t>(Milllion Tonnes/Million Hectares)</t>
    </r>
  </si>
  <si>
    <t>Carryin (Oct 1)</t>
  </si>
  <si>
    <t>Oct-Sep</t>
  </si>
  <si>
    <t>Feed Use</t>
  </si>
  <si>
    <t xml:space="preserve">  Corn</t>
  </si>
  <si>
    <t xml:space="preserve">  Wheat</t>
  </si>
  <si>
    <t xml:space="preserve">  Barley</t>
  </si>
  <si>
    <t xml:space="preserve">  Oats</t>
  </si>
  <si>
    <t xml:space="preserve">  Sorghum</t>
  </si>
  <si>
    <t xml:space="preserve">  DDG's</t>
  </si>
  <si>
    <t xml:space="preserve">    Percent Increase</t>
  </si>
  <si>
    <t>Meal Domestic Use</t>
  </si>
  <si>
    <t xml:space="preserve">  Soybean</t>
  </si>
  <si>
    <t xml:space="preserve">  Rapeseed</t>
  </si>
  <si>
    <t xml:space="preserve">  Sunflower</t>
  </si>
  <si>
    <t xml:space="preserve">  Cottonseed</t>
  </si>
  <si>
    <t xml:space="preserve">  Groundnut</t>
  </si>
  <si>
    <t xml:space="preserve">  Fish</t>
  </si>
  <si>
    <t>Grain and Meal Use</t>
  </si>
  <si>
    <t xml:space="preserve">  Percent Grain</t>
  </si>
  <si>
    <t xml:space="preserve">  Percent Meal</t>
  </si>
  <si>
    <t>China DDG Imports</t>
  </si>
  <si>
    <r>
      <t xml:space="preserve">EU 27 CORN SUPPLY AND DEMAND </t>
    </r>
    <r>
      <rPr>
        <b/>
        <sz val="12"/>
        <color theme="0"/>
        <rFont val="Arial Narrow"/>
        <family val="2"/>
      </rPr>
      <t>(Milllion Tonnes/Million Hectares)</t>
    </r>
  </si>
  <si>
    <t>10/11</t>
  </si>
  <si>
    <t>11/12</t>
  </si>
  <si>
    <t>Carryin (Oct 01)</t>
  </si>
  <si>
    <t>Human consumption</t>
  </si>
  <si>
    <t>Industrial Use</t>
  </si>
  <si>
    <t xml:space="preserve">      of which biofuel/ethanol</t>
  </si>
  <si>
    <t>Carryout (Sep 31)</t>
  </si>
  <si>
    <t xml:space="preserve">RUSSIA CORN SUPPLY AND DEMAND </t>
  </si>
  <si>
    <t>milllion tonnes/million hectares - Purple numbers are Fastmarkets projections</t>
  </si>
  <si>
    <r>
      <t xml:space="preserve">CORN PRICE </t>
    </r>
    <r>
      <rPr>
        <sz val="8"/>
        <color rgb="FF6F0791"/>
        <rFont val="Aptos Display"/>
        <family val="2"/>
      </rPr>
      <t>($/tonne)</t>
    </r>
  </si>
  <si>
    <t xml:space="preserve">  Marketing-Year Average</t>
  </si>
  <si>
    <r>
      <t xml:space="preserve">UKRAINE CORN SUPPLY AND DEMAND </t>
    </r>
    <r>
      <rPr>
        <b/>
        <sz val="12"/>
        <color theme="0"/>
        <rFont val="Arial Narrow"/>
        <family val="2"/>
      </rPr>
      <t>(Milllion Tonnes/Million Hectares)</t>
    </r>
  </si>
  <si>
    <t>2025 area, look at margins to assertain intentions.</t>
  </si>
  <si>
    <t>Carryin (Oct01)</t>
  </si>
  <si>
    <t>Sep to Oct</t>
  </si>
  <si>
    <r>
      <t xml:space="preserve">JAPAN CORN SUPPLY AND DEMAND </t>
    </r>
    <r>
      <rPr>
        <b/>
        <sz val="12"/>
        <color theme="0"/>
        <rFont val="Arial Narrow"/>
        <family val="2"/>
      </rPr>
      <t>(Milllion Tonnes/Million Hectares)</t>
    </r>
  </si>
  <si>
    <t>Food/Seed/Ind</t>
  </si>
  <si>
    <t>Oct to Sep</t>
  </si>
  <si>
    <t>2022/2023</t>
  </si>
  <si>
    <t>2023/2024</t>
  </si>
  <si>
    <t>2024/2025</t>
  </si>
  <si>
    <t>2025/2026</t>
  </si>
  <si>
    <t>Commodity</t>
  </si>
  <si>
    <t>Attribute</t>
  </si>
  <si>
    <t>Country</t>
  </si>
  <si>
    <t>Final</t>
  </si>
  <si>
    <t>Corn</t>
  </si>
  <si>
    <t>World-Major</t>
  </si>
  <si>
    <t>Total Supply</t>
  </si>
  <si>
    <t>Total Distribution</t>
  </si>
  <si>
    <t>Update monthly</t>
  </si>
  <si>
    <t>https://balanca.economia.gov.br/balanca/publicacoes_dados_consolidados/pg.html</t>
  </si>
  <si>
    <t>BRAZILIAN CORN PRODUCTION BY STATE</t>
  </si>
  <si>
    <t>CONAB Implied Yr/Yr Change</t>
  </si>
  <si>
    <t>RLC Implied Yr/Yr Change</t>
  </si>
  <si>
    <t>Five-Year CAGR</t>
  </si>
  <si>
    <t>5-Yr Trend</t>
  </si>
  <si>
    <t>Checked vs. Nov  Crop Prod</t>
  </si>
  <si>
    <t>(000 ha, kg/ha, 000 mt)</t>
  </si>
  <si>
    <t>2025/26</t>
  </si>
  <si>
    <t xml:space="preserve">North </t>
  </si>
  <si>
    <t>1976/77</t>
  </si>
  <si>
    <t xml:space="preserve">1977/78 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</si>
  <si>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</si>
  <si>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</si>
  <si>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</si>
  <si>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</si>
  <si>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</si>
  <si>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</si>
  <si>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</si>
  <si>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</si>
  <si>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</si>
  <si>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</si>
  <si>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</si>
  <si>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</si>
  <si>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</si>
  <si>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</si>
  <si>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</si>
  <si>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</si>
  <si>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</si>
  <si>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</si>
  <si>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</si>
  <si>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</si>
  <si>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</si>
  <si>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</si>
  <si>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</si>
  <si>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</si>
  <si>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</si>
  <si>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</si>
  <si>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</si>
  <si>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</si>
  <si>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</si>
  <si>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</si>
  <si>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</si>
  <si>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</si>
  <si>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CONAB</t>
  </si>
  <si>
    <t>RLC</t>
  </si>
  <si>
    <t>RLC - CONAB</t>
  </si>
  <si>
    <t>Notes</t>
  </si>
  <si>
    <t>area</t>
  </si>
  <si>
    <t>yield</t>
  </si>
  <si>
    <t>production</t>
  </si>
  <si>
    <t>Roraima</t>
  </si>
  <si>
    <t>Rondônia</t>
  </si>
  <si>
    <t>Acre</t>
  </si>
  <si>
    <t>Amazonas</t>
  </si>
  <si>
    <t>Amapá</t>
  </si>
  <si>
    <t>Pará</t>
  </si>
  <si>
    <t>Tocantins</t>
  </si>
  <si>
    <t>Northeast</t>
  </si>
  <si>
    <t>Maranhão</t>
  </si>
  <si>
    <t>Piauí</t>
  </si>
  <si>
    <t>Ceará</t>
  </si>
  <si>
    <t>Rio Grande do Norte</t>
  </si>
  <si>
    <t>Paraiba</t>
  </si>
  <si>
    <t>Pernambuco</t>
  </si>
  <si>
    <t>Alagoas</t>
  </si>
  <si>
    <t>Sergipe</t>
  </si>
  <si>
    <t>Bahia</t>
  </si>
  <si>
    <t>Center West</t>
  </si>
  <si>
    <t>MatoGrosso</t>
  </si>
  <si>
    <t>MatoGrosso do Sul</t>
  </si>
  <si>
    <t>yield (kg/ha)</t>
  </si>
  <si>
    <t>production (MMT)</t>
  </si>
  <si>
    <t>Goiás</t>
  </si>
  <si>
    <t>Distrito Federal</t>
  </si>
  <si>
    <t>Southeast</t>
  </si>
  <si>
    <t>Minas Gerais</t>
  </si>
  <si>
    <t>Espirito Santo</t>
  </si>
  <si>
    <t>Rio de Janeiro</t>
  </si>
  <si>
    <t>Sao Paulo</t>
  </si>
  <si>
    <t>South</t>
  </si>
  <si>
    <t>Paraná</t>
  </si>
  <si>
    <t>Santa Catarina</t>
  </si>
  <si>
    <t>Rio Grande do Sul</t>
  </si>
  <si>
    <t>Shaded Cells and Bold Numbers are RLC Estimates and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</si>
</sst>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8" formatCode="&quot;$&quot;#,##0.00_);[Red]\(&quot;$&quot;#,##0.00\)"/>
    <numFmt numFmtId="43" formatCode="_(* #,##0.00_);_(* \(#,##0.00\);_(* &quot;-&quot;??_);_(@_)"/>
    <numFmt numFmtId="164" formatCode="0.0_);[Red]\(0.0\)"/>
    <numFmt numFmtId="165" formatCode="0.0"/>
    <numFmt numFmtId="166" formatCode="#,##0.000_);[Red]\(#,##0.000\)"/>
    <numFmt numFmtId="167" formatCode="#,##0.0_);[Red]\(#,##0.0\)"/>
    <numFmt numFmtId="168" formatCode="0.000;[Red]0.000"/>
    <numFmt numFmtId="169" formatCode="0.0%"/>
    <numFmt numFmtId="170" formatCode="#,##0_)"/>
    <numFmt numFmtId="171" formatCode=";;;"/>
    <numFmt numFmtId="172" formatCode="#,##0.0_)"/>
    <numFmt numFmtId="173" formatCode="#,##0.000000000000000"/>
    <numFmt numFmtId="174" formatCode="#,##0.00_)"/>
    <numFmt numFmtId="175" formatCode="#,##0.000_)"/>
    <numFmt numFmtId="176" formatCode="#,##0.00000000000;[Red]#,##0.00000000000"/>
    <numFmt numFmtId="177" formatCode="_-* #,##0.00_-;\-* #,##0.00_-;_-* &quot;-&quot;??_-;_-@_-"/>
    <numFmt numFmtId="178" formatCode="_-* #,##0_-;\-* #,##0_-;_-* &quot;-&quot;??_-;_-@_-"/>
    <numFmt numFmtId="179" formatCode="_-* #,##0.0_-;\-* #,##0.0_-;_-* &quot;-&quot;??_-;_-@_-"/>
    <numFmt numFmtId="180" formatCode="0.00_);[Red]\(0.00\)"/>
    <numFmt numFmtId="181" formatCode="#,##0.000000000000;[Red]#,##0.000000000000"/>
    <numFmt numFmtId="182" formatCode="#,##0.0;[Red]\-#,##0.0"/>
    <numFmt numFmtId="183" formatCode="&quot;$&quot;#,##0.000_);[Red]\(&quot;$&quot;#,##0.000\)"/>
    <numFmt numFmtId="184" formatCode="#,##0.0"/>
    <numFmt numFmtId="185" formatCode="#,##0.00000000000000;[Red]#,##0.00000000000000"/>
    <numFmt numFmtId="186" formatCode="#,##0.0000"/>
    <numFmt numFmtId="187" formatCode="#,##0.0000000000000;[Red]#,##0.0000000000000"/>
    <numFmt numFmtId="188" formatCode="0.000_);[Red]\(0.000\)"/>
    <numFmt numFmtId="189" formatCode="0_);[Red]\(0\)"/>
    <numFmt numFmtId="190" formatCode="#,##0.00;[Red]#,##0.00"/>
    <numFmt numFmtId="191" formatCode="_-* #,##0.00\ _E_s_c_._-;\-* #,##0.00\ _E_s_c_._-;_-* &quot;-&quot;??\ _E_s_c_._-;_-@_-"/>
    <numFmt numFmtId="192" formatCode="_(* #,##0_);_(* \(#,##0\);_(* &quot;-&quot;?_);_(@_)"/>
    <numFmt numFmtId="193" formatCode="_(* #,##0.0_);_(* \(#,##0.0\);_(* &quot;-&quot;?_);_(@_)"/>
  </numFmts>
  <fonts count="4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b/>
      <sz val="9"/>
      <color theme="1"/>
      <name val="Helvetica-Normal"/>
    </font>
    <font>
      <b/>
      <sz val="10"/>
      <color theme="1"/>
      <name val="Helvetica-Normal"/>
    </font>
    <font>
      <b/>
      <sz val="8"/>
      <color theme="1"/>
      <name val="Helvetica-Normal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4"/>
      <color theme="0"/>
      <name val="Arial Narrow"/>
      <family val="2"/>
    </font>
    <font>
      <b/>
      <sz val="12"/>
      <color theme="0"/>
      <name val="Arial Narrow"/>
      <family val="2"/>
    </font>
    <font>
      <b/>
      <sz val="12"/>
      <color theme="1"/>
      <name val="Arial Narrow"/>
      <family val="2"/>
    </font>
    <font>
      <b/>
      <sz val="10"/>
      <color theme="1"/>
      <name val="Arial Narrow"/>
      <family val="2"/>
    </font>
    <font>
      <u/>
      <sz val="10"/>
      <color theme="10"/>
      <name val="Arial Narrow"/>
      <family val="2"/>
    </font>
    <font>
      <sz val="10"/>
      <color theme="0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i/>
      <sz val="12"/>
      <color theme="1"/>
      <name val="Arial Narrow"/>
      <family val="2"/>
    </font>
    <font>
      <b/>
      <sz val="16"/>
      <color theme="0"/>
      <name val="Aptos Display"/>
      <family val="2"/>
    </font>
    <font>
      <b/>
      <sz val="10"/>
      <color theme="0"/>
      <name val="Aptos Display"/>
      <family val="2"/>
    </font>
    <font>
      <sz val="10"/>
      <color theme="1"/>
      <name val="Aptos Display"/>
      <family val="2"/>
    </font>
    <font>
      <b/>
      <sz val="10"/>
      <color theme="1"/>
      <name val="Aptos Display"/>
      <family val="2"/>
    </font>
    <font>
      <sz val="10"/>
      <color rgb="FF6F0791"/>
      <name val="Aptos Display"/>
      <family val="2"/>
    </font>
    <font>
      <b/>
      <i/>
      <sz val="10"/>
      <color theme="1"/>
      <name val="Aptos Display"/>
      <family val="2"/>
    </font>
    <font>
      <sz val="11"/>
      <color rgb="FF6F0791"/>
      <name val="Aptos Display"/>
      <family val="2"/>
    </font>
    <font>
      <sz val="8"/>
      <color rgb="FF6F0791"/>
      <name val="Aptos Display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b/>
      <sz val="16"/>
      <color rgb="FF18453B"/>
      <name val="Calibri"/>
      <family val="2"/>
    </font>
    <font>
      <sz val="11"/>
      <color rgb="FF18453B"/>
      <name val="Calibri"/>
      <family val="2"/>
    </font>
    <font>
      <sz val="10"/>
      <color rgb="FF18453B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18453B"/>
      <name val="Calibri"/>
      <family val="2"/>
    </font>
    <font>
      <b/>
      <sz val="11"/>
      <color theme="1"/>
      <name val="Calibri"/>
      <family val="2"/>
    </font>
    <font>
      <b/>
      <sz val="10"/>
      <color rgb="FF18453B"/>
      <name val="Calibri"/>
      <family val="2"/>
    </font>
    <font>
      <b/>
      <sz val="12"/>
      <color rgb="FF18453B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AD2"/>
        <bgColor indexed="64"/>
      </patternFill>
    </fill>
    <fill>
      <patternFill patternType="solid">
        <fgColor rgb="FFF2F7ED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rgb="FF6F0791"/>
      </top>
      <bottom style="medium">
        <color rgb="FF6F0791"/>
      </bottom>
      <diagonal/>
    </border>
    <border>
      <left style="medium">
        <color rgb="FF6F0791"/>
      </left>
      <right style="medium">
        <color rgb="FF6F0791"/>
      </right>
      <top style="medium">
        <color rgb="FF6F0791"/>
      </top>
      <bottom style="medium">
        <color rgb="FF6F0791"/>
      </bottom>
      <diagonal/>
    </border>
    <border>
      <left style="medium">
        <color rgb="FF6F0791"/>
      </left>
      <right/>
      <top style="medium">
        <color rgb="FF6F0791"/>
      </top>
      <bottom style="medium">
        <color rgb="FF6F0791"/>
      </bottom>
      <diagonal/>
    </border>
    <border>
      <left/>
      <right style="medium">
        <color rgb="FF6F0791"/>
      </right>
      <top style="medium">
        <color rgb="FF6F0791"/>
      </top>
      <bottom style="medium">
        <color rgb="FF6F0791"/>
      </bottom>
      <diagonal/>
    </border>
    <border>
      <left style="medium">
        <color rgb="FF6F0791"/>
      </left>
      <right style="medium">
        <color rgb="FF6F0791"/>
      </right>
      <top style="medium">
        <color rgb="FF6F0791"/>
      </top>
      <bottom/>
      <diagonal/>
    </border>
    <border>
      <left/>
      <right/>
      <top style="medium">
        <color rgb="FF6F0791"/>
      </top>
      <bottom/>
      <diagonal/>
    </border>
    <border>
      <left style="thin">
        <color rgb="FF6F0791"/>
      </left>
      <right/>
      <top style="medium">
        <color rgb="FF6F0791"/>
      </top>
      <bottom/>
      <diagonal/>
    </border>
    <border>
      <left style="medium">
        <color rgb="FF6F0791"/>
      </left>
      <right/>
      <top style="medium">
        <color rgb="FF6F0791"/>
      </top>
      <bottom/>
      <diagonal/>
    </border>
    <border>
      <left style="thin">
        <color rgb="FF6F0791"/>
      </left>
      <right style="medium">
        <color rgb="FF6F0791"/>
      </right>
      <top style="medium">
        <color rgb="FF6F0791"/>
      </top>
      <bottom/>
      <diagonal/>
    </border>
    <border>
      <left style="medium">
        <color rgb="FF6F0791"/>
      </left>
      <right style="medium">
        <color rgb="FF6F0791"/>
      </right>
      <top/>
      <bottom/>
      <diagonal/>
    </border>
    <border>
      <left style="thin">
        <color rgb="FF6F0791"/>
      </left>
      <right/>
      <top/>
      <bottom/>
      <diagonal/>
    </border>
    <border>
      <left style="medium">
        <color rgb="FF6F0791"/>
      </left>
      <right/>
      <top/>
      <bottom/>
      <diagonal/>
    </border>
    <border>
      <left style="thin">
        <color rgb="FF6F0791"/>
      </left>
      <right style="medium">
        <color rgb="FF6F0791"/>
      </right>
      <top/>
      <bottom/>
      <diagonal/>
    </border>
    <border>
      <left/>
      <right style="thin">
        <color rgb="FF6F0791"/>
      </right>
      <top style="medium">
        <color rgb="FF6F0791"/>
      </top>
      <bottom/>
      <diagonal/>
    </border>
    <border>
      <left/>
      <right style="thin">
        <color rgb="FF6F0791"/>
      </right>
      <top/>
      <bottom/>
      <diagonal/>
    </border>
    <border>
      <left/>
      <right/>
      <top style="thin">
        <color rgb="FF6F0791"/>
      </top>
      <bottom/>
      <diagonal/>
    </border>
    <border>
      <left style="medium">
        <color rgb="FF6F0791"/>
      </left>
      <right style="medium">
        <color rgb="FF6F0791"/>
      </right>
      <top style="thin">
        <color rgb="FF6F0791"/>
      </top>
      <bottom/>
      <diagonal/>
    </border>
    <border>
      <left/>
      <right style="thin">
        <color rgb="FF6F0791"/>
      </right>
      <top style="thin">
        <color rgb="FF6F0791"/>
      </top>
      <bottom/>
      <diagonal/>
    </border>
    <border>
      <left style="thin">
        <color rgb="FF6F0791"/>
      </left>
      <right/>
      <top style="thin">
        <color rgb="FF6F0791"/>
      </top>
      <bottom/>
      <diagonal/>
    </border>
    <border>
      <left style="medium">
        <color rgb="FF6F0791"/>
      </left>
      <right/>
      <top style="thin">
        <color rgb="FF6F0791"/>
      </top>
      <bottom/>
      <diagonal/>
    </border>
    <border>
      <left style="thin">
        <color rgb="FF6F0791"/>
      </left>
      <right style="medium">
        <color rgb="FF6F0791"/>
      </right>
      <top style="thin">
        <color rgb="FF6F0791"/>
      </top>
      <bottom/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/>
      <right/>
      <top/>
      <bottom style="thin">
        <color rgb="FF6F0791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8C8C8C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8E9A44"/>
      </bottom>
      <diagonal/>
    </border>
    <border>
      <left/>
      <right/>
      <top style="medium">
        <color rgb="FF8E9A44"/>
      </top>
      <bottom style="medium">
        <color rgb="FF8E9A4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rgb="FF333333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/>
      <top style="medium">
        <color rgb="FF333333"/>
      </top>
      <bottom style="medium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/>
      <top/>
      <bottom/>
      <diagonal/>
    </border>
    <border>
      <left style="medium">
        <color rgb="FF333333"/>
      </left>
      <right/>
      <top style="medium">
        <color rgb="FF333333"/>
      </top>
      <bottom/>
      <diagonal/>
    </border>
    <border>
      <left/>
      <right/>
      <top style="medium">
        <color rgb="FF333333"/>
      </top>
      <bottom/>
      <diagonal/>
    </border>
    <border>
      <left/>
      <right style="medium">
        <color rgb="FF333333"/>
      </right>
      <top style="medium">
        <color rgb="FF333333"/>
      </top>
      <bottom/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medium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 style="medium">
        <color rgb="FF333333"/>
      </right>
      <top style="thin">
        <color rgb="FF333333"/>
      </top>
      <bottom style="thin">
        <color rgb="FF333333"/>
      </bottom>
      <diagonal/>
    </border>
    <border>
      <left style="medium">
        <color rgb="FF333333"/>
      </left>
      <right/>
      <top/>
      <bottom style="thick">
        <color rgb="FF333333"/>
      </bottom>
      <diagonal/>
    </border>
    <border>
      <left/>
      <right/>
      <top/>
      <bottom style="thick">
        <color rgb="FF333333"/>
      </bottom>
      <diagonal/>
    </border>
    <border>
      <left/>
      <right style="medium">
        <color rgb="FF333333"/>
      </right>
      <top/>
      <bottom style="thick">
        <color rgb="FF333333"/>
      </bottom>
      <diagonal/>
    </border>
    <border>
      <left/>
      <right/>
      <top style="thick">
        <color rgb="FF333333"/>
      </top>
      <bottom/>
      <diagonal/>
    </border>
    <border>
      <left style="medium">
        <color rgb="FF333333"/>
      </left>
      <right/>
      <top/>
      <bottom style="thin">
        <color rgb="FF333333"/>
      </bottom>
      <diagonal/>
    </border>
  </borders>
  <cellStyleXfs count="10">
    <xf numFmtId="0" fontId="0" fillId="0" borderId="0"/>
    <xf numFmtId="17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1" fontId="33" fillId="0" borderId="0" applyFont="0" applyFill="0" applyBorder="0" applyAlignment="0" applyProtection="0"/>
  </cellStyleXfs>
  <cellXfs count="394">
    <xf numFmtId="0" fontId="0" fillId="0" borderId="0" xfId="0"/>
    <xf numFmtId="0" fontId="5" fillId="2" borderId="0" xfId="3" applyFont="1" applyFill="1"/>
    <xf numFmtId="0" fontId="4" fillId="2" borderId="0" xfId="3" applyFill="1"/>
    <xf numFmtId="0" fontId="4" fillId="0" borderId="0" xfId="3"/>
    <xf numFmtId="3" fontId="6" fillId="2" borderId="1" xfId="3" applyNumberFormat="1" applyFont="1" applyFill="1" applyBorder="1" applyAlignment="1">
      <alignment horizontal="right"/>
    </xf>
    <xf numFmtId="0" fontId="6" fillId="2" borderId="2" xfId="3" quotePrefix="1" applyFont="1" applyFill="1" applyBorder="1" applyAlignment="1">
      <alignment horizontal="center" vertical="center"/>
    </xf>
    <xf numFmtId="0" fontId="9" fillId="2" borderId="6" xfId="3" applyFont="1" applyFill="1" applyBorder="1" applyAlignment="1">
      <alignment horizontal="center" vertical="center" wrapText="1"/>
    </xf>
    <xf numFmtId="0" fontId="4" fillId="2" borderId="0" xfId="3" applyFill="1" applyAlignment="1">
      <alignment horizontal="right"/>
    </xf>
    <xf numFmtId="17" fontId="9" fillId="2" borderId="0" xfId="3" applyNumberFormat="1" applyFont="1" applyFill="1" applyAlignment="1">
      <alignment horizontal="center" vertical="center" wrapText="1"/>
    </xf>
    <xf numFmtId="0" fontId="4" fillId="0" borderId="0" xfId="3" quotePrefix="1"/>
    <xf numFmtId="0" fontId="6" fillId="2" borderId="0" xfId="3" applyFont="1" applyFill="1" applyAlignment="1">
      <alignment horizontal="right"/>
    </xf>
    <xf numFmtId="164" fontId="10" fillId="2" borderId="5" xfId="3" applyNumberFormat="1" applyFont="1" applyFill="1" applyBorder="1"/>
    <xf numFmtId="164" fontId="10" fillId="2" borderId="6" xfId="3" applyNumberFormat="1" applyFont="1" applyFill="1" applyBorder="1"/>
    <xf numFmtId="164" fontId="11" fillId="2" borderId="14" xfId="3" applyNumberFormat="1" applyFont="1" applyFill="1" applyBorder="1" applyAlignment="1">
      <alignment horizontal="center"/>
    </xf>
    <xf numFmtId="164" fontId="10" fillId="2" borderId="7" xfId="3" applyNumberFormat="1" applyFont="1" applyFill="1" applyBorder="1"/>
    <xf numFmtId="164" fontId="10" fillId="2" borderId="8" xfId="3" applyNumberFormat="1" applyFont="1" applyFill="1" applyBorder="1"/>
    <xf numFmtId="164" fontId="10" fillId="2" borderId="9" xfId="3" applyNumberFormat="1" applyFont="1" applyFill="1" applyBorder="1"/>
    <xf numFmtId="165" fontId="4" fillId="0" borderId="0" xfId="3" applyNumberFormat="1"/>
    <xf numFmtId="166" fontId="4" fillId="0" borderId="0" xfId="3" applyNumberFormat="1"/>
    <xf numFmtId="0" fontId="6" fillId="3" borderId="0" xfId="3" applyFont="1" applyFill="1" applyAlignment="1">
      <alignment horizontal="right"/>
    </xf>
    <xf numFmtId="164" fontId="10" fillId="3" borderId="10" xfId="3" applyNumberFormat="1" applyFont="1" applyFill="1" applyBorder="1"/>
    <xf numFmtId="164" fontId="10" fillId="3" borderId="0" xfId="3" applyNumberFormat="1" applyFont="1" applyFill="1"/>
    <xf numFmtId="164" fontId="11" fillId="3" borderId="15" xfId="3" applyNumberFormat="1" applyFont="1" applyFill="1" applyBorder="1" applyAlignment="1">
      <alignment horizontal="center"/>
    </xf>
    <xf numFmtId="164" fontId="10" fillId="3" borderId="11" xfId="3" applyNumberFormat="1" applyFont="1" applyFill="1" applyBorder="1"/>
    <xf numFmtId="164" fontId="10" fillId="3" borderId="12" xfId="3" applyNumberFormat="1" applyFont="1" applyFill="1" applyBorder="1"/>
    <xf numFmtId="164" fontId="10" fillId="3" borderId="13" xfId="3" applyNumberFormat="1" applyFont="1" applyFill="1" applyBorder="1"/>
    <xf numFmtId="164" fontId="10" fillId="2" borderId="10" xfId="3" applyNumberFormat="1" applyFont="1" applyFill="1" applyBorder="1"/>
    <xf numFmtId="164" fontId="10" fillId="2" borderId="0" xfId="3" applyNumberFormat="1" applyFont="1" applyFill="1"/>
    <xf numFmtId="164" fontId="11" fillId="2" borderId="15" xfId="3" applyNumberFormat="1" applyFont="1" applyFill="1" applyBorder="1" applyAlignment="1">
      <alignment horizontal="center"/>
    </xf>
    <xf numFmtId="164" fontId="10" fillId="2" borderId="11" xfId="3" applyNumberFormat="1" applyFont="1" applyFill="1" applyBorder="1"/>
    <xf numFmtId="164" fontId="10" fillId="2" borderId="12" xfId="3" applyNumberFormat="1" applyFont="1" applyFill="1" applyBorder="1"/>
    <xf numFmtId="164" fontId="10" fillId="2" borderId="13" xfId="3" applyNumberFormat="1" applyFont="1" applyFill="1" applyBorder="1"/>
    <xf numFmtId="167" fontId="4" fillId="0" borderId="0" xfId="3" applyNumberFormat="1"/>
    <xf numFmtId="167" fontId="4" fillId="0" borderId="0" xfId="3" quotePrefix="1" applyNumberFormat="1"/>
    <xf numFmtId="3" fontId="6" fillId="3" borderId="16" xfId="3" applyNumberFormat="1" applyFont="1" applyFill="1" applyBorder="1" applyAlignment="1">
      <alignment horizontal="right"/>
    </xf>
    <xf numFmtId="164" fontId="10" fillId="3" borderId="17" xfId="3" applyNumberFormat="1" applyFont="1" applyFill="1" applyBorder="1"/>
    <xf numFmtId="164" fontId="10" fillId="3" borderId="16" xfId="3" applyNumberFormat="1" applyFont="1" applyFill="1" applyBorder="1"/>
    <xf numFmtId="164" fontId="11" fillId="4" borderId="18" xfId="3" applyNumberFormat="1" applyFont="1" applyFill="1" applyBorder="1" applyAlignment="1">
      <alignment horizontal="center"/>
    </xf>
    <xf numFmtId="164" fontId="10" fillId="3" borderId="19" xfId="3" applyNumberFormat="1" applyFont="1" applyFill="1" applyBorder="1"/>
    <xf numFmtId="164" fontId="10" fillId="3" borderId="20" xfId="3" applyNumberFormat="1" applyFont="1" applyFill="1" applyBorder="1"/>
    <xf numFmtId="164" fontId="10" fillId="3" borderId="21" xfId="3" applyNumberFormat="1" applyFont="1" applyFill="1" applyBorder="1"/>
    <xf numFmtId="3" fontId="4" fillId="0" borderId="0" xfId="3" applyNumberFormat="1"/>
    <xf numFmtId="38" fontId="4" fillId="0" borderId="0" xfId="3" applyNumberFormat="1"/>
    <xf numFmtId="164" fontId="11" fillId="4" borderId="15" xfId="3" applyNumberFormat="1" applyFont="1" applyFill="1" applyBorder="1" applyAlignment="1">
      <alignment horizontal="center"/>
    </xf>
    <xf numFmtId="3" fontId="6" fillId="2" borderId="16" xfId="3" applyNumberFormat="1" applyFont="1" applyFill="1" applyBorder="1" applyAlignment="1">
      <alignment horizontal="right"/>
    </xf>
    <xf numFmtId="164" fontId="10" fillId="2" borderId="17" xfId="3" applyNumberFormat="1" applyFont="1" applyFill="1" applyBorder="1"/>
    <xf numFmtId="164" fontId="10" fillId="2" borderId="16" xfId="3" applyNumberFormat="1" applyFont="1" applyFill="1" applyBorder="1"/>
    <xf numFmtId="164" fontId="11" fillId="2" borderId="18" xfId="3" applyNumberFormat="1" applyFont="1" applyFill="1" applyBorder="1" applyAlignment="1">
      <alignment horizontal="center"/>
    </xf>
    <xf numFmtId="164" fontId="10" fillId="2" borderId="19" xfId="3" applyNumberFormat="1" applyFont="1" applyFill="1" applyBorder="1"/>
    <xf numFmtId="164" fontId="10" fillId="2" borderId="20" xfId="3" applyNumberFormat="1" applyFont="1" applyFill="1" applyBorder="1"/>
    <xf numFmtId="164" fontId="10" fillId="2" borderId="21" xfId="3" applyNumberFormat="1" applyFont="1" applyFill="1" applyBorder="1"/>
    <xf numFmtId="168" fontId="4" fillId="2" borderId="0" xfId="3" applyNumberFormat="1" applyFill="1"/>
    <xf numFmtId="40" fontId="4" fillId="0" borderId="0" xfId="3" applyNumberFormat="1"/>
    <xf numFmtId="169" fontId="10" fillId="3" borderId="10" xfId="2" applyNumberFormat="1" applyFont="1" applyFill="1" applyBorder="1"/>
    <xf numFmtId="169" fontId="10" fillId="3" borderId="0" xfId="2" applyNumberFormat="1" applyFont="1" applyFill="1" applyBorder="1"/>
    <xf numFmtId="169" fontId="11" fillId="4" borderId="15" xfId="2" applyNumberFormat="1" applyFont="1" applyFill="1" applyBorder="1" applyAlignment="1">
      <alignment horizontal="center"/>
    </xf>
    <xf numFmtId="169" fontId="10" fillId="3" borderId="11" xfId="2" applyNumberFormat="1" applyFont="1" applyFill="1" applyBorder="1"/>
    <xf numFmtId="169" fontId="10" fillId="3" borderId="12" xfId="2" applyNumberFormat="1" applyFont="1" applyFill="1" applyBorder="1"/>
    <xf numFmtId="169" fontId="10" fillId="3" borderId="13" xfId="2" applyNumberFormat="1" applyFont="1" applyFill="1" applyBorder="1"/>
    <xf numFmtId="169" fontId="0" fillId="0" borderId="0" xfId="4" applyNumberFormat="1" applyFont="1"/>
    <xf numFmtId="165" fontId="0" fillId="0" borderId="0" xfId="4" applyNumberFormat="1" applyFont="1"/>
    <xf numFmtId="0" fontId="4" fillId="2" borderId="6" xfId="3" applyFill="1" applyBorder="1"/>
    <xf numFmtId="169" fontId="4" fillId="0" borderId="0" xfId="5" quotePrefix="1" applyNumberFormat="1" applyFont="1"/>
    <xf numFmtId="0" fontId="9" fillId="2" borderId="6" xfId="3" applyFont="1" applyFill="1" applyBorder="1" applyAlignment="1">
      <alignment vertical="center" wrapText="1"/>
    </xf>
    <xf numFmtId="170" fontId="12" fillId="5" borderId="0" xfId="3" quotePrefix="1" applyNumberFormat="1" applyFont="1" applyFill="1" applyAlignment="1">
      <alignment horizontal="left"/>
    </xf>
    <xf numFmtId="171" fontId="4" fillId="2" borderId="22" xfId="3" applyNumberFormat="1" applyFill="1" applyBorder="1" applyAlignment="1">
      <alignment horizontal="right"/>
    </xf>
    <xf numFmtId="0" fontId="6" fillId="2" borderId="22" xfId="3" applyFont="1" applyFill="1" applyBorder="1" applyAlignment="1">
      <alignment horizontal="center"/>
    </xf>
    <xf numFmtId="171" fontId="4" fillId="2" borderId="0" xfId="3" applyNumberFormat="1" applyFill="1" applyAlignment="1">
      <alignment horizontal="right"/>
    </xf>
    <xf numFmtId="0" fontId="6" fillId="2" borderId="0" xfId="3" applyFont="1" applyFill="1" applyAlignment="1">
      <alignment horizontal="center"/>
    </xf>
    <xf numFmtId="172" fontId="14" fillId="2" borderId="0" xfId="3" quotePrefix="1" applyNumberFormat="1" applyFont="1" applyFill="1" applyAlignment="1">
      <alignment horizontal="left"/>
    </xf>
    <xf numFmtId="172" fontId="4" fillId="2" borderId="0" xfId="3" applyNumberFormat="1" applyFill="1"/>
    <xf numFmtId="173" fontId="4" fillId="0" borderId="0" xfId="3" applyNumberFormat="1"/>
    <xf numFmtId="174" fontId="14" fillId="2" borderId="0" xfId="3" applyNumberFormat="1" applyFont="1" applyFill="1"/>
    <xf numFmtId="175" fontId="4" fillId="2" borderId="0" xfId="3" applyNumberFormat="1" applyFill="1"/>
    <xf numFmtId="174" fontId="14" fillId="2" borderId="23" xfId="3" applyNumberFormat="1" applyFont="1" applyFill="1" applyBorder="1"/>
    <xf numFmtId="169" fontId="4" fillId="2" borderId="23" xfId="3" applyNumberFormat="1" applyFill="1" applyBorder="1"/>
    <xf numFmtId="2" fontId="4" fillId="0" borderId="0" xfId="3" applyNumberFormat="1"/>
    <xf numFmtId="9" fontId="0" fillId="0" borderId="0" xfId="4" applyFont="1"/>
    <xf numFmtId="169" fontId="4" fillId="0" borderId="0" xfId="3" applyNumberFormat="1"/>
    <xf numFmtId="172" fontId="14" fillId="2" borderId="0" xfId="3" applyNumberFormat="1" applyFont="1" applyFill="1"/>
    <xf numFmtId="167" fontId="4" fillId="2" borderId="0" xfId="3" applyNumberFormat="1" applyFill="1"/>
    <xf numFmtId="0" fontId="15" fillId="0" borderId="0" xfId="3" applyFont="1"/>
    <xf numFmtId="167" fontId="4" fillId="2" borderId="24" xfId="3" applyNumberFormat="1" applyFill="1" applyBorder="1"/>
    <xf numFmtId="172" fontId="14" fillId="2" borderId="16" xfId="3" quotePrefix="1" applyNumberFormat="1" applyFont="1" applyFill="1" applyBorder="1" applyAlignment="1">
      <alignment horizontal="left"/>
    </xf>
    <xf numFmtId="0" fontId="6" fillId="2" borderId="0" xfId="3" applyFont="1" applyFill="1"/>
    <xf numFmtId="176" fontId="4" fillId="0" borderId="0" xfId="3" applyNumberFormat="1"/>
    <xf numFmtId="172" fontId="4" fillId="2" borderId="24" xfId="3" applyNumberFormat="1" applyFill="1" applyBorder="1"/>
    <xf numFmtId="169" fontId="14" fillId="2" borderId="0" xfId="4" applyNumberFormat="1" applyFont="1" applyFill="1" applyBorder="1"/>
    <xf numFmtId="169" fontId="4" fillId="2" borderId="0" xfId="3" applyNumberFormat="1" applyFill="1"/>
    <xf numFmtId="169" fontId="15" fillId="2" borderId="0" xfId="3" applyNumberFormat="1" applyFont="1" applyFill="1"/>
    <xf numFmtId="38" fontId="15" fillId="2" borderId="0" xfId="3" applyNumberFormat="1" applyFont="1" applyFill="1"/>
    <xf numFmtId="0" fontId="15" fillId="2" borderId="25" xfId="3" applyFont="1" applyFill="1" applyBorder="1"/>
    <xf numFmtId="0" fontId="4" fillId="2" borderId="25" xfId="3" applyFill="1" applyBorder="1"/>
    <xf numFmtId="0" fontId="10" fillId="0" borderId="0" xfId="3" applyFont="1"/>
    <xf numFmtId="0" fontId="10" fillId="0" borderId="22" xfId="3" applyFont="1" applyBorder="1"/>
    <xf numFmtId="0" fontId="4" fillId="0" borderId="22" xfId="3" applyBorder="1" applyAlignment="1">
      <alignment horizontal="center"/>
    </xf>
    <xf numFmtId="172" fontId="10" fillId="0" borderId="0" xfId="3" quotePrefix="1" applyNumberFormat="1" applyFont="1" applyAlignment="1">
      <alignment horizontal="left"/>
    </xf>
    <xf numFmtId="172" fontId="4" fillId="0" borderId="0" xfId="3" quotePrefix="1" applyNumberFormat="1" applyAlignment="1">
      <alignment horizontal="right"/>
    </xf>
    <xf numFmtId="0" fontId="10" fillId="0" borderId="25" xfId="3" applyFont="1" applyBorder="1"/>
    <xf numFmtId="172" fontId="15" fillId="2" borderId="0" xfId="3" applyNumberFormat="1" applyFont="1" applyFill="1"/>
    <xf numFmtId="175" fontId="15" fillId="2" borderId="0" xfId="3" applyNumberFormat="1" applyFont="1" applyFill="1"/>
    <xf numFmtId="178" fontId="0" fillId="0" borderId="0" xfId="1" applyNumberFormat="1" applyFont="1"/>
    <xf numFmtId="169" fontId="15" fillId="2" borderId="23" xfId="3" applyNumberFormat="1" applyFont="1" applyFill="1" applyBorder="1"/>
    <xf numFmtId="167" fontId="15" fillId="2" borderId="0" xfId="3" applyNumberFormat="1" applyFont="1" applyFill="1"/>
    <xf numFmtId="167" fontId="4" fillId="2" borderId="16" xfId="3" applyNumberFormat="1" applyFill="1" applyBorder="1"/>
    <xf numFmtId="167" fontId="15" fillId="2" borderId="16" xfId="3" applyNumberFormat="1" applyFont="1" applyFill="1" applyBorder="1"/>
    <xf numFmtId="169" fontId="14" fillId="2" borderId="0" xfId="2" applyNumberFormat="1" applyFont="1" applyFill="1" applyBorder="1"/>
    <xf numFmtId="38" fontId="15" fillId="0" borderId="0" xfId="3" applyNumberFormat="1" applyFont="1"/>
    <xf numFmtId="167" fontId="15" fillId="0" borderId="0" xfId="3" applyNumberFormat="1" applyFont="1"/>
    <xf numFmtId="170" fontId="4" fillId="0" borderId="0" xfId="3" applyNumberFormat="1"/>
    <xf numFmtId="170" fontId="4" fillId="0" borderId="0" xfId="3" quotePrefix="1" applyNumberFormat="1" applyAlignment="1">
      <alignment horizontal="left"/>
    </xf>
    <xf numFmtId="170" fontId="4" fillId="0" borderId="26" xfId="3" applyNumberFormat="1" applyBorder="1" applyAlignment="1">
      <alignment horizontal="right"/>
    </xf>
    <xf numFmtId="170" fontId="4" fillId="0" borderId="26" xfId="3" quotePrefix="1" applyNumberFormat="1" applyBorder="1" applyAlignment="1">
      <alignment horizontal="right"/>
    </xf>
    <xf numFmtId="172" fontId="4" fillId="0" borderId="0" xfId="3" quotePrefix="1" applyNumberFormat="1" applyAlignment="1">
      <alignment horizontal="left"/>
    </xf>
    <xf numFmtId="172" fontId="4" fillId="0" borderId="0" xfId="3" applyNumberFormat="1"/>
    <xf numFmtId="172" fontId="15" fillId="0" borderId="0" xfId="3" applyNumberFormat="1" applyFont="1"/>
    <xf numFmtId="172" fontId="4" fillId="0" borderId="27" xfId="3" applyNumberFormat="1" applyBorder="1"/>
    <xf numFmtId="172" fontId="15" fillId="0" borderId="27" xfId="3" applyNumberFormat="1" applyFont="1" applyBorder="1"/>
    <xf numFmtId="170" fontId="16" fillId="0" borderId="0" xfId="6" applyNumberFormat="1" applyAlignment="1" applyProtection="1"/>
    <xf numFmtId="179" fontId="0" fillId="0" borderId="0" xfId="1" applyNumberFormat="1" applyFont="1"/>
    <xf numFmtId="169" fontId="14" fillId="0" borderId="0" xfId="2" quotePrefix="1" applyNumberFormat="1" applyFont="1" applyBorder="1" applyAlignment="1">
      <alignment horizontal="left"/>
    </xf>
    <xf numFmtId="164" fontId="4" fillId="0" borderId="0" xfId="3" applyNumberFormat="1"/>
    <xf numFmtId="0" fontId="16" fillId="0" borderId="0" xfId="6"/>
    <xf numFmtId="0" fontId="4" fillId="0" borderId="0" xfId="3" applyAlignment="1">
      <alignment horizontal="right"/>
    </xf>
    <xf numFmtId="165" fontId="4" fillId="6" borderId="0" xfId="3" applyNumberFormat="1" applyFill="1"/>
    <xf numFmtId="0" fontId="17" fillId="5" borderId="0" xfId="3" applyFont="1" applyFill="1"/>
    <xf numFmtId="164" fontId="4" fillId="2" borderId="0" xfId="3" applyNumberFormat="1" applyFill="1"/>
    <xf numFmtId="164" fontId="15" fillId="2" borderId="0" xfId="3" applyNumberFormat="1" applyFont="1" applyFill="1"/>
    <xf numFmtId="180" fontId="4" fillId="2" borderId="0" xfId="3" applyNumberFormat="1" applyFill="1"/>
    <xf numFmtId="180" fontId="15" fillId="2" borderId="0" xfId="3" applyNumberFormat="1" applyFont="1" applyFill="1"/>
    <xf numFmtId="172" fontId="14" fillId="2" borderId="23" xfId="3" applyNumberFormat="1" applyFont="1" applyFill="1" applyBorder="1"/>
    <xf numFmtId="167" fontId="4" fillId="2" borderId="23" xfId="3" applyNumberFormat="1" applyFill="1" applyBorder="1"/>
    <xf numFmtId="167" fontId="15" fillId="2" borderId="23" xfId="3" applyNumberFormat="1" applyFont="1" applyFill="1" applyBorder="1"/>
    <xf numFmtId="181" fontId="4" fillId="0" borderId="0" xfId="3" applyNumberFormat="1"/>
    <xf numFmtId="169" fontId="14" fillId="2" borderId="0" xfId="2" quotePrefix="1" applyNumberFormat="1" applyFont="1" applyFill="1" applyBorder="1" applyAlignment="1">
      <alignment horizontal="left"/>
    </xf>
    <xf numFmtId="38" fontId="4" fillId="2" borderId="0" xfId="3" applyNumberFormat="1" applyFill="1"/>
    <xf numFmtId="0" fontId="15" fillId="2" borderId="0" xfId="3" applyFont="1" applyFill="1"/>
    <xf numFmtId="164" fontId="4" fillId="0" borderId="25" xfId="3" applyNumberFormat="1" applyBorder="1"/>
    <xf numFmtId="0" fontId="4" fillId="0" borderId="25" xfId="3" applyBorder="1"/>
    <xf numFmtId="9" fontId="0" fillId="0" borderId="0" xfId="2" applyFont="1"/>
    <xf numFmtId="40" fontId="4" fillId="2" borderId="0" xfId="3" applyNumberFormat="1" applyFill="1" applyAlignment="1">
      <alignment horizontal="right"/>
    </xf>
    <xf numFmtId="40" fontId="15" fillId="2" borderId="0" xfId="3" applyNumberFormat="1" applyFont="1" applyFill="1" applyAlignment="1">
      <alignment horizontal="right"/>
    </xf>
    <xf numFmtId="167" fontId="15" fillId="2" borderId="0" xfId="3" applyNumberFormat="1" applyFont="1" applyFill="1" applyAlignment="1">
      <alignment horizontal="right"/>
    </xf>
    <xf numFmtId="167" fontId="4" fillId="2" borderId="0" xfId="3" applyNumberFormat="1" applyFill="1" applyAlignment="1">
      <alignment horizontal="right"/>
    </xf>
    <xf numFmtId="169" fontId="0" fillId="0" borderId="0" xfId="2" applyNumberFormat="1" applyFont="1"/>
    <xf numFmtId="169" fontId="0" fillId="2" borderId="0" xfId="2" applyNumberFormat="1" applyFont="1" applyFill="1" applyAlignment="1">
      <alignment horizontal="right"/>
    </xf>
    <xf numFmtId="169" fontId="4" fillId="2" borderId="0" xfId="2" applyNumberFormat="1" applyFont="1" applyFill="1" applyAlignment="1">
      <alignment horizontal="right"/>
    </xf>
    <xf numFmtId="169" fontId="15" fillId="2" borderId="0" xfId="2" applyNumberFormat="1" applyFont="1" applyFill="1" applyAlignment="1">
      <alignment horizontal="right"/>
    </xf>
    <xf numFmtId="165" fontId="15" fillId="2" borderId="0" xfId="2" applyNumberFormat="1" applyFont="1" applyFill="1" applyAlignment="1">
      <alignment horizontal="right"/>
    </xf>
    <xf numFmtId="3" fontId="6" fillId="2" borderId="16" xfId="3" applyNumberFormat="1" applyFont="1" applyFill="1" applyBorder="1"/>
    <xf numFmtId="182" fontId="4" fillId="2" borderId="16" xfId="3" applyNumberFormat="1" applyFill="1" applyBorder="1" applyAlignment="1">
      <alignment horizontal="right"/>
    </xf>
    <xf numFmtId="182" fontId="15" fillId="2" borderId="16" xfId="3" applyNumberFormat="1" applyFont="1" applyFill="1" applyBorder="1" applyAlignment="1">
      <alignment horizontal="right"/>
    </xf>
    <xf numFmtId="38" fontId="15" fillId="2" borderId="16" xfId="3" applyNumberFormat="1" applyFont="1" applyFill="1" applyBorder="1" applyAlignment="1">
      <alignment horizontal="right"/>
    </xf>
    <xf numFmtId="38" fontId="15" fillId="2" borderId="0" xfId="3" applyNumberFormat="1" applyFont="1" applyFill="1" applyAlignment="1">
      <alignment horizontal="right"/>
    </xf>
    <xf numFmtId="182" fontId="4" fillId="2" borderId="0" xfId="3" applyNumberFormat="1" applyFill="1" applyAlignment="1">
      <alignment horizontal="right"/>
    </xf>
    <xf numFmtId="182" fontId="15" fillId="2" borderId="0" xfId="3" applyNumberFormat="1" applyFont="1" applyFill="1" applyAlignment="1">
      <alignment horizontal="right"/>
    </xf>
    <xf numFmtId="0" fontId="6" fillId="0" borderId="0" xfId="3" applyFont="1"/>
    <xf numFmtId="182" fontId="4" fillId="2" borderId="0" xfId="3" applyNumberFormat="1" applyFill="1"/>
    <xf numFmtId="182" fontId="15" fillId="2" borderId="0" xfId="3" applyNumberFormat="1" applyFont="1" applyFill="1"/>
    <xf numFmtId="3" fontId="6" fillId="0" borderId="16" xfId="3" applyNumberFormat="1" applyFont="1" applyBorder="1"/>
    <xf numFmtId="182" fontId="4" fillId="2" borderId="16" xfId="3" applyNumberFormat="1" applyFill="1" applyBorder="1"/>
    <xf numFmtId="182" fontId="15" fillId="2" borderId="16" xfId="3" applyNumberFormat="1" applyFont="1" applyFill="1" applyBorder="1"/>
    <xf numFmtId="38" fontId="15" fillId="2" borderId="16" xfId="3" applyNumberFormat="1" applyFont="1" applyFill="1" applyBorder="1"/>
    <xf numFmtId="165" fontId="4" fillId="2" borderId="0" xfId="3" applyNumberFormat="1" applyFill="1"/>
    <xf numFmtId="0" fontId="4" fillId="0" borderId="0" xfId="3" applyAlignment="1">
      <alignment horizontal="right" vertical="center"/>
    </xf>
    <xf numFmtId="169" fontId="0" fillId="2" borderId="0" xfId="2" applyNumberFormat="1" applyFont="1" applyFill="1"/>
    <xf numFmtId="169" fontId="4" fillId="2" borderId="0" xfId="2" applyNumberFormat="1" applyFont="1" applyFill="1"/>
    <xf numFmtId="169" fontId="15" fillId="2" borderId="0" xfId="2" applyNumberFormat="1" applyFont="1" applyFill="1"/>
    <xf numFmtId="8" fontId="4" fillId="2" borderId="16" xfId="3" applyNumberFormat="1" applyFill="1" applyBorder="1"/>
    <xf numFmtId="8" fontId="15" fillId="2" borderId="16" xfId="3" applyNumberFormat="1" applyFont="1" applyFill="1" applyBorder="1"/>
    <xf numFmtId="8" fontId="15" fillId="2" borderId="0" xfId="3" applyNumberFormat="1" applyFont="1" applyFill="1"/>
    <xf numFmtId="8" fontId="4" fillId="2" borderId="0" xfId="3" applyNumberFormat="1" applyFill="1"/>
    <xf numFmtId="183" fontId="4" fillId="2" borderId="0" xfId="3" applyNumberFormat="1" applyFill="1"/>
    <xf numFmtId="3" fontId="15" fillId="2" borderId="25" xfId="3" applyNumberFormat="1" applyFont="1" applyFill="1" applyBorder="1" applyAlignment="1">
      <alignment vertical="top"/>
    </xf>
    <xf numFmtId="3" fontId="6" fillId="2" borderId="25" xfId="3" applyNumberFormat="1" applyFont="1" applyFill="1" applyBorder="1"/>
    <xf numFmtId="4" fontId="11" fillId="2" borderId="25" xfId="3" applyNumberFormat="1" applyFont="1" applyFill="1" applyBorder="1"/>
    <xf numFmtId="4" fontId="11" fillId="2" borderId="0" xfId="3" applyNumberFormat="1" applyFont="1" applyFill="1"/>
    <xf numFmtId="3" fontId="15" fillId="2" borderId="0" xfId="3" applyNumberFormat="1" applyFont="1" applyFill="1" applyAlignment="1">
      <alignment vertical="top"/>
    </xf>
    <xf numFmtId="3" fontId="6" fillId="2" borderId="0" xfId="3" applyNumberFormat="1" applyFont="1" applyFill="1"/>
    <xf numFmtId="0" fontId="16" fillId="2" borderId="0" xfId="6" applyFill="1"/>
    <xf numFmtId="184" fontId="4" fillId="2" borderId="0" xfId="3" applyNumberFormat="1" applyFill="1"/>
    <xf numFmtId="184" fontId="11" fillId="2" borderId="0" xfId="3" applyNumberFormat="1" applyFont="1" applyFill="1" applyAlignment="1">
      <alignment horizontal="right"/>
    </xf>
    <xf numFmtId="184" fontId="11" fillId="2" borderId="25" xfId="3" applyNumberFormat="1" applyFont="1" applyFill="1" applyBorder="1" applyAlignment="1">
      <alignment horizontal="right"/>
    </xf>
    <xf numFmtId="167" fontId="4" fillId="2" borderId="25" xfId="3" applyNumberFormat="1" applyFill="1" applyBorder="1" applyAlignment="1">
      <alignment horizontal="right"/>
    </xf>
    <xf numFmtId="184" fontId="6" fillId="2" borderId="0" xfId="3" applyNumberFormat="1" applyFont="1" applyFill="1" applyAlignment="1">
      <alignment horizontal="right"/>
    </xf>
    <xf numFmtId="185" fontId="4" fillId="0" borderId="0" xfId="3" applyNumberFormat="1"/>
    <xf numFmtId="184" fontId="4" fillId="2" borderId="0" xfId="3" applyNumberFormat="1" applyFill="1" applyAlignment="1">
      <alignment horizontal="right"/>
    </xf>
    <xf numFmtId="184" fontId="4" fillId="2" borderId="25" xfId="3" applyNumberFormat="1" applyFill="1" applyBorder="1" applyAlignment="1">
      <alignment horizontal="right"/>
    </xf>
    <xf numFmtId="167" fontId="15" fillId="2" borderId="25" xfId="3" applyNumberFormat="1" applyFont="1" applyFill="1" applyBorder="1" applyAlignment="1">
      <alignment horizontal="right"/>
    </xf>
    <xf numFmtId="184" fontId="15" fillId="2" borderId="0" xfId="3" applyNumberFormat="1" applyFont="1" applyFill="1" applyAlignment="1">
      <alignment horizontal="right"/>
    </xf>
    <xf numFmtId="4" fontId="4" fillId="2" borderId="0" xfId="3" applyNumberFormat="1" applyFill="1" applyAlignment="1">
      <alignment horizontal="right"/>
    </xf>
    <xf numFmtId="3" fontId="6" fillId="0" borderId="28" xfId="3" applyNumberFormat="1" applyFont="1" applyBorder="1"/>
    <xf numFmtId="0" fontId="18" fillId="0" borderId="0" xfId="3" applyFont="1"/>
    <xf numFmtId="0" fontId="19" fillId="0" borderId="0" xfId="3" applyFont="1"/>
    <xf numFmtId="3" fontId="6" fillId="0" borderId="29" xfId="3" applyNumberFormat="1" applyFont="1" applyBorder="1"/>
    <xf numFmtId="3" fontId="15" fillId="0" borderId="29" xfId="3" applyNumberFormat="1" applyFont="1" applyBorder="1" applyAlignment="1">
      <alignment horizontal="right"/>
    </xf>
    <xf numFmtId="3" fontId="15" fillId="0" borderId="29" xfId="3" quotePrefix="1" applyNumberFormat="1" applyFont="1" applyBorder="1" applyAlignment="1">
      <alignment horizontal="right"/>
    </xf>
    <xf numFmtId="3" fontId="15" fillId="0" borderId="0" xfId="3" quotePrefix="1" applyNumberFormat="1" applyFont="1" applyAlignment="1">
      <alignment horizontal="right"/>
    </xf>
    <xf numFmtId="3" fontId="18" fillId="0" borderId="0" xfId="3" applyNumberFormat="1" applyFont="1"/>
    <xf numFmtId="184" fontId="4" fillId="0" borderId="0" xfId="3" applyNumberFormat="1"/>
    <xf numFmtId="184" fontId="15" fillId="0" borderId="0" xfId="3" applyNumberFormat="1" applyFont="1"/>
    <xf numFmtId="38" fontId="19" fillId="0" borderId="0" xfId="3" applyNumberFormat="1" applyFont="1"/>
    <xf numFmtId="3" fontId="6" fillId="2" borderId="28" xfId="3" applyNumberFormat="1" applyFont="1" applyFill="1" applyBorder="1"/>
    <xf numFmtId="3" fontId="6" fillId="2" borderId="29" xfId="3" applyNumberFormat="1" applyFont="1" applyFill="1" applyBorder="1"/>
    <xf numFmtId="3" fontId="15" fillId="2" borderId="29" xfId="3" applyNumberFormat="1" applyFont="1" applyFill="1" applyBorder="1" applyAlignment="1">
      <alignment horizontal="right"/>
    </xf>
    <xf numFmtId="3" fontId="15" fillId="2" borderId="29" xfId="3" quotePrefix="1" applyNumberFormat="1" applyFont="1" applyFill="1" applyBorder="1" applyAlignment="1">
      <alignment horizontal="right"/>
    </xf>
    <xf numFmtId="184" fontId="15" fillId="2" borderId="0" xfId="3" applyNumberFormat="1" applyFont="1" applyFill="1"/>
    <xf numFmtId="166" fontId="19" fillId="0" borderId="0" xfId="3" applyNumberFormat="1" applyFont="1"/>
    <xf numFmtId="186" fontId="4" fillId="0" borderId="0" xfId="3" applyNumberFormat="1"/>
    <xf numFmtId="3" fontId="6" fillId="0" borderId="28" xfId="3" applyNumberFormat="1" applyFont="1" applyBorder="1" applyAlignment="1">
      <alignment horizontal="left"/>
    </xf>
    <xf numFmtId="9" fontId="15" fillId="0" borderId="0" xfId="2" applyFont="1"/>
    <xf numFmtId="166" fontId="4" fillId="2" borderId="0" xfId="3" applyNumberFormat="1" applyFill="1"/>
    <xf numFmtId="166" fontId="15" fillId="2" borderId="0" xfId="3" applyNumberFormat="1" applyFont="1" applyFill="1"/>
    <xf numFmtId="178" fontId="10" fillId="0" borderId="0" xfId="1" applyNumberFormat="1" applyFont="1"/>
    <xf numFmtId="9" fontId="10" fillId="0" borderId="25" xfId="2" applyFont="1" applyBorder="1"/>
    <xf numFmtId="49" fontId="6" fillId="2" borderId="22" xfId="3" applyNumberFormat="1" applyFont="1" applyFill="1" applyBorder="1" applyAlignment="1">
      <alignment horizontal="center"/>
    </xf>
    <xf numFmtId="174" fontId="4" fillId="2" borderId="0" xfId="3" applyNumberFormat="1" applyFill="1"/>
    <xf numFmtId="174" fontId="15" fillId="2" borderId="0" xfId="3" applyNumberFormat="1" applyFont="1" applyFill="1"/>
    <xf numFmtId="40" fontId="4" fillId="2" borderId="0" xfId="3" applyNumberFormat="1" applyFill="1"/>
    <xf numFmtId="172" fontId="20" fillId="2" borderId="0" xfId="3" applyNumberFormat="1" applyFont="1" applyFill="1"/>
    <xf numFmtId="187" fontId="4" fillId="0" borderId="0" xfId="3" applyNumberFormat="1"/>
    <xf numFmtId="177" fontId="14" fillId="0" borderId="0" xfId="1" applyFont="1"/>
    <xf numFmtId="178" fontId="14" fillId="0" borderId="0" xfId="1" applyNumberFormat="1" applyFont="1"/>
    <xf numFmtId="178" fontId="10" fillId="0" borderId="0" xfId="3" applyNumberFormat="1" applyFont="1"/>
    <xf numFmtId="178" fontId="14" fillId="0" borderId="0" xfId="3" applyNumberFormat="1" applyFont="1"/>
    <xf numFmtId="170" fontId="21" fillId="5" borderId="0" xfId="3" quotePrefix="1" applyNumberFormat="1" applyFont="1" applyFill="1" applyAlignment="1">
      <alignment horizontal="left"/>
    </xf>
    <xf numFmtId="170" fontId="22" fillId="5" borderId="0" xfId="3" quotePrefix="1" applyNumberFormat="1" applyFont="1" applyFill="1" applyAlignment="1">
      <alignment horizontal="left"/>
    </xf>
    <xf numFmtId="171" fontId="23" fillId="2" borderId="1" xfId="3" applyNumberFormat="1" applyFont="1" applyFill="1" applyBorder="1" applyAlignment="1">
      <alignment horizontal="right"/>
    </xf>
    <xf numFmtId="0" fontId="24" fillId="2" borderId="1" xfId="3" applyFont="1" applyFill="1" applyBorder="1" applyAlignment="1">
      <alignment horizontal="center"/>
    </xf>
    <xf numFmtId="172" fontId="24" fillId="2" borderId="0" xfId="3" quotePrefix="1" applyNumberFormat="1" applyFont="1" applyFill="1" applyAlignment="1">
      <alignment horizontal="left"/>
    </xf>
    <xf numFmtId="172" fontId="23" fillId="2" borderId="0" xfId="3" quotePrefix="1" applyNumberFormat="1" applyFont="1" applyFill="1" applyAlignment="1">
      <alignment horizontal="left"/>
    </xf>
    <xf numFmtId="172" fontId="23" fillId="2" borderId="0" xfId="3" applyNumberFormat="1" applyFont="1" applyFill="1"/>
    <xf numFmtId="184" fontId="23" fillId="0" borderId="0" xfId="3" applyNumberFormat="1" applyFont="1"/>
    <xf numFmtId="174" fontId="23" fillId="2" borderId="0" xfId="3" applyNumberFormat="1" applyFont="1" applyFill="1"/>
    <xf numFmtId="167" fontId="23" fillId="2" borderId="0" xfId="3" applyNumberFormat="1" applyFont="1" applyFill="1"/>
    <xf numFmtId="172" fontId="25" fillId="2" borderId="0" xfId="3" applyNumberFormat="1" applyFont="1" applyFill="1"/>
    <xf numFmtId="174" fontId="24" fillId="2" borderId="0" xfId="3" applyNumberFormat="1" applyFont="1" applyFill="1"/>
    <xf numFmtId="169" fontId="23" fillId="2" borderId="0" xfId="3" applyNumberFormat="1" applyFont="1" applyFill="1"/>
    <xf numFmtId="169" fontId="25" fillId="2" borderId="0" xfId="3" applyNumberFormat="1" applyFont="1" applyFill="1"/>
    <xf numFmtId="172" fontId="24" fillId="2" borderId="30" xfId="3" quotePrefix="1" applyNumberFormat="1" applyFont="1" applyFill="1" applyBorder="1" applyAlignment="1">
      <alignment horizontal="left"/>
    </xf>
    <xf numFmtId="167" fontId="23" fillId="2" borderId="30" xfId="3" applyNumberFormat="1" applyFont="1" applyFill="1" applyBorder="1"/>
    <xf numFmtId="167" fontId="25" fillId="2" borderId="30" xfId="3" applyNumberFormat="1" applyFont="1" applyFill="1" applyBorder="1"/>
    <xf numFmtId="172" fontId="24" fillId="2" borderId="0" xfId="3" applyNumberFormat="1" applyFont="1" applyFill="1"/>
    <xf numFmtId="167" fontId="25" fillId="2" borderId="0" xfId="3" applyNumberFormat="1" applyFont="1" applyFill="1"/>
    <xf numFmtId="172" fontId="26" fillId="2" borderId="0" xfId="3" applyNumberFormat="1" applyFont="1" applyFill="1"/>
    <xf numFmtId="169" fontId="24" fillId="2" borderId="0" xfId="2" applyNumberFormat="1" applyFont="1" applyFill="1" applyBorder="1"/>
    <xf numFmtId="169" fontId="23" fillId="2" borderId="24" xfId="2" applyNumberFormat="1" applyFont="1" applyFill="1" applyBorder="1"/>
    <xf numFmtId="169" fontId="25" fillId="2" borderId="24" xfId="2" applyNumberFormat="1" applyFont="1" applyFill="1" applyBorder="1"/>
    <xf numFmtId="0" fontId="23" fillId="2" borderId="0" xfId="3" applyFont="1" applyFill="1"/>
    <xf numFmtId="38" fontId="24" fillId="2" borderId="0" xfId="3" applyNumberFormat="1" applyFont="1" applyFill="1"/>
    <xf numFmtId="0" fontId="24" fillId="2" borderId="25" xfId="3" applyFont="1" applyFill="1" applyBorder="1"/>
    <xf numFmtId="0" fontId="23" fillId="2" borderId="25" xfId="3" applyFont="1" applyFill="1" applyBorder="1"/>
    <xf numFmtId="0" fontId="23" fillId="0" borderId="0" xfId="3" applyFont="1"/>
    <xf numFmtId="9" fontId="23" fillId="0" borderId="0" xfId="2" applyFont="1"/>
    <xf numFmtId="0" fontId="23" fillId="0" borderId="22" xfId="3" applyFont="1" applyBorder="1"/>
    <xf numFmtId="0" fontId="23" fillId="0" borderId="22" xfId="3" applyFont="1" applyBorder="1" applyAlignment="1">
      <alignment horizontal="center"/>
    </xf>
    <xf numFmtId="38" fontId="23" fillId="0" borderId="0" xfId="3" applyNumberFormat="1" applyFont="1"/>
    <xf numFmtId="38" fontId="24" fillId="0" borderId="0" xfId="3" applyNumberFormat="1" applyFont="1"/>
    <xf numFmtId="188" fontId="23" fillId="0" borderId="0" xfId="3" applyNumberFormat="1" applyFont="1"/>
    <xf numFmtId="189" fontId="23" fillId="0" borderId="0" xfId="3" applyNumberFormat="1" applyFont="1"/>
    <xf numFmtId="0" fontId="23" fillId="0" borderId="25" xfId="3" applyFont="1" applyBorder="1"/>
    <xf numFmtId="167" fontId="23" fillId="0" borderId="0" xfId="3" applyNumberFormat="1" applyFont="1"/>
    <xf numFmtId="167" fontId="24" fillId="0" borderId="0" xfId="3" applyNumberFormat="1" applyFont="1"/>
    <xf numFmtId="166" fontId="23" fillId="0" borderId="0" xfId="3" applyNumberFormat="1" applyFont="1"/>
    <xf numFmtId="166" fontId="24" fillId="0" borderId="0" xfId="3" applyNumberFormat="1" applyFont="1"/>
    <xf numFmtId="0" fontId="27" fillId="0" borderId="0" xfId="3" applyFont="1"/>
    <xf numFmtId="0" fontId="24" fillId="2" borderId="22" xfId="3" applyFont="1" applyFill="1" applyBorder="1" applyAlignment="1">
      <alignment horizontal="center"/>
    </xf>
    <xf numFmtId="190" fontId="4" fillId="0" borderId="0" xfId="3" applyNumberFormat="1"/>
    <xf numFmtId="0" fontId="14" fillId="0" borderId="0" xfId="3" applyFont="1"/>
    <xf numFmtId="178" fontId="15" fillId="0" borderId="0" xfId="1" applyNumberFormat="1" applyFont="1"/>
    <xf numFmtId="0" fontId="1" fillId="0" borderId="0" xfId="7"/>
    <xf numFmtId="0" fontId="29" fillId="0" borderId="0" xfId="7" applyFont="1" applyAlignment="1">
      <alignment horizontal="center" vertical="center"/>
    </xf>
    <xf numFmtId="17" fontId="3" fillId="0" borderId="31" xfId="7" applyNumberFormat="1" applyFont="1" applyBorder="1" applyAlignment="1">
      <alignment horizontal="right"/>
    </xf>
    <xf numFmtId="17" fontId="1" fillId="0" borderId="0" xfId="7" applyNumberFormat="1"/>
    <xf numFmtId="0" fontId="30" fillId="0" borderId="0" xfId="7" applyFont="1" applyAlignment="1">
      <alignment wrapText="1"/>
    </xf>
    <xf numFmtId="3" fontId="30" fillId="0" borderId="0" xfId="7" applyNumberFormat="1" applyFont="1" applyAlignment="1">
      <alignment wrapText="1"/>
    </xf>
    <xf numFmtId="178" fontId="1" fillId="0" borderId="0" xfId="1" quotePrefix="1" applyNumberFormat="1" applyFont="1"/>
    <xf numFmtId="1" fontId="1" fillId="0" borderId="0" xfId="7" quotePrefix="1" applyNumberFormat="1"/>
    <xf numFmtId="0" fontId="29" fillId="0" borderId="32" xfId="7" applyFont="1" applyBorder="1" applyAlignment="1">
      <alignment wrapText="1"/>
    </xf>
    <xf numFmtId="3" fontId="30" fillId="0" borderId="26" xfId="7" applyNumberFormat="1" applyFont="1" applyBorder="1" applyAlignment="1">
      <alignment wrapText="1"/>
    </xf>
    <xf numFmtId="0" fontId="1" fillId="0" borderId="0" xfId="7" applyAlignment="1">
      <alignment wrapText="1"/>
    </xf>
    <xf numFmtId="0" fontId="30" fillId="0" borderId="0" xfId="3" applyFont="1" applyAlignment="1">
      <alignment wrapText="1"/>
    </xf>
    <xf numFmtId="3" fontId="30" fillId="0" borderId="0" xfId="3" applyNumberFormat="1" applyFont="1" applyAlignment="1">
      <alignment wrapText="1"/>
    </xf>
    <xf numFmtId="3" fontId="1" fillId="0" borderId="0" xfId="7" applyNumberFormat="1"/>
    <xf numFmtId="177" fontId="1" fillId="0" borderId="0" xfId="1" quotePrefix="1" applyFont="1"/>
    <xf numFmtId="184" fontId="30" fillId="0" borderId="0" xfId="7" applyNumberFormat="1" applyFont="1" applyAlignment="1">
      <alignment wrapText="1"/>
    </xf>
    <xf numFmtId="0" fontId="31" fillId="0" borderId="0" xfId="7" applyFont="1"/>
    <xf numFmtId="0" fontId="29" fillId="0" borderId="27" xfId="7" applyFont="1" applyBorder="1" applyAlignment="1">
      <alignment horizontal="center" vertical="center"/>
    </xf>
    <xf numFmtId="17" fontId="3" fillId="0" borderId="0" xfId="7" applyNumberFormat="1" applyFont="1"/>
    <xf numFmtId="0" fontId="30" fillId="0" borderId="33" xfId="7" applyFont="1" applyBorder="1" applyAlignment="1">
      <alignment wrapText="1"/>
    </xf>
    <xf numFmtId="0" fontId="30" fillId="0" borderId="34" xfId="7" applyFont="1" applyBorder="1" applyAlignment="1">
      <alignment wrapText="1"/>
    </xf>
    <xf numFmtId="0" fontId="1" fillId="0" borderId="35" xfId="7" applyBorder="1" applyAlignment="1">
      <alignment wrapText="1"/>
    </xf>
    <xf numFmtId="0" fontId="30" fillId="0" borderId="36" xfId="7" applyFont="1" applyBorder="1" applyAlignment="1">
      <alignment wrapText="1"/>
    </xf>
    <xf numFmtId="0" fontId="1" fillId="0" borderId="37" xfId="7" applyBorder="1" applyAlignment="1">
      <alignment wrapText="1"/>
    </xf>
    <xf numFmtId="0" fontId="1" fillId="0" borderId="27" xfId="7" applyBorder="1" applyAlignment="1">
      <alignment wrapText="1"/>
    </xf>
    <xf numFmtId="0" fontId="30" fillId="0" borderId="38" xfId="7" applyFont="1" applyBorder="1" applyAlignment="1">
      <alignment wrapText="1"/>
    </xf>
    <xf numFmtId="0" fontId="1" fillId="0" borderId="33" xfId="7" applyBorder="1" applyAlignment="1">
      <alignment wrapText="1"/>
    </xf>
    <xf numFmtId="17" fontId="29" fillId="0" borderId="0" xfId="7" applyNumberFormat="1" applyFont="1" applyAlignment="1">
      <alignment horizontal="center" vertical="center"/>
    </xf>
    <xf numFmtId="0" fontId="30" fillId="0" borderId="39" xfId="7" applyFont="1" applyBorder="1" applyAlignment="1">
      <alignment wrapText="1"/>
    </xf>
    <xf numFmtId="178" fontId="1" fillId="0" borderId="0" xfId="1" applyNumberFormat="1" applyFont="1"/>
    <xf numFmtId="0" fontId="2" fillId="0" borderId="0" xfId="7" applyFont="1"/>
    <xf numFmtId="165" fontId="30" fillId="0" borderId="0" xfId="7" applyNumberFormat="1" applyFont="1" applyAlignment="1">
      <alignment wrapText="1"/>
    </xf>
    <xf numFmtId="165" fontId="1" fillId="0" borderId="0" xfId="7" applyNumberFormat="1"/>
    <xf numFmtId="184" fontId="1" fillId="0" borderId="0" xfId="7" applyNumberFormat="1"/>
    <xf numFmtId="2" fontId="1" fillId="0" borderId="0" xfId="7" applyNumberFormat="1"/>
    <xf numFmtId="3" fontId="30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84" fontId="34" fillId="7" borderId="40" xfId="9" applyNumberFormat="1" applyFont="1" applyFill="1" applyBorder="1" applyAlignment="1">
      <alignment horizontal="left" vertical="center"/>
    </xf>
    <xf numFmtId="40" fontId="37" fillId="0" borderId="0" xfId="0" applyNumberFormat="1" applyFont="1"/>
    <xf numFmtId="0" fontId="38" fillId="0" borderId="0" xfId="0" applyFont="1"/>
    <xf numFmtId="184" fontId="36" fillId="7" borderId="42" xfId="9" applyNumberFormat="1" applyFont="1" applyFill="1" applyBorder="1" applyAlignment="1">
      <alignment horizontal="left" vertical="center"/>
    </xf>
    <xf numFmtId="0" fontId="40" fillId="0" borderId="0" xfId="0" applyFont="1"/>
    <xf numFmtId="184" fontId="39" fillId="7" borderId="43" xfId="9" applyNumberFormat="1" applyFont="1" applyFill="1" applyBorder="1" applyAlignment="1">
      <alignment horizontal="left" vertical="center"/>
    </xf>
    <xf numFmtId="49" fontId="39" fillId="7" borderId="43" xfId="9" applyNumberFormat="1" applyFont="1" applyFill="1" applyBorder="1" applyAlignment="1">
      <alignment horizontal="center" vertical="center"/>
    </xf>
    <xf numFmtId="49" fontId="39" fillId="7" borderId="43" xfId="9" applyNumberFormat="1" applyFont="1" applyFill="1" applyBorder="1" applyAlignment="1">
      <alignment horizontal="center" vertical="center" wrapText="1"/>
    </xf>
    <xf numFmtId="0" fontId="39" fillId="7" borderId="44" xfId="0" applyFont="1" applyFill="1" applyBorder="1" applyAlignment="1">
      <alignment horizontal="center" vertical="center"/>
    </xf>
    <xf numFmtId="0" fontId="39" fillId="7" borderId="43" xfId="0" applyFont="1" applyFill="1" applyBorder="1" applyAlignment="1">
      <alignment horizontal="center" vertical="center"/>
    </xf>
    <xf numFmtId="40" fontId="36" fillId="0" borderId="0" xfId="0" applyNumberFormat="1" applyFont="1" applyAlignment="1">
      <alignment horizontal="center" vertical="center"/>
    </xf>
    <xf numFmtId="184" fontId="36" fillId="2" borderId="0" xfId="9" applyNumberFormat="1" applyFont="1" applyFill="1" applyAlignment="1">
      <alignment horizontal="left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84" fontId="36" fillId="7" borderId="50" xfId="9" applyNumberFormat="1" applyFont="1" applyFill="1" applyBorder="1" applyAlignment="1">
      <alignment horizontal="left"/>
    </xf>
    <xf numFmtId="38" fontId="36" fillId="7" borderId="51" xfId="0" applyNumberFormat="1" applyFont="1" applyFill="1" applyBorder="1" applyAlignment="1">
      <alignment horizontal="center" vertical="center"/>
    </xf>
    <xf numFmtId="38" fontId="41" fillId="7" borderId="50" xfId="0" applyNumberFormat="1" applyFont="1" applyFill="1" applyBorder="1" applyAlignment="1">
      <alignment horizontal="center" vertical="center"/>
    </xf>
    <xf numFmtId="38" fontId="41" fillId="7" borderId="52" xfId="0" applyNumberFormat="1" applyFont="1" applyFill="1" applyBorder="1" applyAlignment="1">
      <alignment horizontal="center" vertical="center"/>
    </xf>
    <xf numFmtId="184" fontId="36" fillId="2" borderId="0" xfId="9" applyNumberFormat="1" applyFont="1" applyFill="1" applyBorder="1" applyAlignment="1">
      <alignment horizontal="left"/>
    </xf>
    <xf numFmtId="38" fontId="36" fillId="7" borderId="51" xfId="9" applyNumberFormat="1" applyFont="1" applyFill="1" applyBorder="1" applyAlignment="1">
      <alignment horizontal="center" vertical="center"/>
    </xf>
    <xf numFmtId="38" fontId="36" fillId="7" borderId="50" xfId="9" applyNumberFormat="1" applyFont="1" applyFill="1" applyBorder="1" applyAlignment="1">
      <alignment horizontal="center" vertical="center"/>
    </xf>
    <xf numFmtId="38" fontId="36" fillId="7" borderId="52" xfId="9" applyNumberFormat="1" applyFont="1" applyFill="1" applyBorder="1" applyAlignment="1">
      <alignment horizontal="center" vertical="center"/>
    </xf>
    <xf numFmtId="38" fontId="36" fillId="7" borderId="50" xfId="0" applyNumberFormat="1" applyFont="1" applyFill="1" applyBorder="1" applyAlignment="1">
      <alignment horizontal="center" vertical="center"/>
    </xf>
    <xf numFmtId="38" fontId="36" fillId="7" borderId="52" xfId="0" applyNumberFormat="1" applyFont="1" applyFill="1" applyBorder="1" applyAlignment="1">
      <alignment horizontal="center" vertical="center"/>
    </xf>
    <xf numFmtId="4" fontId="36" fillId="2" borderId="0" xfId="9" applyNumberFormat="1" applyFont="1" applyFill="1" applyBorder="1" applyAlignment="1">
      <alignment horizontal="left"/>
    </xf>
    <xf numFmtId="184" fontId="41" fillId="7" borderId="43" xfId="9" applyNumberFormat="1" applyFont="1" applyFill="1" applyBorder="1" applyAlignment="1">
      <alignment horizontal="left"/>
    </xf>
    <xf numFmtId="38" fontId="36" fillId="7" borderId="44" xfId="0" applyNumberFormat="1" applyFont="1" applyFill="1" applyBorder="1" applyAlignment="1">
      <alignment horizontal="center" vertical="center"/>
    </xf>
    <xf numFmtId="38" fontId="36" fillId="7" borderId="43" xfId="0" applyNumberFormat="1" applyFont="1" applyFill="1" applyBorder="1" applyAlignment="1">
      <alignment horizontal="center" vertical="center"/>
    </xf>
    <xf numFmtId="38" fontId="36" fillId="7" borderId="45" xfId="0" applyNumberFormat="1" applyFont="1" applyFill="1" applyBorder="1" applyAlignment="1">
      <alignment horizontal="center" vertical="center"/>
    </xf>
    <xf numFmtId="184" fontId="42" fillId="7" borderId="43" xfId="9" applyNumberFormat="1" applyFont="1" applyFill="1" applyBorder="1" applyAlignment="1">
      <alignment horizontal="left"/>
    </xf>
    <xf numFmtId="43" fontId="40" fillId="0" borderId="0" xfId="0" applyNumberFormat="1" applyFont="1"/>
    <xf numFmtId="184" fontId="34" fillId="7" borderId="43" xfId="9" applyNumberFormat="1" applyFont="1" applyFill="1" applyBorder="1" applyAlignment="1">
      <alignment horizontal="left"/>
    </xf>
    <xf numFmtId="184" fontId="36" fillId="2" borderId="0" xfId="9" applyNumberFormat="1" applyFont="1" applyFill="1" applyBorder="1" applyAlignment="1">
      <alignment horizontal="left" vertical="center"/>
    </xf>
    <xf numFmtId="0" fontId="39" fillId="2" borderId="56" xfId="0" applyFont="1" applyFill="1" applyBorder="1"/>
    <xf numFmtId="0" fontId="37" fillId="2" borderId="56" xfId="0" applyFont="1" applyFill="1" applyBorder="1"/>
    <xf numFmtId="193" fontId="37" fillId="2" borderId="56" xfId="0" applyNumberFormat="1" applyFont="1" applyFill="1" applyBorder="1"/>
    <xf numFmtId="0" fontId="38" fillId="2" borderId="0" xfId="0" applyFont="1" applyFill="1"/>
    <xf numFmtId="0" fontId="37" fillId="0" borderId="0" xfId="0" applyFont="1"/>
    <xf numFmtId="193" fontId="36" fillId="2" borderId="0" xfId="9" applyNumberFormat="1" applyFont="1" applyFill="1" applyAlignment="1">
      <alignment horizontal="center" vertical="center"/>
    </xf>
    <xf numFmtId="192" fontId="36" fillId="2" borderId="0" xfId="9" applyNumberFormat="1" applyFont="1" applyFill="1" applyAlignment="1">
      <alignment horizontal="center" vertical="center"/>
    </xf>
    <xf numFmtId="192" fontId="36" fillId="8" borderId="46" xfId="9" applyNumberFormat="1" applyFont="1" applyFill="1" applyBorder="1" applyAlignment="1">
      <alignment horizontal="center" vertical="center"/>
    </xf>
    <xf numFmtId="192" fontId="36" fillId="8" borderId="0" xfId="9" applyNumberFormat="1" applyFont="1" applyFill="1" applyAlignment="1">
      <alignment horizontal="center" vertical="center"/>
    </xf>
    <xf numFmtId="0" fontId="39" fillId="7" borderId="49" xfId="0" applyFont="1" applyFill="1" applyBorder="1" applyAlignment="1">
      <alignment horizontal="center" vertical="center"/>
    </xf>
    <xf numFmtId="0" fontId="35" fillId="7" borderId="0" xfId="0" applyFont="1" applyFill="1" applyAlignment="1">
      <alignment horizontal="center" vertical="center"/>
    </xf>
    <xf numFmtId="169" fontId="36" fillId="2" borderId="49" xfId="5" applyNumberFormat="1" applyFont="1" applyFill="1" applyBorder="1" applyAlignment="1">
      <alignment horizontal="center" vertical="center"/>
    </xf>
    <xf numFmtId="192" fontId="36" fillId="2" borderId="46" xfId="9" applyNumberFormat="1" applyFont="1" applyFill="1" applyBorder="1" applyAlignment="1">
      <alignment horizontal="center" vertical="center"/>
    </xf>
    <xf numFmtId="192" fontId="36" fillId="2" borderId="0" xfId="9" applyNumberFormat="1" applyFont="1" applyFill="1" applyBorder="1" applyAlignment="1">
      <alignment horizontal="center" vertical="center"/>
    </xf>
    <xf numFmtId="169" fontId="36" fillId="2" borderId="41" xfId="5" applyNumberFormat="1" applyFont="1" applyFill="1" applyBorder="1" applyAlignment="1">
      <alignment horizontal="center" vertical="center"/>
    </xf>
    <xf numFmtId="0" fontId="41" fillId="7" borderId="50" xfId="0" applyFont="1" applyFill="1" applyBorder="1" applyAlignment="1">
      <alignment horizontal="center" vertical="center"/>
    </xf>
    <xf numFmtId="193" fontId="36" fillId="7" borderId="50" xfId="9" applyNumberFormat="1" applyFont="1" applyFill="1" applyBorder="1" applyAlignment="1">
      <alignment horizontal="center" vertical="center"/>
    </xf>
    <xf numFmtId="0" fontId="36" fillId="7" borderId="50" xfId="0" applyFont="1" applyFill="1" applyBorder="1" applyAlignment="1">
      <alignment horizontal="center" vertical="center"/>
    </xf>
    <xf numFmtId="193" fontId="36" fillId="7" borderId="43" xfId="9" applyNumberFormat="1" applyFont="1" applyFill="1" applyBorder="1" applyAlignment="1">
      <alignment horizontal="center" vertical="center"/>
    </xf>
    <xf numFmtId="0" fontId="36" fillId="7" borderId="43" xfId="0" applyFont="1" applyFill="1" applyBorder="1" applyAlignment="1">
      <alignment horizontal="center" vertical="center"/>
    </xf>
    <xf numFmtId="169" fontId="36" fillId="2" borderId="55" xfId="5" applyNumberFormat="1" applyFont="1" applyFill="1" applyBorder="1" applyAlignment="1">
      <alignment horizontal="center" vertical="center"/>
    </xf>
    <xf numFmtId="0" fontId="37" fillId="2" borderId="56" xfId="0" applyFont="1" applyFill="1" applyBorder="1" applyAlignment="1">
      <alignment horizontal="center" vertical="center"/>
    </xf>
    <xf numFmtId="193" fontId="37" fillId="2" borderId="56" xfId="0" applyNumberFormat="1" applyFont="1" applyFill="1" applyBorder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93" fontId="36" fillId="8" borderId="57" xfId="9" applyNumberFormat="1" applyFont="1" applyFill="1" applyBorder="1" applyAlignment="1">
      <alignment horizontal="center" vertical="center"/>
    </xf>
    <xf numFmtId="193" fontId="36" fillId="8" borderId="0" xfId="9" applyNumberFormat="1" applyFont="1" applyFill="1" applyAlignment="1">
      <alignment horizontal="center" vertical="center"/>
    </xf>
    <xf numFmtId="193" fontId="36" fillId="2" borderId="46" xfId="9" applyNumberFormat="1" applyFont="1" applyFill="1" applyBorder="1" applyAlignment="1">
      <alignment horizontal="center" vertical="center"/>
    </xf>
    <xf numFmtId="193" fontId="36" fillId="2" borderId="0" xfId="9" applyNumberFormat="1" applyFont="1" applyFill="1" applyBorder="1" applyAlignment="1">
      <alignment horizontal="center" vertical="center"/>
    </xf>
    <xf numFmtId="193" fontId="36" fillId="8" borderId="46" xfId="9" applyNumberFormat="1" applyFont="1" applyFill="1" applyBorder="1" applyAlignment="1">
      <alignment horizontal="center" vertical="center"/>
    </xf>
    <xf numFmtId="193" fontId="36" fillId="2" borderId="41" xfId="5" applyNumberFormat="1" applyFont="1" applyFill="1" applyBorder="1" applyAlignment="1">
      <alignment horizontal="center" vertical="center"/>
    </xf>
    <xf numFmtId="193" fontId="36" fillId="2" borderId="53" xfId="9" applyNumberFormat="1" applyFont="1" applyFill="1" applyBorder="1" applyAlignment="1">
      <alignment horizontal="center" vertical="center"/>
    </xf>
    <xf numFmtId="193" fontId="36" fillId="2" borderId="54" xfId="9" applyNumberFormat="1" applyFont="1" applyFill="1" applyBorder="1" applyAlignment="1">
      <alignment horizontal="center" vertical="center"/>
    </xf>
    <xf numFmtId="193" fontId="36" fillId="8" borderId="48" xfId="9" applyNumberFormat="1" applyFont="1" applyFill="1" applyBorder="1" applyAlignment="1">
      <alignment horizontal="center" vertical="center"/>
    </xf>
    <xf numFmtId="193" fontId="36" fillId="2" borderId="47" xfId="9" applyNumberFormat="1" applyFont="1" applyFill="1" applyBorder="1" applyAlignment="1">
      <alignment horizontal="center" vertical="center"/>
    </xf>
    <xf numFmtId="193" fontId="36" fillId="2" borderId="48" xfId="9" applyNumberFormat="1" applyFont="1" applyFill="1" applyBorder="1" applyAlignment="1">
      <alignment horizontal="center" vertical="center"/>
    </xf>
    <xf numFmtId="0" fontId="6" fillId="2" borderId="1" xfId="3" quotePrefix="1" applyFont="1" applyFill="1" applyBorder="1" applyAlignment="1">
      <alignment horizontal="center" vertical="center"/>
    </xf>
    <xf numFmtId="0" fontId="6" fillId="2" borderId="3" xfId="3" quotePrefix="1" applyFont="1" applyFill="1" applyBorder="1" applyAlignment="1">
      <alignment horizontal="center" vertical="center"/>
    </xf>
    <xf numFmtId="0" fontId="6" fillId="2" borderId="4" xfId="3" quotePrefix="1" applyFont="1" applyFill="1" applyBorder="1" applyAlignment="1">
      <alignment horizontal="center" vertical="center"/>
    </xf>
    <xf numFmtId="0" fontId="7" fillId="2" borderId="5" xfId="3" applyFont="1" applyFill="1" applyBorder="1" applyAlignment="1">
      <alignment horizontal="center" vertical="center" wrapText="1"/>
    </xf>
    <xf numFmtId="0" fontId="7" fillId="2" borderId="10" xfId="3" applyFont="1" applyFill="1" applyBorder="1" applyAlignment="1">
      <alignment horizontal="center" vertical="center" wrapText="1"/>
    </xf>
    <xf numFmtId="0" fontId="8" fillId="2" borderId="6" xfId="3" applyFont="1" applyFill="1" applyBorder="1" applyAlignment="1">
      <alignment horizontal="center" vertical="center" wrapText="1"/>
    </xf>
    <xf numFmtId="0" fontId="8" fillId="2" borderId="0" xfId="3" applyFont="1" applyFill="1" applyAlignment="1">
      <alignment horizontal="center" vertical="center" wrapText="1"/>
    </xf>
    <xf numFmtId="0" fontId="7" fillId="2" borderId="7" xfId="3" applyFon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8" fillId="2" borderId="8" xfId="3" applyFont="1" applyFill="1" applyBorder="1" applyAlignment="1">
      <alignment horizontal="center" vertical="center" wrapText="1"/>
    </xf>
    <xf numFmtId="0" fontId="8" fillId="2" borderId="12" xfId="3" applyFont="1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13" xfId="3" applyFont="1" applyFill="1" applyBorder="1" applyAlignment="1">
      <alignment horizontal="center" vertical="center" wrapText="1"/>
    </xf>
    <xf numFmtId="49" fontId="39" fillId="7" borderId="0" xfId="9" applyNumberFormat="1" applyFont="1" applyFill="1" applyBorder="1" applyAlignment="1">
      <alignment horizontal="center" vertical="center" wrapText="1"/>
    </xf>
    <xf numFmtId="0" fontId="36" fillId="7" borderId="0" xfId="0" applyFont="1" applyFill="1" applyAlignment="1">
      <alignment horizontal="center" vertical="center" wrapText="1"/>
    </xf>
    <xf numFmtId="0" fontId="36" fillId="7" borderId="41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wrapText="1"/>
    </xf>
  </cellXfs>
  <cellStyles count="10">
    <cellStyle name="Comma" xfId="1" builtinId="3"/>
    <cellStyle name="Comma 2" xfId="9" xr:uid="{E547B807-8D98-427A-B58B-D567E3143534}"/>
    <cellStyle name="Hyperlink" xfId="6" builtinId="8"/>
    <cellStyle name="Normal" xfId="0" builtinId="0"/>
    <cellStyle name="Normal 2 2" xfId="3" xr:uid="{54C60FC6-F4F7-4A50-8F34-B9336A3CBB89}"/>
    <cellStyle name="Normal 3" xfId="7" xr:uid="{3AC9F334-B364-43D5-96E1-9C1C54BB6F06}"/>
    <cellStyle name="Percent" xfId="2" builtinId="5"/>
    <cellStyle name="Percent 2" xfId="4" xr:uid="{EEAAE606-D2E9-4E08-9AF0-49C487ABCC51}"/>
    <cellStyle name="Percent 3" xfId="5" xr:uid="{FA0254CD-0C06-43D8-BF13-AA5845E06CDF}"/>
    <cellStyle name="Percent 4" xfId="8" xr:uid="{5219E129-DF52-446A-9D83-D5F4B2BE56F4}"/>
  </cellStyles>
  <dxfs count="36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333333"/>
      <color rgb="FFF2F7ED"/>
      <color rgb="FFDBEA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hartsheet" Target="chartsheets/sheet4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hartsheet" Target="chartsheets/sheet3.xml"/><Relationship Id="rId33" Type="http://schemas.openxmlformats.org/officeDocument/2006/relationships/theme" Target="theme/theme1.xml"/><Relationship Id="rId38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hartsheet" Target="chartsheets/sheet2.xml"/><Relationship Id="rId32" Type="http://schemas.openxmlformats.org/officeDocument/2006/relationships/externalLink" Target="externalLinks/externalLink4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hartsheet" Target="chartsheets/sheet1.xml"/><Relationship Id="rId28" Type="http://schemas.openxmlformats.org/officeDocument/2006/relationships/chartsheet" Target="chartsheets/sheet6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hartsheet" Target="chartsheets/sheet5.xml"/><Relationship Id="rId30" Type="http://schemas.openxmlformats.org/officeDocument/2006/relationships/externalLink" Target="externalLinks/externalLink2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Brazil Corn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Brazil!$A$4</c:f>
              <c:strCache>
                <c:ptCount val="1"/>
                <c:pt idx="0">
                  <c:v>Harvested Area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Brazil!$B$2:$AY$2</c:f>
              <c:strCache>
                <c:ptCount val="50"/>
                <c:pt idx="0">
                  <c:v>74/75</c:v>
                </c:pt>
                <c:pt idx="1">
                  <c:v>75/76 </c:v>
                </c:pt>
                <c:pt idx="2">
                  <c:v>76/77 </c:v>
                </c:pt>
                <c:pt idx="3">
                  <c:v>77/78 </c:v>
                </c:pt>
                <c:pt idx="4">
                  <c:v>78/79 </c:v>
                </c:pt>
                <c:pt idx="5">
                  <c:v>79/80 </c:v>
                </c:pt>
                <c:pt idx="6">
                  <c:v>80/81 </c:v>
                </c:pt>
                <c:pt idx="7">
                  <c:v>81/82 </c:v>
                </c:pt>
                <c:pt idx="8">
                  <c:v>82/83 </c:v>
                </c:pt>
                <c:pt idx="9">
                  <c:v>83/84 </c:v>
                </c:pt>
                <c:pt idx="10">
                  <c:v>84/85 </c:v>
                </c:pt>
                <c:pt idx="11">
                  <c:v>85/86 </c:v>
                </c:pt>
                <c:pt idx="12">
                  <c:v>86/87 </c:v>
                </c:pt>
                <c:pt idx="13">
                  <c:v>87/88 </c:v>
                </c:pt>
                <c:pt idx="14">
                  <c:v>88/89 </c:v>
                </c:pt>
                <c:pt idx="15">
                  <c:v>89/90 </c:v>
                </c:pt>
                <c:pt idx="16">
                  <c:v>90/91 </c:v>
                </c:pt>
                <c:pt idx="17">
                  <c:v>91/92 </c:v>
                </c:pt>
                <c:pt idx="18">
                  <c:v>92/93 </c:v>
                </c:pt>
                <c:pt idx="19">
                  <c:v>93/94 </c:v>
                </c:pt>
                <c:pt idx="20">
                  <c:v>94/95 </c:v>
                </c:pt>
                <c:pt idx="21">
                  <c:v>95/96 </c:v>
                </c:pt>
                <c:pt idx="22">
                  <c:v>96/97 </c:v>
                </c:pt>
                <c:pt idx="23">
                  <c:v>97/98 </c:v>
                </c:pt>
                <c:pt idx="24">
                  <c:v>98/99 </c:v>
                </c:pt>
                <c:pt idx="25">
                  <c:v>99/00 </c:v>
                </c:pt>
                <c:pt idx="26">
                  <c:v>00/01 </c:v>
                </c:pt>
                <c:pt idx="27">
                  <c:v>01/02 </c:v>
                </c:pt>
                <c:pt idx="28">
                  <c:v>02/03 </c:v>
                </c:pt>
                <c:pt idx="29">
                  <c:v>03/04 </c:v>
                </c:pt>
                <c:pt idx="30">
                  <c:v>04/05 </c:v>
                </c:pt>
                <c:pt idx="31">
                  <c:v>05/06 </c:v>
                </c:pt>
                <c:pt idx="32">
                  <c:v>06/07 </c:v>
                </c:pt>
                <c:pt idx="33">
                  <c:v>07/08 </c:v>
                </c:pt>
                <c:pt idx="34">
                  <c:v>08/09 </c:v>
                </c:pt>
                <c:pt idx="35">
                  <c:v>09/10 </c:v>
                </c:pt>
                <c:pt idx="36">
                  <c:v>10/11 </c:v>
                </c:pt>
                <c:pt idx="37">
                  <c:v>11/12 </c:v>
                </c:pt>
                <c:pt idx="38">
                  <c:v>12/13 </c:v>
                </c:pt>
                <c:pt idx="39">
                  <c:v>13/14 </c:v>
                </c:pt>
                <c:pt idx="40">
                  <c:v>14/15 </c:v>
                </c:pt>
                <c:pt idx="41">
                  <c:v>15/16 </c:v>
                </c:pt>
                <c:pt idx="42">
                  <c:v>16/17 </c:v>
                </c:pt>
                <c:pt idx="43">
                  <c:v>17/18 </c:v>
                </c:pt>
                <c:pt idx="44">
                  <c:v>18/19 </c:v>
                </c:pt>
                <c:pt idx="45">
                  <c:v>19/20</c:v>
                </c:pt>
                <c:pt idx="46">
                  <c:v>20/21</c:v>
                </c:pt>
                <c:pt idx="47">
                  <c:v>21/22</c:v>
                </c:pt>
                <c:pt idx="48">
                  <c:v>22/23</c:v>
                </c:pt>
                <c:pt idx="49">
                  <c:v>23/24</c:v>
                </c:pt>
              </c:strCache>
            </c:strRef>
          </c:cat>
          <c:val>
            <c:numRef>
              <c:f>Brazil!$B$4:$AY$4</c:f>
              <c:numCache>
                <c:formatCode>0.0_);[Red]\(0.0\)</c:formatCode>
                <c:ptCount val="50"/>
                <c:pt idx="0">
                  <c:v>10.8</c:v>
                </c:pt>
                <c:pt idx="1">
                  <c:v>11.118</c:v>
                </c:pt>
                <c:pt idx="2">
                  <c:v>11.797336</c:v>
                </c:pt>
                <c:pt idx="3">
                  <c:v>10.985059999999999</c:v>
                </c:pt>
                <c:pt idx="4">
                  <c:v>11.304812999999999</c:v>
                </c:pt>
                <c:pt idx="5">
                  <c:v>11.669883000000002</c:v>
                </c:pt>
                <c:pt idx="6">
                  <c:v>12.147144000000001</c:v>
                </c:pt>
                <c:pt idx="7">
                  <c:v>12.771052000000001</c:v>
                </c:pt>
                <c:pt idx="8">
                  <c:v>11.658185</c:v>
                </c:pt>
                <c:pt idx="9">
                  <c:v>12.205628999999998</c:v>
                </c:pt>
                <c:pt idx="10">
                  <c:v>11.940163</c:v>
                </c:pt>
                <c:pt idx="11">
                  <c:v>13.083451</c:v>
                </c:pt>
                <c:pt idx="12">
                  <c:v>14.610353000000002</c:v>
                </c:pt>
                <c:pt idx="13">
                  <c:v>13.411096000000001</c:v>
                </c:pt>
                <c:pt idx="14">
                  <c:v>12.974234999999998</c:v>
                </c:pt>
                <c:pt idx="15">
                  <c:v>12.092694999999999</c:v>
                </c:pt>
                <c:pt idx="16">
                  <c:v>13.4514</c:v>
                </c:pt>
                <c:pt idx="17">
                  <c:v>14.027099999999999</c:v>
                </c:pt>
                <c:pt idx="18">
                  <c:v>12.436300000000001</c:v>
                </c:pt>
                <c:pt idx="19">
                  <c:v>14.151699999999998</c:v>
                </c:pt>
                <c:pt idx="20">
                  <c:v>14.2822</c:v>
                </c:pt>
                <c:pt idx="21">
                  <c:v>13.7567</c:v>
                </c:pt>
                <c:pt idx="22">
                  <c:v>13.7988</c:v>
                </c:pt>
                <c:pt idx="23">
                  <c:v>11.3911</c:v>
                </c:pt>
                <c:pt idx="24">
                  <c:v>12.513</c:v>
                </c:pt>
                <c:pt idx="25">
                  <c:v>12.757899999999999</c:v>
                </c:pt>
                <c:pt idx="26">
                  <c:v>12.9725</c:v>
                </c:pt>
                <c:pt idx="27">
                  <c:v>12.297799999999999</c:v>
                </c:pt>
                <c:pt idx="28">
                  <c:v>13.2262</c:v>
                </c:pt>
                <c:pt idx="29">
                  <c:v>12.782999999999999</c:v>
                </c:pt>
                <c:pt idx="30">
                  <c:v>12.2082</c:v>
                </c:pt>
                <c:pt idx="31">
                  <c:v>12.963899999999999</c:v>
                </c:pt>
                <c:pt idx="32">
                  <c:v>14.0549</c:v>
                </c:pt>
                <c:pt idx="33">
                  <c:v>14.765700000000001</c:v>
                </c:pt>
                <c:pt idx="34">
                  <c:v>14.171799999999999</c:v>
                </c:pt>
                <c:pt idx="35">
                  <c:v>12.9939</c:v>
                </c:pt>
                <c:pt idx="36">
                  <c:v>13.806099999999999</c:v>
                </c:pt>
                <c:pt idx="37">
                  <c:v>15.178100000000001</c:v>
                </c:pt>
                <c:pt idx="38">
                  <c:v>15.829300000000002</c:v>
                </c:pt>
                <c:pt idx="39">
                  <c:v>15.828900000000001</c:v>
                </c:pt>
                <c:pt idx="40">
                  <c:v>15.692900000000002</c:v>
                </c:pt>
                <c:pt idx="41">
                  <c:v>15.8553</c:v>
                </c:pt>
                <c:pt idx="42">
                  <c:v>17.591699999999999</c:v>
                </c:pt>
                <c:pt idx="43">
                  <c:v>16.616400000000002</c:v>
                </c:pt>
                <c:pt idx="44">
                  <c:v>17.492900000000002</c:v>
                </c:pt>
                <c:pt idx="45">
                  <c:v>18.527299999999997</c:v>
                </c:pt>
                <c:pt idx="46">
                  <c:v>19.9436</c:v>
                </c:pt>
                <c:pt idx="47">
                  <c:v>21.580599999999997</c:v>
                </c:pt>
                <c:pt idx="48">
                  <c:v>22.269200000000001</c:v>
                </c:pt>
                <c:pt idx="49">
                  <c:v>21.050799999999995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7F-4B30-BC2C-3D08EB9BD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9089855"/>
        <c:axId val="449090335"/>
      </c:lineChart>
      <c:catAx>
        <c:axId val="44908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090335"/>
        <c:crosses val="autoZero"/>
        <c:auto val="1"/>
        <c:lblAlgn val="ctr"/>
        <c:lblOffset val="100"/>
        <c:noMultiLvlLbl val="0"/>
      </c:catAx>
      <c:valAx>
        <c:axId val="44909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08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Brazilian Corn</a:t>
            </a:r>
            <a:r>
              <a:rPr lang="en-US" sz="2800" baseline="0"/>
              <a:t> Production by Crop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14747320464541"/>
          <c:y val="0.1047198569205398"/>
          <c:w val="0.86373539093566476"/>
          <c:h val="0.76634325134136982"/>
        </c:manualLayout>
      </c:layout>
      <c:areaChart>
        <c:grouping val="stacked"/>
        <c:varyColors val="0"/>
        <c:ser>
          <c:idx val="0"/>
          <c:order val="0"/>
          <c:tx>
            <c:strRef>
              <c:f>Brazil!$A$101</c:f>
              <c:strCache>
                <c:ptCount val="1"/>
                <c:pt idx="0">
                  <c:v>Main Crop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chemeClr val="tx1"/>
              </a:solidFill>
            </a:ln>
            <a:effectLst/>
          </c:spPr>
          <c:cat>
            <c:strRef>
              <c:f>Brazil!$AK$2:$AW$2</c:f>
              <c:strCache>
                <c:ptCount val="13"/>
                <c:pt idx="0">
                  <c:v>09/10 </c:v>
                </c:pt>
                <c:pt idx="1">
                  <c:v>10/11 </c:v>
                </c:pt>
                <c:pt idx="2">
                  <c:v>11/12 </c:v>
                </c:pt>
                <c:pt idx="3">
                  <c:v>12/13 </c:v>
                </c:pt>
                <c:pt idx="4">
                  <c:v>13/14 </c:v>
                </c:pt>
                <c:pt idx="5">
                  <c:v>14/15 </c:v>
                </c:pt>
                <c:pt idx="6">
                  <c:v>15/16 </c:v>
                </c:pt>
                <c:pt idx="7">
                  <c:v>16/17 </c:v>
                </c:pt>
                <c:pt idx="8">
                  <c:v>17/18 </c:v>
                </c:pt>
                <c:pt idx="9">
                  <c:v>18/19 </c:v>
                </c:pt>
                <c:pt idx="10">
                  <c:v>19/20</c:v>
                </c:pt>
                <c:pt idx="11">
                  <c:v>20/21</c:v>
                </c:pt>
                <c:pt idx="12">
                  <c:v>21/22</c:v>
                </c:pt>
              </c:strCache>
            </c:strRef>
          </c:cat>
          <c:val>
            <c:numRef>
              <c:f>Brazil!$AK$101:$AW$101</c:f>
              <c:numCache>
                <c:formatCode>#,##0_);[Red]\(#,##0\)</c:formatCode>
                <c:ptCount val="13"/>
                <c:pt idx="0">
                  <c:v>34079.199999999997</c:v>
                </c:pt>
                <c:pt idx="1">
                  <c:v>34946.699999999997</c:v>
                </c:pt>
                <c:pt idx="2">
                  <c:v>33867.1</c:v>
                </c:pt>
                <c:pt idx="3">
                  <c:v>34576.708100000003</c:v>
                </c:pt>
                <c:pt idx="4">
                  <c:v>31652.91</c:v>
                </c:pt>
                <c:pt idx="5">
                  <c:v>30082.011599999998</c:v>
                </c:pt>
                <c:pt idx="6">
                  <c:v>25758.103199999998</c:v>
                </c:pt>
                <c:pt idx="7">
                  <c:v>30462.014999999999</c:v>
                </c:pt>
                <c:pt idx="8">
                  <c:v>26810.695999999996</c:v>
                </c:pt>
                <c:pt idx="9">
                  <c:v>25646.700700000001</c:v>
                </c:pt>
                <c:pt idx="10">
                  <c:v>25689.599999999999</c:v>
                </c:pt>
                <c:pt idx="11">
                  <c:v>24726.5</c:v>
                </c:pt>
                <c:pt idx="12">
                  <c:v>25026.799999999999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C-4294-B051-C0A0D302384B}"/>
            </c:ext>
          </c:extLst>
        </c:ser>
        <c:ser>
          <c:idx val="1"/>
          <c:order val="1"/>
          <c:tx>
            <c:strRef>
              <c:f>Brazil!$A$102</c:f>
              <c:strCache>
                <c:ptCount val="1"/>
                <c:pt idx="0">
                  <c:v>Safrinha Crop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chemeClr val="tx1"/>
              </a:solidFill>
            </a:ln>
            <a:effectLst/>
          </c:spPr>
          <c:cat>
            <c:strRef>
              <c:f>Brazil!$AK$2:$AW$2</c:f>
              <c:strCache>
                <c:ptCount val="13"/>
                <c:pt idx="0">
                  <c:v>09/10 </c:v>
                </c:pt>
                <c:pt idx="1">
                  <c:v>10/11 </c:v>
                </c:pt>
                <c:pt idx="2">
                  <c:v>11/12 </c:v>
                </c:pt>
                <c:pt idx="3">
                  <c:v>12/13 </c:v>
                </c:pt>
                <c:pt idx="4">
                  <c:v>13/14 </c:v>
                </c:pt>
                <c:pt idx="5">
                  <c:v>14/15 </c:v>
                </c:pt>
                <c:pt idx="6">
                  <c:v>15/16 </c:v>
                </c:pt>
                <c:pt idx="7">
                  <c:v>16/17 </c:v>
                </c:pt>
                <c:pt idx="8">
                  <c:v>17/18 </c:v>
                </c:pt>
                <c:pt idx="9">
                  <c:v>18/19 </c:v>
                </c:pt>
                <c:pt idx="10">
                  <c:v>19/20</c:v>
                </c:pt>
                <c:pt idx="11">
                  <c:v>20/21</c:v>
                </c:pt>
                <c:pt idx="12">
                  <c:v>21/22</c:v>
                </c:pt>
              </c:strCache>
            </c:strRef>
          </c:cat>
          <c:val>
            <c:numRef>
              <c:f>Brazil!$AK$102:$AW$102</c:f>
              <c:numCache>
                <c:formatCode>#,##0_);[Red]\(#,##0\)</c:formatCode>
                <c:ptCount val="13"/>
                <c:pt idx="0">
                  <c:v>21938.799999999999</c:v>
                </c:pt>
                <c:pt idx="1">
                  <c:v>22460.3</c:v>
                </c:pt>
                <c:pt idx="2">
                  <c:v>39112.699999999997</c:v>
                </c:pt>
                <c:pt idx="3">
                  <c:v>46928.9</c:v>
                </c:pt>
                <c:pt idx="4">
                  <c:v>48399.1</c:v>
                </c:pt>
                <c:pt idx="5">
                  <c:v>54590.5</c:v>
                </c:pt>
                <c:pt idx="6">
                  <c:v>40772.699999999997</c:v>
                </c:pt>
                <c:pt idx="7">
                  <c:v>67380.899999999994</c:v>
                </c:pt>
                <c:pt idx="8">
                  <c:v>53898.9</c:v>
                </c:pt>
                <c:pt idx="9">
                  <c:v>73177.7</c:v>
                </c:pt>
                <c:pt idx="10">
                  <c:v>75053.2</c:v>
                </c:pt>
                <c:pt idx="11">
                  <c:v>60741.599999999999</c:v>
                </c:pt>
                <c:pt idx="12">
                  <c:v>85622.399999999994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EC-4294-B051-C0A0D3023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052487"/>
        <c:axId val="288052815"/>
      </c:areaChart>
      <c:catAx>
        <c:axId val="288052487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5875" cap="flat" cmpd="sng" algn="ctr">
            <a:solidFill>
              <a:srgbClr val="6F079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8052815"/>
        <c:crosses val="autoZero"/>
        <c:auto val="1"/>
        <c:lblAlgn val="ctr"/>
        <c:lblOffset val="100"/>
        <c:noMultiLvlLbl val="0"/>
      </c:catAx>
      <c:valAx>
        <c:axId val="28805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aseline="0"/>
                  <a:t>(thousand tonnes)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15875">
            <a:solidFill>
              <a:srgbClr val="6F079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8052487"/>
        <c:crosses val="autoZero"/>
        <c:crossBetween val="midCat"/>
      </c:valAx>
      <c:spPr>
        <a:noFill/>
        <a:ln w="15875">
          <a:solidFill>
            <a:srgbClr val="6F0791"/>
          </a:solidFill>
        </a:ln>
        <a:effectLst/>
      </c:spPr>
    </c:plotArea>
    <c:legend>
      <c:legendPos val="b"/>
      <c:layout>
        <c:manualLayout>
          <c:xMode val="edge"/>
          <c:yMode val="edge"/>
          <c:x val="0.13134163471426363"/>
          <c:y val="0.12956341420950193"/>
          <c:w val="0.29319874647776051"/>
          <c:h val="7.996209057205296E-2"/>
        </c:manualLayout>
      </c:layout>
      <c:overlay val="0"/>
      <c:spPr>
        <a:solidFill>
          <a:schemeClr val="bg1"/>
        </a:solidFill>
        <a:ln w="1587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Brazil Corn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019702883592193E-2"/>
          <c:y val="0.11340180261802067"/>
          <c:w val="0.89526029691410003"/>
          <c:h val="0.769764983135381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Brazil!$AV$24</c:f>
              <c:strCache>
                <c:ptCount val="1"/>
                <c:pt idx="0">
                  <c:v>20/21</c:v>
                </c:pt>
              </c:strCache>
            </c:strRef>
          </c:tx>
          <c:spPr>
            <a:solidFill>
              <a:srgbClr val="CC3300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CC33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BB-4128-8D1D-28ACBADE707E}"/>
              </c:ext>
            </c:extLst>
          </c:dPt>
          <c:dPt>
            <c:idx val="7"/>
            <c:invertIfNegative val="0"/>
            <c:bubble3D val="0"/>
            <c:spPr>
              <a:solidFill>
                <a:srgbClr val="CC33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BB-4128-8D1D-28ACBADE707E}"/>
              </c:ext>
            </c:extLst>
          </c:dPt>
          <c:dPt>
            <c:idx val="8"/>
            <c:invertIfNegative val="0"/>
            <c:bubble3D val="0"/>
            <c:spPr>
              <a:solidFill>
                <a:srgbClr val="CC33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BB-4128-8D1D-28ACBADE707E}"/>
              </c:ext>
            </c:extLst>
          </c:dPt>
          <c:dPt>
            <c:idx val="9"/>
            <c:invertIfNegative val="0"/>
            <c:bubble3D val="0"/>
            <c:spPr>
              <a:solidFill>
                <a:srgbClr val="CC33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BB-4128-8D1D-28ACBADE707E}"/>
              </c:ext>
            </c:extLst>
          </c:dPt>
          <c:dPt>
            <c:idx val="10"/>
            <c:invertIfNegative val="0"/>
            <c:bubble3D val="0"/>
            <c:spPr>
              <a:solidFill>
                <a:srgbClr val="CC33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BB-4128-8D1D-28ACBADE707E}"/>
              </c:ext>
            </c:extLst>
          </c:dPt>
          <c:dPt>
            <c:idx val="11"/>
            <c:invertIfNegative val="0"/>
            <c:bubble3D val="0"/>
            <c:spPr>
              <a:solidFill>
                <a:srgbClr val="CC33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3BB-4128-8D1D-28ACBADE707E}"/>
              </c:ext>
            </c:extLst>
          </c:dPt>
          <c:cat>
            <c:strRef>
              <c:f>Brazil!$A$25:$A$36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Brazil!$AV$25:$AV$36</c:f>
              <c:numCache>
                <c:formatCode>#,##0_);[Red]\(#,##0\)</c:formatCode>
                <c:ptCount val="12"/>
                <c:pt idx="0">
                  <c:v>292.01317299999999</c:v>
                </c:pt>
                <c:pt idx="1">
                  <c:v>130.87634700000001</c:v>
                </c:pt>
                <c:pt idx="2">
                  <c:v>13.919890000000001</c:v>
                </c:pt>
                <c:pt idx="3">
                  <c:v>92.169250000000005</c:v>
                </c:pt>
                <c:pt idx="4">
                  <c:v>1991.3689910000001</c:v>
                </c:pt>
                <c:pt idx="5">
                  <c:v>4335.7629729999999</c:v>
                </c:pt>
                <c:pt idx="6">
                  <c:v>2850.1717170000002</c:v>
                </c:pt>
                <c:pt idx="7">
                  <c:v>1797.038335</c:v>
                </c:pt>
                <c:pt idx="8">
                  <c:v>2392.5219619999998</c:v>
                </c:pt>
                <c:pt idx="9">
                  <c:v>3410.6003689999998</c:v>
                </c:pt>
                <c:pt idx="10">
                  <c:v>2732.4735970000002</c:v>
                </c:pt>
                <c:pt idx="11">
                  <c:v>768.39660500000002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3BB-4128-8D1D-28ACBADE707E}"/>
            </c:ext>
          </c:extLst>
        </c:ser>
        <c:ser>
          <c:idx val="3"/>
          <c:order val="3"/>
          <c:tx>
            <c:strRef>
              <c:f>Brazil!$AW$24</c:f>
              <c:strCache>
                <c:ptCount val="1"/>
                <c:pt idx="0">
                  <c:v>21/22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3BB-4128-8D1D-28ACBADE707E}"/>
              </c:ext>
            </c:extLst>
          </c:dPt>
          <c:dPt>
            <c:idx val="1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3BB-4128-8D1D-28ACBADE707E}"/>
              </c:ext>
            </c:extLst>
          </c:dPt>
          <c:dPt>
            <c:idx val="2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53BB-4128-8D1D-28ACBADE707E}"/>
              </c:ext>
            </c:extLst>
          </c:dPt>
          <c:dPt>
            <c:idx val="3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53BB-4128-8D1D-28ACBADE707E}"/>
              </c:ext>
            </c:extLst>
          </c:dPt>
          <c:dPt>
            <c:idx val="4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53BB-4128-8D1D-28ACBADE707E}"/>
              </c:ext>
            </c:extLst>
          </c:dPt>
          <c:dPt>
            <c:idx val="5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53BB-4128-8D1D-28ACBADE707E}"/>
              </c:ext>
            </c:extLst>
          </c:dPt>
          <c:dPt>
            <c:idx val="6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53BB-4128-8D1D-28ACBADE707E}"/>
              </c:ext>
            </c:extLst>
          </c:dPt>
          <c:dPt>
            <c:idx val="7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53BB-4128-8D1D-28ACBADE707E}"/>
              </c:ext>
            </c:extLst>
          </c:dPt>
          <c:dPt>
            <c:idx val="8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53BB-4128-8D1D-28ACBADE707E}"/>
              </c:ext>
            </c:extLst>
          </c:dPt>
          <c:dPt>
            <c:idx val="9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53BB-4128-8D1D-28ACBADE707E}"/>
              </c:ext>
            </c:extLst>
          </c:dPt>
          <c:dPt>
            <c:idx val="10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53BB-4128-8D1D-28ACBADE707E}"/>
              </c:ext>
            </c:extLst>
          </c:dPt>
          <c:dPt>
            <c:idx val="11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53BB-4128-8D1D-28ACBADE707E}"/>
              </c:ext>
            </c:extLst>
          </c:dPt>
          <c:val>
            <c:numRef>
              <c:f>Brazil!$AW$25:$AW$36</c:f>
              <c:numCache>
                <c:formatCode>#,##0_);[Red]\(#,##0\)</c:formatCode>
                <c:ptCount val="12"/>
                <c:pt idx="0">
                  <c:v>14.278862999999999</c:v>
                </c:pt>
                <c:pt idx="1">
                  <c:v>690.29581499999995</c:v>
                </c:pt>
                <c:pt idx="2">
                  <c:v>1088.4720769999999</c:v>
                </c:pt>
                <c:pt idx="3">
                  <c:v>989.29951900000003</c:v>
                </c:pt>
                <c:pt idx="4">
                  <c:v>4119.0912369999996</c:v>
                </c:pt>
                <c:pt idx="5">
                  <c:v>7446.0912950000002</c:v>
                </c:pt>
                <c:pt idx="6">
                  <c:v>6421.8759899999995</c:v>
                </c:pt>
                <c:pt idx="7">
                  <c:v>6785.0694970000004</c:v>
                </c:pt>
                <c:pt idx="8">
                  <c:v>5889.6308060000001</c:v>
                </c:pt>
                <c:pt idx="9">
                  <c:v>6244.7075930000001</c:v>
                </c:pt>
                <c:pt idx="10">
                  <c:v>6139.9445649999998</c:v>
                </c:pt>
                <c:pt idx="11">
                  <c:v>2274.2307689999998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53BB-4128-8D1D-28ACBADE707E}"/>
            </c:ext>
          </c:extLst>
        </c:ser>
        <c:ser>
          <c:idx val="4"/>
          <c:order val="4"/>
          <c:tx>
            <c:strRef>
              <c:f>Brazil!$AX$24</c:f>
              <c:strCache>
                <c:ptCount val="1"/>
                <c:pt idx="0">
                  <c:v>22/23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3BB-4128-8D1D-28ACBADE707E}"/>
              </c:ext>
            </c:extLst>
          </c:dPt>
          <c:dPt>
            <c:idx val="3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3BB-4128-8D1D-28ACBADE707E}"/>
              </c:ext>
            </c:extLst>
          </c:dPt>
          <c:dPt>
            <c:idx val="4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3BB-4128-8D1D-28ACBADE707E}"/>
              </c:ext>
            </c:extLst>
          </c:dPt>
          <c:dPt>
            <c:idx val="5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53BB-4128-8D1D-28ACBADE707E}"/>
              </c:ext>
            </c:extLst>
          </c:dPt>
          <c:dPt>
            <c:idx val="6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53BB-4128-8D1D-28ACBADE707E}"/>
              </c:ext>
            </c:extLst>
          </c:dPt>
          <c:dPt>
            <c:idx val="7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53BB-4128-8D1D-28ACBADE707E}"/>
              </c:ext>
            </c:extLst>
          </c:dPt>
          <c:dPt>
            <c:idx val="8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53BB-4128-8D1D-28ACBADE707E}"/>
              </c:ext>
            </c:extLst>
          </c:dPt>
          <c:dPt>
            <c:idx val="9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3BB-4128-8D1D-28ACBADE707E}"/>
              </c:ext>
            </c:extLst>
          </c:dPt>
          <c:dPt>
            <c:idx val="10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53BB-4128-8D1D-28ACBADE707E}"/>
              </c:ext>
            </c:extLst>
          </c:dPt>
          <c:dPt>
            <c:idx val="11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53BB-4128-8D1D-28ACBADE707E}"/>
              </c:ext>
            </c:extLst>
          </c:dPt>
          <c:val>
            <c:numRef>
              <c:f>Brazil!$AX$25:$AX$36</c:f>
              <c:numCache>
                <c:formatCode>#,##0_);[Red]\(#,##0\)</c:formatCode>
                <c:ptCount val="12"/>
                <c:pt idx="0">
                  <c:v>1335.257523</c:v>
                </c:pt>
                <c:pt idx="1">
                  <c:v>470.80533500000001</c:v>
                </c:pt>
                <c:pt idx="2">
                  <c:v>384.88475899999997</c:v>
                </c:pt>
                <c:pt idx="3">
                  <c:v>1034.2820019999999</c:v>
                </c:pt>
                <c:pt idx="4">
                  <c:v>4230.6227399999998</c:v>
                </c:pt>
                <c:pt idx="5">
                  <c:v>9363.4758340000008</c:v>
                </c:pt>
                <c:pt idx="6">
                  <c:v>8746.3822679999994</c:v>
                </c:pt>
                <c:pt idx="7">
                  <c:v>8448.4376699999993</c:v>
                </c:pt>
                <c:pt idx="8">
                  <c:v>7405.9028559999997</c:v>
                </c:pt>
                <c:pt idx="9">
                  <c:v>6063.8159240000005</c:v>
                </c:pt>
                <c:pt idx="10">
                  <c:v>4876</c:v>
                </c:pt>
                <c:pt idx="11">
                  <c:v>1713.0862529999999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53BB-4128-8D1D-28ACBADE7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5"/>
        <c:axId val="599322599"/>
        <c:axId val="5993235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Brazil!$AT$24</c15:sqref>
                        </c15:formulaRef>
                      </c:ext>
                    </c:extLst>
                    <c:strCache>
                      <c:ptCount val="1"/>
                      <c:pt idx="0">
                        <c:v>18/19 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Brazil!$A$25:$A$36</c15:sqref>
                        </c15:formulaRef>
                      </c:ext>
                    </c:extLst>
                    <c:strCache>
                      <c:ptCount val="12"/>
                      <c:pt idx="0">
                        <c:v>Mar</c:v>
                      </c:pt>
                      <c:pt idx="1">
                        <c:v>Apr</c:v>
                      </c:pt>
                      <c:pt idx="2">
                        <c:v>May</c:v>
                      </c:pt>
                      <c:pt idx="3">
                        <c:v>Jun</c:v>
                      </c:pt>
                      <c:pt idx="4">
                        <c:v>Jul</c:v>
                      </c:pt>
                      <c:pt idx="5">
                        <c:v>Aug</c:v>
                      </c:pt>
                      <c:pt idx="6">
                        <c:v>Sep</c:v>
                      </c:pt>
                      <c:pt idx="7">
                        <c:v>Oct</c:v>
                      </c:pt>
                      <c:pt idx="8">
                        <c:v>Nov</c:v>
                      </c:pt>
                      <c:pt idx="9">
                        <c:v>Dec</c:v>
                      </c:pt>
                      <c:pt idx="10">
                        <c:v>Jan</c:v>
                      </c:pt>
                      <c:pt idx="11">
                        <c:v>Feb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Brazil!$AT$25:$AT$36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827.46110699999997</c:v>
                      </c:pt>
                      <c:pt idx="1">
                        <c:v>349.38226200000003</c:v>
                      </c:pt>
                      <c:pt idx="2">
                        <c:v>957.66693499999997</c:v>
                      </c:pt>
                      <c:pt idx="3">
                        <c:v>1195.0195819999999</c:v>
                      </c:pt>
                      <c:pt idx="4">
                        <c:v>5926.4529519999996</c:v>
                      </c:pt>
                      <c:pt idx="5">
                        <c:v>7321.4604470000004</c:v>
                      </c:pt>
                      <c:pt idx="6">
                        <c:v>6442.1723910000001</c:v>
                      </c:pt>
                      <c:pt idx="7">
                        <c:v>6023.7442789999996</c:v>
                      </c:pt>
                      <c:pt idx="8">
                        <c:v>4110.2834130000001</c:v>
                      </c:pt>
                      <c:pt idx="9">
                        <c:v>4164.8062069999996</c:v>
                      </c:pt>
                      <c:pt idx="10">
                        <c:v>2087.889631</c:v>
                      </c:pt>
                      <c:pt idx="11">
                        <c:v>340.25600400000002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B-53BB-4128-8D1D-28ACBADE707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Brazil!$AU$24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Brazil!$A$25:$A$36</c15:sqref>
                        </c15:formulaRef>
                      </c:ext>
                    </c:extLst>
                    <c:strCache>
                      <c:ptCount val="12"/>
                      <c:pt idx="0">
                        <c:v>Mar</c:v>
                      </c:pt>
                      <c:pt idx="1">
                        <c:v>Apr</c:v>
                      </c:pt>
                      <c:pt idx="2">
                        <c:v>May</c:v>
                      </c:pt>
                      <c:pt idx="3">
                        <c:v>Jun</c:v>
                      </c:pt>
                      <c:pt idx="4">
                        <c:v>Jul</c:v>
                      </c:pt>
                      <c:pt idx="5">
                        <c:v>Aug</c:v>
                      </c:pt>
                      <c:pt idx="6">
                        <c:v>Sep</c:v>
                      </c:pt>
                      <c:pt idx="7">
                        <c:v>Oct</c:v>
                      </c:pt>
                      <c:pt idx="8">
                        <c:v>Nov</c:v>
                      </c:pt>
                      <c:pt idx="9">
                        <c:v>Dec</c:v>
                      </c:pt>
                      <c:pt idx="10">
                        <c:v>Jan</c:v>
                      </c:pt>
                      <c:pt idx="11">
                        <c:v>Feb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Brazil!$AU$25:$AU$36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472.66970600000002</c:v>
                      </c:pt>
                      <c:pt idx="1">
                        <c:v>6.6964819999999996</c:v>
                      </c:pt>
                      <c:pt idx="2">
                        <c:v>24.933229999999998</c:v>
                      </c:pt>
                      <c:pt idx="3">
                        <c:v>312.210825</c:v>
                      </c:pt>
                      <c:pt idx="4">
                        <c:v>3979.2241629999999</c:v>
                      </c:pt>
                      <c:pt idx="5">
                        <c:v>6243.7866020000001</c:v>
                      </c:pt>
                      <c:pt idx="6">
                        <c:v>6371.2634399999997</c:v>
                      </c:pt>
                      <c:pt idx="7">
                        <c:v>5003.8128559999996</c:v>
                      </c:pt>
                      <c:pt idx="8">
                        <c:v>4732.6241369999998</c:v>
                      </c:pt>
                      <c:pt idx="9">
                        <c:v>4856.5700660000002</c:v>
                      </c:pt>
                      <c:pt idx="10">
                        <c:v>2346.3035359999999</c:v>
                      </c:pt>
                      <c:pt idx="11">
                        <c:v>776.81888200000003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C-53BB-4128-8D1D-28ACBADE707E}"/>
                  </c:ext>
                </c:extLst>
              </c15:ser>
            </c15:filteredBarSeries>
          </c:ext>
        </c:extLst>
      </c:barChart>
      <c:catAx>
        <c:axId val="599322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99323583"/>
        <c:crosses val="autoZero"/>
        <c:auto val="1"/>
        <c:lblAlgn val="ctr"/>
        <c:lblOffset val="100"/>
        <c:noMultiLvlLbl val="0"/>
      </c:catAx>
      <c:valAx>
        <c:axId val="59932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thousand</a:t>
                </a:r>
                <a:r>
                  <a:rPr lang="en-US" sz="1200" baseline="0"/>
                  <a:t> tonnes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99322599"/>
        <c:crosses val="autoZero"/>
        <c:crossBetween val="between"/>
      </c:valAx>
      <c:spPr>
        <a:noFill/>
        <a:ln w="15875"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Argentina Planted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308668288852139E-2"/>
          <c:y val="0.12329654498508684"/>
          <c:w val="0.90197133150884001"/>
          <c:h val="0.69609616736221747"/>
        </c:manualLayout>
      </c:layout>
      <c:lineChart>
        <c:grouping val="standard"/>
        <c:varyColors val="0"/>
        <c:ser>
          <c:idx val="0"/>
          <c:order val="0"/>
          <c:tx>
            <c:v>Corn</c:v>
          </c:tx>
          <c:spPr>
            <a:ln w="15875" cap="rnd">
              <a:solidFill>
                <a:srgbClr val="FF4B4B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 w="15875">
                <a:solidFill>
                  <a:srgbClr val="FF4B4B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4B4B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Argentina!$Z$2:$AX$2</c:f>
              <c:strCache>
                <c:ptCount val="25"/>
                <c:pt idx="0">
                  <c:v>98/99 </c:v>
                </c:pt>
                <c:pt idx="1">
                  <c:v>99/00 </c:v>
                </c:pt>
                <c:pt idx="2">
                  <c:v>00/01 </c:v>
                </c:pt>
                <c:pt idx="3">
                  <c:v>01/02 </c:v>
                </c:pt>
                <c:pt idx="4">
                  <c:v>02/03 </c:v>
                </c:pt>
                <c:pt idx="5">
                  <c:v>03/04 </c:v>
                </c:pt>
                <c:pt idx="6">
                  <c:v>04/05 </c:v>
                </c:pt>
                <c:pt idx="7">
                  <c:v>05/06 </c:v>
                </c:pt>
                <c:pt idx="8">
                  <c:v>06/07 </c:v>
                </c:pt>
                <c:pt idx="9">
                  <c:v>07/08 </c:v>
                </c:pt>
                <c:pt idx="10">
                  <c:v>08/09 </c:v>
                </c:pt>
                <c:pt idx="11">
                  <c:v>09/10 </c:v>
                </c:pt>
                <c:pt idx="12">
                  <c:v>10/11 </c:v>
                </c:pt>
                <c:pt idx="13">
                  <c:v>11/12 </c:v>
                </c:pt>
                <c:pt idx="14">
                  <c:v>12/13 </c:v>
                </c:pt>
                <c:pt idx="15">
                  <c:v>13/14 </c:v>
                </c:pt>
                <c:pt idx="16">
                  <c:v>14/15 </c:v>
                </c:pt>
                <c:pt idx="17">
                  <c:v>15/16 </c:v>
                </c:pt>
                <c:pt idx="18">
                  <c:v>16/17 </c:v>
                </c:pt>
                <c:pt idx="19">
                  <c:v>17/18 </c:v>
                </c:pt>
                <c:pt idx="20">
                  <c:v>18/19 </c:v>
                </c:pt>
                <c:pt idx="21">
                  <c:v>19/20</c:v>
                </c:pt>
                <c:pt idx="22">
                  <c:v>20/21</c:v>
                </c:pt>
                <c:pt idx="23">
                  <c:v>21/22</c:v>
                </c:pt>
                <c:pt idx="24">
                  <c:v>22/23</c:v>
                </c:pt>
              </c:strCache>
            </c:strRef>
          </c:cat>
          <c:val>
            <c:numRef>
              <c:f>Argentina!$Z$4:$AX$4</c:f>
              <c:numCache>
                <c:formatCode>#,##0.0_)</c:formatCode>
                <c:ptCount val="25"/>
                <c:pt idx="0">
                  <c:v>3.2700499999999999</c:v>
                </c:pt>
                <c:pt idx="1">
                  <c:v>3.6518999999999999</c:v>
                </c:pt>
                <c:pt idx="2">
                  <c:v>3.494523</c:v>
                </c:pt>
                <c:pt idx="3">
                  <c:v>3.061661</c:v>
                </c:pt>
                <c:pt idx="4">
                  <c:v>3.0603739999999999</c:v>
                </c:pt>
                <c:pt idx="5">
                  <c:v>2.9624000000000001</c:v>
                </c:pt>
                <c:pt idx="6">
                  <c:v>3.4038369999999998</c:v>
                </c:pt>
                <c:pt idx="7">
                  <c:v>3.1904400000000002</c:v>
                </c:pt>
                <c:pt idx="8">
                  <c:v>3.5782349999999998</c:v>
                </c:pt>
                <c:pt idx="9">
                  <c:v>4.2383290000000002</c:v>
                </c:pt>
                <c:pt idx="10">
                  <c:v>3.75</c:v>
                </c:pt>
                <c:pt idx="11">
                  <c:v>3.2</c:v>
                </c:pt>
                <c:pt idx="12">
                  <c:v>4.5</c:v>
                </c:pt>
                <c:pt idx="13">
                  <c:v>5.2</c:v>
                </c:pt>
                <c:pt idx="14">
                  <c:v>4.5999999999999996</c:v>
                </c:pt>
                <c:pt idx="15">
                  <c:v>4.5</c:v>
                </c:pt>
                <c:pt idx="16">
                  <c:v>4.2</c:v>
                </c:pt>
                <c:pt idx="17">
                  <c:v>4.4000000000000004</c:v>
                </c:pt>
                <c:pt idx="18">
                  <c:v>5.5</c:v>
                </c:pt>
                <c:pt idx="19">
                  <c:v>6.45</c:v>
                </c:pt>
                <c:pt idx="20">
                  <c:v>6.9</c:v>
                </c:pt>
                <c:pt idx="21">
                  <c:v>6.9</c:v>
                </c:pt>
                <c:pt idx="22">
                  <c:v>7.1</c:v>
                </c:pt>
                <c:pt idx="23">
                  <c:v>7.7</c:v>
                </c:pt>
                <c:pt idx="24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29-4416-8D77-F4A2BB159370}"/>
            </c:ext>
          </c:extLst>
        </c:ser>
        <c:ser>
          <c:idx val="1"/>
          <c:order val="1"/>
          <c:tx>
            <c:v>Soybeans</c:v>
          </c:tx>
          <c:spPr>
            <a:ln w="158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 w="158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60000"/>
                        <a:lumOff val="4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Argentina!$Z$2:$AX$2</c:f>
              <c:strCache>
                <c:ptCount val="25"/>
                <c:pt idx="0">
                  <c:v>98/99 </c:v>
                </c:pt>
                <c:pt idx="1">
                  <c:v>99/00 </c:v>
                </c:pt>
                <c:pt idx="2">
                  <c:v>00/01 </c:v>
                </c:pt>
                <c:pt idx="3">
                  <c:v>01/02 </c:v>
                </c:pt>
                <c:pt idx="4">
                  <c:v>02/03 </c:v>
                </c:pt>
                <c:pt idx="5">
                  <c:v>03/04 </c:v>
                </c:pt>
                <c:pt idx="6">
                  <c:v>04/05 </c:v>
                </c:pt>
                <c:pt idx="7">
                  <c:v>05/06 </c:v>
                </c:pt>
                <c:pt idx="8">
                  <c:v>06/07 </c:v>
                </c:pt>
                <c:pt idx="9">
                  <c:v>07/08 </c:v>
                </c:pt>
                <c:pt idx="10">
                  <c:v>08/09 </c:v>
                </c:pt>
                <c:pt idx="11">
                  <c:v>09/10 </c:v>
                </c:pt>
                <c:pt idx="12">
                  <c:v>10/11 </c:v>
                </c:pt>
                <c:pt idx="13">
                  <c:v>11/12 </c:v>
                </c:pt>
                <c:pt idx="14">
                  <c:v>12/13 </c:v>
                </c:pt>
                <c:pt idx="15">
                  <c:v>13/14 </c:v>
                </c:pt>
                <c:pt idx="16">
                  <c:v>14/15 </c:v>
                </c:pt>
                <c:pt idx="17">
                  <c:v>15/16 </c:v>
                </c:pt>
                <c:pt idx="18">
                  <c:v>16/17 </c:v>
                </c:pt>
                <c:pt idx="19">
                  <c:v>17/18 </c:v>
                </c:pt>
                <c:pt idx="20">
                  <c:v>18/19 </c:v>
                </c:pt>
                <c:pt idx="21">
                  <c:v>19/20</c:v>
                </c:pt>
                <c:pt idx="22">
                  <c:v>20/21</c:v>
                </c:pt>
                <c:pt idx="23">
                  <c:v>21/22</c:v>
                </c:pt>
                <c:pt idx="24">
                  <c:v>22/23</c:v>
                </c:pt>
              </c:strCache>
            </c:strRef>
          </c:cat>
          <c:val>
            <c:numRef>
              <c:f>Argentina!$Z$78:$AX$78</c:f>
              <c:numCache>
                <c:formatCode>#,##0.0_);[Red]\(#,##0.0\)</c:formatCode>
                <c:ptCount val="25"/>
                <c:pt idx="0">
                  <c:v>8.7904999999999998</c:v>
                </c:pt>
                <c:pt idx="1">
                  <c:v>10.92733</c:v>
                </c:pt>
                <c:pt idx="2">
                  <c:v>11.63766</c:v>
                </c:pt>
                <c:pt idx="3">
                  <c:v>12.606845</c:v>
                </c:pt>
                <c:pt idx="4">
                  <c:v>14.526605999999999</c:v>
                </c:pt>
                <c:pt idx="5">
                  <c:v>14.401921</c:v>
                </c:pt>
                <c:pt idx="6">
                  <c:v>15.393473999999999</c:v>
                </c:pt>
                <c:pt idx="7">
                  <c:v>16.141338000000001</c:v>
                </c:pt>
                <c:pt idx="8">
                  <c:v>17.980895</c:v>
                </c:pt>
                <c:pt idx="9">
                  <c:v>18.392752000000002</c:v>
                </c:pt>
                <c:pt idx="10">
                  <c:v>18.870651000000002</c:v>
                </c:pt>
                <c:pt idx="11">
                  <c:v>18.664148000000001</c:v>
                </c:pt>
                <c:pt idx="12">
                  <c:v>19.902072</c:v>
                </c:pt>
                <c:pt idx="13">
                  <c:v>19.705342000000002</c:v>
                </c:pt>
                <c:pt idx="14">
                  <c:v>19.792099999999998</c:v>
                </c:pt>
                <c:pt idx="15">
                  <c:v>20.562232999999999</c:v>
                </c:pt>
                <c:pt idx="16">
                  <c:v>18.057162000000002</c:v>
                </c:pt>
                <c:pt idx="17">
                  <c:v>17.259259999999998</c:v>
                </c:pt>
                <c:pt idx="18">
                  <c:v>17.010276999999999</c:v>
                </c:pt>
                <c:pt idx="19">
                  <c:v>16.908238000000001</c:v>
                </c:pt>
                <c:pt idx="20">
                  <c:v>16.650093000000002</c:v>
                </c:pt>
                <c:pt idx="21">
                  <c:v>16.094383000000001</c:v>
                </c:pt>
                <c:pt idx="22">
                  <c:v>16.350000000000001</c:v>
                </c:pt>
                <c:pt idx="23">
                  <c:v>15.97</c:v>
                </c:pt>
                <c:pt idx="24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29-4416-8D77-F4A2BB159370}"/>
            </c:ext>
          </c:extLst>
        </c:ser>
        <c:ser>
          <c:idx val="2"/>
          <c:order val="2"/>
          <c:tx>
            <c:v>Wheat</c:v>
          </c:tx>
          <c:spPr>
            <a:ln w="158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 w="15875"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Argentina!$Z$2:$AX$2</c:f>
              <c:strCache>
                <c:ptCount val="25"/>
                <c:pt idx="0">
                  <c:v>98/99 </c:v>
                </c:pt>
                <c:pt idx="1">
                  <c:v>99/00 </c:v>
                </c:pt>
                <c:pt idx="2">
                  <c:v>00/01 </c:v>
                </c:pt>
                <c:pt idx="3">
                  <c:v>01/02 </c:v>
                </c:pt>
                <c:pt idx="4">
                  <c:v>02/03 </c:v>
                </c:pt>
                <c:pt idx="5">
                  <c:v>03/04 </c:v>
                </c:pt>
                <c:pt idx="6">
                  <c:v>04/05 </c:v>
                </c:pt>
                <c:pt idx="7">
                  <c:v>05/06 </c:v>
                </c:pt>
                <c:pt idx="8">
                  <c:v>06/07 </c:v>
                </c:pt>
                <c:pt idx="9">
                  <c:v>07/08 </c:v>
                </c:pt>
                <c:pt idx="10">
                  <c:v>08/09 </c:v>
                </c:pt>
                <c:pt idx="11">
                  <c:v>09/10 </c:v>
                </c:pt>
                <c:pt idx="12">
                  <c:v>10/11 </c:v>
                </c:pt>
                <c:pt idx="13">
                  <c:v>11/12 </c:v>
                </c:pt>
                <c:pt idx="14">
                  <c:v>12/13 </c:v>
                </c:pt>
                <c:pt idx="15">
                  <c:v>13/14 </c:v>
                </c:pt>
                <c:pt idx="16">
                  <c:v>14/15 </c:v>
                </c:pt>
                <c:pt idx="17">
                  <c:v>15/16 </c:v>
                </c:pt>
                <c:pt idx="18">
                  <c:v>16/17 </c:v>
                </c:pt>
                <c:pt idx="19">
                  <c:v>17/18 </c:v>
                </c:pt>
                <c:pt idx="20">
                  <c:v>18/19 </c:v>
                </c:pt>
                <c:pt idx="21">
                  <c:v>19/20</c:v>
                </c:pt>
                <c:pt idx="22">
                  <c:v>20/21</c:v>
                </c:pt>
                <c:pt idx="23">
                  <c:v>21/22</c:v>
                </c:pt>
                <c:pt idx="24">
                  <c:v>22/23</c:v>
                </c:pt>
              </c:strCache>
            </c:strRef>
          </c:cat>
          <c:val>
            <c:numRef>
              <c:f>Argentina!$Z$79:$AX$79</c:f>
              <c:numCache>
                <c:formatCode>#,##0.0_);[Red]\(#,##0.0\)</c:formatCode>
                <c:ptCount val="25"/>
                <c:pt idx="0">
                  <c:v>5.4532499999999997</c:v>
                </c:pt>
                <c:pt idx="1">
                  <c:v>6.3</c:v>
                </c:pt>
                <c:pt idx="2">
                  <c:v>6.4965999999999999</c:v>
                </c:pt>
                <c:pt idx="3">
                  <c:v>7.1089000000000002</c:v>
                </c:pt>
                <c:pt idx="4">
                  <c:v>6.3002099999999999</c:v>
                </c:pt>
                <c:pt idx="5">
                  <c:v>6.0398569999999996</c:v>
                </c:pt>
                <c:pt idx="6">
                  <c:v>6.2553650000000003</c:v>
                </c:pt>
                <c:pt idx="7">
                  <c:v>5.2224849999999998</c:v>
                </c:pt>
                <c:pt idx="8">
                  <c:v>5.6759750000000002</c:v>
                </c:pt>
                <c:pt idx="9">
                  <c:v>5.9515770000000003</c:v>
                </c:pt>
                <c:pt idx="10">
                  <c:v>4.7337350000000002</c:v>
                </c:pt>
                <c:pt idx="11">
                  <c:v>3.556705</c:v>
                </c:pt>
                <c:pt idx="12">
                  <c:v>4.5822500000000002</c:v>
                </c:pt>
                <c:pt idx="13">
                  <c:v>4.6306000000000003</c:v>
                </c:pt>
                <c:pt idx="14">
                  <c:v>3.1621380000000001</c:v>
                </c:pt>
                <c:pt idx="15">
                  <c:v>3.6480700000000001</c:v>
                </c:pt>
                <c:pt idx="16">
                  <c:v>5.2610849999999996</c:v>
                </c:pt>
                <c:pt idx="17">
                  <c:v>4.3811280000000004</c:v>
                </c:pt>
                <c:pt idx="18">
                  <c:v>6.3640150000000002</c:v>
                </c:pt>
                <c:pt idx="19">
                  <c:v>5.9276099999999996</c:v>
                </c:pt>
                <c:pt idx="20">
                  <c:v>6.2871490000000003</c:v>
                </c:pt>
                <c:pt idx="21">
                  <c:v>6.9511710000000004</c:v>
                </c:pt>
                <c:pt idx="22">
                  <c:v>6.7298980000000004</c:v>
                </c:pt>
                <c:pt idx="23">
                  <c:v>6.7517290000000001</c:v>
                </c:pt>
                <c:pt idx="24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29-4416-8D77-F4A2BB159370}"/>
            </c:ext>
          </c:extLst>
        </c:ser>
        <c:ser>
          <c:idx val="3"/>
          <c:order val="3"/>
          <c:tx>
            <c:v>Total Area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587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Argentina!$Z$80:$AX$80</c:f>
              <c:numCache>
                <c:formatCode>#,##0.0_);[Red]\(#,##0.0\)</c:formatCode>
                <c:ptCount val="25"/>
                <c:pt idx="0">
                  <c:v>17.5138</c:v>
                </c:pt>
                <c:pt idx="1">
                  <c:v>20.87923</c:v>
                </c:pt>
                <c:pt idx="2">
                  <c:v>21.628783000000002</c:v>
                </c:pt>
                <c:pt idx="3">
                  <c:v>22.777405999999999</c:v>
                </c:pt>
                <c:pt idx="4">
                  <c:v>23.88719</c:v>
                </c:pt>
                <c:pt idx="5">
                  <c:v>23.404177999999998</c:v>
                </c:pt>
                <c:pt idx="6">
                  <c:v>25.052675999999998</c:v>
                </c:pt>
                <c:pt idx="7">
                  <c:v>24.554262999999999</c:v>
                </c:pt>
                <c:pt idx="8">
                  <c:v>27.235105000000001</c:v>
                </c:pt>
                <c:pt idx="9">
                  <c:v>28.582658000000002</c:v>
                </c:pt>
                <c:pt idx="10">
                  <c:v>27.105714000000003</c:v>
                </c:pt>
                <c:pt idx="11">
                  <c:v>25.892113000000002</c:v>
                </c:pt>
                <c:pt idx="12">
                  <c:v>29.045423</c:v>
                </c:pt>
                <c:pt idx="13">
                  <c:v>29.336272000000001</c:v>
                </c:pt>
                <c:pt idx="14">
                  <c:v>29.087615999999997</c:v>
                </c:pt>
                <c:pt idx="15">
                  <c:v>30.309187999999999</c:v>
                </c:pt>
                <c:pt idx="16">
                  <c:v>29.352727000000002</c:v>
                </c:pt>
                <c:pt idx="17">
                  <c:v>28.544925999999997</c:v>
                </c:pt>
                <c:pt idx="18">
                  <c:v>31.860985999999997</c:v>
                </c:pt>
                <c:pt idx="19">
                  <c:v>31.975614</c:v>
                </c:pt>
                <c:pt idx="20">
                  <c:v>31.976835999999999</c:v>
                </c:pt>
                <c:pt idx="21">
                  <c:v>32.550027</c:v>
                </c:pt>
                <c:pt idx="22">
                  <c:v>32.822127999999999</c:v>
                </c:pt>
                <c:pt idx="23">
                  <c:v>33.321728999999998</c:v>
                </c:pt>
                <c:pt idx="24">
                  <c:v>33.1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29-4416-8D77-F4A2BB159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882511"/>
        <c:axId val="603885135"/>
      </c:lineChart>
      <c:catAx>
        <c:axId val="60388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3885135"/>
        <c:crosses val="autoZero"/>
        <c:auto val="1"/>
        <c:lblAlgn val="ctr"/>
        <c:lblOffset val="100"/>
        <c:noMultiLvlLbl val="0"/>
      </c:catAx>
      <c:valAx>
        <c:axId val="60388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hectares)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" sourceLinked="1"/>
        <c:majorTickMark val="none"/>
        <c:minorTickMark val="none"/>
        <c:tickLblPos val="nextTo"/>
        <c:spPr>
          <a:noFill/>
          <a:ln>
            <a:solidFill>
              <a:schemeClr val="accent6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3882511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595778784423015"/>
          <c:y val="0.16160823003600849"/>
          <c:w val="0.49008920265448219"/>
          <c:h val="8.1471321366376873E-2"/>
        </c:manualLayout>
      </c:layout>
      <c:overlay val="0"/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Argentina Corn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45195919065569"/>
          <c:y val="0.12571245127878541"/>
          <c:w val="0.87483272786720023"/>
          <c:h val="0.742325129991436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Argentina!$AV$25</c:f>
              <c:strCache>
                <c:ptCount val="1"/>
                <c:pt idx="0">
                  <c:v>20/21</c:v>
                </c:pt>
              </c:strCache>
            </c:strRef>
          </c:tx>
          <c:spPr>
            <a:solidFill>
              <a:srgbClr val="FF4B4B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Argentina!$A$26:$A$37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Argentina!$AV$26:$AV$37</c:f>
              <c:numCache>
                <c:formatCode>#,##0_);[Red]\(#,##0\)</c:formatCode>
                <c:ptCount val="12"/>
                <c:pt idx="0">
                  <c:v>2916.8596299999999</c:v>
                </c:pt>
                <c:pt idx="1">
                  <c:v>4251.3679499999998</c:v>
                </c:pt>
                <c:pt idx="2">
                  <c:v>3431.7944649999999</c:v>
                </c:pt>
                <c:pt idx="3">
                  <c:v>4171.5853859999997</c:v>
                </c:pt>
                <c:pt idx="4">
                  <c:v>4927.8477409999996</c:v>
                </c:pt>
                <c:pt idx="5">
                  <c:v>4690.4429209999998</c:v>
                </c:pt>
                <c:pt idx="6">
                  <c:v>4351.4682510000002</c:v>
                </c:pt>
                <c:pt idx="7">
                  <c:v>3793.3094249999999</c:v>
                </c:pt>
                <c:pt idx="8">
                  <c:v>2477.5836100000001</c:v>
                </c:pt>
                <c:pt idx="9">
                  <c:v>2333.5371369999998</c:v>
                </c:pt>
                <c:pt idx="10">
                  <c:v>1848.9522239999999</c:v>
                </c:pt>
                <c:pt idx="11">
                  <c:v>1747.7348360000001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5-4946-8021-BBB4DAAF4853}"/>
            </c:ext>
          </c:extLst>
        </c:ser>
        <c:ser>
          <c:idx val="1"/>
          <c:order val="1"/>
          <c:tx>
            <c:strRef>
              <c:f>Argentina!$AW$25</c:f>
              <c:strCache>
                <c:ptCount val="1"/>
                <c:pt idx="0">
                  <c:v>21/22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3E5-4946-8021-BBB4DAAF485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3E5-4946-8021-BBB4DAAF4853}"/>
              </c:ext>
            </c:extLst>
          </c:dPt>
          <c:cat>
            <c:strRef>
              <c:f>Argentina!$A$26:$A$37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Argentina!$AW$26:$AW$37</c:f>
              <c:numCache>
                <c:formatCode>#,##0_);[Red]\(#,##0\)</c:formatCode>
                <c:ptCount val="12"/>
                <c:pt idx="0">
                  <c:v>3206.8859430000002</c:v>
                </c:pt>
                <c:pt idx="1">
                  <c:v>4162.9756559999996</c:v>
                </c:pt>
                <c:pt idx="2">
                  <c:v>3865.761896</c:v>
                </c:pt>
                <c:pt idx="3">
                  <c:v>3788.3802019999998</c:v>
                </c:pt>
                <c:pt idx="4">
                  <c:v>4964.6866380000001</c:v>
                </c:pt>
                <c:pt idx="5">
                  <c:v>3826.737803</c:v>
                </c:pt>
                <c:pt idx="6">
                  <c:v>2837.5760399999999</c:v>
                </c:pt>
                <c:pt idx="7">
                  <c:v>2117.7722269999999</c:v>
                </c:pt>
                <c:pt idx="8">
                  <c:v>1847.263563</c:v>
                </c:pt>
                <c:pt idx="9">
                  <c:v>1474.882018</c:v>
                </c:pt>
                <c:pt idx="10">
                  <c:v>1007.368252</c:v>
                </c:pt>
                <c:pt idx="11">
                  <c:v>1591.7258750000001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E5-4946-8021-BBB4DAAF4853}"/>
            </c:ext>
          </c:extLst>
        </c:ser>
        <c:ser>
          <c:idx val="2"/>
          <c:order val="2"/>
          <c:tx>
            <c:strRef>
              <c:f>Argentina!$AX$25</c:f>
              <c:strCache>
                <c:ptCount val="1"/>
                <c:pt idx="0">
                  <c:v>22/23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E5-4946-8021-BBB4DAAF48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E5-4946-8021-BBB4DAAF48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3E5-4946-8021-BBB4DAAF48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3E5-4946-8021-BBB4DAAF48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3E5-4946-8021-BBB4DAAF485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3E5-4946-8021-BBB4DAAF485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3E5-4946-8021-BBB4DAAF485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3E5-4946-8021-BBB4DAAF485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3E5-4946-8021-BBB4DAAF485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3E5-4946-8021-BBB4DAAF4853}"/>
              </c:ext>
            </c:extLst>
          </c:dPt>
          <c:dPt>
            <c:idx val="10"/>
            <c:invertIfNegative val="0"/>
            <c:bubble3D val="0"/>
            <c:spPr>
              <a:pattFill prst="wdDn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3E5-4946-8021-BBB4DAAF4853}"/>
              </c:ext>
            </c:extLst>
          </c:dPt>
          <c:dPt>
            <c:idx val="11"/>
            <c:invertIfNegative val="0"/>
            <c:bubble3D val="0"/>
            <c:spPr>
              <a:pattFill prst="wdDn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3E5-4946-8021-BBB4DAAF4853}"/>
              </c:ext>
            </c:extLst>
          </c:dPt>
          <c:cat>
            <c:strRef>
              <c:f>Argentina!$A$26:$A$37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Argentina!$AX$26:$AX$37</c:f>
              <c:numCache>
                <c:formatCode>#,##0_);[Red]\(#,##0\)</c:formatCode>
                <c:ptCount val="12"/>
                <c:pt idx="0">
                  <c:v>2137.5061740000001</c:v>
                </c:pt>
                <c:pt idx="1">
                  <c:v>1658.946152</c:v>
                </c:pt>
                <c:pt idx="2">
                  <c:v>1762.053678</c:v>
                </c:pt>
                <c:pt idx="3">
                  <c:v>2334.9198590000001</c:v>
                </c:pt>
                <c:pt idx="4">
                  <c:v>3056.3168489999998</c:v>
                </c:pt>
                <c:pt idx="5">
                  <c:v>3918.3316129999998</c:v>
                </c:pt>
                <c:pt idx="6">
                  <c:v>2833.2030880000002</c:v>
                </c:pt>
                <c:pt idx="7">
                  <c:v>1415.7530810000001</c:v>
                </c:pt>
                <c:pt idx="8">
                  <c:v>1053.882294</c:v>
                </c:pt>
                <c:pt idx="9">
                  <c:v>1212.5094389999999</c:v>
                </c:pt>
                <c:pt idx="10">
                  <c:v>1927.753199</c:v>
                </c:pt>
                <c:pt idx="11">
                  <c:v>1929.8630450000001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3E5-4946-8021-BBB4DAAF4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"/>
        <c:axId val="43842271"/>
        <c:axId val="43847847"/>
      </c:barChart>
      <c:catAx>
        <c:axId val="4384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847847"/>
        <c:crosses val="autoZero"/>
        <c:auto val="1"/>
        <c:lblAlgn val="ctr"/>
        <c:lblOffset val="100"/>
        <c:noMultiLvlLbl val="0"/>
      </c:catAx>
      <c:valAx>
        <c:axId val="43847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000</a:t>
                </a:r>
                <a:r>
                  <a:rPr lang="en-US" baseline="0"/>
                  <a:t> tonnes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842271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9311959578288831"/>
          <c:y val="0.19809623644194327"/>
          <c:w val="0.24318039520042742"/>
          <c:h val="7.2006216674466023E-2"/>
        </c:manualLayout>
      </c:layout>
      <c:overlay val="0"/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Argentina Corn Feed and Residual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660950897978994E-2"/>
          <c:y val="0.10636466444531797"/>
          <c:w val="0.90262119055570711"/>
          <c:h val="0.762297892273579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C8C8C"/>
            </a:solidFill>
            <a:ln>
              <a:solidFill>
                <a:srgbClr val="6F0791"/>
              </a:solidFill>
            </a:ln>
            <a:effectLst/>
          </c:spPr>
          <c:invertIfNegative val="0"/>
          <c:dPt>
            <c:idx val="13"/>
            <c:invertIfNegative val="0"/>
            <c:bubble3D val="0"/>
            <c:spPr>
              <a:pattFill prst="pct8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37-4E13-BB47-95F8E090A209}"/>
              </c:ext>
            </c:extLst>
          </c:dPt>
          <c:dPt>
            <c:idx val="14"/>
            <c:invertIfNegative val="0"/>
            <c:bubble3D val="0"/>
            <c:spPr>
              <a:pattFill prst="pct8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37-4E13-BB47-95F8E090A2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Argentina!$AJ$2:$AX$2</c:f>
              <c:strCache>
                <c:ptCount val="15"/>
                <c:pt idx="0">
                  <c:v>08/09 </c:v>
                </c:pt>
                <c:pt idx="1">
                  <c:v>09/10 </c:v>
                </c:pt>
                <c:pt idx="2">
                  <c:v>10/11 </c:v>
                </c:pt>
                <c:pt idx="3">
                  <c:v>11/12 </c:v>
                </c:pt>
                <c:pt idx="4">
                  <c:v>12/13 </c:v>
                </c:pt>
                <c:pt idx="5">
                  <c:v>13/14 </c:v>
                </c:pt>
                <c:pt idx="6">
                  <c:v>14/15 </c:v>
                </c:pt>
                <c:pt idx="7">
                  <c:v>15/16 </c:v>
                </c:pt>
                <c:pt idx="8">
                  <c:v>16/17 </c:v>
                </c:pt>
                <c:pt idx="9">
                  <c:v>17/18 </c:v>
                </c:pt>
                <c:pt idx="10">
                  <c:v>18/19 </c:v>
                </c:pt>
                <c:pt idx="11">
                  <c:v>19/20</c:v>
                </c:pt>
                <c:pt idx="12">
                  <c:v>20/21</c:v>
                </c:pt>
                <c:pt idx="13">
                  <c:v>21/22</c:v>
                </c:pt>
                <c:pt idx="14">
                  <c:v>22/23</c:v>
                </c:pt>
              </c:strCache>
            </c:strRef>
          </c:cat>
          <c:val>
            <c:numRef>
              <c:f>Argentina!$AJ$12:$AX$12</c:f>
              <c:numCache>
                <c:formatCode>#,##0.0_);[Red]\(#,##0.0\)</c:formatCode>
                <c:ptCount val="15"/>
                <c:pt idx="0">
                  <c:v>18.972857000000001</c:v>
                </c:pt>
                <c:pt idx="1">
                  <c:v>14.095415403999999</c:v>
                </c:pt>
                <c:pt idx="2">
                  <c:v>14.640942768999999</c:v>
                </c:pt>
                <c:pt idx="3">
                  <c:v>17.430779397000002</c:v>
                </c:pt>
                <c:pt idx="4">
                  <c:v>12.872677994000002</c:v>
                </c:pt>
                <c:pt idx="5">
                  <c:v>14.432756622999996</c:v>
                </c:pt>
                <c:pt idx="6">
                  <c:v>9.114140731000008</c:v>
                </c:pt>
                <c:pt idx="7">
                  <c:v>11.221853954999995</c:v>
                </c:pt>
                <c:pt idx="8">
                  <c:v>17.538265414999998</c:v>
                </c:pt>
                <c:pt idx="9">
                  <c:v>17.865813997999993</c:v>
                </c:pt>
                <c:pt idx="10">
                  <c:v>17.323405178999987</c:v>
                </c:pt>
                <c:pt idx="11">
                  <c:v>10.510550934999998</c:v>
                </c:pt>
                <c:pt idx="12">
                  <c:v>9.2875214239999906</c:v>
                </c:pt>
                <c:pt idx="13">
                  <c:v>9.1068128869999967</c:v>
                </c:pt>
                <c:pt idx="14">
                  <c:v>5.8192925289999975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37-4E13-BB47-95F8E090A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61"/>
        <c:axId val="1319338400"/>
        <c:axId val="1319338728"/>
      </c:barChart>
      <c:catAx>
        <c:axId val="131933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9338728"/>
        <c:crosses val="autoZero"/>
        <c:auto val="1"/>
        <c:lblAlgn val="ctr"/>
        <c:lblOffset val="100"/>
        <c:noMultiLvlLbl val="0"/>
      </c:catAx>
      <c:valAx>
        <c:axId val="131933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million</a:t>
                </a:r>
                <a:r>
                  <a:rPr lang="en-US" baseline="0"/>
                  <a:t> tonnes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9338400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China Feed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030616784737422E-2"/>
          <c:y val="9.4527351155233252E-2"/>
          <c:w val="0.83169403222791727"/>
          <c:h val="0.790051244301203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China!$A$59</c:f>
              <c:strCache>
                <c:ptCount val="1"/>
                <c:pt idx="0">
                  <c:v>  Corn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China!$AO$2:$AX$2</c:f>
              <c:strCache>
                <c:ptCount val="10"/>
                <c:pt idx="0">
                  <c:v>14/15 </c:v>
                </c:pt>
                <c:pt idx="1">
                  <c:v>15/16 </c:v>
                </c:pt>
                <c:pt idx="2">
                  <c:v>16/17 </c:v>
                </c:pt>
                <c:pt idx="3">
                  <c:v>17/18 </c:v>
                </c:pt>
                <c:pt idx="4">
                  <c:v>18/19 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</c:strCache>
            </c:strRef>
          </c:cat>
          <c:val>
            <c:numRef>
              <c:f>China!$AO$59:$AX$59</c:f>
              <c:numCache>
                <c:formatCode>#,##0.0_);[Red]\(#,##0.0\)</c:formatCode>
                <c:ptCount val="10"/>
                <c:pt idx="0">
                  <c:v>144.00030399999997</c:v>
                </c:pt>
                <c:pt idx="1">
                  <c:v>164.99995000000001</c:v>
                </c:pt>
                <c:pt idx="2">
                  <c:v>107.634567</c:v>
                </c:pt>
                <c:pt idx="3">
                  <c:v>168.06002900000007</c:v>
                </c:pt>
                <c:pt idx="4">
                  <c:v>172.51223199999998</c:v>
                </c:pt>
                <c:pt idx="5">
                  <c:v>180.98891275199998</c:v>
                </c:pt>
                <c:pt idx="6">
                  <c:v>198.45761877399997</c:v>
                </c:pt>
                <c:pt idx="7">
                  <c:v>205.64507905100004</c:v>
                </c:pt>
                <c:pt idx="8">
                  <c:v>210.00800000000004</c:v>
                </c:pt>
                <c:pt idx="9">
                  <c:v>224.36199999999997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2-4249-9624-BEB4672DB803}"/>
            </c:ext>
          </c:extLst>
        </c:ser>
        <c:ser>
          <c:idx val="1"/>
          <c:order val="1"/>
          <c:tx>
            <c:strRef>
              <c:f>China!$A$60</c:f>
              <c:strCache>
                <c:ptCount val="1"/>
                <c:pt idx="0">
                  <c:v>  Wheat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China!$AO$2:$AX$2</c:f>
              <c:strCache>
                <c:ptCount val="10"/>
                <c:pt idx="0">
                  <c:v>14/15 </c:v>
                </c:pt>
                <c:pt idx="1">
                  <c:v>15/16 </c:v>
                </c:pt>
                <c:pt idx="2">
                  <c:v>16/17 </c:v>
                </c:pt>
                <c:pt idx="3">
                  <c:v>17/18 </c:v>
                </c:pt>
                <c:pt idx="4">
                  <c:v>18/19 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</c:strCache>
            </c:strRef>
          </c:cat>
          <c:val>
            <c:numRef>
              <c:f>China!$AO$60:$AX$60</c:f>
              <c:numCache>
                <c:formatCode>#,##0.0_);[Red]\(#,##0.0\)</c:formatCode>
                <c:ptCount val="10"/>
                <c:pt idx="0">
                  <c:v>17</c:v>
                </c:pt>
                <c:pt idx="1">
                  <c:v>16</c:v>
                </c:pt>
                <c:pt idx="2">
                  <c:v>17</c:v>
                </c:pt>
                <c:pt idx="3">
                  <c:v>17.5</c:v>
                </c:pt>
                <c:pt idx="4">
                  <c:v>20</c:v>
                </c:pt>
                <c:pt idx="5">
                  <c:v>19</c:v>
                </c:pt>
                <c:pt idx="6">
                  <c:v>40</c:v>
                </c:pt>
                <c:pt idx="7">
                  <c:v>36</c:v>
                </c:pt>
                <c:pt idx="8">
                  <c:v>33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12-4249-9624-BEB4672DB803}"/>
            </c:ext>
          </c:extLst>
        </c:ser>
        <c:ser>
          <c:idx val="2"/>
          <c:order val="2"/>
          <c:tx>
            <c:strRef>
              <c:f>China!$A$61</c:f>
              <c:strCache>
                <c:ptCount val="1"/>
                <c:pt idx="0">
                  <c:v>  Barley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China!$AO$2:$AX$2</c:f>
              <c:strCache>
                <c:ptCount val="10"/>
                <c:pt idx="0">
                  <c:v>14/15 </c:v>
                </c:pt>
                <c:pt idx="1">
                  <c:v>15/16 </c:v>
                </c:pt>
                <c:pt idx="2">
                  <c:v>16/17 </c:v>
                </c:pt>
                <c:pt idx="3">
                  <c:v>17/18 </c:v>
                </c:pt>
                <c:pt idx="4">
                  <c:v>18/19 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</c:strCache>
            </c:strRef>
          </c:cat>
          <c:val>
            <c:numRef>
              <c:f>China!$AO$61:$AX$61</c:f>
              <c:numCache>
                <c:formatCode>#,##0.0_);[Red]\(#,##0.0\)</c:formatCode>
                <c:ptCount val="10"/>
                <c:pt idx="0">
                  <c:v>7.4</c:v>
                </c:pt>
                <c:pt idx="1">
                  <c:v>3.8</c:v>
                </c:pt>
                <c:pt idx="2">
                  <c:v>5.3</c:v>
                </c:pt>
                <c:pt idx="3">
                  <c:v>5.5</c:v>
                </c:pt>
                <c:pt idx="4">
                  <c:v>2.4</c:v>
                </c:pt>
                <c:pt idx="5">
                  <c:v>2.8</c:v>
                </c:pt>
                <c:pt idx="6">
                  <c:v>7.6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12-4249-9624-BEB4672DB803}"/>
            </c:ext>
          </c:extLst>
        </c:ser>
        <c:ser>
          <c:idx val="3"/>
          <c:order val="3"/>
          <c:tx>
            <c:strRef>
              <c:f>China!$A$62</c:f>
              <c:strCache>
                <c:ptCount val="1"/>
                <c:pt idx="0">
                  <c:v>  Oats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China!$AO$2:$AX$2</c:f>
              <c:strCache>
                <c:ptCount val="10"/>
                <c:pt idx="0">
                  <c:v>14/15 </c:v>
                </c:pt>
                <c:pt idx="1">
                  <c:v>15/16 </c:v>
                </c:pt>
                <c:pt idx="2">
                  <c:v>16/17 </c:v>
                </c:pt>
                <c:pt idx="3">
                  <c:v>17/18 </c:v>
                </c:pt>
                <c:pt idx="4">
                  <c:v>18/19 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</c:strCache>
            </c:strRef>
          </c:cat>
          <c:val>
            <c:numRef>
              <c:f>China!$AO$62:$AX$62</c:f>
              <c:numCache>
                <c:formatCode>#,##0.0_);[Red]\(#,##0.0\)</c:formatCode>
                <c:ptCount val="10"/>
                <c:pt idx="0">
                  <c:v>0.17</c:v>
                </c:pt>
                <c:pt idx="1">
                  <c:v>0.25</c:v>
                </c:pt>
                <c:pt idx="2">
                  <c:v>0.45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0.52</c:v>
                </c:pt>
                <c:pt idx="6">
                  <c:v>0.55000000000000004</c:v>
                </c:pt>
                <c:pt idx="7">
                  <c:v>0.5</c:v>
                </c:pt>
                <c:pt idx="8">
                  <c:v>0.5</c:v>
                </c:pt>
                <c:pt idx="9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12-4249-9624-BEB4672DB803}"/>
            </c:ext>
          </c:extLst>
        </c:ser>
        <c:ser>
          <c:idx val="4"/>
          <c:order val="4"/>
          <c:tx>
            <c:strRef>
              <c:f>China!$A$63</c:f>
              <c:strCache>
                <c:ptCount val="1"/>
                <c:pt idx="0">
                  <c:v>  Sorghum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China!$AO$2:$AX$2</c:f>
              <c:strCache>
                <c:ptCount val="10"/>
                <c:pt idx="0">
                  <c:v>14/15 </c:v>
                </c:pt>
                <c:pt idx="1">
                  <c:v>15/16 </c:v>
                </c:pt>
                <c:pt idx="2">
                  <c:v>16/17 </c:v>
                </c:pt>
                <c:pt idx="3">
                  <c:v>17/18 </c:v>
                </c:pt>
                <c:pt idx="4">
                  <c:v>18/19 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</c:strCache>
            </c:strRef>
          </c:cat>
          <c:val>
            <c:numRef>
              <c:f>China!$AO$63:$AX$63</c:f>
              <c:numCache>
                <c:formatCode>#,##0.0_);[Red]\(#,##0.0\)</c:formatCode>
                <c:ptCount val="10"/>
                <c:pt idx="0">
                  <c:v>10.5</c:v>
                </c:pt>
                <c:pt idx="1">
                  <c:v>8.4</c:v>
                </c:pt>
                <c:pt idx="2">
                  <c:v>5.2</c:v>
                </c:pt>
                <c:pt idx="3">
                  <c:v>4.5</c:v>
                </c:pt>
                <c:pt idx="4">
                  <c:v>1.5</c:v>
                </c:pt>
                <c:pt idx="5">
                  <c:v>4.5</c:v>
                </c:pt>
                <c:pt idx="6">
                  <c:v>8.9</c:v>
                </c:pt>
                <c:pt idx="7">
                  <c:v>10.4</c:v>
                </c:pt>
                <c:pt idx="8">
                  <c:v>8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12-4249-9624-BEB4672DB803}"/>
            </c:ext>
          </c:extLst>
        </c:ser>
        <c:ser>
          <c:idx val="5"/>
          <c:order val="5"/>
          <c:tx>
            <c:strRef>
              <c:f>China!$A$64</c:f>
              <c:strCache>
                <c:ptCount val="1"/>
                <c:pt idx="0">
                  <c:v>  DDG's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China!$AO$2:$AX$2</c:f>
              <c:strCache>
                <c:ptCount val="10"/>
                <c:pt idx="0">
                  <c:v>14/15 </c:v>
                </c:pt>
                <c:pt idx="1">
                  <c:v>15/16 </c:v>
                </c:pt>
                <c:pt idx="2">
                  <c:v>16/17 </c:v>
                </c:pt>
                <c:pt idx="3">
                  <c:v>17/18 </c:v>
                </c:pt>
                <c:pt idx="4">
                  <c:v>18/19 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</c:strCache>
            </c:strRef>
          </c:cat>
          <c:val>
            <c:numRef>
              <c:f>China!$AO$64:$AX$64</c:f>
              <c:numCache>
                <c:formatCode>#,##0.0_);[Red]\(#,##0.0\)</c:formatCode>
                <c:ptCount val="10"/>
                <c:pt idx="0">
                  <c:v>5.6122240000000012</c:v>
                </c:pt>
                <c:pt idx="1">
                  <c:v>4.2434609999999999</c:v>
                </c:pt>
                <c:pt idx="2">
                  <c:v>0.74362600000000001</c:v>
                </c:pt>
                <c:pt idx="3">
                  <c:v>0.102785</c:v>
                </c:pt>
                <c:pt idx="4">
                  <c:v>0.14749399999999999</c:v>
                </c:pt>
                <c:pt idx="5">
                  <c:v>0.13468699999999997</c:v>
                </c:pt>
                <c:pt idx="6">
                  <c:v>0.26250000000000001</c:v>
                </c:pt>
                <c:pt idx="7">
                  <c:v>0.26350000000000001</c:v>
                </c:pt>
                <c:pt idx="8">
                  <c:v>0.3</c:v>
                </c:pt>
                <c:pt idx="9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12-4249-9624-BEB4672DB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01389432"/>
        <c:axId val="1001388776"/>
      </c:barChart>
      <c:lineChart>
        <c:grouping val="standard"/>
        <c:varyColors val="0"/>
        <c:ser>
          <c:idx val="7"/>
          <c:order val="7"/>
          <c:tx>
            <c:v>Corn Imports</c:v>
          </c:tx>
          <c:spPr>
            <a:ln w="15875" cap="rnd">
              <a:solidFill>
                <a:srgbClr val="FF4B4B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9525">
                <a:solidFill>
                  <a:srgbClr val="FF4B4B"/>
                </a:solidFill>
              </a:ln>
              <a:effectLst/>
            </c:spPr>
          </c:marker>
          <c:dLbls>
            <c:spPr>
              <a:solidFill>
                <a:schemeClr val="lt1"/>
              </a:solidFill>
              <a:ln w="15875">
                <a:solidFill>
                  <a:srgbClr val="FF4B4B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China!$AO$8:$AX$8</c:f>
              <c:numCache>
                <c:formatCode>#,##0.0_);[Red]\(#,##0.0\)</c:formatCode>
                <c:ptCount val="10"/>
                <c:pt idx="0">
                  <c:v>5.515833999999999</c:v>
                </c:pt>
                <c:pt idx="1">
                  <c:v>3.1741180000000009</c:v>
                </c:pt>
                <c:pt idx="2">
                  <c:v>2.4635669999999998</c:v>
                </c:pt>
                <c:pt idx="3">
                  <c:v>3.4550289999999997</c:v>
                </c:pt>
                <c:pt idx="4">
                  <c:v>4.4832320000000001</c:v>
                </c:pt>
                <c:pt idx="5">
                  <c:v>7.5959127520000012</c:v>
                </c:pt>
                <c:pt idx="6">
                  <c:v>29.548618773999998</c:v>
                </c:pt>
                <c:pt idx="7">
                  <c:v>21.884079051000001</c:v>
                </c:pt>
                <c:pt idx="8">
                  <c:v>18.710999999999999</c:v>
                </c:pt>
                <c:pt idx="9">
                  <c:v>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12-4249-9624-BEB4672DB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926304"/>
        <c:axId val="1671924664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China!$A$66</c15:sqref>
                        </c15:formulaRef>
                      </c:ext>
                    </c:extLst>
                    <c:strCache>
                      <c:ptCount val="1"/>
                      <c:pt idx="0">
                        <c:v>    Percent Increase</c:v>
                      </c:pt>
                    </c:strCache>
                  </c:strRef>
                </c:tx>
                <c:spPr>
                  <a:ln w="15875" cap="rnd">
                    <a:solidFill>
                      <a:srgbClr val="6F079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solidFill>
                      <a:schemeClr val="bg1"/>
                    </a:solidFill>
                    <a:ln>
                      <a:solidFill>
                        <a:srgbClr val="6F0791"/>
                      </a:solidFill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China!$AO$66:$AX$66</c15:sqref>
                        </c15:formulaRef>
                      </c:ext>
                    </c:extLst>
                    <c:numCache>
                      <c:formatCode>0.0%</c:formatCode>
                      <c:ptCount val="10"/>
                      <c:pt idx="0">
                        <c:v>1.6316029412184019E-2</c:v>
                      </c:pt>
                      <c:pt idx="1">
                        <c:v>7.0449994056828613E-2</c:v>
                      </c:pt>
                      <c:pt idx="2">
                        <c:v>-0.31040598515445728</c:v>
                      </c:pt>
                      <c:pt idx="3">
                        <c:v>0.43926806100921545</c:v>
                      </c:pt>
                      <c:pt idx="4">
                        <c:v>4.5711183776198094E-3</c:v>
                      </c:pt>
                      <c:pt idx="5">
                        <c:v>5.496366907840966E-2</c:v>
                      </c:pt>
                      <c:pt idx="6">
                        <c:v>0.22999755260099053</c:v>
                      </c:pt>
                      <c:pt idx="7">
                        <c:v>1.5789413932940644E-2</c:v>
                      </c:pt>
                      <c:pt idx="8">
                        <c:v>-3.8512163634272234E-3</c:v>
                      </c:pt>
                      <c:pt idx="9">
                        <c:v>7.4781305060121595E-2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A812-4249-9624-BEB4672DB803}"/>
                  </c:ext>
                </c:extLst>
              </c15:ser>
            </c15:filteredLineSeries>
          </c:ext>
        </c:extLst>
      </c:lineChart>
      <c:catAx>
        <c:axId val="1001389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01388776"/>
        <c:crosses val="autoZero"/>
        <c:auto val="1"/>
        <c:lblAlgn val="ctr"/>
        <c:lblOffset val="100"/>
        <c:noMultiLvlLbl val="0"/>
      </c:catAx>
      <c:valAx>
        <c:axId val="100138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Feed Demand (million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1"/>
        <c:majorTickMark val="none"/>
        <c:minorTickMark val="none"/>
        <c:tickLblPos val="nextTo"/>
        <c:spPr>
          <a:noFill/>
          <a:ln w="1587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01389432"/>
        <c:crosses val="autoZero"/>
        <c:crossBetween val="between"/>
      </c:valAx>
      <c:valAx>
        <c:axId val="16719246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Corn</a:t>
                </a:r>
                <a:r>
                  <a:rPr lang="en-US" sz="1200" baseline="0"/>
                  <a:t> Imports (million tonnes)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1"/>
        <c:majorTickMark val="none"/>
        <c:minorTickMark val="none"/>
        <c:tickLblPos val="nextTo"/>
        <c:spPr>
          <a:noFill/>
          <a:ln w="1587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1926304"/>
        <c:crosses val="max"/>
        <c:crossBetween val="between"/>
      </c:valAx>
      <c:catAx>
        <c:axId val="1671926304"/>
        <c:scaling>
          <c:orientation val="minMax"/>
        </c:scaling>
        <c:delete val="1"/>
        <c:axPos val="b"/>
        <c:majorTickMark val="out"/>
        <c:minorTickMark val="none"/>
        <c:tickLblPos val="nextTo"/>
        <c:crossAx val="1671924664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11550490180221483"/>
          <c:y val="0.11436817448616675"/>
          <c:w val="0.40769447449961432"/>
          <c:h val="0.12745443987643137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473AE76-44F7-4B2B-9FE0-79003FC61435}">
  <sheetPr/>
  <sheetViews>
    <sheetView zoomScale="114" workbookViewId="0" zoomToFit="1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A3A9B1F-E6AD-4EF5-AFF7-DA5C80956E70}">
  <sheetPr/>
  <sheetViews>
    <sheetView zoomScale="114" workbookViewId="0" zoomToFit="1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65B80A8-674D-442A-89BF-535E1A2D2F4E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0DF263-03C5-4678-BF3D-E242AA67B365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8AB7AE-3277-4BAB-A9AD-A80A674106E0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48EB2B-B5FB-4F43-B13F-11E1480E8FA1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59531</xdr:colOff>
      <xdr:row>10</xdr:row>
      <xdr:rowOff>86915</xdr:rowOff>
    </xdr:from>
    <xdr:to>
      <xdr:col>21</xdr:col>
      <xdr:colOff>345281</xdr:colOff>
      <xdr:row>27</xdr:row>
      <xdr:rowOff>32147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2BD62-254E-4875-80B0-35FA118BC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179649" cy="53585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FAAA5C-B65C-D16D-8CAE-3E361187FD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0.01236</cdr:x>
      <cdr:y>0.93626</cdr:y>
    </cdr:from>
    <cdr:to>
      <cdr:x>0.27774</cdr:x>
      <cdr:y>0.99141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A3F33F0-B590-42E7-9ED6-3AE672A45479}"/>
            </a:ext>
          </a:extLst>
        </cdr:cNvPr>
        <cdr:cNvSpPr txBox="1"/>
      </cdr:nvSpPr>
      <cdr:spPr>
        <a:xfrm xmlns:a="http://schemas.openxmlformats.org/drawingml/2006/main">
          <a:off x="117337" y="5038587"/>
          <a:ext cx="2519293" cy="2967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CONAB, The Jacobsen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179649" cy="53585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0EA67-05C3-D93A-874E-F52718162F8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0.95608</cdr:y>
    </cdr:from>
    <cdr:to>
      <cdr:x>0.24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7ECFC40-251B-47BB-9BC6-013A3976C4DB}"/>
            </a:ext>
          </a:extLst>
        </cdr:cNvPr>
        <cdr:cNvSpPr txBox="1"/>
      </cdr:nvSpPr>
      <cdr:spPr>
        <a:xfrm xmlns:a="http://schemas.openxmlformats.org/drawingml/2006/main">
          <a:off x="0" y="5140351"/>
          <a:ext cx="2278443" cy="2361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GTT, Fastmarkets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14219464" cy="80418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B9CB84-71E0-2B1F-B1DE-DA0AD43E35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0.00436</cdr:x>
      <cdr:y>0.93967</cdr:y>
    </cdr:from>
    <cdr:to>
      <cdr:x>0.45735</cdr:x>
      <cdr:y>0.9923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E049A1F-6E8F-4FDE-9964-7F81A968E44D}"/>
            </a:ext>
          </a:extLst>
        </cdr:cNvPr>
        <cdr:cNvSpPr txBox="1"/>
      </cdr:nvSpPr>
      <cdr:spPr>
        <a:xfrm xmlns:a="http://schemas.openxmlformats.org/drawingml/2006/main">
          <a:off x="41398" y="5060123"/>
          <a:ext cx="4301102" cy="2834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MAGyP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, Fastmarkets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180286" cy="53702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43B10B-7445-7CD0-C994-13A2622CAA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0.95315</cdr:y>
    </cdr:from>
    <cdr:to>
      <cdr:x>0.25622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9BFD0F2-3349-7196-52D9-C5F3CA4F9869}"/>
            </a:ext>
          </a:extLst>
        </cdr:cNvPr>
        <cdr:cNvSpPr txBox="1"/>
      </cdr:nvSpPr>
      <cdr:spPr>
        <a:xfrm xmlns:a="http://schemas.openxmlformats.org/drawingml/2006/main">
          <a:off x="0" y="5124607"/>
          <a:ext cx="2432417" cy="2519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MAGyP, HigbyBarrett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1AC67C-EA0D-9ACB-0910-F09850CE34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0.9557</cdr:y>
    </cdr:from>
    <cdr:to>
      <cdr:x>0.24887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6697362-7279-5A43-997D-8FC263CA4CF0}"/>
            </a:ext>
          </a:extLst>
        </cdr:cNvPr>
        <cdr:cNvSpPr txBox="1"/>
      </cdr:nvSpPr>
      <cdr:spPr>
        <a:xfrm xmlns:a="http://schemas.openxmlformats.org/drawingml/2006/main">
          <a:off x="0" y="5137288"/>
          <a:ext cx="236220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Source:MAGyP,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Fastmarkets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00F85F-7B5A-8A07-EAC3-E21469D98D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0.01018</cdr:x>
      <cdr:y>0.94223</cdr:y>
    </cdr:from>
    <cdr:to>
      <cdr:x>0.31782</cdr:x>
      <cdr:y>0.99615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0C3F108-A622-42C8-A1C8-227690F19664}"/>
            </a:ext>
          </a:extLst>
        </cdr:cNvPr>
        <cdr:cNvSpPr txBox="1"/>
      </cdr:nvSpPr>
      <cdr:spPr>
        <a:xfrm xmlns:a="http://schemas.openxmlformats.org/drawingml/2006/main">
          <a:off x="96630" y="5066196"/>
          <a:ext cx="2919620" cy="2898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USDA, GTT, HigbyBarrett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cbook\Dropbox\RLC%20Documents\Models\Feed%20Grains\US%20Feed%20Grain%20Balance%20Sheets.xlsx" TargetMode="External"/><Relationship Id="rId1" Type="http://schemas.openxmlformats.org/officeDocument/2006/relationships/externalLinkPath" Target="US%20Feed%20Grain%20Balance%20She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Feed%20Grain%20Spreadsheets/barleywldbal.xlsx" TargetMode="External"/><Relationship Id="rId1" Type="http://schemas.openxmlformats.org/officeDocument/2006/relationships/externalLinkPath" Target="https://fmpra-my.sharepoint.com/personal/svc-tjteamreader_fmpra_com/Documents/TJTeam%20-%20Documents/Feed%20Grain%20Spreadsheets/barleywldba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Feed%20Grain%20Spreadsheets/wldcorntrade.xlsx" TargetMode="External"/><Relationship Id="rId1" Type="http://schemas.openxmlformats.org/officeDocument/2006/relationships/externalLinkPath" Target="https://fmpra-my.sharepoint.com/personal/svc-tjteamreader_fmpra_com/Documents/TJTeam%20-%20Documents/Feed%20Grain%20Spreadsheets/wldcorntrad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World%20Soybean%20Balance%20Sheets.xlsx" TargetMode="External"/><Relationship Id="rId1" Type="http://schemas.openxmlformats.org/officeDocument/2006/relationships/externalLinkPath" Target="/Users/torem/Dropbox/RLC%20Documents/Models/Oilseeds/World%20Soybean%20Balance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Chart10"/>
      <sheetName val="Chart11"/>
      <sheetName val="Chart12"/>
      <sheetName val="Yield Scenarios"/>
      <sheetName val="Chart13"/>
      <sheetName val="Chart14"/>
      <sheetName val="Chart16"/>
      <sheetName val="Chart17"/>
      <sheetName val="Chart18"/>
      <sheetName val="Chart24"/>
      <sheetName val="Chart25"/>
      <sheetName val="Chart26"/>
      <sheetName val="Chart27"/>
      <sheetName val="Chart28"/>
      <sheetName val="Chart29"/>
      <sheetName val="Chart30"/>
      <sheetName val="Corn"/>
      <sheetName val="Sorghum"/>
      <sheetName val="Barley"/>
      <sheetName val="Oat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A2"/>
          <cell r="B2" t="str">
            <v xml:space="preserve">75/76 </v>
          </cell>
          <cell r="C2" t="str">
            <v xml:space="preserve">76/77 </v>
          </cell>
          <cell r="D2" t="str">
            <v xml:space="preserve">77/78 </v>
          </cell>
          <cell r="E2" t="str">
            <v xml:space="preserve">78/79 </v>
          </cell>
          <cell r="F2" t="str">
            <v xml:space="preserve">79/80 </v>
          </cell>
          <cell r="G2" t="str">
            <v xml:space="preserve">80/81 </v>
          </cell>
          <cell r="H2" t="str">
            <v xml:space="preserve">81/82 </v>
          </cell>
          <cell r="I2" t="str">
            <v xml:space="preserve">82/83 </v>
          </cell>
          <cell r="J2" t="str">
            <v xml:space="preserve">83/84 </v>
          </cell>
          <cell r="K2" t="str">
            <v xml:space="preserve">84/85 </v>
          </cell>
          <cell r="L2" t="str">
            <v xml:space="preserve">85/86 </v>
          </cell>
          <cell r="M2" t="str">
            <v xml:space="preserve">86/87 </v>
          </cell>
          <cell r="N2" t="str">
            <v xml:space="preserve">87/88 </v>
          </cell>
          <cell r="O2" t="str">
            <v xml:space="preserve">88/89 </v>
          </cell>
          <cell r="P2" t="str">
            <v xml:space="preserve">89/90 </v>
          </cell>
          <cell r="Q2" t="str">
            <v xml:space="preserve">90/91 </v>
          </cell>
          <cell r="R2" t="str">
            <v xml:space="preserve">91/92 </v>
          </cell>
          <cell r="S2" t="str">
            <v xml:space="preserve">92/93 </v>
          </cell>
          <cell r="T2" t="str">
            <v xml:space="preserve">93/94 </v>
          </cell>
          <cell r="U2" t="str">
            <v xml:space="preserve">94/95 </v>
          </cell>
          <cell r="V2" t="str">
            <v xml:space="preserve">95/96 </v>
          </cell>
          <cell r="W2" t="str">
            <v xml:space="preserve">96/97 </v>
          </cell>
          <cell r="X2" t="str">
            <v xml:space="preserve">97/98 </v>
          </cell>
          <cell r="Y2" t="str">
            <v xml:space="preserve">98/99 </v>
          </cell>
          <cell r="Z2" t="str">
            <v xml:space="preserve">99/00 </v>
          </cell>
          <cell r="AA2" t="str">
            <v xml:space="preserve">00/01 </v>
          </cell>
          <cell r="AB2" t="str">
            <v xml:space="preserve">01/02 </v>
          </cell>
          <cell r="AC2" t="str">
            <v xml:space="preserve">02/03 </v>
          </cell>
          <cell r="AD2" t="str">
            <v xml:space="preserve">03/04 </v>
          </cell>
          <cell r="AE2" t="str">
            <v xml:space="preserve">04/05 </v>
          </cell>
          <cell r="AF2" t="str">
            <v xml:space="preserve">05/06 </v>
          </cell>
          <cell r="AG2" t="str">
            <v xml:space="preserve">06/07 </v>
          </cell>
          <cell r="AH2" t="str">
            <v xml:space="preserve">07/08 </v>
          </cell>
          <cell r="AI2" t="str">
            <v xml:space="preserve">08/09 </v>
          </cell>
          <cell r="AJ2" t="str">
            <v xml:space="preserve">09/10 </v>
          </cell>
          <cell r="AK2" t="str">
            <v xml:space="preserve">10/11 </v>
          </cell>
          <cell r="AL2" t="str">
            <v xml:space="preserve">11/12 </v>
          </cell>
          <cell r="AM2" t="str">
            <v xml:space="preserve">12/13 </v>
          </cell>
          <cell r="AN2" t="str">
            <v xml:space="preserve">13/14 </v>
          </cell>
          <cell r="AO2" t="str">
            <v xml:space="preserve">14/15 </v>
          </cell>
          <cell r="AP2" t="str">
            <v xml:space="preserve">15/16 </v>
          </cell>
          <cell r="AQ2" t="str">
            <v xml:space="preserve">16/17 </v>
          </cell>
          <cell r="AR2" t="str">
            <v xml:space="preserve">17/18 </v>
          </cell>
          <cell r="AS2" t="str">
            <v xml:space="preserve">18/19 </v>
          </cell>
          <cell r="AT2" t="str">
            <v>19/20</v>
          </cell>
          <cell r="AU2" t="str">
            <v>20/21</v>
          </cell>
          <cell r="AV2" t="str">
            <v>21/22</v>
          </cell>
          <cell r="AW2" t="str">
            <v>22/23</v>
          </cell>
          <cell r="AX2" t="str">
            <v>23/24</v>
          </cell>
          <cell r="AY2" t="str">
            <v>24/25</v>
          </cell>
          <cell r="AZ2" t="str">
            <v>25/26</v>
          </cell>
          <cell r="BA2" t="str">
            <v>26/27</v>
          </cell>
          <cell r="BB2" t="str">
            <v>27/28</v>
          </cell>
        </row>
        <row r="3">
          <cell r="A3"/>
          <cell r="B3">
            <v>1975</v>
          </cell>
          <cell r="C3">
            <v>1976</v>
          </cell>
          <cell r="D3">
            <v>1977</v>
          </cell>
          <cell r="E3">
            <v>1978</v>
          </cell>
          <cell r="F3">
            <v>1979</v>
          </cell>
          <cell r="G3">
            <v>1980</v>
          </cell>
          <cell r="H3">
            <v>1981</v>
          </cell>
          <cell r="I3">
            <v>1982</v>
          </cell>
          <cell r="J3">
            <v>1983</v>
          </cell>
          <cell r="K3">
            <v>1984</v>
          </cell>
          <cell r="L3">
            <v>1985</v>
          </cell>
          <cell r="M3">
            <v>1986</v>
          </cell>
          <cell r="N3">
            <v>1987</v>
          </cell>
          <cell r="O3">
            <v>1988</v>
          </cell>
          <cell r="P3">
            <v>1989</v>
          </cell>
          <cell r="Q3">
            <v>1990</v>
          </cell>
          <cell r="R3">
            <v>1991</v>
          </cell>
          <cell r="S3">
            <v>1992</v>
          </cell>
          <cell r="T3">
            <v>1993</v>
          </cell>
          <cell r="U3">
            <v>1994</v>
          </cell>
          <cell r="V3">
            <v>1995</v>
          </cell>
          <cell r="W3">
            <v>1996</v>
          </cell>
          <cell r="X3">
            <v>1997</v>
          </cell>
          <cell r="Y3">
            <v>1998</v>
          </cell>
          <cell r="Z3">
            <v>1999</v>
          </cell>
          <cell r="AA3">
            <v>2000</v>
          </cell>
          <cell r="AB3">
            <v>2001</v>
          </cell>
          <cell r="AC3">
            <v>2002</v>
          </cell>
          <cell r="AD3">
            <v>2003</v>
          </cell>
          <cell r="AE3">
            <v>2004</v>
          </cell>
          <cell r="AF3">
            <v>2005</v>
          </cell>
          <cell r="AG3">
            <v>2006</v>
          </cell>
          <cell r="AH3">
            <v>2007</v>
          </cell>
          <cell r="AI3">
            <v>2008</v>
          </cell>
          <cell r="AJ3">
            <v>2009</v>
          </cell>
          <cell r="AK3">
            <v>2010</v>
          </cell>
          <cell r="AL3">
            <v>2011</v>
          </cell>
          <cell r="AM3">
            <v>2012</v>
          </cell>
          <cell r="AN3">
            <v>2013</v>
          </cell>
          <cell r="AO3">
            <v>2014</v>
          </cell>
          <cell r="AP3">
            <v>2015</v>
          </cell>
          <cell r="AQ3">
            <v>2016</v>
          </cell>
          <cell r="AR3">
            <v>2017</v>
          </cell>
          <cell r="AS3">
            <v>2018</v>
          </cell>
          <cell r="AT3">
            <v>2019</v>
          </cell>
          <cell r="AU3">
            <v>2020</v>
          </cell>
          <cell r="AV3">
            <v>2021</v>
          </cell>
          <cell r="AW3">
            <v>2022</v>
          </cell>
          <cell r="AX3">
            <v>2023</v>
          </cell>
          <cell r="AY3">
            <v>2024</v>
          </cell>
          <cell r="AZ3">
            <v>2025</v>
          </cell>
          <cell r="BA3">
            <v>2026</v>
          </cell>
          <cell r="BB3">
            <v>2027</v>
          </cell>
        </row>
        <row r="4">
          <cell r="A4" t="str">
            <v>Planted Acres</v>
          </cell>
          <cell r="B4">
            <v>78.718999999999994</v>
          </cell>
          <cell r="C4">
            <v>84.587999999999994</v>
          </cell>
          <cell r="D4">
            <v>84.328000000000003</v>
          </cell>
          <cell r="E4">
            <v>81.674999999999997</v>
          </cell>
          <cell r="F4">
            <v>81.394000000000005</v>
          </cell>
          <cell r="G4">
            <v>84.043000000000006</v>
          </cell>
          <cell r="H4">
            <v>84.096999999999994</v>
          </cell>
          <cell r="I4">
            <v>81.856999999999999</v>
          </cell>
          <cell r="J4">
            <v>60.207000000000001</v>
          </cell>
          <cell r="K4">
            <v>80.516999999999996</v>
          </cell>
          <cell r="L4">
            <v>83.397999999999996</v>
          </cell>
          <cell r="M4">
            <v>76.58</v>
          </cell>
          <cell r="N4">
            <v>66.2</v>
          </cell>
          <cell r="O4">
            <v>67.716999999999999</v>
          </cell>
          <cell r="P4">
            <v>72.322000000000003</v>
          </cell>
          <cell r="Q4">
            <v>74.165999999999997</v>
          </cell>
          <cell r="R4">
            <v>75.956999999999994</v>
          </cell>
          <cell r="S4">
            <v>79.311000000000007</v>
          </cell>
          <cell r="T4">
            <v>73.239000000000004</v>
          </cell>
          <cell r="U4">
            <v>78.921000000000006</v>
          </cell>
          <cell r="V4">
            <v>71.478999999999999</v>
          </cell>
          <cell r="W4">
            <v>79.228999999999999</v>
          </cell>
          <cell r="X4">
            <v>79.537000000000006</v>
          </cell>
          <cell r="Y4">
            <v>80.165000000000006</v>
          </cell>
          <cell r="Z4">
            <v>77.385999999999996</v>
          </cell>
          <cell r="AA4">
            <v>79.551000000000002</v>
          </cell>
          <cell r="AB4">
            <v>75.701999999999998</v>
          </cell>
          <cell r="AC4">
            <v>78.894000000000005</v>
          </cell>
          <cell r="AD4">
            <v>78.602999999999994</v>
          </cell>
          <cell r="AE4">
            <v>80.929000000000002</v>
          </cell>
          <cell r="AF4">
            <v>81.778999999999996</v>
          </cell>
          <cell r="AG4">
            <v>78.326999999999998</v>
          </cell>
          <cell r="AH4">
            <v>93.527000000000001</v>
          </cell>
          <cell r="AI4">
            <v>85.981999999999999</v>
          </cell>
          <cell r="AJ4">
            <v>86.382000000000005</v>
          </cell>
          <cell r="AK4">
            <v>88.191999999999993</v>
          </cell>
          <cell r="AL4">
            <v>91.936000000000007</v>
          </cell>
          <cell r="AM4">
            <v>97.290999999999997</v>
          </cell>
          <cell r="AN4">
            <v>95.364999999999995</v>
          </cell>
          <cell r="AO4">
            <v>90.596999999999994</v>
          </cell>
          <cell r="AP4">
            <v>88.019000000000005</v>
          </cell>
          <cell r="AQ4">
            <v>94.004000000000005</v>
          </cell>
          <cell r="AR4">
            <v>90.167000000000002</v>
          </cell>
          <cell r="AS4">
            <v>88.820999999999998</v>
          </cell>
          <cell r="AT4">
            <v>89.37</v>
          </cell>
          <cell r="AU4">
            <v>90.432000000000002</v>
          </cell>
          <cell r="AV4">
            <v>92.900999999999996</v>
          </cell>
          <cell r="AW4">
            <v>88.162000000000006</v>
          </cell>
          <cell r="AX4">
            <v>94.641000000000005</v>
          </cell>
          <cell r="AY4">
            <v>90.593999999999994</v>
          </cell>
          <cell r="AZ4">
            <v>98.727999999999994</v>
          </cell>
          <cell r="BA4">
            <v>87.5</v>
          </cell>
          <cell r="BB4">
            <v>86</v>
          </cell>
        </row>
        <row r="5">
          <cell r="A5" t="str">
            <v>Harvested Area</v>
          </cell>
          <cell r="B5">
            <v>67.625</v>
          </cell>
          <cell r="C5">
            <v>71.506</v>
          </cell>
          <cell r="D5">
            <v>71.614000000000004</v>
          </cell>
          <cell r="E5">
            <v>71.930000000000007</v>
          </cell>
          <cell r="F5">
            <v>72.400000000000006</v>
          </cell>
          <cell r="G5">
            <v>72.960999999999999</v>
          </cell>
          <cell r="H5">
            <v>74.524000000000001</v>
          </cell>
          <cell r="I5">
            <v>72.718999999999994</v>
          </cell>
          <cell r="J5">
            <v>51.478999999999999</v>
          </cell>
          <cell r="K5">
            <v>71.897000000000006</v>
          </cell>
          <cell r="L5">
            <v>75.209000000000003</v>
          </cell>
          <cell r="M5">
            <v>68.906999999999996</v>
          </cell>
          <cell r="N5">
            <v>59.505000000000003</v>
          </cell>
          <cell r="O5">
            <v>58.25</v>
          </cell>
          <cell r="P5">
            <v>64.783000000000001</v>
          </cell>
          <cell r="Q5">
            <v>66.951999999999998</v>
          </cell>
          <cell r="R5">
            <v>68.822000000000003</v>
          </cell>
          <cell r="S5">
            <v>72.076999999999998</v>
          </cell>
          <cell r="T5">
            <v>62.933</v>
          </cell>
          <cell r="U5">
            <v>72.513999999999996</v>
          </cell>
          <cell r="V5">
            <v>65.209999999999994</v>
          </cell>
          <cell r="W5">
            <v>72.644000000000005</v>
          </cell>
          <cell r="X5">
            <v>72.671000000000006</v>
          </cell>
          <cell r="Y5">
            <v>72.588999999999999</v>
          </cell>
          <cell r="Z5">
            <v>70.486999999999995</v>
          </cell>
          <cell r="AA5">
            <v>72.44</v>
          </cell>
          <cell r="AB5">
            <v>68.768000000000001</v>
          </cell>
          <cell r="AC5">
            <v>69.33</v>
          </cell>
          <cell r="AD5">
            <v>70.944000000000003</v>
          </cell>
          <cell r="AE5">
            <v>73.631</v>
          </cell>
          <cell r="AF5">
            <v>75.117000000000004</v>
          </cell>
          <cell r="AG5">
            <v>70.638000000000005</v>
          </cell>
          <cell r="AH5">
            <v>86.52</v>
          </cell>
          <cell r="AI5">
            <v>78.569999999999993</v>
          </cell>
          <cell r="AJ5">
            <v>79.489999999999995</v>
          </cell>
          <cell r="AK5">
            <v>81.445999999999998</v>
          </cell>
          <cell r="AL5">
            <v>83.879000000000005</v>
          </cell>
          <cell r="AM5">
            <v>87.364999999999995</v>
          </cell>
          <cell r="AN5">
            <v>87.460999999999999</v>
          </cell>
          <cell r="AO5">
            <v>83.146000000000001</v>
          </cell>
          <cell r="AP5">
            <v>80.753</v>
          </cell>
          <cell r="AQ5">
            <v>86.748000000000005</v>
          </cell>
          <cell r="AR5">
            <v>82.733000000000004</v>
          </cell>
          <cell r="AS5">
            <v>81.168999999999997</v>
          </cell>
          <cell r="AT5">
            <v>80.991</v>
          </cell>
          <cell r="AU5">
            <v>82.168000000000006</v>
          </cell>
          <cell r="AV5">
            <v>84.988</v>
          </cell>
          <cell r="AW5">
            <v>78.704999999999998</v>
          </cell>
          <cell r="AX5">
            <v>86.506</v>
          </cell>
          <cell r="AY5">
            <v>82.896000000000001</v>
          </cell>
          <cell r="AZ5">
            <v>90.152216695279776</v>
          </cell>
          <cell r="BA5">
            <v>79.869251709798235</v>
          </cell>
          <cell r="BB5">
            <v>78.440606843219484</v>
          </cell>
        </row>
        <row r="6">
          <cell r="A6" t="str">
            <v>Yield</v>
          </cell>
          <cell r="B6">
            <v>86.369789279112752</v>
          </cell>
          <cell r="C6">
            <v>87.953024920985655</v>
          </cell>
          <cell r="D6">
            <v>90.834766945010756</v>
          </cell>
          <cell r="E6">
            <v>101.04166550813289</v>
          </cell>
          <cell r="F6">
            <v>109.50468232044199</v>
          </cell>
          <cell r="G6">
            <v>90.999246172612757</v>
          </cell>
          <cell r="H6">
            <v>108.94007299661854</v>
          </cell>
          <cell r="I6">
            <v>113.24552042794869</v>
          </cell>
          <cell r="J6">
            <v>81.08648186639212</v>
          </cell>
          <cell r="K6">
            <v>106.71001571692838</v>
          </cell>
          <cell r="L6">
            <v>118.01051735829488</v>
          </cell>
          <cell r="M6">
            <v>119.3748675751375</v>
          </cell>
          <cell r="N6">
            <v>119.84371061255356</v>
          </cell>
          <cell r="O6">
            <v>84.61254935622317</v>
          </cell>
          <cell r="P6">
            <v>116.26434404087493</v>
          </cell>
          <cell r="Q6">
            <v>118.50322619189868</v>
          </cell>
          <cell r="R6">
            <v>108.61011013919968</v>
          </cell>
          <cell r="S6">
            <v>131.48019479168113</v>
          </cell>
          <cell r="T6">
            <v>100.70598890883956</v>
          </cell>
          <cell r="U6">
            <v>138.60109771906116</v>
          </cell>
          <cell r="V6">
            <v>113.48030976844043</v>
          </cell>
          <cell r="W6">
            <v>127.09318044160564</v>
          </cell>
          <cell r="X6">
            <v>126.69196791017049</v>
          </cell>
          <cell r="Y6">
            <v>134.43751808125197</v>
          </cell>
          <cell r="Z6">
            <v>133.79221700455403</v>
          </cell>
          <cell r="AA6">
            <v>136.87259801214799</v>
          </cell>
          <cell r="AB6">
            <v>138.18316658911121</v>
          </cell>
          <cell r="AC6">
            <v>129.33487667676332</v>
          </cell>
          <cell r="AD6">
            <v>142.18668245376634</v>
          </cell>
          <cell r="AE6">
            <v>160.33438361559669</v>
          </cell>
          <cell r="AF6">
            <v>147.93171985036676</v>
          </cell>
          <cell r="AG6">
            <v>149.08580367507571</v>
          </cell>
          <cell r="AH6">
            <v>150.69203652334721</v>
          </cell>
          <cell r="AI6">
            <v>153.27991599847272</v>
          </cell>
          <cell r="AJ6">
            <v>164.38741980123288</v>
          </cell>
          <cell r="AK6">
            <v>152.55911892542298</v>
          </cell>
          <cell r="AL6">
            <v>146.80618509996543</v>
          </cell>
          <cell r="AM6">
            <v>123.10548846792196</v>
          </cell>
          <cell r="AN6">
            <v>158.1356718994752</v>
          </cell>
          <cell r="AO6">
            <v>170.99189377721117</v>
          </cell>
          <cell r="AP6">
            <v>168.43911681299767</v>
          </cell>
          <cell r="AQ6">
            <v>174.62117858624981</v>
          </cell>
          <cell r="AR6">
            <v>176.58500235697966</v>
          </cell>
          <cell r="AS6">
            <v>176.44265667927414</v>
          </cell>
          <cell r="AT6">
            <v>167.5285649022731</v>
          </cell>
          <cell r="AU6">
            <v>171.43777382922792</v>
          </cell>
          <cell r="AV6">
            <v>176.70480538428956</v>
          </cell>
          <cell r="AW6">
            <v>173.4391842957881</v>
          </cell>
          <cell r="AX6">
            <v>177.33475134672739</v>
          </cell>
          <cell r="AY6">
            <v>179.34211542173327</v>
          </cell>
          <cell r="AZ6">
            <v>185.3382774967472</v>
          </cell>
          <cell r="BA6">
            <v>185.07933628981209</v>
          </cell>
          <cell r="BB6">
            <v>187.31160774256614</v>
          </cell>
        </row>
        <row r="7">
          <cell r="A7" t="str">
            <v>Harvested Percent</v>
          </cell>
          <cell r="B7">
            <v>0.85906833166071728</v>
          </cell>
          <cell r="C7">
            <v>0.84534449330874362</v>
          </cell>
          <cell r="D7">
            <v>0.84923157195711985</v>
          </cell>
          <cell r="E7">
            <v>0.88068564432200802</v>
          </cell>
          <cell r="F7">
            <v>0.88950045457896165</v>
          </cell>
          <cell r="G7">
            <v>0.86813892888164379</v>
          </cell>
          <cell r="H7">
            <v>0.88616716410811336</v>
          </cell>
          <cell r="I7">
            <v>0.8883662973233809</v>
          </cell>
          <cell r="J7">
            <v>0.85503346786918466</v>
          </cell>
          <cell r="K7">
            <v>0.89294186320901192</v>
          </cell>
          <cell r="L7">
            <v>0.90180819683925284</v>
          </cell>
          <cell r="M7">
            <v>0.89980412640376073</v>
          </cell>
          <cell r="N7">
            <v>0.89886706948640482</v>
          </cell>
          <cell r="O7">
            <v>0.86019758701655424</v>
          </cell>
          <cell r="P7">
            <v>0.89575786067863161</v>
          </cell>
          <cell r="Q7">
            <v>0.9027317099479546</v>
          </cell>
          <cell r="R7">
            <v>0.90606527377331925</v>
          </cell>
          <cell r="S7">
            <v>0.90878944913063753</v>
          </cell>
          <cell r="T7">
            <v>0.8592826226464042</v>
          </cell>
          <cell r="U7">
            <v>0.91881755172894397</v>
          </cell>
          <cell r="V7">
            <v>0.91229591908112861</v>
          </cell>
          <cell r="W7">
            <v>0.91688649358189556</v>
          </cell>
          <cell r="X7">
            <v>0.91367539635641271</v>
          </cell>
          <cell r="Y7">
            <v>0.90549491673423554</v>
          </cell>
          <cell r="Z7">
            <v>0.91084950766288475</v>
          </cell>
          <cell r="AA7">
            <v>0.91061080313258158</v>
          </cell>
          <cell r="AB7">
            <v>0.90840400517819875</v>
          </cell>
          <cell r="AC7">
            <v>0.87877405125865071</v>
          </cell>
          <cell r="AD7">
            <v>0.90256097095530718</v>
          </cell>
          <cell r="AE7">
            <v>0.90982218982070706</v>
          </cell>
          <cell r="AF7">
            <v>0.91853654361144066</v>
          </cell>
          <cell r="AG7">
            <v>0.90183461641579543</v>
          </cell>
          <cell r="AH7">
            <v>0.92508045804954708</v>
          </cell>
          <cell r="AI7">
            <v>0.91379591077202194</v>
          </cell>
          <cell r="AJ7">
            <v>0.9202148595772266</v>
          </cell>
          <cell r="AK7">
            <v>0.92350780116110309</v>
          </cell>
          <cell r="AL7">
            <v>0.91236294813783503</v>
          </cell>
          <cell r="AM7">
            <v>0.8979761745690763</v>
          </cell>
          <cell r="AN7">
            <v>0.91711843967912765</v>
          </cell>
          <cell r="AO7">
            <v>0.91775665860900479</v>
          </cell>
          <cell r="AP7">
            <v>0.91744964155466424</v>
          </cell>
          <cell r="AQ7">
            <v>0.92281179524275558</v>
          </cell>
          <cell r="AR7">
            <v>0.91755298501669125</v>
          </cell>
          <cell r="AS7">
            <v>0.91384920232827815</v>
          </cell>
          <cell r="AT7">
            <v>0.90624370594159109</v>
          </cell>
          <cell r="AU7">
            <v>0.9086164189667375</v>
          </cell>
          <cell r="AV7">
            <v>0.91482330653060784</v>
          </cell>
          <cell r="AW7">
            <v>0.89273156235112627</v>
          </cell>
          <cell r="AX7">
            <v>0.91404359632717314</v>
          </cell>
          <cell r="AY7">
            <v>0.91502748526392486</v>
          </cell>
          <cell r="AZ7">
            <v>0.91313727306619985</v>
          </cell>
          <cell r="BA7">
            <v>0.91279144811197988</v>
          </cell>
          <cell r="BB7">
            <v>0.91210007957231953</v>
          </cell>
        </row>
        <row r="8">
          <cell r="A8" t="str">
            <v>Beginning Stocks (September 1)</v>
          </cell>
          <cell r="B8">
            <v>558</v>
          </cell>
          <cell r="C8">
            <v>633.20000000000005</v>
          </cell>
          <cell r="D8">
            <v>1135.5999999999999</v>
          </cell>
          <cell r="E8">
            <v>1435.9</v>
          </cell>
          <cell r="F8">
            <v>1709.5</v>
          </cell>
          <cell r="G8">
            <v>2034.3</v>
          </cell>
          <cell r="H8">
            <v>1392.1</v>
          </cell>
          <cell r="I8">
            <v>2536.6</v>
          </cell>
          <cell r="J8">
            <v>3523.1</v>
          </cell>
          <cell r="K8">
            <v>1006.3</v>
          </cell>
          <cell r="L8">
            <v>1648.2</v>
          </cell>
          <cell r="M8">
            <v>4039.5219999999999</v>
          </cell>
          <cell r="N8">
            <v>4881.6930000000002</v>
          </cell>
          <cell r="O8">
            <v>4259.0860000000002</v>
          </cell>
          <cell r="P8">
            <v>1930.4280000000001</v>
          </cell>
          <cell r="Q8">
            <v>1344.4570000000001</v>
          </cell>
          <cell r="R8">
            <v>1521.2449999999999</v>
          </cell>
          <cell r="S8">
            <v>1100.3109999999999</v>
          </cell>
          <cell r="T8">
            <v>2112.9810000000002</v>
          </cell>
          <cell r="U8">
            <v>850.14300000000003</v>
          </cell>
          <cell r="V8">
            <v>1557.84</v>
          </cell>
          <cell r="W8">
            <v>425.94200000000001</v>
          </cell>
          <cell r="X8">
            <v>883.16099999999994</v>
          </cell>
          <cell r="Y8">
            <v>1307.8030000000001</v>
          </cell>
          <cell r="Z8">
            <v>1786.9770000000001</v>
          </cell>
          <cell r="AA8">
            <v>1717.549</v>
          </cell>
          <cell r="AB8">
            <v>1899.1079999999999</v>
          </cell>
          <cell r="AC8">
            <v>1596.4259999999999</v>
          </cell>
          <cell r="AD8">
            <v>1086.673</v>
          </cell>
          <cell r="AE8">
            <v>958.09100000000001</v>
          </cell>
          <cell r="AF8">
            <v>2113.9720000000002</v>
          </cell>
          <cell r="AG8">
            <v>1967.1610000000001</v>
          </cell>
          <cell r="AH8">
            <v>1303.6469999999999</v>
          </cell>
          <cell r="AI8">
            <v>1624.15</v>
          </cell>
          <cell r="AJ8">
            <v>1673.3109999999999</v>
          </cell>
          <cell r="AK8">
            <v>1707.787</v>
          </cell>
          <cell r="AL8">
            <v>1127.645</v>
          </cell>
          <cell r="AM8">
            <v>989.02700000000004</v>
          </cell>
          <cell r="AN8">
            <v>821.18499999999995</v>
          </cell>
          <cell r="AO8">
            <v>1231.904</v>
          </cell>
          <cell r="AP8">
            <v>1731.164</v>
          </cell>
          <cell r="AQ8">
            <v>1737.058</v>
          </cell>
          <cell r="AR8">
            <v>2293.3029999999999</v>
          </cell>
          <cell r="AS8">
            <v>2140.335</v>
          </cell>
          <cell r="AT8">
            <v>2220.7489999999998</v>
          </cell>
          <cell r="AU8">
            <v>1919.462</v>
          </cell>
          <cell r="AV8">
            <v>1234.5119999999999</v>
          </cell>
          <cell r="AW8">
            <v>1376.89</v>
          </cell>
          <cell r="AX8">
            <v>1360.201</v>
          </cell>
          <cell r="AY8">
            <v>1763.4</v>
          </cell>
          <cell r="AZ8">
            <v>1531.7349999999999</v>
          </cell>
          <cell r="BA8">
            <v>2070.3915548166478</v>
          </cell>
          <cell r="BB8">
            <v>2032.5396512300431</v>
          </cell>
        </row>
        <row r="9">
          <cell r="A9" t="str">
            <v>Production</v>
          </cell>
          <cell r="B9">
            <v>5840.7569999999996</v>
          </cell>
          <cell r="C9">
            <v>6289.1689999999999</v>
          </cell>
          <cell r="D9">
            <v>6505.0410000000002</v>
          </cell>
          <cell r="E9">
            <v>7267.9269999999997</v>
          </cell>
          <cell r="F9">
            <v>7928.1390000000001</v>
          </cell>
          <cell r="G9">
            <v>6639.3959999999997</v>
          </cell>
          <cell r="H9">
            <v>8118.65</v>
          </cell>
          <cell r="I9">
            <v>8235.1010000000006</v>
          </cell>
          <cell r="J9">
            <v>4174.2510000000002</v>
          </cell>
          <cell r="K9">
            <v>7672.13</v>
          </cell>
          <cell r="L9">
            <v>8875.4529999999995</v>
          </cell>
          <cell r="M9">
            <v>8225.7639999999992</v>
          </cell>
          <cell r="N9">
            <v>7131.3</v>
          </cell>
          <cell r="O9">
            <v>4928.6809999999996</v>
          </cell>
          <cell r="P9">
            <v>7531.9530000000004</v>
          </cell>
          <cell r="Q9">
            <v>7934.0280000000002</v>
          </cell>
          <cell r="R9">
            <v>7474.7650000000003</v>
          </cell>
          <cell r="S9">
            <v>9476.6980000000003</v>
          </cell>
          <cell r="T9">
            <v>6337.73</v>
          </cell>
          <cell r="U9">
            <v>10050.52</v>
          </cell>
          <cell r="V9">
            <v>7400.0510000000004</v>
          </cell>
          <cell r="W9">
            <v>9232.5570000000007</v>
          </cell>
          <cell r="X9">
            <v>9206.8320000000003</v>
          </cell>
          <cell r="Y9">
            <v>9758.6849999999995</v>
          </cell>
          <cell r="Z9">
            <v>9430.6119999999992</v>
          </cell>
          <cell r="AA9">
            <v>9915.0509999999995</v>
          </cell>
          <cell r="AB9">
            <v>9502.58</v>
          </cell>
          <cell r="AC9">
            <v>8966.7870000000003</v>
          </cell>
          <cell r="AD9">
            <v>10087.291999999999</v>
          </cell>
          <cell r="AE9">
            <v>11805.581</v>
          </cell>
          <cell r="AF9">
            <v>11112.187</v>
          </cell>
          <cell r="AG9">
            <v>10531.123</v>
          </cell>
          <cell r="AH9">
            <v>13037.875</v>
          </cell>
          <cell r="AI9">
            <v>12043.203</v>
          </cell>
          <cell r="AJ9">
            <v>13067.156000000001</v>
          </cell>
          <cell r="AK9">
            <v>12425.33</v>
          </cell>
          <cell r="AL9">
            <v>12313.956</v>
          </cell>
          <cell r="AM9">
            <v>10755.111000000001</v>
          </cell>
          <cell r="AN9">
            <v>13830.704</v>
          </cell>
          <cell r="AO9">
            <v>14217.291999999999</v>
          </cell>
          <cell r="AP9">
            <v>13601.964</v>
          </cell>
          <cell r="AQ9">
            <v>15148.038</v>
          </cell>
          <cell r="AR9">
            <v>14609.406999999999</v>
          </cell>
          <cell r="AS9">
            <v>14321.674000000001</v>
          </cell>
          <cell r="AT9">
            <v>13568.306</v>
          </cell>
          <cell r="AU9">
            <v>14086.699000000001</v>
          </cell>
          <cell r="AV9">
            <v>15017.788</v>
          </cell>
          <cell r="AW9">
            <v>13650.531000000001</v>
          </cell>
          <cell r="AX9">
            <v>15340.52</v>
          </cell>
          <cell r="AY9">
            <v>14866.744000000001</v>
          </cell>
          <cell r="AZ9">
            <v>16708.656554816647</v>
          </cell>
          <cell r="BA9">
            <v>14782.148096413397</v>
          </cell>
          <cell r="BB9">
            <v>14692.836180105976</v>
          </cell>
        </row>
        <row r="10">
          <cell r="A10" t="str">
            <v>Imports</v>
          </cell>
          <cell r="B10">
            <v>1.496</v>
          </cell>
          <cell r="C10">
            <v>2.4290000000000003</v>
          </cell>
          <cell r="D10">
            <v>2.3999999999999995</v>
          </cell>
          <cell r="E10">
            <v>1.1520000000000001</v>
          </cell>
          <cell r="F10">
            <v>0.71899999999999997</v>
          </cell>
          <cell r="G10">
            <v>0.84900000000000009</v>
          </cell>
          <cell r="H10">
            <v>0.55500000000000005</v>
          </cell>
          <cell r="I10">
            <v>0.48800000000000004</v>
          </cell>
          <cell r="J10">
            <v>1.7060000000000002</v>
          </cell>
          <cell r="K10">
            <v>1.7319999999999998</v>
          </cell>
          <cell r="L10">
            <v>9.8979999999999997</v>
          </cell>
          <cell r="M10">
            <v>1.7550000000000001</v>
          </cell>
          <cell r="N10">
            <v>3.4109999999999996</v>
          </cell>
          <cell r="O10">
            <v>2.7809999999999993</v>
          </cell>
          <cell r="P10">
            <v>1.9019999999999997</v>
          </cell>
          <cell r="Q10">
            <v>3.415</v>
          </cell>
          <cell r="R10">
            <v>19.637</v>
          </cell>
          <cell r="S10">
            <v>7.0909999999999993</v>
          </cell>
          <cell r="T10">
            <v>20.815052780925001</v>
          </cell>
          <cell r="U10">
            <v>9.5567962236750006</v>
          </cell>
          <cell r="V10">
            <v>16.486301104875004</v>
          </cell>
          <cell r="W10">
            <v>13.261470590250003</v>
          </cell>
          <cell r="X10">
            <v>8.809712817074999</v>
          </cell>
          <cell r="Y10">
            <v>18.8057878479</v>
          </cell>
          <cell r="Z10">
            <v>14.744354463000001</v>
          </cell>
          <cell r="AA10">
            <v>6.8235137417249998</v>
          </cell>
          <cell r="AB10">
            <v>10.139737648724999</v>
          </cell>
          <cell r="AC10">
            <v>14.446553335874999</v>
          </cell>
          <cell r="AD10">
            <v>14.076369744300001</v>
          </cell>
          <cell r="AE10">
            <v>10.829760713775002</v>
          </cell>
          <cell r="AF10">
            <v>8.8059137809500001</v>
          </cell>
          <cell r="AG10">
            <v>11.982695346450001</v>
          </cell>
          <cell r="AH10">
            <v>20.020503075299999</v>
          </cell>
          <cell r="AI10">
            <v>13.529769150824999</v>
          </cell>
          <cell r="AJ10">
            <v>8.3432148018749999</v>
          </cell>
          <cell r="AK10">
            <v>27.669324936374995</v>
          </cell>
          <cell r="AL10">
            <v>29.373155238600003</v>
          </cell>
          <cell r="AM10">
            <v>159.9456567933</v>
          </cell>
          <cell r="AN10">
            <v>35.793766436174998</v>
          </cell>
          <cell r="AO10">
            <v>31.642345105425001</v>
          </cell>
          <cell r="AP10">
            <v>68.304512147400004</v>
          </cell>
          <cell r="AQ10">
            <v>57.037690962014999</v>
          </cell>
          <cell r="AR10">
            <v>36.086816139500002</v>
          </cell>
          <cell r="AS10">
            <v>28.000728559060001</v>
          </cell>
          <cell r="AT10">
            <v>42.199006536980001</v>
          </cell>
          <cell r="AU10">
            <v>24.362822555720001</v>
          </cell>
          <cell r="AV10">
            <v>24.329108314360003</v>
          </cell>
          <cell r="AW10">
            <v>38.705988312600006</v>
          </cell>
          <cell r="AX10">
            <v>28.508977440020004</v>
          </cell>
          <cell r="AY10">
            <v>20.5</v>
          </cell>
          <cell r="AZ10">
            <v>30</v>
          </cell>
          <cell r="BA10">
            <v>30</v>
          </cell>
          <cell r="BB10">
            <v>30</v>
          </cell>
        </row>
        <row r="11">
          <cell r="A11" t="str">
            <v xml:space="preserve">  Total Supply</v>
          </cell>
          <cell r="B11">
            <v>6400.2529999999997</v>
          </cell>
          <cell r="C11">
            <v>6924.7979999999998</v>
          </cell>
          <cell r="D11">
            <v>7643.0409999999993</v>
          </cell>
          <cell r="E11">
            <v>8704.9789999999994</v>
          </cell>
          <cell r="F11">
            <v>9638.3579999999984</v>
          </cell>
          <cell r="G11">
            <v>8674.5450000000001</v>
          </cell>
          <cell r="H11">
            <v>9511.3050000000003</v>
          </cell>
          <cell r="I11">
            <v>10772.189</v>
          </cell>
          <cell r="J11">
            <v>7699.0570000000007</v>
          </cell>
          <cell r="K11">
            <v>8680.1620000000003</v>
          </cell>
          <cell r="L11">
            <v>10533.550999999999</v>
          </cell>
          <cell r="M11">
            <v>12267.040999999999</v>
          </cell>
          <cell r="N11">
            <v>12016.404</v>
          </cell>
          <cell r="O11">
            <v>9190.5480000000007</v>
          </cell>
          <cell r="P11">
            <v>9464.2830000000013</v>
          </cell>
          <cell r="Q11">
            <v>9281.9000000000015</v>
          </cell>
          <cell r="R11">
            <v>9015.6470000000008</v>
          </cell>
          <cell r="S11">
            <v>10584.1</v>
          </cell>
          <cell r="T11">
            <v>8471.5260527809241</v>
          </cell>
          <cell r="U11">
            <v>10910.219796223675</v>
          </cell>
          <cell r="V11">
            <v>8974.3773011048743</v>
          </cell>
          <cell r="W11">
            <v>9671.7604705902504</v>
          </cell>
          <cell r="X11">
            <v>10098.802712817076</v>
          </cell>
          <cell r="Y11">
            <v>11085.293787847899</v>
          </cell>
          <cell r="Z11">
            <v>11232.333354463</v>
          </cell>
          <cell r="AA11">
            <v>11639.423513741724</v>
          </cell>
          <cell r="AB11">
            <v>11411.827737648726</v>
          </cell>
          <cell r="AC11">
            <v>10577.659553335874</v>
          </cell>
          <cell r="AD11">
            <v>11188.0413697443</v>
          </cell>
          <cell r="AE11">
            <v>12774.501760713776</v>
          </cell>
          <cell r="AF11">
            <v>13234.96491378095</v>
          </cell>
          <cell r="AG11">
            <v>12510.26669534645</v>
          </cell>
          <cell r="AH11">
            <v>14361.542503075301</v>
          </cell>
          <cell r="AI11">
            <v>13680.882769150825</v>
          </cell>
          <cell r="AJ11">
            <v>14748.810214801875</v>
          </cell>
          <cell r="AK11">
            <v>14160.786324936375</v>
          </cell>
          <cell r="AL11">
            <v>13470.9741552386</v>
          </cell>
          <cell r="AM11">
            <v>11904.0836567933</v>
          </cell>
          <cell r="AN11">
            <v>14687.682766436174</v>
          </cell>
          <cell r="AO11">
            <v>15480.838345105425</v>
          </cell>
          <cell r="AP11">
            <v>15401.432512147401</v>
          </cell>
          <cell r="AQ11">
            <v>16942.133690962015</v>
          </cell>
          <cell r="AR11">
            <v>16938.7968161395</v>
          </cell>
          <cell r="AS11">
            <v>16490.00972855906</v>
          </cell>
          <cell r="AT11">
            <v>15831.254006536979</v>
          </cell>
          <cell r="AU11">
            <v>16030.52382255572</v>
          </cell>
          <cell r="AV11">
            <v>16276.629108314361</v>
          </cell>
          <cell r="AW11">
            <v>15066.126988312601</v>
          </cell>
          <cell r="AX11">
            <v>16729.22997744002</v>
          </cell>
          <cell r="AY11">
            <v>16650.644</v>
          </cell>
          <cell r="AZ11">
            <v>18270.391554816648</v>
          </cell>
          <cell r="BA11">
            <v>16882.539651230043</v>
          </cell>
          <cell r="BB11">
            <v>16755.375831336019</v>
          </cell>
        </row>
        <row r="12">
          <cell r="A12" t="str">
            <v>Domestic Use</v>
          </cell>
          <cell r="B12">
            <v>4102.5619999999999</v>
          </cell>
          <cell r="C12">
            <v>4144.0779999999995</v>
          </cell>
          <cell r="D12">
            <v>4310.7439999999988</v>
          </cell>
          <cell r="E12">
            <v>4882.3580000000002</v>
          </cell>
          <cell r="F12">
            <v>5202.5429999999997</v>
          </cell>
          <cell r="G12">
            <v>4891.338999999999</v>
          </cell>
          <cell r="H12">
            <v>4977.9430000000011</v>
          </cell>
          <cell r="I12">
            <v>5426.7430000000022</v>
          </cell>
          <cell r="J12">
            <v>4806.3600000000006</v>
          </cell>
          <cell r="K12">
            <v>5181.7129999999997</v>
          </cell>
          <cell r="L12">
            <v>5266.697000000001</v>
          </cell>
          <cell r="M12">
            <v>5892.878999999999</v>
          </cell>
          <cell r="N12">
            <v>6040.8940000000002</v>
          </cell>
          <cell r="O12">
            <v>5231.6660000000002</v>
          </cell>
          <cell r="P12">
            <v>5752.523000000001</v>
          </cell>
          <cell r="Q12">
            <v>6034.0250000000005</v>
          </cell>
          <cell r="R12">
            <v>6332.1464323352511</v>
          </cell>
          <cell r="S12">
            <v>6775.6031304492999</v>
          </cell>
          <cell r="T12">
            <v>6302.5384970585737</v>
          </cell>
          <cell r="U12">
            <v>7165.2718684840002</v>
          </cell>
          <cell r="V12">
            <v>6329.9759478167998</v>
          </cell>
          <cell r="W12">
            <v>6991.5212597743248</v>
          </cell>
          <cell r="X12">
            <v>7284.0370648773505</v>
          </cell>
          <cell r="Y12">
            <v>7315.6863105083485</v>
          </cell>
          <cell r="Z12">
            <v>7578.218701879875</v>
          </cell>
          <cell r="AA12">
            <v>7798.9675872425478</v>
          </cell>
          <cell r="AB12">
            <v>7910.6342339572238</v>
          </cell>
          <cell r="AC12">
            <v>7903.0990464202259</v>
          </cell>
          <cell r="AD12">
            <v>8330.1142787103254</v>
          </cell>
          <cell r="AE12">
            <v>8842.4738393183998</v>
          </cell>
          <cell r="AF12">
            <v>9133.9924394398749</v>
          </cell>
          <cell r="AG12">
            <v>9081.2502579884003</v>
          </cell>
          <cell r="AH12">
            <v>10299.990493374375</v>
          </cell>
          <cell r="AI12">
            <v>10158.624534692099</v>
          </cell>
          <cell r="AJ12">
            <v>11061.997007044101</v>
          </cell>
          <cell r="AK12">
            <v>11202.2164265296</v>
          </cell>
          <cell r="AL12">
            <v>10942.790624821428</v>
          </cell>
          <cell r="AM12">
            <v>10352.806842786926</v>
          </cell>
          <cell r="AN12">
            <v>11534.995644499973</v>
          </cell>
          <cell r="AO12">
            <v>11882.792497055285</v>
          </cell>
          <cell r="AP12">
            <v>11765.740702154642</v>
          </cell>
          <cell r="AQ12">
            <v>12348.872763697516</v>
          </cell>
          <cell r="AR12">
            <v>12354.246368095179</v>
          </cell>
          <cell r="AS12">
            <v>12194.152865513181</v>
          </cell>
          <cell r="AT12">
            <v>12128.274633032859</v>
          </cell>
          <cell r="AU12">
            <v>12042.4452588392</v>
          </cell>
          <cell r="AV12">
            <v>12421.72289723832</v>
          </cell>
          <cell r="AW12">
            <v>12036.1476589419</v>
          </cell>
          <cell r="AX12">
            <v>12705.17216133184</v>
          </cell>
          <cell r="AY12">
            <v>12368.909</v>
          </cell>
          <cell r="AZ12">
            <v>13250</v>
          </cell>
          <cell r="BA12">
            <v>12500</v>
          </cell>
          <cell r="BB12">
            <v>12575</v>
          </cell>
        </row>
        <row r="13">
          <cell r="A13" t="str">
            <v>Feed &amp; Residual</v>
          </cell>
          <cell r="B13">
            <v>3576.7619999999997</v>
          </cell>
          <cell r="C13">
            <v>3601.8779999999997</v>
          </cell>
          <cell r="D13">
            <v>3729.7439999999983</v>
          </cell>
          <cell r="E13">
            <v>4274.3580000000002</v>
          </cell>
          <cell r="F13">
            <v>4563.0429999999997</v>
          </cell>
          <cell r="G13">
            <v>4232.1389999999992</v>
          </cell>
          <cell r="H13">
            <v>4244.5430000000015</v>
          </cell>
          <cell r="I13">
            <v>4573.2430000000022</v>
          </cell>
          <cell r="J13">
            <v>3876.26</v>
          </cell>
          <cell r="K13">
            <v>4114.5129999999999</v>
          </cell>
          <cell r="L13">
            <v>4114.197000000001</v>
          </cell>
          <cell r="M13">
            <v>4659.4679999999989</v>
          </cell>
          <cell r="N13">
            <v>4789.2470000000003</v>
          </cell>
          <cell r="O13">
            <v>3933.9060000000004</v>
          </cell>
          <cell r="P13">
            <v>4382.4830000000011</v>
          </cell>
          <cell r="Q13">
            <v>4608.911000000001</v>
          </cell>
          <cell r="R13">
            <v>4798.6404323352508</v>
          </cell>
          <cell r="S13">
            <v>5219.8511304492995</v>
          </cell>
          <cell r="T13">
            <v>4689.3844970585742</v>
          </cell>
          <cell r="U13">
            <v>5450.074868484</v>
          </cell>
          <cell r="V13">
            <v>4700.0279478167995</v>
          </cell>
          <cell r="W13">
            <v>5275.3912597743247</v>
          </cell>
          <cell r="X13">
            <v>5445.3051627991917</v>
          </cell>
          <cell r="Y13">
            <v>5451.3751523430819</v>
          </cell>
          <cell r="Z13">
            <v>5639.8733740826665</v>
          </cell>
          <cell r="AA13">
            <v>5818.9016468574046</v>
          </cell>
          <cell r="AB13">
            <v>5845.1947637934181</v>
          </cell>
          <cell r="AC13">
            <v>5544.5353158463067</v>
          </cell>
          <cell r="AD13">
            <v>5777.6209208336895</v>
          </cell>
          <cell r="AE13">
            <v>6131.6498389438148</v>
          </cell>
          <cell r="AF13">
            <v>6111.3124161749283</v>
          </cell>
          <cell r="AG13">
            <v>5535.3284411952582</v>
          </cell>
          <cell r="AH13">
            <v>5853.0287784570628</v>
          </cell>
          <cell r="AI13">
            <v>5128.1254946920981</v>
          </cell>
          <cell r="AJ13">
            <v>5095.5760070441002</v>
          </cell>
          <cell r="AK13">
            <v>4770.1184265295997</v>
          </cell>
          <cell r="AL13">
            <v>4512.0696248214263</v>
          </cell>
          <cell r="AM13">
            <v>4308.5008427869261</v>
          </cell>
          <cell r="AN13">
            <v>5004.1766444999739</v>
          </cell>
          <cell r="AO13">
            <v>5287.4364970552851</v>
          </cell>
          <cell r="AP13">
            <v>5118.5937021546406</v>
          </cell>
          <cell r="AQ13">
            <v>5457.0887636975176</v>
          </cell>
          <cell r="AR13">
            <v>5306.8517680951782</v>
          </cell>
          <cell r="AS13">
            <v>5399.6824655131804</v>
          </cell>
          <cell r="AT13">
            <v>5842.4366330328594</v>
          </cell>
          <cell r="AU13">
            <v>5580.2902588391999</v>
          </cell>
          <cell r="AV13">
            <v>5664.28089723832</v>
          </cell>
          <cell r="AW13">
            <v>5485.4686589418998</v>
          </cell>
          <cell r="AX13">
            <v>5826.0411613318402</v>
          </cell>
          <cell r="AY13">
            <v>5568.9089999999997</v>
          </cell>
          <cell r="AZ13">
            <v>6400</v>
          </cell>
          <cell r="BA13">
            <v>5850</v>
          </cell>
          <cell r="BB13">
            <v>5900</v>
          </cell>
        </row>
        <row r="14">
          <cell r="A14" t="str">
            <v>Food/Seed/Industrial</v>
          </cell>
          <cell r="B14">
            <v>520.79999999999995</v>
          </cell>
          <cell r="C14">
            <v>542.20000000000005</v>
          </cell>
          <cell r="D14">
            <v>581</v>
          </cell>
          <cell r="E14">
            <v>608</v>
          </cell>
          <cell r="F14">
            <v>639.5</v>
          </cell>
          <cell r="G14">
            <v>659.2</v>
          </cell>
          <cell r="H14">
            <v>733.4</v>
          </cell>
          <cell r="I14">
            <v>853.5</v>
          </cell>
          <cell r="J14">
            <v>930.1</v>
          </cell>
          <cell r="K14">
            <v>1067.2</v>
          </cell>
          <cell r="L14">
            <v>1152.5</v>
          </cell>
          <cell r="M14">
            <v>1233.4110000000001</v>
          </cell>
          <cell r="N14">
            <v>1251.6470000000002</v>
          </cell>
          <cell r="O14">
            <v>1297.76</v>
          </cell>
          <cell r="P14">
            <v>1370.04</v>
          </cell>
          <cell r="Q14">
            <v>1425.1139999999998</v>
          </cell>
          <cell r="R14">
            <v>1533.5060000000003</v>
          </cell>
          <cell r="S14">
            <v>1555.7520000000002</v>
          </cell>
          <cell r="T14">
            <v>1613.1539999999998</v>
          </cell>
          <cell r="U14">
            <v>1715.1969999999999</v>
          </cell>
          <cell r="V14">
            <v>1629.9480000000001</v>
          </cell>
          <cell r="W14">
            <v>1716.13</v>
          </cell>
          <cell r="X14">
            <v>1838.731902078159</v>
          </cell>
          <cell r="Y14">
            <v>1864.3111581652668</v>
          </cell>
          <cell r="Z14">
            <v>1938.3453277972087</v>
          </cell>
          <cell r="AA14">
            <v>1980.0659403851434</v>
          </cell>
          <cell r="AB14">
            <v>2065.4394701638057</v>
          </cell>
          <cell r="AC14">
            <v>2358.5637305739192</v>
          </cell>
          <cell r="AD14">
            <v>2552.4933578766354</v>
          </cell>
          <cell r="AE14">
            <v>2710.8240003745846</v>
          </cell>
          <cell r="AF14">
            <v>3022.6800232649462</v>
          </cell>
          <cell r="AG14">
            <v>3545.9218167931422</v>
          </cell>
          <cell r="AH14">
            <v>4446.9617149173118</v>
          </cell>
          <cell r="AI14">
            <v>5030.4990400000006</v>
          </cell>
          <cell r="AJ14">
            <v>5966.4210000000012</v>
          </cell>
          <cell r="AK14">
            <v>6432.098</v>
          </cell>
          <cell r="AL14">
            <v>6430.7210000000005</v>
          </cell>
          <cell r="AM14">
            <v>6044.3060000000005</v>
          </cell>
          <cell r="AN14">
            <v>6530.8190000000004</v>
          </cell>
          <cell r="AO14">
            <v>6595.3559999999998</v>
          </cell>
          <cell r="AP14">
            <v>6647.1470000000008</v>
          </cell>
          <cell r="AQ14">
            <v>6891.7839999999997</v>
          </cell>
          <cell r="AR14">
            <v>7047.3946000000005</v>
          </cell>
          <cell r="AS14">
            <v>6794.4704000000002</v>
          </cell>
          <cell r="AT14">
            <v>6285.8379999999997</v>
          </cell>
          <cell r="AU14">
            <v>6462.1549999999997</v>
          </cell>
          <cell r="AV14">
            <v>6757.442</v>
          </cell>
          <cell r="AW14">
            <v>6550.6790000000001</v>
          </cell>
          <cell r="AX14">
            <v>6879.1310000000003</v>
          </cell>
          <cell r="AY14">
            <v>6800</v>
          </cell>
          <cell r="AZ14">
            <v>6850</v>
          </cell>
          <cell r="BA14">
            <v>6650</v>
          </cell>
          <cell r="BB14">
            <v>6675</v>
          </cell>
        </row>
        <row r="15">
          <cell r="A15" t="str">
            <v xml:space="preserve">  Ethanol for Fuel</v>
          </cell>
          <cell r="B15">
            <v>5</v>
          </cell>
          <cell r="C15">
            <v>10</v>
          </cell>
          <cell r="D15">
            <v>10</v>
          </cell>
          <cell r="E15">
            <v>15</v>
          </cell>
          <cell r="F15">
            <v>25</v>
          </cell>
          <cell r="G15">
            <v>35</v>
          </cell>
          <cell r="H15">
            <v>86</v>
          </cell>
          <cell r="I15">
            <v>140</v>
          </cell>
          <cell r="J15">
            <v>160</v>
          </cell>
          <cell r="K15">
            <v>232</v>
          </cell>
          <cell r="L15">
            <v>271</v>
          </cell>
          <cell r="M15">
            <v>289.99200000000002</v>
          </cell>
          <cell r="N15">
            <v>279.14499999999998</v>
          </cell>
          <cell r="O15">
            <v>287.44599999999997</v>
          </cell>
          <cell r="P15">
            <v>321.44599999999997</v>
          </cell>
          <cell r="Q15">
            <v>349.06700000000001</v>
          </cell>
          <cell r="R15">
            <v>398.26400000000001</v>
          </cell>
          <cell r="S15">
            <v>425.51</v>
          </cell>
          <cell r="T15">
            <v>458.26</v>
          </cell>
          <cell r="U15">
            <v>532.79200000000003</v>
          </cell>
          <cell r="V15">
            <v>395.7</v>
          </cell>
          <cell r="W15">
            <v>428.72199999999998</v>
          </cell>
          <cell r="X15">
            <v>487.73200000000003</v>
          </cell>
          <cell r="Y15">
            <v>517.81999999999994</v>
          </cell>
          <cell r="Z15">
            <v>565.84720000000004</v>
          </cell>
          <cell r="AA15">
            <v>629.82720000000006</v>
          </cell>
          <cell r="AB15">
            <v>707.23846154</v>
          </cell>
          <cell r="AC15">
            <v>995.50393700999996</v>
          </cell>
          <cell r="AD15">
            <v>1167.54772727</v>
          </cell>
          <cell r="AE15">
            <v>1323.2125283</v>
          </cell>
          <cell r="AF15">
            <v>1603.3244444500001</v>
          </cell>
          <cell r="AG15">
            <v>2119.4938518499998</v>
          </cell>
          <cell r="AH15">
            <v>3049.21407408</v>
          </cell>
          <cell r="AI15">
            <v>3708.88904</v>
          </cell>
          <cell r="AJ15">
            <v>4591.1570000000002</v>
          </cell>
          <cell r="AK15">
            <v>5018.741</v>
          </cell>
          <cell r="AL15">
            <v>5000.0320000000002</v>
          </cell>
          <cell r="AM15">
            <v>4641.1270000000004</v>
          </cell>
          <cell r="AN15">
            <v>5123.6900000000005</v>
          </cell>
          <cell r="AO15">
            <v>5200.09</v>
          </cell>
          <cell r="AP15">
            <v>5223.6139999999996</v>
          </cell>
          <cell r="AQ15">
            <v>5438.5069999999996</v>
          </cell>
          <cell r="AR15">
            <v>5595.4219999999996</v>
          </cell>
          <cell r="AS15">
            <v>5379.87</v>
          </cell>
          <cell r="AT15">
            <v>4856.4530000000004</v>
          </cell>
          <cell r="AU15">
            <v>5143.3059999999996</v>
          </cell>
          <cell r="AV15">
            <v>5318.8250000000007</v>
          </cell>
          <cell r="AW15">
            <v>5177.1409999999996</v>
          </cell>
          <cell r="AX15">
            <v>5471.77</v>
          </cell>
          <cell r="AY15">
            <v>5400</v>
          </cell>
          <cell r="AZ15">
            <v>5450</v>
          </cell>
          <cell r="BA15">
            <v>5250</v>
          </cell>
          <cell r="BB15">
            <v>5275</v>
          </cell>
        </row>
        <row r="16">
          <cell r="A16" t="str">
            <v>Exports</v>
          </cell>
          <cell r="B16">
            <v>1664.4909999999998</v>
          </cell>
          <cell r="C16">
            <v>1645.1200000000003</v>
          </cell>
          <cell r="D16">
            <v>1896.3969999999999</v>
          </cell>
          <cell r="E16">
            <v>2113.1210000000001</v>
          </cell>
          <cell r="F16">
            <v>2401.5149999999999</v>
          </cell>
          <cell r="G16">
            <v>2391.1060000000002</v>
          </cell>
          <cell r="H16">
            <v>1996.7619999999999</v>
          </cell>
          <cell r="I16">
            <v>1821.346</v>
          </cell>
          <cell r="J16">
            <v>1886.3970000000002</v>
          </cell>
          <cell r="K16">
            <v>1850.249</v>
          </cell>
          <cell r="L16">
            <v>1227.3319999999999</v>
          </cell>
          <cell r="M16">
            <v>1492.4689999999998</v>
          </cell>
          <cell r="N16">
            <v>1716.424</v>
          </cell>
          <cell r="O16">
            <v>2028.4539999999997</v>
          </cell>
          <cell r="P16">
            <v>2367.3029999999999</v>
          </cell>
          <cell r="Q16">
            <v>1726.6299999999999</v>
          </cell>
          <cell r="R16">
            <v>1583.18956766475</v>
          </cell>
          <cell r="S16">
            <v>1695.5158695506996</v>
          </cell>
          <cell r="T16">
            <v>1318.8445557223499</v>
          </cell>
          <cell r="U16">
            <v>2187.1079277396748</v>
          </cell>
          <cell r="V16">
            <v>2218.4593532880754</v>
          </cell>
          <cell r="W16">
            <v>1797.0782108159251</v>
          </cell>
          <cell r="X16">
            <v>1506.962647939725</v>
          </cell>
          <cell r="Y16">
            <v>1982.63047733955</v>
          </cell>
          <cell r="Z16">
            <v>1936.565652583125</v>
          </cell>
          <cell r="AA16">
            <v>1941.3479264991749</v>
          </cell>
          <cell r="AB16">
            <v>1904.7675036915002</v>
          </cell>
          <cell r="AC16">
            <v>1587.88750691565</v>
          </cell>
          <cell r="AD16">
            <v>1899.8360910339752</v>
          </cell>
          <cell r="AE16">
            <v>1818.0559213953752</v>
          </cell>
          <cell r="AF16">
            <v>2133.8114743410752</v>
          </cell>
          <cell r="AG16">
            <v>2125.3694373580502</v>
          </cell>
          <cell r="AH16">
            <v>2437.4020097009247</v>
          </cell>
          <cell r="AI16">
            <v>1848.9472344587252</v>
          </cell>
          <cell r="AJ16">
            <v>1979.0262077577752</v>
          </cell>
          <cell r="AK16">
            <v>1830.9248984067751</v>
          </cell>
          <cell r="AL16">
            <v>1539.1565304171747</v>
          </cell>
          <cell r="AM16">
            <v>730.09181400637499</v>
          </cell>
          <cell r="AN16">
            <v>1920.7831219361997</v>
          </cell>
          <cell r="AO16">
            <v>1866.8818480501409</v>
          </cell>
          <cell r="AP16">
            <v>1898.6338099927584</v>
          </cell>
          <cell r="AQ16">
            <v>2293.9940000000001</v>
          </cell>
          <cell r="AR16">
            <v>2444.2154480443201</v>
          </cell>
          <cell r="AS16">
            <v>2075.1078630458801</v>
          </cell>
          <cell r="AT16">
            <v>1783.5173735041201</v>
          </cell>
          <cell r="AU16">
            <v>2753.5665637165202</v>
          </cell>
          <cell r="AV16">
            <v>2478.0162110760407</v>
          </cell>
          <cell r="AW16">
            <v>1669.7783293707002</v>
          </cell>
          <cell r="AX16">
            <v>2260.6578161081802</v>
          </cell>
          <cell r="AY16">
            <v>2750</v>
          </cell>
          <cell r="AZ16">
            <v>2950</v>
          </cell>
          <cell r="BA16">
            <v>2350</v>
          </cell>
          <cell r="BB16">
            <v>2100</v>
          </cell>
        </row>
        <row r="17">
          <cell r="A17" t="str">
            <v xml:space="preserve">  Total Use</v>
          </cell>
          <cell r="B17">
            <v>5767.0529999999999</v>
          </cell>
          <cell r="C17">
            <v>5789.1980000000003</v>
          </cell>
          <cell r="D17">
            <v>6207.1409999999987</v>
          </cell>
          <cell r="E17">
            <v>6995.4790000000003</v>
          </cell>
          <cell r="F17">
            <v>7604.0579999999991</v>
          </cell>
          <cell r="G17">
            <v>7282.4449999999997</v>
          </cell>
          <cell r="H17">
            <v>6974.7050000000008</v>
          </cell>
          <cell r="I17">
            <v>7248.0890000000018</v>
          </cell>
          <cell r="J17">
            <v>6692.7570000000005</v>
          </cell>
          <cell r="K17">
            <v>7031.9619999999995</v>
          </cell>
          <cell r="L17">
            <v>6494.0290000000005</v>
          </cell>
          <cell r="M17">
            <v>7385.347999999999</v>
          </cell>
          <cell r="N17">
            <v>7757.3180000000002</v>
          </cell>
          <cell r="O17">
            <v>7260.12</v>
          </cell>
          <cell r="P17">
            <v>8119.8260000000009</v>
          </cell>
          <cell r="Q17">
            <v>7760.6550000000007</v>
          </cell>
          <cell r="R17">
            <v>7915.3360000000011</v>
          </cell>
          <cell r="S17">
            <v>8471.1189999999988</v>
          </cell>
          <cell r="T17">
            <v>7621.3830527809241</v>
          </cell>
          <cell r="U17">
            <v>9352.3797962236749</v>
          </cell>
          <cell r="V17">
            <v>8548.4353011048752</v>
          </cell>
          <cell r="W17">
            <v>8788.5994705902503</v>
          </cell>
          <cell r="X17">
            <v>8790.9997128170762</v>
          </cell>
          <cell r="Y17">
            <v>9298.316787847898</v>
          </cell>
          <cell r="Z17">
            <v>9514.7843544629995</v>
          </cell>
          <cell r="AA17">
            <v>9740.3155137417234</v>
          </cell>
          <cell r="AB17">
            <v>9815.4017376487245</v>
          </cell>
          <cell r="AC17">
            <v>9490.9865533358752</v>
          </cell>
          <cell r="AD17">
            <v>10229.9503697443</v>
          </cell>
          <cell r="AE17">
            <v>10660.529760713775</v>
          </cell>
          <cell r="AF17">
            <v>11267.80391378095</v>
          </cell>
          <cell r="AG17">
            <v>11206.61969534645</v>
          </cell>
          <cell r="AH17">
            <v>12737.3925030753</v>
          </cell>
          <cell r="AI17">
            <v>12007.571769150823</v>
          </cell>
          <cell r="AJ17">
            <v>13041.023214801877</v>
          </cell>
          <cell r="AK17">
            <v>13033.141324936374</v>
          </cell>
          <cell r="AL17">
            <v>12481.947155238602</v>
          </cell>
          <cell r="AM17">
            <v>11082.898656793301</v>
          </cell>
          <cell r="AN17">
            <v>13455.778766436173</v>
          </cell>
          <cell r="AO17">
            <v>13749.674345105426</v>
          </cell>
          <cell r="AP17">
            <v>13664.3745121474</v>
          </cell>
          <cell r="AQ17">
            <v>14642.866763697517</v>
          </cell>
          <cell r="AR17">
            <v>14798.461816139499</v>
          </cell>
          <cell r="AS17">
            <v>14269.26072855906</v>
          </cell>
          <cell r="AT17">
            <v>13911.79200653698</v>
          </cell>
          <cell r="AU17">
            <v>14796.01182255572</v>
          </cell>
          <cell r="AV17">
            <v>14899.739108314361</v>
          </cell>
          <cell r="AW17">
            <v>13705.9259883126</v>
          </cell>
          <cell r="AX17">
            <v>14965.82997744002</v>
          </cell>
          <cell r="AY17">
            <v>15118.909</v>
          </cell>
          <cell r="AZ17">
            <v>16200</v>
          </cell>
          <cell r="BA17">
            <v>14850</v>
          </cell>
          <cell r="BB17">
            <v>14675</v>
          </cell>
        </row>
        <row r="18">
          <cell r="A18" t="str">
            <v>Ending Stocks (August 31)</v>
          </cell>
          <cell r="B18">
            <v>633.20000000000005</v>
          </cell>
          <cell r="C18">
            <v>1135.5999999999999</v>
          </cell>
          <cell r="D18">
            <v>1435.9</v>
          </cell>
          <cell r="E18">
            <v>1709.5</v>
          </cell>
          <cell r="F18">
            <v>2034.3</v>
          </cell>
          <cell r="G18">
            <v>1392.1</v>
          </cell>
          <cell r="H18">
            <v>2536.6</v>
          </cell>
          <cell r="I18">
            <v>3523.1</v>
          </cell>
          <cell r="J18">
            <v>1006.3</v>
          </cell>
          <cell r="K18">
            <v>1648.2</v>
          </cell>
          <cell r="L18">
            <v>4039.5219999999999</v>
          </cell>
          <cell r="M18">
            <v>4881.6930000000002</v>
          </cell>
          <cell r="N18">
            <v>4259.0860000000002</v>
          </cell>
          <cell r="O18">
            <v>1930.4280000000001</v>
          </cell>
          <cell r="P18">
            <v>1344.4570000000001</v>
          </cell>
          <cell r="Q18">
            <v>1521.2449999999999</v>
          </cell>
          <cell r="R18">
            <v>1100.3109999999999</v>
          </cell>
          <cell r="S18">
            <v>2112.9810000000002</v>
          </cell>
          <cell r="T18">
            <v>850.14300000000003</v>
          </cell>
          <cell r="U18">
            <v>1557.84</v>
          </cell>
          <cell r="V18">
            <v>425.94200000000001</v>
          </cell>
          <cell r="W18">
            <v>883.16099999999994</v>
          </cell>
          <cell r="X18">
            <v>1307.8030000000001</v>
          </cell>
          <cell r="Y18">
            <v>1786.9770000000001</v>
          </cell>
          <cell r="Z18">
            <v>1717.549</v>
          </cell>
          <cell r="AA18">
            <v>1899.1079999999999</v>
          </cell>
          <cell r="AB18">
            <v>1596.4259999999999</v>
          </cell>
          <cell r="AC18">
            <v>1086.673</v>
          </cell>
          <cell r="AD18">
            <v>958.09100000000001</v>
          </cell>
          <cell r="AE18">
            <v>2113.9720000000002</v>
          </cell>
          <cell r="AF18">
            <v>1967.1610000000001</v>
          </cell>
          <cell r="AG18">
            <v>1303.6469999999999</v>
          </cell>
          <cell r="AH18">
            <v>1624.15</v>
          </cell>
          <cell r="AI18">
            <v>1673.3109999999999</v>
          </cell>
          <cell r="AJ18">
            <v>1707.787</v>
          </cell>
          <cell r="AK18">
            <v>1127.645</v>
          </cell>
          <cell r="AL18">
            <v>989.02700000000004</v>
          </cell>
          <cell r="AM18">
            <v>821.18499999999995</v>
          </cell>
          <cell r="AN18">
            <v>1231.904</v>
          </cell>
          <cell r="AO18">
            <v>1731.164</v>
          </cell>
          <cell r="AP18">
            <v>1737.058</v>
          </cell>
          <cell r="AQ18">
            <v>2293.3029999999999</v>
          </cell>
          <cell r="AR18">
            <v>2140.335</v>
          </cell>
          <cell r="AS18">
            <v>2220.7489999999998</v>
          </cell>
          <cell r="AT18">
            <v>1919.462</v>
          </cell>
          <cell r="AU18">
            <v>1234.5119999999999</v>
          </cell>
          <cell r="AV18">
            <v>1376.89</v>
          </cell>
          <cell r="AW18">
            <v>1360.201</v>
          </cell>
          <cell r="AX18">
            <v>1763.4</v>
          </cell>
          <cell r="AY18">
            <v>1531.7349999999999</v>
          </cell>
          <cell r="AZ18">
            <v>2070.3915548166478</v>
          </cell>
          <cell r="BA18">
            <v>2032.5396512300431</v>
          </cell>
          <cell r="BB18">
            <v>2080.3758313360195</v>
          </cell>
        </row>
        <row r="19">
          <cell r="A19" t="str">
            <v>Stocks/Use</v>
          </cell>
          <cell r="B19">
            <v>0.10979611250321439</v>
          </cell>
          <cell r="C19">
            <v>0.19615843161695279</v>
          </cell>
          <cell r="D19">
            <v>0.23133033388479501</v>
          </cell>
          <cell r="E19">
            <v>0.24437211519039653</v>
          </cell>
          <cell r="F19">
            <v>0.26752820664965998</v>
          </cell>
          <cell r="G19">
            <v>0.19115832663343149</v>
          </cell>
          <cell r="H19">
            <v>0.3636856325823099</v>
          </cell>
          <cell r="I19">
            <v>0.48607294971129617</v>
          </cell>
          <cell r="J19">
            <v>0.15035657203750261</v>
          </cell>
          <cell r="K19">
            <v>0.23438693212505984</v>
          </cell>
          <cell r="L19">
            <v>0.62203633522424984</v>
          </cell>
          <cell r="M19">
            <v>0.66099701733757177</v>
          </cell>
          <cell r="N19">
            <v>0.5490410474341777</v>
          </cell>
          <cell r="O19">
            <v>0.26589477859870086</v>
          </cell>
          <cell r="P19">
            <v>0.16557707024756441</v>
          </cell>
          <cell r="Q19">
            <v>0.19602018128624449</v>
          </cell>
          <cell r="R19">
            <v>0.13901001802071317</v>
          </cell>
          <cell r="S19">
            <v>0.24943351639848296</v>
          </cell>
          <cell r="T19">
            <v>0.11154707670673975</v>
          </cell>
          <cell r="U19">
            <v>0.16657150735356449</v>
          </cell>
          <cell r="V19">
            <v>4.9826896384762662E-2</v>
          </cell>
          <cell r="W19">
            <v>0.10048939002799795</v>
          </cell>
          <cell r="X19">
            <v>0.14876612930532274</v>
          </cell>
          <cell r="Y19">
            <v>0.19218284779621894</v>
          </cell>
          <cell r="Z19">
            <v>0.18051370751186466</v>
          </cell>
          <cell r="AA19">
            <v>0.19497397156393154</v>
          </cell>
          <cell r="AB19">
            <v>0.162644998408636</v>
          </cell>
          <cell r="AC19">
            <v>0.1144952628363021</v>
          </cell>
          <cell r="AD19">
            <v>9.3655488577306531E-2</v>
          </cell>
          <cell r="AE19">
            <v>0.19829896332079275</v>
          </cell>
          <cell r="AF19">
            <v>0.17458246656157086</v>
          </cell>
          <cell r="AG19">
            <v>0.11632829840217916</v>
          </cell>
          <cell r="AH19">
            <v>0.12751039897748831</v>
          </cell>
          <cell r="AI19">
            <v>0.13935465322797205</v>
          </cell>
          <cell r="AJ19">
            <v>0.13095498503994843</v>
          </cell>
          <cell r="AK19">
            <v>8.6521351367722169E-2</v>
          </cell>
          <cell r="AL19">
            <v>7.9236595676894131E-2</v>
          </cell>
          <cell r="AM19">
            <v>7.4094785617898964E-2</v>
          </cell>
          <cell r="AN19">
            <v>9.1552040307978075E-2</v>
          </cell>
          <cell r="AO19">
            <v>0.125905818316072</v>
          </cell>
          <cell r="AP19">
            <v>0.12712312579370424</v>
          </cell>
          <cell r="AQ19">
            <v>0.15661571173245523</v>
          </cell>
          <cell r="AR19">
            <v>0.14463226155475886</v>
          </cell>
          <cell r="AS19">
            <v>0.15563167863036556</v>
          </cell>
          <cell r="AT19">
            <v>0.13797374192325967</v>
          </cell>
          <cell r="AU19">
            <v>8.3435456446314352E-2</v>
          </cell>
          <cell r="AV19">
            <v>9.2410342891954877E-2</v>
          </cell>
          <cell r="AW19">
            <v>9.9241817091371934E-2</v>
          </cell>
          <cell r="AX19">
            <v>0.11782841330271737</v>
          </cell>
          <cell r="AY19">
            <v>0.10131253518359029</v>
          </cell>
          <cell r="AZ19">
            <v>0.12780194782818813</v>
          </cell>
          <cell r="BA19">
            <v>0.1368713569851881</v>
          </cell>
          <cell r="BB19">
            <v>0.14176325937553796</v>
          </cell>
        </row>
        <row r="20">
          <cell r="A20" t="str">
            <v>Futures Price ($/bu.)</v>
          </cell>
          <cell r="B20">
            <v>2.7959113775050271</v>
          </cell>
          <cell r="C20">
            <v>2.4597410166143292</v>
          </cell>
          <cell r="D20">
            <v>2.3133003372644394</v>
          </cell>
          <cell r="E20">
            <v>2.5220898799204869</v>
          </cell>
          <cell r="F20">
            <v>2.8444248258574629</v>
          </cell>
          <cell r="G20">
            <v>3.5727504186052528</v>
          </cell>
          <cell r="H20">
            <v>2.7236122837561627</v>
          </cell>
          <cell r="I20">
            <v>2.7843485503118797</v>
          </cell>
          <cell r="J20">
            <v>3.3739940382081692</v>
          </cell>
          <cell r="K20">
            <v>2.6950056445874235</v>
          </cell>
          <cell r="L20">
            <v>2.2330436626398011</v>
          </cell>
          <cell r="M20">
            <v>1.6783132534481791</v>
          </cell>
          <cell r="N20">
            <v>2.2067229625447022</v>
          </cell>
          <cell r="O20">
            <v>2.6905873580113</v>
          </cell>
          <cell r="P20">
            <v>2.5407304268163822</v>
          </cell>
          <cell r="Q20">
            <v>2.4014786006931028</v>
          </cell>
          <cell r="R20">
            <v>2.5089397638942548</v>
          </cell>
          <cell r="S20">
            <v>2.2215860230698619</v>
          </cell>
          <cell r="T20">
            <v>2.6499460672432069</v>
          </cell>
          <cell r="U20">
            <v>2.4552318092662491</v>
          </cell>
          <cell r="V20">
            <v>3.8200193181818176</v>
          </cell>
          <cell r="W20">
            <v>2.7844659435974659</v>
          </cell>
          <cell r="X20">
            <v>2.56971982277829</v>
          </cell>
          <cell r="Y20">
            <v>2.1564569511311218</v>
          </cell>
          <cell r="Z20">
            <v>2.0976996175385758</v>
          </cell>
          <cell r="AA20">
            <v>2.0871677634055499</v>
          </cell>
          <cell r="AB20">
            <v>2.1544114771447722</v>
          </cell>
          <cell r="AC20">
            <v>2.3890597483497946</v>
          </cell>
          <cell r="AD20">
            <v>2.6354092450328719</v>
          </cell>
          <cell r="AE20">
            <v>2.1178530722805036</v>
          </cell>
          <cell r="AF20">
            <v>2.2336493611746757</v>
          </cell>
          <cell r="AG20">
            <v>3.5580939425308995</v>
          </cell>
          <cell r="AH20">
            <v>5.1489198528270608</v>
          </cell>
          <cell r="AI20">
            <v>3.9259184500695095</v>
          </cell>
          <cell r="AJ20">
            <v>3.718348181842948</v>
          </cell>
          <cell r="AK20">
            <v>6.4747372201501783</v>
          </cell>
          <cell r="AL20">
            <v>6.5657218379446647</v>
          </cell>
          <cell r="AM20">
            <v>6.7369059550845156</v>
          </cell>
          <cell r="AN20">
            <v>4.4078519389052344</v>
          </cell>
          <cell r="AO20">
            <v>3.7477780000000003</v>
          </cell>
          <cell r="AP20">
            <v>3.6923565000000007</v>
          </cell>
          <cell r="AQ20">
            <v>3.5996497499999998</v>
          </cell>
          <cell r="AR20">
            <v>3.6309650954419972</v>
          </cell>
          <cell r="AS20">
            <v>3.81277299222887</v>
          </cell>
          <cell r="AT20">
            <v>3.56246710299299</v>
          </cell>
          <cell r="AU20">
            <v>5.2574649953482195</v>
          </cell>
          <cell r="AV20">
            <v>6.4942275760011041</v>
          </cell>
          <cell r="AW20">
            <v>6.2589095339985725</v>
          </cell>
          <cell r="AX20">
            <v>4.4648492095136829</v>
          </cell>
          <cell r="AY20">
            <v>4.4283362377039435</v>
          </cell>
          <cell r="AZ20">
            <v>4.2</v>
          </cell>
          <cell r="BA20">
            <v>3.9000000000000004</v>
          </cell>
          <cell r="BB20">
            <v>3.75</v>
          </cell>
        </row>
        <row r="21">
          <cell r="A21" t="str">
            <v>Farm Price ($/bu.)</v>
          </cell>
          <cell r="B21">
            <v>2.5441916167664669</v>
          </cell>
          <cell r="C21">
            <v>2.2003147208121829</v>
          </cell>
          <cell r="D21">
            <v>1.9925542406311632</v>
          </cell>
          <cell r="E21">
            <v>2.2226640159045732</v>
          </cell>
          <cell r="F21">
            <v>2.4763298969072167</v>
          </cell>
          <cell r="G21">
            <v>3.1184690873405301</v>
          </cell>
          <cell r="H21">
            <v>2.4677788844621515</v>
          </cell>
          <cell r="I21">
            <v>2.5566566866267464</v>
          </cell>
          <cell r="J21">
            <v>3.2089882121807469</v>
          </cell>
          <cell r="K21">
            <v>2.6319475277497468</v>
          </cell>
          <cell r="L21">
            <v>2.2270411233701095</v>
          </cell>
          <cell r="M21">
            <v>1.5039</v>
          </cell>
          <cell r="N21">
            <v>1.9439800000000003</v>
          </cell>
          <cell r="O21">
            <v>2.5421</v>
          </cell>
          <cell r="P21">
            <v>2.3633800000000003</v>
          </cell>
          <cell r="Q21">
            <v>2.2795699999999997</v>
          </cell>
          <cell r="R21">
            <v>2.3682699999999999</v>
          </cell>
          <cell r="S21">
            <v>2.07172</v>
          </cell>
          <cell r="T21">
            <v>2.5043699999999998</v>
          </cell>
          <cell r="U21">
            <v>2.26092</v>
          </cell>
          <cell r="V21">
            <v>3.23997</v>
          </cell>
          <cell r="W21">
            <v>2.7092499999999999</v>
          </cell>
          <cell r="X21">
            <v>2.4323700000000001</v>
          </cell>
          <cell r="Y21">
            <v>1.9418599999999999</v>
          </cell>
          <cell r="Z21">
            <v>1.8172499999999998</v>
          </cell>
          <cell r="AA21">
            <v>1.8481000000000001</v>
          </cell>
          <cell r="AB21">
            <v>1.9722200000000001</v>
          </cell>
          <cell r="AC21">
            <v>2.3162299999999996</v>
          </cell>
          <cell r="AD21">
            <v>2.4198299999999997</v>
          </cell>
          <cell r="AE21">
            <v>2.05932</v>
          </cell>
          <cell r="AF21">
            <v>1.9954800000000001</v>
          </cell>
          <cell r="AG21">
            <v>3.0347899999999997</v>
          </cell>
          <cell r="AH21">
            <v>4.2014700000000005</v>
          </cell>
          <cell r="AI21">
            <v>4.0608900000000006</v>
          </cell>
          <cell r="AJ21">
            <v>3.5487399999999996</v>
          </cell>
          <cell r="AK21">
            <v>5.1840400000000004</v>
          </cell>
          <cell r="AL21">
            <v>6.2199900000000001</v>
          </cell>
          <cell r="AM21">
            <v>6.8923799999999993</v>
          </cell>
          <cell r="AN21">
            <v>4.4624199999999998</v>
          </cell>
          <cell r="AO21">
            <v>3.6957100000000001</v>
          </cell>
          <cell r="AP21">
            <v>3.6142699999999999</v>
          </cell>
          <cell r="AQ21">
            <v>3.35954</v>
          </cell>
          <cell r="AR21">
            <v>3.3613799999999996</v>
          </cell>
          <cell r="AS21">
            <v>3.6105399999999999</v>
          </cell>
          <cell r="AT21">
            <v>3.5614800000000004</v>
          </cell>
          <cell r="AU21">
            <v>4.52677</v>
          </cell>
          <cell r="AV21">
            <v>5.9999600000000006</v>
          </cell>
          <cell r="AW21">
            <v>6.546009999999999</v>
          </cell>
          <cell r="AX21">
            <v>4.5472900000000003</v>
          </cell>
          <cell r="AY21">
            <v>4.2730374447114121</v>
          </cell>
          <cell r="AZ21">
            <v>4.329435786267946</v>
          </cell>
          <cell r="BA21">
            <v>1.6</v>
          </cell>
          <cell r="BB21">
            <v>3.1</v>
          </cell>
        </row>
        <row r="22">
          <cell r="A22" t="str">
            <v>Bold numbers are Jacobsen Projections</v>
          </cell>
          <cell r="B22"/>
          <cell r="C22"/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>
            <v>-5.4568061094765419E-2</v>
          </cell>
          <cell r="AO22">
            <v>5.2068000000000225E-2</v>
          </cell>
          <cell r="AP22">
            <v>7.8086500000000836E-2</v>
          </cell>
          <cell r="AQ22">
            <v>0.24010974999999979</v>
          </cell>
          <cell r="AR22">
            <v>0.2695850954419976</v>
          </cell>
          <cell r="AS22">
            <v>0.20223299222887015</v>
          </cell>
          <cell r="AT22">
            <v>9.8710299298954141E-4</v>
          </cell>
          <cell r="AU22">
            <v>0.73069499534821958</v>
          </cell>
          <cell r="AV22">
            <v>0.49426757600110349</v>
          </cell>
          <cell r="AW22">
            <v>-0.28710046600142647</v>
          </cell>
          <cell r="AX22">
            <v>-8.2440790486317361E-2</v>
          </cell>
          <cell r="AY22">
            <v>0.15529879299253135</v>
          </cell>
          <cell r="AZ22">
            <v>-0.12943578626794583</v>
          </cell>
          <cell r="BA22">
            <v>2.3000000000000003</v>
          </cell>
          <cell r="BB22">
            <v>0.64999999999999991</v>
          </cell>
        </row>
        <row r="77">
          <cell r="AX77">
            <v>3.0671180707399999</v>
          </cell>
          <cell r="AY77">
            <v>2.49894807024</v>
          </cell>
          <cell r="AZ77">
            <v>3.0361219627104408</v>
          </cell>
        </row>
        <row r="78">
          <cell r="AX78">
            <v>3.6447638044199997</v>
          </cell>
          <cell r="AY78">
            <v>1.0068251917400002</v>
          </cell>
          <cell r="AZ78">
            <v>3.5910088428154663</v>
          </cell>
        </row>
        <row r="79">
          <cell r="AX79">
            <v>2.4752843261000006</v>
          </cell>
          <cell r="AY79">
            <v>2.2303324898200003</v>
          </cell>
          <cell r="AZ79">
            <v>2.5776907295926685</v>
          </cell>
        </row>
        <row r="80">
          <cell r="AX80">
            <v>1.5930805758000002</v>
          </cell>
          <cell r="AY80">
            <v>1.2902153573799999</v>
          </cell>
          <cell r="AZ80">
            <v>2.7463038849105215</v>
          </cell>
        </row>
        <row r="81">
          <cell r="AX81">
            <v>2.6243371759799992</v>
          </cell>
          <cell r="AY81">
            <v>2.0875784239400001</v>
          </cell>
          <cell r="AZ81">
            <v>2.6337940153396171</v>
          </cell>
        </row>
        <row r="82">
          <cell r="AX82">
            <v>1.7160052822999998</v>
          </cell>
          <cell r="AY82">
            <v>1.2833299991200002</v>
          </cell>
          <cell r="AZ82">
            <v>2.1089869887411132</v>
          </cell>
        </row>
        <row r="83">
          <cell r="AX83">
            <v>1.5700939509400005</v>
          </cell>
          <cell r="AY83">
            <v>1.1397885852400003</v>
          </cell>
          <cell r="AZ83">
            <v>2.2243210358833374</v>
          </cell>
        </row>
        <row r="84">
          <cell r="AX84">
            <v>2.31347643862</v>
          </cell>
          <cell r="AY84">
            <v>3.0951319125799994</v>
          </cell>
          <cell r="AZ84">
            <v>2.5948903215475272</v>
          </cell>
        </row>
        <row r="85">
          <cell r="AX85">
            <v>3.6250289268000011</v>
          </cell>
          <cell r="AY85">
            <v>1.6196653810200001</v>
          </cell>
          <cell r="AZ85">
            <v>2.0032975156255026</v>
          </cell>
        </row>
        <row r="86">
          <cell r="AX86">
            <v>1.6399277818000002</v>
          </cell>
          <cell r="AY86">
            <v>1.2860739069</v>
          </cell>
          <cell r="AZ86">
            <v>1.4203548013419183</v>
          </cell>
        </row>
        <row r="87">
          <cell r="AX87">
            <v>1.8008892701800001</v>
          </cell>
          <cell r="AY87">
            <v>1.5702159898800001</v>
          </cell>
          <cell r="AZ87">
            <v>1.9061933594333946</v>
          </cell>
        </row>
        <row r="88">
          <cell r="AX88">
            <v>2.4389718363400004</v>
          </cell>
          <cell r="AY88">
            <v>1.3918946921399993</v>
          </cell>
          <cell r="AZ88">
            <v>3.157036542058492</v>
          </cell>
        </row>
        <row r="93">
          <cell r="AX93">
            <v>122.10936434186002</v>
          </cell>
          <cell r="AY93">
            <v>201.38123015962003</v>
          </cell>
          <cell r="AZ93">
            <v>149.4034705046775</v>
          </cell>
        </row>
        <row r="94">
          <cell r="AX94">
            <v>107.11412090812001</v>
          </cell>
          <cell r="AY94">
            <v>171.32519657114</v>
          </cell>
          <cell r="AZ94">
            <v>159.10768217064847</v>
          </cell>
        </row>
        <row r="95">
          <cell r="AX95">
            <v>141.01837296096002</v>
          </cell>
          <cell r="AY95">
            <v>158.85467110768002</v>
          </cell>
          <cell r="AZ95">
            <v>179.21518947732048</v>
          </cell>
        </row>
        <row r="96">
          <cell r="AX96">
            <v>184.75388911994003</v>
          </cell>
          <cell r="AY96">
            <v>188.52826221537998</v>
          </cell>
          <cell r="AZ96">
            <v>217.1351438750639</v>
          </cell>
        </row>
        <row r="97">
          <cell r="AX97">
            <v>163.78452069726001</v>
          </cell>
          <cell r="AY97">
            <v>214.77055924516006</v>
          </cell>
          <cell r="AZ97">
            <v>227.7210827135001</v>
          </cell>
        </row>
        <row r="98">
          <cell r="AX98">
            <v>197.79196257897999</v>
          </cell>
          <cell r="AY98">
            <v>243.38860013013999</v>
          </cell>
          <cell r="AZ98">
            <v>267.91279530576452</v>
          </cell>
        </row>
        <row r="99">
          <cell r="AX99">
            <v>236.75454760478002</v>
          </cell>
          <cell r="AY99">
            <v>238.23858048258001</v>
          </cell>
          <cell r="AZ99">
            <v>343.68122561313118</v>
          </cell>
        </row>
        <row r="100">
          <cell r="AX100">
            <v>252.54912247508005</v>
          </cell>
          <cell r="AY100">
            <v>289.83542786191998</v>
          </cell>
          <cell r="AZ100">
            <v>338.47354008442284</v>
          </cell>
        </row>
        <row r="101">
          <cell r="AX101">
            <v>231.43020517328003</v>
          </cell>
          <cell r="AY101">
            <v>307.25452605040005</v>
          </cell>
          <cell r="AZ101">
            <v>354.57294273510416</v>
          </cell>
        </row>
        <row r="102">
          <cell r="AX102">
            <v>211.68121827712005</v>
          </cell>
          <cell r="AY102">
            <v>287.44009085173997</v>
          </cell>
          <cell r="AZ102">
            <v>277.15255489025446</v>
          </cell>
        </row>
        <row r="103">
          <cell r="AX103">
            <v>210.28926181118001</v>
          </cell>
          <cell r="AY103">
            <v>266.10317657244008</v>
          </cell>
          <cell r="AZ103">
            <v>234.58584517918652</v>
          </cell>
        </row>
        <row r="104">
          <cell r="AX104">
            <v>201.38123015962003</v>
          </cell>
          <cell r="AY104">
            <v>182.87967875179993</v>
          </cell>
          <cell r="AZ104">
            <v>201.03852745092581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4TFJ66IP3RCNHI234Z5ZMLXFC5">
      <xxl21:absoluteUrl r:id="rId2"/>
    </xxl21:alternateUrls>
    <sheetNames>
      <sheetName val="USDA Comp"/>
      <sheetName val="FM World"/>
      <sheetName val="Australia"/>
      <sheetName val="Canada"/>
      <sheetName val="EU27"/>
      <sheetName val="Russia"/>
      <sheetName val="Turkey"/>
      <sheetName val="Ukraine"/>
      <sheetName val="Barley World-Major"/>
      <sheetName val="Historic WASDE MY 202324"/>
      <sheetName val="Historic WASDE MY 202425"/>
      <sheetName val="Historic WASDE MY 202526"/>
      <sheetName val="Historic Fastmarkets MY 202324"/>
      <sheetName val="Historic Fastmarkets MY 202425"/>
      <sheetName val="Historic Fastmarkets MY 202526"/>
    </sheetNames>
    <sheetDataSet>
      <sheetData sheetId="0">
        <row r="6">
          <cell r="C6"/>
        </row>
      </sheetData>
      <sheetData sheetId="1"/>
      <sheetData sheetId="2">
        <row r="5">
          <cell r="B5">
            <v>3.4540470000000001</v>
          </cell>
          <cell r="C5">
            <v>3.7073780000000003</v>
          </cell>
          <cell r="D5">
            <v>3.8637779999999999</v>
          </cell>
          <cell r="E5">
            <v>4.4770240000000001</v>
          </cell>
          <cell r="F5">
            <v>4.6456580000000001</v>
          </cell>
          <cell r="G5">
            <v>4.4057269999999997</v>
          </cell>
          <cell r="H5">
            <v>4.1787969999999994</v>
          </cell>
          <cell r="I5">
            <v>4.9018379999999997</v>
          </cell>
          <cell r="J5">
            <v>5.0150100000000002</v>
          </cell>
          <cell r="K5">
            <v>4.4215969999999993</v>
          </cell>
          <cell r="L5">
            <v>3.6809949999999998</v>
          </cell>
          <cell r="M5">
            <v>3.718089</v>
          </cell>
          <cell r="N5">
            <v>3.644266</v>
          </cell>
          <cell r="O5">
            <v>3.8140130000000001</v>
          </cell>
          <cell r="P5">
            <v>4.0780409999999998</v>
          </cell>
          <cell r="Q5">
            <v>4.1076480000000002</v>
          </cell>
          <cell r="R5">
            <v>4.8341019999999997</v>
          </cell>
          <cell r="S5">
            <v>4.1241490000000001</v>
          </cell>
          <cell r="T5">
            <v>4.4365879999999995</v>
          </cell>
          <cell r="U5">
            <v>5.0409030000000001</v>
          </cell>
          <cell r="V5">
            <v>5.491009</v>
          </cell>
          <cell r="W5">
            <v>5.0945270000000002</v>
          </cell>
        </row>
        <row r="8">
          <cell r="B8">
            <v>0.38700000000000001</v>
          </cell>
        </row>
        <row r="9">
          <cell r="B9">
            <v>6.7434629999999993</v>
          </cell>
          <cell r="C9">
            <v>8.2797689999999999</v>
          </cell>
          <cell r="D9">
            <v>3.864833</v>
          </cell>
          <cell r="E9">
            <v>10.381827999999999</v>
          </cell>
          <cell r="F9">
            <v>7.7397669999999996</v>
          </cell>
          <cell r="G9">
            <v>9.4817409999999995</v>
          </cell>
          <cell r="H9">
            <v>4.2570320000000006</v>
          </cell>
          <cell r="I9">
            <v>7.1601679999999996</v>
          </cell>
          <cell r="J9">
            <v>7.9965060000000001</v>
          </cell>
          <cell r="K9">
            <v>7.8645510000000005</v>
          </cell>
          <cell r="L9">
            <v>7.9947189999999999</v>
          </cell>
          <cell r="M9">
            <v>8.2208610000000011</v>
          </cell>
          <cell r="N9">
            <v>7.4713819999999993</v>
          </cell>
          <cell r="O9">
            <v>9.1742070000000009</v>
          </cell>
          <cell r="P9">
            <v>8.6463210000000004</v>
          </cell>
          <cell r="Q9">
            <v>8.9922740000000001</v>
          </cell>
          <cell r="R9">
            <v>13.505990000000001</v>
          </cell>
          <cell r="S9">
            <v>9.2538289999999996</v>
          </cell>
          <cell r="T9">
            <v>8.8189460000000004</v>
          </cell>
          <cell r="U9">
            <v>10.127174999999999</v>
          </cell>
          <cell r="V9">
            <v>14.648581</v>
          </cell>
          <cell r="W9">
            <v>14.377284</v>
          </cell>
        </row>
        <row r="13">
          <cell r="B13">
            <v>0.73316800000000004</v>
          </cell>
          <cell r="C13">
            <v>0.82613000000000003</v>
          </cell>
          <cell r="D13">
            <v>0.74853399999999992</v>
          </cell>
          <cell r="E13">
            <v>0.69094500000000003</v>
          </cell>
          <cell r="F13">
            <v>0.80174199999999995</v>
          </cell>
          <cell r="G13">
            <v>0.81195400000000006</v>
          </cell>
          <cell r="H13">
            <v>0.87941700000000012</v>
          </cell>
          <cell r="I13">
            <v>0.77432499999999993</v>
          </cell>
          <cell r="J13">
            <v>0.90102800000000005</v>
          </cell>
          <cell r="K13">
            <v>1.0343549999999999</v>
          </cell>
          <cell r="L13">
            <v>1.032686</v>
          </cell>
          <cell r="M13">
            <v>1.036008</v>
          </cell>
          <cell r="N13">
            <v>1.0283689999999999</v>
          </cell>
          <cell r="O13">
            <v>1.1164879999999999</v>
          </cell>
          <cell r="P13">
            <v>1.115156</v>
          </cell>
          <cell r="Q13">
            <v>1.082465</v>
          </cell>
          <cell r="R13">
            <v>1.1144130000000001</v>
          </cell>
          <cell r="S13">
            <v>1.1003540000000001</v>
          </cell>
          <cell r="T13">
            <v>1.2731589999999999</v>
          </cell>
          <cell r="U13">
            <v>1.2529049999999999</v>
          </cell>
          <cell r="V13">
            <v>1.2707459999999999</v>
          </cell>
          <cell r="W13">
            <v>1.3142849999999999</v>
          </cell>
        </row>
        <row r="14">
          <cell r="B14">
            <v>0.16683199999999998</v>
          </cell>
          <cell r="C14">
            <v>0.17387</v>
          </cell>
          <cell r="D14">
            <v>0.20146600000000001</v>
          </cell>
          <cell r="E14">
            <v>0.20905500000000002</v>
          </cell>
          <cell r="F14">
            <v>0.19825800000000002</v>
          </cell>
          <cell r="G14">
            <v>0.18804599999999999</v>
          </cell>
          <cell r="H14">
            <v>0.220583</v>
          </cell>
          <cell r="I14">
            <v>0.22567500000000001</v>
          </cell>
          <cell r="J14">
            <v>0.19897200000000001</v>
          </cell>
          <cell r="K14">
            <v>0.16564500000000001</v>
          </cell>
          <cell r="L14">
            <v>0.16731399999999999</v>
          </cell>
          <cell r="M14">
            <v>0.163992</v>
          </cell>
          <cell r="N14">
            <v>0.17163100000000001</v>
          </cell>
          <cell r="O14">
            <v>0.18351200000000001</v>
          </cell>
          <cell r="P14">
            <v>0.18484399999999998</v>
          </cell>
          <cell r="Q14">
            <v>0.21753500000000001</v>
          </cell>
          <cell r="R14">
            <v>0.185587</v>
          </cell>
          <cell r="S14">
            <v>0.19964599999999999</v>
          </cell>
          <cell r="T14">
            <v>0.22684100000000001</v>
          </cell>
          <cell r="U14">
            <v>0.24709500000000001</v>
          </cell>
          <cell r="V14">
            <v>0.22925399999999999</v>
          </cell>
          <cell r="W14">
            <v>0.18571499999999999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3.3168099999999998</v>
          </cell>
          <cell r="N16">
            <v>4.622204</v>
          </cell>
          <cell r="O16">
            <v>6.2606299999999999</v>
          </cell>
          <cell r="P16">
            <v>5.2662060000000004</v>
          </cell>
          <cell r="Q16">
            <v>6.301410999999999</v>
          </cell>
          <cell r="R16">
            <v>9.1915069999999996</v>
          </cell>
          <cell r="S16">
            <v>6.0879609999999991</v>
          </cell>
          <cell r="T16">
            <v>3.6659999999999999</v>
          </cell>
          <cell r="U16">
            <v>3.2281719999999998</v>
          </cell>
          <cell r="V16">
            <v>8.0035669999999985</v>
          </cell>
          <cell r="W16">
            <v>8.2334549999999993</v>
          </cell>
        </row>
        <row r="18">
          <cell r="B18">
            <v>0.96299999999999997</v>
          </cell>
          <cell r="C18">
            <v>1.7669999999999999</v>
          </cell>
          <cell r="D18">
            <v>0.94799999999999995</v>
          </cell>
          <cell r="E18">
            <v>1.887</v>
          </cell>
          <cell r="F18">
            <v>1.8660000000000001</v>
          </cell>
          <cell r="G18">
            <v>2.5819999999999999</v>
          </cell>
          <cell r="H18">
            <v>0.98799999999999999</v>
          </cell>
          <cell r="I18">
            <v>1.661</v>
          </cell>
          <cell r="J18">
            <v>2.423</v>
          </cell>
          <cell r="K18">
            <v>1.873</v>
          </cell>
          <cell r="L18">
            <v>1.004</v>
          </cell>
          <cell r="M18">
            <v>0.54800000000000004</v>
          </cell>
          <cell r="N18">
            <v>0.53600000000000003</v>
          </cell>
          <cell r="O18">
            <v>0.69299999999999995</v>
          </cell>
          <cell r="P18">
            <v>1.1200000000000001</v>
          </cell>
          <cell r="Q18">
            <v>1.0680000000000001</v>
          </cell>
          <cell r="R18">
            <v>1.8839999999999999</v>
          </cell>
          <cell r="S18">
            <v>1.776</v>
          </cell>
          <cell r="T18">
            <v>1.9079999999999999</v>
          </cell>
          <cell r="U18">
            <v>2.7109999999999999</v>
          </cell>
          <cell r="V18">
            <v>2.5179999999999998</v>
          </cell>
          <cell r="W18">
            <v>2.8479999999999999</v>
          </cell>
        </row>
        <row r="39">
          <cell r="B39"/>
          <cell r="C39"/>
          <cell r="D39"/>
          <cell r="E39"/>
          <cell r="F39"/>
          <cell r="G39"/>
          <cell r="H39"/>
          <cell r="I39"/>
          <cell r="J39"/>
          <cell r="K39"/>
          <cell r="L39"/>
          <cell r="M39">
            <v>3316.81</v>
          </cell>
          <cell r="N39">
            <v>4622.2039999999997</v>
          </cell>
          <cell r="O39">
            <v>6260.63</v>
          </cell>
          <cell r="P39">
            <v>5266.2060000000001</v>
          </cell>
          <cell r="Q39">
            <v>6301.4109999999991</v>
          </cell>
          <cell r="R39">
            <v>9191.5069999999996</v>
          </cell>
          <cell r="S39">
            <v>6087.9609999999993</v>
          </cell>
          <cell r="T39">
            <v>3666</v>
          </cell>
          <cell r="U39">
            <v>3228.172</v>
          </cell>
          <cell r="V39">
            <v>8003.5669999999991</v>
          </cell>
          <cell r="W39">
            <v>8233.4549999999999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</row>
      </sheetData>
      <sheetData sheetId="3">
        <row r="5">
          <cell r="F5">
            <v>4.4680999999999997</v>
          </cell>
          <cell r="G5">
            <v>4.1494999999999997</v>
          </cell>
          <cell r="H5">
            <v>3.3418000000000001</v>
          </cell>
          <cell r="I5">
            <v>4.3971</v>
          </cell>
          <cell r="J5">
            <v>3.8407</v>
          </cell>
          <cell r="K5">
            <v>3.6339999999999999</v>
          </cell>
          <cell r="L5">
            <v>3.2229000000000001</v>
          </cell>
          <cell r="M5">
            <v>3.9632999999999998</v>
          </cell>
          <cell r="N5">
            <v>3.5036</v>
          </cell>
          <cell r="O5">
            <v>2.9216000000000002</v>
          </cell>
          <cell r="P5">
            <v>2.3940999999999999</v>
          </cell>
          <cell r="Q5">
            <v>2.4015</v>
          </cell>
          <cell r="R5">
            <v>2.7646999999999999</v>
          </cell>
          <cell r="S5">
            <v>2.6873999999999998</v>
          </cell>
          <cell r="T5">
            <v>2.1671999999999998</v>
          </cell>
          <cell r="U5">
            <v>2.3523000000000001</v>
          </cell>
          <cell r="V5">
            <v>2.2656999999999998</v>
          </cell>
          <cell r="W5">
            <v>2.1135000000000002</v>
          </cell>
          <cell r="X5">
            <v>2.395</v>
          </cell>
          <cell r="Y5">
            <v>2.7275</v>
          </cell>
          <cell r="Z5">
            <v>2.8087</v>
          </cell>
          <cell r="AA5">
            <v>3.0110999999999999</v>
          </cell>
        </row>
        <row r="8">
          <cell r="F8">
            <v>2.8380000000000001</v>
          </cell>
        </row>
        <row r="9">
          <cell r="B9">
            <v>15.561999999999999</v>
          </cell>
          <cell r="C9">
            <v>13.533899999999999</v>
          </cell>
          <cell r="D9">
            <v>12.7087</v>
          </cell>
          <cell r="E9">
            <v>13.196</v>
          </cell>
          <cell r="F9">
            <v>13.2286</v>
          </cell>
          <cell r="G9">
            <v>10.845599999999999</v>
          </cell>
          <cell r="H9">
            <v>7.4676999999999998</v>
          </cell>
          <cell r="I9">
            <v>12.164199999999999</v>
          </cell>
          <cell r="J9">
            <v>12.556699999999999</v>
          </cell>
          <cell r="K9">
            <v>11.6776</v>
          </cell>
          <cell r="L9">
            <v>9.5731000000000002</v>
          </cell>
          <cell r="M9">
            <v>10.909800000000001</v>
          </cell>
          <cell r="N9">
            <v>11.7858</v>
          </cell>
          <cell r="O9">
            <v>9.5282</v>
          </cell>
          <cell r="P9">
            <v>7.6272000000000002</v>
          </cell>
          <cell r="Q9">
            <v>7.8914999999999997</v>
          </cell>
          <cell r="R9">
            <v>8.0122999999999998</v>
          </cell>
          <cell r="S9">
            <v>10.281599999999999</v>
          </cell>
          <cell r="T9">
            <v>7.1167999999999996</v>
          </cell>
          <cell r="U9">
            <v>8.2566000000000006</v>
          </cell>
          <cell r="V9">
            <v>8.8393999999999995</v>
          </cell>
          <cell r="W9">
            <v>7.8913000000000002</v>
          </cell>
        </row>
        <row r="14">
          <cell r="B14">
            <v>1.3807</v>
          </cell>
          <cell r="C14">
            <v>1.3291000000000002</v>
          </cell>
          <cell r="D14">
            <v>1.3405</v>
          </cell>
          <cell r="E14">
            <v>1.4950000000000001</v>
          </cell>
          <cell r="F14">
            <v>1.4733000000000001</v>
          </cell>
          <cell r="G14">
            <v>1.4193</v>
          </cell>
          <cell r="H14">
            <v>1.3860999999999999</v>
          </cell>
          <cell r="I14">
            <v>1.3573999999999999</v>
          </cell>
          <cell r="J14">
            <v>1.3227000000000002</v>
          </cell>
          <cell r="K14">
            <v>1.2383</v>
          </cell>
          <cell r="L14">
            <v>1.4226000000000001</v>
          </cell>
          <cell r="M14">
            <v>1.4536</v>
          </cell>
          <cell r="N14">
            <v>1.3440000000000001</v>
          </cell>
          <cell r="O14">
            <v>1.1933</v>
          </cell>
          <cell r="P14">
            <v>1.1541999999999999</v>
          </cell>
          <cell r="Q14">
            <v>1.1842000000000001</v>
          </cell>
          <cell r="R14">
            <v>1.1142999999999998</v>
          </cell>
          <cell r="S14">
            <v>1.1240000000000001</v>
          </cell>
          <cell r="T14">
            <v>1.1941999999999999</v>
          </cell>
          <cell r="U14">
            <v>1.1804999999999999</v>
          </cell>
          <cell r="V14">
            <v>1.1395000000000002</v>
          </cell>
          <cell r="W14">
            <v>1.091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4.0000000000000001E-3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0.78858600000000001</v>
          </cell>
          <cell r="R15">
            <v>1.4324619999999999</v>
          </cell>
          <cell r="S15">
            <v>1.5607760000000002</v>
          </cell>
          <cell r="T15">
            <v>1.5165250000000001</v>
          </cell>
          <cell r="U15">
            <v>1.194593</v>
          </cell>
          <cell r="V15">
            <v>1.546308</v>
          </cell>
          <cell r="W15">
            <v>2.0205980000000001</v>
          </cell>
        </row>
        <row r="17">
          <cell r="F17">
            <v>2.516</v>
          </cell>
          <cell r="G17">
            <v>2.0475000000000003</v>
          </cell>
          <cell r="H17">
            <v>1.4748000000000001</v>
          </cell>
          <cell r="I17">
            <v>2.1020000000000003</v>
          </cell>
          <cell r="J17">
            <v>3.4351000000000003</v>
          </cell>
          <cell r="K17">
            <v>3.2887</v>
          </cell>
          <cell r="L17">
            <v>1.4906999999999999</v>
          </cell>
          <cell r="M17">
            <v>1.5684</v>
          </cell>
          <cell r="N17">
            <v>2.9636</v>
          </cell>
          <cell r="O17">
            <v>2.5015999999999998</v>
          </cell>
          <cell r="P17">
            <v>1.5019</v>
          </cell>
          <cell r="Q17">
            <v>1.1954</v>
          </cell>
          <cell r="R17">
            <v>0.98340000000000005</v>
          </cell>
          <cell r="S17">
            <v>1.9420000000000002</v>
          </cell>
          <cell r="T17">
            <v>1.2172999999999998</v>
          </cell>
          <cell r="U17">
            <v>1.4427000000000001</v>
          </cell>
          <cell r="V17">
            <v>2.1217999999999999</v>
          </cell>
          <cell r="W17">
            <v>1.2444</v>
          </cell>
          <cell r="X17">
            <v>0.86260000000000003</v>
          </cell>
          <cell r="Y17">
            <v>0.95649999999999991</v>
          </cell>
          <cell r="Z17">
            <v>0.7108000000000001</v>
          </cell>
          <cell r="AA17">
            <v>0.54279999999999995</v>
          </cell>
        </row>
        <row r="89">
          <cell r="F89">
            <v>4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1.5249999999999999</v>
          </cell>
          <cell r="R89">
            <v>19.041</v>
          </cell>
          <cell r="S89">
            <v>8.972999999999999</v>
          </cell>
          <cell r="T89">
            <v>136.07600000000002</v>
          </cell>
          <cell r="U89">
            <v>141.11699999999999</v>
          </cell>
          <cell r="V89">
            <v>63.944999999999993</v>
          </cell>
          <cell r="W89">
            <v>58.916999999999987</v>
          </cell>
          <cell r="X89">
            <v>42.905000000000001</v>
          </cell>
          <cell r="Y89">
            <v>63.279999999999994</v>
          </cell>
          <cell r="Z89">
            <v>294.21999999999997</v>
          </cell>
          <cell r="AA89">
            <v>228.124</v>
          </cell>
        </row>
        <row r="105">
          <cell r="F105">
            <v>4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788.58600000000001</v>
          </cell>
          <cell r="R105">
            <v>1432.462</v>
          </cell>
          <cell r="S105">
            <v>1560.7760000000001</v>
          </cell>
          <cell r="T105">
            <v>1516.5250000000001</v>
          </cell>
          <cell r="U105">
            <v>1194.5930000000001</v>
          </cell>
          <cell r="V105">
            <v>1546.308</v>
          </cell>
          <cell r="W105">
            <v>2020.598</v>
          </cell>
          <cell r="X105">
            <v>2272.1140000000005</v>
          </cell>
          <cell r="Y105">
            <v>2244.078</v>
          </cell>
          <cell r="Z105">
            <v>3534.116</v>
          </cell>
          <cell r="AA105">
            <v>1981.4229999999998</v>
          </cell>
        </row>
      </sheetData>
      <sheetData sheetId="4">
        <row r="5">
          <cell r="B5">
            <v>13.073930000000002</v>
          </cell>
          <cell r="C5">
            <v>13.173830000000004</v>
          </cell>
          <cell r="D5">
            <v>13.247529999999998</v>
          </cell>
          <cell r="E5">
            <v>12.964810000000002</v>
          </cell>
          <cell r="F5">
            <v>12.804740000000002</v>
          </cell>
          <cell r="G5">
            <v>12.92877</v>
          </cell>
          <cell r="H5">
            <v>12.936850000000002</v>
          </cell>
          <cell r="I5">
            <v>12.908959999999999</v>
          </cell>
          <cell r="J5">
            <v>13.519250000000003</v>
          </cell>
          <cell r="K5">
            <v>12.829709999999999</v>
          </cell>
          <cell r="L5">
            <v>11.311856666666664</v>
          </cell>
          <cell r="M5">
            <v>10.9124</v>
          </cell>
          <cell r="N5">
            <v>11.297780000000001</v>
          </cell>
          <cell r="O5">
            <v>11.509349999999996</v>
          </cell>
          <cell r="P5">
            <v>11.348899999999999</v>
          </cell>
          <cell r="Q5">
            <v>11.127010000000002</v>
          </cell>
          <cell r="R5">
            <v>11.180690000000002</v>
          </cell>
          <cell r="S5">
            <v>10.862730000000001</v>
          </cell>
          <cell r="T5">
            <v>11.144819999999999</v>
          </cell>
          <cell r="U5">
            <v>11.138969999999997</v>
          </cell>
          <cell r="V5">
            <v>11.018569999999999</v>
          </cell>
          <cell r="W5">
            <v>10.267849999999999</v>
          </cell>
        </row>
        <row r="8">
          <cell r="B8"/>
        </row>
        <row r="9">
          <cell r="B9">
            <v>53.351851544999995</v>
          </cell>
          <cell r="C9">
            <v>52.324429500000001</v>
          </cell>
          <cell r="D9">
            <v>52.452719685000019</v>
          </cell>
          <cell r="E9">
            <v>49.039133910000004</v>
          </cell>
          <cell r="F9">
            <v>58.234334654999998</v>
          </cell>
          <cell r="G9">
            <v>48.876061905000007</v>
          </cell>
          <cell r="H9">
            <v>50.56012465500001</v>
          </cell>
          <cell r="I9">
            <v>52.669649970000002</v>
          </cell>
          <cell r="J9">
            <v>59.063288145000001</v>
          </cell>
          <cell r="K9">
            <v>55.195079789999994</v>
          </cell>
          <cell r="L9">
            <v>47.45132598</v>
          </cell>
          <cell r="M9">
            <v>45.977966895000002</v>
          </cell>
          <cell r="N9">
            <v>49.059072975000007</v>
          </cell>
          <cell r="O9">
            <v>52.313671724999992</v>
          </cell>
          <cell r="P9">
            <v>53.313421005000002</v>
          </cell>
          <cell r="Q9">
            <v>54.166983524999999</v>
          </cell>
          <cell r="R9">
            <v>52.870349400000009</v>
          </cell>
          <cell r="S9">
            <v>51.210627974999987</v>
          </cell>
          <cell r="T9">
            <v>49.506328710000005</v>
          </cell>
          <cell r="U9">
            <v>55.041932700000004</v>
          </cell>
          <cell r="V9">
            <v>53.937094335000012</v>
          </cell>
          <cell r="W9">
            <v>51.44259931500001</v>
          </cell>
        </row>
        <row r="13">
          <cell r="B13"/>
          <cell r="C13"/>
          <cell r="D13"/>
          <cell r="E13"/>
          <cell r="F13"/>
          <cell r="G13">
            <v>0.34</v>
          </cell>
          <cell r="H13">
            <v>0.35</v>
          </cell>
          <cell r="I13">
            <v>0.35146999999999995</v>
          </cell>
          <cell r="J13">
            <v>0.35294617399999995</v>
          </cell>
          <cell r="K13">
            <v>0.35442854793079992</v>
          </cell>
          <cell r="L13">
            <v>0.35591714783210926</v>
          </cell>
          <cell r="M13">
            <v>0.35698128631156184</v>
          </cell>
          <cell r="N13">
            <v>0.35583011112533325</v>
          </cell>
          <cell r="O13">
            <v>0.3563995731716626</v>
          </cell>
          <cell r="P13">
            <v>0.35771302056137083</v>
          </cell>
          <cell r="Q13">
            <v>0.35834538068215716</v>
          </cell>
          <cell r="R13">
            <v>0.35926293140188914</v>
          </cell>
          <cell r="S13">
            <v>0.35985383762569534</v>
          </cell>
          <cell r="T13">
            <v>0.360398323464864</v>
          </cell>
          <cell r="U13">
            <v>0.360398323464864</v>
          </cell>
          <cell r="V13">
            <v>0.361250553846928</v>
          </cell>
          <cell r="W13">
            <v>0.36101445627982404</v>
          </cell>
        </row>
        <row r="14">
          <cell r="B14"/>
          <cell r="C14"/>
          <cell r="D14"/>
          <cell r="E14"/>
          <cell r="F14"/>
          <cell r="G14">
            <v>2.5050000000000003</v>
          </cell>
          <cell r="H14">
            <v>2.5003418784866174</v>
          </cell>
          <cell r="I14">
            <v>2.6363155267099354</v>
          </cell>
          <cell r="J14">
            <v>2.5311906053962523</v>
          </cell>
          <cell r="K14">
            <v>2.2168308406954775</v>
          </cell>
          <cell r="L14">
            <v>2.1606914139660067</v>
          </cell>
          <cell r="M14">
            <v>2.1063667940660924</v>
          </cell>
          <cell r="N14">
            <v>2.2127954582558549</v>
          </cell>
          <cell r="O14">
            <v>2.1894543949640917</v>
          </cell>
          <cell r="P14">
            <v>2.2008780108346486</v>
          </cell>
          <cell r="Q14">
            <v>2.2620733443313288</v>
          </cell>
          <cell r="R14">
            <v>2.2620733443313288</v>
          </cell>
          <cell r="S14">
            <v>2.1305147806906897</v>
          </cell>
          <cell r="T14">
            <v>2.1305147806906897</v>
          </cell>
          <cell r="U14">
            <v>2.1305147806906897</v>
          </cell>
          <cell r="V14">
            <v>2.1305147806906897</v>
          </cell>
          <cell r="W14">
            <v>2.1305147806906897</v>
          </cell>
        </row>
        <row r="15">
          <cell r="B15"/>
          <cell r="C15"/>
          <cell r="D15"/>
          <cell r="E15"/>
          <cell r="F15"/>
          <cell r="G15">
            <v>7.4271999999999991</v>
          </cell>
          <cell r="H15">
            <v>7.33</v>
          </cell>
          <cell r="I15">
            <v>7.2816999999999998</v>
          </cell>
          <cell r="J15">
            <v>6.9566999999999997</v>
          </cell>
          <cell r="K15">
            <v>7.3078000000000003</v>
          </cell>
          <cell r="L15">
            <v>7.2703000000000007</v>
          </cell>
          <cell r="M15">
            <v>6.978737407956995</v>
          </cell>
          <cell r="N15">
            <v>7.0270283399270399</v>
          </cell>
          <cell r="O15">
            <v>6.9915533484312586</v>
          </cell>
          <cell r="P15">
            <v>7.0261980312957801</v>
          </cell>
          <cell r="Q15">
            <v>7.1780257040299995</v>
          </cell>
          <cell r="R15">
            <v>7.198480947251948</v>
          </cell>
          <cell r="S15">
            <v>7.2087717391865</v>
          </cell>
          <cell r="T15">
            <v>6.7</v>
          </cell>
          <cell r="U15">
            <v>6.7</v>
          </cell>
          <cell r="V15">
            <v>6</v>
          </cell>
          <cell r="W15">
            <v>6.7</v>
          </cell>
        </row>
        <row r="18">
          <cell r="B18"/>
          <cell r="C18"/>
          <cell r="D18"/>
          <cell r="E18"/>
          <cell r="F18"/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0.97069712199999958</v>
          </cell>
          <cell r="N18">
            <v>5.2226328240000006</v>
          </cell>
          <cell r="O18">
            <v>5.4954357520000032</v>
          </cell>
          <cell r="P18">
            <v>9.3650184379999999</v>
          </cell>
          <cell r="Q18">
            <v>10.451539392999997</v>
          </cell>
          <cell r="R18">
            <v>5.7615928599999995</v>
          </cell>
          <cell r="S18">
            <v>6.0702971260000007</v>
          </cell>
          <cell r="T18">
            <v>5.0024469990000018</v>
          </cell>
          <cell r="U18">
            <v>8.1591400000000007</v>
          </cell>
          <cell r="V18">
            <v>7.6132000000000009</v>
          </cell>
          <cell r="W18">
            <v>7.4058060000000001</v>
          </cell>
        </row>
        <row r="20">
          <cell r="B20"/>
          <cell r="C20"/>
          <cell r="D20"/>
          <cell r="E20"/>
          <cell r="F20"/>
          <cell r="G20">
            <v>8.4204404531757078</v>
          </cell>
          <cell r="H20">
            <v>5.9222043066890961</v>
          </cell>
          <cell r="I20">
            <v>7.419407784979164</v>
          </cell>
          <cell r="J20">
            <v>13.115696580582899</v>
          </cell>
          <cell r="K20">
            <v>17.228846476389478</v>
          </cell>
          <cell r="L20">
            <v>8.2152969235913673</v>
          </cell>
          <cell r="M20">
            <v>6.4644517362567271</v>
          </cell>
          <cell r="N20">
            <v>3.9281118619485014</v>
          </cell>
          <cell r="O20">
            <v>6.0242071523814786</v>
          </cell>
          <cell r="P20">
            <v>5.5198660696896908</v>
          </cell>
          <cell r="Q20">
            <v>4.3585724466462068</v>
          </cell>
          <cell r="R20">
            <v>2.2340761676610512</v>
          </cell>
          <cell r="S20">
            <v>0.34184853582482333</v>
          </cell>
          <cell r="T20">
            <v>2.0092701976692808</v>
          </cell>
          <cell r="U20">
            <v>4.4013867843137291</v>
          </cell>
          <cell r="V20">
            <v>4.5555254835561172</v>
          </cell>
          <cell r="W20">
            <v>4.069358979465612</v>
          </cell>
        </row>
        <row r="41">
          <cell r="B41"/>
          <cell r="C41"/>
          <cell r="D41"/>
          <cell r="E41"/>
          <cell r="F41"/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970.69712199999958</v>
          </cell>
          <cell r="N41">
            <v>5222.6328240000003</v>
          </cell>
          <cell r="O41">
            <v>5495.435752000003</v>
          </cell>
          <cell r="P41">
            <v>9365.0184379999992</v>
          </cell>
          <cell r="Q41">
            <v>10451.539392999997</v>
          </cell>
          <cell r="R41">
            <v>5761.5928599999997</v>
          </cell>
          <cell r="S41">
            <v>6070.2971260000004</v>
          </cell>
          <cell r="T41">
            <v>5002.4469990000016</v>
          </cell>
          <cell r="U41">
            <v>8159.14</v>
          </cell>
          <cell r="V41">
            <v>7613.2000000000007</v>
          </cell>
          <cell r="W41">
            <v>7405.8060000000005</v>
          </cell>
        </row>
        <row r="57">
          <cell r="B57"/>
          <cell r="C57"/>
          <cell r="D57"/>
          <cell r="E57"/>
          <cell r="F57"/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608.1858460000002</v>
          </cell>
          <cell r="N57">
            <v>390.2010919999999</v>
          </cell>
          <cell r="O57">
            <v>658.29957399999989</v>
          </cell>
          <cell r="P57">
            <v>790.08147800000006</v>
          </cell>
          <cell r="Q57">
            <v>1396.0610519999996</v>
          </cell>
          <cell r="R57">
            <v>1256.233346</v>
          </cell>
          <cell r="S57">
            <v>1394.7077670000001</v>
          </cell>
          <cell r="T57">
            <v>862.12196599999959</v>
          </cell>
          <cell r="U57">
            <v>1831.925</v>
          </cell>
          <cell r="V57">
            <v>1210.5960000000002</v>
          </cell>
          <cell r="W57">
            <v>979.98900000000003</v>
          </cell>
        </row>
      </sheetData>
      <sheetData sheetId="5">
        <row r="5">
          <cell r="B5">
            <v>8.4600000000000009</v>
          </cell>
          <cell r="C5">
            <v>9.7100000000000009</v>
          </cell>
          <cell r="D5">
            <v>9.49</v>
          </cell>
          <cell r="E5">
            <v>9.25</v>
          </cell>
          <cell r="F5">
            <v>9.57</v>
          </cell>
          <cell r="G5">
            <v>8.6999999999999993</v>
          </cell>
          <cell r="H5">
            <v>9.6</v>
          </cell>
          <cell r="I5">
            <v>8.36</v>
          </cell>
          <cell r="J5">
            <v>9.44</v>
          </cell>
          <cell r="K5">
            <v>7.72</v>
          </cell>
          <cell r="L5">
            <v>4.97</v>
          </cell>
          <cell r="M5">
            <v>7.6950000000000003</v>
          </cell>
          <cell r="N5">
            <v>7.6310000000000002</v>
          </cell>
          <cell r="O5">
            <v>8.0239999999999991</v>
          </cell>
          <cell r="P5">
            <v>8.8030000000000008</v>
          </cell>
          <cell r="Q5">
            <v>8.0419999999999998</v>
          </cell>
          <cell r="R5">
            <v>7.9550000000000001</v>
          </cell>
          <cell r="S5">
            <v>7.7140000000000004</v>
          </cell>
          <cell r="T5">
            <v>7.7839999999999998</v>
          </cell>
          <cell r="U5">
            <v>8.4030000000000005</v>
          </cell>
          <cell r="V5">
            <v>8.16</v>
          </cell>
          <cell r="W5">
            <v>7.6879999999999997</v>
          </cell>
        </row>
        <row r="8">
          <cell r="B8">
            <v>0.32600000000000001</v>
          </cell>
        </row>
        <row r="9">
          <cell r="B9">
            <v>14.077999999999999</v>
          </cell>
          <cell r="C9">
            <v>19.533000000000001</v>
          </cell>
          <cell r="D9">
            <v>18.738</v>
          </cell>
          <cell r="E9">
            <v>18.003</v>
          </cell>
          <cell r="F9">
            <v>17.18</v>
          </cell>
          <cell r="G9">
            <v>15.791</v>
          </cell>
          <cell r="H9">
            <v>18.155000000000001</v>
          </cell>
          <cell r="I9">
            <v>15.663</v>
          </cell>
          <cell r="J9">
            <v>23.148</v>
          </cell>
          <cell r="K9">
            <v>17.881</v>
          </cell>
          <cell r="L9">
            <v>8.35</v>
          </cell>
          <cell r="M9">
            <v>16.937999999999999</v>
          </cell>
          <cell r="N9">
            <v>13.952</v>
          </cell>
          <cell r="O9">
            <v>15.388999999999999</v>
          </cell>
          <cell r="P9">
            <v>20.026</v>
          </cell>
          <cell r="Q9">
            <v>17.082999999999998</v>
          </cell>
          <cell r="R9">
            <v>17.547000000000001</v>
          </cell>
          <cell r="S9">
            <v>20.210999999999999</v>
          </cell>
          <cell r="T9">
            <v>16.736999999999998</v>
          </cell>
          <cell r="U9">
            <v>19.939</v>
          </cell>
          <cell r="V9">
            <v>20.629000000000001</v>
          </cell>
          <cell r="W9">
            <v>17.504999999999999</v>
          </cell>
        </row>
        <row r="13">
          <cell r="B13">
            <v>3.9</v>
          </cell>
          <cell r="C13">
            <v>4.4000000000000004</v>
          </cell>
          <cell r="D13">
            <v>4.8</v>
          </cell>
          <cell r="E13">
            <v>4.9000000000000004</v>
          </cell>
          <cell r="F13">
            <v>4.8</v>
          </cell>
          <cell r="G13">
            <v>4.5999999999999996</v>
          </cell>
          <cell r="H13">
            <v>4.5999999999999996</v>
          </cell>
          <cell r="I13">
            <v>4.5999999999999996</v>
          </cell>
          <cell r="J13">
            <v>4.8</v>
          </cell>
          <cell r="K13">
            <v>4.5</v>
          </cell>
          <cell r="L13">
            <v>4</v>
          </cell>
          <cell r="M13">
            <v>4.5</v>
          </cell>
          <cell r="N13">
            <v>4.4000000000000004</v>
          </cell>
          <cell r="O13">
            <v>4.4000000000000004</v>
          </cell>
          <cell r="P13">
            <v>4.7</v>
          </cell>
          <cell r="Q13">
            <v>4.7</v>
          </cell>
          <cell r="R13">
            <v>4.7</v>
          </cell>
          <cell r="S13">
            <v>4.5999999999999996</v>
          </cell>
          <cell r="T13">
            <v>4.4000000000000004</v>
          </cell>
          <cell r="U13">
            <v>4.9000000000000004</v>
          </cell>
          <cell r="V13">
            <v>4.9000000000000004</v>
          </cell>
          <cell r="W13">
            <v>4.5999999999999996</v>
          </cell>
        </row>
        <row r="15">
          <cell r="B15">
            <v>4.0000000000000001E-3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1.5406321080000001</v>
          </cell>
          <cell r="N15">
            <v>2.2855863289999996</v>
          </cell>
          <cell r="O15">
            <v>2.8003309579999995</v>
          </cell>
          <cell r="P15">
            <v>5.4966813869999989</v>
          </cell>
          <cell r="Q15">
            <v>4.3156661299999994</v>
          </cell>
          <cell r="R15">
            <v>2.9997760770000004</v>
          </cell>
          <cell r="S15">
            <v>6.443140047</v>
          </cell>
          <cell r="T15">
            <v>4.954205957000001</v>
          </cell>
          <cell r="U15">
            <v>3.9420947339999999</v>
          </cell>
          <cell r="V15">
            <v>5.5444430769999995</v>
          </cell>
          <cell r="W15">
            <v>3.8514213890000004</v>
          </cell>
        </row>
        <row r="17">
          <cell r="B17">
            <v>1.544</v>
          </cell>
          <cell r="C17">
            <v>4.4349999999999996</v>
          </cell>
          <cell r="D17">
            <v>4.7919999999999998</v>
          </cell>
          <cell r="E17">
            <v>2.3159999999999998</v>
          </cell>
          <cell r="F17">
            <v>2.1789999999999998</v>
          </cell>
          <cell r="G17">
            <v>0.93300000000000005</v>
          </cell>
          <cell r="H17">
            <v>1.421</v>
          </cell>
          <cell r="I17">
            <v>1.1639999999999999</v>
          </cell>
          <cell r="J17">
            <v>3.8330000000000002</v>
          </cell>
          <cell r="K17">
            <v>2.42</v>
          </cell>
          <cell r="L17">
            <v>1.375</v>
          </cell>
          <cell r="M17">
            <v>0.82899999999999996</v>
          </cell>
          <cell r="N17">
            <v>0.67400000000000004</v>
          </cell>
          <cell r="O17">
            <v>0.88</v>
          </cell>
          <cell r="P17">
            <v>1.51</v>
          </cell>
          <cell r="Q17">
            <v>0.72899999999999998</v>
          </cell>
          <cell r="R17">
            <v>0.83899999999999997</v>
          </cell>
          <cell r="S17">
            <v>0.75</v>
          </cell>
          <cell r="T17">
            <v>0.64</v>
          </cell>
          <cell r="U17">
            <v>0.74299999999999999</v>
          </cell>
          <cell r="V17">
            <v>0.75700000000000001</v>
          </cell>
          <cell r="W17">
            <v>0.71199999999999997</v>
          </cell>
        </row>
        <row r="38">
          <cell r="B38">
            <v>4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1540.632108</v>
          </cell>
          <cell r="N38">
            <v>2285.5863289999998</v>
          </cell>
          <cell r="O38">
            <v>2800.3309579999996</v>
          </cell>
          <cell r="P38">
            <v>5496.6813869999987</v>
          </cell>
          <cell r="Q38">
            <v>4315.6661299999996</v>
          </cell>
          <cell r="R38">
            <v>2999.7760770000004</v>
          </cell>
          <cell r="S38">
            <v>6443.1400469999999</v>
          </cell>
          <cell r="T38">
            <v>4954.205957000001</v>
          </cell>
          <cell r="U38">
            <v>3942.0947339999998</v>
          </cell>
          <cell r="V38">
            <v>5544.4430769999999</v>
          </cell>
          <cell r="W38">
            <v>3851.4213890000005</v>
          </cell>
        </row>
        <row r="54">
          <cell r="B54">
            <v>4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362.50346400000001</v>
          </cell>
          <cell r="N54">
            <v>335.474806</v>
          </cell>
          <cell r="O54">
            <v>226.168634</v>
          </cell>
          <cell r="P54">
            <v>52.104374000000007</v>
          </cell>
          <cell r="Q54">
            <v>77.493895999999992</v>
          </cell>
          <cell r="R54">
            <v>214.44618500000004</v>
          </cell>
          <cell r="S54">
            <v>84.359383999999991</v>
          </cell>
          <cell r="T54">
            <v>22.431365999999993</v>
          </cell>
          <cell r="U54">
            <v>38.645708999999997</v>
          </cell>
          <cell r="V54">
            <v>44.080331999999991</v>
          </cell>
          <cell r="W54">
            <v>3.0485730000000006</v>
          </cell>
        </row>
      </sheetData>
      <sheetData sheetId="6">
        <row r="5">
          <cell r="B5">
            <v>3.6</v>
          </cell>
          <cell r="C5">
            <v>3.5</v>
          </cell>
          <cell r="D5">
            <v>3.55</v>
          </cell>
          <cell r="E5">
            <v>3.45</v>
          </cell>
          <cell r="F5">
            <v>3.5</v>
          </cell>
          <cell r="G5">
            <v>3.6</v>
          </cell>
          <cell r="H5">
            <v>3.6</v>
          </cell>
          <cell r="I5">
            <v>3.6</v>
          </cell>
          <cell r="J5">
            <v>3.4</v>
          </cell>
          <cell r="K5">
            <v>3.4</v>
          </cell>
          <cell r="L5">
            <v>3.35</v>
          </cell>
          <cell r="M5">
            <v>3.2</v>
          </cell>
          <cell r="N5">
            <v>3.3</v>
          </cell>
          <cell r="O5">
            <v>3.33</v>
          </cell>
          <cell r="P5">
            <v>3.4</v>
          </cell>
          <cell r="Q5">
            <v>3.4</v>
          </cell>
          <cell r="R5">
            <v>3.4</v>
          </cell>
          <cell r="S5">
            <v>3.4</v>
          </cell>
          <cell r="T5">
            <v>3.6</v>
          </cell>
          <cell r="U5">
            <v>3.8</v>
          </cell>
          <cell r="V5">
            <v>3.8</v>
          </cell>
          <cell r="W5">
            <v>3.7</v>
          </cell>
        </row>
        <row r="8">
          <cell r="B8">
            <v>0.56399999999999995</v>
          </cell>
        </row>
        <row r="9">
          <cell r="B9">
            <v>7.4</v>
          </cell>
          <cell r="C9">
            <v>6.9</v>
          </cell>
          <cell r="D9">
            <v>7.2</v>
          </cell>
          <cell r="E9">
            <v>6.9</v>
          </cell>
          <cell r="F9">
            <v>7.4</v>
          </cell>
          <cell r="G9">
            <v>7.6</v>
          </cell>
          <cell r="H9">
            <v>7.5</v>
          </cell>
          <cell r="I9">
            <v>6</v>
          </cell>
          <cell r="J9">
            <v>5.7</v>
          </cell>
          <cell r="K9">
            <v>6.5</v>
          </cell>
          <cell r="L9">
            <v>5.9</v>
          </cell>
          <cell r="M9">
            <v>7</v>
          </cell>
          <cell r="N9">
            <v>5.5</v>
          </cell>
          <cell r="O9">
            <v>7.3</v>
          </cell>
          <cell r="P9">
            <v>4</v>
          </cell>
          <cell r="Q9">
            <v>7.4</v>
          </cell>
          <cell r="R9">
            <v>4.75</v>
          </cell>
          <cell r="S9">
            <v>6.4</v>
          </cell>
          <cell r="T9">
            <v>7</v>
          </cell>
          <cell r="U9">
            <v>7.9</v>
          </cell>
          <cell r="V9">
            <v>8.1</v>
          </cell>
          <cell r="W9">
            <v>4.5</v>
          </cell>
        </row>
        <row r="13">
          <cell r="B13">
            <v>0.9</v>
          </cell>
          <cell r="C13">
            <v>0.9</v>
          </cell>
          <cell r="D13">
            <v>0.9</v>
          </cell>
          <cell r="E13">
            <v>0.9</v>
          </cell>
          <cell r="F13">
            <v>0.9</v>
          </cell>
          <cell r="G13">
            <v>0.9</v>
          </cell>
          <cell r="H13">
            <v>0.9</v>
          </cell>
          <cell r="I13">
            <v>0.9</v>
          </cell>
          <cell r="J13">
            <v>0.9</v>
          </cell>
          <cell r="K13">
            <v>0.9</v>
          </cell>
          <cell r="L13">
            <v>0.9</v>
          </cell>
          <cell r="M13">
            <v>0.95</v>
          </cell>
          <cell r="N13">
            <v>0.9</v>
          </cell>
          <cell r="O13">
            <v>0.95</v>
          </cell>
          <cell r="P13">
            <v>0.85</v>
          </cell>
          <cell r="Q13">
            <v>0.9</v>
          </cell>
          <cell r="R13">
            <v>0.9</v>
          </cell>
          <cell r="S13">
            <v>0.9</v>
          </cell>
          <cell r="T13">
            <v>0.9</v>
          </cell>
          <cell r="U13">
            <v>0.9</v>
          </cell>
          <cell r="V13">
            <v>0.9</v>
          </cell>
          <cell r="W13">
            <v>0.9</v>
          </cell>
        </row>
        <row r="15">
          <cell r="B15">
            <v>4.0000000000000001E-3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9.1041074000000013E-2</v>
          </cell>
          <cell r="N15">
            <v>3.7399999999999994E-5</v>
          </cell>
          <cell r="O15">
            <v>4.8752260000000007E-3</v>
          </cell>
          <cell r="P15">
            <v>3.5644999999999996E-4</v>
          </cell>
          <cell r="Q15">
            <v>2.7380071000000002E-2</v>
          </cell>
          <cell r="R15">
            <v>0.115499527</v>
          </cell>
          <cell r="S15">
            <v>0.14722291999999998</v>
          </cell>
          <cell r="T15">
            <v>0.134545944</v>
          </cell>
          <cell r="U15">
            <v>2.3085520000000006E-3</v>
          </cell>
          <cell r="V15">
            <v>1.1035779999999997E-2</v>
          </cell>
          <cell r="W15">
            <v>0.143547958</v>
          </cell>
        </row>
        <row r="17">
          <cell r="B17">
            <v>0.97199999999999998</v>
          </cell>
          <cell r="C17">
            <v>0.753</v>
          </cell>
          <cell r="D17">
            <v>0.67300000000000004</v>
          </cell>
          <cell r="E17">
            <v>0.67900000000000005</v>
          </cell>
          <cell r="F17">
            <v>0.83799999999999997</v>
          </cell>
          <cell r="G17">
            <v>0.65</v>
          </cell>
          <cell r="H17">
            <v>0.52800000000000002</v>
          </cell>
          <cell r="I17">
            <v>0.61499999999999999</v>
          </cell>
          <cell r="J17">
            <v>0.79300000000000004</v>
          </cell>
          <cell r="K17">
            <v>0.79</v>
          </cell>
          <cell r="L17">
            <v>0.72399999999999998</v>
          </cell>
          <cell r="M17">
            <v>0.91</v>
          </cell>
          <cell r="N17">
            <v>0.46899999999999997</v>
          </cell>
          <cell r="O17">
            <v>0.94399999999999995</v>
          </cell>
          <cell r="P17">
            <v>0.36399999999999999</v>
          </cell>
          <cell r="Q17">
            <v>0.90500000000000003</v>
          </cell>
          <cell r="R17">
            <v>0.28199999999999997</v>
          </cell>
          <cell r="S17">
            <v>0.72399999999999998</v>
          </cell>
          <cell r="T17">
            <v>0.46500000000000002</v>
          </cell>
          <cell r="U17">
            <v>0.76600000000000001</v>
          </cell>
          <cell r="V17">
            <v>0.51200000000000001</v>
          </cell>
          <cell r="W17">
            <v>0.30599999999999999</v>
          </cell>
        </row>
        <row r="38">
          <cell r="B38">
            <v>4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91.041074000000009</v>
          </cell>
          <cell r="N38">
            <v>3.7399999999999996E-2</v>
          </cell>
          <cell r="O38">
            <v>4.8752260000000005</v>
          </cell>
          <cell r="P38">
            <v>0.35644999999999999</v>
          </cell>
          <cell r="Q38">
            <v>27.380071000000001</v>
          </cell>
          <cell r="R38">
            <v>115.499527</v>
          </cell>
          <cell r="S38">
            <v>147.22291999999999</v>
          </cell>
          <cell r="T38">
            <v>134.54594399999999</v>
          </cell>
          <cell r="U38">
            <v>2.3085520000000006</v>
          </cell>
          <cell r="V38">
            <v>11.035779999999997</v>
          </cell>
          <cell r="W38">
            <v>143.54795799999999</v>
          </cell>
        </row>
        <row r="54">
          <cell r="B54">
            <v>4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28.526699000000001</v>
          </cell>
          <cell r="N54">
            <v>270.21687600000001</v>
          </cell>
          <cell r="O54">
            <v>129.88017600000001</v>
          </cell>
          <cell r="P54">
            <v>779.35156900000004</v>
          </cell>
          <cell r="Q54">
            <v>117.62207599999999</v>
          </cell>
          <cell r="R54">
            <v>256.07639999999998</v>
          </cell>
          <cell r="S54">
            <v>889.36696399999994</v>
          </cell>
          <cell r="T54">
            <v>388.96822299999997</v>
          </cell>
          <cell r="U54">
            <v>891.65550800000005</v>
          </cell>
          <cell r="V54">
            <v>2036.2304929999993</v>
          </cell>
          <cell r="W54">
            <v>1966.7082180000002</v>
          </cell>
        </row>
      </sheetData>
      <sheetData sheetId="7">
        <row r="5">
          <cell r="B5">
            <v>3.69</v>
          </cell>
          <cell r="C5">
            <v>3.9209999999999998</v>
          </cell>
          <cell r="D5">
            <v>4.1529999999999996</v>
          </cell>
          <cell r="E5">
            <v>4.601</v>
          </cell>
          <cell r="F5">
            <v>4.5149999999999997</v>
          </cell>
          <cell r="G5">
            <v>4.3499999999999996</v>
          </cell>
          <cell r="H5">
            <v>5.2359999999999998</v>
          </cell>
          <cell r="I5">
            <v>4.0880000000000001</v>
          </cell>
          <cell r="J5">
            <v>4.1669999999999998</v>
          </cell>
          <cell r="K5">
            <v>4.9939999999999998</v>
          </cell>
          <cell r="L5">
            <v>4.3170000000000002</v>
          </cell>
          <cell r="M5">
            <v>3.6840000000000002</v>
          </cell>
          <cell r="N5">
            <v>3.2930000000000001</v>
          </cell>
          <cell r="O5">
            <v>3.2330000000000001</v>
          </cell>
          <cell r="P5">
            <v>3.2</v>
          </cell>
          <cell r="Q5">
            <v>3</v>
          </cell>
          <cell r="R5">
            <v>3.0449999999999999</v>
          </cell>
          <cell r="S5">
            <v>2.6520000000000001</v>
          </cell>
          <cell r="T5">
            <v>2.569</v>
          </cell>
          <cell r="U5">
            <v>2.782</v>
          </cell>
          <cell r="V5">
            <v>2.5840000000000001</v>
          </cell>
          <cell r="W5">
            <v>2.68</v>
          </cell>
        </row>
        <row r="8">
          <cell r="B8">
            <v>0.76100000000000001</v>
          </cell>
        </row>
        <row r="9">
          <cell r="B9">
            <v>6.8719999999999999</v>
          </cell>
          <cell r="C9">
            <v>10.186</v>
          </cell>
          <cell r="D9">
            <v>10.364000000000001</v>
          </cell>
          <cell r="E9">
            <v>6.8330000000000002</v>
          </cell>
          <cell r="F9">
            <v>11.084</v>
          </cell>
          <cell r="G9">
            <v>8.9749999999999996</v>
          </cell>
          <cell r="H9">
            <v>11.340999999999999</v>
          </cell>
          <cell r="I9">
            <v>5.9809999999999999</v>
          </cell>
          <cell r="J9">
            <v>12.612</v>
          </cell>
          <cell r="K9">
            <v>11.833</v>
          </cell>
          <cell r="L9">
            <v>8.484</v>
          </cell>
          <cell r="M9">
            <v>9.0980000000000008</v>
          </cell>
          <cell r="N9">
            <v>6.9349999999999996</v>
          </cell>
          <cell r="O9">
            <v>7.5609999999999999</v>
          </cell>
          <cell r="P9">
            <v>9.4499999999999993</v>
          </cell>
          <cell r="Q9">
            <v>8.7509999999999994</v>
          </cell>
          <cell r="R9">
            <v>9.8740000000000006</v>
          </cell>
          <cell r="S9">
            <v>8.6950000000000003</v>
          </cell>
          <cell r="T9">
            <v>7.6040000000000001</v>
          </cell>
          <cell r="U9">
            <v>9.5280000000000005</v>
          </cell>
          <cell r="V9">
            <v>7.9470000000000001</v>
          </cell>
          <cell r="W9">
            <v>9.923</v>
          </cell>
        </row>
        <row r="13">
          <cell r="B13">
            <v>1.6</v>
          </cell>
          <cell r="C13">
            <v>1.8</v>
          </cell>
          <cell r="D13">
            <v>1.9</v>
          </cell>
          <cell r="E13">
            <v>1.5</v>
          </cell>
          <cell r="F13">
            <v>1.7</v>
          </cell>
          <cell r="G13">
            <v>1.7</v>
          </cell>
          <cell r="H13">
            <v>1.7</v>
          </cell>
          <cell r="I13">
            <v>1.6</v>
          </cell>
          <cell r="J13">
            <v>1.6</v>
          </cell>
          <cell r="K13">
            <v>1.7</v>
          </cell>
          <cell r="L13">
            <v>1.6</v>
          </cell>
          <cell r="M13">
            <v>1.6</v>
          </cell>
          <cell r="N13">
            <v>1.6</v>
          </cell>
          <cell r="O13">
            <v>1.5</v>
          </cell>
          <cell r="P13">
            <v>1.5</v>
          </cell>
          <cell r="Q13">
            <v>1.5</v>
          </cell>
          <cell r="R13">
            <v>1.4</v>
          </cell>
          <cell r="S13">
            <v>1.4</v>
          </cell>
          <cell r="T13">
            <v>1.3</v>
          </cell>
          <cell r="U13">
            <v>1.2</v>
          </cell>
          <cell r="V13">
            <v>1.2</v>
          </cell>
          <cell r="W13">
            <v>1.1000000000000001</v>
          </cell>
        </row>
        <row r="15">
          <cell r="B15">
            <v>4.0000000000000001E-3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0.42547422400000001</v>
          </cell>
          <cell r="P15">
            <v>4.8585352310000012</v>
          </cell>
          <cell r="Q15">
            <v>4.4233485299999993</v>
          </cell>
          <cell r="R15">
            <v>5.4877047690000005</v>
          </cell>
          <cell r="S15">
            <v>4.4570176500000001</v>
          </cell>
          <cell r="T15">
            <v>3.5808312949999994</v>
          </cell>
          <cell r="U15">
            <v>5.1885584530000006</v>
          </cell>
          <cell r="V15">
            <v>4.2100714850000003</v>
          </cell>
          <cell r="W15">
            <v>6.8083965789999992</v>
          </cell>
        </row>
        <row r="17">
          <cell r="B17">
            <v>0.84599999999999997</v>
          </cell>
          <cell r="C17">
            <v>1.3240000000000001</v>
          </cell>
          <cell r="D17">
            <v>1.667</v>
          </cell>
          <cell r="E17">
            <v>0.71599999999999997</v>
          </cell>
          <cell r="F17">
            <v>0.995</v>
          </cell>
          <cell r="G17">
            <v>0.77200000000000002</v>
          </cell>
          <cell r="H17">
            <v>0.72399999999999998</v>
          </cell>
          <cell r="I17">
            <v>0.71</v>
          </cell>
          <cell r="J17">
            <v>1.7549999999999999</v>
          </cell>
          <cell r="K17">
            <v>0.96699999999999997</v>
          </cell>
          <cell r="L17">
            <v>0.99399999999999999</v>
          </cell>
          <cell r="M17">
            <v>1.071</v>
          </cell>
          <cell r="N17">
            <v>2.0720000000000001</v>
          </cell>
          <cell r="O17">
            <v>2.0710000000000002</v>
          </cell>
          <cell r="P17">
            <v>1.5649999999999999</v>
          </cell>
          <cell r="Q17">
            <v>1.609</v>
          </cell>
          <cell r="R17">
            <v>1.2370000000000001</v>
          </cell>
          <cell r="S17">
            <v>1.149</v>
          </cell>
          <cell r="T17">
            <v>1.008</v>
          </cell>
          <cell r="U17">
            <v>0.95299999999999996</v>
          </cell>
          <cell r="V17">
            <v>0.66100000000000003</v>
          </cell>
          <cell r="W17">
            <v>0.78</v>
          </cell>
        </row>
        <row r="38">
          <cell r="B38">
            <v>4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425.47422399999999</v>
          </cell>
          <cell r="P38">
            <v>4858.5352310000007</v>
          </cell>
          <cell r="Q38">
            <v>4423.3485299999993</v>
          </cell>
          <cell r="R38">
            <v>5487.7047690000009</v>
          </cell>
          <cell r="S38">
            <v>4457.0176499999998</v>
          </cell>
          <cell r="T38">
            <v>3580.8312949999995</v>
          </cell>
          <cell r="U38">
            <v>5188.5584530000006</v>
          </cell>
          <cell r="V38">
            <v>4210.0714850000004</v>
          </cell>
          <cell r="W38">
            <v>6808.3965789999993</v>
          </cell>
        </row>
        <row r="54">
          <cell r="B54">
            <v>4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6.5857990000000006</v>
          </cell>
          <cell r="P54">
            <v>0.58953299999999997</v>
          </cell>
          <cell r="Q54">
            <v>5.5588629999999997</v>
          </cell>
          <cell r="R54">
            <v>7.6586830000000008</v>
          </cell>
          <cell r="S54">
            <v>4.7165030000000003</v>
          </cell>
          <cell r="T54">
            <v>16.078716999999997</v>
          </cell>
          <cell r="U54">
            <v>0.73347200000000001</v>
          </cell>
          <cell r="V54">
            <v>47.976427000000001</v>
          </cell>
          <cell r="W54">
            <v>0.86789300000000003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7Q7KE5HLWKVNC3RSL2JZSGKJJF">
      <xxl21:absoluteUrl r:id="rId2"/>
    </xxl21:alternateUrls>
    <sheetNames>
      <sheetName val="Ukraine Corn Exports"/>
      <sheetName val="Ukraine Corn Imports"/>
      <sheetName val="China Corn Exports"/>
      <sheetName val="China Corn Imports"/>
      <sheetName val="EU Corn Exports"/>
      <sheetName val="EU Corn Imports"/>
      <sheetName val="Japan Corn Imports"/>
      <sheetName val="Japan Corn Exports"/>
      <sheetName val="Canada Corn Exports"/>
      <sheetName val="Canada Corn Imports"/>
      <sheetName val="Argentina Corn Exports"/>
      <sheetName val="Argentina Corn Imports"/>
      <sheetName val="Brazil Corn Exports"/>
      <sheetName val="Brazil Corn Imports"/>
      <sheetName val="Egypt Corn Exports"/>
      <sheetName val="Egypt Corn Imports"/>
      <sheetName val="Mexico Corn Exports"/>
      <sheetName val="Mexico Corn Imports"/>
      <sheetName val="South Africa Corn Exports"/>
      <sheetName val="South Africa Corn Imports"/>
      <sheetName val="South Korea Corn Exports"/>
      <sheetName val="South Korea Corn Imports"/>
      <sheetName val="Turkey Corn Exports"/>
      <sheetName val="Turkey Corn Imports"/>
      <sheetName val="Russia Corn Exports"/>
      <sheetName val="Russia Corn Imports"/>
      <sheetName val="India Corn Exports"/>
      <sheetName val="India Corn Imports"/>
      <sheetName val="Extra Trade Sheet"/>
      <sheetName val="Corn Imports (2)"/>
      <sheetName val="Corn Exports (2)"/>
      <sheetName val="Corn Imports (3)"/>
      <sheetName val="US Corn Gluten Meal Exports"/>
      <sheetName val="US Corn Gluten Meal Imports"/>
      <sheetName val="US DDG Exports"/>
      <sheetName val="US DDG Imports"/>
    </sheetNames>
    <sheetDataSet>
      <sheetData sheetId="0" refreshError="1">
        <row r="290"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28</v>
          </cell>
          <cell r="EP290">
            <v>31</v>
          </cell>
          <cell r="EQ290">
            <v>27</v>
          </cell>
          <cell r="ER290">
            <v>36</v>
          </cell>
          <cell r="ES290">
            <v>15</v>
          </cell>
          <cell r="ET290">
            <v>42</v>
          </cell>
          <cell r="EU290">
            <v>22</v>
          </cell>
          <cell r="EV290">
            <v>25</v>
          </cell>
          <cell r="EW290">
            <v>8</v>
          </cell>
          <cell r="EX290">
            <v>24</v>
          </cell>
          <cell r="EY290">
            <v>57</v>
          </cell>
          <cell r="EZ290">
            <v>180</v>
          </cell>
          <cell r="FA290">
            <v>158</v>
          </cell>
          <cell r="FB290">
            <v>218</v>
          </cell>
          <cell r="FC290">
            <v>135</v>
          </cell>
          <cell r="FD290">
            <v>13</v>
          </cell>
          <cell r="FE290">
            <v>3</v>
          </cell>
          <cell r="FF290">
            <v>2</v>
          </cell>
          <cell r="FG290">
            <v>0</v>
          </cell>
          <cell r="FH290">
            <v>0</v>
          </cell>
          <cell r="FI290">
            <v>16</v>
          </cell>
          <cell r="FJ290">
            <v>53</v>
          </cell>
          <cell r="FK290">
            <v>114</v>
          </cell>
          <cell r="FL290">
            <v>228</v>
          </cell>
          <cell r="FM290">
            <v>119</v>
          </cell>
          <cell r="FN290">
            <v>140</v>
          </cell>
          <cell r="FO290">
            <v>146</v>
          </cell>
          <cell r="FP290">
            <v>149</v>
          </cell>
          <cell r="FQ290">
            <v>61</v>
          </cell>
          <cell r="FR290">
            <v>100</v>
          </cell>
          <cell r="FS290">
            <v>76</v>
          </cell>
          <cell r="FT290">
            <v>44</v>
          </cell>
          <cell r="FU290">
            <v>8</v>
          </cell>
          <cell r="FV290">
            <v>27</v>
          </cell>
          <cell r="FW290">
            <v>134</v>
          </cell>
          <cell r="FX290">
            <v>230</v>
          </cell>
          <cell r="FY290">
            <v>206</v>
          </cell>
          <cell r="FZ290">
            <v>169</v>
          </cell>
          <cell r="GA290">
            <v>445</v>
          </cell>
          <cell r="GB290">
            <v>299</v>
          </cell>
          <cell r="GC290">
            <v>299</v>
          </cell>
          <cell r="GD290">
            <v>292</v>
          </cell>
          <cell r="GE290">
            <v>139</v>
          </cell>
          <cell r="GF290">
            <v>45</v>
          </cell>
          <cell r="GG290">
            <v>44</v>
          </cell>
          <cell r="GH290">
            <v>122</v>
          </cell>
          <cell r="GI290">
            <v>246</v>
          </cell>
          <cell r="GJ290">
            <v>485</v>
          </cell>
          <cell r="GK290">
            <v>383</v>
          </cell>
          <cell r="GL290">
            <v>315</v>
          </cell>
          <cell r="GM290">
            <v>387</v>
          </cell>
          <cell r="GN290">
            <v>110</v>
          </cell>
          <cell r="GO290">
            <v>213</v>
          </cell>
          <cell r="GP290">
            <v>109</v>
          </cell>
          <cell r="GQ290">
            <v>63</v>
          </cell>
          <cell r="GR290">
            <v>21</v>
          </cell>
          <cell r="GS290">
            <v>8</v>
          </cell>
          <cell r="GT290">
            <v>73</v>
          </cell>
          <cell r="GU290">
            <v>0</v>
          </cell>
          <cell r="GV290">
            <v>0</v>
          </cell>
          <cell r="GW290">
            <v>1</v>
          </cell>
          <cell r="GX290">
            <v>88</v>
          </cell>
          <cell r="GY290">
            <v>252</v>
          </cell>
          <cell r="GZ290">
            <v>187</v>
          </cell>
          <cell r="HA290">
            <v>203</v>
          </cell>
          <cell r="HB290">
            <v>211</v>
          </cell>
          <cell r="HC290">
            <v>9</v>
          </cell>
          <cell r="HD290">
            <v>0</v>
          </cell>
          <cell r="HE290">
            <v>3</v>
          </cell>
          <cell r="HF290">
            <v>0</v>
          </cell>
          <cell r="HG290">
            <v>0</v>
          </cell>
          <cell r="HH290">
            <v>0</v>
          </cell>
          <cell r="HI290">
            <v>1</v>
          </cell>
          <cell r="HJ290">
            <v>100</v>
          </cell>
          <cell r="HK290">
            <v>358</v>
          </cell>
          <cell r="HL290">
            <v>192</v>
          </cell>
          <cell r="HM290">
            <v>466</v>
          </cell>
          <cell r="HN290">
            <v>478</v>
          </cell>
          <cell r="HO290">
            <v>268</v>
          </cell>
          <cell r="HP290">
            <v>158</v>
          </cell>
          <cell r="HQ290">
            <v>54</v>
          </cell>
          <cell r="HR290">
            <v>51</v>
          </cell>
          <cell r="HS290">
            <v>232</v>
          </cell>
          <cell r="HT290">
            <v>454</v>
          </cell>
          <cell r="HU290">
            <v>552</v>
          </cell>
          <cell r="HV290">
            <v>679</v>
          </cell>
          <cell r="HW290">
            <v>1008</v>
          </cell>
          <cell r="HX290">
            <v>795.90065300000003</v>
          </cell>
          <cell r="HY290">
            <v>724</v>
          </cell>
          <cell r="HZ290">
            <v>526</v>
          </cell>
          <cell r="IA290">
            <v>287</v>
          </cell>
          <cell r="IB290">
            <v>149</v>
          </cell>
          <cell r="IC290">
            <v>34</v>
          </cell>
          <cell r="ID290">
            <v>347</v>
          </cell>
          <cell r="IE290">
            <v>1001</v>
          </cell>
          <cell r="IF290">
            <v>1074</v>
          </cell>
          <cell r="IG290">
            <v>696.556603</v>
          </cell>
          <cell r="IH290">
            <v>555.53447500000004</v>
          </cell>
          <cell r="II290">
            <v>500.22123800000003</v>
          </cell>
          <cell r="IJ290">
            <v>263.41884700000003</v>
          </cell>
          <cell r="IK290">
            <v>279.64773500000001</v>
          </cell>
          <cell r="IL290">
            <v>160.09809200000001</v>
          </cell>
          <cell r="IM290">
            <v>65.368092000000004</v>
          </cell>
          <cell r="IN290">
            <v>4.0765640000000003</v>
          </cell>
          <cell r="IO290">
            <v>127.328445</v>
          </cell>
          <cell r="IP290">
            <v>240.404571</v>
          </cell>
          <cell r="IQ290">
            <v>198.948669</v>
          </cell>
          <cell r="IR290">
            <v>965.15887299999997</v>
          </cell>
          <cell r="IS290">
            <v>315.19096100000002</v>
          </cell>
          <cell r="IT290">
            <v>483.49068299999999</v>
          </cell>
          <cell r="IU290">
            <v>750.14603099999999</v>
          </cell>
          <cell r="IV290">
            <v>264.50781699999999</v>
          </cell>
          <cell r="IW290">
            <v>1052.5037890000001</v>
          </cell>
          <cell r="IX290">
            <v>629.12134300000002</v>
          </cell>
          <cell r="IY290">
            <v>33.341566999999998</v>
          </cell>
          <cell r="IZ290">
            <v>12.799662</v>
          </cell>
          <cell r="JA290">
            <v>62.634537999999999</v>
          </cell>
          <cell r="JB290">
            <v>635.44557099999997</v>
          </cell>
          <cell r="JC290">
            <v>1784.981648</v>
          </cell>
          <cell r="JD290">
            <v>1782.7933410000001</v>
          </cell>
          <cell r="JE290">
            <v>1776.476551</v>
          </cell>
          <cell r="JF290">
            <v>1215.720474</v>
          </cell>
          <cell r="JG290">
            <v>1913.820039</v>
          </cell>
          <cell r="JH290">
            <v>1414.8318790000001</v>
          </cell>
          <cell r="JI290">
            <v>1738.894029</v>
          </cell>
          <cell r="JJ290">
            <v>1312.683487</v>
          </cell>
          <cell r="JK290">
            <v>939.08806700000002</v>
          </cell>
          <cell r="JL290">
            <v>245.82250400000001</v>
          </cell>
          <cell r="JM290">
            <v>396.628625</v>
          </cell>
          <cell r="JN290">
            <v>1056.9425510000001</v>
          </cell>
          <cell r="JO290">
            <v>1467.294226</v>
          </cell>
          <cell r="JP290">
            <v>2102.1808270000001</v>
          </cell>
          <cell r="JQ290">
            <v>1636.8878500000001</v>
          </cell>
          <cell r="JR290">
            <v>1432.3359270000001</v>
          </cell>
          <cell r="JS290">
            <v>1473.992313</v>
          </cell>
          <cell r="JT290">
            <v>1321.771917</v>
          </cell>
          <cell r="JU290">
            <v>728.87366099999997</v>
          </cell>
          <cell r="JV290">
            <v>741.91698899999994</v>
          </cell>
          <cell r="JW290">
            <v>556.67978500000004</v>
          </cell>
          <cell r="JX290">
            <v>28.224482999999999</v>
          </cell>
          <cell r="JY290">
            <v>178.17250200000001</v>
          </cell>
          <cell r="JZ290">
            <v>1304.08989</v>
          </cell>
          <cell r="KA290">
            <v>3263.7349180000001</v>
          </cell>
          <cell r="KB290">
            <v>4062.8966719999999</v>
          </cell>
          <cell r="KC290">
            <v>2510.3344739999998</v>
          </cell>
          <cell r="KD290">
            <v>2516.3874350000001</v>
          </cell>
          <cell r="KE290">
            <v>2717.7795310000001</v>
          </cell>
          <cell r="KF290">
            <v>1395.1736880000001</v>
          </cell>
          <cell r="KG290">
            <v>1293.8660050000001</v>
          </cell>
          <cell r="KH290">
            <v>308.12559800000002</v>
          </cell>
          <cell r="KI290">
            <v>373.82065</v>
          </cell>
          <cell r="KJ290">
            <v>87.511883999999995</v>
          </cell>
          <cell r="KK290">
            <v>173.376891</v>
          </cell>
          <cell r="KL290">
            <v>1275.0119830000001</v>
          </cell>
          <cell r="KM290">
            <v>2223.1290779999999</v>
          </cell>
          <cell r="KN290">
            <v>2683.575601</v>
          </cell>
          <cell r="KO290">
            <v>1894.7909520000001</v>
          </cell>
          <cell r="KP290">
            <v>2216.5367160000001</v>
          </cell>
          <cell r="KQ290">
            <v>1836.6450560000001</v>
          </cell>
          <cell r="KR290">
            <v>2013.4247250000001</v>
          </cell>
          <cell r="KS290">
            <v>2075.7380830000002</v>
          </cell>
          <cell r="KT290">
            <v>1976.6492519999999</v>
          </cell>
          <cell r="KU290">
            <v>999.34350700000005</v>
          </cell>
          <cell r="KV290">
            <v>309.34798499999999</v>
          </cell>
          <cell r="KW290">
            <v>150.328866</v>
          </cell>
          <cell r="KX290">
            <v>1314.8006499999999</v>
          </cell>
          <cell r="KY290">
            <v>1877.996302</v>
          </cell>
          <cell r="KZ290">
            <v>2375.2430220000001</v>
          </cell>
          <cell r="LA290">
            <v>1675.9802830000001</v>
          </cell>
          <cell r="LB290">
            <v>2370.9245219999998</v>
          </cell>
          <cell r="LC290">
            <v>2367.4566100000002</v>
          </cell>
          <cell r="LD290">
            <v>2046.063218</v>
          </cell>
          <cell r="LE290">
            <v>1002.836714</v>
          </cell>
          <cell r="LF290">
            <v>919.73097099999995</v>
          </cell>
          <cell r="LG290">
            <v>438.632296</v>
          </cell>
          <cell r="LH290">
            <v>135.97869900000001</v>
          </cell>
          <cell r="LI290">
            <v>67.832446000000004</v>
          </cell>
          <cell r="LJ290">
            <v>1354.834875</v>
          </cell>
          <cell r="LK290">
            <v>2264.4704230000002</v>
          </cell>
          <cell r="LL290">
            <v>2647.3693830000002</v>
          </cell>
          <cell r="LM290">
            <v>2312.2631849999998</v>
          </cell>
          <cell r="LN290">
            <v>1811.9257</v>
          </cell>
          <cell r="LO290">
            <v>3127.1517090000002</v>
          </cell>
          <cell r="LP290">
            <v>1950.0162769999999</v>
          </cell>
          <cell r="LQ290">
            <v>2655.0475580000002</v>
          </cell>
          <cell r="LR290">
            <v>1948.173528</v>
          </cell>
          <cell r="LS290">
            <v>873.03268400000002</v>
          </cell>
          <cell r="LT290">
            <v>269.91936299999998</v>
          </cell>
          <cell r="LU290">
            <v>119.427806</v>
          </cell>
          <cell r="LV290">
            <v>500.66571299999998</v>
          </cell>
          <cell r="LW290">
            <v>1581.8334279999999</v>
          </cell>
          <cell r="LX290">
            <v>2245.080418</v>
          </cell>
          <cell r="LY290">
            <v>2082.0567390000001</v>
          </cell>
          <cell r="LZ290">
            <v>2025.7516430000001</v>
          </cell>
          <cell r="MA290">
            <v>2490.251385</v>
          </cell>
          <cell r="MB290">
            <v>2300.6768769999999</v>
          </cell>
          <cell r="MC290">
            <v>1811.4612970000001</v>
          </cell>
          <cell r="MD290">
            <v>1469.6646740000001</v>
          </cell>
          <cell r="ME290">
            <v>700.41141100000004</v>
          </cell>
          <cell r="MF290">
            <v>541.72435299999995</v>
          </cell>
          <cell r="MG290">
            <v>285.41663799999998</v>
          </cell>
          <cell r="MH290">
            <v>1347.638815</v>
          </cell>
          <cell r="MI290">
            <v>3118.7139280000001</v>
          </cell>
          <cell r="MJ290">
            <v>3260.6781089999999</v>
          </cell>
          <cell r="MK290">
            <v>3378.3320399999998</v>
          </cell>
          <cell r="ML290">
            <v>3742.895458</v>
          </cell>
          <cell r="MM290">
            <v>3772.680347</v>
          </cell>
          <cell r="MN290">
            <v>3654.196915</v>
          </cell>
          <cell r="MO290">
            <v>3805.499589</v>
          </cell>
          <cell r="MP290">
            <v>2211.2336150000001</v>
          </cell>
          <cell r="MQ290">
            <v>1574.867947</v>
          </cell>
          <cell r="MR290">
            <v>279.04677900000002</v>
          </cell>
          <cell r="MS290">
            <v>175.48845700000001</v>
          </cell>
          <cell r="MT290">
            <v>2290.6244929999998</v>
          </cell>
          <cell r="MU290">
            <v>3201.3637739999999</v>
          </cell>
          <cell r="MV290">
            <v>4257.5918369999999</v>
          </cell>
          <cell r="MW290">
            <v>4542.5581590000002</v>
          </cell>
          <cell r="MX290">
            <v>3457.330582</v>
          </cell>
          <cell r="MY290">
            <v>3529.466383</v>
          </cell>
          <cell r="MZ290">
            <v>3091.4266830000001</v>
          </cell>
          <cell r="NA290">
            <v>2379.071524</v>
          </cell>
          <cell r="NB290">
            <v>1546.6901769999999</v>
          </cell>
          <cell r="NC290">
            <v>424.65196300000002</v>
          </cell>
          <cell r="ND290">
            <v>178.791392</v>
          </cell>
          <cell r="NE290">
            <v>29.239004000000001</v>
          </cell>
          <cell r="NF290">
            <v>1842.4636170000001</v>
          </cell>
          <cell r="NG290">
            <v>3106.3188009999999</v>
          </cell>
          <cell r="NH290">
            <v>3824.478752</v>
          </cell>
          <cell r="NI290">
            <v>1995.5410830000001</v>
          </cell>
          <cell r="NJ290">
            <v>2476.1427180000001</v>
          </cell>
          <cell r="NK290">
            <v>2620.1082999999999</v>
          </cell>
          <cell r="NL290">
            <v>2627.965224</v>
          </cell>
          <cell r="NM290">
            <v>2245.3996569999999</v>
          </cell>
          <cell r="NN290">
            <v>1698.2049219999999</v>
          </cell>
          <cell r="NO290">
            <v>961.50103000000001</v>
          </cell>
          <cell r="NP290">
            <v>301.502115</v>
          </cell>
          <cell r="NQ290">
            <v>164.58469299999999</v>
          </cell>
          <cell r="NR290">
            <v>894.84591899999998</v>
          </cell>
          <cell r="NS290">
            <v>3791.8031449999999</v>
          </cell>
          <cell r="NT290">
            <v>4897.2252520000002</v>
          </cell>
          <cell r="NU290">
            <v>4503.1841109999996</v>
          </cell>
          <cell r="NV290">
            <v>3792.5958850000002</v>
          </cell>
          <cell r="NW290">
            <v>1107.367988</v>
          </cell>
          <cell r="NX290">
            <v>740.95979599999998</v>
          </cell>
          <cell r="NY290">
            <v>1074.4899250000001</v>
          </cell>
          <cell r="NZ290">
            <v>1179.672458</v>
          </cell>
          <cell r="OA290">
            <v>1132.3324540000001</v>
          </cell>
          <cell r="OB290">
            <v>1524.7293340000001</v>
          </cell>
          <cell r="OC290">
            <v>2148.5365510000001</v>
          </cell>
          <cell r="OD290">
            <v>2203.660985</v>
          </cell>
          <cell r="OE290">
            <v>2510.97955</v>
          </cell>
          <cell r="OF290">
            <v>3059.9740149999998</v>
          </cell>
          <cell r="OG290">
            <v>2681.5767799999999</v>
          </cell>
          <cell r="OH290">
            <v>3326.8100519999998</v>
          </cell>
          <cell r="OI290">
            <v>3801.7647630000001</v>
          </cell>
          <cell r="OJ290">
            <v>2319.2728400000001</v>
          </cell>
          <cell r="OK290">
            <v>2201.4859740000002</v>
          </cell>
          <cell r="OL290">
            <v>2325.4534819999999</v>
          </cell>
          <cell r="OM290">
            <v>1153.243731</v>
          </cell>
          <cell r="ON290">
            <v>900.82476799999995</v>
          </cell>
          <cell r="OO290">
            <v>630.73529799999994</v>
          </cell>
          <cell r="OP290">
            <v>1118.518734</v>
          </cell>
          <cell r="OQ290">
            <v>2376.3739049999999</v>
          </cell>
          <cell r="OR290">
            <v>3451.5684700000002</v>
          </cell>
          <cell r="OS290">
            <v>3363.1904979999999</v>
          </cell>
          <cell r="OT290">
            <v>3022.096822</v>
          </cell>
          <cell r="OU290">
            <v>2770.04882</v>
          </cell>
          <cell r="OV290">
            <v>4135.5002510000004</v>
          </cell>
          <cell r="OW290">
            <v>3679.1223949999999</v>
          </cell>
          <cell r="OX290">
            <v>2808.6483400000002</v>
          </cell>
          <cell r="OY290">
            <v>1560.3205089999999</v>
          </cell>
          <cell r="OZ290">
            <v>774.56079999999997</v>
          </cell>
          <cell r="PA290">
            <v>428.401544</v>
          </cell>
          <cell r="PB290">
            <v>1916.51358</v>
          </cell>
          <cell r="PC290">
            <v>2560.39</v>
          </cell>
          <cell r="PD290"/>
          <cell r="PE290"/>
          <cell r="PF290"/>
          <cell r="PG290"/>
          <cell r="PH290"/>
          <cell r="PI290"/>
          <cell r="PJ290"/>
          <cell r="PK290"/>
          <cell r="PL290"/>
          <cell r="PM290"/>
          <cell r="PN290">
            <v>0.4138121095849539</v>
          </cell>
          <cell r="PO290">
            <v>0.30245067121022584</v>
          </cell>
          <cell r="PP290">
            <v>0.27540792114664464</v>
          </cell>
          <cell r="PQ290">
            <v>0.37263107273476753</v>
          </cell>
          <cell r="PR290">
            <v>0.47072749123569491</v>
          </cell>
          <cell r="PS290">
            <v>0.59704807774753932</v>
          </cell>
          <cell r="PT290">
            <v>0.75619900492291892</v>
          </cell>
          <cell r="PU290">
            <v>0.4492539071054239</v>
          </cell>
          <cell r="PV290">
            <v>0.41476432412890329</v>
          </cell>
          <cell r="PW290">
            <v>0.29507916534061962</v>
          </cell>
          <cell r="PX290">
            <v>0.24296241272608199</v>
          </cell>
          <cell r="PY290">
            <v>0.40966384211622575</v>
          </cell>
          <cell r="PZ290">
            <v>0.36127005017290581</v>
          </cell>
          <cell r="QA290">
            <v>0.28857733095945709</v>
          </cell>
          <cell r="QB290">
            <v>0.27728795671876838</v>
          </cell>
          <cell r="QC290">
            <v>0.38354844824621614</v>
          </cell>
          <cell r="QD290">
            <v>0.49021413898290234</v>
          </cell>
          <cell r="QE290">
            <v>0.55639341212586124</v>
          </cell>
          <cell r="QF290">
            <v>0.80313499581784464</v>
          </cell>
          <cell r="QG290">
            <v>0.42797838458860338</v>
          </cell>
          <cell r="QH290">
            <v>0.4049480505440331</v>
          </cell>
          <cell r="QI290">
            <v>0.26751419455788583</v>
          </cell>
          <cell r="QJ290">
            <v>0.25666210650626431</v>
          </cell>
          <cell r="QK290">
            <v>0.4824709307792574</v>
          </cell>
          <cell r="QL290">
            <v>0.39759701917545098</v>
          </cell>
          <cell r="QM290">
            <v>0.31994829245685852</v>
          </cell>
          <cell r="QN290">
            <v>0.31773680785033143</v>
          </cell>
          <cell r="QO290">
            <v>0.34593968032833711</v>
          </cell>
          <cell r="QP290">
            <v>0.47004659317973629</v>
          </cell>
          <cell r="QQ290">
            <v>0.50002672448341445</v>
          </cell>
          <cell r="QR290">
            <v>0.63694854265514922</v>
          </cell>
          <cell r="QS290">
            <v>0.44654883118158212</v>
          </cell>
          <cell r="QT290">
            <v>0.42148594956166469</v>
          </cell>
          <cell r="QU290">
            <v>0.27426112885047782</v>
          </cell>
          <cell r="QV290">
            <v>0.32319633105599577</v>
          </cell>
          <cell r="QW290">
            <v>0.54626409922100194</v>
          </cell>
          <cell r="QX290">
            <v>0.38456920805950512</v>
          </cell>
          <cell r="QY290">
            <v>0.30817546110133831</v>
          </cell>
          <cell r="QZ290">
            <v>0.24851759072306512</v>
          </cell>
          <cell r="RA290">
            <v>0.34239198915788016</v>
          </cell>
          <cell r="RB290">
            <v>0.41672102538553257</v>
          </cell>
          <cell r="RC290">
            <v>0.58130380343958188</v>
          </cell>
          <cell r="RD290">
            <v>0.75935862925940922</v>
          </cell>
          <cell r="RE290">
            <v>0.42563957822840787</v>
          </cell>
          <cell r="RF290">
            <v>0.43118340269677147</v>
          </cell>
          <cell r="RG290">
            <v>0.31130830003102633</v>
          </cell>
          <cell r="RH290">
            <v>0.27320057249388896</v>
          </cell>
          <cell r="RI290">
            <v>0.5176304394235931</v>
          </cell>
          <cell r="RJ290">
            <v>0.38127142861110386</v>
          </cell>
          <cell r="RK290">
            <v>0.30694456418143046</v>
          </cell>
          <cell r="RL290">
            <v>0.26821653703654952</v>
          </cell>
          <cell r="RM290">
            <v>0.35329282685915125</v>
          </cell>
          <cell r="RN290">
            <v>0.44836654228614392</v>
          </cell>
          <cell r="RO290">
            <v>0.56043571175958495</v>
          </cell>
          <cell r="RP290">
            <v>0.73428163218140441</v>
          </cell>
          <cell r="RQ290">
            <v>0.4278680203854166</v>
          </cell>
          <cell r="RR290">
            <v>0.42634670142513759</v>
          </cell>
          <cell r="RS290">
            <v>0.29555714581696546</v>
          </cell>
          <cell r="RT290">
            <v>0.2846001537648486</v>
          </cell>
          <cell r="RU290">
            <v>0.51281873569226377</v>
          </cell>
          <cell r="RV290">
            <v>0.3835596978330249</v>
          </cell>
          <cell r="RW290">
            <v>0.30195537615103696</v>
          </cell>
          <cell r="RX290">
            <v>0.2683917399680007</v>
          </cell>
          <cell r="RY290">
            <v>0.35298641224612348</v>
          </cell>
          <cell r="RZ290">
            <v>0.44935144119917325</v>
          </cell>
          <cell r="SA290">
            <v>0.56324267214274015</v>
          </cell>
          <cell r="SB290">
            <v>0.74559262710004626</v>
          </cell>
          <cell r="SC290">
            <v>0.43265211422150218</v>
          </cell>
          <cell r="SD290">
            <v>0.42090110826159455</v>
          </cell>
          <cell r="SE290">
            <v>0.29266699550542163</v>
          </cell>
          <cell r="SF290">
            <v>0.2792311711507911</v>
          </cell>
          <cell r="SG290">
            <v>0.50946864422054539</v>
          </cell>
          <cell r="SH290">
            <v>0.38770396312078392</v>
          </cell>
          <cell r="SI290">
            <v>0.30521926398186211</v>
          </cell>
          <cell r="SJ290">
            <v>0.27743336269507179</v>
          </cell>
          <cell r="SK290">
            <v>0.35956080346527042</v>
          </cell>
          <cell r="SL290">
            <v>0.45921515821400199</v>
          </cell>
          <cell r="SM290">
            <v>0.55904154591119637</v>
          </cell>
          <cell r="SN290">
            <v>0.73798456096734522</v>
          </cell>
          <cell r="SO290">
            <v>0.43545774429788681</v>
          </cell>
          <cell r="SP290">
            <v>0.41974568567130199</v>
          </cell>
          <cell r="SQ290">
            <v>0.28874398691939501</v>
          </cell>
          <cell r="SR290">
            <v>0.27612431530941589</v>
          </cell>
          <cell r="SS290">
            <v>0.49376960944646786</v>
          </cell>
          <cell r="ST290">
            <v>0.38165348077039812</v>
          </cell>
          <cell r="SU290">
            <v>0.30512020497002429</v>
          </cell>
          <cell r="SV290">
            <v>0.27603012645934299</v>
          </cell>
          <cell r="SW290">
            <v>0.3556318713675416</v>
          </cell>
          <cell r="SX290">
            <v>0.45493994820669764</v>
          </cell>
          <cell r="SY290">
            <v>0.55228046479023662</v>
          </cell>
          <cell r="SZ290">
            <v>0.73586328540277079</v>
          </cell>
          <cell r="TA290">
            <v>0.43213738572110244</v>
          </cell>
          <cell r="TB290">
            <v>0.42097304249784029</v>
          </cell>
          <cell r="TC290">
            <v>0.28826155295235545</v>
          </cell>
          <cell r="TD290">
            <v>0.28337806699435775</v>
          </cell>
          <cell r="TE290">
            <v>0.51373056986733179</v>
          </cell>
          <cell r="TF290">
            <v>0.38694026335997378</v>
          </cell>
          <cell r="TG290">
            <v>0.30844859157450527</v>
          </cell>
          <cell r="TH290">
            <v>0.27605920765460373</v>
          </cell>
          <cell r="TI290">
            <v>0.35083434241135247</v>
          </cell>
          <cell r="TJ290">
            <v>0.44874015205291751</v>
          </cell>
          <cell r="TK290">
            <v>0.55281009154730354</v>
          </cell>
          <cell r="TL290">
            <v>0.7228331984326708</v>
          </cell>
          <cell r="TM290">
            <v>0.43363325766295913</v>
          </cell>
          <cell r="TN290">
            <v>0.42393256952329406</v>
          </cell>
          <cell r="TO290">
            <v>0.2925075114246572</v>
          </cell>
          <cell r="TP290">
            <v>0.28727050875498805</v>
          </cell>
          <cell r="TQ290">
            <v>0.5159903056007753</v>
          </cell>
          <cell r="TR290">
            <v>0.38375155567896324</v>
          </cell>
          <cell r="TS290">
            <v>0.30548297407713842</v>
          </cell>
          <cell r="TT290">
            <v>0.26771787137640601</v>
          </cell>
          <cell r="TU290">
            <v>0.35277278061919337</v>
          </cell>
          <cell r="TV290">
            <v>0.44571882305830984</v>
          </cell>
          <cell r="TW290">
            <v>0.56326083960866802</v>
          </cell>
          <cell r="TX290">
            <v>0.74261614698219525</v>
          </cell>
          <cell r="TY290">
            <v>0.43075096857086326</v>
          </cell>
          <cell r="TZ290">
            <v>0.42382998811052919</v>
          </cell>
          <cell r="UA290">
            <v>0.29530759624503278</v>
          </cell>
          <cell r="UB290">
            <v>0.27930685594266047</v>
          </cell>
          <cell r="UC290">
            <v>0.50948359973003932</v>
          </cell>
          <cell r="UD290">
            <v>0.38422576673905695</v>
          </cell>
          <cell r="UE290">
            <v>0.30553760017177184</v>
          </cell>
          <cell r="UF290">
            <v>0.27322619476271376</v>
          </cell>
          <cell r="UG290">
            <v>0.35446125126988792</v>
          </cell>
          <cell r="UH290">
            <v>0.45212264839178679</v>
          </cell>
          <cell r="UI290">
            <v>0.55756209723021222</v>
          </cell>
          <cell r="UJ290">
            <v>0.73531106081684738</v>
          </cell>
          <cell r="UK290">
            <v>0.43234970445777343</v>
          </cell>
          <cell r="UL290">
            <v>0.42237982147583369</v>
          </cell>
          <cell r="UM290">
            <v>0.29154743852375897</v>
          </cell>
          <cell r="UN290">
            <v>0.28212084319488029</v>
          </cell>
          <cell r="UO290">
            <v>0.50915557296547664</v>
          </cell>
          <cell r="UP290">
            <v>0.38472179215262903</v>
          </cell>
          <cell r="UQ290">
            <v>0.3052452821509134</v>
          </cell>
          <cell r="UR290">
            <v>0.27312646163068505</v>
          </cell>
          <cell r="US290">
            <v>0.35435724202189628</v>
          </cell>
        </row>
      </sheetData>
      <sheetData sheetId="1" refreshError="1"/>
      <sheetData sheetId="2" refreshError="1"/>
      <sheetData sheetId="3" refreshError="1">
        <row r="290">
          <cell r="MT290">
            <v>91.148258999999996</v>
          </cell>
          <cell r="MU290">
            <v>98.422419000000005</v>
          </cell>
          <cell r="MV290">
            <v>734.02540099999999</v>
          </cell>
          <cell r="MW290">
            <v>661.02081899999996</v>
          </cell>
          <cell r="MX290">
            <v>271.08875599999999</v>
          </cell>
          <cell r="MY290">
            <v>318.48179399999998</v>
          </cell>
          <cell r="MZ290">
            <v>886.98034700000005</v>
          </cell>
          <cell r="NA290">
            <v>636.989148</v>
          </cell>
          <cell r="NB290">
            <v>881.59271100000001</v>
          </cell>
          <cell r="NC290">
            <v>913.05733999999995</v>
          </cell>
          <cell r="ND290">
            <v>1022.1154770000001</v>
          </cell>
          <cell r="NE290">
            <v>1080.9902810000001</v>
          </cell>
          <cell r="NF290">
            <v>1141.499163</v>
          </cell>
          <cell r="NG290">
            <v>1226.0117069999999</v>
          </cell>
          <cell r="NH290">
            <v>2254.1613739999998</v>
          </cell>
          <cell r="NI290">
            <v>3013.902646</v>
          </cell>
          <cell r="NJ290">
            <v>1780.4645559999999</v>
          </cell>
          <cell r="NK290">
            <v>1930.6322130000001</v>
          </cell>
          <cell r="NL290">
            <v>1849.7824310000001</v>
          </cell>
          <cell r="NM290">
            <v>3154.141654</v>
          </cell>
          <cell r="NN290">
            <v>3568.625348</v>
          </cell>
          <cell r="NO290">
            <v>2861.6958610000001</v>
          </cell>
          <cell r="NP290">
            <v>3234.5179250000001</v>
          </cell>
          <cell r="NQ290">
            <v>3533.183896</v>
          </cell>
          <cell r="NR290">
            <v>1302.103402</v>
          </cell>
          <cell r="NS290">
            <v>787.27920500000005</v>
          </cell>
          <cell r="NT290">
            <v>1331.8339699999999</v>
          </cell>
          <cell r="NU290">
            <v>2754.1594559999999</v>
          </cell>
          <cell r="NV290">
            <v>1929.4834069999999</v>
          </cell>
          <cell r="NW290">
            <v>2413.2303149999998</v>
          </cell>
          <cell r="NX290">
            <v>2209.4719420000001</v>
          </cell>
          <cell r="NY290">
            <v>2080.6793109999999</v>
          </cell>
          <cell r="NZ290">
            <v>2207.215162</v>
          </cell>
          <cell r="OA290">
            <v>1536.9005669999999</v>
          </cell>
          <cell r="OB290">
            <v>1797.7582540000001</v>
          </cell>
          <cell r="OC290">
            <v>1533.96406</v>
          </cell>
          <cell r="OD290">
            <v>547.305564</v>
          </cell>
          <cell r="OE290">
            <v>741.18782599999997</v>
          </cell>
          <cell r="OF290">
            <v>867.19956400000001</v>
          </cell>
          <cell r="OG290">
            <v>2242.8791179999998</v>
          </cell>
          <cell r="OH290">
            <v>3085.8024650000002</v>
          </cell>
          <cell r="OI290">
            <v>2191.3716450000002</v>
          </cell>
          <cell r="OJ290">
            <v>1002.50937</v>
          </cell>
          <cell r="OK290">
            <v>1661.9854809999999</v>
          </cell>
          <cell r="OL290">
            <v>1846.4525530000001</v>
          </cell>
          <cell r="OM290">
            <v>1678.176148</v>
          </cell>
          <cell r="ON290">
            <v>1186.5480689999999</v>
          </cell>
          <cell r="OO290">
            <v>1643.066478</v>
          </cell>
          <cell r="OP290">
            <v>2043.91976</v>
          </cell>
          <cell r="OQ290">
            <v>3589.947921</v>
          </cell>
          <cell r="OR290">
            <v>4949.3749100000005</v>
          </cell>
          <cell r="OS290">
            <v>3591.0739229999999</v>
          </cell>
          <cell r="OT290">
            <v>2601.5806640000001</v>
          </cell>
          <cell r="OU290">
            <v>1708.575527</v>
          </cell>
          <cell r="OV290">
            <v>1179.1551870000001</v>
          </cell>
          <cell r="OW290">
            <v>1050.645957</v>
          </cell>
          <cell r="OX290">
            <v>919.68976199999997</v>
          </cell>
          <cell r="OY290">
            <v>1093.27702</v>
          </cell>
          <cell r="OZ290">
            <v>428.46718499999997</v>
          </cell>
          <cell r="PA290">
            <v>313.095099</v>
          </cell>
          <cell r="PB290">
            <v>250.98</v>
          </cell>
          <cell r="PC290">
            <v>295.68400000000003</v>
          </cell>
          <cell r="PD290">
            <v>343.21199999999999</v>
          </cell>
          <cell r="PE290"/>
          <cell r="PF290"/>
          <cell r="PG290"/>
          <cell r="PH290"/>
          <cell r="PI290"/>
          <cell r="PJ290"/>
          <cell r="PK290"/>
          <cell r="PL290"/>
          <cell r="PM290"/>
          <cell r="PN290"/>
          <cell r="PO290"/>
          <cell r="PP290">
            <v>0.27540792114664464</v>
          </cell>
          <cell r="PQ290">
            <v>0.37263107273476753</v>
          </cell>
          <cell r="PR290">
            <v>0.47072749123569491</v>
          </cell>
          <cell r="PS290">
            <v>0.59704807774753932</v>
          </cell>
          <cell r="PT290">
            <v>0.75619900492291892</v>
          </cell>
          <cell r="PU290">
            <v>0.4492539071054239</v>
          </cell>
          <cell r="PV290">
            <v>0.41476432412890329</v>
          </cell>
          <cell r="PW290">
            <v>0.29507916534061962</v>
          </cell>
          <cell r="PX290">
            <v>0.24296241272608199</v>
          </cell>
          <cell r="PY290">
            <v>0.40966384211622575</v>
          </cell>
          <cell r="PZ290">
            <v>0.36127005017290581</v>
          </cell>
          <cell r="QA290">
            <v>0.28857733095945709</v>
          </cell>
          <cell r="QB290">
            <v>0.27728795671876838</v>
          </cell>
          <cell r="QC290">
            <v>0.38354844824621614</v>
          </cell>
          <cell r="QD290">
            <v>0.49021413898290234</v>
          </cell>
          <cell r="QE290">
            <v>0.55639341212586124</v>
          </cell>
          <cell r="QF290">
            <v>0.80313499581784464</v>
          </cell>
          <cell r="QG290">
            <v>0.42797838458860338</v>
          </cell>
          <cell r="QH290">
            <v>0.4049480505440331</v>
          </cell>
          <cell r="QI290">
            <v>0.26751419455788583</v>
          </cell>
          <cell r="QJ290">
            <v>0.25666210650626431</v>
          </cell>
          <cell r="QK290">
            <v>0.4824709307792574</v>
          </cell>
          <cell r="QL290">
            <v>0.39759701917545098</v>
          </cell>
          <cell r="QM290">
            <v>0.31994829245685852</v>
          </cell>
          <cell r="QN290">
            <v>0.31773680785033143</v>
          </cell>
          <cell r="QO290">
            <v>0.34593968032833711</v>
          </cell>
          <cell r="QP290">
            <v>0.47004659317973629</v>
          </cell>
          <cell r="QQ290">
            <v>0.50002672448341445</v>
          </cell>
          <cell r="QR290">
            <v>0.63694854265514922</v>
          </cell>
          <cell r="QS290">
            <v>0.44654883118158212</v>
          </cell>
          <cell r="QT290">
            <v>0.42148594956166469</v>
          </cell>
          <cell r="QU290">
            <v>0.27426112885047782</v>
          </cell>
          <cell r="QV290">
            <v>0.32319633105599577</v>
          </cell>
          <cell r="QW290">
            <v>0.54626409922100194</v>
          </cell>
          <cell r="QX290">
            <v>0.38456920805950512</v>
          </cell>
          <cell r="QY290">
            <v>0.30817546110133831</v>
          </cell>
          <cell r="QZ290">
            <v>0.24851759072306512</v>
          </cell>
          <cell r="RA290">
            <v>0.34239198915788016</v>
          </cell>
          <cell r="RB290">
            <v>0.41672102538553257</v>
          </cell>
          <cell r="RC290">
            <v>0.58130380343958188</v>
          </cell>
          <cell r="RD290">
            <v>0.75935862925940922</v>
          </cell>
          <cell r="RE290">
            <v>0.42563957822840787</v>
          </cell>
          <cell r="RF290">
            <v>0.43118340269677147</v>
          </cell>
          <cell r="RG290">
            <v>0.31130830003102633</v>
          </cell>
          <cell r="RH290">
            <v>0.27320057249388896</v>
          </cell>
          <cell r="RI290">
            <v>0.5176304394235931</v>
          </cell>
          <cell r="RJ290">
            <v>0.38127142861110386</v>
          </cell>
          <cell r="RK290">
            <v>0.30694456418143046</v>
          </cell>
          <cell r="RL290">
            <v>0.26821653703654952</v>
          </cell>
          <cell r="RM290">
            <v>0.35329282685915125</v>
          </cell>
          <cell r="RN290">
            <v>0.44836654228614392</v>
          </cell>
          <cell r="RO290">
            <v>0.56043571175958495</v>
          </cell>
          <cell r="RP290">
            <v>0.73428163218140441</v>
          </cell>
          <cell r="RQ290">
            <v>0.4278680203854166</v>
          </cell>
          <cell r="RR290">
            <v>0.42634670142513759</v>
          </cell>
          <cell r="RS290">
            <v>0.29555714581696546</v>
          </cell>
          <cell r="RT290">
            <v>0.2846001537648486</v>
          </cell>
          <cell r="RU290">
            <v>0.51281873569226377</v>
          </cell>
          <cell r="RV290">
            <v>0.3835596978330249</v>
          </cell>
          <cell r="RW290">
            <v>0.30195537615103696</v>
          </cell>
          <cell r="RX290">
            <v>0.2683917399680007</v>
          </cell>
          <cell r="RY290">
            <v>0.35298641224612348</v>
          </cell>
          <cell r="RZ290">
            <v>0.44935144119917325</v>
          </cell>
          <cell r="SA290">
            <v>0.56324267214274015</v>
          </cell>
          <cell r="SB290">
            <v>0.74559262710004626</v>
          </cell>
          <cell r="SC290">
            <v>0.43265211422150218</v>
          </cell>
          <cell r="SD290">
            <v>0.42090110826159455</v>
          </cell>
          <cell r="SE290">
            <v>0.29266699550542163</v>
          </cell>
          <cell r="SF290">
            <v>0.2792311711507911</v>
          </cell>
          <cell r="SG290">
            <v>0.50946864422054539</v>
          </cell>
          <cell r="SH290">
            <v>0.38770396312078392</v>
          </cell>
          <cell r="SI290">
            <v>0.30521926398186211</v>
          </cell>
          <cell r="SJ290">
            <v>0.27743336269507179</v>
          </cell>
          <cell r="SK290">
            <v>0.35956080346527042</v>
          </cell>
          <cell r="SL290">
            <v>0.45921515821400199</v>
          </cell>
          <cell r="SM290">
            <v>0.55904154591119637</v>
          </cell>
          <cell r="SN290">
            <v>0.73798456096734522</v>
          </cell>
          <cell r="SO290">
            <v>0.43545774429788681</v>
          </cell>
          <cell r="SP290">
            <v>0.41974568567130199</v>
          </cell>
          <cell r="SQ290">
            <v>0.28874398691939501</v>
          </cell>
          <cell r="SR290">
            <v>0.27612431530941589</v>
          </cell>
          <cell r="SS290">
            <v>0.49376960944646786</v>
          </cell>
          <cell r="ST290">
            <v>0.38165348077039812</v>
          </cell>
          <cell r="SU290">
            <v>0.30512020497002429</v>
          </cell>
          <cell r="SV290">
            <v>0.27603012645934299</v>
          </cell>
          <cell r="SW290">
            <v>0.3556318713675416</v>
          </cell>
          <cell r="SX290">
            <v>0.45493994820669764</v>
          </cell>
          <cell r="SY290">
            <v>0.55228046479023662</v>
          </cell>
          <cell r="SZ290">
            <v>0.73586328540277079</v>
          </cell>
          <cell r="TA290">
            <v>0.43213738572110244</v>
          </cell>
          <cell r="TB290">
            <v>0.42097304249784029</v>
          </cell>
          <cell r="TC290">
            <v>0.28826155295235545</v>
          </cell>
          <cell r="TD290">
            <v>0.28337806699435775</v>
          </cell>
          <cell r="TE290">
            <v>0.51373056986733179</v>
          </cell>
          <cell r="TF290">
            <v>0.38694026335997378</v>
          </cell>
          <cell r="TG290">
            <v>0.30844859157450527</v>
          </cell>
          <cell r="TH290">
            <v>0.27605920765460373</v>
          </cell>
          <cell r="TI290">
            <v>0.35083434241135247</v>
          </cell>
          <cell r="TJ290">
            <v>0.44874015205291751</v>
          </cell>
          <cell r="TK290">
            <v>0.55281009154730354</v>
          </cell>
          <cell r="TL290">
            <v>0.7228331984326708</v>
          </cell>
          <cell r="TM290">
            <v>0.43363325766295913</v>
          </cell>
          <cell r="TN290">
            <v>0.42393256952329406</v>
          </cell>
          <cell r="TO290">
            <v>0.2925075114246572</v>
          </cell>
          <cell r="TP290">
            <v>0.28727050875498805</v>
          </cell>
          <cell r="TQ290">
            <v>0.5159903056007753</v>
          </cell>
          <cell r="TR290">
            <v>0.38375155567896324</v>
          </cell>
          <cell r="TS290">
            <v>0.30548297407713842</v>
          </cell>
          <cell r="TT290">
            <v>0.26771787137640601</v>
          </cell>
          <cell r="TU290">
            <v>0.35277278061919337</v>
          </cell>
          <cell r="TV290">
            <v>0.44571882305830984</v>
          </cell>
          <cell r="TW290">
            <v>0.56326083960866802</v>
          </cell>
          <cell r="TX290">
            <v>0.74261614698219525</v>
          </cell>
          <cell r="TY290">
            <v>0.43075096857086326</v>
          </cell>
          <cell r="TZ290">
            <v>0.42382998811052919</v>
          </cell>
          <cell r="UA290">
            <v>0.29530759624503278</v>
          </cell>
          <cell r="UB290">
            <v>0.27930685594266047</v>
          </cell>
          <cell r="UC290">
            <v>0.50948359973003932</v>
          </cell>
          <cell r="UD290">
            <v>0.38422576673905695</v>
          </cell>
          <cell r="UE290">
            <v>0.30553760017177184</v>
          </cell>
          <cell r="UF290">
            <v>0.27322619476271376</v>
          </cell>
          <cell r="UG290">
            <v>0.35446125126988792</v>
          </cell>
          <cell r="UH290">
            <v>0.45212264839178679</v>
          </cell>
          <cell r="UI290">
            <v>0.55756209723021222</v>
          </cell>
          <cell r="UJ290">
            <v>0.73531106081684738</v>
          </cell>
          <cell r="UK290">
            <v>0.43234970445777343</v>
          </cell>
          <cell r="UL290">
            <v>0.42237982147583369</v>
          </cell>
          <cell r="UM290">
            <v>0.29154743852375897</v>
          </cell>
          <cell r="UN290">
            <v>0.28212084319488029</v>
          </cell>
          <cell r="UO290">
            <v>0.50915557296547664</v>
          </cell>
          <cell r="UP290">
            <v>0.38472179215262886</v>
          </cell>
          <cell r="UQ290">
            <v>0.3052452821509134</v>
          </cell>
          <cell r="UR290">
            <v>0.27312646163068505</v>
          </cell>
          <cell r="US290">
            <v>0.35435724202189628</v>
          </cell>
        </row>
      </sheetData>
      <sheetData sheetId="4" refreshError="1">
        <row r="294">
          <cell r="IP294">
            <v>223.51299300000005</v>
          </cell>
          <cell r="IQ294">
            <v>237.69559200000003</v>
          </cell>
          <cell r="IR294">
            <v>130.21473500000002</v>
          </cell>
          <cell r="IS294">
            <v>114.45698200000015</v>
          </cell>
          <cell r="IT294">
            <v>101.85857200000032</v>
          </cell>
          <cell r="IU294">
            <v>133.20477400000004</v>
          </cell>
          <cell r="IV294">
            <v>107.30201199999988</v>
          </cell>
          <cell r="IW294">
            <v>116.30946499999982</v>
          </cell>
          <cell r="IX294">
            <v>94.37524099999996</v>
          </cell>
          <cell r="IY294">
            <v>114.17763100000002</v>
          </cell>
          <cell r="IZ294">
            <v>48.270520999999917</v>
          </cell>
          <cell r="JA294">
            <v>142.555747</v>
          </cell>
          <cell r="JB294">
            <v>733.02443699999958</v>
          </cell>
          <cell r="JC294">
            <v>750.6307710000001</v>
          </cell>
          <cell r="JD294">
            <v>268.27860899999996</v>
          </cell>
          <cell r="JE294">
            <v>237.31943599999977</v>
          </cell>
          <cell r="JF294">
            <v>331.4759210000002</v>
          </cell>
          <cell r="JG294">
            <v>253.57827899999961</v>
          </cell>
          <cell r="JH294">
            <v>250.08315800000037</v>
          </cell>
          <cell r="JI294">
            <v>316.69341200000031</v>
          </cell>
          <cell r="JJ294">
            <v>315.63368500000024</v>
          </cell>
          <cell r="JK294">
            <v>128.55326900000023</v>
          </cell>
          <cell r="JL294">
            <v>95.431871000000001</v>
          </cell>
          <cell r="JM294">
            <v>82.893911000000003</v>
          </cell>
          <cell r="JN294">
            <v>257.88239799999951</v>
          </cell>
          <cell r="JO294">
            <v>210.76597099999981</v>
          </cell>
          <cell r="JP294">
            <v>164.34341099999972</v>
          </cell>
          <cell r="JQ294">
            <v>223.24980400000004</v>
          </cell>
          <cell r="JR294">
            <v>145.43921500000022</v>
          </cell>
          <cell r="JS294">
            <v>206.98463900000002</v>
          </cell>
          <cell r="JT294">
            <v>308.26370099999986</v>
          </cell>
          <cell r="JU294">
            <v>392.54721199999972</v>
          </cell>
          <cell r="JV294">
            <v>194.35859800000026</v>
          </cell>
          <cell r="JW294">
            <v>459.12579299999993</v>
          </cell>
          <cell r="JX294">
            <v>133.02782300000024</v>
          </cell>
          <cell r="JY294">
            <v>455.66843200000005</v>
          </cell>
          <cell r="JZ294">
            <v>883.39942700000006</v>
          </cell>
          <cell r="KA294">
            <v>604.04166799999939</v>
          </cell>
          <cell r="KB294">
            <v>382.60725699999989</v>
          </cell>
          <cell r="KC294">
            <v>105.53236699999979</v>
          </cell>
          <cell r="KD294">
            <v>238.40320699999995</v>
          </cell>
          <cell r="KE294">
            <v>123.17246800000044</v>
          </cell>
          <cell r="KF294">
            <v>154.37672100000032</v>
          </cell>
          <cell r="KG294">
            <v>168.15944499999978</v>
          </cell>
          <cell r="KH294">
            <v>192.52916600000003</v>
          </cell>
          <cell r="KI294">
            <v>98.19664499999999</v>
          </cell>
          <cell r="KJ294">
            <v>75.340716000000043</v>
          </cell>
          <cell r="KK294">
            <v>340.02468599999997</v>
          </cell>
          <cell r="KL294">
            <v>551.17038199999934</v>
          </cell>
          <cell r="KM294">
            <v>484.40381100000013</v>
          </cell>
          <cell r="KN294">
            <v>348.32784000000015</v>
          </cell>
          <cell r="KO294">
            <v>373.74476699999968</v>
          </cell>
          <cell r="KP294">
            <v>344.65989599999989</v>
          </cell>
          <cell r="KQ294">
            <v>447.01640299999985</v>
          </cell>
          <cell r="KR294">
            <v>426.10264799999982</v>
          </cell>
          <cell r="KS294">
            <v>539.23398599999973</v>
          </cell>
          <cell r="KT294">
            <v>600.61728300000004</v>
          </cell>
          <cell r="KU294">
            <v>340.32236899999975</v>
          </cell>
          <cell r="KV294">
            <v>232.15343699999994</v>
          </cell>
          <cell r="KW294">
            <v>210.25740699999983</v>
          </cell>
          <cell r="KX294">
            <v>222.13016100000004</v>
          </cell>
          <cell r="KY294">
            <v>215.79234399999996</v>
          </cell>
          <cell r="KZ294">
            <v>299.33647900000005</v>
          </cell>
          <cell r="LA294">
            <v>132.60343399999988</v>
          </cell>
          <cell r="LB294">
            <v>192.54300500000022</v>
          </cell>
          <cell r="LC294">
            <v>179.65943899999979</v>
          </cell>
          <cell r="LD294">
            <v>199.59906899999987</v>
          </cell>
          <cell r="LE294">
            <v>268.44701200000009</v>
          </cell>
          <cell r="LF294">
            <v>322.37464799999998</v>
          </cell>
          <cell r="LG294">
            <v>179.69619799999998</v>
          </cell>
          <cell r="LH294">
            <v>186.7465820000001</v>
          </cell>
          <cell r="LI294">
            <v>233.31061999999997</v>
          </cell>
          <cell r="LJ294">
            <v>485.32488100000046</v>
          </cell>
          <cell r="LK294">
            <v>273.26933199999985</v>
          </cell>
          <cell r="LL294">
            <v>291.03329800000006</v>
          </cell>
          <cell r="LM294">
            <v>254.53730200000018</v>
          </cell>
          <cell r="LN294">
            <v>346.70279399999959</v>
          </cell>
          <cell r="LO294">
            <v>221.82901000000015</v>
          </cell>
          <cell r="LP294">
            <v>210.36393999999996</v>
          </cell>
          <cell r="LQ294">
            <v>218.03372800000011</v>
          </cell>
          <cell r="LR294">
            <v>137.6729620000001</v>
          </cell>
          <cell r="LS294">
            <v>88.556161999999972</v>
          </cell>
          <cell r="LT294">
            <v>59.472098999999844</v>
          </cell>
          <cell r="LU294">
            <v>203.7023180000001</v>
          </cell>
          <cell r="LV294">
            <v>323.14439000000039</v>
          </cell>
          <cell r="LW294">
            <v>219.95437599999991</v>
          </cell>
          <cell r="LX294">
            <v>231.74474099999998</v>
          </cell>
          <cell r="LY294">
            <v>130.64893799999959</v>
          </cell>
          <cell r="LZ294">
            <v>214.3666209999999</v>
          </cell>
          <cell r="MA294">
            <v>332.20030900000029</v>
          </cell>
          <cell r="MB294">
            <v>379.64752099999987</v>
          </cell>
          <cell r="MC294">
            <v>234.72898000000009</v>
          </cell>
          <cell r="MD294">
            <v>134.34097199999997</v>
          </cell>
          <cell r="ME294">
            <v>99.486171000000013</v>
          </cell>
          <cell r="MF294">
            <v>86.221884000000159</v>
          </cell>
          <cell r="MG294">
            <v>316.96666200000004</v>
          </cell>
          <cell r="MH294">
            <v>454.84614600000009</v>
          </cell>
          <cell r="MI294">
            <v>340.61034599999994</v>
          </cell>
          <cell r="MJ294">
            <v>313.63068300000009</v>
          </cell>
          <cell r="MK294">
            <v>246.780303</v>
          </cell>
          <cell r="ML294">
            <v>379.82042499999989</v>
          </cell>
          <cell r="MM294">
            <v>412.07262100000025</v>
          </cell>
          <cell r="MN294">
            <v>444.84438999999998</v>
          </cell>
          <cell r="MO294">
            <v>371.61093899999992</v>
          </cell>
          <cell r="MP294">
            <v>532.01192300000025</v>
          </cell>
          <cell r="MQ294">
            <v>136.75756999999999</v>
          </cell>
          <cell r="MR294">
            <v>75.645516000000043</v>
          </cell>
          <cell r="MS294">
            <v>522.2141280000003</v>
          </cell>
          <cell r="MT294">
            <v>757.06100000000004</v>
          </cell>
          <cell r="MU294">
            <v>633.27800000000002</v>
          </cell>
          <cell r="MV294">
            <v>449.72800000000001</v>
          </cell>
          <cell r="MW294">
            <v>801.66700000000003</v>
          </cell>
          <cell r="MX294">
            <v>586.27099999999996</v>
          </cell>
          <cell r="MY294">
            <v>637.28599999999994</v>
          </cell>
          <cell r="MZ294">
            <v>565.38699999999994</v>
          </cell>
          <cell r="NA294">
            <v>286.35599999999999</v>
          </cell>
          <cell r="NB294">
            <v>156.32900000000001</v>
          </cell>
          <cell r="NC294">
            <v>81.766000000000005</v>
          </cell>
          <cell r="ND294">
            <v>78.486000000000004</v>
          </cell>
          <cell r="NE294">
            <v>306.06299999999999</v>
          </cell>
          <cell r="NF294">
            <v>361.95100000000002</v>
          </cell>
          <cell r="NG294">
            <v>336.46199999999999</v>
          </cell>
          <cell r="NH294">
            <v>346.57900000000001</v>
          </cell>
          <cell r="NI294">
            <v>313.66399999999999</v>
          </cell>
          <cell r="NJ294">
            <v>348.03199999999998</v>
          </cell>
          <cell r="NK294">
            <v>335.15300000000002</v>
          </cell>
          <cell r="NL294">
            <v>263.62099999999998</v>
          </cell>
          <cell r="NM294">
            <v>304.25400000000002</v>
          </cell>
          <cell r="NN294">
            <v>360.50599999999997</v>
          </cell>
          <cell r="NO294">
            <v>144.55500000000001</v>
          </cell>
          <cell r="NP294">
            <v>117.011</v>
          </cell>
          <cell r="NQ294">
            <v>488.53699999999998</v>
          </cell>
          <cell r="NR294">
            <v>1315.0160000000001</v>
          </cell>
          <cell r="NS294">
            <v>784.65300000000002</v>
          </cell>
          <cell r="NT294">
            <v>601.81500000000005</v>
          </cell>
          <cell r="NU294">
            <v>410.23599999999999</v>
          </cell>
          <cell r="NV294">
            <v>489.38499999999999</v>
          </cell>
          <cell r="NW294">
            <v>859.803</v>
          </cell>
          <cell r="NX294">
            <v>314.88600000000002</v>
          </cell>
          <cell r="NY294">
            <v>378.19299999999998</v>
          </cell>
          <cell r="NZ294">
            <v>448.53</v>
          </cell>
          <cell r="OA294">
            <v>149.88800000000001</v>
          </cell>
          <cell r="OB294">
            <v>95.034000000000006</v>
          </cell>
          <cell r="OC294">
            <v>148.476</v>
          </cell>
          <cell r="OD294">
            <v>90.081999999999994</v>
          </cell>
          <cell r="OE294">
            <v>135.34700000000001</v>
          </cell>
          <cell r="OF294">
            <v>309.85899999999998</v>
          </cell>
          <cell r="OG294">
            <v>379.411</v>
          </cell>
          <cell r="OH294">
            <v>450.97699999999998</v>
          </cell>
          <cell r="OI294">
            <v>551.95100000000002</v>
          </cell>
          <cell r="OJ294">
            <v>640.41</v>
          </cell>
          <cell r="OK294">
            <v>663.16700000000003</v>
          </cell>
          <cell r="OL294">
            <v>370.71</v>
          </cell>
          <cell r="OM294">
            <v>186.30500000000001</v>
          </cell>
          <cell r="ON294">
            <v>48.843000000000004</v>
          </cell>
          <cell r="OO294">
            <v>347.26100000000002</v>
          </cell>
          <cell r="OP294">
            <v>409.85899999999998</v>
          </cell>
          <cell r="OQ294">
            <v>675.20100000000002</v>
          </cell>
          <cell r="OR294">
            <v>676.83500000000004</v>
          </cell>
          <cell r="OS294">
            <v>371.62700000000001</v>
          </cell>
          <cell r="OT294">
            <v>564.726</v>
          </cell>
          <cell r="OU294">
            <v>323.77600000000001</v>
          </cell>
          <cell r="OV294">
            <v>448.38799999999998</v>
          </cell>
          <cell r="OW294">
            <v>321.024</v>
          </cell>
          <cell r="OX294">
            <v>295.69200000000001</v>
          </cell>
          <cell r="OY294">
            <v>113.18300000000001</v>
          </cell>
          <cell r="OZ294">
            <v>63.831000000000003</v>
          </cell>
          <cell r="PA294">
            <v>114.236</v>
          </cell>
          <cell r="PB294">
            <v>237.499</v>
          </cell>
          <cell r="PC294">
            <v>334.14400000000001</v>
          </cell>
          <cell r="PD294">
            <v>37.424999999999997</v>
          </cell>
        </row>
      </sheetData>
      <sheetData sheetId="5" refreshError="1">
        <row r="294">
          <cell r="IP294">
            <v>736.59353799999997</v>
          </cell>
          <cell r="IQ294">
            <v>398.09232499999985</v>
          </cell>
          <cell r="IR294">
            <v>468.29104900000038</v>
          </cell>
          <cell r="IS294">
            <v>826.83445400000016</v>
          </cell>
          <cell r="IT294">
            <v>938.53129599999988</v>
          </cell>
          <cell r="IU294">
            <v>701.73898199999985</v>
          </cell>
          <cell r="IV294">
            <v>605.04621200000042</v>
          </cell>
          <cell r="IW294">
            <v>643.55474799999956</v>
          </cell>
          <cell r="IX294">
            <v>752.41165400000011</v>
          </cell>
          <cell r="IY294">
            <v>512.73194300000011</v>
          </cell>
          <cell r="IZ294">
            <v>386.78669599999989</v>
          </cell>
          <cell r="JA294">
            <v>90.732334000000151</v>
          </cell>
          <cell r="JB294">
            <v>57.435765000000174</v>
          </cell>
          <cell r="JC294">
            <v>598.90060600000015</v>
          </cell>
          <cell r="JD294">
            <v>759.02284800000007</v>
          </cell>
          <cell r="JE294">
            <v>587.41587099999992</v>
          </cell>
          <cell r="JF294">
            <v>372.9434510000001</v>
          </cell>
          <cell r="JG294">
            <v>476.87566199999992</v>
          </cell>
          <cell r="JH294">
            <v>574.69915500000025</v>
          </cell>
          <cell r="JI294">
            <v>809.02077700000041</v>
          </cell>
          <cell r="JJ294">
            <v>784.46430699999974</v>
          </cell>
          <cell r="JK294">
            <v>440.85596499999997</v>
          </cell>
          <cell r="JL294">
            <v>251.79591799999992</v>
          </cell>
          <cell r="JM294">
            <v>198.16289400000005</v>
          </cell>
          <cell r="JN294">
            <v>626.18399099999988</v>
          </cell>
          <cell r="JO294">
            <v>1470.123198</v>
          </cell>
          <cell r="JP294">
            <v>1462.4170269999997</v>
          </cell>
          <cell r="JQ294">
            <v>1738.4482370000005</v>
          </cell>
          <cell r="JR294">
            <v>1078.1522319999999</v>
          </cell>
          <cell r="JS294">
            <v>1007.3318200000001</v>
          </cell>
          <cell r="JT294">
            <v>959.10602800000004</v>
          </cell>
          <cell r="JU294">
            <v>645.04298800000015</v>
          </cell>
          <cell r="JV294">
            <v>636.06876899999997</v>
          </cell>
          <cell r="JW294">
            <v>393.8653979999998</v>
          </cell>
          <cell r="JX294">
            <v>539.65853299999981</v>
          </cell>
          <cell r="JY294">
            <v>277.57496700000002</v>
          </cell>
          <cell r="JZ294">
            <v>325.89589300000011</v>
          </cell>
          <cell r="KA294">
            <v>948.83181699999977</v>
          </cell>
          <cell r="KB294">
            <v>2003.5804759999999</v>
          </cell>
          <cell r="KC294">
            <v>2257.862873</v>
          </cell>
          <cell r="KD294">
            <v>1343.4229139999998</v>
          </cell>
          <cell r="KE294">
            <v>1789.2770199999998</v>
          </cell>
          <cell r="KF294">
            <v>1599.9915399999998</v>
          </cell>
          <cell r="KG294">
            <v>1462.9356460000004</v>
          </cell>
          <cell r="KH294">
            <v>1156.0691700000002</v>
          </cell>
          <cell r="KI294">
            <v>1194.3354669999999</v>
          </cell>
          <cell r="KJ294">
            <v>430.99503600000003</v>
          </cell>
          <cell r="KK294">
            <v>580.63192800000013</v>
          </cell>
          <cell r="KL294">
            <v>529.02434900000003</v>
          </cell>
          <cell r="KM294">
            <v>292.28410099999974</v>
          </cell>
          <cell r="KN294">
            <v>796.72727900000018</v>
          </cell>
          <cell r="KO294">
            <v>1028.0829200000005</v>
          </cell>
          <cell r="KP294">
            <v>908.56324999999993</v>
          </cell>
          <cell r="KQ294">
            <v>1195.0149919999999</v>
          </cell>
          <cell r="KR294">
            <v>780.76100900000029</v>
          </cell>
          <cell r="KS294">
            <v>674.19643900000005</v>
          </cell>
          <cell r="KT294">
            <v>720.38754600000038</v>
          </cell>
          <cell r="KU294">
            <v>647.2660229999999</v>
          </cell>
          <cell r="KV294">
            <v>592.0806520000001</v>
          </cell>
          <cell r="KW294">
            <v>336.09703800000011</v>
          </cell>
          <cell r="KX294">
            <v>1063.9176489999993</v>
          </cell>
          <cell r="KY294">
            <v>1476.2601389999993</v>
          </cell>
          <cell r="KZ294">
            <v>1857.1190930000005</v>
          </cell>
          <cell r="LA294">
            <v>1660.9360550000001</v>
          </cell>
          <cell r="LB294">
            <v>1337.7795919999996</v>
          </cell>
          <cell r="LC294">
            <v>1339.0110909999999</v>
          </cell>
          <cell r="LD294">
            <v>960.9185309999998</v>
          </cell>
          <cell r="LE294">
            <v>1075.1391900000003</v>
          </cell>
          <cell r="LF294">
            <v>751.06914600000027</v>
          </cell>
          <cell r="LG294">
            <v>850.23103300000002</v>
          </cell>
          <cell r="LH294">
            <v>613.26897100000019</v>
          </cell>
          <cell r="LI294">
            <v>602.00091000000009</v>
          </cell>
          <cell r="LJ294">
            <v>558.13332300000025</v>
          </cell>
          <cell r="LK294">
            <v>852.86562200000026</v>
          </cell>
          <cell r="LL294">
            <v>1175.3291350000002</v>
          </cell>
          <cell r="LM294">
            <v>1461.4791890000001</v>
          </cell>
          <cell r="LN294">
            <v>983.05116199999998</v>
          </cell>
          <cell r="LO294">
            <v>1246.154507</v>
          </cell>
          <cell r="LP294">
            <v>1131.3263609999999</v>
          </cell>
          <cell r="LQ294">
            <v>1465.6240699999998</v>
          </cell>
          <cell r="LR294">
            <v>1697.2629010000001</v>
          </cell>
          <cell r="LS294">
            <v>1351.9677979999997</v>
          </cell>
          <cell r="LT294">
            <v>1403.6228330000004</v>
          </cell>
          <cell r="LU294">
            <v>601.89381200000048</v>
          </cell>
          <cell r="LV294">
            <v>1407.2715780000003</v>
          </cell>
          <cell r="LW294">
            <v>1015.4557760000002</v>
          </cell>
          <cell r="LX294">
            <v>1530.5386870000002</v>
          </cell>
          <cell r="LY294">
            <v>2326.8594780000003</v>
          </cell>
          <cell r="LZ294">
            <v>1114.2576979999997</v>
          </cell>
          <cell r="MA294">
            <v>1979.9820089999998</v>
          </cell>
          <cell r="MB294">
            <v>1236.9443310000004</v>
          </cell>
          <cell r="MC294">
            <v>1649.9013380000001</v>
          </cell>
          <cell r="MD294">
            <v>1449.769479</v>
          </cell>
          <cell r="ME294">
            <v>1135.820622</v>
          </cell>
          <cell r="MF294">
            <v>1102.2144009999997</v>
          </cell>
          <cell r="MG294">
            <v>1509.0331840000003</v>
          </cell>
          <cell r="MH294">
            <v>1740.9258359999999</v>
          </cell>
          <cell r="MI294">
            <v>2188.0250160000005</v>
          </cell>
          <cell r="MJ294">
            <v>2907.8494280000004</v>
          </cell>
          <cell r="MK294">
            <v>2934.4270240000001</v>
          </cell>
          <cell r="ML294">
            <v>1924.838616</v>
          </cell>
          <cell r="MM294">
            <v>1953.7590810000008</v>
          </cell>
          <cell r="MN294">
            <v>1626.0292980000004</v>
          </cell>
          <cell r="MO294">
            <v>1754.8434350000002</v>
          </cell>
          <cell r="MP294">
            <v>1235.3351400000006</v>
          </cell>
          <cell r="MQ294">
            <v>1748.9483359999999</v>
          </cell>
          <cell r="MR294">
            <v>1524.3769540000003</v>
          </cell>
          <cell r="MS294">
            <v>1494.8434000000002</v>
          </cell>
          <cell r="MT294">
            <v>1606.4880000000001</v>
          </cell>
          <cell r="MU294">
            <v>1985.7139999999999</v>
          </cell>
          <cell r="MV294">
            <v>2214.63</v>
          </cell>
          <cell r="MW294">
            <v>2091.17</v>
          </cell>
          <cell r="MX294">
            <v>1529.453</v>
          </cell>
          <cell r="MY294">
            <v>1314.9179999999999</v>
          </cell>
          <cell r="MZ294">
            <v>1453.1890000000001</v>
          </cell>
          <cell r="NA294">
            <v>1084.422</v>
          </cell>
          <cell r="NB294">
            <v>936.02099999999996</v>
          </cell>
          <cell r="NC294">
            <v>942.91</v>
          </cell>
          <cell r="ND294">
            <v>1716.347</v>
          </cell>
          <cell r="NE294">
            <v>1478.1110000000001</v>
          </cell>
          <cell r="NF294">
            <v>1286.3420000000001</v>
          </cell>
          <cell r="NG294">
            <v>1494.9480000000001</v>
          </cell>
          <cell r="NH294">
            <v>1439.7760000000001</v>
          </cell>
          <cell r="NI294">
            <v>1594.7260000000001</v>
          </cell>
          <cell r="NJ294">
            <v>1108.008</v>
          </cell>
          <cell r="NK294">
            <v>1289.818</v>
          </cell>
          <cell r="NL294">
            <v>859.62300000000005</v>
          </cell>
          <cell r="NM294">
            <v>1197.799</v>
          </cell>
          <cell r="NN294">
            <v>1444.2719999999999</v>
          </cell>
          <cell r="NO294">
            <v>1296.8530000000001</v>
          </cell>
          <cell r="NP294">
            <v>1687.252</v>
          </cell>
          <cell r="NQ294">
            <v>939.37699999999995</v>
          </cell>
          <cell r="NR294">
            <v>686.29</v>
          </cell>
          <cell r="NS294">
            <v>1035.711</v>
          </cell>
          <cell r="NT294">
            <v>2018.559</v>
          </cell>
          <cell r="NU294">
            <v>2349.991</v>
          </cell>
          <cell r="NV294">
            <v>1796.9939999999999</v>
          </cell>
          <cell r="NW294">
            <v>1014.958</v>
          </cell>
          <cell r="NX294">
            <v>1163.069</v>
          </cell>
          <cell r="NY294">
            <v>1717.1110000000001</v>
          </cell>
          <cell r="NZ294">
            <v>1189.4110000000001</v>
          </cell>
          <cell r="OA294">
            <v>1598.1880000000001</v>
          </cell>
          <cell r="OB294">
            <v>2793.422</v>
          </cell>
          <cell r="OC294">
            <v>2956.8130000000001</v>
          </cell>
          <cell r="OD294">
            <v>2459.5219999999999</v>
          </cell>
          <cell r="OE294">
            <v>2839.1610000000001</v>
          </cell>
          <cell r="OF294">
            <v>2562.64</v>
          </cell>
          <cell r="OG294">
            <v>2400.0610000000001</v>
          </cell>
          <cell r="OH294">
            <v>1960.4549999999999</v>
          </cell>
          <cell r="OI294">
            <v>2109.5650000000001</v>
          </cell>
          <cell r="OJ294">
            <v>1689.91</v>
          </cell>
          <cell r="OK294">
            <v>1488.7639999999999</v>
          </cell>
          <cell r="OL294">
            <v>1247.826</v>
          </cell>
          <cell r="OM294">
            <v>1335.3689999999999</v>
          </cell>
          <cell r="ON294">
            <v>1318.395</v>
          </cell>
          <cell r="OO294">
            <v>1656.125</v>
          </cell>
          <cell r="OP294">
            <v>1383.4059999999999</v>
          </cell>
          <cell r="OQ294">
            <v>1513.0409999999999</v>
          </cell>
          <cell r="OR294">
            <v>1653.3520000000001</v>
          </cell>
          <cell r="OS294">
            <v>1950.6569999999999</v>
          </cell>
          <cell r="OT294">
            <v>1536.373</v>
          </cell>
          <cell r="OU294">
            <v>1129.8889999999999</v>
          </cell>
          <cell r="OV294">
            <v>1605.942</v>
          </cell>
          <cell r="OW294">
            <v>1453.482</v>
          </cell>
          <cell r="OX294">
            <v>1962.52</v>
          </cell>
          <cell r="OY294">
            <v>2408.3090000000002</v>
          </cell>
          <cell r="OZ294">
            <v>1513.74</v>
          </cell>
          <cell r="PA294">
            <v>1534.403</v>
          </cell>
          <cell r="PB294">
            <v>1911.9570000000001</v>
          </cell>
          <cell r="PC294">
            <v>1198.596</v>
          </cell>
        </row>
      </sheetData>
      <sheetData sheetId="6" refreshError="1">
        <row r="290">
          <cell r="DZ290">
            <v>1360</v>
          </cell>
          <cell r="EA290">
            <v>1321</v>
          </cell>
          <cell r="EB290">
            <v>1422</v>
          </cell>
          <cell r="EC290">
            <v>1231</v>
          </cell>
          <cell r="ED290">
            <v>1234</v>
          </cell>
          <cell r="EE290">
            <v>1475</v>
          </cell>
          <cell r="EF290">
            <v>1362</v>
          </cell>
          <cell r="EG290">
            <v>1507</v>
          </cell>
          <cell r="EH290">
            <v>1383</v>
          </cell>
          <cell r="EI290">
            <v>1268</v>
          </cell>
          <cell r="EJ290">
            <v>1389</v>
          </cell>
          <cell r="EK290">
            <v>1318</v>
          </cell>
          <cell r="EL290">
            <v>1301</v>
          </cell>
          <cell r="EM290">
            <v>1430</v>
          </cell>
          <cell r="EN290">
            <v>1318</v>
          </cell>
          <cell r="EO290">
            <v>1305</v>
          </cell>
          <cell r="EP290">
            <v>1262</v>
          </cell>
          <cell r="EQ290">
            <v>1435</v>
          </cell>
          <cell r="ER290">
            <v>1468</v>
          </cell>
          <cell r="ES290">
            <v>1429</v>
          </cell>
          <cell r="ET290">
            <v>1288</v>
          </cell>
          <cell r="EU290">
            <v>1385</v>
          </cell>
          <cell r="EV290">
            <v>1337</v>
          </cell>
          <cell r="EW290">
            <v>1438</v>
          </cell>
          <cell r="EX290">
            <v>1299</v>
          </cell>
          <cell r="EY290">
            <v>1421</v>
          </cell>
          <cell r="EZ290">
            <v>1352</v>
          </cell>
          <cell r="FA290">
            <v>1594</v>
          </cell>
          <cell r="FB290">
            <v>1266</v>
          </cell>
          <cell r="FC290">
            <v>1501</v>
          </cell>
          <cell r="FD290">
            <v>1396</v>
          </cell>
          <cell r="FE290">
            <v>1445</v>
          </cell>
          <cell r="FF290">
            <v>1348</v>
          </cell>
          <cell r="FG290">
            <v>1452</v>
          </cell>
          <cell r="FH290">
            <v>1305</v>
          </cell>
          <cell r="FI290">
            <v>1478</v>
          </cell>
          <cell r="FJ290">
            <v>1369</v>
          </cell>
          <cell r="FK290">
            <v>1334</v>
          </cell>
          <cell r="FL290">
            <v>1572</v>
          </cell>
          <cell r="FM290">
            <v>1434</v>
          </cell>
          <cell r="FN290">
            <v>1254</v>
          </cell>
          <cell r="FO290">
            <v>1623</v>
          </cell>
          <cell r="FP290">
            <v>1527</v>
          </cell>
          <cell r="FQ290">
            <v>1291</v>
          </cell>
          <cell r="FR290">
            <v>1337</v>
          </cell>
          <cell r="FS290">
            <v>1396</v>
          </cell>
          <cell r="FT290">
            <v>1264</v>
          </cell>
          <cell r="FU290">
            <v>1377</v>
          </cell>
          <cell r="FV290">
            <v>1172</v>
          </cell>
          <cell r="FW290">
            <v>1355</v>
          </cell>
          <cell r="FX290">
            <v>1446</v>
          </cell>
          <cell r="FY290">
            <v>1345</v>
          </cell>
          <cell r="FZ290">
            <v>1217</v>
          </cell>
          <cell r="GA290">
            <v>1518</v>
          </cell>
          <cell r="GB290">
            <v>1471</v>
          </cell>
          <cell r="GC290">
            <v>1515</v>
          </cell>
          <cell r="GD290">
            <v>1383</v>
          </cell>
          <cell r="GE290">
            <v>1322</v>
          </cell>
          <cell r="GF290">
            <v>1384</v>
          </cell>
          <cell r="GG290">
            <v>1354</v>
          </cell>
          <cell r="GH290">
            <v>1198</v>
          </cell>
          <cell r="GI290">
            <v>1443</v>
          </cell>
          <cell r="GJ290">
            <v>1504</v>
          </cell>
          <cell r="GK290">
            <v>1324</v>
          </cell>
          <cell r="GL290">
            <v>1358</v>
          </cell>
          <cell r="GM290">
            <v>1538</v>
          </cell>
          <cell r="GN290">
            <v>1360</v>
          </cell>
          <cell r="GO290">
            <v>1367</v>
          </cell>
          <cell r="GP290">
            <v>1468</v>
          </cell>
          <cell r="GQ290">
            <v>1276</v>
          </cell>
          <cell r="GR290">
            <v>1468</v>
          </cell>
          <cell r="GS290">
            <v>1310</v>
          </cell>
          <cell r="GT290">
            <v>1370</v>
          </cell>
          <cell r="GU290">
            <v>1514</v>
          </cell>
          <cell r="GV290">
            <v>1525</v>
          </cell>
          <cell r="GW290">
            <v>1279</v>
          </cell>
          <cell r="GX290">
            <v>1227</v>
          </cell>
          <cell r="GY290">
            <v>1525</v>
          </cell>
          <cell r="GZ290">
            <v>1341</v>
          </cell>
          <cell r="HA290">
            <v>1369</v>
          </cell>
          <cell r="HB290">
            <v>1413</v>
          </cell>
          <cell r="HC290">
            <v>1446</v>
          </cell>
          <cell r="HD290">
            <v>1362</v>
          </cell>
          <cell r="HE290">
            <v>1329</v>
          </cell>
          <cell r="HF290">
            <v>1408</v>
          </cell>
          <cell r="HG290">
            <v>1465</v>
          </cell>
          <cell r="HH290">
            <v>1459</v>
          </cell>
          <cell r="HI290">
            <v>1236</v>
          </cell>
          <cell r="HJ290">
            <v>1324</v>
          </cell>
          <cell r="HK290">
            <v>1560</v>
          </cell>
          <cell r="HL290">
            <v>1260</v>
          </cell>
          <cell r="HM290">
            <v>1486</v>
          </cell>
          <cell r="HN290">
            <v>1308</v>
          </cell>
          <cell r="HO290">
            <v>1411</v>
          </cell>
          <cell r="HP290">
            <v>1300</v>
          </cell>
          <cell r="HQ290">
            <v>1392</v>
          </cell>
          <cell r="HR290">
            <v>1440</v>
          </cell>
          <cell r="HS290">
            <v>1285</v>
          </cell>
          <cell r="HT290">
            <v>1450</v>
          </cell>
          <cell r="HU290">
            <v>1252</v>
          </cell>
          <cell r="HV290">
            <v>1221</v>
          </cell>
          <cell r="HW290">
            <v>1545</v>
          </cell>
          <cell r="HX290">
            <v>1391</v>
          </cell>
          <cell r="HY290">
            <v>1411</v>
          </cell>
          <cell r="HZ290">
            <v>1368</v>
          </cell>
          <cell r="IA290">
            <v>1452</v>
          </cell>
          <cell r="IB290">
            <v>1394</v>
          </cell>
          <cell r="IC290">
            <v>1314</v>
          </cell>
          <cell r="ID290">
            <v>1334</v>
          </cell>
          <cell r="IE290">
            <v>1271</v>
          </cell>
          <cell r="IF290">
            <v>1333</v>
          </cell>
          <cell r="IG290">
            <v>1322.66</v>
          </cell>
          <cell r="IH290">
            <v>1211.2940000000001</v>
          </cell>
          <cell r="II290">
            <v>1397.9860000000001</v>
          </cell>
          <cell r="IJ290">
            <v>1469.1780000000001</v>
          </cell>
          <cell r="IK290">
            <v>1370.7829999999999</v>
          </cell>
          <cell r="IL290">
            <v>1298.7460000000001</v>
          </cell>
          <cell r="IM290">
            <v>1420.7159999999999</v>
          </cell>
          <cell r="IN290">
            <v>1308.6310000000001</v>
          </cell>
          <cell r="IO290">
            <v>1228.674</v>
          </cell>
          <cell r="IP290">
            <v>1298.0740000000001</v>
          </cell>
          <cell r="IQ290">
            <v>1396.02</v>
          </cell>
          <cell r="IR290">
            <v>1465.2929999999999</v>
          </cell>
          <cell r="IS290">
            <v>1327.3150000000001</v>
          </cell>
          <cell r="IT290">
            <v>1219.0809999999999</v>
          </cell>
          <cell r="IU290">
            <v>1244.3420000000001</v>
          </cell>
          <cell r="IV290">
            <v>1270.5160000000001</v>
          </cell>
          <cell r="IW290">
            <v>1399.124</v>
          </cell>
          <cell r="IX290">
            <v>1208.482</v>
          </cell>
          <cell r="IY290">
            <v>1301.3579999999999</v>
          </cell>
          <cell r="IZ290">
            <v>1282.33</v>
          </cell>
          <cell r="JA290">
            <v>1235.932</v>
          </cell>
          <cell r="JB290">
            <v>1113.568</v>
          </cell>
          <cell r="JC290">
            <v>1273.7439999999999</v>
          </cell>
          <cell r="JD290">
            <v>1408.769</v>
          </cell>
          <cell r="JE290">
            <v>1287.9639999999999</v>
          </cell>
          <cell r="JF290">
            <v>1083.2170000000001</v>
          </cell>
          <cell r="JG290">
            <v>1448.742</v>
          </cell>
          <cell r="JH290">
            <v>1256.155</v>
          </cell>
          <cell r="JI290">
            <v>1435.7940000000001</v>
          </cell>
          <cell r="JJ290">
            <v>1133.8420000000001</v>
          </cell>
          <cell r="JK290">
            <v>1167.9659999999999</v>
          </cell>
          <cell r="JL290">
            <v>1151.0139999999999</v>
          </cell>
          <cell r="JM290">
            <v>1126.806</v>
          </cell>
          <cell r="JN290">
            <v>1175.123</v>
          </cell>
          <cell r="JO290">
            <v>1288.08</v>
          </cell>
          <cell r="JP290">
            <v>1336.1210000000001</v>
          </cell>
          <cell r="JQ290">
            <v>1188.19</v>
          </cell>
          <cell r="JR290">
            <v>1160.7270000000001</v>
          </cell>
          <cell r="JS290">
            <v>1314.018</v>
          </cell>
          <cell r="JT290">
            <v>1034.076</v>
          </cell>
          <cell r="JU290">
            <v>1336.761</v>
          </cell>
          <cell r="JV290">
            <v>997.62699999999995</v>
          </cell>
          <cell r="JW290">
            <v>1174.383</v>
          </cell>
          <cell r="JX290">
            <v>1221.502</v>
          </cell>
          <cell r="JY290">
            <v>1184.8879999999999</v>
          </cell>
          <cell r="JZ290">
            <v>1244.501</v>
          </cell>
          <cell r="KA290">
            <v>1214.1310000000001</v>
          </cell>
          <cell r="KB290">
            <v>1330.097</v>
          </cell>
          <cell r="KC290">
            <v>1304.6949999999999</v>
          </cell>
          <cell r="KD290">
            <v>1176.125</v>
          </cell>
          <cell r="KE290">
            <v>1418.6679999999999</v>
          </cell>
          <cell r="KF290">
            <v>1181.0530000000001</v>
          </cell>
          <cell r="KG290">
            <v>1403.2539999999999</v>
          </cell>
          <cell r="KH290">
            <v>1260.402</v>
          </cell>
          <cell r="KI290">
            <v>1191.2729999999999</v>
          </cell>
          <cell r="KJ290">
            <v>1200.625</v>
          </cell>
          <cell r="KK290">
            <v>1195.24</v>
          </cell>
          <cell r="KL290">
            <v>1224.73</v>
          </cell>
          <cell r="KM290">
            <v>1216.55</v>
          </cell>
          <cell r="KN290">
            <v>1262.2249999999999</v>
          </cell>
          <cell r="KO290">
            <v>1209.654</v>
          </cell>
          <cell r="KP290">
            <v>1033.575</v>
          </cell>
          <cell r="KQ290">
            <v>1352.0630000000001</v>
          </cell>
          <cell r="KR290">
            <v>1270.0540000000001</v>
          </cell>
          <cell r="KS290">
            <v>1113.453</v>
          </cell>
          <cell r="KT290">
            <v>1298.1880000000001</v>
          </cell>
          <cell r="KU290">
            <v>1252.528</v>
          </cell>
          <cell r="KV290">
            <v>1171.6210000000001</v>
          </cell>
          <cell r="KW290">
            <v>1252.4829999999999</v>
          </cell>
          <cell r="KX290">
            <v>1441.415</v>
          </cell>
          <cell r="KY290">
            <v>1069.558</v>
          </cell>
          <cell r="KZ290">
            <v>1243.598</v>
          </cell>
          <cell r="LA290">
            <v>1243.348</v>
          </cell>
          <cell r="LB290">
            <v>1324.8720000000001</v>
          </cell>
          <cell r="LC290">
            <v>1414.6659999999999</v>
          </cell>
          <cell r="LD290">
            <v>1301.2139999999999</v>
          </cell>
          <cell r="LE290">
            <v>1182.0540000000001</v>
          </cell>
          <cell r="LF290">
            <v>1250.3019999999999</v>
          </cell>
          <cell r="LG290">
            <v>1132.8489999999999</v>
          </cell>
          <cell r="LH290">
            <v>1273.9670000000001</v>
          </cell>
          <cell r="LI290">
            <v>1326.585</v>
          </cell>
          <cell r="LJ290">
            <v>1277.7139999999999</v>
          </cell>
          <cell r="LK290">
            <v>1340.5139999999999</v>
          </cell>
          <cell r="LL290">
            <v>1273.67</v>
          </cell>
          <cell r="LM290">
            <v>1049.384</v>
          </cell>
          <cell r="LN290">
            <v>962.35199999999998</v>
          </cell>
          <cell r="LO290">
            <v>1505.3420000000001</v>
          </cell>
          <cell r="LP290">
            <v>1267.7660000000001</v>
          </cell>
          <cell r="LQ290">
            <v>1416.954</v>
          </cell>
          <cell r="LR290">
            <v>1387.607</v>
          </cell>
          <cell r="LS290">
            <v>1201.912</v>
          </cell>
          <cell r="LT290">
            <v>1181.614</v>
          </cell>
          <cell r="LU290">
            <v>1304.3779999999999</v>
          </cell>
          <cell r="LV290">
            <v>1286.7919999999999</v>
          </cell>
          <cell r="LW290">
            <v>1337.39</v>
          </cell>
          <cell r="LX290">
            <v>1404.173</v>
          </cell>
          <cell r="LY290">
            <v>1308.6220000000001</v>
          </cell>
          <cell r="LZ290">
            <v>1180.1489999999999</v>
          </cell>
          <cell r="MA290">
            <v>1374.25</v>
          </cell>
          <cell r="MB290">
            <v>1246.0139999999999</v>
          </cell>
          <cell r="MC290">
            <v>1362.2339999999999</v>
          </cell>
          <cell r="MD290">
            <v>1297.9480000000001</v>
          </cell>
          <cell r="ME290">
            <v>1304.3230000000001</v>
          </cell>
          <cell r="MF290">
            <v>1363.6369999999999</v>
          </cell>
          <cell r="MG290">
            <v>1192.0630000000001</v>
          </cell>
          <cell r="MH290">
            <v>1447.3209999999999</v>
          </cell>
          <cell r="MI290">
            <v>1354.6590000000001</v>
          </cell>
          <cell r="MJ290">
            <v>1370.614</v>
          </cell>
          <cell r="MK290">
            <v>1235.876</v>
          </cell>
          <cell r="ML290">
            <v>1266.614</v>
          </cell>
          <cell r="MM290">
            <v>1318.0889999999999</v>
          </cell>
          <cell r="MN290">
            <v>1436.421</v>
          </cell>
          <cell r="MO290">
            <v>1294.5170000000001</v>
          </cell>
          <cell r="MP290">
            <v>1408.479</v>
          </cell>
          <cell r="MQ290">
            <v>1239.8789999999999</v>
          </cell>
          <cell r="MR290">
            <v>1316.259</v>
          </cell>
          <cell r="MS290">
            <v>1361.463</v>
          </cell>
          <cell r="MT290">
            <v>1330.7149999999999</v>
          </cell>
          <cell r="MU290">
            <v>1389.5419999999999</v>
          </cell>
          <cell r="MV290">
            <v>1384.97</v>
          </cell>
          <cell r="MW290">
            <v>1335.588</v>
          </cell>
          <cell r="MX290">
            <v>1256.6980000000001</v>
          </cell>
          <cell r="MY290">
            <v>1471.96</v>
          </cell>
          <cell r="MZ290">
            <v>1269.587</v>
          </cell>
          <cell r="NA290">
            <v>1346.0229999999999</v>
          </cell>
          <cell r="NB290">
            <v>1222.864</v>
          </cell>
          <cell r="NC290">
            <v>1316.633</v>
          </cell>
          <cell r="ND290">
            <v>1245.777</v>
          </cell>
          <cell r="NE290">
            <v>1317.546</v>
          </cell>
          <cell r="NF290">
            <v>1279.8510000000001</v>
          </cell>
          <cell r="NG290">
            <v>1185.194</v>
          </cell>
          <cell r="NH290">
            <v>1524.4449999999999</v>
          </cell>
          <cell r="NI290">
            <v>1066.866</v>
          </cell>
          <cell r="NJ290">
            <v>1195.0830000000001</v>
          </cell>
          <cell r="NK290">
            <v>1398.2449999999999</v>
          </cell>
          <cell r="NL290">
            <v>1484.989</v>
          </cell>
          <cell r="NM290">
            <v>1197.27</v>
          </cell>
          <cell r="NN290">
            <v>1351.4269999999999</v>
          </cell>
          <cell r="NO290">
            <v>1248.395</v>
          </cell>
          <cell r="NP290">
            <v>1171.5830000000001</v>
          </cell>
          <cell r="NQ290">
            <v>1378.7280000000001</v>
          </cell>
          <cell r="NR290">
            <v>1128.2049999999999</v>
          </cell>
          <cell r="NS290">
            <v>1176.4269999999999</v>
          </cell>
          <cell r="NT290">
            <v>1442.4059999999999</v>
          </cell>
          <cell r="NU290">
            <v>1083.8620000000001</v>
          </cell>
          <cell r="NV290">
            <v>1073.433</v>
          </cell>
          <cell r="NW290">
            <v>1573.414</v>
          </cell>
          <cell r="NX290">
            <v>1205.154</v>
          </cell>
          <cell r="NY290">
            <v>1262.518</v>
          </cell>
          <cell r="NZ290">
            <v>1334.9159999999999</v>
          </cell>
          <cell r="OA290">
            <v>1217.2139999999999</v>
          </cell>
          <cell r="OB290">
            <v>1290.739</v>
          </cell>
          <cell r="OC290">
            <v>1225.4090000000001</v>
          </cell>
          <cell r="OD290">
            <v>1189.857</v>
          </cell>
          <cell r="OE290">
            <v>1365.1120000000001</v>
          </cell>
          <cell r="OF290">
            <v>1449.2070000000001</v>
          </cell>
          <cell r="OG290">
            <v>1135.3800000000001</v>
          </cell>
          <cell r="OH290">
            <v>1004.359</v>
          </cell>
          <cell r="OI290">
            <v>1381.971</v>
          </cell>
          <cell r="OJ290">
            <v>1118.4639999999999</v>
          </cell>
          <cell r="OK290">
            <v>1393.712</v>
          </cell>
          <cell r="OL290">
            <v>1202.075</v>
          </cell>
          <cell r="OM290">
            <v>1206.597</v>
          </cell>
          <cell r="ON290">
            <v>1161.1859999999999</v>
          </cell>
          <cell r="OO290">
            <v>1331.1410000000001</v>
          </cell>
          <cell r="OP290">
            <v>1074.325</v>
          </cell>
          <cell r="OQ290">
            <v>1396.126</v>
          </cell>
          <cell r="OR290">
            <v>1470.357</v>
          </cell>
          <cell r="OS290">
            <v>994.54499999999996</v>
          </cell>
          <cell r="OT290">
            <v>1238.539</v>
          </cell>
          <cell r="OU290">
            <v>1400.1959999999999</v>
          </cell>
          <cell r="OV290">
            <v>1266.998</v>
          </cell>
          <cell r="OW290">
            <v>1449.0509999999999</v>
          </cell>
          <cell r="OX290">
            <v>1183.4849999999999</v>
          </cell>
          <cell r="OY290">
            <v>1345.8720000000001</v>
          </cell>
          <cell r="OZ290">
            <v>1164.249</v>
          </cell>
          <cell r="PA290">
            <v>1317.89</v>
          </cell>
          <cell r="PB290">
            <v>1213.261</v>
          </cell>
          <cell r="PC290">
            <v>1331.8969999999999</v>
          </cell>
          <cell r="PD290">
            <v>1370.6110000000001</v>
          </cell>
          <cell r="PE290">
            <v>0.32042087076341641</v>
          </cell>
          <cell r="PF290">
            <v>0.39904795721199976</v>
          </cell>
          <cell r="PG290">
            <v>0.58144134291730465</v>
          </cell>
          <cell r="PH290">
            <v>0.77232196284490973</v>
          </cell>
          <cell r="PI290">
            <v>0.41383987000349376</v>
          </cell>
          <cell r="PJ290">
            <v>0.43212381437660019</v>
          </cell>
          <cell r="PK290">
            <v>0.3151721887470984</v>
          </cell>
          <cell r="PL290">
            <v>0.30013443297172454</v>
          </cell>
          <cell r="PM290">
            <v>0.59131390956264518</v>
          </cell>
          <cell r="PN290">
            <v>0.4138121095849539</v>
          </cell>
          <cell r="PO290">
            <v>0.30245067121022584</v>
          </cell>
          <cell r="PP290">
            <v>0.27540792114664464</v>
          </cell>
          <cell r="PQ290">
            <v>0.37263107273476753</v>
          </cell>
          <cell r="PR290">
            <v>0.47072749123569491</v>
          </cell>
          <cell r="PS290">
            <v>0.59704807774753932</v>
          </cell>
          <cell r="PT290">
            <v>0.75619900492291892</v>
          </cell>
          <cell r="PU290">
            <v>0.4492539071054239</v>
          </cell>
          <cell r="PV290">
            <v>0.41476432412890329</v>
          </cell>
          <cell r="PW290">
            <v>0.29507916534061962</v>
          </cell>
          <cell r="PX290">
            <v>0.24296241272608199</v>
          </cell>
          <cell r="PY290">
            <v>0.40966384211622575</v>
          </cell>
          <cell r="PZ290">
            <v>0.36127005017290581</v>
          </cell>
          <cell r="QA290">
            <v>0.28857733095945709</v>
          </cell>
          <cell r="QB290">
            <v>0.27728795671876838</v>
          </cell>
          <cell r="QC290">
            <v>0.38354844824621614</v>
          </cell>
          <cell r="QD290">
            <v>0.49021413898290234</v>
          </cell>
          <cell r="QE290">
            <v>0.55639341212586124</v>
          </cell>
          <cell r="QF290">
            <v>0.80313499581784464</v>
          </cell>
          <cell r="QG290">
            <v>0.42797838458860338</v>
          </cell>
          <cell r="QH290">
            <v>0.4049480505440331</v>
          </cell>
          <cell r="QI290">
            <v>0.26751419455788583</v>
          </cell>
          <cell r="QJ290">
            <v>0.25666210650626431</v>
          </cell>
          <cell r="QK290">
            <v>0.4824709307792574</v>
          </cell>
          <cell r="QL290">
            <v>0.39759701917545098</v>
          </cell>
          <cell r="QM290">
            <v>0.31994829245685852</v>
          </cell>
          <cell r="QN290">
            <v>0.31773680785033143</v>
          </cell>
          <cell r="QO290">
            <v>0.34593968032833711</v>
          </cell>
          <cell r="QP290">
            <v>0.47004659317973629</v>
          </cell>
          <cell r="QQ290">
            <v>0.50002672448341445</v>
          </cell>
          <cell r="QR290">
            <v>0.63694854265514922</v>
          </cell>
          <cell r="QS290">
            <v>0.44654883118158212</v>
          </cell>
          <cell r="QT290">
            <v>0.42148594956166469</v>
          </cell>
          <cell r="QU290">
            <v>0.27426112885047782</v>
          </cell>
          <cell r="QV290">
            <v>0.32319633105599577</v>
          </cell>
          <cell r="QW290">
            <v>0.54626409922100194</v>
          </cell>
          <cell r="QX290">
            <v>0.38456920805950512</v>
          </cell>
          <cell r="QY290">
            <v>0.30817546110133831</v>
          </cell>
          <cell r="QZ290">
            <v>0.24851759072306512</v>
          </cell>
          <cell r="RA290">
            <v>0.34239198915788016</v>
          </cell>
          <cell r="RB290">
            <v>0.41672102538553257</v>
          </cell>
          <cell r="RC290">
            <v>0.58130380343958188</v>
          </cell>
          <cell r="RD290">
            <v>0.75935862925940922</v>
          </cell>
          <cell r="RE290">
            <v>0.42563957822840787</v>
          </cell>
          <cell r="RF290">
            <v>0.43118340269677147</v>
          </cell>
          <cell r="RG290">
            <v>0.31130830003102633</v>
          </cell>
          <cell r="RH290">
            <v>0.27320057249388896</v>
          </cell>
          <cell r="RI290">
            <v>0.5176304394235931</v>
          </cell>
          <cell r="RJ290">
            <v>0.38127142861110386</v>
          </cell>
          <cell r="RK290">
            <v>0.30694456418143046</v>
          </cell>
          <cell r="RL290">
            <v>0.26821653703654952</v>
          </cell>
          <cell r="RM290">
            <v>0.35329282685915125</v>
          </cell>
          <cell r="RN290">
            <v>0.44836654228614392</v>
          </cell>
          <cell r="RO290">
            <v>0.56043571175958495</v>
          </cell>
          <cell r="RP290">
            <v>0.73428163218140441</v>
          </cell>
          <cell r="RQ290">
            <v>0.4278680203854166</v>
          </cell>
          <cell r="RR290">
            <v>0.42634670142513759</v>
          </cell>
          <cell r="RS290">
            <v>0.29555714581696546</v>
          </cell>
          <cell r="RT290">
            <v>0.2846001537648486</v>
          </cell>
          <cell r="RU290">
            <v>0.51281873569226377</v>
          </cell>
          <cell r="RV290">
            <v>0.3835596978330249</v>
          </cell>
          <cell r="RW290">
            <v>0.30195537615103696</v>
          </cell>
          <cell r="RX290">
            <v>0.2683917399680007</v>
          </cell>
          <cell r="RY290">
            <v>0.35298641224612348</v>
          </cell>
          <cell r="RZ290">
            <v>0.44935144119917325</v>
          </cell>
          <cell r="SA290">
            <v>0.56324267214274015</v>
          </cell>
          <cell r="SB290">
            <v>0.74559262710004626</v>
          </cell>
          <cell r="SC290">
            <v>0.43265211422150218</v>
          </cell>
          <cell r="SD290">
            <v>0.42090110826159455</v>
          </cell>
          <cell r="SE290">
            <v>0.29266699550542163</v>
          </cell>
          <cell r="SF290">
            <v>0.2792311711507911</v>
          </cell>
          <cell r="SG290">
            <v>0.50946864422054539</v>
          </cell>
          <cell r="SH290">
            <v>0.38770396312078392</v>
          </cell>
          <cell r="SI290">
            <v>0.30521926398186211</v>
          </cell>
          <cell r="SJ290">
            <v>0.27743336269507179</v>
          </cell>
          <cell r="SK290">
            <v>0.35956080346527042</v>
          </cell>
          <cell r="SL290">
            <v>0.45921515821400199</v>
          </cell>
          <cell r="SM290">
            <v>0.55904154591119637</v>
          </cell>
          <cell r="SN290">
            <v>0.73798456096734522</v>
          </cell>
          <cell r="SO290">
            <v>0.43545774429788681</v>
          </cell>
          <cell r="SP290">
            <v>0.41974568567130199</v>
          </cell>
          <cell r="SQ290">
            <v>0.28874398691939501</v>
          </cell>
          <cell r="SR290">
            <v>0.27612431530941589</v>
          </cell>
          <cell r="SS290">
            <v>0.49376960944646786</v>
          </cell>
          <cell r="ST290">
            <v>0.38165348077039812</v>
          </cell>
          <cell r="SU290">
            <v>0.30512020497002429</v>
          </cell>
          <cell r="SV290">
            <v>0.27603012645934299</v>
          </cell>
          <cell r="SW290">
            <v>0.3556318713675416</v>
          </cell>
          <cell r="SX290">
            <v>0.45493994820669764</v>
          </cell>
          <cell r="SY290">
            <v>0.55228046479023662</v>
          </cell>
          <cell r="SZ290">
            <v>0.73586328540277079</v>
          </cell>
          <cell r="TA290">
            <v>0.43213738572110244</v>
          </cell>
          <cell r="TB290">
            <v>0.42097304249784029</v>
          </cell>
          <cell r="TC290">
            <v>0.28826155295235545</v>
          </cell>
          <cell r="TD290">
            <v>0.28337806699435775</v>
          </cell>
          <cell r="TE290">
            <v>0.51373056986733179</v>
          </cell>
          <cell r="TF290">
            <v>0.38694026335997378</v>
          </cell>
          <cell r="TG290">
            <v>0.30844859157450527</v>
          </cell>
          <cell r="TH290">
            <v>0.27605920765460373</v>
          </cell>
          <cell r="TI290">
            <v>0.35083434241135247</v>
          </cell>
          <cell r="TJ290">
            <v>0.44874015205291751</v>
          </cell>
          <cell r="TK290">
            <v>0.55281009154730354</v>
          </cell>
          <cell r="TL290">
            <v>0.7228331984326708</v>
          </cell>
          <cell r="TM290">
            <v>0.43363325766295913</v>
          </cell>
          <cell r="TN290">
            <v>0.42393256952329406</v>
          </cell>
          <cell r="TO290">
            <v>0.2925075114246572</v>
          </cell>
          <cell r="TP290">
            <v>0.28727050875498805</v>
          </cell>
          <cell r="TQ290">
            <v>0.5159903056007753</v>
          </cell>
          <cell r="TR290">
            <v>0.38375155567896324</v>
          </cell>
          <cell r="TS290">
            <v>0.30548297407713842</v>
          </cell>
          <cell r="TT290">
            <v>0.26771787137640601</v>
          </cell>
          <cell r="TU290">
            <v>0.35277278061919337</v>
          </cell>
          <cell r="TV290">
            <v>0.44571882305830984</v>
          </cell>
          <cell r="TW290">
            <v>0.56326083960866802</v>
          </cell>
          <cell r="TX290">
            <v>0.74261614698219525</v>
          </cell>
          <cell r="TY290">
            <v>0.43075096857086326</v>
          </cell>
          <cell r="TZ290">
            <v>0.42382998811052919</v>
          </cell>
          <cell r="UA290">
            <v>0.29530759624503278</v>
          </cell>
          <cell r="UB290">
            <v>0.27930685594266047</v>
          </cell>
          <cell r="UC290">
            <v>0.50948359973003932</v>
          </cell>
          <cell r="UD290">
            <v>0.38422576673905695</v>
          </cell>
          <cell r="UE290">
            <v>0.30553760017177184</v>
          </cell>
          <cell r="UF290">
            <v>0.27322619476271376</v>
          </cell>
          <cell r="UG290">
            <v>0.35446125126988792</v>
          </cell>
          <cell r="UH290">
            <v>0.45212264839178679</v>
          </cell>
          <cell r="UI290">
            <v>0.55756209723021222</v>
          </cell>
          <cell r="UJ290">
            <v>0.73531106081684738</v>
          </cell>
          <cell r="UK290">
            <v>0.43234970445777343</v>
          </cell>
          <cell r="UL290">
            <v>0.42237982147583369</v>
          </cell>
          <cell r="UM290">
            <v>0.29154743852375897</v>
          </cell>
          <cell r="UN290">
            <v>0.28212084319488029</v>
          </cell>
          <cell r="UO290">
            <v>0.50915557296547664</v>
          </cell>
          <cell r="UP290">
            <v>0.38472179215262903</v>
          </cell>
          <cell r="UQ290">
            <v>0.3052452821509134</v>
          </cell>
          <cell r="UR290">
            <v>0.27312646163068505</v>
          </cell>
          <cell r="US290">
            <v>0.35435724202189628</v>
          </cell>
        </row>
      </sheetData>
      <sheetData sheetId="7" refreshError="1"/>
      <sheetData sheetId="8" refreshError="1">
        <row r="290">
          <cell r="CC290"/>
          <cell r="CD290"/>
          <cell r="CE290"/>
          <cell r="CF290"/>
          <cell r="CG290"/>
          <cell r="CH290">
            <v>0.56799999999999995</v>
          </cell>
          <cell r="CI290">
            <v>0.23799999999999999</v>
          </cell>
          <cell r="CJ290"/>
          <cell r="CK290">
            <v>1.9E-2</v>
          </cell>
          <cell r="CL290">
            <v>1.7000000000000001E-2</v>
          </cell>
          <cell r="CM290">
            <v>8.0000000000000002E-3</v>
          </cell>
          <cell r="CN290">
            <v>1.7000000000000001E-2</v>
          </cell>
          <cell r="CO290">
            <v>1.7000000000000001E-2</v>
          </cell>
          <cell r="CP290">
            <v>2.5999999999999999E-2</v>
          </cell>
          <cell r="CQ290">
            <v>1.2999999999999999E-2</v>
          </cell>
          <cell r="CR290">
            <v>7.0000000000000001E-3</v>
          </cell>
          <cell r="CS290">
            <v>2E-3</v>
          </cell>
          <cell r="CT290">
            <v>1.9E-2</v>
          </cell>
          <cell r="CU290">
            <v>4.2999999999999997E-2</v>
          </cell>
          <cell r="CV290">
            <v>8.2000000000000003E-2</v>
          </cell>
          <cell r="CW290">
            <v>0.44600000000000001</v>
          </cell>
          <cell r="CX290">
            <v>8.6999999999999994E-2</v>
          </cell>
          <cell r="CY290">
            <v>2.7E-2</v>
          </cell>
          <cell r="CZ290">
            <v>2.3E-2</v>
          </cell>
          <cell r="DA290">
            <v>6.6000000000000003E-2</v>
          </cell>
          <cell r="DB290">
            <v>0.109</v>
          </cell>
          <cell r="DC290">
            <v>0.14299999999999999</v>
          </cell>
          <cell r="DD290">
            <v>6.0999999999999999E-2</v>
          </cell>
          <cell r="DE290">
            <v>0.17100000000000001</v>
          </cell>
          <cell r="DF290">
            <v>3.4000000000000002E-2</v>
          </cell>
          <cell r="DG290">
            <v>1.7999999999999999E-2</v>
          </cell>
          <cell r="DH290">
            <v>1.4999999999999999E-2</v>
          </cell>
          <cell r="DI290">
            <v>5.8000000000000003E-2</v>
          </cell>
          <cell r="DJ290">
            <v>2.5000000000000001E-2</v>
          </cell>
          <cell r="DK290">
            <v>4.4999999999999998E-2</v>
          </cell>
          <cell r="DL290">
            <v>5.0000000000000001E-3</v>
          </cell>
          <cell r="DM290">
            <v>1.2999999999999999E-2</v>
          </cell>
          <cell r="DN290">
            <v>2.7E-2</v>
          </cell>
          <cell r="DO290">
            <v>8.9999999999999993E-3</v>
          </cell>
          <cell r="DP290">
            <v>2E-3</v>
          </cell>
          <cell r="DQ290">
            <v>1.4999999999999999E-2</v>
          </cell>
          <cell r="DR290">
            <v>7.0000000000000001E-3</v>
          </cell>
          <cell r="DS290">
            <v>2E-3</v>
          </cell>
          <cell r="DT290">
            <v>4.0000000000000001E-3</v>
          </cell>
          <cell r="DU290">
            <v>3.0000000000000001E-3</v>
          </cell>
          <cell r="DV290">
            <v>4.0000000000000001E-3</v>
          </cell>
          <cell r="DW290">
            <v>3.2000000000000001E-2</v>
          </cell>
          <cell r="DX290">
            <v>2.3E-2</v>
          </cell>
          <cell r="DY290"/>
          <cell r="DZ290">
            <v>0.109</v>
          </cell>
          <cell r="EA290">
            <v>0.13400000000000001</v>
          </cell>
          <cell r="EB290">
            <v>5.0000000000000001E-3</v>
          </cell>
          <cell r="EC290">
            <v>1.0999999999999999E-2</v>
          </cell>
          <cell r="ED290"/>
          <cell r="EE290">
            <v>2E-3</v>
          </cell>
          <cell r="EF290"/>
          <cell r="EG290"/>
          <cell r="EH290">
            <v>1E-3</v>
          </cell>
          <cell r="EI290"/>
          <cell r="EJ290">
            <v>6.0000000000000001E-3</v>
          </cell>
          <cell r="EK290"/>
          <cell r="EL290"/>
          <cell r="EM290"/>
          <cell r="EN290"/>
          <cell r="EO290"/>
          <cell r="EP290"/>
          <cell r="EQ290"/>
          <cell r="ER290">
            <v>2.23E-2</v>
          </cell>
          <cell r="ES290">
            <v>2.2339999999999999E-2</v>
          </cell>
          <cell r="ET290"/>
          <cell r="EU290"/>
          <cell r="EV290">
            <v>2.7599999999999999E-4</v>
          </cell>
          <cell r="EW290"/>
          <cell r="EX290">
            <v>7.0236000000000007E-2</v>
          </cell>
          <cell r="EY290"/>
          <cell r="EZ290">
            <v>1.26E-4</v>
          </cell>
          <cell r="FA290">
            <v>1.6819999999999999E-3</v>
          </cell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>
            <v>6.0000000000000002E-6</v>
          </cell>
          <cell r="GD290"/>
          <cell r="GE290">
            <v>5.8500000000000002E-4</v>
          </cell>
          <cell r="GF290">
            <v>4.0819999999999997E-3</v>
          </cell>
          <cell r="GG290"/>
          <cell r="GH290"/>
          <cell r="GI290">
            <v>2.16E-3</v>
          </cell>
          <cell r="GJ290">
            <v>9.0000000000000002E-6</v>
          </cell>
          <cell r="GK290"/>
          <cell r="GL290"/>
          <cell r="GM290"/>
          <cell r="GN290"/>
          <cell r="GO290"/>
          <cell r="GP290">
            <v>1.861E-3</v>
          </cell>
          <cell r="GQ290"/>
          <cell r="GR290">
            <v>9.9999999999999995E-7</v>
          </cell>
          <cell r="GS290">
            <v>1.1E-5</v>
          </cell>
          <cell r="GT290"/>
          <cell r="GU290"/>
          <cell r="GV290"/>
          <cell r="GW290"/>
          <cell r="GX290"/>
          <cell r="GY290">
            <v>3.0200000000000002E-4</v>
          </cell>
          <cell r="GZ290"/>
          <cell r="HA290">
            <v>2.0000000000000001E-4</v>
          </cell>
          <cell r="HB290"/>
          <cell r="HC290">
            <v>0.30808000000000002</v>
          </cell>
          <cell r="HD290">
            <v>4.0499999999999998E-4</v>
          </cell>
          <cell r="HE290">
            <v>2.0000000000000001E-4</v>
          </cell>
          <cell r="HF290">
            <v>2.0000000000000001E-4</v>
          </cell>
          <cell r="HG290">
            <v>5.5999999999999995E-4</v>
          </cell>
          <cell r="HH290"/>
          <cell r="HI290">
            <v>1.1999999999999999E-3</v>
          </cell>
          <cell r="HJ290">
            <v>1.85E-4</v>
          </cell>
          <cell r="HK290"/>
          <cell r="HL290"/>
          <cell r="HM290"/>
          <cell r="HN290">
            <v>4.5050000000000003E-3</v>
          </cell>
          <cell r="HO290"/>
          <cell r="HP290"/>
          <cell r="HQ290">
            <v>1.7000000000000001E-4</v>
          </cell>
          <cell r="HR290">
            <v>1.4100000000000001E-4</v>
          </cell>
          <cell r="HS290">
            <v>0.51365000000000005</v>
          </cell>
          <cell r="HT290">
            <v>2.0797059999999998</v>
          </cell>
          <cell r="HU290">
            <v>1.2829740000000001</v>
          </cell>
          <cell r="HV290">
            <v>2.124879</v>
          </cell>
          <cell r="HW290">
            <v>1.139E-3</v>
          </cell>
          <cell r="HX290">
            <v>2.3675000000000002E-2</v>
          </cell>
          <cell r="HY290">
            <v>1.3627E-2</v>
          </cell>
          <cell r="HZ290">
            <v>3.5177E-2</v>
          </cell>
          <cell r="IA290">
            <v>3.2543999999999997E-2</v>
          </cell>
          <cell r="IB290">
            <v>1.6983000000000002E-2</v>
          </cell>
          <cell r="IC290">
            <v>2.5794999999999998E-2</v>
          </cell>
          <cell r="ID290">
            <v>2.0781000000000001E-2</v>
          </cell>
          <cell r="IE290">
            <v>4.2206E-2</v>
          </cell>
          <cell r="IF290">
            <v>4.0869999999999997E-2</v>
          </cell>
          <cell r="IG290">
            <v>3.0429000000000001E-2</v>
          </cell>
          <cell r="IH290">
            <v>0.14673</v>
          </cell>
          <cell r="II290">
            <v>6.4674999999999996E-2</v>
          </cell>
          <cell r="IJ290">
            <v>7.1334999999999996E-2</v>
          </cell>
          <cell r="IK290">
            <v>7.0642999999999997E-2</v>
          </cell>
          <cell r="IL290">
            <v>0.44153500000000001</v>
          </cell>
          <cell r="IM290">
            <v>0.121253</v>
          </cell>
          <cell r="IN290">
            <v>0.103119</v>
          </cell>
          <cell r="IO290">
            <v>0.28208499999999997</v>
          </cell>
          <cell r="IP290">
            <v>0.15554499999999999</v>
          </cell>
          <cell r="IQ290">
            <v>2.7231000000000002E-2</v>
          </cell>
          <cell r="IR290">
            <v>6.1367999999999999E-2</v>
          </cell>
          <cell r="IS290">
            <v>4.2132000000000003E-2</v>
          </cell>
          <cell r="IT290">
            <v>0.10481600000000001</v>
          </cell>
          <cell r="IU290">
            <v>0.14885699999999999</v>
          </cell>
          <cell r="IV290">
            <v>0.183031</v>
          </cell>
          <cell r="IW290">
            <v>0.219113</v>
          </cell>
          <cell r="IX290">
            <v>0.20979800000000001</v>
          </cell>
          <cell r="IY290">
            <v>0.15124399999999999</v>
          </cell>
          <cell r="IZ290">
            <v>0.118634</v>
          </cell>
          <cell r="JA290">
            <v>0.14325599999999999</v>
          </cell>
          <cell r="JB290">
            <v>0.112952</v>
          </cell>
          <cell r="JC290">
            <v>0.190388</v>
          </cell>
          <cell r="JD290">
            <v>8.2594000000000001E-2</v>
          </cell>
          <cell r="JE290">
            <v>0.156829</v>
          </cell>
          <cell r="JF290">
            <v>0.19811300000000001</v>
          </cell>
          <cell r="JG290">
            <v>0.12806500000000001</v>
          </cell>
          <cell r="JH290">
            <v>0.13093399999999999</v>
          </cell>
          <cell r="JI290">
            <v>0.125914</v>
          </cell>
          <cell r="JJ290">
            <v>0.15024399999999999</v>
          </cell>
          <cell r="JK290">
            <v>0.167517</v>
          </cell>
          <cell r="JL290">
            <v>0.14268</v>
          </cell>
          <cell r="JM290">
            <v>0.235902</v>
          </cell>
          <cell r="JN290">
            <v>0.20474300000000001</v>
          </cell>
          <cell r="JO290">
            <v>0.13894899999999999</v>
          </cell>
          <cell r="JP290">
            <v>9.1098999999999999E-2</v>
          </cell>
          <cell r="JQ290">
            <v>0.13849800000000001</v>
          </cell>
          <cell r="JR290">
            <v>0.10415000000000001</v>
          </cell>
          <cell r="JS290">
            <v>0.16860600000000001</v>
          </cell>
          <cell r="JT290">
            <v>0.13666300000000001</v>
          </cell>
          <cell r="JU290">
            <v>0.200603</v>
          </cell>
          <cell r="JV290">
            <v>0.12934200000000001</v>
          </cell>
          <cell r="JW290">
            <v>0.221329</v>
          </cell>
          <cell r="JX290">
            <v>0.21166499999999999</v>
          </cell>
          <cell r="JY290">
            <v>0.129916</v>
          </cell>
          <cell r="JZ290">
            <v>0.12721399999999999</v>
          </cell>
          <cell r="KA290">
            <v>0.18177299999999999</v>
          </cell>
          <cell r="KB290">
            <v>0.14976</v>
          </cell>
          <cell r="KC290">
            <v>0.24326400000000001</v>
          </cell>
          <cell r="KD290">
            <v>0.19062100000000001</v>
          </cell>
          <cell r="KE290">
            <v>0.177537</v>
          </cell>
          <cell r="KF290">
            <v>0.18130199999999999</v>
          </cell>
          <cell r="KG290">
            <v>0.108001</v>
          </cell>
          <cell r="KH290">
            <v>5.8645000000000003E-2</v>
          </cell>
          <cell r="KI290">
            <v>0.13739599999999999</v>
          </cell>
          <cell r="KJ290">
            <v>0.17782500000000001</v>
          </cell>
          <cell r="KK290">
            <v>0.13761999999999999</v>
          </cell>
          <cell r="KL290">
            <v>0.18231</v>
          </cell>
          <cell r="KM290">
            <v>0.14033399999999999</v>
          </cell>
          <cell r="KN290">
            <v>0.25173200000000001</v>
          </cell>
          <cell r="KO290">
            <v>0.13048299999999999</v>
          </cell>
          <cell r="KP290">
            <v>0.10244499999999999</v>
          </cell>
          <cell r="KQ290">
            <v>0.16067999999999999</v>
          </cell>
          <cell r="KR290">
            <v>0.141515</v>
          </cell>
          <cell r="KS290">
            <v>0.12845899999999999</v>
          </cell>
          <cell r="KT290">
            <v>8.9607999999999993E-2</v>
          </cell>
          <cell r="KU290">
            <v>0.12006799999999999</v>
          </cell>
          <cell r="KV290">
            <v>0.209428</v>
          </cell>
          <cell r="KW290">
            <v>9.1932E-2</v>
          </cell>
          <cell r="KX290">
            <v>0.17178199999999999</v>
          </cell>
          <cell r="KY290">
            <v>8.8511999999999993E-2</v>
          </cell>
          <cell r="KZ290">
            <v>5.2638999999999998E-2</v>
          </cell>
          <cell r="LA290">
            <v>0.18023700000000001</v>
          </cell>
          <cell r="LB290">
            <v>0.12899099999999999</v>
          </cell>
          <cell r="LC290">
            <v>7.2081999999999993E-2</v>
          </cell>
          <cell r="LD290">
            <v>0.17818300000000001</v>
          </cell>
          <cell r="LE290">
            <v>0.11208799999999999</v>
          </cell>
          <cell r="LF290">
            <v>0.13122</v>
          </cell>
          <cell r="LG290">
            <v>0.27108500000000002</v>
          </cell>
          <cell r="LH290">
            <v>0.126307</v>
          </cell>
          <cell r="LI290">
            <v>0.239174</v>
          </cell>
          <cell r="LJ290">
            <v>0.71404500000000004</v>
          </cell>
          <cell r="LK290">
            <v>197.611447</v>
          </cell>
          <cell r="LL290">
            <v>0.43198500000000001</v>
          </cell>
          <cell r="LM290">
            <v>7.7599000000000001E-2</v>
          </cell>
          <cell r="LN290">
            <v>0.107351</v>
          </cell>
          <cell r="LO290">
            <v>0.45479199999999997</v>
          </cell>
          <cell r="LP290">
            <v>0.65113799999999999</v>
          </cell>
          <cell r="LQ290">
            <v>0.76893400000000001</v>
          </cell>
          <cell r="LR290">
            <v>0.31646099999999999</v>
          </cell>
          <cell r="LS290">
            <v>0.29971100000000001</v>
          </cell>
          <cell r="LT290">
            <v>0.29646499999999998</v>
          </cell>
          <cell r="LU290">
            <v>0.89465899999999998</v>
          </cell>
          <cell r="LV290">
            <v>0.57865699999999998</v>
          </cell>
          <cell r="LW290">
            <v>0.65880499999999997</v>
          </cell>
          <cell r="LX290">
            <v>0.42616799999999999</v>
          </cell>
          <cell r="LY290">
            <v>0.51149599999999995</v>
          </cell>
          <cell r="LZ290">
            <v>0.48482599999999998</v>
          </cell>
          <cell r="MA290">
            <v>0.65244199999999997</v>
          </cell>
          <cell r="MB290">
            <v>0.51038799999999995</v>
          </cell>
          <cell r="MC290">
            <v>0.456955</v>
          </cell>
          <cell r="MD290">
            <v>0.71077699999999999</v>
          </cell>
          <cell r="ME290">
            <v>0.49288599999999999</v>
          </cell>
          <cell r="MF290">
            <v>0.336034</v>
          </cell>
          <cell r="MG290">
            <v>0.35432799999999998</v>
          </cell>
          <cell r="MH290">
            <v>0.27050200000000002</v>
          </cell>
          <cell r="MI290">
            <v>0.42059999999999997</v>
          </cell>
          <cell r="MJ290">
            <v>7.7713000000000004E-2</v>
          </cell>
          <cell r="MK290">
            <v>0.22603999999999999</v>
          </cell>
          <cell r="ML290">
            <v>0.22855800000000001</v>
          </cell>
          <cell r="MM290">
            <v>0.78634099999999996</v>
          </cell>
          <cell r="MN290">
            <v>1.1954370000000001</v>
          </cell>
          <cell r="MO290">
            <v>0.424653</v>
          </cell>
          <cell r="MP290">
            <v>0.77966999999999997</v>
          </cell>
          <cell r="MQ290">
            <v>0.60073399999999999</v>
          </cell>
          <cell r="MR290">
            <v>0.77002400000000004</v>
          </cell>
          <cell r="MS290">
            <v>19.469000000000001</v>
          </cell>
          <cell r="MT290">
            <v>22.652999999999999</v>
          </cell>
          <cell r="MU290">
            <v>26.373000000000001</v>
          </cell>
          <cell r="MV290">
            <v>27.667000000000002</v>
          </cell>
          <cell r="MW290">
            <v>32.906999999999996</v>
          </cell>
          <cell r="MX290">
            <v>25.059000000000001</v>
          </cell>
          <cell r="MY290">
            <v>26.475999999999999</v>
          </cell>
          <cell r="MZ290">
            <v>28.527999999999999</v>
          </cell>
          <cell r="NA290">
            <v>172.65700000000001</v>
          </cell>
          <cell r="NB290">
            <v>188.81700000000001</v>
          </cell>
          <cell r="NC290">
            <v>110.773</v>
          </cell>
          <cell r="ND290">
            <v>32.973999999999997</v>
          </cell>
          <cell r="NE290">
            <v>24.283999999999999</v>
          </cell>
          <cell r="NF290">
            <v>53.351999999999997</v>
          </cell>
          <cell r="NG290">
            <v>163.774</v>
          </cell>
          <cell r="NH290">
            <v>278.923</v>
          </cell>
          <cell r="NI290">
            <v>65.197999999999993</v>
          </cell>
          <cell r="NJ290">
            <v>51.853999999999999</v>
          </cell>
          <cell r="NK290">
            <v>59.046999999999997</v>
          </cell>
          <cell r="NL290">
            <v>228.869</v>
          </cell>
          <cell r="NM290">
            <v>309.803</v>
          </cell>
          <cell r="NN290">
            <v>213.874</v>
          </cell>
          <cell r="NO290">
            <v>65.653999999999996</v>
          </cell>
          <cell r="NP290">
            <v>21.331</v>
          </cell>
          <cell r="NQ290">
            <v>58.603000000000002</v>
          </cell>
          <cell r="NR290">
            <v>31.919</v>
          </cell>
          <cell r="NS290">
            <v>187.63800000000001</v>
          </cell>
          <cell r="NT290">
            <v>397.87099999999998</v>
          </cell>
          <cell r="NU290">
            <v>122.489</v>
          </cell>
          <cell r="NV290">
            <v>55.491</v>
          </cell>
          <cell r="NW290">
            <v>156.30099999999999</v>
          </cell>
          <cell r="NX290">
            <v>407.649</v>
          </cell>
          <cell r="NY290">
            <v>409.58499999999998</v>
          </cell>
          <cell r="NZ290">
            <v>227.494</v>
          </cell>
          <cell r="OA290">
            <v>31.337</v>
          </cell>
          <cell r="OB290">
            <v>108.46599999999999</v>
          </cell>
          <cell r="OC290">
            <v>67.957999999999998</v>
          </cell>
          <cell r="OD290">
            <v>19.55</v>
          </cell>
          <cell r="OE290">
            <v>233.81100000000001</v>
          </cell>
          <cell r="OF290">
            <v>240.83099999999999</v>
          </cell>
          <cell r="OG290">
            <v>132.99</v>
          </cell>
          <cell r="OH290">
            <v>194.44300000000001</v>
          </cell>
          <cell r="OI290">
            <v>244.40199999999999</v>
          </cell>
          <cell r="OJ290">
            <v>388.33199999999999</v>
          </cell>
          <cell r="OK290">
            <v>498.851</v>
          </cell>
          <cell r="OL290">
            <v>438.75599999999997</v>
          </cell>
          <cell r="OM290">
            <v>295.142</v>
          </cell>
          <cell r="ON290">
            <v>115.249</v>
          </cell>
          <cell r="OO290">
            <v>48.369</v>
          </cell>
          <cell r="OP290">
            <v>36.707000000000001</v>
          </cell>
          <cell r="OQ290">
            <v>205.77199999999999</v>
          </cell>
          <cell r="OR290">
            <v>240.49199999999999</v>
          </cell>
          <cell r="OS290">
            <v>32.694000000000003</v>
          </cell>
          <cell r="OT290">
            <v>58.609000000000002</v>
          </cell>
          <cell r="OU290">
            <v>95.840999999999994</v>
          </cell>
          <cell r="OV290">
            <v>223.358</v>
          </cell>
          <cell r="OW290">
            <v>302.52100000000002</v>
          </cell>
          <cell r="OX290">
            <v>365.66800000000001</v>
          </cell>
          <cell r="OY290">
            <v>260.90899999999999</v>
          </cell>
          <cell r="OZ290">
            <v>196.27600000000001</v>
          </cell>
          <cell r="PA290">
            <v>137.83799999999999</v>
          </cell>
          <cell r="PB290">
            <v>31.783999999999999</v>
          </cell>
          <cell r="PC290">
            <v>233.59299999999999</v>
          </cell>
          <cell r="PD290">
            <v>372.81700000000001</v>
          </cell>
          <cell r="PE290">
            <v>0.32042087076341641</v>
          </cell>
          <cell r="PF290">
            <v>0.39904795721199976</v>
          </cell>
          <cell r="PG290">
            <v>0.58144134291730465</v>
          </cell>
          <cell r="PH290">
            <v>0.77232196284490973</v>
          </cell>
          <cell r="PI290">
            <v>0.41383987000349376</v>
          </cell>
          <cell r="PJ290">
            <v>0.43212381437660019</v>
          </cell>
          <cell r="PK290">
            <v>0.3151721887470984</v>
          </cell>
          <cell r="PL290">
            <v>0.30013443297172454</v>
          </cell>
          <cell r="PM290">
            <v>0.59131390956264518</v>
          </cell>
          <cell r="PN290">
            <v>0.4138121095849539</v>
          </cell>
          <cell r="PO290">
            <v>0.30245067121022584</v>
          </cell>
          <cell r="PP290">
            <v>0.27540792114664464</v>
          </cell>
          <cell r="PQ290">
            <v>0.37263107273476753</v>
          </cell>
          <cell r="PR290">
            <v>0.47072749123569491</v>
          </cell>
          <cell r="PS290">
            <v>0.59704807774753932</v>
          </cell>
          <cell r="PT290">
            <v>0.75619900492291892</v>
          </cell>
          <cell r="PU290">
            <v>0.4492539071054239</v>
          </cell>
          <cell r="PV290">
            <v>0.41476432412890329</v>
          </cell>
          <cell r="PW290">
            <v>0.29507916534061962</v>
          </cell>
          <cell r="PX290">
            <v>0.24296241272608199</v>
          </cell>
          <cell r="PY290">
            <v>0.40966384211622575</v>
          </cell>
          <cell r="PZ290">
            <v>0.36127005017290581</v>
          </cell>
          <cell r="QA290">
            <v>0.28857733095945709</v>
          </cell>
          <cell r="QB290">
            <v>0.27728795671876838</v>
          </cell>
          <cell r="QC290">
            <v>0.38354844824621614</v>
          </cell>
          <cell r="QD290">
            <v>0.49021413898290234</v>
          </cell>
          <cell r="QE290">
            <v>0.55639341212586124</v>
          </cell>
          <cell r="QF290">
            <v>0.80313499581784464</v>
          </cell>
          <cell r="QG290">
            <v>0.42797838458860338</v>
          </cell>
          <cell r="QH290">
            <v>0.4049480505440331</v>
          </cell>
          <cell r="QI290">
            <v>0.26751419455788583</v>
          </cell>
          <cell r="QJ290">
            <v>0.25666210650626431</v>
          </cell>
          <cell r="QK290">
            <v>0.4824709307792574</v>
          </cell>
          <cell r="QL290">
            <v>0.39759701917545098</v>
          </cell>
          <cell r="QM290">
            <v>0.31994829245685852</v>
          </cell>
          <cell r="QN290">
            <v>0.31773680785033143</v>
          </cell>
          <cell r="QO290">
            <v>0.34593968032833711</v>
          </cell>
          <cell r="QP290">
            <v>0.47004659317973629</v>
          </cell>
          <cell r="QQ290">
            <v>0.50002672448341445</v>
          </cell>
          <cell r="QR290">
            <v>0.63694854265514922</v>
          </cell>
          <cell r="QS290">
            <v>0.44654883118158212</v>
          </cell>
          <cell r="QT290">
            <v>0.42148594956166469</v>
          </cell>
          <cell r="QU290">
            <v>0.27426112885047782</v>
          </cell>
          <cell r="QV290">
            <v>0.32319633105599577</v>
          </cell>
          <cell r="QW290">
            <v>0.54626409922100194</v>
          </cell>
          <cell r="QX290">
            <v>0.38456920805950512</v>
          </cell>
          <cell r="QY290">
            <v>0.30817546110133831</v>
          </cell>
          <cell r="QZ290">
            <v>0.24851759072306512</v>
          </cell>
          <cell r="RA290">
            <v>0.34239198915788016</v>
          </cell>
          <cell r="RB290">
            <v>0.41672102538553257</v>
          </cell>
          <cell r="RC290">
            <v>0.58130380343958188</v>
          </cell>
          <cell r="RD290">
            <v>0.75935862925940922</v>
          </cell>
          <cell r="RE290">
            <v>0.42563957822840787</v>
          </cell>
          <cell r="RF290">
            <v>0.43118340269677147</v>
          </cell>
          <cell r="RG290">
            <v>0.31130830003102633</v>
          </cell>
          <cell r="RH290">
            <v>0.27320057249388896</v>
          </cell>
          <cell r="RI290">
            <v>0.5176304394235931</v>
          </cell>
          <cell r="RJ290">
            <v>0.38127142861110386</v>
          </cell>
          <cell r="RK290">
            <v>0.30694456418143046</v>
          </cell>
          <cell r="RL290">
            <v>0.26821653703654952</v>
          </cell>
          <cell r="RM290">
            <v>0.35329282685915125</v>
          </cell>
          <cell r="RN290">
            <v>0.44836654228614392</v>
          </cell>
          <cell r="RO290">
            <v>0.56043571175958495</v>
          </cell>
          <cell r="RP290">
            <v>0.73428163218140441</v>
          </cell>
          <cell r="RQ290">
            <v>0.4278680203854166</v>
          </cell>
          <cell r="RR290">
            <v>0.42634670142513759</v>
          </cell>
          <cell r="RS290">
            <v>0.29555714581696546</v>
          </cell>
          <cell r="RT290">
            <v>0.2846001537648486</v>
          </cell>
          <cell r="RU290">
            <v>0.51281873569226377</v>
          </cell>
          <cell r="RV290">
            <v>0.3835596978330249</v>
          </cell>
          <cell r="RW290">
            <v>0.30195537615103696</v>
          </cell>
          <cell r="RX290">
            <v>0.2683917399680007</v>
          </cell>
          <cell r="RY290">
            <v>0.35298641224612348</v>
          </cell>
          <cell r="RZ290">
            <v>0.44935144119917325</v>
          </cell>
          <cell r="SA290">
            <v>0.56324267214274015</v>
          </cell>
          <cell r="SB290">
            <v>0.74559262710004626</v>
          </cell>
          <cell r="SC290">
            <v>0.43265211422150218</v>
          </cell>
          <cell r="SD290">
            <v>0.42090110826159455</v>
          </cell>
          <cell r="SE290">
            <v>0.29266699550542163</v>
          </cell>
          <cell r="SF290">
            <v>0.2792311711507911</v>
          </cell>
          <cell r="SG290">
            <v>0.50946864422054539</v>
          </cell>
          <cell r="SH290">
            <v>0.38770396312078392</v>
          </cell>
          <cell r="SI290">
            <v>0.30521926398186211</v>
          </cell>
          <cell r="SJ290">
            <v>0.27743336269507179</v>
          </cell>
          <cell r="SK290">
            <v>0.35956080346527042</v>
          </cell>
          <cell r="SL290">
            <v>0.45921515821400199</v>
          </cell>
          <cell r="SM290">
            <v>0.55904154591119637</v>
          </cell>
          <cell r="SN290">
            <v>0.73798456096734522</v>
          </cell>
          <cell r="SO290">
            <v>0.43545774429788681</v>
          </cell>
          <cell r="SP290">
            <v>0.41974568567130199</v>
          </cell>
          <cell r="SQ290">
            <v>0.28874398691939501</v>
          </cell>
          <cell r="SR290">
            <v>0.27612431530941589</v>
          </cell>
          <cell r="SS290">
            <v>0.49376960944646786</v>
          </cell>
          <cell r="ST290">
            <v>0.38165348077039812</v>
          </cell>
          <cell r="SU290">
            <v>0.30512020497002429</v>
          </cell>
          <cell r="SV290">
            <v>0.27603012645934299</v>
          </cell>
          <cell r="SW290">
            <v>0.3556318713675416</v>
          </cell>
          <cell r="SX290">
            <v>0.45493994820669764</v>
          </cell>
          <cell r="SY290">
            <v>0.55228046479023662</v>
          </cell>
          <cell r="SZ290">
            <v>0.73586328540277079</v>
          </cell>
          <cell r="TA290">
            <v>0.43213738572110244</v>
          </cell>
          <cell r="TB290">
            <v>0.42097304249784029</v>
          </cell>
          <cell r="TC290">
            <v>0.28826155295235545</v>
          </cell>
          <cell r="TD290">
            <v>0.28337806699435775</v>
          </cell>
          <cell r="TE290">
            <v>0.51373056986733179</v>
          </cell>
          <cell r="TF290">
            <v>0.38694026335997378</v>
          </cell>
          <cell r="TG290">
            <v>0.30844859157450527</v>
          </cell>
          <cell r="TH290">
            <v>0.27605920765460373</v>
          </cell>
          <cell r="TI290">
            <v>0.35083434241135247</v>
          </cell>
          <cell r="TJ290">
            <v>0.44874015205291751</v>
          </cell>
          <cell r="TK290">
            <v>0.55281009154730354</v>
          </cell>
          <cell r="TL290">
            <v>0.7228331984326708</v>
          </cell>
          <cell r="TM290">
            <v>0.43363325766295913</v>
          </cell>
          <cell r="TN290">
            <v>0.42393256952329406</v>
          </cell>
          <cell r="TO290">
            <v>0.2925075114246572</v>
          </cell>
          <cell r="TP290">
            <v>0.28727050875498805</v>
          </cell>
          <cell r="TQ290">
            <v>0.5159903056007753</v>
          </cell>
          <cell r="TR290">
            <v>0.38375155567896324</v>
          </cell>
          <cell r="TS290">
            <v>0.30548297407713842</v>
          </cell>
          <cell r="TT290">
            <v>0.26771787137640601</v>
          </cell>
          <cell r="TU290">
            <v>0.35277278061919337</v>
          </cell>
          <cell r="TV290">
            <v>0.44571882305830984</v>
          </cell>
          <cell r="TW290">
            <v>0.56326083960866802</v>
          </cell>
          <cell r="TX290">
            <v>0.74261614698219525</v>
          </cell>
          <cell r="TY290">
            <v>0.43075096857086326</v>
          </cell>
          <cell r="TZ290">
            <v>0.42382998811052919</v>
          </cell>
          <cell r="UA290">
            <v>0.29530759624503278</v>
          </cell>
          <cell r="UB290">
            <v>0.27930685594266047</v>
          </cell>
          <cell r="UC290">
            <v>0.50948359973003932</v>
          </cell>
          <cell r="UD290">
            <v>0.38422576673905695</v>
          </cell>
          <cell r="UE290">
            <v>0.30553760017177184</v>
          </cell>
          <cell r="UF290">
            <v>0.27322619476271376</v>
          </cell>
          <cell r="UG290">
            <v>0.35446125126988792</v>
          </cell>
          <cell r="UH290">
            <v>0.45212264839178679</v>
          </cell>
          <cell r="UI290">
            <v>0.55756209723021222</v>
          </cell>
          <cell r="UJ290">
            <v>0.73531106081684738</v>
          </cell>
          <cell r="UK290">
            <v>0.43234970445777343</v>
          </cell>
          <cell r="UL290">
            <v>0.42237982147583369</v>
          </cell>
          <cell r="UM290">
            <v>0.29154743852375897</v>
          </cell>
          <cell r="UN290">
            <v>0.28212084319488029</v>
          </cell>
          <cell r="UO290">
            <v>0.50915557296547664</v>
          </cell>
          <cell r="UP290">
            <v>0.38472179215262886</v>
          </cell>
          <cell r="UQ290">
            <v>0.3052452821509134</v>
          </cell>
          <cell r="UR290">
            <v>0.27312646163068505</v>
          </cell>
          <cell r="US290">
            <v>0.35435724202189628</v>
          </cell>
        </row>
      </sheetData>
      <sheetData sheetId="9" refreshError="1">
        <row r="290">
          <cell r="CC290"/>
          <cell r="CD290"/>
          <cell r="CE290"/>
          <cell r="CF290"/>
          <cell r="CG290"/>
          <cell r="CH290">
            <v>0.56799999999999995</v>
          </cell>
          <cell r="CI290">
            <v>0.23799999999999999</v>
          </cell>
          <cell r="CJ290"/>
          <cell r="CK290">
            <v>1.9E-2</v>
          </cell>
          <cell r="CL290">
            <v>1.7000000000000001E-2</v>
          </cell>
          <cell r="CM290">
            <v>8.0000000000000002E-3</v>
          </cell>
          <cell r="CN290">
            <v>1.7000000000000001E-2</v>
          </cell>
          <cell r="CO290">
            <v>1.7000000000000001E-2</v>
          </cell>
          <cell r="CP290">
            <v>2.5999999999999999E-2</v>
          </cell>
          <cell r="CQ290">
            <v>1.2999999999999999E-2</v>
          </cell>
          <cell r="CR290">
            <v>7.0000000000000001E-3</v>
          </cell>
          <cell r="CS290">
            <v>2E-3</v>
          </cell>
          <cell r="CT290">
            <v>1.9E-2</v>
          </cell>
          <cell r="CU290">
            <v>4.2999999999999997E-2</v>
          </cell>
          <cell r="CV290">
            <v>8.2000000000000003E-2</v>
          </cell>
          <cell r="CW290">
            <v>0.44600000000000001</v>
          </cell>
          <cell r="CX290">
            <v>8.6999999999999994E-2</v>
          </cell>
          <cell r="CY290">
            <v>2.7E-2</v>
          </cell>
          <cell r="CZ290">
            <v>2.3E-2</v>
          </cell>
          <cell r="DA290">
            <v>6.6000000000000003E-2</v>
          </cell>
          <cell r="DB290">
            <v>0.109</v>
          </cell>
          <cell r="DC290">
            <v>0.14299999999999999</v>
          </cell>
          <cell r="DD290">
            <v>6.0999999999999999E-2</v>
          </cell>
          <cell r="DE290">
            <v>0.17100000000000001</v>
          </cell>
          <cell r="DF290">
            <v>3.4000000000000002E-2</v>
          </cell>
          <cell r="DG290">
            <v>1.7999999999999999E-2</v>
          </cell>
          <cell r="DH290">
            <v>1.4999999999999999E-2</v>
          </cell>
          <cell r="DI290">
            <v>5.8000000000000003E-2</v>
          </cell>
          <cell r="DJ290">
            <v>2.5000000000000001E-2</v>
          </cell>
          <cell r="DK290">
            <v>4.4999999999999998E-2</v>
          </cell>
          <cell r="DL290">
            <v>5.0000000000000001E-3</v>
          </cell>
          <cell r="DM290">
            <v>1.2999999999999999E-2</v>
          </cell>
          <cell r="DN290">
            <v>2.7E-2</v>
          </cell>
          <cell r="DO290">
            <v>8.9999999999999993E-3</v>
          </cell>
          <cell r="DP290">
            <v>2E-3</v>
          </cell>
          <cell r="DQ290">
            <v>1.4999999999999999E-2</v>
          </cell>
          <cell r="DR290">
            <v>7.0000000000000001E-3</v>
          </cell>
          <cell r="DS290">
            <v>2E-3</v>
          </cell>
          <cell r="DT290">
            <v>4.0000000000000001E-3</v>
          </cell>
          <cell r="DU290">
            <v>3.0000000000000001E-3</v>
          </cell>
          <cell r="DV290">
            <v>4.0000000000000001E-3</v>
          </cell>
          <cell r="DW290">
            <v>3.2000000000000001E-2</v>
          </cell>
          <cell r="DX290">
            <v>2.3E-2</v>
          </cell>
          <cell r="DY290"/>
          <cell r="DZ290">
            <v>0.109</v>
          </cell>
          <cell r="EA290">
            <v>0.13400000000000001</v>
          </cell>
          <cell r="EB290">
            <v>5.0000000000000001E-3</v>
          </cell>
          <cell r="EC290">
            <v>1.0999999999999999E-2</v>
          </cell>
          <cell r="ED290"/>
          <cell r="EE290">
            <v>2E-3</v>
          </cell>
          <cell r="EF290"/>
          <cell r="EG290"/>
          <cell r="EH290">
            <v>1E-3</v>
          </cell>
          <cell r="EI290"/>
          <cell r="EJ290">
            <v>6.0000000000000001E-3</v>
          </cell>
          <cell r="EK290"/>
          <cell r="EL290"/>
          <cell r="EM290"/>
          <cell r="EN290"/>
          <cell r="EO290"/>
          <cell r="EP290"/>
          <cell r="EQ290"/>
          <cell r="ER290">
            <v>2.23E-2</v>
          </cell>
          <cell r="ES290">
            <v>2.2339999999999999E-2</v>
          </cell>
          <cell r="ET290"/>
          <cell r="EU290"/>
          <cell r="EV290">
            <v>2.7599999999999999E-4</v>
          </cell>
          <cell r="EW290"/>
          <cell r="EX290">
            <v>7.0236000000000007E-2</v>
          </cell>
          <cell r="EY290"/>
          <cell r="EZ290">
            <v>1.26E-4</v>
          </cell>
          <cell r="FA290">
            <v>1.6819999999999999E-3</v>
          </cell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>
            <v>6.0000000000000002E-6</v>
          </cell>
          <cell r="GD290"/>
          <cell r="GE290">
            <v>5.8500000000000002E-4</v>
          </cell>
          <cell r="GF290">
            <v>4.0819999999999997E-3</v>
          </cell>
          <cell r="GG290"/>
          <cell r="GH290"/>
          <cell r="GI290">
            <v>2.16E-3</v>
          </cell>
          <cell r="GJ290">
            <v>9.0000000000000002E-6</v>
          </cell>
          <cell r="GK290"/>
          <cell r="GL290"/>
          <cell r="GM290"/>
          <cell r="GN290"/>
          <cell r="GO290"/>
          <cell r="GP290">
            <v>1.861E-3</v>
          </cell>
          <cell r="GQ290"/>
          <cell r="GR290">
            <v>9.9999999999999995E-7</v>
          </cell>
          <cell r="GS290">
            <v>1.1E-5</v>
          </cell>
          <cell r="GT290"/>
          <cell r="GU290"/>
          <cell r="GV290"/>
          <cell r="GW290"/>
          <cell r="GX290"/>
          <cell r="GY290">
            <v>3.0200000000000002E-4</v>
          </cell>
          <cell r="GZ290"/>
          <cell r="HA290">
            <v>2.0000000000000001E-4</v>
          </cell>
          <cell r="HB290"/>
          <cell r="HC290">
            <v>0.30808000000000002</v>
          </cell>
          <cell r="HD290">
            <v>4.0499999999999998E-4</v>
          </cell>
          <cell r="HE290">
            <v>2.0000000000000001E-4</v>
          </cell>
          <cell r="HF290">
            <v>2.0000000000000001E-4</v>
          </cell>
          <cell r="HG290">
            <v>5.5999999999999995E-4</v>
          </cell>
          <cell r="HH290"/>
          <cell r="HI290">
            <v>1.1999999999999999E-3</v>
          </cell>
          <cell r="HJ290">
            <v>1.85E-4</v>
          </cell>
          <cell r="HK290"/>
          <cell r="HL290"/>
          <cell r="HM290"/>
          <cell r="HN290">
            <v>4.5050000000000003E-3</v>
          </cell>
          <cell r="HO290"/>
          <cell r="HP290"/>
          <cell r="HQ290">
            <v>1.7000000000000001E-4</v>
          </cell>
          <cell r="HR290">
            <v>1.4100000000000001E-4</v>
          </cell>
          <cell r="HS290">
            <v>0.51365000000000005</v>
          </cell>
          <cell r="HT290">
            <v>2.0797059999999998</v>
          </cell>
          <cell r="HU290">
            <v>1.2829740000000001</v>
          </cell>
          <cell r="HV290">
            <v>2.124879</v>
          </cell>
          <cell r="HW290">
            <v>1.139E-3</v>
          </cell>
          <cell r="HX290">
            <v>2.3675000000000002E-2</v>
          </cell>
          <cell r="HY290">
            <v>1.3627E-2</v>
          </cell>
          <cell r="HZ290">
            <v>3.5177E-2</v>
          </cell>
          <cell r="IA290">
            <v>3.2543999999999997E-2</v>
          </cell>
          <cell r="IB290">
            <v>1.6983000000000002E-2</v>
          </cell>
          <cell r="IC290">
            <v>2.5794999999999998E-2</v>
          </cell>
          <cell r="ID290">
            <v>2.0781000000000001E-2</v>
          </cell>
          <cell r="IE290">
            <v>4.2206E-2</v>
          </cell>
          <cell r="IF290">
            <v>4.0869999999999997E-2</v>
          </cell>
          <cell r="IG290">
            <v>3.0429000000000001E-2</v>
          </cell>
          <cell r="IH290">
            <v>0.14673</v>
          </cell>
          <cell r="II290">
            <v>6.4674999999999996E-2</v>
          </cell>
          <cell r="IJ290">
            <v>7.1334999999999996E-2</v>
          </cell>
          <cell r="IK290">
            <v>7.0642999999999997E-2</v>
          </cell>
          <cell r="IL290">
            <v>0.44153500000000001</v>
          </cell>
          <cell r="IM290">
            <v>0.121253</v>
          </cell>
          <cell r="IN290">
            <v>0.103119</v>
          </cell>
          <cell r="IO290">
            <v>0.28208499999999997</v>
          </cell>
          <cell r="IP290">
            <v>0.15554499999999999</v>
          </cell>
          <cell r="IQ290">
            <v>2.7231000000000002E-2</v>
          </cell>
          <cell r="IR290">
            <v>6.1367999999999999E-2</v>
          </cell>
          <cell r="IS290">
            <v>4.2132000000000003E-2</v>
          </cell>
          <cell r="IT290">
            <v>0.10481600000000001</v>
          </cell>
          <cell r="IU290">
            <v>0.14885699999999999</v>
          </cell>
          <cell r="IV290">
            <v>0.183031</v>
          </cell>
          <cell r="IW290">
            <v>0.219113</v>
          </cell>
          <cell r="IX290">
            <v>0.20979800000000001</v>
          </cell>
          <cell r="IY290">
            <v>0.15124399999999999</v>
          </cell>
          <cell r="IZ290">
            <v>0.118634</v>
          </cell>
          <cell r="JA290">
            <v>0.14325599999999999</v>
          </cell>
          <cell r="JB290">
            <v>0.112952</v>
          </cell>
          <cell r="JC290">
            <v>0.190388</v>
          </cell>
          <cell r="JD290">
            <v>8.2594000000000001E-2</v>
          </cell>
          <cell r="JE290">
            <v>0.156829</v>
          </cell>
          <cell r="JF290">
            <v>0.19811300000000001</v>
          </cell>
          <cell r="JG290">
            <v>0.12806500000000001</v>
          </cell>
          <cell r="JH290">
            <v>0.13093399999999999</v>
          </cell>
          <cell r="JI290">
            <v>0.125914</v>
          </cell>
          <cell r="JJ290">
            <v>0.15024399999999999</v>
          </cell>
          <cell r="JK290">
            <v>0.167517</v>
          </cell>
          <cell r="JL290">
            <v>0.14268</v>
          </cell>
          <cell r="JM290">
            <v>0.235902</v>
          </cell>
          <cell r="JN290">
            <v>0.20474300000000001</v>
          </cell>
          <cell r="JO290">
            <v>0.13894899999999999</v>
          </cell>
          <cell r="JP290">
            <v>9.1098999999999999E-2</v>
          </cell>
          <cell r="JQ290">
            <v>0.13849800000000001</v>
          </cell>
          <cell r="JR290">
            <v>0.10415000000000001</v>
          </cell>
          <cell r="JS290">
            <v>0.16860600000000001</v>
          </cell>
          <cell r="JT290">
            <v>0.13666300000000001</v>
          </cell>
          <cell r="JU290">
            <v>0.200603</v>
          </cell>
          <cell r="JV290">
            <v>0.12934200000000001</v>
          </cell>
          <cell r="JW290">
            <v>0.221329</v>
          </cell>
          <cell r="JX290">
            <v>0.21166499999999999</v>
          </cell>
          <cell r="JY290">
            <v>0.129916</v>
          </cell>
          <cell r="JZ290">
            <v>0.12721399999999999</v>
          </cell>
          <cell r="KA290">
            <v>0.18177299999999999</v>
          </cell>
          <cell r="KB290">
            <v>0.14976</v>
          </cell>
          <cell r="KC290">
            <v>0.24326400000000001</v>
          </cell>
          <cell r="KD290">
            <v>0.19062100000000001</v>
          </cell>
          <cell r="KE290">
            <v>0.177537</v>
          </cell>
          <cell r="KF290">
            <v>0.18130199999999999</v>
          </cell>
          <cell r="KG290">
            <v>0.108001</v>
          </cell>
          <cell r="KH290">
            <v>5.8645000000000003E-2</v>
          </cell>
          <cell r="KI290">
            <v>0.13739599999999999</v>
          </cell>
          <cell r="KJ290">
            <v>0.17782500000000001</v>
          </cell>
          <cell r="KK290">
            <v>0.13761999999999999</v>
          </cell>
          <cell r="KL290">
            <v>0.18231</v>
          </cell>
          <cell r="KM290">
            <v>0.14033399999999999</v>
          </cell>
          <cell r="KN290">
            <v>0.25173200000000001</v>
          </cell>
          <cell r="KO290">
            <v>0.13048299999999999</v>
          </cell>
          <cell r="KP290">
            <v>0.10244499999999999</v>
          </cell>
          <cell r="KQ290">
            <v>0.16067999999999999</v>
          </cell>
          <cell r="KR290">
            <v>0.141515</v>
          </cell>
          <cell r="KS290">
            <v>0.12845899999999999</v>
          </cell>
          <cell r="KT290">
            <v>8.9607999999999993E-2</v>
          </cell>
          <cell r="KU290">
            <v>0.12006799999999999</v>
          </cell>
          <cell r="KV290">
            <v>0.209428</v>
          </cell>
          <cell r="KW290">
            <v>9.1932E-2</v>
          </cell>
          <cell r="KX290">
            <v>0.17178199999999999</v>
          </cell>
          <cell r="KY290">
            <v>8.8511999999999993E-2</v>
          </cell>
          <cell r="KZ290">
            <v>5.2638999999999998E-2</v>
          </cell>
          <cell r="LA290">
            <v>0.18023700000000001</v>
          </cell>
          <cell r="LB290">
            <v>0.12899099999999999</v>
          </cell>
          <cell r="LC290">
            <v>7.2081999999999993E-2</v>
          </cell>
          <cell r="LD290">
            <v>0.17818300000000001</v>
          </cell>
          <cell r="LE290">
            <v>0.11208799999999999</v>
          </cell>
          <cell r="LF290">
            <v>0.13122</v>
          </cell>
          <cell r="LG290">
            <v>0.27108500000000002</v>
          </cell>
          <cell r="LH290">
            <v>0.126307</v>
          </cell>
          <cell r="LI290">
            <v>0.239174</v>
          </cell>
          <cell r="LJ290">
            <v>0.71404500000000004</v>
          </cell>
          <cell r="LK290">
            <v>197.611447</v>
          </cell>
          <cell r="LL290">
            <v>0.43198500000000001</v>
          </cell>
          <cell r="LM290">
            <v>7.7599000000000001E-2</v>
          </cell>
          <cell r="LN290">
            <v>0.107351</v>
          </cell>
          <cell r="LO290">
            <v>0.45479199999999997</v>
          </cell>
          <cell r="LP290">
            <v>0.65113799999999999</v>
          </cell>
          <cell r="LQ290">
            <v>0.76893400000000001</v>
          </cell>
          <cell r="LR290">
            <v>0.31646099999999999</v>
          </cell>
          <cell r="LS290">
            <v>0.29971100000000001</v>
          </cell>
          <cell r="LT290">
            <v>0.29646499999999998</v>
          </cell>
          <cell r="LU290">
            <v>0.89465899999999998</v>
          </cell>
          <cell r="LV290">
            <v>0.57865699999999998</v>
          </cell>
          <cell r="LW290">
            <v>0.65880499999999997</v>
          </cell>
          <cell r="LX290">
            <v>0.42616799999999999</v>
          </cell>
          <cell r="LY290">
            <v>0.51149599999999995</v>
          </cell>
          <cell r="LZ290">
            <v>0.48482599999999998</v>
          </cell>
          <cell r="MA290">
            <v>0.65244199999999997</v>
          </cell>
          <cell r="MB290">
            <v>0.51038799999999995</v>
          </cell>
          <cell r="MC290">
            <v>0.456955</v>
          </cell>
          <cell r="MD290">
            <v>0.71077699999999999</v>
          </cell>
          <cell r="ME290">
            <v>0.49288599999999999</v>
          </cell>
          <cell r="MF290">
            <v>0.336034</v>
          </cell>
          <cell r="MG290">
            <v>0.35432799999999998</v>
          </cell>
          <cell r="MH290">
            <v>0.27050200000000002</v>
          </cell>
          <cell r="MI290">
            <v>0.42059999999999997</v>
          </cell>
          <cell r="MJ290">
            <v>7.7713000000000004E-2</v>
          </cell>
          <cell r="MK290">
            <v>0.22603999999999999</v>
          </cell>
          <cell r="ML290">
            <v>0.22855800000000001</v>
          </cell>
          <cell r="MM290">
            <v>0.78634099999999996</v>
          </cell>
          <cell r="MN290">
            <v>1.1954370000000001</v>
          </cell>
          <cell r="MO290">
            <v>0.424653</v>
          </cell>
          <cell r="MP290">
            <v>0.77966999999999997</v>
          </cell>
          <cell r="MQ290">
            <v>0.60073399999999999</v>
          </cell>
          <cell r="MR290">
            <v>0.77002400000000004</v>
          </cell>
          <cell r="MS290">
            <v>166.57</v>
          </cell>
          <cell r="MT290">
            <v>116.759</v>
          </cell>
          <cell r="MU290">
            <v>84.29</v>
          </cell>
          <cell r="MV290">
            <v>139.119</v>
          </cell>
          <cell r="MW290">
            <v>127.268</v>
          </cell>
          <cell r="MX290">
            <v>128.607</v>
          </cell>
          <cell r="MY290">
            <v>184.55699999999999</v>
          </cell>
          <cell r="MZ290">
            <v>137.95500000000001</v>
          </cell>
          <cell r="NA290">
            <v>165.61500000000001</v>
          </cell>
          <cell r="NB290">
            <v>156.71600000000001</v>
          </cell>
          <cell r="NC290">
            <v>176.178</v>
          </cell>
          <cell r="ND290">
            <v>189.97300000000001</v>
          </cell>
          <cell r="NE290">
            <v>191.755</v>
          </cell>
          <cell r="NF290">
            <v>124.902</v>
          </cell>
          <cell r="NG290">
            <v>101.015</v>
          </cell>
          <cell r="NH290">
            <v>108.375</v>
          </cell>
          <cell r="NI290">
            <v>121.486</v>
          </cell>
          <cell r="NJ290">
            <v>124.47499999999999</v>
          </cell>
          <cell r="NK290">
            <v>146.52099999999999</v>
          </cell>
          <cell r="NL290">
            <v>166.46799999999999</v>
          </cell>
          <cell r="NM290">
            <v>152.684</v>
          </cell>
          <cell r="NN290">
            <v>136.27799999999999</v>
          </cell>
          <cell r="NO290">
            <v>140.31700000000001</v>
          </cell>
          <cell r="NP290">
            <v>124.276</v>
          </cell>
          <cell r="NQ290">
            <v>167.37299999999999</v>
          </cell>
          <cell r="NR290">
            <v>258.63900000000001</v>
          </cell>
          <cell r="NS290">
            <v>575.44399999999996</v>
          </cell>
          <cell r="NT290">
            <v>730.11599999999999</v>
          </cell>
          <cell r="NU290">
            <v>641.76700000000005</v>
          </cell>
          <cell r="NV290">
            <v>669.19600000000003</v>
          </cell>
          <cell r="NW290">
            <v>710.40700000000004</v>
          </cell>
          <cell r="NX290">
            <v>538.63400000000001</v>
          </cell>
          <cell r="NY290">
            <v>599.30999999999995</v>
          </cell>
          <cell r="NZ290">
            <v>540.17200000000003</v>
          </cell>
          <cell r="OA290">
            <v>400.42899999999997</v>
          </cell>
          <cell r="OB290">
            <v>310.65300000000002</v>
          </cell>
          <cell r="OC290">
            <v>101.88</v>
          </cell>
          <cell r="OD290">
            <v>85.269000000000005</v>
          </cell>
          <cell r="OE290">
            <v>135.679</v>
          </cell>
          <cell r="OF290">
            <v>142.33099999999999</v>
          </cell>
          <cell r="OG290">
            <v>176.79599999999999</v>
          </cell>
          <cell r="OH290">
            <v>208.517</v>
          </cell>
          <cell r="OI290">
            <v>250.17699999999999</v>
          </cell>
          <cell r="OJ290">
            <v>234.32400000000001</v>
          </cell>
          <cell r="OK290">
            <v>204.75899999999999</v>
          </cell>
          <cell r="OL290">
            <v>151.893</v>
          </cell>
          <cell r="OM290">
            <v>234.36199999999999</v>
          </cell>
          <cell r="ON290">
            <v>282.40100000000001</v>
          </cell>
          <cell r="OO290">
            <v>224.61799999999999</v>
          </cell>
          <cell r="OP290">
            <v>250.36799999999999</v>
          </cell>
          <cell r="OQ290">
            <v>424.57</v>
          </cell>
          <cell r="OR290">
            <v>335.99299999999999</v>
          </cell>
          <cell r="OS290">
            <v>323.90199999999999</v>
          </cell>
          <cell r="OT290">
            <v>228.803</v>
          </cell>
          <cell r="OU290">
            <v>225.49100000000001</v>
          </cell>
          <cell r="OV290">
            <v>190.50200000000001</v>
          </cell>
          <cell r="OW290">
            <v>196.56800000000001</v>
          </cell>
          <cell r="OX290">
            <v>176.45500000000001</v>
          </cell>
          <cell r="OY290">
            <v>211.83699999999999</v>
          </cell>
          <cell r="OZ290">
            <v>189.74199999999999</v>
          </cell>
          <cell r="PA290">
            <v>160.33199999999999</v>
          </cell>
          <cell r="PB290">
            <v>137.07400000000001</v>
          </cell>
          <cell r="PC290">
            <v>154.011</v>
          </cell>
          <cell r="PD290">
            <v>168.41800000000001</v>
          </cell>
          <cell r="PE290">
            <v>0.32042087076341641</v>
          </cell>
          <cell r="PF290">
            <v>0.39904795721199976</v>
          </cell>
          <cell r="PG290">
            <v>0.58144134291730465</v>
          </cell>
          <cell r="PH290">
            <v>0.77232196284490973</v>
          </cell>
          <cell r="PI290">
            <v>0.41383987000349376</v>
          </cell>
          <cell r="PJ290">
            <v>0.43212381437660019</v>
          </cell>
          <cell r="PK290">
            <v>0.3151721887470984</v>
          </cell>
          <cell r="PL290">
            <v>0.30013443297172454</v>
          </cell>
          <cell r="PM290">
            <v>0.59131390956264518</v>
          </cell>
          <cell r="PN290">
            <v>0.4138121095849539</v>
          </cell>
          <cell r="PO290">
            <v>0.30245067121022584</v>
          </cell>
          <cell r="PP290">
            <v>0.27540792114664464</v>
          </cell>
          <cell r="PQ290">
            <v>0.37263107273476753</v>
          </cell>
          <cell r="PR290">
            <v>0.47072749123569491</v>
          </cell>
          <cell r="PS290">
            <v>0.59704807774753932</v>
          </cell>
          <cell r="PT290">
            <v>0.75619900492291892</v>
          </cell>
          <cell r="PU290">
            <v>0.4492539071054239</v>
          </cell>
          <cell r="PV290">
            <v>0.41476432412890329</v>
          </cell>
          <cell r="PW290">
            <v>0.29507916534061962</v>
          </cell>
          <cell r="PX290">
            <v>0.24296241272608199</v>
          </cell>
          <cell r="PY290">
            <v>0.40966384211622575</v>
          </cell>
          <cell r="PZ290">
            <v>0.36127005017290581</v>
          </cell>
          <cell r="QA290">
            <v>0.28857733095945709</v>
          </cell>
          <cell r="QB290">
            <v>0.27728795671876838</v>
          </cell>
          <cell r="QC290">
            <v>0.38354844824621614</v>
          </cell>
          <cell r="QD290">
            <v>0.49021413898290234</v>
          </cell>
          <cell r="QE290">
            <v>0.55639341212586124</v>
          </cell>
          <cell r="QF290">
            <v>0.80313499581784464</v>
          </cell>
          <cell r="QG290">
            <v>0.42797838458860338</v>
          </cell>
          <cell r="QH290">
            <v>0.4049480505440331</v>
          </cell>
          <cell r="QI290">
            <v>0.26751419455788583</v>
          </cell>
          <cell r="QJ290">
            <v>0.25666210650626431</v>
          </cell>
          <cell r="QK290">
            <v>0.4824709307792574</v>
          </cell>
          <cell r="QL290">
            <v>0.39759701917545098</v>
          </cell>
          <cell r="QM290">
            <v>0.31994829245685852</v>
          </cell>
          <cell r="QN290">
            <v>0.31773680785033143</v>
          </cell>
          <cell r="QO290">
            <v>0.34593968032833711</v>
          </cell>
          <cell r="QP290">
            <v>0.47004659317973629</v>
          </cell>
          <cell r="QQ290">
            <v>0.50002672448341445</v>
          </cell>
          <cell r="QR290">
            <v>0.63694854265514922</v>
          </cell>
          <cell r="QS290">
            <v>0.44654883118158212</v>
          </cell>
          <cell r="QT290">
            <v>0.42148594956166469</v>
          </cell>
          <cell r="QU290">
            <v>0.27426112885047782</v>
          </cell>
          <cell r="QV290">
            <v>0.32319633105599577</v>
          </cell>
          <cell r="QW290">
            <v>0.54626409922100194</v>
          </cell>
          <cell r="QX290">
            <v>0.38456920805950512</v>
          </cell>
          <cell r="QY290">
            <v>0.30817546110133831</v>
          </cell>
          <cell r="QZ290">
            <v>0.24851759072306512</v>
          </cell>
          <cell r="RA290">
            <v>0.34239198915788016</v>
          </cell>
          <cell r="RB290">
            <v>0.41672102538553257</v>
          </cell>
          <cell r="RC290">
            <v>0.58130380343958188</v>
          </cell>
          <cell r="RD290">
            <v>0.75935862925940922</v>
          </cell>
          <cell r="RE290">
            <v>0.42563957822840787</v>
          </cell>
          <cell r="RF290">
            <v>0.43118340269677147</v>
          </cell>
          <cell r="RG290">
            <v>0.31130830003102633</v>
          </cell>
          <cell r="RH290">
            <v>0.27320057249388896</v>
          </cell>
          <cell r="RI290">
            <v>0.5176304394235931</v>
          </cell>
          <cell r="RJ290">
            <v>0.38127142861110386</v>
          </cell>
          <cell r="RK290">
            <v>0.30694456418143046</v>
          </cell>
          <cell r="RL290">
            <v>0.26821653703654952</v>
          </cell>
          <cell r="RM290">
            <v>0.35329282685915125</v>
          </cell>
          <cell r="RN290">
            <v>0.44836654228614392</v>
          </cell>
          <cell r="RO290">
            <v>0.56043571175958495</v>
          </cell>
          <cell r="RP290">
            <v>0.73428163218140441</v>
          </cell>
          <cell r="RQ290">
            <v>0.4278680203854166</v>
          </cell>
          <cell r="RR290">
            <v>0.42634670142513759</v>
          </cell>
          <cell r="RS290">
            <v>0.29555714581696546</v>
          </cell>
          <cell r="RT290">
            <v>0.2846001537648486</v>
          </cell>
          <cell r="RU290">
            <v>0.51281873569226377</v>
          </cell>
          <cell r="RV290">
            <v>0.3835596978330249</v>
          </cell>
          <cell r="RW290">
            <v>0.30195537615103696</v>
          </cell>
          <cell r="RX290">
            <v>0.2683917399680007</v>
          </cell>
          <cell r="RY290">
            <v>0.35298641224612348</v>
          </cell>
          <cell r="RZ290">
            <v>0.44935144119917325</v>
          </cell>
          <cell r="SA290">
            <v>0.56324267214274015</v>
          </cell>
          <cell r="SB290">
            <v>0.74559262710004626</v>
          </cell>
          <cell r="SC290">
            <v>0.43265211422150218</v>
          </cell>
          <cell r="SD290">
            <v>0.42090110826159455</v>
          </cell>
          <cell r="SE290">
            <v>0.29266699550542163</v>
          </cell>
          <cell r="SF290">
            <v>0.2792311711507911</v>
          </cell>
          <cell r="SG290">
            <v>0.50946864422054539</v>
          </cell>
          <cell r="SH290">
            <v>0.38770396312078392</v>
          </cell>
          <cell r="SI290">
            <v>0.30521926398186211</v>
          </cell>
          <cell r="SJ290">
            <v>0.27743336269507179</v>
          </cell>
          <cell r="SK290">
            <v>0.35956080346527042</v>
          </cell>
          <cell r="SL290">
            <v>0.45921515821400199</v>
          </cell>
          <cell r="SM290">
            <v>0.55904154591119637</v>
          </cell>
          <cell r="SN290">
            <v>0.73798456096734522</v>
          </cell>
          <cell r="SO290">
            <v>0.43545774429788681</v>
          </cell>
          <cell r="SP290">
            <v>0.41974568567130199</v>
          </cell>
          <cell r="SQ290">
            <v>0.28874398691939501</v>
          </cell>
          <cell r="SR290">
            <v>0.27612431530941589</v>
          </cell>
          <cell r="SS290">
            <v>0.49376960944646786</v>
          </cell>
          <cell r="ST290">
            <v>0.38165348077039812</v>
          </cell>
          <cell r="SU290">
            <v>0.30512020497002429</v>
          </cell>
          <cell r="SV290">
            <v>0.27603012645934299</v>
          </cell>
          <cell r="SW290">
            <v>0.3556318713675416</v>
          </cell>
          <cell r="SX290">
            <v>0.45493994820669764</v>
          </cell>
          <cell r="SY290">
            <v>0.55228046479023662</v>
          </cell>
          <cell r="SZ290">
            <v>0.73586328540277079</v>
          </cell>
          <cell r="TA290">
            <v>0.43213738572110244</v>
          </cell>
          <cell r="TB290">
            <v>0.42097304249784029</v>
          </cell>
          <cell r="TC290">
            <v>0.28826155295235545</v>
          </cell>
          <cell r="TD290">
            <v>0.28337806699435775</v>
          </cell>
          <cell r="TE290">
            <v>0.51373056986733179</v>
          </cell>
          <cell r="TF290">
            <v>0.38694026335997378</v>
          </cell>
          <cell r="TG290">
            <v>0.30844859157450527</v>
          </cell>
          <cell r="TH290">
            <v>0.27605920765460373</v>
          </cell>
          <cell r="TI290">
            <v>0.35083434241135247</v>
          </cell>
          <cell r="TJ290">
            <v>0.44874015205291751</v>
          </cell>
          <cell r="TK290">
            <v>0.55281009154730354</v>
          </cell>
          <cell r="TL290">
            <v>0.7228331984326708</v>
          </cell>
          <cell r="TM290">
            <v>0.43363325766295913</v>
          </cell>
          <cell r="TN290">
            <v>0.42393256952329406</v>
          </cell>
          <cell r="TO290">
            <v>0.2925075114246572</v>
          </cell>
          <cell r="TP290">
            <v>0.28727050875498805</v>
          </cell>
          <cell r="TQ290">
            <v>0.5159903056007753</v>
          </cell>
          <cell r="TR290">
            <v>0.38375155567896324</v>
          </cell>
          <cell r="TS290">
            <v>0.30548297407713842</v>
          </cell>
          <cell r="TT290">
            <v>0.26771787137640601</v>
          </cell>
          <cell r="TU290">
            <v>0.35277278061919337</v>
          </cell>
          <cell r="TV290">
            <v>0.44571882305830984</v>
          </cell>
          <cell r="TW290">
            <v>0.56326083960866802</v>
          </cell>
          <cell r="TX290">
            <v>0.74261614698219525</v>
          </cell>
          <cell r="TY290">
            <v>0.43075096857086326</v>
          </cell>
          <cell r="TZ290">
            <v>0.42382998811052919</v>
          </cell>
          <cell r="UA290">
            <v>0.29530759624503278</v>
          </cell>
          <cell r="UB290">
            <v>0.27930685594266047</v>
          </cell>
          <cell r="UC290">
            <v>0.50948359973003932</v>
          </cell>
          <cell r="UD290">
            <v>0.38422576673905695</v>
          </cell>
          <cell r="UE290">
            <v>0.30553760017177184</v>
          </cell>
          <cell r="UF290">
            <v>0.27322619476271376</v>
          </cell>
          <cell r="UG290">
            <v>0.35446125126988792</v>
          </cell>
          <cell r="UH290">
            <v>0.45212264839178679</v>
          </cell>
          <cell r="UI290">
            <v>0.55756209723021222</v>
          </cell>
          <cell r="UJ290">
            <v>0.73531106081684738</v>
          </cell>
          <cell r="UK290">
            <v>0.43234970445777343</v>
          </cell>
          <cell r="UL290">
            <v>0.42237982147583369</v>
          </cell>
          <cell r="UM290">
            <v>0.29154743852375897</v>
          </cell>
          <cell r="UN290">
            <v>0.28212084319488029</v>
          </cell>
          <cell r="UO290">
            <v>0.50915557296547664</v>
          </cell>
          <cell r="UP290">
            <v>0.38472179215262886</v>
          </cell>
          <cell r="UQ290">
            <v>0.3052452821509134</v>
          </cell>
          <cell r="UR290">
            <v>0.27312646163068505</v>
          </cell>
          <cell r="US290">
            <v>0.35435724202189628</v>
          </cell>
        </row>
      </sheetData>
      <sheetData sheetId="10" refreshError="1">
        <row r="4">
          <cell r="DQ4">
            <v>0.36799999999999999</v>
          </cell>
        </row>
        <row r="290">
          <cell r="OJ290">
            <v>3815.9845789999999</v>
          </cell>
          <cell r="OK290">
            <v>4163.9032880000004</v>
          </cell>
          <cell r="OL290">
            <v>3303.848281</v>
          </cell>
          <cell r="OM290">
            <v>2339.131171</v>
          </cell>
          <cell r="ON290">
            <v>4015.650936</v>
          </cell>
          <cell r="OO290">
            <v>3002.961139</v>
          </cell>
          <cell r="OP290">
            <v>3032.5804680000001</v>
          </cell>
          <cell r="OQ290">
            <v>2712.835</v>
          </cell>
          <cell r="OR290">
            <v>2323.3429999999998</v>
          </cell>
          <cell r="OS290">
            <v>2429.8780000000002</v>
          </cell>
          <cell r="OT290">
            <v>6.8325782499999983</v>
          </cell>
        </row>
      </sheetData>
      <sheetData sheetId="11" refreshError="1"/>
      <sheetData sheetId="12" refreshError="1">
        <row r="4">
          <cell r="DQ4">
            <v>0</v>
          </cell>
        </row>
        <row r="290">
          <cell r="EQ290"/>
          <cell r="ER290"/>
          <cell r="ES290">
            <v>2.2339999999999999E-2</v>
          </cell>
          <cell r="ET290"/>
          <cell r="EU290"/>
          <cell r="EV290">
            <v>2.7599999999999999E-4</v>
          </cell>
          <cell r="EW290"/>
          <cell r="EX290">
            <v>7.0236000000000007E-2</v>
          </cell>
          <cell r="EY290"/>
          <cell r="EZ290">
            <v>1.26E-4</v>
          </cell>
          <cell r="FA290">
            <v>1.6819999999999999E-3</v>
          </cell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>
            <v>6.0000000000000002E-6</v>
          </cell>
          <cell r="GD290"/>
          <cell r="GE290">
            <v>5.8500000000000002E-4</v>
          </cell>
          <cell r="GF290">
            <v>4.0819999999999997E-3</v>
          </cell>
          <cell r="GG290"/>
          <cell r="GH290"/>
          <cell r="GI290">
            <v>2.16E-3</v>
          </cell>
          <cell r="GJ290">
            <v>9.0000000000000002E-6</v>
          </cell>
          <cell r="GK290"/>
          <cell r="GL290"/>
          <cell r="GM290"/>
          <cell r="GN290"/>
          <cell r="GO290"/>
          <cell r="GP290">
            <v>1.861E-3</v>
          </cell>
          <cell r="GQ290"/>
          <cell r="GR290">
            <v>9.9999999999999995E-7</v>
          </cell>
          <cell r="GS290">
            <v>1.1E-5</v>
          </cell>
          <cell r="GT290"/>
          <cell r="GU290"/>
          <cell r="GV290"/>
          <cell r="GW290"/>
          <cell r="GX290"/>
          <cell r="GY290">
            <v>3.0200000000000002E-4</v>
          </cell>
          <cell r="GZ290"/>
          <cell r="HA290">
            <v>2.0000000000000001E-4</v>
          </cell>
          <cell r="HB290"/>
          <cell r="HC290">
            <v>0.30808000000000002</v>
          </cell>
          <cell r="HD290">
            <v>4.0499999999999998E-4</v>
          </cell>
          <cell r="HE290">
            <v>2.0000000000000001E-4</v>
          </cell>
          <cell r="HF290">
            <v>2.0000000000000001E-4</v>
          </cell>
          <cell r="HG290">
            <v>5.5999999999999995E-4</v>
          </cell>
          <cell r="HH290"/>
          <cell r="HI290">
            <v>1.1999999999999999E-3</v>
          </cell>
          <cell r="HJ290">
            <v>1.85E-4</v>
          </cell>
          <cell r="HK290"/>
          <cell r="HL290"/>
          <cell r="HM290"/>
          <cell r="HN290">
            <v>4.5050000000000003E-3</v>
          </cell>
          <cell r="HO290"/>
          <cell r="HP290"/>
          <cell r="HQ290">
            <v>1.7000000000000001E-4</v>
          </cell>
          <cell r="HR290">
            <v>1.4100000000000001E-4</v>
          </cell>
          <cell r="HS290">
            <v>0.51365000000000005</v>
          </cell>
          <cell r="HT290">
            <v>2.0797059999999998</v>
          </cell>
          <cell r="HU290">
            <v>1.2829740000000001</v>
          </cell>
          <cell r="HV290">
            <v>2.124879</v>
          </cell>
          <cell r="HW290">
            <v>1.139E-3</v>
          </cell>
          <cell r="HX290">
            <v>2.3675000000000002E-2</v>
          </cell>
          <cell r="HY290">
            <v>1.3627E-2</v>
          </cell>
          <cell r="HZ290">
            <v>3.5177E-2</v>
          </cell>
          <cell r="IA290">
            <v>154.273143</v>
          </cell>
          <cell r="IB290">
            <v>1.6983000000000002E-2</v>
          </cell>
          <cell r="IC290">
            <v>2.5794999999999998E-2</v>
          </cell>
          <cell r="ID290">
            <v>2.0781000000000001E-2</v>
          </cell>
          <cell r="IE290">
            <v>4.2206E-2</v>
          </cell>
          <cell r="IF290">
            <v>4.0869999999999997E-2</v>
          </cell>
          <cell r="IG290">
            <v>3.0429000000000001E-2</v>
          </cell>
          <cell r="IH290">
            <v>0.14673</v>
          </cell>
          <cell r="II290">
            <v>338.735477</v>
          </cell>
          <cell r="IJ290">
            <v>204.521162</v>
          </cell>
          <cell r="IK290">
            <v>93.496218999999996</v>
          </cell>
          <cell r="IL290">
            <v>1.190337</v>
          </cell>
          <cell r="IM290">
            <v>286.00932499999999</v>
          </cell>
          <cell r="IN290">
            <v>1191.1042010000001</v>
          </cell>
          <cell r="IO290">
            <v>1930.4440239999999</v>
          </cell>
          <cell r="IP290">
            <v>1589.101727</v>
          </cell>
          <cell r="IQ290">
            <v>1825.2281829999999</v>
          </cell>
          <cell r="IR290">
            <v>1925.3461139999999</v>
          </cell>
          <cell r="IS290">
            <v>1027.4660180000001</v>
          </cell>
          <cell r="IT290">
            <v>1186.638737</v>
          </cell>
          <cell r="IU290">
            <v>387.75366300000002</v>
          </cell>
          <cell r="IV290">
            <v>119.06962799999999</v>
          </cell>
          <cell r="IW290">
            <v>60.624563999999999</v>
          </cell>
          <cell r="IX290">
            <v>11.815661</v>
          </cell>
          <cell r="IY290">
            <v>271.57399500000002</v>
          </cell>
          <cell r="IZ290">
            <v>1523.6189159999999</v>
          </cell>
          <cell r="JA290">
            <v>1649.216776</v>
          </cell>
          <cell r="JB290">
            <v>1521.2312609999999</v>
          </cell>
          <cell r="JC290">
            <v>908.76466900000003</v>
          </cell>
          <cell r="JD290">
            <v>814.28594399999997</v>
          </cell>
          <cell r="JE290">
            <v>852.47840199999996</v>
          </cell>
          <cell r="JF290">
            <v>279.156363</v>
          </cell>
          <cell r="JG290">
            <v>280.18886099999997</v>
          </cell>
          <cell r="JH290">
            <v>103.640067</v>
          </cell>
          <cell r="JI290">
            <v>165.73211900000001</v>
          </cell>
          <cell r="JJ290">
            <v>134.90349699999999</v>
          </cell>
          <cell r="JK290">
            <v>1704.8859210000001</v>
          </cell>
          <cell r="JL290">
            <v>2760.7034149999999</v>
          </cell>
          <cell r="JM290">
            <v>3147.0066339999998</v>
          </cell>
          <cell r="JN290">
            <v>3662.5016949999999</v>
          </cell>
          <cell r="JO290">
            <v>3915.6774970000001</v>
          </cell>
          <cell r="JP290">
            <v>2794.4533139999999</v>
          </cell>
          <cell r="JQ290">
            <v>3372.0460280000002</v>
          </cell>
          <cell r="JR290">
            <v>2294.7842019999998</v>
          </cell>
          <cell r="JS290">
            <v>1609.449582</v>
          </cell>
          <cell r="JT290">
            <v>608.75118399999997</v>
          </cell>
          <cell r="JU290">
            <v>275.86507899999998</v>
          </cell>
          <cell r="JV290">
            <v>276.67584199999999</v>
          </cell>
          <cell r="JW290">
            <v>733.39810599999998</v>
          </cell>
          <cell r="JX290">
            <v>3050.4742190000002</v>
          </cell>
          <cell r="JY290">
            <v>3450.0995910000001</v>
          </cell>
          <cell r="JZ290">
            <v>3953.6200960000001</v>
          </cell>
          <cell r="KA290">
            <v>3913.142362</v>
          </cell>
          <cell r="KB290">
            <v>3085.7448039999999</v>
          </cell>
          <cell r="KC290">
            <v>2926.795071</v>
          </cell>
          <cell r="KD290">
            <v>1063.516916</v>
          </cell>
          <cell r="KE290">
            <v>579.105681</v>
          </cell>
          <cell r="KF290">
            <v>566.38103599999999</v>
          </cell>
          <cell r="KG290">
            <v>127.56925699999999</v>
          </cell>
          <cell r="KH290">
            <v>88.117194999999995</v>
          </cell>
          <cell r="KI290">
            <v>592.15280299999995</v>
          </cell>
          <cell r="KJ290">
            <v>2458.034024</v>
          </cell>
          <cell r="KK290">
            <v>2685.5623700000001</v>
          </cell>
          <cell r="KL290">
            <v>3179.5485189999999</v>
          </cell>
          <cell r="KM290">
            <v>2980.1986969999998</v>
          </cell>
          <cell r="KN290">
            <v>3407.6221070000001</v>
          </cell>
          <cell r="KO290">
            <v>3196.9902539999998</v>
          </cell>
          <cell r="KP290">
            <v>1105.4124240000001</v>
          </cell>
          <cell r="KQ290">
            <v>676.55872099999999</v>
          </cell>
          <cell r="KR290">
            <v>163.73901799999999</v>
          </cell>
          <cell r="KS290">
            <v>39.539335999999999</v>
          </cell>
          <cell r="KT290">
            <v>137.87546399999999</v>
          </cell>
          <cell r="KU290">
            <v>1281.4127989999999</v>
          </cell>
          <cell r="KV290">
            <v>2285.1788620000002</v>
          </cell>
          <cell r="KW290">
            <v>3456.0935909999998</v>
          </cell>
          <cell r="KX290">
            <v>5549.4027939999996</v>
          </cell>
          <cell r="KY290">
            <v>4759.5547509999997</v>
          </cell>
          <cell r="KZ290">
            <v>6272.1210570000003</v>
          </cell>
          <cell r="LA290">
            <v>4442.5035010000001</v>
          </cell>
          <cell r="LB290">
            <v>5374.941589</v>
          </cell>
          <cell r="LC290">
            <v>2027.7032770000001</v>
          </cell>
          <cell r="LD290">
            <v>370.53413499999999</v>
          </cell>
          <cell r="LE290">
            <v>28.093024</v>
          </cell>
          <cell r="LF290">
            <v>20.195084000000001</v>
          </cell>
          <cell r="LG290">
            <v>1046.2512750000001</v>
          </cell>
          <cell r="LH290">
            <v>2565.9134829999998</v>
          </cell>
          <cell r="LI290">
            <v>2915.5443850000001</v>
          </cell>
          <cell r="LJ290">
            <v>1103.4230680000001</v>
          </cell>
          <cell r="LK290">
            <v>966.62862500000006</v>
          </cell>
          <cell r="LL290">
            <v>1011.578293</v>
          </cell>
          <cell r="LM290">
            <v>1452.3874060000001</v>
          </cell>
          <cell r="LN290">
            <v>487.99655799999999</v>
          </cell>
          <cell r="LO290">
            <v>243.40698900000001</v>
          </cell>
          <cell r="LP290">
            <v>155.35162299999999</v>
          </cell>
          <cell r="LQ290">
            <v>310.62109600000002</v>
          </cell>
          <cell r="LR290">
            <v>564.947093</v>
          </cell>
          <cell r="LS290">
            <v>2323.9155890000002</v>
          </cell>
          <cell r="LT290">
            <v>5258.0927190000002</v>
          </cell>
          <cell r="LU290">
            <v>5915.9270210000004</v>
          </cell>
          <cell r="LV290">
            <v>5030.288904</v>
          </cell>
          <cell r="LW290">
            <v>3524.0154870000001</v>
          </cell>
          <cell r="LX290">
            <v>3998.9615800000001</v>
          </cell>
          <cell r="LY290">
            <v>3022.9793410000002</v>
          </cell>
          <cell r="LZ290">
            <v>1255.5673260000001</v>
          </cell>
          <cell r="MA290">
            <v>605.65457600000002</v>
          </cell>
          <cell r="MB290">
            <v>115.68559399999999</v>
          </cell>
          <cell r="MC290">
            <v>57.370697999999997</v>
          </cell>
          <cell r="MD290">
            <v>144.690934</v>
          </cell>
          <cell r="ME290">
            <v>1171.24442</v>
          </cell>
          <cell r="MF290">
            <v>2826.5814799999998</v>
          </cell>
          <cell r="MG290">
            <v>3361.6464810000002</v>
          </cell>
          <cell r="MH290">
            <v>3109.789115</v>
          </cell>
          <cell r="MI290">
            <v>3649.6550229999998</v>
          </cell>
          <cell r="MJ290">
            <v>3643.573985</v>
          </cell>
          <cell r="MK290">
            <v>3835.1438349999999</v>
          </cell>
          <cell r="ML290">
            <v>1598.510115</v>
          </cell>
          <cell r="MM290">
            <v>827.46110699999997</v>
          </cell>
          <cell r="MN290">
            <v>349.38226200000003</v>
          </cell>
          <cell r="MO290">
            <v>957.66693499999997</v>
          </cell>
          <cell r="MP290">
            <v>1195.0195819999999</v>
          </cell>
          <cell r="MQ290">
            <v>5926.4529519999996</v>
          </cell>
          <cell r="MR290">
            <v>7321.4604470000004</v>
          </cell>
          <cell r="MS290">
            <v>6442.1723910000001</v>
          </cell>
          <cell r="MT290">
            <v>6023.7442789999996</v>
          </cell>
          <cell r="MU290">
            <v>4110.2834130000001</v>
          </cell>
          <cell r="MV290">
            <v>4164.8062069999996</v>
          </cell>
          <cell r="MW290">
            <v>2087.889631</v>
          </cell>
          <cell r="MX290">
            <v>340.25600400000002</v>
          </cell>
          <cell r="MY290">
            <v>472.66970600000002</v>
          </cell>
          <cell r="MZ290">
            <v>6.6964819999999996</v>
          </cell>
          <cell r="NA290">
            <v>24.933229999999998</v>
          </cell>
          <cell r="NB290">
            <v>312.210825</v>
          </cell>
          <cell r="NC290">
            <v>3979.2241629999999</v>
          </cell>
          <cell r="ND290">
            <v>6243.7866020000001</v>
          </cell>
          <cell r="NE290">
            <v>6371.2634399999997</v>
          </cell>
          <cell r="NF290">
            <v>5003.8128559999996</v>
          </cell>
          <cell r="NG290">
            <v>4732.6241369999998</v>
          </cell>
          <cell r="NH290">
            <v>4856.5700660000002</v>
          </cell>
          <cell r="NI290">
            <v>2346.3035359999999</v>
          </cell>
          <cell r="NJ290">
            <v>776.81888200000003</v>
          </cell>
          <cell r="NK290">
            <v>292.01317299999999</v>
          </cell>
          <cell r="NL290">
            <v>130.87634700000001</v>
          </cell>
          <cell r="NM290">
            <v>13.919890000000001</v>
          </cell>
          <cell r="NN290">
            <v>92.169250000000005</v>
          </cell>
          <cell r="NO290">
            <v>1991.3689910000001</v>
          </cell>
          <cell r="NP290">
            <v>4335.7629729999999</v>
          </cell>
          <cell r="NQ290">
            <v>2850.1717170000002</v>
          </cell>
          <cell r="NR290">
            <v>1797.038335</v>
          </cell>
          <cell r="NS290">
            <v>2392.5219619999998</v>
          </cell>
          <cell r="NT290">
            <v>3410.6003689999998</v>
          </cell>
          <cell r="NU290">
            <v>2732.4735970000002</v>
          </cell>
          <cell r="NV290">
            <v>768.39660500000002</v>
          </cell>
          <cell r="NW290">
            <v>14.278862999999999</v>
          </cell>
          <cell r="NX290">
            <v>690.29581499999995</v>
          </cell>
          <cell r="NY290">
            <v>1088.4720769999999</v>
          </cell>
          <cell r="NZ290">
            <v>989.29951900000003</v>
          </cell>
          <cell r="OA290">
            <v>4119.0912369999996</v>
          </cell>
          <cell r="OB290">
            <v>7446.0912950000002</v>
          </cell>
          <cell r="OC290">
            <v>6421.8759899999995</v>
          </cell>
          <cell r="OD290">
            <v>6785.0694970000004</v>
          </cell>
          <cell r="OE290">
            <v>5889.6308060000001</v>
          </cell>
          <cell r="OF290">
            <v>6244.7075930000001</v>
          </cell>
          <cell r="OG290">
            <v>6139.9445649999998</v>
          </cell>
          <cell r="OH290">
            <v>2274.2307689999998</v>
          </cell>
          <cell r="OI290">
            <v>1335.257523</v>
          </cell>
          <cell r="OJ290">
            <v>470.80533500000001</v>
          </cell>
          <cell r="OK290">
            <v>384.88475899999997</v>
          </cell>
          <cell r="OL290">
            <v>1034.2820019999999</v>
          </cell>
          <cell r="OM290">
            <v>4230.6227399999998</v>
          </cell>
          <cell r="ON290">
            <v>9363.4758340000008</v>
          </cell>
          <cell r="OO290">
            <v>8746.3822679999994</v>
          </cell>
          <cell r="OP290">
            <v>8448.4376699999993</v>
          </cell>
          <cell r="OQ290">
            <v>7405.9028559999997</v>
          </cell>
          <cell r="OR290">
            <v>6063.8159240000005</v>
          </cell>
          <cell r="OS290">
            <v>4866.6492449999996</v>
          </cell>
          <cell r="OT290">
            <v>1713.0862529999999</v>
          </cell>
          <cell r="OU290">
            <v>427.30785600000002</v>
          </cell>
          <cell r="OV290">
            <v>66.139351000000005</v>
          </cell>
          <cell r="OW290">
            <v>413.37472000000002</v>
          </cell>
          <cell r="OX290">
            <v>850.89280799999995</v>
          </cell>
          <cell r="OY290">
            <v>3553.8658260000002</v>
          </cell>
          <cell r="OZ290">
            <v>6063.1553219999996</v>
          </cell>
          <cell r="PA290">
            <v>6421.9499050000004</v>
          </cell>
          <cell r="PB290">
            <v>6406.2045600000001</v>
          </cell>
          <cell r="PC290">
            <v>4726.3529920000001</v>
          </cell>
          <cell r="PD290">
            <v>4265.8670000000002</v>
          </cell>
          <cell r="PE290">
            <v>3594.0340000000001</v>
          </cell>
          <cell r="PF290">
            <v>0.39904795721199976</v>
          </cell>
          <cell r="PG290">
            <v>0.58144134291730465</v>
          </cell>
          <cell r="PH290">
            <v>0.77232196284490973</v>
          </cell>
          <cell r="PI290">
            <v>0.41383987000349376</v>
          </cell>
          <cell r="PJ290">
            <v>0.43212381437660019</v>
          </cell>
          <cell r="PK290">
            <v>0.3151721887470984</v>
          </cell>
          <cell r="PL290">
            <v>0.30013443297172454</v>
          </cell>
          <cell r="PM290">
            <v>0.59131390956264518</v>
          </cell>
          <cell r="PN290">
            <v>0.4138121095849539</v>
          </cell>
          <cell r="PO290">
            <v>0.30245067121022584</v>
          </cell>
          <cell r="PP290">
            <v>0.27540792114664464</v>
          </cell>
          <cell r="PQ290">
            <v>0.37263107273476753</v>
          </cell>
          <cell r="PR290">
            <v>0.47072749123569491</v>
          </cell>
          <cell r="PS290">
            <v>0.59704807774753932</v>
          </cell>
          <cell r="PT290">
            <v>0.75619900492291892</v>
          </cell>
          <cell r="PU290">
            <v>0.4492539071054239</v>
          </cell>
          <cell r="PV290">
            <v>0.41476432412890329</v>
          </cell>
          <cell r="PW290">
            <v>0.29507916534061962</v>
          </cell>
          <cell r="PX290">
            <v>0.24296241272608199</v>
          </cell>
          <cell r="PY290">
            <v>0.40966384211622575</v>
          </cell>
          <cell r="PZ290">
            <v>0.36127005017290581</v>
          </cell>
          <cell r="QA290">
            <v>0.28857733095945709</v>
          </cell>
          <cell r="QB290">
            <v>0.27728795671876838</v>
          </cell>
          <cell r="QC290">
            <v>0.38354844824621614</v>
          </cell>
          <cell r="QD290">
            <v>0.49021413898290234</v>
          </cell>
          <cell r="QE290">
            <v>0.55639341212586124</v>
          </cell>
          <cell r="QF290">
            <v>0.80313499581784464</v>
          </cell>
          <cell r="QG290">
            <v>0.42797838458860338</v>
          </cell>
          <cell r="QH290">
            <v>0.4049480505440331</v>
          </cell>
          <cell r="QI290">
            <v>0.26751419455788583</v>
          </cell>
          <cell r="QJ290">
            <v>0.25666210650626431</v>
          </cell>
          <cell r="QK290">
            <v>0.4824709307792574</v>
          </cell>
          <cell r="QL290">
            <v>0.39759701917545098</v>
          </cell>
          <cell r="QM290">
            <v>0.31994829245685852</v>
          </cell>
          <cell r="QN290">
            <v>0.31773680785033143</v>
          </cell>
          <cell r="QO290">
            <v>0.34593968032833711</v>
          </cell>
          <cell r="QP290">
            <v>0.47004659317973629</v>
          </cell>
          <cell r="QQ290">
            <v>0.50002672448341445</v>
          </cell>
          <cell r="QR290">
            <v>0.63694854265514922</v>
          </cell>
          <cell r="QS290">
            <v>0.44654883118158212</v>
          </cell>
          <cell r="QT290">
            <v>0.42148594956166469</v>
          </cell>
          <cell r="QU290">
            <v>0.27426112885047782</v>
          </cell>
          <cell r="QV290">
            <v>0.32319633105599577</v>
          </cell>
          <cell r="QW290">
            <v>0.54626409922100194</v>
          </cell>
          <cell r="QX290">
            <v>0.38456920805950512</v>
          </cell>
          <cell r="QY290">
            <v>0.30817546110133831</v>
          </cell>
          <cell r="QZ290">
            <v>0.24851759072306512</v>
          </cell>
          <cell r="RA290">
            <v>0.34239198915788016</v>
          </cell>
          <cell r="RB290">
            <v>0.41672102538553257</v>
          </cell>
          <cell r="RC290">
            <v>0.58130380343958188</v>
          </cell>
          <cell r="RD290">
            <v>0.75935862925940922</v>
          </cell>
          <cell r="RE290">
            <v>0.42563957822840787</v>
          </cell>
          <cell r="RF290">
            <v>0.43118340269677147</v>
          </cell>
          <cell r="RG290">
            <v>0.31130830003102633</v>
          </cell>
          <cell r="RH290">
            <v>0.27320057249388896</v>
          </cell>
          <cell r="RI290">
            <v>0.5176304394235931</v>
          </cell>
          <cell r="RJ290">
            <v>0.38127142861110386</v>
          </cell>
          <cell r="RK290">
            <v>0.30694456418143046</v>
          </cell>
          <cell r="RL290">
            <v>0.26821653703654952</v>
          </cell>
          <cell r="RM290">
            <v>0.35329282685915125</v>
          </cell>
          <cell r="RN290">
            <v>0.44836654228614392</v>
          </cell>
          <cell r="RO290">
            <v>0.56043571175958495</v>
          </cell>
          <cell r="RP290">
            <v>0.73428163218140441</v>
          </cell>
          <cell r="RQ290">
            <v>0.4278680203854166</v>
          </cell>
          <cell r="RR290">
            <v>0.42634670142513759</v>
          </cell>
          <cell r="RS290">
            <v>0.29555714581696546</v>
          </cell>
          <cell r="RT290">
            <v>0.2846001537648486</v>
          </cell>
          <cell r="RU290">
            <v>0.51281873569226377</v>
          </cell>
          <cell r="RV290">
            <v>0.3835596978330249</v>
          </cell>
          <cell r="RW290">
            <v>0.30195537615103696</v>
          </cell>
          <cell r="RX290">
            <v>0.2683917399680007</v>
          </cell>
          <cell r="RY290">
            <v>0.35298641224612348</v>
          </cell>
          <cell r="RZ290">
            <v>0.44935144119917325</v>
          </cell>
          <cell r="SA290">
            <v>0.56324267214274015</v>
          </cell>
          <cell r="SB290">
            <v>0.74559262710004626</v>
          </cell>
          <cell r="SC290">
            <v>0.43265211422150218</v>
          </cell>
          <cell r="SD290">
            <v>0.42090110826159455</v>
          </cell>
          <cell r="SE290">
            <v>0.29266699550542163</v>
          </cell>
          <cell r="SF290">
            <v>0.2792311711507911</v>
          </cell>
          <cell r="SG290">
            <v>0.50946864422054539</v>
          </cell>
          <cell r="SH290">
            <v>0.38770396312078392</v>
          </cell>
          <cell r="SI290">
            <v>0.30521926398186211</v>
          </cell>
          <cell r="SJ290">
            <v>0.27743336269507179</v>
          </cell>
          <cell r="SK290">
            <v>0.35956080346527042</v>
          </cell>
          <cell r="SL290">
            <v>0.45921515821400199</v>
          </cell>
          <cell r="SM290">
            <v>0.55904154591119637</v>
          </cell>
          <cell r="SN290">
            <v>0.73798456096734522</v>
          </cell>
          <cell r="SO290">
            <v>0.43545774429788681</v>
          </cell>
          <cell r="SP290">
            <v>0.41974568567130199</v>
          </cell>
          <cell r="SQ290">
            <v>0.28874398691939501</v>
          </cell>
          <cell r="SR290">
            <v>0.27612431530941589</v>
          </cell>
          <cell r="SS290">
            <v>0.49376960944646786</v>
          </cell>
          <cell r="ST290">
            <v>0.38165348077039812</v>
          </cell>
          <cell r="SU290">
            <v>0.30512020497002429</v>
          </cell>
          <cell r="SV290">
            <v>0.27603012645934299</v>
          </cell>
          <cell r="SW290">
            <v>0.3556318713675416</v>
          </cell>
          <cell r="SX290">
            <v>0.45493994820669764</v>
          </cell>
          <cell r="SY290">
            <v>0.55228046479023662</v>
          </cell>
          <cell r="SZ290">
            <v>0.73586328540277079</v>
          </cell>
          <cell r="TA290">
            <v>0.43213738572110244</v>
          </cell>
          <cell r="TB290">
            <v>0.42097304249784029</v>
          </cell>
          <cell r="TC290">
            <v>0.28826155295235545</v>
          </cell>
          <cell r="TD290">
            <v>0.28337806699435775</v>
          </cell>
          <cell r="TE290">
            <v>0.51373056986733179</v>
          </cell>
          <cell r="TF290">
            <v>0.38694026335997378</v>
          </cell>
          <cell r="TG290">
            <v>0.30844859157450527</v>
          </cell>
          <cell r="TH290">
            <v>0.27605920765460373</v>
          </cell>
          <cell r="TI290">
            <v>0.35083434241135247</v>
          </cell>
          <cell r="TJ290">
            <v>0.44874015205291751</v>
          </cell>
          <cell r="TK290">
            <v>0.55281009154730354</v>
          </cell>
          <cell r="TL290">
            <v>0.7228331984326708</v>
          </cell>
          <cell r="TM290">
            <v>0.43363325766295913</v>
          </cell>
          <cell r="TN290">
            <v>0.42393256952329406</v>
          </cell>
          <cell r="TO290">
            <v>0.2925075114246572</v>
          </cell>
          <cell r="TP290">
            <v>0.28727050875498805</v>
          </cell>
          <cell r="TQ290">
            <v>0.5159903056007753</v>
          </cell>
          <cell r="TR290">
            <v>0.38375155567896324</v>
          </cell>
          <cell r="TS290">
            <v>0.30548297407713842</v>
          </cell>
          <cell r="TT290">
            <v>0.26771787137640601</v>
          </cell>
          <cell r="TU290">
            <v>0.35277278061919337</v>
          </cell>
          <cell r="TV290">
            <v>0.44571882305830984</v>
          </cell>
          <cell r="TW290">
            <v>0.56326083960866802</v>
          </cell>
          <cell r="TX290">
            <v>0.74261614698219525</v>
          </cell>
          <cell r="TY290">
            <v>0.43075096857086326</v>
          </cell>
          <cell r="TZ290">
            <v>0.42382998811052919</v>
          </cell>
          <cell r="UA290">
            <v>0.29530759624503278</v>
          </cell>
          <cell r="UB290">
            <v>0.27930685594266047</v>
          </cell>
          <cell r="UC290">
            <v>0.50948359973003932</v>
          </cell>
          <cell r="UD290">
            <v>0.38422576673905695</v>
          </cell>
          <cell r="UE290">
            <v>0.30553760017177184</v>
          </cell>
          <cell r="UF290">
            <v>0.27322619476271376</v>
          </cell>
          <cell r="UG290">
            <v>0.35446125126988792</v>
          </cell>
          <cell r="UH290">
            <v>0.45212264839178679</v>
          </cell>
          <cell r="UI290">
            <v>0.55756209723021222</v>
          </cell>
          <cell r="UJ290">
            <v>0.73531106081684738</v>
          </cell>
          <cell r="UK290">
            <v>0.43234970445777343</v>
          </cell>
          <cell r="UL290">
            <v>0.42237982147583369</v>
          </cell>
          <cell r="UM290">
            <v>0.29154743852375897</v>
          </cell>
          <cell r="UN290">
            <v>0.28212084319488029</v>
          </cell>
          <cell r="UO290">
            <v>0.50915557296547664</v>
          </cell>
          <cell r="UP290">
            <v>0.38472179215262886</v>
          </cell>
          <cell r="UQ290">
            <v>0.3052452821509134</v>
          </cell>
          <cell r="UR290">
            <v>0.27312646163068505</v>
          </cell>
          <cell r="US290">
            <v>0.35435724202189628</v>
          </cell>
        </row>
        <row r="292">
          <cell r="EO292"/>
          <cell r="EP292"/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90">
          <cell r="DM290">
            <v>1.2999999999999999E-2</v>
          </cell>
          <cell r="DN290">
            <v>2.7E-2</v>
          </cell>
          <cell r="DO290">
            <v>8.9999999999999993E-3</v>
          </cell>
          <cell r="DP290">
            <v>2E-3</v>
          </cell>
          <cell r="DQ290">
            <v>1.4999999999999999E-2</v>
          </cell>
          <cell r="DR290">
            <v>7.0000000000000001E-3</v>
          </cell>
          <cell r="DS290">
            <v>2E-3</v>
          </cell>
          <cell r="DT290">
            <v>4.0000000000000001E-3</v>
          </cell>
          <cell r="DU290">
            <v>3.0000000000000001E-3</v>
          </cell>
          <cell r="DV290">
            <v>4.0000000000000001E-3</v>
          </cell>
          <cell r="DW290">
            <v>3.2000000000000001E-2</v>
          </cell>
          <cell r="DX290">
            <v>2.3E-2</v>
          </cell>
          <cell r="DY290"/>
          <cell r="DZ290">
            <v>0.109</v>
          </cell>
          <cell r="EA290">
            <v>0.13400000000000001</v>
          </cell>
          <cell r="EB290">
            <v>5.0000000000000001E-3</v>
          </cell>
          <cell r="EC290">
            <v>1.0999999999999999E-2</v>
          </cell>
          <cell r="ED290"/>
          <cell r="EE290">
            <v>2E-3</v>
          </cell>
          <cell r="EF290"/>
          <cell r="EG290"/>
          <cell r="EH290">
            <v>1E-3</v>
          </cell>
          <cell r="EI290"/>
          <cell r="EJ290">
            <v>6.0000000000000001E-3</v>
          </cell>
          <cell r="EK290"/>
          <cell r="EL290"/>
          <cell r="EM290"/>
          <cell r="EN290"/>
          <cell r="EO290"/>
          <cell r="EP290"/>
          <cell r="EQ290"/>
          <cell r="ER290">
            <v>2.23E-2</v>
          </cell>
          <cell r="ES290">
            <v>2.2339999999999999E-2</v>
          </cell>
          <cell r="ET290"/>
          <cell r="EU290"/>
          <cell r="EV290">
            <v>2.7599999999999999E-4</v>
          </cell>
          <cell r="EW290"/>
          <cell r="EX290">
            <v>7.0236000000000007E-2</v>
          </cell>
          <cell r="EY290"/>
          <cell r="EZ290">
            <v>1.26E-4</v>
          </cell>
          <cell r="FA290">
            <v>1.6819999999999999E-3</v>
          </cell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>
            <v>6.0000000000000002E-6</v>
          </cell>
          <cell r="GD290"/>
          <cell r="GE290">
            <v>5.8500000000000002E-4</v>
          </cell>
          <cell r="GF290">
            <v>4.0819999999999997E-3</v>
          </cell>
          <cell r="GG290"/>
          <cell r="GH290"/>
          <cell r="GI290">
            <v>2.16E-3</v>
          </cell>
          <cell r="GJ290">
            <v>9.0000000000000002E-6</v>
          </cell>
          <cell r="GK290"/>
          <cell r="GL290"/>
          <cell r="GM290"/>
          <cell r="GN290"/>
          <cell r="GO290"/>
          <cell r="GP290">
            <v>1.861E-3</v>
          </cell>
          <cell r="GQ290"/>
          <cell r="GR290">
            <v>9.9999999999999995E-7</v>
          </cell>
          <cell r="GS290">
            <v>1.1E-5</v>
          </cell>
          <cell r="GT290"/>
          <cell r="GU290"/>
          <cell r="GV290"/>
          <cell r="GW290"/>
          <cell r="GX290"/>
          <cell r="GY290">
            <v>3.0200000000000002E-4</v>
          </cell>
          <cell r="GZ290"/>
          <cell r="HA290">
            <v>2.0000000000000001E-4</v>
          </cell>
          <cell r="HB290"/>
          <cell r="HC290">
            <v>0.30808000000000002</v>
          </cell>
          <cell r="HD290">
            <v>4.0499999999999998E-4</v>
          </cell>
          <cell r="HE290">
            <v>2.0000000000000001E-4</v>
          </cell>
          <cell r="HF290">
            <v>2.0000000000000001E-4</v>
          </cell>
          <cell r="HG290">
            <v>5.5999999999999995E-4</v>
          </cell>
          <cell r="HH290"/>
          <cell r="HI290">
            <v>1.1999999999999999E-3</v>
          </cell>
          <cell r="HJ290">
            <v>1.85E-4</v>
          </cell>
          <cell r="HK290"/>
          <cell r="HL290"/>
          <cell r="HM290"/>
          <cell r="HN290">
            <v>4.5050000000000003E-3</v>
          </cell>
          <cell r="HO290"/>
          <cell r="HP290"/>
          <cell r="HQ290">
            <v>1.7000000000000001E-4</v>
          </cell>
          <cell r="HR290">
            <v>1.4100000000000001E-4</v>
          </cell>
          <cell r="HS290">
            <v>0.51365000000000005</v>
          </cell>
          <cell r="HT290">
            <v>2.0797059999999998</v>
          </cell>
          <cell r="HU290">
            <v>1.2829740000000001</v>
          </cell>
          <cell r="HV290">
            <v>2.124879</v>
          </cell>
          <cell r="HW290">
            <v>1.139E-3</v>
          </cell>
          <cell r="HX290">
            <v>2.3675000000000002E-2</v>
          </cell>
          <cell r="HY290">
            <v>1.3627E-2</v>
          </cell>
          <cell r="HZ290">
            <v>3.5177E-2</v>
          </cell>
          <cell r="IA290">
            <v>3.2543999999999997E-2</v>
          </cell>
          <cell r="IB290">
            <v>1.6983000000000002E-2</v>
          </cell>
          <cell r="IC290">
            <v>2.5794999999999998E-2</v>
          </cell>
          <cell r="ID290">
            <v>2.0781000000000001E-2</v>
          </cell>
          <cell r="IE290">
            <v>4.2206E-2</v>
          </cell>
          <cell r="IF290">
            <v>4.0869999999999997E-2</v>
          </cell>
          <cell r="IG290">
            <v>3.0429000000000001E-2</v>
          </cell>
          <cell r="IH290">
            <v>0.14673</v>
          </cell>
          <cell r="II290">
            <v>6.4674999999999996E-2</v>
          </cell>
          <cell r="IJ290">
            <v>7.1334999999999996E-2</v>
          </cell>
          <cell r="IK290">
            <v>7.0642999999999997E-2</v>
          </cell>
          <cell r="IL290">
            <v>0.44153500000000001</v>
          </cell>
          <cell r="IM290">
            <v>0.121253</v>
          </cell>
          <cell r="IN290">
            <v>0.103119</v>
          </cell>
          <cell r="IO290">
            <v>0.28208499999999997</v>
          </cell>
          <cell r="IP290">
            <v>0.15554499999999999</v>
          </cell>
          <cell r="IQ290">
            <v>2.7231000000000002E-2</v>
          </cell>
          <cell r="IR290">
            <v>6.1367999999999999E-2</v>
          </cell>
          <cell r="IS290">
            <v>4.2132000000000003E-2</v>
          </cell>
          <cell r="IT290">
            <v>0.10481600000000001</v>
          </cell>
          <cell r="IU290">
            <v>0.14885699999999999</v>
          </cell>
          <cell r="IV290">
            <v>0.183031</v>
          </cell>
          <cell r="IW290">
            <v>0.219113</v>
          </cell>
          <cell r="IX290">
            <v>0.20979800000000001</v>
          </cell>
          <cell r="IY290">
            <v>0.15124399999999999</v>
          </cell>
          <cell r="IZ290">
            <v>0.118634</v>
          </cell>
          <cell r="JA290">
            <v>0.14325599999999999</v>
          </cell>
          <cell r="JB290">
            <v>0.112952</v>
          </cell>
          <cell r="JC290">
            <v>0.190388</v>
          </cell>
          <cell r="JD290">
            <v>8.2594000000000001E-2</v>
          </cell>
          <cell r="JE290">
            <v>0.156829</v>
          </cell>
          <cell r="JF290">
            <v>0.19811300000000001</v>
          </cell>
          <cell r="JG290">
            <v>0.12806500000000001</v>
          </cell>
          <cell r="JH290">
            <v>0.13093399999999999</v>
          </cell>
          <cell r="JI290">
            <v>0.125914</v>
          </cell>
          <cell r="JJ290">
            <v>0.15024399999999999</v>
          </cell>
          <cell r="JK290">
            <v>0.167517</v>
          </cell>
          <cell r="JL290">
            <v>0.14268</v>
          </cell>
          <cell r="JM290">
            <v>0.235902</v>
          </cell>
          <cell r="JN290">
            <v>0.20474300000000001</v>
          </cell>
          <cell r="JO290">
            <v>0.13894899999999999</v>
          </cell>
          <cell r="JP290">
            <v>9.1098999999999999E-2</v>
          </cell>
          <cell r="JQ290">
            <v>0.13849800000000001</v>
          </cell>
          <cell r="JR290">
            <v>0.10415000000000001</v>
          </cell>
          <cell r="JS290">
            <v>0.16860600000000001</v>
          </cell>
          <cell r="JT290">
            <v>0.13666300000000001</v>
          </cell>
          <cell r="JU290">
            <v>0.200603</v>
          </cell>
          <cell r="JV290">
            <v>0.12934200000000001</v>
          </cell>
          <cell r="JW290">
            <v>0.221329</v>
          </cell>
          <cell r="JX290">
            <v>0.21166499999999999</v>
          </cell>
          <cell r="JY290">
            <v>0.129916</v>
          </cell>
          <cell r="JZ290">
            <v>0.12721399999999999</v>
          </cell>
          <cell r="KA290">
            <v>0.18177299999999999</v>
          </cell>
          <cell r="KB290">
            <v>0.14976</v>
          </cell>
          <cell r="KC290">
            <v>0.24326400000000001</v>
          </cell>
          <cell r="KD290">
            <v>0.19062100000000001</v>
          </cell>
          <cell r="KE290">
            <v>0.177537</v>
          </cell>
          <cell r="KF290">
            <v>0.18130199999999999</v>
          </cell>
          <cell r="KG290">
            <v>0.108001</v>
          </cell>
          <cell r="KH290">
            <v>5.8645000000000003E-2</v>
          </cell>
          <cell r="KI290">
            <v>0.13739599999999999</v>
          </cell>
          <cell r="KJ290">
            <v>0.17782500000000001</v>
          </cell>
          <cell r="KK290">
            <v>0.13761999999999999</v>
          </cell>
          <cell r="KL290">
            <v>0.18231</v>
          </cell>
          <cell r="KM290">
            <v>0.14033399999999999</v>
          </cell>
          <cell r="KN290">
            <v>0.25173200000000001</v>
          </cell>
          <cell r="KO290">
            <v>0.13048299999999999</v>
          </cell>
          <cell r="KP290">
            <v>0.10244499999999999</v>
          </cell>
          <cell r="KQ290">
            <v>0.16067999999999999</v>
          </cell>
          <cell r="KR290">
            <v>0.141515</v>
          </cell>
          <cell r="KS290">
            <v>0.12845899999999999</v>
          </cell>
          <cell r="KT290">
            <v>8.9607999999999993E-2</v>
          </cell>
          <cell r="KU290">
            <v>0.12006799999999999</v>
          </cell>
          <cell r="KV290">
            <v>0.209428</v>
          </cell>
          <cell r="KW290">
            <v>9.1932E-2</v>
          </cell>
          <cell r="KX290">
            <v>0.17178199999999999</v>
          </cell>
          <cell r="KY290">
            <v>8.8511999999999993E-2</v>
          </cell>
          <cell r="KZ290">
            <v>5.2638999999999998E-2</v>
          </cell>
          <cell r="LA290">
            <v>0.18023700000000001</v>
          </cell>
          <cell r="LB290">
            <v>0.12899099999999999</v>
          </cell>
          <cell r="LC290">
            <v>7.2081999999999993E-2</v>
          </cell>
          <cell r="LD290">
            <v>0.17818300000000001</v>
          </cell>
          <cell r="LE290">
            <v>0.11208799999999999</v>
          </cell>
          <cell r="LF290">
            <v>0.13122</v>
          </cell>
          <cell r="LG290">
            <v>0.27108500000000002</v>
          </cell>
          <cell r="LH290">
            <v>0.126307</v>
          </cell>
          <cell r="LI290">
            <v>0.239174</v>
          </cell>
          <cell r="LJ290">
            <v>0.71404500000000004</v>
          </cell>
          <cell r="LK290">
            <v>197.611447</v>
          </cell>
          <cell r="LL290">
            <v>0.43198500000000001</v>
          </cell>
          <cell r="LM290">
            <v>7.7599000000000001E-2</v>
          </cell>
          <cell r="LN290">
            <v>0.107351</v>
          </cell>
          <cell r="LO290">
            <v>0.45479199999999997</v>
          </cell>
          <cell r="LP290">
            <v>0.65113799999999999</v>
          </cell>
          <cell r="LQ290">
            <v>0.76893400000000001</v>
          </cell>
          <cell r="LR290">
            <v>0.31646099999999999</v>
          </cell>
          <cell r="LS290">
            <v>0.29971100000000001</v>
          </cell>
          <cell r="LT290">
            <v>0.29646499999999998</v>
          </cell>
          <cell r="LU290">
            <v>0.89465899999999998</v>
          </cell>
          <cell r="LV290">
            <v>0.57865699999999998</v>
          </cell>
          <cell r="LW290">
            <v>0.65880499999999997</v>
          </cell>
          <cell r="LX290">
            <v>0.42616799999999999</v>
          </cell>
          <cell r="LY290">
            <v>0.51149599999999995</v>
          </cell>
          <cell r="LZ290">
            <v>0.48482599999999998</v>
          </cell>
          <cell r="MA290">
            <v>0.65244199999999997</v>
          </cell>
          <cell r="MB290">
            <v>0.51038799999999995</v>
          </cell>
          <cell r="MC290">
            <v>0.456955</v>
          </cell>
          <cell r="MD290">
            <v>0.71077699999999999</v>
          </cell>
          <cell r="ME290">
            <v>0.49288599999999999</v>
          </cell>
          <cell r="MF290">
            <v>0.336034</v>
          </cell>
          <cell r="MG290">
            <v>0.35432799999999998</v>
          </cell>
          <cell r="MH290">
            <v>0.27050200000000002</v>
          </cell>
          <cell r="MI290">
            <v>0.42059999999999997</v>
          </cell>
          <cell r="MJ290">
            <v>7.7713000000000004E-2</v>
          </cell>
          <cell r="MK290">
            <v>0.22603999999999999</v>
          </cell>
          <cell r="ML290">
            <v>0.22855800000000001</v>
          </cell>
          <cell r="MM290">
            <v>0.78634099999999996</v>
          </cell>
          <cell r="MN290">
            <v>1.1954370000000001</v>
          </cell>
          <cell r="MO290">
            <v>0.424653</v>
          </cell>
          <cell r="MP290">
            <v>0.77966999999999997</v>
          </cell>
          <cell r="MQ290">
            <v>0.60073399999999999</v>
          </cell>
          <cell r="MR290">
            <v>0.77002400000000004</v>
          </cell>
          <cell r="MS290">
            <v>1.837914</v>
          </cell>
          <cell r="MT290">
            <v>0.702712</v>
          </cell>
          <cell r="MU290">
            <v>0.41020899999999999</v>
          </cell>
          <cell r="MV290">
            <v>0.254689</v>
          </cell>
          <cell r="MW290">
            <v>0.31873600000000002</v>
          </cell>
          <cell r="MX290">
            <v>0.36662</v>
          </cell>
          <cell r="MY290">
            <v>0.88809300000000002</v>
          </cell>
          <cell r="MZ290">
            <v>0.63706499999999999</v>
          </cell>
          <cell r="NA290">
            <v>0.59502299999999997</v>
          </cell>
          <cell r="NB290">
            <v>0.547122</v>
          </cell>
          <cell r="NC290">
            <v>0.50648199999999999</v>
          </cell>
          <cell r="ND290">
            <v>0.26402199999999998</v>
          </cell>
          <cell r="NE290">
            <v>0.26597100000000001</v>
          </cell>
          <cell r="NF290">
            <v>0.46711900000000001</v>
          </cell>
          <cell r="NG290">
            <v>0.33396999999999999</v>
          </cell>
          <cell r="NH290">
            <v>0.25725999999999999</v>
          </cell>
          <cell r="NI290">
            <v>0.78725199999999995</v>
          </cell>
          <cell r="NJ290">
            <v>0.86952399999999996</v>
          </cell>
          <cell r="NK290">
            <v>1.207022</v>
          </cell>
          <cell r="NL290">
            <v>2.0353439999999998</v>
          </cell>
          <cell r="NM290">
            <v>0.627386</v>
          </cell>
          <cell r="NN290">
            <v>0.588167</v>
          </cell>
          <cell r="NO290">
            <v>0.42926900000000001</v>
          </cell>
          <cell r="NP290">
            <v>8.9422000000000001E-2</v>
          </cell>
          <cell r="NQ290">
            <v>0.40904299999999999</v>
          </cell>
          <cell r="NR290">
            <v>0.30713000000000001</v>
          </cell>
          <cell r="NS290">
            <v>0.25145699999999999</v>
          </cell>
          <cell r="NT290">
            <v>0.52806299999999995</v>
          </cell>
          <cell r="NU290">
            <v>0.29750500000000002</v>
          </cell>
          <cell r="NV290">
            <v>0.61582800000000004</v>
          </cell>
          <cell r="NW290">
            <v>0</v>
          </cell>
          <cell r="NX290">
            <v>0</v>
          </cell>
          <cell r="NY290">
            <v>0.39856000000000003</v>
          </cell>
          <cell r="NZ290">
            <v>0.230015</v>
          </cell>
          <cell r="OA290">
            <v>0</v>
          </cell>
          <cell r="OB290">
            <v>0.40968199999999999</v>
          </cell>
          <cell r="OC290">
            <v>0.46175999999999995</v>
          </cell>
          <cell r="OD290">
            <v>0.41408591641745729</v>
          </cell>
          <cell r="OE290">
            <v>0.32610277705639823</v>
          </cell>
          <cell r="OF290">
            <v>0.21924207628290976</v>
          </cell>
          <cell r="OG290">
            <v>0.29143549182198147</v>
          </cell>
          <cell r="OH290">
            <v>0.31181900867667967</v>
          </cell>
          <cell r="OI290">
            <v>0.60436718288339863</v>
          </cell>
          <cell r="OJ290">
            <v>0.76233352804517307</v>
          </cell>
          <cell r="OK290">
            <v>0.43540662039653799</v>
          </cell>
          <cell r="OL290">
            <v>0.44566945591983398</v>
          </cell>
          <cell r="OM290">
            <v>0.35301689992078161</v>
          </cell>
          <cell r="ON290">
            <v>0.26619842470119737</v>
          </cell>
          <cell r="OO290">
            <v>0.57032261787765126</v>
          </cell>
          <cell r="OP290">
            <v>0.37312786194990005</v>
          </cell>
          <cell r="OQ290">
            <v>0.33312140125330575</v>
          </cell>
          <cell r="OR290">
            <v>0.24764157606580944</v>
          </cell>
          <cell r="OS290">
            <v>0.34392406222301897</v>
          </cell>
          <cell r="OT290">
            <v>0.41179653082038642</v>
          </cell>
          <cell r="OU290">
            <v>0.56726900152380488</v>
          </cell>
          <cell r="OV290">
            <v>0.70280365466619976</v>
          </cell>
          <cell r="OW290">
            <v>0.40171910904798014</v>
          </cell>
          <cell r="OX290">
            <v>0.45841136851448661</v>
          </cell>
          <cell r="OY290">
            <v>0.32575905158874585</v>
          </cell>
        </row>
      </sheetData>
      <sheetData sheetId="21" refreshError="1">
        <row r="290">
          <cell r="DZ290">
            <v>0.109</v>
          </cell>
          <cell r="EA290">
            <v>0.13400000000000001</v>
          </cell>
          <cell r="EB290">
            <v>5.0000000000000001E-3</v>
          </cell>
          <cell r="EC290">
            <v>1.0999999999999999E-2</v>
          </cell>
          <cell r="ED290"/>
          <cell r="EE290">
            <v>2E-3</v>
          </cell>
          <cell r="EF290"/>
          <cell r="EG290"/>
          <cell r="EH290">
            <v>1E-3</v>
          </cell>
          <cell r="EI290"/>
          <cell r="EJ290">
            <v>6.0000000000000001E-3</v>
          </cell>
          <cell r="EK290"/>
          <cell r="EL290"/>
          <cell r="EM290"/>
          <cell r="EN290"/>
          <cell r="EO290"/>
          <cell r="EP290"/>
          <cell r="EQ290"/>
          <cell r="ER290">
            <v>2.23E-2</v>
          </cell>
          <cell r="ES290">
            <v>2.2339999999999999E-2</v>
          </cell>
          <cell r="ET290"/>
          <cell r="EU290"/>
          <cell r="EV290">
            <v>2.7599999999999999E-4</v>
          </cell>
          <cell r="EW290"/>
          <cell r="EX290">
            <v>7.0236000000000007E-2</v>
          </cell>
          <cell r="EY290"/>
          <cell r="EZ290">
            <v>1.26E-4</v>
          </cell>
          <cell r="FA290">
            <v>1.6819999999999999E-3</v>
          </cell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>
            <v>6.0000000000000002E-6</v>
          </cell>
          <cell r="GD290"/>
          <cell r="GE290">
            <v>5.8500000000000002E-4</v>
          </cell>
          <cell r="GF290">
            <v>4.0819999999999997E-3</v>
          </cell>
          <cell r="GG290"/>
          <cell r="GH290"/>
          <cell r="GI290">
            <v>2.16E-3</v>
          </cell>
          <cell r="GJ290">
            <v>9.0000000000000002E-6</v>
          </cell>
          <cell r="GK290"/>
          <cell r="GL290"/>
          <cell r="GM290"/>
          <cell r="GN290"/>
          <cell r="GO290"/>
          <cell r="GP290">
            <v>1.861E-3</v>
          </cell>
          <cell r="GQ290"/>
          <cell r="GR290">
            <v>9.9999999999999995E-7</v>
          </cell>
          <cell r="GS290">
            <v>1.1E-5</v>
          </cell>
          <cell r="GT290"/>
          <cell r="GU290"/>
          <cell r="GV290"/>
          <cell r="GW290"/>
          <cell r="GX290"/>
          <cell r="GY290">
            <v>3.0200000000000002E-4</v>
          </cell>
          <cell r="GZ290"/>
          <cell r="HA290">
            <v>2.0000000000000001E-4</v>
          </cell>
          <cell r="HB290"/>
          <cell r="HC290">
            <v>0.30808000000000002</v>
          </cell>
          <cell r="HD290">
            <v>4.0499999999999998E-4</v>
          </cell>
          <cell r="HE290">
            <v>2.0000000000000001E-4</v>
          </cell>
          <cell r="HF290">
            <v>2.0000000000000001E-4</v>
          </cell>
          <cell r="HG290">
            <v>5.5999999999999995E-4</v>
          </cell>
          <cell r="HH290"/>
          <cell r="HI290">
            <v>1.1999999999999999E-3</v>
          </cell>
          <cell r="HJ290">
            <v>1.85E-4</v>
          </cell>
          <cell r="HK290"/>
          <cell r="HL290"/>
          <cell r="HM290"/>
          <cell r="HN290">
            <v>4.5050000000000003E-3</v>
          </cell>
          <cell r="HO290"/>
          <cell r="HP290"/>
          <cell r="HQ290">
            <v>1.7000000000000001E-4</v>
          </cell>
          <cell r="HR290">
            <v>1.4100000000000001E-4</v>
          </cell>
          <cell r="HS290">
            <v>0.51365000000000005</v>
          </cell>
          <cell r="HT290">
            <v>2.0797059999999998</v>
          </cell>
          <cell r="HU290">
            <v>1.2829740000000001</v>
          </cell>
          <cell r="HV290">
            <v>2.124879</v>
          </cell>
          <cell r="HW290">
            <v>1.139E-3</v>
          </cell>
          <cell r="HX290">
            <v>2.3675000000000002E-2</v>
          </cell>
          <cell r="HY290">
            <v>1.3627E-2</v>
          </cell>
          <cell r="HZ290">
            <v>3.5177E-2</v>
          </cell>
          <cell r="IA290">
            <v>3.2543999999999997E-2</v>
          </cell>
          <cell r="IB290">
            <v>1.6983000000000002E-2</v>
          </cell>
          <cell r="IC290">
            <v>2.5794999999999998E-2</v>
          </cell>
          <cell r="ID290">
            <v>2.0781000000000001E-2</v>
          </cell>
          <cell r="IE290">
            <v>4.2206E-2</v>
          </cell>
          <cell r="IF290">
            <v>4.0869999999999997E-2</v>
          </cell>
          <cell r="IG290">
            <v>3.0429000000000001E-2</v>
          </cell>
          <cell r="IH290">
            <v>0.14673</v>
          </cell>
          <cell r="II290">
            <v>6.4674999999999996E-2</v>
          </cell>
          <cell r="IJ290">
            <v>7.1334999999999996E-2</v>
          </cell>
          <cell r="IK290">
            <v>7.0642999999999997E-2</v>
          </cell>
          <cell r="IL290">
            <v>0.44153500000000001</v>
          </cell>
          <cell r="IM290">
            <v>0.121253</v>
          </cell>
          <cell r="IN290">
            <v>0.103119</v>
          </cell>
          <cell r="IO290">
            <v>0.28208499999999997</v>
          </cell>
          <cell r="IP290">
            <v>0.15554499999999999</v>
          </cell>
          <cell r="IQ290">
            <v>2.7231000000000002E-2</v>
          </cell>
          <cell r="IR290">
            <v>6.1367999999999999E-2</v>
          </cell>
          <cell r="IS290">
            <v>4.2132000000000003E-2</v>
          </cell>
          <cell r="IT290">
            <v>0.10481600000000001</v>
          </cell>
          <cell r="IU290">
            <v>0.14885699999999999</v>
          </cell>
          <cell r="IV290">
            <v>0.183031</v>
          </cell>
          <cell r="IW290">
            <v>0.219113</v>
          </cell>
          <cell r="IX290">
            <v>0.20979800000000001</v>
          </cell>
          <cell r="IY290">
            <v>0.15124399999999999</v>
          </cell>
          <cell r="IZ290">
            <v>0.118634</v>
          </cell>
          <cell r="JA290">
            <v>0.14325599999999999</v>
          </cell>
          <cell r="JB290">
            <v>0.112952</v>
          </cell>
          <cell r="JC290">
            <v>0.190388</v>
          </cell>
          <cell r="JD290">
            <v>8.2594000000000001E-2</v>
          </cell>
          <cell r="JE290">
            <v>0.156829</v>
          </cell>
          <cell r="JF290">
            <v>0.19811300000000001</v>
          </cell>
          <cell r="JG290">
            <v>0.12806500000000001</v>
          </cell>
          <cell r="JH290">
            <v>0.13093399999999999</v>
          </cell>
          <cell r="JI290">
            <v>0.125914</v>
          </cell>
          <cell r="JJ290">
            <v>0.15024399999999999</v>
          </cell>
          <cell r="JK290">
            <v>0.167517</v>
          </cell>
          <cell r="JL290">
            <v>0.14268</v>
          </cell>
          <cell r="JM290">
            <v>0.235902</v>
          </cell>
          <cell r="JN290">
            <v>0.20474300000000001</v>
          </cell>
          <cell r="JO290">
            <v>0.13894899999999999</v>
          </cell>
          <cell r="JP290">
            <v>9.1098999999999999E-2</v>
          </cell>
          <cell r="JQ290">
            <v>0.13849800000000001</v>
          </cell>
          <cell r="JR290">
            <v>0.10415000000000001</v>
          </cell>
          <cell r="JS290">
            <v>0.16860600000000001</v>
          </cell>
          <cell r="JT290">
            <v>0.13666300000000001</v>
          </cell>
          <cell r="JU290">
            <v>0.200603</v>
          </cell>
          <cell r="JV290">
            <v>0.12934200000000001</v>
          </cell>
          <cell r="JW290">
            <v>0.221329</v>
          </cell>
          <cell r="JX290">
            <v>0.21166499999999999</v>
          </cell>
          <cell r="JY290">
            <v>0.129916</v>
          </cell>
          <cell r="JZ290">
            <v>0.12721399999999999</v>
          </cell>
          <cell r="KA290">
            <v>0.18177299999999999</v>
          </cell>
          <cell r="KB290">
            <v>0.14976</v>
          </cell>
          <cell r="KC290">
            <v>0.24326400000000001</v>
          </cell>
          <cell r="KD290">
            <v>0.19062100000000001</v>
          </cell>
          <cell r="KE290">
            <v>0.177537</v>
          </cell>
          <cell r="KF290">
            <v>0.18130199999999999</v>
          </cell>
          <cell r="KG290">
            <v>0.108001</v>
          </cell>
          <cell r="KH290">
            <v>5.8645000000000003E-2</v>
          </cell>
          <cell r="KI290">
            <v>0.13739599999999999</v>
          </cell>
          <cell r="KJ290">
            <v>0.17782500000000001</v>
          </cell>
          <cell r="KK290">
            <v>0.13761999999999999</v>
          </cell>
          <cell r="KL290">
            <v>0.18231</v>
          </cell>
          <cell r="KM290">
            <v>0.14033399999999999</v>
          </cell>
          <cell r="KN290">
            <v>0.25173200000000001</v>
          </cell>
          <cell r="KO290">
            <v>0.13048299999999999</v>
          </cell>
          <cell r="KP290">
            <v>0.10244499999999999</v>
          </cell>
          <cell r="KQ290">
            <v>0.16067999999999999</v>
          </cell>
          <cell r="KR290">
            <v>0.141515</v>
          </cell>
          <cell r="KS290">
            <v>0.12845899999999999</v>
          </cell>
          <cell r="KT290">
            <v>8.9607999999999993E-2</v>
          </cell>
          <cell r="KU290">
            <v>0.12006799999999999</v>
          </cell>
          <cell r="KV290">
            <v>0.209428</v>
          </cell>
          <cell r="KW290">
            <v>9.1932E-2</v>
          </cell>
          <cell r="KX290">
            <v>0.17178199999999999</v>
          </cell>
          <cell r="KY290">
            <v>8.8511999999999993E-2</v>
          </cell>
          <cell r="KZ290">
            <v>5.2638999999999998E-2</v>
          </cell>
          <cell r="LA290">
            <v>0.18023700000000001</v>
          </cell>
          <cell r="LB290">
            <v>0.12899099999999999</v>
          </cell>
          <cell r="LC290">
            <v>7.2081999999999993E-2</v>
          </cell>
          <cell r="LD290">
            <v>0.17818300000000001</v>
          </cell>
          <cell r="LE290">
            <v>0.11208799999999999</v>
          </cell>
          <cell r="LF290">
            <v>0.13122</v>
          </cell>
          <cell r="LG290">
            <v>0.27108500000000002</v>
          </cell>
          <cell r="LH290">
            <v>0.126307</v>
          </cell>
          <cell r="LI290">
            <v>0.239174</v>
          </cell>
          <cell r="LJ290">
            <v>0.71404500000000004</v>
          </cell>
          <cell r="LK290">
            <v>197.611447</v>
          </cell>
          <cell r="LL290">
            <v>0.43198500000000001</v>
          </cell>
          <cell r="LM290">
            <v>7.7599000000000001E-2</v>
          </cell>
          <cell r="LN290">
            <v>0.107351</v>
          </cell>
          <cell r="LO290">
            <v>0.45479199999999997</v>
          </cell>
          <cell r="LP290">
            <v>0.65113799999999999</v>
          </cell>
          <cell r="LQ290">
            <v>0.76893400000000001</v>
          </cell>
          <cell r="LR290">
            <v>0.31646099999999999</v>
          </cell>
          <cell r="LS290">
            <v>0.29971100000000001</v>
          </cell>
          <cell r="LT290">
            <v>0.29646499999999998</v>
          </cell>
          <cell r="LU290">
            <v>0.89465899999999998</v>
          </cell>
          <cell r="LV290">
            <v>0.57865699999999998</v>
          </cell>
          <cell r="LW290">
            <v>0.65880499999999997</v>
          </cell>
          <cell r="LX290">
            <v>0.42616799999999999</v>
          </cell>
          <cell r="LY290">
            <v>0.51149599999999995</v>
          </cell>
          <cell r="LZ290">
            <v>0.48482599999999998</v>
          </cell>
          <cell r="MA290">
            <v>0.65244199999999997</v>
          </cell>
          <cell r="MB290">
            <v>0.51038799999999995</v>
          </cell>
          <cell r="MC290">
            <v>0.456955</v>
          </cell>
          <cell r="MD290">
            <v>0.71077699999999999</v>
          </cell>
          <cell r="ME290">
            <v>0.49288599999999999</v>
          </cell>
          <cell r="MF290">
            <v>0.336034</v>
          </cell>
          <cell r="MG290">
            <v>0.35432799999999998</v>
          </cell>
          <cell r="MH290">
            <v>0.27050200000000002</v>
          </cell>
          <cell r="MI290">
            <v>0.42059999999999997</v>
          </cell>
          <cell r="MJ290">
            <v>7.7713000000000004E-2</v>
          </cell>
          <cell r="MK290">
            <v>0.22603999999999999</v>
          </cell>
          <cell r="ML290">
            <v>0.22855800000000001</v>
          </cell>
          <cell r="MM290">
            <v>0.78634099999999996</v>
          </cell>
          <cell r="MN290">
            <v>1.1954370000000001</v>
          </cell>
          <cell r="MO290">
            <v>0.424653</v>
          </cell>
          <cell r="MP290">
            <v>0.77966999999999997</v>
          </cell>
          <cell r="MQ290">
            <v>0.60073399999999999</v>
          </cell>
          <cell r="MR290">
            <v>0.77002400000000004</v>
          </cell>
          <cell r="MS290">
            <v>1.837914</v>
          </cell>
          <cell r="MT290">
            <v>0.702712</v>
          </cell>
          <cell r="MU290">
            <v>0.41020899999999999</v>
          </cell>
          <cell r="MV290">
            <v>0.254689</v>
          </cell>
          <cell r="MW290">
            <v>1042.493023</v>
          </cell>
          <cell r="MX290">
            <v>997.509815</v>
          </cell>
          <cell r="MY290">
            <v>856.89374699999996</v>
          </cell>
          <cell r="MZ290">
            <v>933.12913700000001</v>
          </cell>
          <cell r="NA290">
            <v>1035.386319</v>
          </cell>
          <cell r="NB290">
            <v>951.34958800000004</v>
          </cell>
          <cell r="NC290">
            <v>1052.311946</v>
          </cell>
          <cell r="ND290">
            <v>873.37175999999999</v>
          </cell>
          <cell r="NE290">
            <v>1006.141565</v>
          </cell>
          <cell r="NF290">
            <v>1144.73459</v>
          </cell>
          <cell r="NG290">
            <v>997.60172299999999</v>
          </cell>
          <cell r="NH290">
            <v>773.05148699999995</v>
          </cell>
          <cell r="NI290">
            <v>1276.6431829999999</v>
          </cell>
          <cell r="NJ290">
            <v>744.37187400000005</v>
          </cell>
          <cell r="NK290">
            <v>967.20543899999996</v>
          </cell>
          <cell r="NL290">
            <v>991.71275700000001</v>
          </cell>
          <cell r="NM290">
            <v>1054.6675310000001</v>
          </cell>
          <cell r="NN290">
            <v>1123.2814490000001</v>
          </cell>
          <cell r="NO290">
            <v>948.47556599999996</v>
          </cell>
          <cell r="NP290">
            <v>780.18380100000002</v>
          </cell>
          <cell r="NQ290">
            <v>912.51937499999997</v>
          </cell>
          <cell r="NR290">
            <v>770.54731300000003</v>
          </cell>
          <cell r="NS290">
            <v>962.85710700000004</v>
          </cell>
          <cell r="NT290">
            <v>1121.0813680000001</v>
          </cell>
          <cell r="NU290">
            <v>1019.851417</v>
          </cell>
          <cell r="NV290">
            <v>843.73633099999995</v>
          </cell>
          <cell r="NW290">
            <v>1105.624771</v>
          </cell>
          <cell r="NX290">
            <v>1086.150621</v>
          </cell>
          <cell r="NY290">
            <v>787.90830500000004</v>
          </cell>
          <cell r="NZ290">
            <v>849.61880900000006</v>
          </cell>
          <cell r="OA290">
            <v>972.34566199999995</v>
          </cell>
          <cell r="OB290">
            <v>964.90789400000006</v>
          </cell>
          <cell r="OC290">
            <v>1035.132707</v>
          </cell>
          <cell r="OD290">
            <v>1000.1008399999999</v>
          </cell>
          <cell r="OE290">
            <v>1125.110484</v>
          </cell>
          <cell r="OF290">
            <v>1019.452319</v>
          </cell>
          <cell r="OG290">
            <v>1074.3124359999999</v>
          </cell>
          <cell r="OH290">
            <v>815.90664200000003</v>
          </cell>
          <cell r="OI290">
            <v>872.04253400000005</v>
          </cell>
          <cell r="OJ290">
            <v>901.04089099999999</v>
          </cell>
          <cell r="OK290">
            <v>1106.7990199999999</v>
          </cell>
          <cell r="OL290">
            <v>818.06478700000002</v>
          </cell>
          <cell r="OM290">
            <v>897.26771099999996</v>
          </cell>
          <cell r="ON290">
            <v>795.91156599999999</v>
          </cell>
          <cell r="OO290">
            <v>683.67002200000002</v>
          </cell>
          <cell r="OP290">
            <v>1105.424998</v>
          </cell>
          <cell r="OQ290">
            <v>1089.487556</v>
          </cell>
          <cell r="OR290">
            <v>1101.12735</v>
          </cell>
          <cell r="OS290">
            <v>906.43097599999999</v>
          </cell>
          <cell r="OT290">
            <v>1080.1026859999999</v>
          </cell>
          <cell r="OU290">
            <v>817.31080599999996</v>
          </cell>
          <cell r="OV290">
            <v>1004.3369709999999</v>
          </cell>
          <cell r="OW290">
            <v>853.52696200000003</v>
          </cell>
          <cell r="OX290">
            <v>831.26476700000001</v>
          </cell>
          <cell r="OY290">
            <v>974.97936100000004</v>
          </cell>
          <cell r="OZ290">
            <v>977.57856800000002</v>
          </cell>
          <cell r="PA290">
            <v>820.26895400000001</v>
          </cell>
          <cell r="PB290">
            <v>1000.119839</v>
          </cell>
          <cell r="PC290">
            <v>1002.1746869999999</v>
          </cell>
          <cell r="PD290">
            <v>1058.4000000000001</v>
          </cell>
          <cell r="PE290"/>
          <cell r="PF290">
            <v>0.39904795721199976</v>
          </cell>
          <cell r="PG290">
            <v>0.58144134291730465</v>
          </cell>
          <cell r="PH290">
            <v>0.77232196284490973</v>
          </cell>
          <cell r="PI290">
            <v>0.41383987000349376</v>
          </cell>
          <cell r="PJ290">
            <v>0.43212381437660019</v>
          </cell>
          <cell r="PK290">
            <v>0.3151721887470984</v>
          </cell>
          <cell r="PL290">
            <v>0.30013443297172454</v>
          </cell>
          <cell r="PM290">
            <v>0.59131390956264518</v>
          </cell>
          <cell r="PN290">
            <v>0.4138121095849539</v>
          </cell>
          <cell r="PO290">
            <v>0.30245067121022584</v>
          </cell>
          <cell r="PP290">
            <v>0.27540792114664464</v>
          </cell>
          <cell r="PQ290">
            <v>0.37263107273476753</v>
          </cell>
          <cell r="PR290">
            <v>0.47072749123569491</v>
          </cell>
          <cell r="PS290">
            <v>0.59704807774753932</v>
          </cell>
          <cell r="PT290">
            <v>0.75619900492291892</v>
          </cell>
          <cell r="PU290">
            <v>0.4492539071054239</v>
          </cell>
          <cell r="PV290">
            <v>0.41476432412890329</v>
          </cell>
          <cell r="PW290">
            <v>0.29507916534061962</v>
          </cell>
          <cell r="PX290">
            <v>0.24296241272608199</v>
          </cell>
          <cell r="PY290">
            <v>0.40966384211622575</v>
          </cell>
          <cell r="PZ290">
            <v>0.36127005017290581</v>
          </cell>
          <cell r="QA290">
            <v>0.28857733095945709</v>
          </cell>
          <cell r="QB290">
            <v>0.27728795671876838</v>
          </cell>
          <cell r="QC290">
            <v>0.38354844824621614</v>
          </cell>
          <cell r="QD290">
            <v>0.49021413898290234</v>
          </cell>
          <cell r="QE290">
            <v>0.55639341212586124</v>
          </cell>
          <cell r="QF290">
            <v>0.80313499581784464</v>
          </cell>
          <cell r="QG290">
            <v>0.42797838458860338</v>
          </cell>
          <cell r="QH290">
            <v>0.4049480505440331</v>
          </cell>
          <cell r="QI290">
            <v>0.26751419455788583</v>
          </cell>
          <cell r="QJ290">
            <v>0.25666210650626431</v>
          </cell>
          <cell r="QK290">
            <v>0.4824709307792574</v>
          </cell>
          <cell r="QL290">
            <v>0.39759701917545098</v>
          </cell>
          <cell r="QM290">
            <v>0.31994829245685852</v>
          </cell>
          <cell r="QN290">
            <v>0.31773680785033143</v>
          </cell>
          <cell r="QO290">
            <v>0.34593968032833711</v>
          </cell>
          <cell r="QP290">
            <v>0.47004659317973629</v>
          </cell>
          <cell r="QQ290">
            <v>0.50002672448341445</v>
          </cell>
          <cell r="QR290">
            <v>0.63694854265514922</v>
          </cell>
          <cell r="QS290">
            <v>0.44654883118158212</v>
          </cell>
          <cell r="QT290">
            <v>0.42148594956166469</v>
          </cell>
          <cell r="QU290">
            <v>0.27426112885047782</v>
          </cell>
          <cell r="QV290">
            <v>0.32319633105599577</v>
          </cell>
          <cell r="QW290">
            <v>0.54626409922100194</v>
          </cell>
          <cell r="QX290">
            <v>0.38456920805950512</v>
          </cell>
          <cell r="QY290">
            <v>0.30817546110133831</v>
          </cell>
          <cell r="QZ290">
            <v>0.24851759072306512</v>
          </cell>
          <cell r="RA290">
            <v>0.34239198915788016</v>
          </cell>
          <cell r="RB290">
            <v>0.41672102538553257</v>
          </cell>
          <cell r="RC290">
            <v>0.58130380343958188</v>
          </cell>
          <cell r="RD290">
            <v>0.75935862925940922</v>
          </cell>
          <cell r="RE290">
            <v>0.42563957822840787</v>
          </cell>
          <cell r="RF290">
            <v>0.43118340269677147</v>
          </cell>
          <cell r="RG290">
            <v>0.31130830003102633</v>
          </cell>
          <cell r="RH290">
            <v>0.27320057249388896</v>
          </cell>
          <cell r="RI290">
            <v>0.5176304394235931</v>
          </cell>
          <cell r="RJ290">
            <v>0.38127142861110386</v>
          </cell>
          <cell r="RK290">
            <v>0.30694456418143046</v>
          </cell>
          <cell r="RL290">
            <v>0.26821653703654952</v>
          </cell>
          <cell r="RM290">
            <v>0.35329282685915125</v>
          </cell>
          <cell r="RN290">
            <v>0.44836654228614392</v>
          </cell>
          <cell r="RO290">
            <v>0.56043571175958495</v>
          </cell>
          <cell r="RP290">
            <v>0.73428163218140441</v>
          </cell>
          <cell r="RQ290">
            <v>0.4278680203854166</v>
          </cell>
          <cell r="RR290">
            <v>0.42634670142513759</v>
          </cell>
          <cell r="RS290">
            <v>0.29555714581696546</v>
          </cell>
          <cell r="RT290">
            <v>0.2846001537648486</v>
          </cell>
          <cell r="RU290">
            <v>0.51281873569226377</v>
          </cell>
          <cell r="RV290">
            <v>0.3835596978330249</v>
          </cell>
          <cell r="RW290">
            <v>0.30195537615103696</v>
          </cell>
          <cell r="RX290">
            <v>0.2683917399680007</v>
          </cell>
          <cell r="RY290">
            <v>0.35298641224612348</v>
          </cell>
          <cell r="RZ290">
            <v>0.44935144119917325</v>
          </cell>
          <cell r="SA290">
            <v>0.56324267214274015</v>
          </cell>
          <cell r="SB290">
            <v>0.74559262710004626</v>
          </cell>
          <cell r="SC290">
            <v>0.43265211422150218</v>
          </cell>
          <cell r="SD290">
            <v>0.42090110826159455</v>
          </cell>
          <cell r="SE290">
            <v>0.29266699550542163</v>
          </cell>
          <cell r="SF290">
            <v>0.2792311711507911</v>
          </cell>
          <cell r="SG290">
            <v>0.50946864422054539</v>
          </cell>
          <cell r="SH290">
            <v>0.38770396312078392</v>
          </cell>
          <cell r="SI290">
            <v>0.30521926398186211</v>
          </cell>
          <cell r="SJ290">
            <v>0.27743336269507179</v>
          </cell>
          <cell r="SK290">
            <v>0.35956080346527042</v>
          </cell>
          <cell r="SL290">
            <v>0.45921515821400199</v>
          </cell>
          <cell r="SM290">
            <v>0.55904154591119637</v>
          </cell>
          <cell r="SN290">
            <v>0.73798456096734522</v>
          </cell>
          <cell r="SO290">
            <v>0.43545774429788681</v>
          </cell>
          <cell r="SP290">
            <v>0.41974568567130199</v>
          </cell>
          <cell r="SQ290">
            <v>0.28874398691939501</v>
          </cell>
          <cell r="SR290">
            <v>0.27612431530941589</v>
          </cell>
          <cell r="SS290">
            <v>0.49376960944646786</v>
          </cell>
          <cell r="ST290">
            <v>0.38165348077039812</v>
          </cell>
          <cell r="SU290">
            <v>0.30512020497002429</v>
          </cell>
          <cell r="SV290">
            <v>0.27603012645934299</v>
          </cell>
          <cell r="SW290">
            <v>0.3556318713675416</v>
          </cell>
          <cell r="SX290">
            <v>0.45493994820669764</v>
          </cell>
          <cell r="SY290">
            <v>0.55228046479023662</v>
          </cell>
          <cell r="SZ290">
            <v>0.73586328540277079</v>
          </cell>
          <cell r="TA290">
            <v>0.43213738572110244</v>
          </cell>
          <cell r="TB290">
            <v>0.42097304249784029</v>
          </cell>
          <cell r="TC290">
            <v>0.28826155295235545</v>
          </cell>
          <cell r="TD290">
            <v>0.28337806699435775</v>
          </cell>
          <cell r="TE290">
            <v>0.51373056986733179</v>
          </cell>
          <cell r="TF290">
            <v>0.38694026335997378</v>
          </cell>
          <cell r="TG290">
            <v>0.30844859157450527</v>
          </cell>
          <cell r="TH290">
            <v>0.27605920765460373</v>
          </cell>
          <cell r="TI290">
            <v>0.35083434241135247</v>
          </cell>
          <cell r="TJ290">
            <v>0.44874015205291751</v>
          </cell>
          <cell r="TK290">
            <v>0.55281009154730354</v>
          </cell>
          <cell r="TL290">
            <v>0.7228331984326708</v>
          </cell>
          <cell r="TM290">
            <v>0.43363325766295913</v>
          </cell>
          <cell r="TN290">
            <v>0.42393256952329406</v>
          </cell>
          <cell r="TO290">
            <v>0.2925075114246572</v>
          </cell>
          <cell r="TP290">
            <v>0.28727050875498805</v>
          </cell>
          <cell r="TQ290">
            <v>0.5159903056007753</v>
          </cell>
          <cell r="TR290">
            <v>0.38375155567896324</v>
          </cell>
          <cell r="TS290">
            <v>0.30548297407713842</v>
          </cell>
          <cell r="TT290">
            <v>0.26771787137640601</v>
          </cell>
          <cell r="TU290">
            <v>0.35277278061919337</v>
          </cell>
          <cell r="TV290">
            <v>0.44571882305830984</v>
          </cell>
          <cell r="TW290">
            <v>0.56326083960866802</v>
          </cell>
          <cell r="TX290">
            <v>0.74261614698219525</v>
          </cell>
          <cell r="TY290">
            <v>0.43075096857086326</v>
          </cell>
          <cell r="TZ290">
            <v>0.42382998811052919</v>
          </cell>
          <cell r="UA290">
            <v>0.29530759624503278</v>
          </cell>
          <cell r="UB290">
            <v>0.27930685594266047</v>
          </cell>
          <cell r="UC290">
            <v>0.50948359973003932</v>
          </cell>
          <cell r="UD290">
            <v>0.38422576673905695</v>
          </cell>
          <cell r="UE290">
            <v>0.30553760017177184</v>
          </cell>
          <cell r="UF290">
            <v>0.27322619476271376</v>
          </cell>
          <cell r="UG290">
            <v>0.35446125126988792</v>
          </cell>
          <cell r="UH290">
            <v>0.45212264839178679</v>
          </cell>
          <cell r="UI290">
            <v>0.55756209723021222</v>
          </cell>
          <cell r="UJ290">
            <v>0.73531106081684738</v>
          </cell>
          <cell r="UK290">
            <v>0.43234970445777343</v>
          </cell>
          <cell r="UL290">
            <v>0.42237982147583369</v>
          </cell>
          <cell r="UM290">
            <v>0.29154743852375897</v>
          </cell>
          <cell r="UN290">
            <v>0.28212084319488029</v>
          </cell>
          <cell r="UO290">
            <v>0.50915557296547664</v>
          </cell>
          <cell r="UP290">
            <v>0.38472179215262886</v>
          </cell>
          <cell r="UQ290">
            <v>0.3052452821509134</v>
          </cell>
          <cell r="UR290">
            <v>0.27312646163068505</v>
          </cell>
          <cell r="US290">
            <v>0.35435724202189628</v>
          </cell>
        </row>
      </sheetData>
      <sheetData sheetId="22" refreshError="1"/>
      <sheetData sheetId="23" refreshError="1"/>
      <sheetData sheetId="24" refreshError="1">
        <row r="290">
          <cell r="JB290">
            <v>0.112952</v>
          </cell>
          <cell r="JC290">
            <v>0.190388</v>
          </cell>
          <cell r="JD290">
            <v>8.2594000000000001E-2</v>
          </cell>
          <cell r="JE290">
            <v>0.156829</v>
          </cell>
          <cell r="JF290">
            <v>0.19811300000000001</v>
          </cell>
          <cell r="JG290">
            <v>0.12806500000000001</v>
          </cell>
          <cell r="JH290">
            <v>0.13093399999999999</v>
          </cell>
          <cell r="JI290">
            <v>0.125914</v>
          </cell>
          <cell r="JJ290">
            <v>0.15024399999999999</v>
          </cell>
          <cell r="JK290">
            <v>0.167517</v>
          </cell>
          <cell r="JL290">
            <v>0.14268</v>
          </cell>
          <cell r="JM290">
            <v>0.235902</v>
          </cell>
          <cell r="JN290">
            <v>0.20474300000000001</v>
          </cell>
          <cell r="JO290">
            <v>0.13894899999999999</v>
          </cell>
          <cell r="JP290">
            <v>9.1098999999999999E-2</v>
          </cell>
          <cell r="JQ290">
            <v>0.13849800000000001</v>
          </cell>
          <cell r="JR290">
            <v>0.10415000000000001</v>
          </cell>
          <cell r="JS290">
            <v>0.16860600000000001</v>
          </cell>
          <cell r="JT290">
            <v>0.13666300000000001</v>
          </cell>
          <cell r="JU290">
            <v>0.200603</v>
          </cell>
          <cell r="JV290">
            <v>0.12934200000000001</v>
          </cell>
          <cell r="JW290">
            <v>0.221329</v>
          </cell>
          <cell r="JX290">
            <v>0.21166499999999999</v>
          </cell>
          <cell r="JY290">
            <v>0.129916</v>
          </cell>
          <cell r="JZ290">
            <v>0.12721399999999999</v>
          </cell>
          <cell r="KA290">
            <v>0.18177299999999999</v>
          </cell>
          <cell r="KB290">
            <v>0.14976</v>
          </cell>
          <cell r="KC290">
            <v>0.24326400000000001</v>
          </cell>
          <cell r="KD290">
            <v>0.19062100000000001</v>
          </cell>
          <cell r="KE290">
            <v>0.177537</v>
          </cell>
          <cell r="KF290">
            <v>0.18130199999999999</v>
          </cell>
          <cell r="KG290">
            <v>0.108001</v>
          </cell>
          <cell r="KH290">
            <v>5.8645000000000003E-2</v>
          </cell>
          <cell r="KI290">
            <v>0.13739599999999999</v>
          </cell>
          <cell r="KJ290">
            <v>0.17782500000000001</v>
          </cell>
          <cell r="KK290">
            <v>0.13761999999999999</v>
          </cell>
          <cell r="KL290">
            <v>0.18231</v>
          </cell>
          <cell r="KM290">
            <v>0.14033399999999999</v>
          </cell>
          <cell r="KN290">
            <v>0.25173200000000001</v>
          </cell>
          <cell r="KO290">
            <v>0.13048299999999999</v>
          </cell>
          <cell r="KP290">
            <v>0.10244499999999999</v>
          </cell>
          <cell r="KQ290">
            <v>0.16067999999999999</v>
          </cell>
          <cell r="KR290">
            <v>0.141515</v>
          </cell>
          <cell r="KS290">
            <v>0.12845899999999999</v>
          </cell>
          <cell r="KT290">
            <v>8.9607999999999993E-2</v>
          </cell>
          <cell r="KU290">
            <v>0.12006799999999999</v>
          </cell>
          <cell r="KV290">
            <v>0.209428</v>
          </cell>
          <cell r="KW290">
            <v>9.1932E-2</v>
          </cell>
          <cell r="KX290">
            <v>0.17178199999999999</v>
          </cell>
          <cell r="KY290">
            <v>8.8511999999999993E-2</v>
          </cell>
          <cell r="KZ290">
            <v>5.2638999999999998E-2</v>
          </cell>
          <cell r="LA290">
            <v>0.18023700000000001</v>
          </cell>
          <cell r="LB290">
            <v>0.12899099999999999</v>
          </cell>
          <cell r="LC290">
            <v>7.2081999999999993E-2</v>
          </cell>
          <cell r="LD290">
            <v>0.17818300000000001</v>
          </cell>
          <cell r="LE290">
            <v>0.11208799999999999</v>
          </cell>
          <cell r="LF290">
            <v>0.13122</v>
          </cell>
          <cell r="LG290">
            <v>0.27108500000000002</v>
          </cell>
          <cell r="LH290">
            <v>0.126307</v>
          </cell>
          <cell r="LI290">
            <v>0.239174</v>
          </cell>
          <cell r="LJ290">
            <v>0.71404500000000004</v>
          </cell>
          <cell r="LK290">
            <v>197.611447</v>
          </cell>
          <cell r="LL290">
            <v>0.43198500000000001</v>
          </cell>
          <cell r="LM290">
            <v>7.7599000000000001E-2</v>
          </cell>
          <cell r="LN290">
            <v>0.107351</v>
          </cell>
          <cell r="LO290">
            <v>0.45479199999999997</v>
          </cell>
          <cell r="LP290">
            <v>0.65113799999999999</v>
          </cell>
          <cell r="LQ290">
            <v>0.76893400000000001</v>
          </cell>
          <cell r="LR290">
            <v>0.31646099999999999</v>
          </cell>
          <cell r="LS290">
            <v>0.29971100000000001</v>
          </cell>
          <cell r="LT290">
            <v>0.29646499999999998</v>
          </cell>
          <cell r="LU290">
            <v>0.89465899999999998</v>
          </cell>
          <cell r="LV290">
            <v>0.57865699999999998</v>
          </cell>
          <cell r="LW290">
            <v>0.65880499999999997</v>
          </cell>
          <cell r="LX290">
            <v>0.42616799999999999</v>
          </cell>
          <cell r="LY290">
            <v>0.51149599999999995</v>
          </cell>
          <cell r="LZ290">
            <v>0.48482599999999998</v>
          </cell>
          <cell r="MA290">
            <v>0.65244199999999997</v>
          </cell>
          <cell r="MB290">
            <v>0.51038799999999995</v>
          </cell>
          <cell r="MC290">
            <v>0.456955</v>
          </cell>
          <cell r="MD290">
            <v>0.71077699999999999</v>
          </cell>
          <cell r="ME290">
            <v>0.49288599999999999</v>
          </cell>
          <cell r="MF290">
            <v>0.336034</v>
          </cell>
          <cell r="MG290">
            <v>0.35432799999999998</v>
          </cell>
          <cell r="MH290">
            <v>0.27050200000000002</v>
          </cell>
          <cell r="MI290">
            <v>0.42059999999999997</v>
          </cell>
          <cell r="MJ290">
            <v>7.7713000000000004E-2</v>
          </cell>
          <cell r="MK290">
            <v>0.22603999999999999</v>
          </cell>
          <cell r="ML290">
            <v>0.22855800000000001</v>
          </cell>
          <cell r="MM290">
            <v>0.78634099999999996</v>
          </cell>
          <cell r="MN290">
            <v>1.1954370000000001</v>
          </cell>
          <cell r="MO290">
            <v>0.424653</v>
          </cell>
          <cell r="MP290">
            <v>0.77966999999999997</v>
          </cell>
          <cell r="MQ290">
            <v>0.60073399999999999</v>
          </cell>
          <cell r="MR290">
            <v>0.77002400000000004</v>
          </cell>
          <cell r="MS290">
            <v>1.837914</v>
          </cell>
          <cell r="MT290">
            <v>0.702712</v>
          </cell>
          <cell r="MU290">
            <v>0.41020899999999999</v>
          </cell>
          <cell r="MV290">
            <v>0.254689</v>
          </cell>
          <cell r="MW290">
            <v>351.960847</v>
          </cell>
          <cell r="MX290">
            <v>335.47479199999998</v>
          </cell>
          <cell r="MY290">
            <v>547.86053800000002</v>
          </cell>
          <cell r="MZ290">
            <v>876.59863900000005</v>
          </cell>
          <cell r="NA290">
            <v>248.240115</v>
          </cell>
          <cell r="NB290">
            <v>87.061824000000001</v>
          </cell>
          <cell r="NC290">
            <v>249.71451999999999</v>
          </cell>
          <cell r="ND290">
            <v>156.03197599999999</v>
          </cell>
          <cell r="NE290">
            <v>87.553577000000004</v>
          </cell>
          <cell r="NF290">
            <v>139.63566700000001</v>
          </cell>
          <cell r="NG290">
            <v>333.19723399999998</v>
          </cell>
          <cell r="NH290">
            <v>388.52427499999999</v>
          </cell>
          <cell r="NI290">
            <v>374.24158899999998</v>
          </cell>
          <cell r="NJ290">
            <v>450.66192000000001</v>
          </cell>
          <cell r="NK290">
            <v>982.25797999999998</v>
          </cell>
          <cell r="NL290">
            <v>286.72890200000001</v>
          </cell>
          <cell r="NM290">
            <v>550.99269200000003</v>
          </cell>
          <cell r="NN290">
            <v>201.658636</v>
          </cell>
          <cell r="NO290">
            <v>134.157051</v>
          </cell>
          <cell r="NP290">
            <v>67.577223000000004</v>
          </cell>
          <cell r="NQ290">
            <v>78.519802999999996</v>
          </cell>
          <cell r="NR290">
            <v>252.009874</v>
          </cell>
          <cell r="NS290">
            <v>350.61065200000002</v>
          </cell>
          <cell r="NT290">
            <v>407.12554399999999</v>
          </cell>
          <cell r="NU290">
            <v>151.31098600000001</v>
          </cell>
          <cell r="NV290">
            <v>297.96802700000001</v>
          </cell>
          <cell r="NW290">
            <v>103.80676800000001</v>
          </cell>
          <cell r="NX290">
            <v>324.71499499999999</v>
          </cell>
          <cell r="NY290">
            <v>381.27319</v>
          </cell>
          <cell r="NZ290">
            <v>268.08351599999997</v>
          </cell>
          <cell r="OA290">
            <v>179.49280999999999</v>
          </cell>
          <cell r="OB290">
            <v>49.040756000000002</v>
          </cell>
          <cell r="OC290">
            <v>11.749909000000001</v>
          </cell>
          <cell r="OD290">
            <v>45.009078000000002</v>
          </cell>
          <cell r="OE290">
            <v>97.161614</v>
          </cell>
          <cell r="OF290">
            <v>861.61826799999994</v>
          </cell>
          <cell r="OG290">
            <v>425.014903</v>
          </cell>
          <cell r="OH290">
            <v>415.256551</v>
          </cell>
          <cell r="OI290">
            <v>562.64107300000001</v>
          </cell>
          <cell r="OJ290">
            <v>627.66947500000003</v>
          </cell>
          <cell r="OK290">
            <v>371.70623499999999</v>
          </cell>
          <cell r="OL290">
            <v>423.86201299999999</v>
          </cell>
          <cell r="OM290">
            <v>202.83081000000001</v>
          </cell>
          <cell r="ON290">
            <v>117.466959</v>
          </cell>
          <cell r="OO290">
            <v>41.548068000000001</v>
          </cell>
          <cell r="OP290">
            <v>171.56736900000001</v>
          </cell>
          <cell r="OQ290">
            <v>169.14677599999999</v>
          </cell>
          <cell r="OR290">
            <v>236.59499</v>
          </cell>
          <cell r="OS290">
            <v>489.77310299999999</v>
          </cell>
          <cell r="OT290">
            <v>408.81700799999999</v>
          </cell>
          <cell r="OU290">
            <v>375.700491</v>
          </cell>
          <cell r="OV290">
            <v>430.11151000000001</v>
          </cell>
          <cell r="OW290"/>
          <cell r="OX290"/>
          <cell r="OY290"/>
          <cell r="OZ290"/>
          <cell r="PA290"/>
          <cell r="PB290"/>
          <cell r="PC290"/>
          <cell r="PD290">
            <v>0.22300842340119365</v>
          </cell>
          <cell r="PE290">
            <v>0.32042087076341641</v>
          </cell>
          <cell r="PF290">
            <v>0.39904795721199976</v>
          </cell>
          <cell r="PG290">
            <v>0.58144134291730465</v>
          </cell>
          <cell r="PH290">
            <v>0.77232196284490973</v>
          </cell>
          <cell r="PI290">
            <v>0.41383987000349376</v>
          </cell>
          <cell r="PJ290">
            <v>0.43212381437660019</v>
          </cell>
          <cell r="PK290">
            <v>0.3151721887470984</v>
          </cell>
          <cell r="PL290">
            <v>0.30013443297172454</v>
          </cell>
          <cell r="PM290">
            <v>0.59131390956264518</v>
          </cell>
          <cell r="PN290">
            <v>0.4138121095849539</v>
          </cell>
          <cell r="PO290">
            <v>0.30245067121022584</v>
          </cell>
          <cell r="PP290">
            <v>0.27540792114664464</v>
          </cell>
          <cell r="PQ290">
            <v>0.37263107273476753</v>
          </cell>
          <cell r="PR290">
            <v>0.47072749123569491</v>
          </cell>
          <cell r="PS290">
            <v>0.59704807774753932</v>
          </cell>
          <cell r="PT290">
            <v>0.75619900492291892</v>
          </cell>
          <cell r="PU290">
            <v>0.4492539071054239</v>
          </cell>
          <cell r="PV290">
            <v>0.41476432412890329</v>
          </cell>
          <cell r="PW290">
            <v>0.29507916534061962</v>
          </cell>
          <cell r="PX290">
            <v>0.24296241272608199</v>
          </cell>
          <cell r="PY290">
            <v>0.40966384211622575</v>
          </cell>
          <cell r="PZ290">
            <v>0.36127005017290581</v>
          </cell>
          <cell r="QA290">
            <v>0.28857733095945709</v>
          </cell>
          <cell r="QB290">
            <v>0.27728795671876838</v>
          </cell>
          <cell r="QC290">
            <v>0.38354844824621614</v>
          </cell>
          <cell r="QD290">
            <v>0.49021413898290234</v>
          </cell>
          <cell r="QE290">
            <v>0.55639341212586124</v>
          </cell>
          <cell r="QF290">
            <v>0.80313499581784464</v>
          </cell>
          <cell r="QG290">
            <v>0.42797838458860338</v>
          </cell>
          <cell r="QH290">
            <v>0.4049480505440331</v>
          </cell>
          <cell r="QI290">
            <v>0.26751419455788583</v>
          </cell>
          <cell r="QJ290">
            <v>0.25666210650626431</v>
          </cell>
          <cell r="QK290">
            <v>0.4824709307792574</v>
          </cell>
          <cell r="QL290">
            <v>0.39759701917545098</v>
          </cell>
          <cell r="QM290">
            <v>0.31994829245685852</v>
          </cell>
          <cell r="QN290">
            <v>0.31773680785033143</v>
          </cell>
          <cell r="QO290">
            <v>0.34593968032833711</v>
          </cell>
          <cell r="QP290">
            <v>0.47004659317973629</v>
          </cell>
          <cell r="QQ290">
            <v>0.50002672448341445</v>
          </cell>
          <cell r="QR290">
            <v>0.63694854265514922</v>
          </cell>
          <cell r="QS290">
            <v>0.44654883118158212</v>
          </cell>
          <cell r="QT290">
            <v>0.42148594956166469</v>
          </cell>
          <cell r="QU290">
            <v>0.27426112885047782</v>
          </cell>
          <cell r="QV290">
            <v>0.32319633105599577</v>
          </cell>
          <cell r="QW290">
            <v>0.54626409922100194</v>
          </cell>
          <cell r="QX290">
            <v>0.38456920805950512</v>
          </cell>
          <cell r="QY290">
            <v>0.30817546110133831</v>
          </cell>
          <cell r="QZ290">
            <v>0.24851759072306512</v>
          </cell>
          <cell r="RA290">
            <v>0.34239198915788016</v>
          </cell>
          <cell r="RB290">
            <v>0.41672102538553257</v>
          </cell>
          <cell r="RC290">
            <v>0.58130380343958188</v>
          </cell>
          <cell r="RD290">
            <v>0.75935862925940922</v>
          </cell>
          <cell r="RE290">
            <v>0.42563957822840787</v>
          </cell>
          <cell r="RF290">
            <v>0.43118340269677147</v>
          </cell>
          <cell r="RG290">
            <v>0.31130830003102633</v>
          </cell>
          <cell r="RH290">
            <v>0.27320057249388896</v>
          </cell>
          <cell r="RI290">
            <v>0.5176304394235931</v>
          </cell>
          <cell r="RJ290">
            <v>0.38127142861110386</v>
          </cell>
          <cell r="RK290">
            <v>0.30694456418143046</v>
          </cell>
          <cell r="RL290">
            <v>0.26821653703654952</v>
          </cell>
          <cell r="RM290">
            <v>0.35329282685915125</v>
          </cell>
          <cell r="RN290">
            <v>0.44836654228614392</v>
          </cell>
          <cell r="RO290">
            <v>0.56043571175958495</v>
          </cell>
          <cell r="RP290">
            <v>0.73428163218140441</v>
          </cell>
          <cell r="RQ290">
            <v>0.4278680203854166</v>
          </cell>
          <cell r="RR290">
            <v>0.42634670142513759</v>
          </cell>
          <cell r="RS290">
            <v>0.29555714581696546</v>
          </cell>
          <cell r="RT290">
            <v>0.2846001537648486</v>
          </cell>
          <cell r="RU290">
            <v>0.51281873569226377</v>
          </cell>
          <cell r="RV290">
            <v>0.3835596978330249</v>
          </cell>
          <cell r="RW290">
            <v>0.30195537615103696</v>
          </cell>
          <cell r="RX290">
            <v>0.2683917399680007</v>
          </cell>
          <cell r="RY290">
            <v>0.35298641224612348</v>
          </cell>
          <cell r="RZ290">
            <v>0.44935144119917325</v>
          </cell>
          <cell r="SA290">
            <v>0.56324267214274015</v>
          </cell>
          <cell r="SB290">
            <v>0.74559262710004626</v>
          </cell>
          <cell r="SC290">
            <v>0.43265211422150218</v>
          </cell>
          <cell r="SD290">
            <v>0.42090110826159455</v>
          </cell>
          <cell r="SE290">
            <v>0.29266699550542163</v>
          </cell>
          <cell r="SF290">
            <v>0.2792311711507911</v>
          </cell>
          <cell r="SG290">
            <v>0.50946864422054539</v>
          </cell>
          <cell r="SH290">
            <v>0.38770396312078392</v>
          </cell>
          <cell r="SI290">
            <v>0.30521926398186211</v>
          </cell>
          <cell r="SJ290">
            <v>0.27743336269507179</v>
          </cell>
          <cell r="SK290">
            <v>0.35956080346527042</v>
          </cell>
          <cell r="SL290">
            <v>0.45921515821400199</v>
          </cell>
          <cell r="SM290">
            <v>0.55904154591119637</v>
          </cell>
          <cell r="SN290">
            <v>0.73798456096734522</v>
          </cell>
          <cell r="SO290">
            <v>0.43545774429788681</v>
          </cell>
          <cell r="SP290">
            <v>0.41974568567130199</v>
          </cell>
          <cell r="SQ290">
            <v>0.28874398691939501</v>
          </cell>
          <cell r="SR290">
            <v>0.27612431530941589</v>
          </cell>
          <cell r="SS290">
            <v>0.49376960944646786</v>
          </cell>
          <cell r="ST290">
            <v>0.38165348077039812</v>
          </cell>
          <cell r="SU290">
            <v>0.30512020497002429</v>
          </cell>
          <cell r="SV290">
            <v>0.27603012645934299</v>
          </cell>
          <cell r="SW290">
            <v>0.3556318713675416</v>
          </cell>
          <cell r="SX290">
            <v>0.45493994820669764</v>
          </cell>
          <cell r="SY290">
            <v>0.55228046479023662</v>
          </cell>
          <cell r="SZ290">
            <v>0.73586328540277079</v>
          </cell>
          <cell r="TA290">
            <v>0.43213738572110244</v>
          </cell>
          <cell r="TB290">
            <v>0.42097304249784029</v>
          </cell>
          <cell r="TC290">
            <v>0.28826155295235545</v>
          </cell>
          <cell r="TD290">
            <v>0.28337806699435775</v>
          </cell>
          <cell r="TE290">
            <v>0.51373056986733179</v>
          </cell>
          <cell r="TF290">
            <v>0.38694026335997378</v>
          </cell>
          <cell r="TG290">
            <v>0.30844859157450527</v>
          </cell>
          <cell r="TH290">
            <v>0.27605920765460373</v>
          </cell>
          <cell r="TI290">
            <v>0.35083434241135247</v>
          </cell>
          <cell r="TJ290">
            <v>0.44874015205291751</v>
          </cell>
          <cell r="TK290">
            <v>0.55281009154730354</v>
          </cell>
          <cell r="TL290">
            <v>0.7228331984326708</v>
          </cell>
          <cell r="TM290">
            <v>0.43363325766295913</v>
          </cell>
          <cell r="TN290">
            <v>0.42393256952329406</v>
          </cell>
          <cell r="TO290">
            <v>0.2925075114246572</v>
          </cell>
          <cell r="TP290">
            <v>0.28727050875498805</v>
          </cell>
          <cell r="TQ290">
            <v>0.5159903056007753</v>
          </cell>
          <cell r="TR290">
            <v>0.38375155567896324</v>
          </cell>
          <cell r="TS290">
            <v>0.30548297407713842</v>
          </cell>
          <cell r="TT290">
            <v>0.26771787137640601</v>
          </cell>
          <cell r="TU290">
            <v>0.35277278061919337</v>
          </cell>
          <cell r="TV290">
            <v>0.44571882305830984</v>
          </cell>
          <cell r="TW290">
            <v>0.56326083960866802</v>
          </cell>
          <cell r="TX290">
            <v>0.74261614698219525</v>
          </cell>
          <cell r="TY290">
            <v>0.43075096857086326</v>
          </cell>
          <cell r="TZ290">
            <v>0.42382998811052919</v>
          </cell>
          <cell r="UA290">
            <v>0.29530759624503278</v>
          </cell>
          <cell r="UB290">
            <v>0.27930685594266047</v>
          </cell>
          <cell r="UC290">
            <v>0.50948359973003932</v>
          </cell>
          <cell r="UD290">
            <v>0.38422576673905695</v>
          </cell>
          <cell r="UE290">
            <v>0.30553760017177184</v>
          </cell>
          <cell r="UF290">
            <v>0.27322619476271376</v>
          </cell>
          <cell r="UG290">
            <v>0.35446125126988792</v>
          </cell>
          <cell r="UH290">
            <v>0.45212264839178679</v>
          </cell>
          <cell r="UI290">
            <v>0.55756209723021222</v>
          </cell>
          <cell r="UJ290">
            <v>0.73531106081684738</v>
          </cell>
          <cell r="UK290">
            <v>0.43234970445777343</v>
          </cell>
          <cell r="UL290">
            <v>0.42237982147583369</v>
          </cell>
          <cell r="UM290">
            <v>0.29154743852375897</v>
          </cell>
          <cell r="UN290">
            <v>0.28212084319488029</v>
          </cell>
          <cell r="UO290">
            <v>0.50915557296547664</v>
          </cell>
          <cell r="UP290">
            <v>0.38472179215262886</v>
          </cell>
          <cell r="UQ290">
            <v>0.3052452821509134</v>
          </cell>
          <cell r="UR290">
            <v>0.27312646163068505</v>
          </cell>
          <cell r="US290">
            <v>0.35435724202189628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n_crush_margin_data"/>
      <sheetName val="World Soybean Bal Sheet"/>
      <sheetName val="SB World-Major"/>
      <sheetName val="USDA Comp "/>
      <sheetName val="Historic WASDE MY 202425"/>
      <sheetName val="Historic Fastmarkets MY 202425"/>
      <sheetName val="Historic Fastmarkets MY 202324"/>
      <sheetName val="Historic WASDE MY 202324"/>
      <sheetName val="USDA Comp1"/>
      <sheetName val="SBMeal_premium"/>
      <sheetName val="Argentina Prod by state"/>
      <sheetName val="Brazil Planting Pace"/>
      <sheetName val="World Soy Breakdown"/>
      <sheetName val="Major Soybean Exports"/>
      <sheetName val="Major Qrtly Meal Exports chart"/>
      <sheetName val="Major Soybean Meal Exports"/>
      <sheetName val="Major Exporting Quarterly S&amp;D"/>
      <sheetName val="Soybean Trade Matrix"/>
      <sheetName val="Soybean Meal Trade Matrix"/>
      <sheetName val="Soybean Oil Trade Matrix"/>
      <sheetName val="Major Soy Crush"/>
      <sheetName val="US Soy Complex"/>
      <sheetName val="Major Soy Oil"/>
      <sheetName val="China Soy Complex"/>
      <sheetName val="Sheet1"/>
      <sheetName val="Brazil area by state "/>
      <sheetName val="Brazil  yield by state"/>
      <sheetName val="La Nina and Yields"/>
      <sheetName val="Brazil Soy Complex"/>
      <sheetName val="Brazil Soymeal"/>
      <sheetName val="Brazil Soyoil"/>
      <sheetName val="Argentina Soy Complex"/>
      <sheetName val="Argentina Biodiesel Cal Yrs"/>
      <sheetName val="Argentina Soymeal"/>
      <sheetName val="Argentina Soyoil"/>
      <sheetName val="Paraguay Soy Complex"/>
      <sheetName val="SoAm Soy"/>
      <sheetName val="Uruguay Soy Complex"/>
      <sheetName val="EU Soy Complex"/>
      <sheetName val="EU-27"/>
      <sheetName val="UK"/>
      <sheetName val="Canada Soy Complex"/>
      <sheetName val="Canada SBO CY Balance Sheet"/>
      <sheetName val="Ukraine Soy Complex"/>
      <sheetName val="Russia Soybean Complex"/>
      <sheetName val="India Soy Complex"/>
      <sheetName val="Japan Soy Complex"/>
      <sheetName val="Mexico Soy Complex"/>
      <sheetName val="Complex Temp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4">
          <cell r="M4">
            <v>442.5</v>
          </cell>
          <cell r="N4">
            <v>710</v>
          </cell>
          <cell r="O4">
            <v>1200</v>
          </cell>
          <cell r="P4">
            <v>1640</v>
          </cell>
          <cell r="Q4">
            <v>2100</v>
          </cell>
          <cell r="R4">
            <v>1925</v>
          </cell>
          <cell r="S4">
            <v>2040</v>
          </cell>
          <cell r="T4">
            <v>2362</v>
          </cell>
          <cell r="U4">
            <v>2920</v>
          </cell>
          <cell r="V4">
            <v>3300</v>
          </cell>
          <cell r="W4">
            <v>3340</v>
          </cell>
          <cell r="X4">
            <v>3684</v>
          </cell>
          <cell r="Y4">
            <v>4413</v>
          </cell>
          <cell r="Z4">
            <v>4670</v>
          </cell>
          <cell r="AA4">
            <v>5100</v>
          </cell>
          <cell r="AB4">
            <v>4966.2</v>
          </cell>
          <cell r="AC4">
            <v>5003</v>
          </cell>
          <cell r="AD4">
            <v>5318.41</v>
          </cell>
          <cell r="AE4">
            <v>5817.49</v>
          </cell>
          <cell r="AF4">
            <v>6011.24</v>
          </cell>
          <cell r="AG4">
            <v>6002.1549999999997</v>
          </cell>
          <cell r="AH4">
            <v>6669.5</v>
          </cell>
          <cell r="AI4">
            <v>7176.25</v>
          </cell>
          <cell r="AJ4">
            <v>8400</v>
          </cell>
          <cell r="AK4">
            <v>8790.5</v>
          </cell>
          <cell r="AL4">
            <v>10927.33</v>
          </cell>
          <cell r="AM4">
            <v>11637.66</v>
          </cell>
          <cell r="AN4">
            <v>12606.844999999999</v>
          </cell>
          <cell r="AO4">
            <v>14526.606</v>
          </cell>
          <cell r="AP4">
            <v>14401.921</v>
          </cell>
          <cell r="AQ4">
            <v>15393.474</v>
          </cell>
          <cell r="AR4">
            <v>16141.338</v>
          </cell>
          <cell r="AS4">
            <v>17980.895</v>
          </cell>
          <cell r="AT4">
            <v>18392.752</v>
          </cell>
          <cell r="AU4">
            <v>18870.651000000002</v>
          </cell>
          <cell r="AV4">
            <v>18664.148000000001</v>
          </cell>
          <cell r="AW4">
            <v>19902.072</v>
          </cell>
          <cell r="AX4">
            <v>19705.342000000001</v>
          </cell>
          <cell r="AY4">
            <v>19792.099999999999</v>
          </cell>
          <cell r="AZ4">
            <v>20562.233</v>
          </cell>
          <cell r="BA4">
            <v>18057.162</v>
          </cell>
          <cell r="BB4">
            <v>17259.259999999998</v>
          </cell>
          <cell r="BC4">
            <v>17010.276999999998</v>
          </cell>
          <cell r="BD4">
            <v>16908.238000000001</v>
          </cell>
          <cell r="BE4">
            <v>16650.093000000001</v>
          </cell>
          <cell r="BF4">
            <v>16094.383</v>
          </cell>
          <cell r="BG4">
            <v>16350</v>
          </cell>
          <cell r="BH4">
            <v>15970</v>
          </cell>
          <cell r="BI4">
            <v>16500</v>
          </cell>
          <cell r="BJ4">
            <v>19000</v>
          </cell>
          <cell r="BK4">
            <v>18000</v>
          </cell>
          <cell r="BL4">
            <v>18250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Speight, Anthony (UK)" id="{ACDEF9D2-5B6C-4554-B469-2DE05A19F88C}" userId="S::anthony.speight@fastmarkets.com::e7610653-76b6-4c55-8a0a-1854a79a81c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2" dT="2024-06-12T14:55:30.67" personId="{ACDEF9D2-5B6C-4554-B469-2DE05A19F88C}" id="{F8F21FC0-E656-466C-BF52-4CE08B822030}">
    <text>Planted, harvested area &amp; production Bolsa de Cereals from here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V2" dT="2024-05-30T13:21:52.71" personId="{ACDEF9D2-5B6C-4554-B469-2DE05A19F88C}" id="{157092DF-5C95-47F6-8107-567DD20CB430}">
    <text>Safrinha harvested start of MY</text>
  </threadedComment>
  <threadedComment ref="AV2" dT="2024-05-30T13:32:49.12" personId="{ACDEF9D2-5B6C-4554-B469-2DE05A19F88C}" id="{6FE8DB3C-63BB-4D5C-9C03-D9DCFF479EE8}" parentId="{157092DF-5C95-47F6-8107-567DD20CB430}">
    <text>Marketing years starts as main crop comes to market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4" dT="2024-06-25T10:18:47.33" personId="{ACDEF9D2-5B6C-4554-B469-2DE05A19F88C}" id="{2F5E2108-0BCB-4131-B518-FB1EF99E8A59}">
    <text>https://www-ukrstat-gov-ua.translate.goog/operativ/operativ2019/sg/ppsgk/arh_ppsgk_u.html?_x_tr_sl=uk&amp;_x_tr_tl=en&amp;_x_tr_hl=en&amp;_x_tr_pto=sc</text>
    <extLst>
      <x:ext xmlns:xltc2="http://schemas.microsoft.com/office/spreadsheetml/2020/threadedcomments2" uri="{F7C98A9C-CBB3-438F-8F68-D28B6AF4A901}">
        <xltc2:checksum>2181142907</xltc2:checksum>
        <xltc2:hyperlink startIndex="0" length="138" url="https://www-ukrstat-gov-ua.translate.goog/operativ/operativ2019/sg/ppsgk/arh_ppsgk_u.html?_x_tr_sl=uk&amp;_x_tr_tl=en&amp;_x_tr_hl=en&amp;_x_tr_pto=sc"/>
      </x:ext>
    </extLs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4" dT="2024-06-25T10:18:47.33" personId="{ACDEF9D2-5B6C-4554-B469-2DE05A19F88C}" id="{81E59A61-F04A-4BEF-BE74-E33BC52CDBAA}">
    <text>https://www-ukrstat-gov-ua.translate.goog/operativ/operativ2019/sg/ppsgk/arh_ppsgk_u.html?_x_tr_sl=uk&amp;_x_tr_tl=en&amp;_x_tr_hl=en&amp;_x_tr_pto=sc</text>
    <extLst>
      <x:ext xmlns:xltc2="http://schemas.microsoft.com/office/spreadsheetml/2020/threadedcomments2" uri="{F7C98A9C-CBB3-438F-8F68-D28B6AF4A901}">
        <xltc2:checksum>2181142907</xltc2:checksum>
        <xltc2:hyperlink startIndex="0" length="138" url="https://www-ukrstat-gov-ua.translate.goog/operativ/operativ2019/sg/ppsgk/arh_ppsgk_u.html?_x_tr_sl=uk&amp;_x_tr_tl=en&amp;_x_tr_hl=en&amp;_x_tr_pto=sc"/>
      </x:ext>
    </extLs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4" dT="2024-06-25T10:18:47.33" personId="{ACDEF9D2-5B6C-4554-B469-2DE05A19F88C}" id="{4A392E87-086A-425E-A698-6704EFB6BF59}">
    <text>https://www-ukrstat-gov-ua.translate.goog/operativ/operativ2019/sg/ppsgk/arh_ppsgk_u.html?_x_tr_sl=uk&amp;_x_tr_tl=en&amp;_x_tr_hl=en&amp;_x_tr_pto=sc</text>
    <extLst>
      <x:ext xmlns:xltc2="http://schemas.microsoft.com/office/spreadsheetml/2020/threadedcomments2" uri="{F7C98A9C-CBB3-438F-8F68-D28B6AF4A901}">
        <xltc2:checksum>2181142907</xltc2:checksum>
        <xltc2:hyperlink startIndex="0" length="138" url="https://www-ukrstat-gov-ua.translate.goog/operativ/operativ2019/sg/ppsgk/arh_ppsgk_u.html?_x_tr_sl=uk&amp;_x_tr_tl=en&amp;_x_tr_hl=en&amp;_x_tr_pto=sc"/>
      </x:ext>
    </extLs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4" dT="2024-06-25T10:18:47.33" personId="{ACDEF9D2-5B6C-4554-B469-2DE05A19F88C}" id="{35985356-6898-48D4-83D2-C7EE7D1D1F81}">
    <text>https://www-ukrstat-gov-ua.translate.goog/operativ/operativ2019/sg/ppsgk/arh_ppsgk_u.html?_x_tr_sl=uk&amp;_x_tr_tl=en&amp;_x_tr_hl=en&amp;_x_tr_pto=sc</text>
    <extLst>
      <x:ext xmlns:xltc2="http://schemas.microsoft.com/office/spreadsheetml/2020/threadedcomments2" uri="{F7C98A9C-CBB3-438F-8F68-D28B6AF4A901}">
        <xltc2:checksum>2181142907</xltc2:checksum>
        <xltc2:hyperlink startIndex="0" length="138" url="https://www-ukrstat-gov-ua.translate.goog/operativ/operativ2019/sg/ppsgk/arh_ppsgk_u.html?_x_tr_sl=uk&amp;_x_tr_tl=en&amp;_x_tr_hl=en&amp;_x_tr_pto=sc"/>
      </x:ext>
    </extLs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lsadecereales.com/estimaciones-informes" TargetMode="External"/><Relationship Id="rId2" Type="http://schemas.openxmlformats.org/officeDocument/2006/relationships/hyperlink" Target="https://www.magyp.gob.ar/sitio/areas/ss_mercados_agropecuarios/areas/granos/_archivos/000058_Estad%C3%ADsticas/000032_Evolucion%20de%20la%20Molienda%20(Cereales%20y%20Oleaginosas)/000001_Evoluci%C3%B3n%20de%20la%20Molienda%20Mensual%20de%20Cereales%20-%20En%20Ton./000001_Evoluci%C3%B3n%20de%20la%20Molienda%20Mensual%20de%20Cereales%20-%20En%20Ton.php" TargetMode="External"/><Relationship Id="rId1" Type="http://schemas.openxmlformats.org/officeDocument/2006/relationships/hyperlink" Target="http://www.siia.gov.ar/index.php/series-por-tema/agricultura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150.statcan.gc.ca/t1/tbl1/en/cv!recreate.action?pid=3210001301&amp;selectedNodeIds=2D8&amp;checkedLevels=0D1,2D1,2D2,2D3&amp;refPeriods=20190101,20230301&amp;dimensionLayouts=layout2,layout3,layout3,layout2&amp;vectorDisplay=false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D94C-1368-4C40-8D03-BB4FC6D7BDF3}">
  <sheetPr>
    <tabColor rgb="FF92D050"/>
  </sheetPr>
  <dimension ref="A1:W180"/>
  <sheetViews>
    <sheetView topLeftCell="A17" zoomScale="125" zoomScaleNormal="90" workbookViewId="0">
      <selection activeCell="F50" sqref="F50"/>
    </sheetView>
  </sheetViews>
  <sheetFormatPr defaultColWidth="7.42578125" defaultRowHeight="12.75"/>
  <cols>
    <col min="1" max="1" width="38.42578125" style="3" customWidth="1"/>
    <col min="2" max="8" width="14.28515625" style="3" customWidth="1"/>
    <col min="9" max="10" width="7.42578125" style="3"/>
    <col min="11" max="14" width="8" style="3" hidden="1" customWidth="1"/>
    <col min="15" max="15" width="0" style="3" hidden="1" customWidth="1"/>
    <col min="16" max="16" width="7.42578125" style="3"/>
    <col min="17" max="17" width="19.28515625" style="3" bestFit="1" customWidth="1"/>
    <col min="18" max="16384" width="7.42578125" style="3"/>
  </cols>
  <sheetData>
    <row r="1" spans="1:23" ht="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23" ht="13.5" thickBot="1">
      <c r="B2" s="2"/>
      <c r="C2" s="2"/>
      <c r="D2" s="2"/>
      <c r="E2" s="2"/>
      <c r="F2" s="2"/>
      <c r="G2" s="2"/>
      <c r="H2" s="2"/>
      <c r="I2" s="2"/>
      <c r="J2" s="2"/>
    </row>
    <row r="3" spans="1:23" ht="17.25" thickBot="1">
      <c r="A3" s="4" t="s">
        <v>1</v>
      </c>
      <c r="B3" s="5" t="s">
        <v>2</v>
      </c>
      <c r="C3" s="376" t="s">
        <v>3</v>
      </c>
      <c r="D3" s="376"/>
      <c r="E3" s="376"/>
      <c r="F3" s="377" t="s">
        <v>4</v>
      </c>
      <c r="G3" s="376"/>
      <c r="H3" s="378"/>
      <c r="I3" s="2"/>
      <c r="J3" s="2"/>
    </row>
    <row r="4" spans="1:23" ht="21.6" customHeight="1" thickBot="1">
      <c r="A4" s="4" t="s">
        <v>5</v>
      </c>
      <c r="B4" s="379" t="s">
        <v>6</v>
      </c>
      <c r="C4" s="381" t="s">
        <v>6</v>
      </c>
      <c r="D4" s="6" t="s">
        <v>7</v>
      </c>
      <c r="E4" s="383" t="s">
        <v>8</v>
      </c>
      <c r="F4" s="385" t="s">
        <v>6</v>
      </c>
      <c r="G4" s="6" t="str">
        <f>D4</f>
        <v>Change from</v>
      </c>
      <c r="H4" s="387" t="str">
        <f>E4</f>
        <v>Fastmarkets</v>
      </c>
      <c r="I4" s="2"/>
      <c r="J4" s="2"/>
    </row>
    <row r="5" spans="1:23" ht="12.75" customHeight="1" thickBot="1">
      <c r="A5" s="7"/>
      <c r="B5" s="380"/>
      <c r="C5" s="382"/>
      <c r="D5" s="8">
        <v>45748</v>
      </c>
      <c r="E5" s="384"/>
      <c r="F5" s="386"/>
      <c r="G5" s="8">
        <f>D5</f>
        <v>45748</v>
      </c>
      <c r="H5" s="388"/>
      <c r="I5" s="2"/>
      <c r="J5" s="2"/>
      <c r="Q5" s="9"/>
    </row>
    <row r="6" spans="1:23" ht="16.5">
      <c r="A6" s="10" t="s">
        <v>9</v>
      </c>
      <c r="B6" s="11"/>
      <c r="C6" s="12"/>
      <c r="D6" s="13"/>
      <c r="E6" s="14"/>
      <c r="F6" s="15"/>
      <c r="G6" s="13"/>
      <c r="H6" s="16"/>
      <c r="I6" s="2"/>
      <c r="J6" s="2"/>
      <c r="K6" s="17"/>
      <c r="L6" s="17"/>
      <c r="M6" s="18"/>
      <c r="N6" s="18"/>
      <c r="O6" s="18"/>
      <c r="P6" s="18"/>
      <c r="Q6" s="18"/>
      <c r="R6" s="17"/>
      <c r="S6" s="17"/>
      <c r="T6" s="17"/>
      <c r="U6" s="17"/>
      <c r="V6" s="17"/>
      <c r="W6" s="17"/>
    </row>
    <row r="7" spans="1:23" ht="16.5">
      <c r="A7" s="19" t="s">
        <v>10</v>
      </c>
      <c r="B7" s="20">
        <f>'Corn World-Major'!E11/1000</f>
        <v>234.161</v>
      </c>
      <c r="C7" s="21">
        <f>'Corn World-Major'!F11/1000</f>
        <v>203.57300000000001</v>
      </c>
      <c r="D7" s="22" cm="1">
        <f t="array" ref="D7">C7-(INDEX('Historic WASDE MY 202425'!$D$4:$S$200,MATCH(A7&amp;A3,'Historic WASDE MY 202425'!$B$4:$B$200&amp;'Historic WASDE MY 202425'!$C$4:$C$200,0),MATCH(D5,'Historic WASDE MY 202425'!$D$3:$Y$3,0))/1000)</f>
        <v>0.38599999999999568</v>
      </c>
      <c r="E7" s="23">
        <f>VLOOKUP(A7,'FM World'!A:AA,26,FALSE)</f>
        <v>203.19403005334351</v>
      </c>
      <c r="F7" s="24">
        <f>'Corn World-Major'!G11/1000</f>
        <v>208.57599999999999</v>
      </c>
      <c r="G7" s="22" t="e" cm="1">
        <f t="array" ref="G7">F7-(INDEX('Historic WASDE MY 202526'!$D$4:$R$200,MATCH(A7&amp;A3,'Historic WASDE MY 202526'!$B$4:$B$200&amp;'Historic WASDE MY 202526'!$C$4:$C$200,0),MATCH(G5,'Historic WASDE MY 202526'!$D$3:$X$3,0))/1000)</f>
        <v>#N/A</v>
      </c>
      <c r="H7" s="25">
        <f>VLOOKUP(A7,'FM World'!A:AA,27,FALSE)</f>
        <v>212.57350026141151</v>
      </c>
      <c r="I7" s="2"/>
      <c r="J7" s="2"/>
      <c r="K7" s="17"/>
      <c r="L7" s="17"/>
      <c r="M7" s="18"/>
      <c r="N7" s="18"/>
      <c r="O7" s="18"/>
      <c r="P7" s="18"/>
      <c r="Q7" s="18"/>
      <c r="R7" s="17"/>
      <c r="S7" s="17"/>
      <c r="T7" s="17"/>
      <c r="U7" s="17"/>
      <c r="V7" s="17"/>
      <c r="W7" s="17"/>
    </row>
    <row r="8" spans="1:23" ht="16.5">
      <c r="A8" s="10" t="s">
        <v>11</v>
      </c>
      <c r="B8" s="26">
        <f>'Corn World-Major'!E132</f>
        <v>5.69</v>
      </c>
      <c r="C8" s="27">
        <f>'Corn World-Major'!F132</f>
        <v>6</v>
      </c>
      <c r="D8" s="28" cm="1">
        <f t="array" ref="D8">C8-(INDEX('Historic WASDE MY 202425'!$D$4:$S$200,MATCH(A8&amp;A3,'Historic WASDE MY 202425'!$B$4:$B$200&amp;'Historic WASDE MY 202425'!$C$4:$C$200,0),MATCH(D5,'Historic WASDE MY 202425'!$D$3:$Y$3,0)))</f>
        <v>1.9999999999999574E-2</v>
      </c>
      <c r="E8" s="29">
        <f>VLOOKUP(A8,'FM World'!A:AA,26,FALSE)</f>
        <v>6.336450052938857</v>
      </c>
      <c r="F8" s="30">
        <f>'Corn World-Major'!G132</f>
        <v>6.07</v>
      </c>
      <c r="G8" s="28" t="e" cm="1">
        <f t="array" ref="G8">F8-(INDEX('Historic WASDE MY 202526'!$D$4:$R$200,MATCH(A8&amp;A3,'Historic WASDE MY 202526'!$B$4:$B$200&amp;'Historic WASDE MY 202526'!$C$4:$C$200,0),MATCH(G5,'Historic WASDE MY 202526'!$D$3:$X$3,0)))</f>
        <v>#N/A</v>
      </c>
      <c r="H8" s="31">
        <f>VLOOKUP(A8,'FM World'!A:AA,27,FALSE)</f>
        <v>4.3582346883181655</v>
      </c>
      <c r="I8" s="2"/>
      <c r="J8" s="2"/>
      <c r="K8" s="17"/>
      <c r="L8" s="17"/>
      <c r="M8" s="32"/>
      <c r="N8" s="32"/>
      <c r="O8" s="32"/>
      <c r="P8" s="32"/>
      <c r="Q8" s="33"/>
      <c r="R8" s="17"/>
      <c r="S8" s="17"/>
      <c r="T8" s="17"/>
      <c r="U8" s="17"/>
      <c r="V8" s="17"/>
      <c r="W8" s="17"/>
    </row>
    <row r="9" spans="1:23" ht="16.5">
      <c r="A9" s="34" t="s">
        <v>12</v>
      </c>
      <c r="B9" s="35">
        <f>'Corn World-Major'!E22/1000</f>
        <v>313.60599999999999</v>
      </c>
      <c r="C9" s="36">
        <f>'Corn World-Major'!F22/1000</f>
        <v>316.065</v>
      </c>
      <c r="D9" s="37" cm="1">
        <f t="array" ref="D9">C9-(INDEX('Historic WASDE MY 202425'!$D$4:$S$200,MATCH(A9&amp;A3,'Historic WASDE MY 202425'!$B$4:$B$200&amp;'Historic WASDE MY 202425'!$C$4:$C$200,0),MATCH(D5,'Historic WASDE MY 202425'!$D$3:$Y$3,0))/1000)</f>
        <v>1.7330000000000041</v>
      </c>
      <c r="E9" s="38">
        <f>B18</f>
        <v>322.14299999999997</v>
      </c>
      <c r="F9" s="39">
        <f>'Corn World-Major'!G22/1000</f>
        <v>287.286</v>
      </c>
      <c r="G9" s="37" t="e" cm="1">
        <f t="array" ref="G9">F9-(INDEX('Historic WASDE MY 202526'!$D$4:$R$200,MATCH(A9&amp;A3,'Historic WASDE MY 202526'!$B$4:$B$200&amp;'Historic WASDE MY 202526'!$C$4:$C$200,0),MATCH(G5,'Historic WASDE MY 202526'!$D$3:$X$3,0))/1000)</f>
        <v>#N/A</v>
      </c>
      <c r="H9" s="40">
        <f>E18</f>
        <v>318.24877134516964</v>
      </c>
      <c r="I9" s="2"/>
      <c r="J9" s="2"/>
      <c r="K9" s="41"/>
      <c r="L9" s="41"/>
      <c r="M9" s="42"/>
      <c r="N9" s="42"/>
      <c r="O9" s="42"/>
      <c r="P9" s="42"/>
      <c r="Q9" s="42"/>
      <c r="R9" s="17"/>
      <c r="S9" s="41"/>
      <c r="T9" s="41"/>
      <c r="U9" s="41"/>
      <c r="V9" s="41"/>
      <c r="W9" s="41"/>
    </row>
    <row r="10" spans="1:23" ht="16.5">
      <c r="A10" s="10" t="s">
        <v>13</v>
      </c>
      <c r="B10" s="26">
        <f>'Corn World-Major'!E33/1000</f>
        <v>1332.2059999999999</v>
      </c>
      <c r="C10" s="27">
        <f>'Corn World-Major'!F33/1000</f>
        <v>1221.2840000000001</v>
      </c>
      <c r="D10" s="28" cm="1">
        <f t="array" ref="D10">C10-(INDEX('Historic WASDE MY 202425'!$D$4:$S$200,MATCH(A10&amp;A3,'Historic WASDE MY 202425'!$B$4:$B$200&amp;'Historic WASDE MY 202425'!$C$4:$C$200,0),MATCH(D5,'Historic WASDE MY 202425'!$D$3:$Y$3,0))/1000)</f>
        <v>6.1850000000001728</v>
      </c>
      <c r="E10" s="29">
        <f>VLOOKUP(A10,'FM World'!A:AA,26,FALSE)</f>
        <v>1287.5288224883682</v>
      </c>
      <c r="F10" s="30">
        <f>'Corn World-Major'!G33/1000</f>
        <v>1264.982</v>
      </c>
      <c r="G10" s="28" t="e" cm="1">
        <f t="array" ref="G10">F10-(INDEX('Historic WASDE MY 202526'!$D$4:$R$200,MATCH(A10&amp;A3,'Historic WASDE MY 202526'!$B$4:$B$200&amp;'Historic WASDE MY 202526'!$C$4:$C$200,0),MATCH(G5,'Historic WASDE MY 202526'!$D$3:$X$3,0))/1000)</f>
        <v>#N/A</v>
      </c>
      <c r="H10" s="31">
        <f>VLOOKUP(A10,'FM World'!A:AA,27,FALSE)</f>
        <v>926.4452026564943</v>
      </c>
      <c r="I10" s="2"/>
      <c r="J10" s="2"/>
      <c r="K10" s="41"/>
      <c r="L10" s="41"/>
      <c r="M10" s="42"/>
      <c r="N10" s="42"/>
      <c r="O10" s="42"/>
      <c r="P10" s="42"/>
      <c r="Q10" s="42"/>
      <c r="R10" s="17"/>
      <c r="S10" s="41"/>
      <c r="T10" s="41"/>
      <c r="U10" s="41"/>
      <c r="V10" s="41"/>
      <c r="W10" s="41"/>
    </row>
    <row r="11" spans="1:23" ht="16.5">
      <c r="A11" s="19" t="s">
        <v>14</v>
      </c>
      <c r="B11" s="20">
        <f>'Corn World-Major'!E44/1000</f>
        <v>201.99799999999999</v>
      </c>
      <c r="C11" s="21">
        <f>'Corn World-Major'!F44/1000</f>
        <v>183.52600000000001</v>
      </c>
      <c r="D11" s="43" cm="1">
        <f t="array" ref="D11">C11-(INDEX('Historic WASDE MY 202425'!$D$4:$S$200,MATCH(A11&amp;A3,'Historic WASDE MY 202425'!$B$4:$B$200&amp;'Historic WASDE MY 202425'!$C$4:$C$200,0),MATCH(D5,'Historic WASDE MY 202425'!$D$3:$Y$3,0))/1000)</f>
        <v>1.436000000000007</v>
      </c>
      <c r="E11" s="23">
        <f>VLOOKUP(A11,'FM World'!A:AA,26,FALSE)</f>
        <v>199.28961571985553</v>
      </c>
      <c r="F11" s="24">
        <f>'Corn World-Major'!G44/1000</f>
        <v>187.483</v>
      </c>
      <c r="G11" s="43" t="e" cm="1">
        <f t="array" ref="G11">F11-(INDEX('Historic WASDE MY 202526'!$D$4:$R$200,MATCH(A11&amp;A3,'Historic WASDE MY 202526'!$B$4:$B$200&amp;'Historic WASDE MY 202526'!$C$4:$C$200,0),MATCH(G5,'Historic WASDE MY 202526'!$D$3:$X$3,0))/1000)</f>
        <v>#N/A</v>
      </c>
      <c r="H11" s="25">
        <f>VLOOKUP(A11,'FM World'!A:AA,27,FALSE)</f>
        <v>30.316678344823021</v>
      </c>
      <c r="I11" s="2"/>
      <c r="J11" s="2"/>
      <c r="K11" s="41"/>
      <c r="L11" s="41"/>
      <c r="M11" s="42"/>
      <c r="N11" s="42"/>
      <c r="O11" s="42"/>
      <c r="P11" s="42"/>
      <c r="Q11" s="42"/>
      <c r="R11" s="17"/>
      <c r="S11" s="41"/>
      <c r="T11" s="41"/>
      <c r="U11" s="41"/>
      <c r="V11" s="41"/>
      <c r="W11" s="41"/>
    </row>
    <row r="12" spans="1:23" ht="16.5">
      <c r="A12" s="10" t="s">
        <v>15</v>
      </c>
      <c r="B12" s="26">
        <f>SUM(B9:B11)</f>
        <v>1847.81</v>
      </c>
      <c r="C12" s="27">
        <f>SUM(C9:C11)</f>
        <v>1720.8750000000002</v>
      </c>
      <c r="D12" s="28">
        <f>SUM(D9:D11)</f>
        <v>9.3540000000001839</v>
      </c>
      <c r="E12" s="29">
        <f>SUM(E9:E11)</f>
        <v>1808.9614382082236</v>
      </c>
      <c r="F12" s="30">
        <f>SUM(F9:F11)</f>
        <v>1739.751</v>
      </c>
      <c r="G12" s="28" t="e">
        <f>G11+G10+G9</f>
        <v>#N/A</v>
      </c>
      <c r="H12" s="31">
        <f>SUM(H9:H11)</f>
        <v>1275.0106523464869</v>
      </c>
      <c r="I12" s="2"/>
      <c r="J12" s="2"/>
      <c r="K12" s="41"/>
      <c r="L12" s="41"/>
      <c r="M12" s="42"/>
      <c r="N12" s="42"/>
      <c r="O12" s="42"/>
      <c r="P12" s="42"/>
      <c r="Q12" s="42"/>
      <c r="R12" s="41"/>
      <c r="S12" s="41"/>
      <c r="T12" s="41"/>
      <c r="U12" s="41"/>
      <c r="V12" s="41"/>
      <c r="W12" s="41"/>
    </row>
    <row r="13" spans="1:23" ht="16.5">
      <c r="A13" s="34" t="s">
        <v>16</v>
      </c>
      <c r="B13" s="35">
        <f t="shared" ref="B13:G13" si="0">B14+B15</f>
        <v>1296.9160000000002</v>
      </c>
      <c r="C13" s="36">
        <f>C14+C15</f>
        <v>1244.2370000000001</v>
      </c>
      <c r="D13" s="37">
        <f t="shared" si="0"/>
        <v>9.0480000000000018</v>
      </c>
      <c r="E13" s="38">
        <f>E14+E15</f>
        <v>1305.6342933434735</v>
      </c>
      <c r="F13" s="39">
        <f t="shared" si="0"/>
        <v>1266.0989999999999</v>
      </c>
      <c r="G13" s="37" t="e">
        <f t="shared" si="0"/>
        <v>#N/A</v>
      </c>
      <c r="H13" s="40" t="e">
        <f>H14+H15</f>
        <v>#REF!</v>
      </c>
      <c r="I13" s="2"/>
      <c r="J13" s="2"/>
      <c r="K13" s="41"/>
      <c r="L13" s="41"/>
      <c r="M13" s="42"/>
      <c r="N13" s="42"/>
      <c r="O13" s="42"/>
      <c r="P13" s="42"/>
      <c r="Q13" s="42"/>
      <c r="R13" s="41"/>
      <c r="S13" s="41"/>
      <c r="T13" s="41"/>
      <c r="U13" s="41"/>
      <c r="V13" s="41"/>
      <c r="W13" s="41"/>
    </row>
    <row r="14" spans="1:23" ht="16.5">
      <c r="A14" s="10" t="s">
        <v>17</v>
      </c>
      <c r="B14" s="26">
        <f>'Corn World-Major'!E77/1000</f>
        <v>814.12800000000004</v>
      </c>
      <c r="C14" s="27">
        <f>'Corn World-Major'!F77/1000</f>
        <v>781.92100000000005</v>
      </c>
      <c r="D14" s="28" cm="1">
        <f t="array" ref="D14">C14-(INDEX('Historic WASDE MY 202425'!$D$4:$S$200,MATCH(A14&amp;A3,'Historic WASDE MY 202425'!$B$4:$B$200&amp;'Historic WASDE MY 202425'!$C$4:$C$200,0),MATCH(D5,'Historic WASDE MY 202425'!$D$3:$Y$3,0))/1000)</f>
        <v>0.73000000000001819</v>
      </c>
      <c r="E14" s="29">
        <f>VLOOKUP(A14,'FM World'!A:AA,26,FALSE)</f>
        <v>848.78304082876173</v>
      </c>
      <c r="F14" s="30">
        <f>'Corn World-Major'!G77/1000</f>
        <v>801.553</v>
      </c>
      <c r="G14" s="28" t="e" cm="1">
        <f t="array" ref="G14">F14-(INDEX('Historic WASDE MY 202526'!$D$4:$R$200,MATCH(A14&amp;A3,'Historic WASDE MY 202526'!$B$4:$B$200&amp;'Historic WASDE MY 202526'!$C$4:$C$200,0),MATCH(G5,'Historic WASDE MY 202526'!$D$3:$X$3,0))/1000)</f>
        <v>#N/A</v>
      </c>
      <c r="H14" s="31" t="e">
        <f>VLOOKUP(A14,'FM World'!A:AA,27,FALSE)</f>
        <v>#REF!</v>
      </c>
      <c r="I14" s="2"/>
      <c r="J14" s="2"/>
      <c r="K14" s="41"/>
      <c r="L14" s="41"/>
      <c r="M14" s="42"/>
      <c r="N14" s="42"/>
      <c r="O14" s="42"/>
      <c r="P14" s="42"/>
      <c r="Q14" s="42"/>
      <c r="R14" s="41"/>
      <c r="S14" s="41"/>
      <c r="T14" s="41"/>
      <c r="U14" s="41"/>
      <c r="V14" s="41"/>
      <c r="W14" s="41"/>
    </row>
    <row r="15" spans="1:23" ht="16.5">
      <c r="A15" s="19" t="s">
        <v>18</v>
      </c>
      <c r="B15" s="20">
        <f>'Corn World-Major'!E88/1000</f>
        <v>482.78800000000001</v>
      </c>
      <c r="C15" s="21">
        <f>'Corn World-Major'!F88/1000</f>
        <v>462.31599999999997</v>
      </c>
      <c r="D15" s="43" cm="1">
        <f t="array" ref="D15">C15-(INDEX('Historic WASDE MY 202425'!$D$4:$S$200,MATCH(A15&amp;A3,'Historic WASDE MY 202425'!$B$4:$B$200&amp;'Historic WASDE MY 202425'!$C$4:$C$200,0),MATCH(D5,'Historic WASDE MY 202425'!$D$3:$Y$3,0))/1000)</f>
        <v>8.3179999999999836</v>
      </c>
      <c r="E15" s="23">
        <f>VLOOKUP(A15,'FM World'!A:AA,26,FALSE)</f>
        <v>456.85125251471175</v>
      </c>
      <c r="F15" s="24">
        <f>'Corn World-Major'!G88/1000</f>
        <v>464.54599999999999</v>
      </c>
      <c r="G15" s="43" t="e" cm="1">
        <f t="array" ref="G15">F15-(INDEX('Historic WASDE MY 202526'!$D$4:$R$200,MATCH(A15&amp;A3,'Historic WASDE MY 202526'!$B$4:$B$200&amp;'Historic WASDE MY 202526'!$C$4:$C$200,0),MATCH(G5,'Historic WASDE MY 202526'!$D$3:$X$3,0))/1000)</f>
        <v>#N/A</v>
      </c>
      <c r="H15" s="25">
        <f>VLOOKUP(A15,'FM World'!A:AA,27,FALSE)</f>
        <v>310.94436866206809</v>
      </c>
      <c r="I15" s="2"/>
      <c r="J15" s="2"/>
      <c r="K15" s="41"/>
      <c r="L15" s="41"/>
      <c r="M15" s="42"/>
      <c r="N15" s="42"/>
      <c r="O15" s="42"/>
      <c r="P15" s="42"/>
      <c r="Q15" s="42"/>
      <c r="R15" s="41"/>
      <c r="S15" s="41"/>
      <c r="T15" s="41"/>
      <c r="U15" s="41"/>
      <c r="V15" s="41"/>
      <c r="W15" s="41"/>
    </row>
    <row r="16" spans="1:23" ht="16.5">
      <c r="A16" s="10" t="s">
        <v>19</v>
      </c>
      <c r="B16" s="26">
        <f>'Corn World-Major'!E66/1000</f>
        <v>228.751</v>
      </c>
      <c r="C16" s="27">
        <f>'Corn World-Major'!F66/1000</f>
        <v>189.352</v>
      </c>
      <c r="D16" s="28" cm="1">
        <f t="array" ref="D16">C16-(INDEX('Historic WASDE MY 202425'!$D$4:$S$200,MATCH(A16&amp;A3,'Historic WASDE MY 202425'!$B$4:$B$200&amp;'Historic WASDE MY 202425'!$C$4:$C$200,0),MATCH(D5,'Historic WASDE MY 202425'!$D$3:$Y$3,0))/1000)</f>
        <v>0.66900000000001114</v>
      </c>
      <c r="E16" s="29">
        <f>VLOOKUP(A16,'FM World'!A:AA,26,FALSE)</f>
        <v>185.07837351958062</v>
      </c>
      <c r="F16" s="30">
        <f>'Corn World-Major'!G66/1000</f>
        <v>195.81</v>
      </c>
      <c r="G16" s="28" t="e" cm="1">
        <f t="array" ref="G16">F16-(INDEX('Historic WASDE MY 202526'!$D$4:$R$200,MATCH(A16&amp;A3,'Historic WASDE MY 202526'!$B$4:$B$200&amp;'Historic WASDE MY 202526'!$C$4:$C$200,0),MATCH(G5,'Historic WASDE MY 202526'!$D$3:$X$3,0))/1000)</f>
        <v>#N/A</v>
      </c>
      <c r="H16" s="31" t="e">
        <f>VLOOKUP(A16,'FM World'!A:AA,27,FALSE)</f>
        <v>#REF!</v>
      </c>
      <c r="I16" s="2"/>
      <c r="J16" s="2"/>
      <c r="K16" s="41"/>
      <c r="L16" s="41"/>
      <c r="M16" s="42"/>
      <c r="N16" s="42"/>
      <c r="O16" s="42"/>
      <c r="P16" s="42"/>
      <c r="Q16" s="42"/>
      <c r="R16" s="41"/>
      <c r="S16" s="41"/>
      <c r="T16" s="41"/>
      <c r="U16" s="41"/>
      <c r="V16" s="41"/>
      <c r="W16" s="41"/>
    </row>
    <row r="17" spans="1:23" ht="16.5">
      <c r="A17" s="19" t="s">
        <v>20</v>
      </c>
      <c r="B17" s="20">
        <f>B16+B13</f>
        <v>1525.6670000000001</v>
      </c>
      <c r="C17" s="21">
        <f>C16+C13</f>
        <v>1433.5890000000002</v>
      </c>
      <c r="D17" s="43">
        <f t="shared" ref="D17:G17" si="1">D16+D13</f>
        <v>9.717000000000013</v>
      </c>
      <c r="E17" s="23">
        <f>E16+E13</f>
        <v>1490.712666863054</v>
      </c>
      <c r="F17" s="24">
        <f>F16+F13</f>
        <v>1461.9089999999999</v>
      </c>
      <c r="G17" s="43" t="e">
        <f t="shared" si="1"/>
        <v>#N/A</v>
      </c>
      <c r="H17" s="25" t="e">
        <f>H16+H13</f>
        <v>#REF!</v>
      </c>
      <c r="I17" s="2"/>
      <c r="J17" s="2"/>
      <c r="K17" s="41"/>
      <c r="L17" s="41"/>
      <c r="M17" s="42"/>
      <c r="N17" s="42"/>
      <c r="O17" s="42"/>
      <c r="P17" s="42"/>
      <c r="Q17" s="42"/>
      <c r="R17" s="41"/>
      <c r="S17" s="41"/>
      <c r="T17" s="41"/>
      <c r="U17" s="41"/>
      <c r="V17" s="41"/>
      <c r="W17" s="41"/>
    </row>
    <row r="18" spans="1:23" ht="16.5">
      <c r="A18" s="44" t="s">
        <v>21</v>
      </c>
      <c r="B18" s="45">
        <f>'Corn World-Major'!E110/1000</f>
        <v>322.14299999999997</v>
      </c>
      <c r="C18" s="46">
        <f>'Corn World-Major'!F110/1000</f>
        <v>287.286</v>
      </c>
      <c r="D18" s="47" cm="1">
        <f t="array" ref="D18">C18-(INDEX('Historic WASDE MY 202425'!$D$4:$S$200,MATCH(A18&amp;A3,'Historic WASDE MY 202425'!$B$4:$B$200&amp;'Historic WASDE MY 202425'!$C$4:$C$200,0),MATCH(D5,'Historic WASDE MY 202425'!$D$3:$Y$3,0))/1000)</f>
        <v>-0.36299999999999955</v>
      </c>
      <c r="E18" s="48">
        <f>E12-E17</f>
        <v>318.24877134516964</v>
      </c>
      <c r="F18" s="49">
        <f>'Corn World-Major'!G110/1000</f>
        <v>277.84199999999998</v>
      </c>
      <c r="G18" s="47" t="e" cm="1">
        <f t="array" ref="G18">F18-(INDEX('Historic WASDE MY 202526'!$D$4:$R$200,MATCH(A18&amp;A3,'Historic WASDE MY 202526'!$B$4:$B$200&amp;'Historic WASDE MY 202526'!$C$4:$C$200,0),MATCH(G5,'Historic WASDE MY 202526'!$D$3:$X$3,0))/1000)</f>
        <v>#N/A</v>
      </c>
      <c r="H18" s="50" t="e">
        <f>H12-H17</f>
        <v>#REF!</v>
      </c>
      <c r="I18" s="2"/>
      <c r="J18" s="51"/>
      <c r="K18" s="41"/>
      <c r="L18" s="41"/>
      <c r="M18" s="42"/>
      <c r="N18" s="42"/>
      <c r="O18" s="42"/>
      <c r="P18" s="42"/>
      <c r="Q18" s="52"/>
    </row>
    <row r="19" spans="1:23" ht="17.25" thickBot="1">
      <c r="A19" s="19" t="s">
        <v>22</v>
      </c>
      <c r="B19" s="53">
        <f t="shared" ref="B19:C19" si="2">B18/B17</f>
        <v>0.21114895976644965</v>
      </c>
      <c r="C19" s="54">
        <f t="shared" si="2"/>
        <v>0.20039634790724536</v>
      </c>
      <c r="D19" s="55" cm="1">
        <f t="array" ref="D19">C19-(((INDEX('Historic WASDE MY 202425'!$D$4:$S$200,MATCH(A18&amp;A3,'Historic WASDE MY 202425'!$B$4:$B$200&amp;'Historic WASDE MY 202425'!$C$4:$C$200,0),MATCH(D5,'Historic WASDE MY 202425'!$D$3:$Y$3,0))/1000))/SUM(((INDEX('Historic WASDE MY 202425'!$D$4:$S$200,MATCH(A14&amp;A3,'Historic WASDE MY 202425'!$B$4:$B$200&amp;'Historic WASDE MY 202425'!$C$4:$C$200,0),MATCH(D5,'Historic WASDE MY 202425'!$D$3:$Y$3,0))/1000)),((INDEX('Historic WASDE MY 202425'!$D$4:$S$200,MATCH(A15&amp;A3,'Historic WASDE MY 202425'!$B$4:$B$200&amp;'Historic WASDE MY 202425'!$C$4:$C$200,0),MATCH(D5,'Historic WASDE MY 202425'!$D$3:$Y$3,0))/1000)),((INDEX('Historic WASDE MY 202425'!$D$4:$S$200,MATCH(A16&amp;A3,'Historic WASDE MY 202425'!$B$4:$B$200&amp;'Historic WASDE MY 202425'!$C$4:$C$200,0),MATCH(D5,'Historic WASDE MY 202425'!$D$3:$Y$3,0))/1000))))</f>
        <v>-1.6225133387093305E-3</v>
      </c>
      <c r="E19" s="56">
        <f>E18/E17</f>
        <v>0.21348766829416493</v>
      </c>
      <c r="F19" s="57">
        <f t="shared" ref="F19" si="3">F18/F17</f>
        <v>0.19005423730204821</v>
      </c>
      <c r="G19" s="55" t="e" cm="1">
        <f t="array" ref="G19">F19-((INDEX('Historic WASDE MY 202526'!$D$4:$R$200,MATCH(A18&amp;A3,'Historic WASDE MY 202526'!$B$4:$B$200&amp;'Historic WASDE MY 202526'!$C$4:$C$200,0),MATCH(G5,'Historic WASDE MY 202526'!$D$3:$X$3,0))/1000))/SUM(((INDEX('Historic WASDE MY 202526'!$D$4:$R$200,MATCH(A14&amp;A3,'Historic WASDE MY 202526'!$B$4:$B$200&amp;'Historic WASDE MY 202526'!$C$4:$C$200,0),MATCH(G5,'Historic WASDE MY 202526'!$D$3:$X$3,0))/1000)),((INDEX('Historic WASDE MY 202526'!$D$4:$R$200,MATCH(A15&amp;A3,'Historic WASDE MY 202526'!$B$4:$B$200&amp;'Historic WASDE MY 202526'!$C$4:$C$200,0),MATCH(G5,'Historic WASDE MY 202526'!$D$3:$X$3,0))/1000)),((INDEX('Historic WASDE MY 202526'!$D$4:$R$200,MATCH(A16&amp;A3,'Historic WASDE MY 202526'!$B$4:$B$200&amp;'Historic WASDE MY 202526'!$C$4:$C$200,0),MATCH(G5,'Historic WASDE MY 202526'!$D$3:$X$3,0))/1000)))</f>
        <v>#N/A</v>
      </c>
      <c r="H19" s="58" t="e">
        <f>H18/H17</f>
        <v>#REF!</v>
      </c>
      <c r="I19" s="2"/>
      <c r="J19" s="2"/>
      <c r="K19" s="59"/>
      <c r="L19" s="59"/>
      <c r="M19" s="59"/>
      <c r="N19" s="59"/>
      <c r="O19" s="59"/>
      <c r="P19" s="60"/>
      <c r="Q19" s="59"/>
    </row>
    <row r="20" spans="1:23">
      <c r="A20" s="61"/>
      <c r="B20" s="61"/>
      <c r="C20" s="61"/>
      <c r="D20" s="61"/>
      <c r="E20" s="61"/>
      <c r="F20" s="61"/>
      <c r="G20" s="61"/>
      <c r="H20" s="61"/>
      <c r="I20" s="2"/>
      <c r="J20" s="2"/>
      <c r="Q20" s="62"/>
    </row>
    <row r="21" spans="1:23" ht="18">
      <c r="A21" s="1" t="s">
        <v>23</v>
      </c>
      <c r="B21" s="2"/>
      <c r="C21" s="2"/>
      <c r="D21" s="2"/>
      <c r="E21" s="2"/>
      <c r="F21" s="2"/>
      <c r="G21" s="2"/>
      <c r="H21" s="2"/>
      <c r="I21" s="2"/>
      <c r="J21" s="2"/>
    </row>
    <row r="22" spans="1:23" ht="13.5" thickBot="1">
      <c r="B22" s="2"/>
      <c r="C22" s="2"/>
      <c r="D22" s="2"/>
      <c r="E22" s="2"/>
      <c r="F22" s="2"/>
      <c r="G22" s="2"/>
      <c r="H22" s="2"/>
      <c r="I22" s="2"/>
      <c r="J22" s="2"/>
    </row>
    <row r="23" spans="1:23" ht="17.25" thickBot="1">
      <c r="A23" s="4" t="s">
        <v>24</v>
      </c>
      <c r="B23" s="5" t="s">
        <v>2</v>
      </c>
      <c r="C23" s="376" t="s">
        <v>3</v>
      </c>
      <c r="D23" s="376"/>
      <c r="E23" s="376"/>
      <c r="F23" s="377" t="s">
        <v>4</v>
      </c>
      <c r="G23" s="376"/>
      <c r="H23" s="378"/>
      <c r="I23" s="2"/>
      <c r="J23" s="2"/>
    </row>
    <row r="24" spans="1:23" ht="21.6" customHeight="1" thickBot="1">
      <c r="A24" s="4" t="s">
        <v>25</v>
      </c>
      <c r="B24" s="379" t="s">
        <v>6</v>
      </c>
      <c r="C24" s="381" t="s">
        <v>6</v>
      </c>
      <c r="D24" s="63" t="s">
        <v>7</v>
      </c>
      <c r="E24" s="383" t="s">
        <v>8</v>
      </c>
      <c r="F24" s="385" t="s">
        <v>6</v>
      </c>
      <c r="G24" s="6" t="str">
        <f>D24</f>
        <v>Change from</v>
      </c>
      <c r="H24" s="387" t="str">
        <f>E24</f>
        <v>Fastmarkets</v>
      </c>
      <c r="I24" s="2"/>
      <c r="J24" s="2"/>
    </row>
    <row r="25" spans="1:23" ht="12.75" customHeight="1" thickBot="1">
      <c r="A25" s="7"/>
      <c r="B25" s="380"/>
      <c r="C25" s="382"/>
      <c r="D25" s="8">
        <f>D5</f>
        <v>45748</v>
      </c>
      <c r="E25" s="384"/>
      <c r="F25" s="386"/>
      <c r="G25" s="8">
        <f>D25</f>
        <v>45748</v>
      </c>
      <c r="H25" s="388"/>
      <c r="I25" s="2"/>
      <c r="J25" s="2"/>
      <c r="Q25" s="9"/>
    </row>
    <row r="26" spans="1:23" ht="16.5">
      <c r="A26" s="10" t="s">
        <v>9</v>
      </c>
      <c r="B26" s="11"/>
      <c r="C26" s="12"/>
      <c r="D26" s="13"/>
      <c r="E26" s="14"/>
      <c r="F26" s="15"/>
      <c r="G26" s="13"/>
      <c r="H26" s="16"/>
      <c r="I26" s="2"/>
      <c r="J26" s="2"/>
      <c r="K26" s="17"/>
      <c r="L26" s="17"/>
      <c r="M26" s="18"/>
      <c r="N26" s="18"/>
      <c r="O26" s="18"/>
      <c r="P26" s="18"/>
      <c r="Q26" s="18"/>
      <c r="R26" s="17"/>
      <c r="S26" s="17"/>
      <c r="T26" s="17"/>
      <c r="U26" s="17"/>
      <c r="V26" s="17"/>
      <c r="W26" s="17"/>
    </row>
    <row r="27" spans="1:23" ht="16.5">
      <c r="A27" s="19" t="s">
        <v>10</v>
      </c>
      <c r="B27" s="20">
        <f>'Corn World-Major'!E3/1000</f>
        <v>7.7750000000000004</v>
      </c>
      <c r="C27" s="21">
        <f>'Corn World-Major'!F3/1000</f>
        <v>6.4</v>
      </c>
      <c r="D27" s="22" cm="1">
        <f t="array" ref="D27">C27-(INDEX('Historic WASDE MY 202425'!$D$4:$S$200,MATCH(A27&amp;A23,'Historic WASDE MY 202425'!$B$4:$B$200&amp;'Historic WASDE MY 202425'!$C$4:$C$200,0),MATCH(D25,'Historic WASDE MY 202425'!$D$3:$Y$3,0))/1000)</f>
        <v>0</v>
      </c>
      <c r="E27" s="23">
        <f>VLOOKUP(A27,Argentina!A:ZZ,52,FALSE)</f>
        <v>6.788561125293965</v>
      </c>
      <c r="F27" s="24">
        <f>'Corn World-Major'!G3/1000</f>
        <v>7.5</v>
      </c>
      <c r="G27" s="22" t="e" cm="1">
        <f t="array" ref="G27">F27-(INDEX('Historic WASDE MY 202526'!$D$4:$R$200,MATCH(A27&amp;A23,'Historic WASDE MY 202526'!$B$4:$B$200&amp;'Historic WASDE MY 202526'!$C$4:$C$200,0),MATCH(G25,'Historic WASDE MY 202526'!$D$3:$X$3,0))/1000)</f>
        <v>#N/A</v>
      </c>
      <c r="H27" s="25">
        <f>VLOOKUP(A27,Argentina!A:ZZ,53,FALSE)</f>
        <v>7.1557653591137012</v>
      </c>
      <c r="I27" s="2"/>
      <c r="J27" s="2"/>
      <c r="K27" s="17"/>
      <c r="L27" s="17"/>
      <c r="M27" s="18"/>
      <c r="N27" s="18"/>
      <c r="O27" s="18"/>
      <c r="P27" s="18"/>
      <c r="Q27" s="18"/>
      <c r="R27" s="17"/>
      <c r="S27" s="17"/>
      <c r="T27" s="17"/>
      <c r="U27" s="17"/>
      <c r="V27" s="17"/>
      <c r="W27" s="17"/>
    </row>
    <row r="28" spans="1:23" ht="16.5">
      <c r="A28" s="10" t="s">
        <v>11</v>
      </c>
      <c r="B28" s="26">
        <f>'Corn World-Major'!E124</f>
        <v>6.56</v>
      </c>
      <c r="C28" s="27">
        <f>'Corn World-Major'!F124</f>
        <v>7.81</v>
      </c>
      <c r="D28" s="28" cm="1">
        <f t="array" ref="D28">C28-(INDEX('Historic WASDE MY 202425'!$D$4:$S$200,MATCH(A28&amp;A23,'Historic WASDE MY 202425'!$B$4:$B$200&amp;'Historic WASDE MY 202425'!$C$4:$C$200,0),MATCH(D25,'Historic WASDE MY 202425'!$D$3:$Y$3,0)))</f>
        <v>0</v>
      </c>
      <c r="E28" s="29">
        <f>VLOOKUP(A28,Argentina!A:ZZ,52,FALSE)</f>
        <v>6.8930116397431789</v>
      </c>
      <c r="F28" s="30">
        <f>'Corn World-Major'!G124</f>
        <v>7.07</v>
      </c>
      <c r="G28" s="28" t="e" cm="1">
        <f t="array" ref="G28">F28-(INDEX('Historic WASDE MY 202526'!$D$4:$R$200,MATCH(A28&amp;A23,'Historic WASDE MY 202526'!$B$4:$B$200&amp;'Historic WASDE MY 202526'!$C$4:$C$200,0),MATCH(G25,'Historic WASDE MY 202526'!$D$3:$X$3,0)))</f>
        <v>#N/A</v>
      </c>
      <c r="H28" s="31">
        <f>VLOOKUP(A28,Argentina!A:ZZ,53,FALSE)</f>
        <v>7.0051338407282415</v>
      </c>
      <c r="I28" s="2"/>
      <c r="J28" s="2"/>
      <c r="K28" s="17"/>
      <c r="L28" s="17"/>
      <c r="M28" s="32"/>
      <c r="N28" s="32"/>
      <c r="O28" s="32"/>
      <c r="P28" s="32"/>
      <c r="Q28" s="33"/>
      <c r="R28" s="17"/>
      <c r="S28" s="17"/>
      <c r="T28" s="17"/>
      <c r="U28" s="17"/>
      <c r="V28" s="17"/>
      <c r="W28" s="17"/>
    </row>
    <row r="29" spans="1:23" ht="16.5">
      <c r="A29" s="34" t="s">
        <v>12</v>
      </c>
      <c r="B29" s="35">
        <f>'Corn World-Major'!E14/1000</f>
        <v>2.3239999999999998</v>
      </c>
      <c r="C29" s="36">
        <f>'Corn World-Major'!F14/1000</f>
        <v>2.4780000000000002</v>
      </c>
      <c r="D29" s="37" cm="1">
        <f t="array" ref="D29">C29-(INDEX('Historic WASDE MY 202425'!$D$4:$S$200,MATCH(A29&amp;A23,'Historic WASDE MY 202425'!$B$4:$B$200&amp;'Historic WASDE MY 202425'!$C$4:$C$200,0),MATCH(D25,'Historic WASDE MY 202425'!$D$3:$Y$3,0))/1000)</f>
        <v>-0.19999999999999973</v>
      </c>
      <c r="E29" s="38">
        <f>B38</f>
        <v>2.4780000000000002</v>
      </c>
      <c r="F29" s="39">
        <f>'Corn World-Major'!G14/1000</f>
        <v>2.383</v>
      </c>
      <c r="G29" s="37" t="e" cm="1">
        <f t="array" ref="G29">F29-(INDEX('Historic WASDE MY 202526'!$D$4:$R$200,MATCH(A29&amp;A23,'Historic WASDE MY 202526'!$B$4:$B$200&amp;'Historic WASDE MY 202526'!$C$4:$C$200,0),MATCH(G25,'Historic WASDE MY 202526'!$D$3:$X$3,0))/1000)</f>
        <v>#N/A</v>
      </c>
      <c r="H29" s="40">
        <f>E38</f>
        <v>2.4780000000000015</v>
      </c>
      <c r="I29" s="2"/>
      <c r="K29" s="41"/>
      <c r="L29" s="41"/>
      <c r="M29" s="42"/>
      <c r="N29" s="42"/>
      <c r="O29" s="42"/>
      <c r="P29" s="42"/>
      <c r="Q29" s="42"/>
      <c r="R29" s="17"/>
      <c r="S29" s="41"/>
      <c r="T29" s="41"/>
      <c r="U29" s="41"/>
      <c r="V29" s="41"/>
      <c r="W29" s="41"/>
    </row>
    <row r="30" spans="1:23" ht="16.5">
      <c r="A30" s="10" t="s">
        <v>13</v>
      </c>
      <c r="B30" s="26">
        <f>'Corn World-Major'!E25/1000</f>
        <v>51</v>
      </c>
      <c r="C30" s="27">
        <f>'Corn World-Major'!F25/1000</f>
        <v>50</v>
      </c>
      <c r="D30" s="28" cm="1">
        <f t="array" ref="D30">C30-(INDEX('Historic WASDE MY 202425'!$D$4:$S$200,MATCH(A30&amp;A23,'Historic WASDE MY 202425'!$B$4:$B$200&amp;'Historic WASDE MY 202425'!$C$4:$C$200,0),MATCH(D25,'Historic WASDE MY 202425'!$D$3:$Y$3,0))/1000)</f>
        <v>0</v>
      </c>
      <c r="E30" s="29">
        <f>VLOOKUP(A30,Argentina!A:ZZ,52,FALSE)</f>
        <v>49</v>
      </c>
      <c r="F30" s="30">
        <f>'Corn World-Major'!G25/1000</f>
        <v>53</v>
      </c>
      <c r="G30" s="28" t="e" cm="1">
        <f t="array" ref="G30">F30-(INDEX('Historic WASDE MY 202526'!$D$4:$R$200,MATCH(A30&amp;A23,'Historic WASDE MY 202526'!$B$4:$B$200&amp;'Historic WASDE MY 202526'!$C$4:$C$200,0),MATCH(G25,'Historic WASDE MY 202526'!$D$3:$X$3,0))/1000)</f>
        <v>#N/A</v>
      </c>
      <c r="H30" s="31">
        <f>VLOOKUP(A30,Argentina!A:ZZ,53,FALSE)</f>
        <v>50.127094073438265</v>
      </c>
      <c r="I30" s="2"/>
      <c r="J30" s="2"/>
      <c r="K30" s="41"/>
      <c r="L30" s="41"/>
      <c r="M30" s="42"/>
      <c r="N30" s="42"/>
      <c r="O30" s="42"/>
      <c r="P30" s="42"/>
      <c r="Q30" s="42"/>
      <c r="R30" s="17"/>
      <c r="S30" s="41"/>
      <c r="T30" s="41"/>
      <c r="U30" s="41"/>
      <c r="V30" s="41"/>
      <c r="W30" s="41"/>
    </row>
    <row r="31" spans="1:23" ht="16.5">
      <c r="A31" s="19" t="s">
        <v>14</v>
      </c>
      <c r="B31" s="20">
        <f>'Corn World-Major'!E36/1000</f>
        <v>0.01</v>
      </c>
      <c r="C31" s="21">
        <f>'Corn World-Major'!F36/1000</f>
        <v>5.0000000000000001E-3</v>
      </c>
      <c r="D31" s="43" cm="1">
        <f t="array" ref="D31">C31-(INDEX('Historic WASDE MY 202425'!$D$4:$S$200,MATCH(A31&amp;A23,'Historic WASDE MY 202425'!$B$4:$B$200&amp;'Historic WASDE MY 202425'!$C$4:$C$200,0),MATCH(D25,'Historic WASDE MY 202425'!$D$3:$Y$3,0))/1000)</f>
        <v>0</v>
      </c>
      <c r="E31" s="23">
        <f>VLOOKUP(A31,Argentina!A:ZZ,52,FALSE)</f>
        <v>1.4999999999999999E-2</v>
      </c>
      <c r="F31" s="24">
        <f>'Corn World-Major'!G36/1000</f>
        <v>5.0000000000000001E-3</v>
      </c>
      <c r="G31" s="43" t="e" cm="1">
        <f t="array" ref="G31">F31-(INDEX('Historic WASDE MY 202526'!$D$4:$R$200,MATCH(A31&amp;A23,'Historic WASDE MY 202526'!$B$4:$B$200&amp;'Historic WASDE MY 202526'!$C$4:$C$200,0),MATCH(G25,'Historic WASDE MY 202526'!$D$3:$X$3,0))/1000)</f>
        <v>#N/A</v>
      </c>
      <c r="H31" s="25">
        <f>VLOOKUP(A31,Argentina!A:ZZ,53,FALSE)</f>
        <v>1.0149999999999999</v>
      </c>
      <c r="I31" s="2"/>
      <c r="J31" s="2"/>
      <c r="K31" s="41"/>
      <c r="L31" s="41"/>
      <c r="M31" s="42"/>
      <c r="N31" s="42"/>
      <c r="O31" s="42"/>
      <c r="P31" s="42"/>
      <c r="Q31" s="42"/>
      <c r="R31" s="17"/>
      <c r="S31" s="41"/>
      <c r="T31" s="41"/>
      <c r="U31" s="41"/>
      <c r="V31" s="41"/>
      <c r="W31" s="41"/>
    </row>
    <row r="32" spans="1:23" ht="16.5">
      <c r="A32" s="10" t="s">
        <v>15</v>
      </c>
      <c r="B32" s="26">
        <f>SUM(B29:B31)</f>
        <v>53.333999999999996</v>
      </c>
      <c r="C32" s="27">
        <f>SUM(C29:C31)</f>
        <v>52.483000000000004</v>
      </c>
      <c r="D32" s="28">
        <f>SUM(D29:D31)</f>
        <v>-0.19999999999999973</v>
      </c>
      <c r="E32" s="29">
        <f>SUM(E29:E31)</f>
        <v>51.493000000000002</v>
      </c>
      <c r="F32" s="30">
        <f>SUM(F29:F31)</f>
        <v>55.388000000000005</v>
      </c>
      <c r="G32" s="28" t="e">
        <f>G31+G30+G29</f>
        <v>#N/A</v>
      </c>
      <c r="H32" s="31">
        <f>SUM(H29:H31)</f>
        <v>53.620094073438267</v>
      </c>
      <c r="I32" s="2"/>
      <c r="J32" s="2"/>
      <c r="K32" s="41"/>
      <c r="L32" s="41"/>
      <c r="M32" s="42"/>
      <c r="N32" s="42"/>
      <c r="O32" s="42"/>
      <c r="P32" s="42"/>
      <c r="Q32" s="42"/>
      <c r="R32" s="41"/>
      <c r="S32" s="41"/>
      <c r="T32" s="41"/>
      <c r="U32" s="41"/>
      <c r="V32" s="41"/>
      <c r="W32" s="41"/>
    </row>
    <row r="33" spans="1:23" ht="16.5">
      <c r="A33" s="34" t="s">
        <v>16</v>
      </c>
      <c r="B33" s="35">
        <f t="shared" ref="B33:E33" si="4">B34+B35</f>
        <v>14.600000000000001</v>
      </c>
      <c r="C33" s="36">
        <f t="shared" si="4"/>
        <v>14.6</v>
      </c>
      <c r="D33" s="37">
        <f t="shared" si="4"/>
        <v>0.29999999999999982</v>
      </c>
      <c r="E33" s="38">
        <f t="shared" si="4"/>
        <v>15.015000000000001</v>
      </c>
      <c r="F33" s="39">
        <f>F34+F35</f>
        <v>15.6</v>
      </c>
      <c r="G33" s="37" t="e">
        <f t="shared" ref="G33:H33" si="5">G34+G35</f>
        <v>#N/A</v>
      </c>
      <c r="H33" s="40">
        <f t="shared" si="5"/>
        <v>16.842094073438268</v>
      </c>
      <c r="I33" s="2"/>
      <c r="J33" s="2"/>
      <c r="K33" s="41"/>
      <c r="L33" s="41"/>
      <c r="M33" s="42"/>
      <c r="N33" s="42"/>
      <c r="O33" s="42"/>
      <c r="P33" s="42"/>
      <c r="Q33" s="42"/>
      <c r="R33" s="41"/>
      <c r="S33" s="41"/>
      <c r="T33" s="41"/>
      <c r="U33" s="41"/>
      <c r="V33" s="41"/>
      <c r="W33" s="41"/>
    </row>
    <row r="34" spans="1:23" ht="16.5">
      <c r="A34" s="10" t="s">
        <v>17</v>
      </c>
      <c r="B34" s="26">
        <f>'Corn World-Major'!E69/1000</f>
        <v>10.4</v>
      </c>
      <c r="C34" s="27">
        <f>'Corn World-Major'!F69/1000</f>
        <v>10.199999999999999</v>
      </c>
      <c r="D34" s="28" cm="1">
        <f t="array" ref="D34">C34-(INDEX('Historic WASDE MY 202425'!$D$4:$S$200,MATCH(A34&amp;A23,'Historic WASDE MY 202425'!$B$4:$B$200&amp;'Historic WASDE MY 202425'!$C$4:$C$200,0),MATCH(D25,'Historic WASDE MY 202425'!$D$3:$Y$3,0))/1000)</f>
        <v>0.19999999999999929</v>
      </c>
      <c r="E34" s="29">
        <f>VLOOKUP(A34,Argentina!A:ZZ,52,FALSE)</f>
        <v>7.9861560000000011</v>
      </c>
      <c r="F34" s="30">
        <f>'Corn World-Major'!G69/1000</f>
        <v>11.2</v>
      </c>
      <c r="G34" s="28" t="e" cm="1">
        <f t="array" ref="G34">F34-(INDEX('Historic WASDE MY 202526'!$D$4:$R$200,MATCH(A34&amp;A23,'Historic WASDE MY 202526'!$B$4:$B$200&amp;'Historic WASDE MY 202526'!$C$4:$C$200,0),MATCH(G25,'Historic WASDE MY 202526'!$D$3:$X$3,0))/1000)</f>
        <v>#N/A</v>
      </c>
      <c r="H34" s="31">
        <f>VLOOKUP(A34,Argentina!A:ZZ,53,FALSE)</f>
        <v>9.1250410020097164</v>
      </c>
      <c r="I34" s="2"/>
      <c r="J34" s="2"/>
      <c r="K34" s="41"/>
      <c r="L34" s="41"/>
      <c r="M34" s="42"/>
      <c r="N34" s="42"/>
      <c r="O34" s="42"/>
      <c r="P34" s="42"/>
      <c r="Q34" s="42"/>
      <c r="R34" s="41"/>
      <c r="S34" s="41"/>
      <c r="T34" s="41"/>
      <c r="U34" s="41"/>
      <c r="V34" s="41"/>
      <c r="W34" s="41"/>
    </row>
    <row r="35" spans="1:23" ht="16.5">
      <c r="A35" s="19" t="s">
        <v>18</v>
      </c>
      <c r="B35" s="20">
        <f>'Corn World-Major'!E80/1000</f>
        <v>4.2</v>
      </c>
      <c r="C35" s="21">
        <f>'Corn World-Major'!F80/1000</f>
        <v>4.4000000000000004</v>
      </c>
      <c r="D35" s="43" cm="1">
        <f t="array" ref="D35">C35-(INDEX('Historic WASDE MY 202425'!$D$4:$S$200,MATCH(A35&amp;A23,'Historic WASDE MY 202425'!$B$4:$B$200&amp;'Historic WASDE MY 202425'!$C$4:$C$200,0),MATCH(D25,'Historic WASDE MY 202425'!$D$3:$Y$3,0))/1000)</f>
        <v>0.10000000000000053</v>
      </c>
      <c r="E35" s="23">
        <f>VLOOKUP(A35,Argentina!A:ZZ,52,FALSE)</f>
        <v>7.0288439999999994</v>
      </c>
      <c r="F35" s="24">
        <f>'Corn World-Major'!G80/1000</f>
        <v>4.4000000000000004</v>
      </c>
      <c r="G35" s="43" t="e" cm="1">
        <f t="array" ref="G35">F35-(INDEX('Historic WASDE MY 202526'!$D$4:$R$200,MATCH(A35&amp;A23,'Historic WASDE MY 202526'!$B$4:$B$200&amp;'Historic WASDE MY 202526'!$C$4:$C$200,0),MATCH(G25,'Historic WASDE MY 202526'!$D$3:$X$3,0))/1000)</f>
        <v>#N/A</v>
      </c>
      <c r="H35" s="25">
        <f>VLOOKUP(A35,Argentina!A:ZZ,53,FALSE)</f>
        <v>7.7170530714285519</v>
      </c>
      <c r="I35" s="2"/>
      <c r="J35" s="2"/>
      <c r="K35" s="41"/>
      <c r="L35" s="41"/>
      <c r="M35" s="42"/>
      <c r="N35" s="42"/>
      <c r="O35" s="42"/>
      <c r="P35" s="42"/>
      <c r="Q35" s="42"/>
      <c r="R35" s="41"/>
      <c r="S35" s="41"/>
      <c r="T35" s="41"/>
      <c r="U35" s="41"/>
      <c r="V35" s="41"/>
      <c r="W35" s="41"/>
    </row>
    <row r="36" spans="1:23" ht="16.5">
      <c r="A36" s="10" t="s">
        <v>19</v>
      </c>
      <c r="B36" s="26">
        <f>'Corn World-Major'!E58/1000</f>
        <v>36.256</v>
      </c>
      <c r="C36" s="27">
        <f>'Corn World-Major'!F58/1000</f>
        <v>35.5</v>
      </c>
      <c r="D36" s="28" cm="1">
        <f t="array" ref="D36">C36-(INDEX('Historic WASDE MY 202425'!$D$4:$S$200,MATCH(A36&amp;A23,'Historic WASDE MY 202425'!$B$4:$B$200&amp;'Historic WASDE MY 202425'!$C$4:$C$200,0),MATCH(D25,'Historic WASDE MY 202425'!$D$3:$Y$3,0))/1000)</f>
        <v>-0.5</v>
      </c>
      <c r="E36" s="29">
        <f>VLOOKUP(A36,Argentina!A:ZZ,52,FALSE)</f>
        <v>34</v>
      </c>
      <c r="F36" s="30">
        <f>'Corn World-Major'!G58/1000</f>
        <v>37</v>
      </c>
      <c r="G36" s="28" t="e" cm="1">
        <f t="array" ref="G36">F36-(INDEX('Historic WASDE MY 202526'!$D$4:$R$200,MATCH(A36&amp;A23,'Historic WASDE MY 202526'!$B$4:$B$200&amp;'Historic WASDE MY 202526'!$C$4:$C$200,0),MATCH(G25,'Historic WASDE MY 202526'!$D$3:$X$3,0))/1000)</f>
        <v>#N/A</v>
      </c>
      <c r="H36" s="31">
        <f>VLOOKUP(A36,Argentina!A:ZZ,53,FALSE)</f>
        <v>34.299999999999997</v>
      </c>
      <c r="I36" s="2"/>
      <c r="J36" s="2"/>
      <c r="K36" s="41"/>
      <c r="L36" s="41"/>
      <c r="M36" s="42"/>
      <c r="N36" s="42"/>
      <c r="O36" s="42"/>
      <c r="P36" s="42"/>
      <c r="Q36" s="42"/>
      <c r="R36" s="41"/>
      <c r="S36" s="41"/>
      <c r="T36" s="41"/>
      <c r="U36" s="41"/>
      <c r="V36" s="41"/>
      <c r="W36" s="41"/>
    </row>
    <row r="37" spans="1:23" ht="16.5">
      <c r="A37" s="19" t="s">
        <v>20</v>
      </c>
      <c r="B37" s="20">
        <f>B36+B33</f>
        <v>50.856000000000002</v>
      </c>
      <c r="C37" s="21">
        <f>C36+C33</f>
        <v>50.1</v>
      </c>
      <c r="D37" s="43">
        <f t="shared" ref="D37" si="6">D36+D33</f>
        <v>-0.20000000000000018</v>
      </c>
      <c r="E37" s="23">
        <f>E36+E33</f>
        <v>49.015000000000001</v>
      </c>
      <c r="F37" s="24">
        <f>F36+F33</f>
        <v>52.6</v>
      </c>
      <c r="G37" s="43" t="e">
        <f t="shared" ref="G37" si="7">G36+G33</f>
        <v>#N/A</v>
      </c>
      <c r="H37" s="25">
        <f>H36+H33</f>
        <v>51.142094073438265</v>
      </c>
      <c r="I37" s="2"/>
      <c r="J37" s="2"/>
      <c r="K37" s="41"/>
      <c r="L37" s="41"/>
      <c r="M37" s="42"/>
      <c r="N37" s="42"/>
      <c r="O37" s="42"/>
      <c r="P37" s="42"/>
      <c r="Q37" s="42"/>
      <c r="R37" s="41"/>
      <c r="S37" s="41"/>
      <c r="T37" s="41"/>
      <c r="U37" s="41"/>
      <c r="V37" s="41"/>
      <c r="W37" s="41"/>
    </row>
    <row r="38" spans="1:23" ht="16.5">
      <c r="A38" s="44" t="s">
        <v>21</v>
      </c>
      <c r="B38" s="45">
        <f>'Corn World-Major'!E102/1000</f>
        <v>2.4780000000000002</v>
      </c>
      <c r="C38" s="46">
        <f>'Corn World-Major'!F102/1000</f>
        <v>2.383</v>
      </c>
      <c r="D38" s="47" cm="1">
        <f t="array" ref="D38">C38-(INDEX('Historic WASDE MY 202425'!$D$4:$S$200,MATCH(A38&amp;A23,'Historic WASDE MY 202425'!$B$4:$B$200&amp;'Historic WASDE MY 202425'!$C$4:$C$200,0),MATCH(D25,'Historic WASDE MY 202425'!$D$3:$Y$3,0))/1000)</f>
        <v>0</v>
      </c>
      <c r="E38" s="48">
        <f>E32-E37</f>
        <v>2.4780000000000015</v>
      </c>
      <c r="F38" s="49">
        <f>'Corn World-Major'!G102/1000</f>
        <v>2.7879999999999998</v>
      </c>
      <c r="G38" s="47" t="e" cm="1">
        <f t="array" ref="G38">F38-(INDEX('Historic WASDE MY 202526'!$D$4:$R$200,MATCH(A38&amp;A23,'Historic WASDE MY 202526'!$B$4:$B$200&amp;'Historic WASDE MY 202526'!$C$4:$C$200,0),MATCH(G25,'Historic WASDE MY 202526'!$D$3:$X$3,0))/1000)</f>
        <v>#N/A</v>
      </c>
      <c r="H38" s="50">
        <f>H32-H37</f>
        <v>2.4780000000000015</v>
      </c>
      <c r="I38" s="2"/>
      <c r="J38" s="51"/>
      <c r="K38" s="41"/>
      <c r="L38" s="41"/>
      <c r="M38" s="42"/>
      <c r="N38" s="42"/>
      <c r="O38" s="42"/>
      <c r="P38" s="42"/>
      <c r="Q38" s="52"/>
    </row>
    <row r="39" spans="1:23" ht="17.25" thickBot="1">
      <c r="A39" s="19" t="s">
        <v>22</v>
      </c>
      <c r="B39" s="53">
        <f t="shared" ref="B39:C39" si="8">B38/B37</f>
        <v>4.872581406323738E-2</v>
      </c>
      <c r="C39" s="54">
        <f t="shared" si="8"/>
        <v>4.7564870259481036E-2</v>
      </c>
      <c r="D39" s="55" cm="1">
        <f t="array" ref="D39">C39-(((INDEX('Historic WASDE MY 202425'!$D$4:$S$200,MATCH(A38&amp;A23,'Historic WASDE MY 202425'!$B$4:$B$200&amp;'Historic WASDE MY 202425'!$C$4:$C$200,0),MATCH(D25,'Historic WASDE MY 202425'!$D$3:$Y$3,0))/1000))/SUM(((INDEX('Historic WASDE MY 202425'!$D$4:$S$200,MATCH(A34&amp;A23,'Historic WASDE MY 202425'!$B$4:$B$200&amp;'Historic WASDE MY 202425'!$C$4:$C$200,0),MATCH(D25,'Historic WASDE MY 202425'!$D$3:$Y$3,0))/1000)),((INDEX('Historic WASDE MY 202425'!$D$4:$S$200,MATCH(A35&amp;A23,'Historic WASDE MY 202425'!$B$4:$B$200&amp;'Historic WASDE MY 202425'!$C$4:$C$200,0),MATCH(D25,'Historic WASDE MY 202425'!$D$3:$Y$3,0))/1000)),((INDEX('Historic WASDE MY 202425'!$D$4:$S$200,MATCH(A36&amp;A23,'Historic WASDE MY 202425'!$B$4:$B$200&amp;'Historic WASDE MY 202425'!$C$4:$C$200,0),MATCH(D25,'Historic WASDE MY 202425'!$D$3:$Y$3,0))/1000))))</f>
        <v>1.8912473264206392E-4</v>
      </c>
      <c r="E39" s="56">
        <f>E38/E37</f>
        <v>5.0555952259512427E-2</v>
      </c>
      <c r="F39" s="57">
        <f t="shared" ref="F39" si="9">F38/F37</f>
        <v>5.3003802281368813E-2</v>
      </c>
      <c r="G39" s="55" t="e" cm="1">
        <f t="array" ref="G39">F39-((INDEX('Historic WASDE MY 202526'!$D$4:$R$200,MATCH(A38&amp;A23,'Historic WASDE MY 202526'!$B$4:$B$200&amp;'Historic WASDE MY 202526'!$C$4:$C$200,0),MATCH(G25,'Historic WASDE MY 202526'!$D$3:$X$3,0))/1000))/SUM(((INDEX('Historic WASDE MY 202526'!$D$4:$R$200,MATCH(A34&amp;A23,'Historic WASDE MY 202526'!$B$4:$B$200&amp;'Historic WASDE MY 202526'!$C$4:$C$200,0),MATCH(G25,'Historic WASDE MY 202526'!$D$3:$X$3,0))/1000)),((INDEX('Historic WASDE MY 202526'!$D$4:$R$200,MATCH(A35&amp;A23,'Historic WASDE MY 202526'!$B$4:$B$200&amp;'Historic WASDE MY 202526'!$C$4:$C$200,0),MATCH(G25,'Historic WASDE MY 202526'!$D$3:$X$3,0))/1000)),((INDEX('Historic WASDE MY 202526'!$D$4:$R$200,MATCH(A36&amp;A23,'Historic WASDE MY 202526'!$B$4:$B$200&amp;'Historic WASDE MY 202526'!$C$4:$C$200,0),MATCH(G25,'Historic WASDE MY 202526'!$D$3:$X$3,0))/1000)))</f>
        <v>#N/A</v>
      </c>
      <c r="H39" s="58">
        <f>H38/H37</f>
        <v>4.8453236905819298E-2</v>
      </c>
      <c r="I39" s="2"/>
      <c r="J39" s="2"/>
      <c r="K39" s="59"/>
      <c r="L39" s="59"/>
      <c r="M39" s="59"/>
      <c r="N39" s="59"/>
      <c r="O39" s="59"/>
      <c r="P39" s="60"/>
      <c r="Q39" s="59"/>
    </row>
    <row r="40" spans="1:23">
      <c r="A40" s="61"/>
      <c r="B40" s="61"/>
      <c r="C40" s="61"/>
      <c r="D40" s="61"/>
      <c r="E40" s="61"/>
      <c r="F40" s="61"/>
      <c r="G40" s="61"/>
      <c r="H40" s="61"/>
      <c r="I40" s="2"/>
      <c r="J40" s="2"/>
      <c r="Q40" s="62"/>
    </row>
    <row r="41" spans="1:23" ht="18">
      <c r="A41" s="1" t="s">
        <v>26</v>
      </c>
      <c r="B41" s="2"/>
      <c r="C41" s="2"/>
      <c r="D41" s="2"/>
      <c r="E41" s="2"/>
      <c r="F41" s="2"/>
      <c r="G41" s="2"/>
      <c r="H41" s="2"/>
      <c r="I41" s="2"/>
      <c r="J41" s="2"/>
    </row>
    <row r="42" spans="1:23" ht="13.5" thickBot="1">
      <c r="B42" s="2"/>
      <c r="C42" s="2"/>
      <c r="D42" s="2"/>
      <c r="E42" s="2"/>
      <c r="F42" s="2"/>
      <c r="G42" s="2"/>
      <c r="H42" s="2"/>
      <c r="I42" s="2"/>
      <c r="J42" s="2"/>
    </row>
    <row r="43" spans="1:23" ht="17.25" thickBot="1">
      <c r="A43" s="4" t="s">
        <v>27</v>
      </c>
      <c r="B43" s="5" t="s">
        <v>2</v>
      </c>
      <c r="C43" s="376" t="s">
        <v>3</v>
      </c>
      <c r="D43" s="376"/>
      <c r="E43" s="376"/>
      <c r="F43" s="377" t="s">
        <v>4</v>
      </c>
      <c r="G43" s="376"/>
      <c r="H43" s="378"/>
      <c r="I43" s="2"/>
      <c r="J43" s="2"/>
    </row>
    <row r="44" spans="1:23" ht="21.6" customHeight="1" thickBot="1">
      <c r="A44" s="4" t="s">
        <v>25</v>
      </c>
      <c r="B44" s="379" t="s">
        <v>6</v>
      </c>
      <c r="C44" s="381" t="s">
        <v>6</v>
      </c>
      <c r="D44" s="63" t="s">
        <v>7</v>
      </c>
      <c r="E44" s="383" t="s">
        <v>8</v>
      </c>
      <c r="F44" s="385" t="s">
        <v>6</v>
      </c>
      <c r="G44" s="6" t="str">
        <f>D44</f>
        <v>Change from</v>
      </c>
      <c r="H44" s="387" t="str">
        <f>E44</f>
        <v>Fastmarkets</v>
      </c>
      <c r="I44" s="2"/>
      <c r="J44" s="2"/>
    </row>
    <row r="45" spans="1:23" ht="12.75" customHeight="1" thickBot="1">
      <c r="A45" s="7"/>
      <c r="B45" s="380"/>
      <c r="C45" s="382"/>
      <c r="D45" s="8">
        <f>D25</f>
        <v>45748</v>
      </c>
      <c r="E45" s="384"/>
      <c r="F45" s="386"/>
      <c r="G45" s="8">
        <f>D45</f>
        <v>45748</v>
      </c>
      <c r="H45" s="388"/>
      <c r="I45" s="2"/>
      <c r="J45" s="2"/>
      <c r="Q45" s="9"/>
    </row>
    <row r="46" spans="1:23" ht="16.5">
      <c r="A46" s="10" t="s">
        <v>9</v>
      </c>
      <c r="B46" s="11"/>
      <c r="C46" s="12"/>
      <c r="D46" s="13"/>
      <c r="E46" s="14"/>
      <c r="F46" s="15"/>
      <c r="G46" s="13"/>
      <c r="H46" s="16"/>
      <c r="I46" s="2"/>
      <c r="J46" s="2"/>
      <c r="K46" s="17"/>
      <c r="L46" s="17"/>
      <c r="M46" s="18"/>
      <c r="N46" s="18"/>
      <c r="O46" s="18"/>
      <c r="P46" s="18"/>
      <c r="Q46" s="18"/>
      <c r="R46" s="17"/>
      <c r="S46" s="17"/>
      <c r="T46" s="17"/>
      <c r="U46" s="17"/>
      <c r="V46" s="17"/>
      <c r="W46" s="17"/>
    </row>
    <row r="47" spans="1:23" ht="16.5">
      <c r="A47" s="19" t="s">
        <v>10</v>
      </c>
      <c r="B47" s="20">
        <f>'Corn World-Major'!E4/1000</f>
        <v>21.65</v>
      </c>
      <c r="C47" s="21">
        <f>'Corn World-Major'!F4/1000</f>
        <v>22.3</v>
      </c>
      <c r="D47" s="22" cm="1">
        <f t="array" ref="D47">C47-(INDEX('Historic WASDE MY 202425'!$D$4:$S$200,MATCH(A47&amp;A43,'Historic WASDE MY 202425'!$B$4:$B$200&amp;'Historic WASDE MY 202425'!$C$4:$C$200,0),MATCH(D45,'Historic WASDE MY 202425'!$D$3:$Y$3,0))/1000)</f>
        <v>0</v>
      </c>
      <c r="E47" s="23">
        <f>VLOOKUP(A47,Brazil!A:ZZ,52,FALSE)</f>
        <v>22.124099999999999</v>
      </c>
      <c r="F47" s="24">
        <f>'Corn World-Major'!G4/1000</f>
        <v>22.6</v>
      </c>
      <c r="G47" s="22" t="e" cm="1">
        <f t="array" ref="G47">F47-(INDEX('Historic WASDE MY 202526'!$D$4:$R$200,MATCH(A47&amp;A43,'Historic WASDE MY 202526'!$B$4:$B$200&amp;'Historic WASDE MY 202526'!$C$4:$C$200,0),MATCH(G45,'Historic WASDE MY 202526'!$D$3:$X$3,0))/1000)</f>
        <v>#N/A</v>
      </c>
      <c r="H47" s="25">
        <f>VLOOKUP(A47,Brazil!A:ZZ,53,FALSE)</f>
        <v>23.530867857142912</v>
      </c>
      <c r="I47" s="2"/>
      <c r="J47" s="2"/>
      <c r="K47" s="17"/>
      <c r="L47" s="17"/>
      <c r="M47" s="18"/>
      <c r="N47" s="18"/>
      <c r="O47" s="18"/>
      <c r="P47" s="18"/>
      <c r="Q47" s="18"/>
      <c r="R47" s="17"/>
      <c r="S47" s="17"/>
      <c r="T47" s="17"/>
      <c r="U47" s="17"/>
      <c r="V47" s="17"/>
      <c r="W47" s="17"/>
    </row>
    <row r="48" spans="1:23" ht="16.5">
      <c r="A48" s="10" t="s">
        <v>11</v>
      </c>
      <c r="B48" s="26">
        <f>'Corn World-Major'!E125</f>
        <v>5.5</v>
      </c>
      <c r="C48" s="27">
        <f>'Corn World-Major'!F125</f>
        <v>5.83</v>
      </c>
      <c r="D48" s="28" cm="1">
        <f t="array" ref="D48">C48-(INDEX('Historic WASDE MY 202425'!$D$4:$S$200,MATCH(A48&amp;A43,'Historic WASDE MY 202425'!$B$4:$B$200&amp;'Historic WASDE MY 202425'!$C$4:$C$200,0),MATCH(D45,'Historic WASDE MY 202425'!$D$3:$Y$3,0)))</f>
        <v>0.17999999999999972</v>
      </c>
      <c r="E48" s="29">
        <f>VLOOKUP(A48,Brazil!A:ZZ,52,FALSE)</f>
        <v>6.314191311736975</v>
      </c>
      <c r="F48" s="30">
        <f>'Corn World-Major'!G125</f>
        <v>5.8</v>
      </c>
      <c r="G48" s="28" t="e" cm="1">
        <f t="array" ref="G48">F48-(INDEX('Historic WASDE MY 202526'!$D$4:$R$200,MATCH(A48&amp;A43,'Historic WASDE MY 202526'!$B$4:$B$200&amp;'Historic WASDE MY 202526'!$C$4:$C$200,0),MATCH(G45,'Historic WASDE MY 202526'!$D$3:$X$3,0)))</f>
        <v>#N/A</v>
      </c>
      <c r="H48" s="31">
        <f>VLOOKUP(A48,Brazil!A:ZZ,53,FALSE)</f>
        <v>5.856959476247539</v>
      </c>
      <c r="I48" s="2"/>
      <c r="J48" s="2"/>
      <c r="K48" s="17"/>
      <c r="L48" s="17"/>
      <c r="M48" s="32"/>
      <c r="N48" s="32"/>
      <c r="O48" s="32"/>
      <c r="P48" s="32"/>
      <c r="Q48" s="33"/>
      <c r="R48" s="17"/>
      <c r="S48" s="17"/>
      <c r="T48" s="17"/>
      <c r="U48" s="17"/>
      <c r="V48" s="17"/>
      <c r="W48" s="17"/>
    </row>
    <row r="49" spans="1:23" ht="16.5">
      <c r="A49" s="34" t="s">
        <v>12</v>
      </c>
      <c r="B49" s="35">
        <f>'Corn World-Major'!E15/1000</f>
        <v>10.041</v>
      </c>
      <c r="C49" s="36">
        <f>'Corn World-Major'!F15/1000</f>
        <v>8.4819999999999993</v>
      </c>
      <c r="D49" s="37" cm="1">
        <f t="array" ref="D49">C49-(INDEX('Historic WASDE MY 202425'!$D$4:$S$200,MATCH(A49&amp;A43,'Historic WASDE MY 202425'!$B$4:$B$200&amp;'Historic WASDE MY 202425'!$C$4:$C$200,0),MATCH(D45,'Historic WASDE MY 202425'!$D$3:$Y$3,0))/1000)</f>
        <v>0.99999999999999911</v>
      </c>
      <c r="E49" s="38">
        <f>B58</f>
        <v>8.4819999999999993</v>
      </c>
      <c r="F49" s="39">
        <f>'Corn World-Major'!G15/1000</f>
        <v>5.9820000000000002</v>
      </c>
      <c r="G49" s="37" t="e" cm="1">
        <f t="array" ref="G49">F49-(INDEX('Historic WASDE MY 202526'!$D$4:$R$200,MATCH(A49&amp;A43,'Historic WASDE MY 202526'!$B$4:$B$200&amp;'Historic WASDE MY 202526'!$C$4:$C$200,0),MATCH(G45,'Historic WASDE MY 202526'!$D$3:$X$3,0))/1000)</f>
        <v>#N/A</v>
      </c>
      <c r="H49" s="40">
        <f>E58</f>
        <v>9.5978000000000065</v>
      </c>
      <c r="I49" s="2"/>
      <c r="J49" s="2"/>
      <c r="K49" s="41"/>
      <c r="L49" s="41"/>
      <c r="M49" s="42"/>
      <c r="N49" s="42"/>
      <c r="O49" s="42"/>
      <c r="P49" s="42"/>
      <c r="Q49" s="42"/>
      <c r="R49" s="17"/>
      <c r="S49" s="41"/>
      <c r="T49" s="41"/>
      <c r="U49" s="41"/>
      <c r="V49" s="41"/>
      <c r="W49" s="41"/>
    </row>
    <row r="50" spans="1:23" ht="16.5">
      <c r="A50" s="10" t="s">
        <v>13</v>
      </c>
      <c r="B50" s="26">
        <f>'Corn World-Major'!E26/1000</f>
        <v>119</v>
      </c>
      <c r="C50" s="27">
        <f>'Corn World-Major'!F26/1000</f>
        <v>130</v>
      </c>
      <c r="D50" s="28" cm="1">
        <f t="array" ref="D50">C50-(INDEX('Historic WASDE MY 202425'!$D$4:$S$200,MATCH(A50&amp;A43,'Historic WASDE MY 202425'!$B$4:$B$200&amp;'Historic WASDE MY 202425'!$C$4:$C$200,0),MATCH(D45,'Historic WASDE MY 202425'!$D$3:$Y$3,0))/1000)</f>
        <v>4</v>
      </c>
      <c r="E50" s="29">
        <f>VLOOKUP(A50,Brazil!A:ZZ,52,FALSE)</f>
        <v>139.69579999999999</v>
      </c>
      <c r="F50" s="30">
        <f>'Corn World-Major'!G26/1000</f>
        <v>131</v>
      </c>
      <c r="G50" s="28" t="e" cm="1">
        <f t="array" ref="G50">F50-(INDEX('Historic WASDE MY 202526'!$D$4:$R$200,MATCH(A50&amp;A43,'Historic WASDE MY 202526'!$B$4:$B$200&amp;'Historic WASDE MY 202526'!$C$4:$C$200,0),MATCH(G45,'Historic WASDE MY 202526'!$D$3:$X$3,0))/1000)</f>
        <v>#N/A</v>
      </c>
      <c r="H50" s="31">
        <f>VLOOKUP(A50,Brazil!A:ZZ,53,FALSE)</f>
        <v>138.6037</v>
      </c>
      <c r="I50" s="2"/>
      <c r="J50" s="2"/>
      <c r="K50" s="41"/>
      <c r="L50" s="41"/>
      <c r="M50" s="42"/>
      <c r="N50" s="42"/>
      <c r="O50" s="42"/>
      <c r="P50" s="42"/>
      <c r="Q50" s="42"/>
      <c r="R50" s="17"/>
      <c r="S50" s="41"/>
      <c r="T50" s="41"/>
      <c r="U50" s="41"/>
      <c r="V50" s="41"/>
      <c r="W50" s="41"/>
    </row>
    <row r="51" spans="1:23" ht="16.5">
      <c r="A51" s="19" t="s">
        <v>14</v>
      </c>
      <c r="B51" s="20">
        <f>'Corn World-Major'!E37/1000</f>
        <v>1.7170000000000001</v>
      </c>
      <c r="C51" s="21">
        <f>'Corn World-Major'!F37/1000</f>
        <v>1.5</v>
      </c>
      <c r="D51" s="43" cm="1">
        <f t="array" ref="D51">C51-(INDEX('Historic WASDE MY 202425'!$D$4:$S$200,MATCH(A51&amp;A43,'Historic WASDE MY 202425'!$B$4:$B$200&amp;'Historic WASDE MY 202425'!$C$4:$C$200,0),MATCH(D45,'Historic WASDE MY 202425'!$D$3:$Y$3,0))/1000)</f>
        <v>0</v>
      </c>
      <c r="E51" s="23">
        <f>VLOOKUP(A51,Brazil!A:ZZ,52,FALSE)</f>
        <v>1.7</v>
      </c>
      <c r="F51" s="24">
        <f>'Corn World-Major'!G37/1000</f>
        <v>1.6</v>
      </c>
      <c r="G51" s="43" t="e" cm="1">
        <f t="array" ref="G51">F51-(INDEX('Historic WASDE MY 202526'!$D$4:$R$200,MATCH(A51&amp;A43,'Historic WASDE MY 202526'!$B$4:$B$200&amp;'Historic WASDE MY 202526'!$C$4:$C$200,0),MATCH(G45,'Historic WASDE MY 202526'!$D$3:$X$3,0))/1000)</f>
        <v>#N/A</v>
      </c>
      <c r="H51" s="25">
        <f>VLOOKUP(A51,Brazil!A:ZZ,53,FALSE)</f>
        <v>1.8</v>
      </c>
      <c r="I51" s="2"/>
      <c r="J51" s="2"/>
      <c r="K51" s="41"/>
      <c r="L51" s="41"/>
      <c r="M51" s="42"/>
      <c r="N51" s="42"/>
      <c r="O51" s="42"/>
      <c r="P51" s="42"/>
      <c r="Q51" s="42"/>
      <c r="R51" s="17"/>
      <c r="S51" s="41"/>
      <c r="T51" s="41"/>
      <c r="U51" s="41"/>
      <c r="V51" s="41"/>
      <c r="W51" s="41"/>
    </row>
    <row r="52" spans="1:23" ht="16.5">
      <c r="A52" s="10" t="s">
        <v>15</v>
      </c>
      <c r="B52" s="26">
        <f>SUM(B49:B51)</f>
        <v>130.75800000000001</v>
      </c>
      <c r="C52" s="27">
        <f>SUM(C49:C51)</f>
        <v>139.982</v>
      </c>
      <c r="D52" s="28">
        <f>SUM(D49:D51)</f>
        <v>4.9999999999999991</v>
      </c>
      <c r="E52" s="29">
        <f>SUM(E49:E51)</f>
        <v>149.87779999999998</v>
      </c>
      <c r="F52" s="30">
        <f>SUM(F49:F51)</f>
        <v>138.58199999999999</v>
      </c>
      <c r="G52" s="28" t="e">
        <f>G51+G50+G49</f>
        <v>#N/A</v>
      </c>
      <c r="H52" s="31">
        <f>SUM(H49:H51)</f>
        <v>150.00150000000002</v>
      </c>
      <c r="I52" s="2"/>
      <c r="J52" s="2"/>
      <c r="K52" s="41"/>
      <c r="L52" s="41"/>
      <c r="M52" s="42"/>
      <c r="N52" s="42"/>
      <c r="O52" s="42"/>
      <c r="P52" s="42"/>
      <c r="Q52" s="42"/>
      <c r="R52" s="41"/>
      <c r="S52" s="41"/>
      <c r="T52" s="41"/>
      <c r="U52" s="41"/>
      <c r="V52" s="41"/>
      <c r="W52" s="41"/>
    </row>
    <row r="53" spans="1:23" ht="16.5">
      <c r="A53" s="34" t="s">
        <v>16</v>
      </c>
      <c r="B53" s="35">
        <f t="shared" ref="B53:H53" si="10">B54+B55</f>
        <v>84</v>
      </c>
      <c r="C53" s="36">
        <f t="shared" si="10"/>
        <v>91</v>
      </c>
      <c r="D53" s="37">
        <f t="shared" si="10"/>
        <v>3</v>
      </c>
      <c r="E53" s="38">
        <f t="shared" si="10"/>
        <v>90.279999999999973</v>
      </c>
      <c r="F53" s="39">
        <f t="shared" si="10"/>
        <v>93</v>
      </c>
      <c r="G53" s="37" t="e">
        <f>G54+G55</f>
        <v>#N/A</v>
      </c>
      <c r="H53" s="40">
        <f t="shared" si="10"/>
        <v>91.903700000000015</v>
      </c>
      <c r="I53" s="2"/>
      <c r="J53" s="2"/>
      <c r="K53" s="41"/>
      <c r="L53" s="41"/>
      <c r="M53" s="42"/>
      <c r="N53" s="42"/>
      <c r="O53" s="42"/>
      <c r="P53" s="42"/>
      <c r="Q53" s="42"/>
      <c r="R53" s="41"/>
      <c r="S53" s="41"/>
      <c r="T53" s="41"/>
      <c r="U53" s="41"/>
      <c r="V53" s="41"/>
      <c r="W53" s="41"/>
    </row>
    <row r="54" spans="1:23" ht="16.5">
      <c r="A54" s="10" t="s">
        <v>17</v>
      </c>
      <c r="B54" s="26">
        <f>'Corn World-Major'!E70/1000</f>
        <v>62.5</v>
      </c>
      <c r="C54" s="27">
        <f>'Corn World-Major'!F70/1000</f>
        <v>64.5</v>
      </c>
      <c r="D54" s="28" cm="1">
        <f t="array" ref="D54">C54-(INDEX('Historic WASDE MY 202425'!$D$4:$S$200,MATCH(A54&amp;A43,'Historic WASDE MY 202425'!$B$4:$B$200&amp;'Historic WASDE MY 202425'!$C$4:$C$200,0),MATCH(D45,'Historic WASDE MY 202425'!$D$3:$Y$3,0))/1000)</f>
        <v>0</v>
      </c>
      <c r="E54" s="29">
        <f>VLOOKUP(A54,Brazil!A:ZZ,52,FALSE)</f>
        <v>67.279999999999973</v>
      </c>
      <c r="F54" s="30">
        <f>'Corn World-Major'!G70/1000</f>
        <v>65.5</v>
      </c>
      <c r="G54" s="28" t="e" cm="1">
        <f t="array" ref="G54">F54-(INDEX('Historic WASDE MY 202526'!$D$4:$R$200,MATCH(A54&amp;A43,'Historic WASDE MY 202526'!$B$4:$B$200&amp;'Historic WASDE MY 202526'!$C$4:$C$200,0),MATCH(G45,'Historic WASDE MY 202526'!$D$3:$X$3,0))/1000)</f>
        <v>#N/A</v>
      </c>
      <c r="H54" s="31">
        <f>VLOOKUP(A54,Brazil!A:ZZ,53,FALSE)</f>
        <v>68.903700000000015</v>
      </c>
      <c r="I54" s="2"/>
      <c r="J54" s="2"/>
      <c r="K54" s="41"/>
      <c r="L54" s="41"/>
      <c r="M54" s="42"/>
      <c r="N54" s="42"/>
      <c r="O54" s="42"/>
      <c r="P54" s="42"/>
      <c r="Q54" s="42"/>
      <c r="R54" s="41"/>
      <c r="S54" s="41"/>
      <c r="T54" s="41"/>
      <c r="U54" s="41"/>
      <c r="V54" s="41"/>
      <c r="W54" s="41"/>
    </row>
    <row r="55" spans="1:23" ht="16.5">
      <c r="A55" s="19" t="s">
        <v>18</v>
      </c>
      <c r="B55" s="20">
        <f>'Corn World-Major'!E81/1000</f>
        <v>21.5</v>
      </c>
      <c r="C55" s="21">
        <f>'Corn World-Major'!F81/1000</f>
        <v>26.5</v>
      </c>
      <c r="D55" s="43" cm="1">
        <f t="array" ref="D55">C55-(INDEX('Historic WASDE MY 202425'!$D$4:$S$200,MATCH(A55&amp;A43,'Historic WASDE MY 202425'!$B$4:$B$200&amp;'Historic WASDE MY 202425'!$C$4:$C$200,0),MATCH(D45,'Historic WASDE MY 202425'!$D$3:$Y$3,0))/1000)</f>
        <v>3</v>
      </c>
      <c r="E55" s="23">
        <f>VLOOKUP(A55,Brazil!A:ZZ,52,FALSE)</f>
        <v>23</v>
      </c>
      <c r="F55" s="24">
        <f>'Corn World-Major'!G81/1000</f>
        <v>27.5</v>
      </c>
      <c r="G55" s="43" t="e" cm="1">
        <f t="array" ref="G55">F55-(INDEX('Historic WASDE MY 202526'!$D$4:$R$200,MATCH(A55&amp;A43,'Historic WASDE MY 202526'!$B$4:$B$200&amp;'Historic WASDE MY 202526'!$C$4:$C$200,0),MATCH(G45,'Historic WASDE MY 202526'!$D$3:$X$3,0))/1000)</f>
        <v>#N/A</v>
      </c>
      <c r="H55" s="25">
        <f>VLOOKUP(A55,Brazil!A:ZZ,53,FALSE)</f>
        <v>23</v>
      </c>
      <c r="I55" s="2"/>
      <c r="J55" s="2"/>
      <c r="K55" s="41"/>
      <c r="L55" s="41"/>
      <c r="M55" s="42"/>
      <c r="N55" s="42"/>
      <c r="O55" s="42"/>
      <c r="P55" s="42"/>
      <c r="Q55" s="42"/>
      <c r="R55" s="41"/>
      <c r="S55" s="41"/>
      <c r="T55" s="41"/>
      <c r="U55" s="41"/>
      <c r="V55" s="41"/>
      <c r="W55" s="41"/>
    </row>
    <row r="56" spans="1:23" ht="16.5">
      <c r="A56" s="10" t="s">
        <v>19</v>
      </c>
      <c r="B56" s="26">
        <f>'Corn World-Major'!E60/1000</f>
        <v>2.0670000000000002</v>
      </c>
      <c r="C56" s="27">
        <f>'Corn World-Major'!F59/1000</f>
        <v>43</v>
      </c>
      <c r="D56" s="28" cm="1">
        <f t="array" ref="D56">C56-(INDEX('Historic WASDE MY 202425'!$D$4:$S$200,MATCH(A56&amp;A43,'Historic WASDE MY 202425'!$B$4:$B$200&amp;'Historic WASDE MY 202425'!$C$4:$C$200,0),MATCH(D45,'Historic WASDE MY 202425'!$D$3:$Y$3,0))/1000)</f>
        <v>-1</v>
      </c>
      <c r="E56" s="29">
        <f>VLOOKUP(A56,Brazil!A:ZZ,52,FALSE)</f>
        <v>50</v>
      </c>
      <c r="F56" s="30">
        <f>'Corn World-Major'!G59/1000</f>
        <v>43</v>
      </c>
      <c r="G56" s="28" t="e" cm="1">
        <f t="array" ref="G56">F56-(INDEX('Historic WASDE MY 202526'!$D$4:$R$200,MATCH(A56&amp;A43,'Historic WASDE MY 202526'!$B$4:$B$200&amp;'Historic WASDE MY 202526'!$C$4:$C$200,0),MATCH(G45,'Historic WASDE MY 202526'!$D$3:$X$3,0))/1000)</f>
        <v>#N/A</v>
      </c>
      <c r="H56" s="31">
        <f>VLOOKUP(A56,Brazil!A:ZZ,53,FALSE)</f>
        <v>48</v>
      </c>
      <c r="I56" s="2"/>
      <c r="J56" s="2"/>
      <c r="K56" s="41"/>
      <c r="L56" s="41"/>
      <c r="M56" s="42"/>
      <c r="N56" s="42"/>
      <c r="O56" s="42"/>
      <c r="P56" s="42"/>
      <c r="Q56" s="42"/>
      <c r="R56" s="41"/>
      <c r="S56" s="41"/>
      <c r="T56" s="41"/>
      <c r="U56" s="41"/>
      <c r="V56" s="41"/>
      <c r="W56" s="41"/>
    </row>
    <row r="57" spans="1:23" ht="16.5">
      <c r="A57" s="19" t="s">
        <v>20</v>
      </c>
      <c r="B57" s="20">
        <f>B56+B53</f>
        <v>86.067000000000007</v>
      </c>
      <c r="C57" s="21">
        <f>C56+C53</f>
        <v>134</v>
      </c>
      <c r="D57" s="43">
        <f t="shared" ref="D57" si="11">D56+D53</f>
        <v>2</v>
      </c>
      <c r="E57" s="23">
        <f>E56+E53</f>
        <v>140.27999999999997</v>
      </c>
      <c r="F57" s="24">
        <f>F56+F53</f>
        <v>136</v>
      </c>
      <c r="G57" s="43" t="e">
        <f t="shared" ref="G57" si="12">G56+G53</f>
        <v>#N/A</v>
      </c>
      <c r="H57" s="25">
        <f>H56+H53</f>
        <v>139.90370000000001</v>
      </c>
      <c r="I57" s="2"/>
      <c r="J57" s="2"/>
      <c r="K57" s="41"/>
      <c r="L57" s="41"/>
      <c r="M57" s="42"/>
      <c r="N57" s="42"/>
      <c r="O57" s="42"/>
      <c r="P57" s="42"/>
      <c r="Q57" s="42"/>
      <c r="R57" s="41"/>
      <c r="S57" s="41"/>
      <c r="T57" s="41"/>
      <c r="U57" s="41"/>
      <c r="V57" s="41"/>
      <c r="W57" s="41"/>
    </row>
    <row r="58" spans="1:23" ht="16.5">
      <c r="A58" s="44" t="s">
        <v>21</v>
      </c>
      <c r="B58" s="45">
        <f>'Corn World-Major'!E103/1000</f>
        <v>8.4819999999999993</v>
      </c>
      <c r="C58" s="46">
        <f>'Corn World-Major'!F103/1000</f>
        <v>5.9820000000000002</v>
      </c>
      <c r="D58" s="47" cm="1">
        <f t="array" ref="D58">C58-(INDEX('Historic WASDE MY 202425'!$D$4:$S$200,MATCH(A58&amp;A43,'Historic WASDE MY 202425'!$B$4:$B$200&amp;'Historic WASDE MY 202425'!$C$4:$C$200,0),MATCH(D45,'Historic WASDE MY 202425'!$D$3:$Y$3,0))/1000)</f>
        <v>3</v>
      </c>
      <c r="E58" s="48">
        <f>E52-E57</f>
        <v>9.5978000000000065</v>
      </c>
      <c r="F58" s="49">
        <f>'Corn World-Major'!G103/1000</f>
        <v>2.5819999999999999</v>
      </c>
      <c r="G58" s="47" t="e" cm="1">
        <f t="array" ref="G58">F58-(INDEX('Historic WASDE MY 202526'!$D$4:$R$200,MATCH(A58&amp;A43,'Historic WASDE MY 202526'!$B$4:$B$200&amp;'Historic WASDE MY 202526'!$C$4:$C$200,0),MATCH(G45,'Historic WASDE MY 202526'!$D$3:$X$3,0))/1000)</f>
        <v>#N/A</v>
      </c>
      <c r="H58" s="50">
        <f>H52-H57</f>
        <v>10.097800000000007</v>
      </c>
      <c r="I58" s="2"/>
      <c r="J58" s="51"/>
      <c r="K58" s="41"/>
      <c r="L58" s="41"/>
      <c r="M58" s="42"/>
      <c r="N58" s="42"/>
      <c r="O58" s="42"/>
      <c r="P58" s="42"/>
      <c r="Q58" s="52"/>
    </row>
    <row r="59" spans="1:23" ht="17.25" thickBot="1">
      <c r="A59" s="19" t="s">
        <v>22</v>
      </c>
      <c r="B59" s="53">
        <f t="shared" ref="B59:C59" si="13">B58/B57</f>
        <v>9.8551128771770816E-2</v>
      </c>
      <c r="C59" s="54">
        <f t="shared" si="13"/>
        <v>4.464179104477612E-2</v>
      </c>
      <c r="D59" s="55" cm="1">
        <f t="array" ref="D59">C59-(((INDEX('Historic WASDE MY 202425'!$D$4:$S$200,MATCH(A58&amp;A43,'Historic WASDE MY 202425'!$B$4:$B$200&amp;'Historic WASDE MY 202425'!$C$4:$C$200,0),MATCH(D45,'Historic WASDE MY 202425'!$D$3:$Y$3,0))/1000))/SUM(((INDEX('Historic WASDE MY 202425'!$D$4:$S$200,MATCH(A54&amp;A43,'Historic WASDE MY 202425'!$B$4:$B$200&amp;'Historic WASDE MY 202425'!$C$4:$C$200,0),MATCH(D45,'Historic WASDE MY 202425'!$D$3:$Y$3,0))/1000)),((INDEX('Historic WASDE MY 202425'!$D$4:$S$200,MATCH(A55&amp;A43,'Historic WASDE MY 202425'!$B$4:$B$200&amp;'Historic WASDE MY 202425'!$C$4:$C$200,0),MATCH(D45,'Historic WASDE MY 202425'!$D$3:$Y$3,0))/1000)),((INDEX('Historic WASDE MY 202425'!$D$4:$S$200,MATCH(A56&amp;A43,'Historic WASDE MY 202425'!$B$4:$B$200&amp;'Historic WASDE MY 202425'!$C$4:$C$200,0),MATCH(D45,'Historic WASDE MY 202425'!$D$3:$Y$3,0))/1000))))</f>
        <v>2.2050881953867028E-2</v>
      </c>
      <c r="E59" s="56">
        <f>E58/E57</f>
        <v>6.8418876532649053E-2</v>
      </c>
      <c r="F59" s="57">
        <f>F58/F57</f>
        <v>1.8985294117647059E-2</v>
      </c>
      <c r="G59" s="55" t="e" cm="1">
        <f t="array" ref="G59">F59-((INDEX('Historic WASDE MY 202526'!$D$4:$R$200,MATCH(A58&amp;A43,'Historic WASDE MY 202526'!$B$4:$B$200&amp;'Historic WASDE MY 202526'!$C$4:$C$200,0),MATCH(G45,'Historic WASDE MY 202526'!$D$3:$X$3,0))/1000))/SUM(((INDEX('Historic WASDE MY 202526'!$D$4:$R$200,MATCH(A54&amp;A43,'Historic WASDE MY 202526'!$B$4:$B$200&amp;'Historic WASDE MY 202526'!$C$4:$C$200,0),MATCH(G45,'Historic WASDE MY 202526'!$D$3:$X$3,0))/1000)),((INDEX('Historic WASDE MY 202526'!$D$4:$R$200,MATCH(A55&amp;A43,'Historic WASDE MY 202526'!$B$4:$B$200&amp;'Historic WASDE MY 202526'!$C$4:$C$200,0),MATCH(G45,'Historic WASDE MY 202526'!$D$3:$X$3,0))/1000)),((INDEX('Historic WASDE MY 202526'!$D$4:$R$200,MATCH(A56&amp;A43,'Historic WASDE MY 202526'!$B$4:$B$200&amp;'Historic WASDE MY 202526'!$C$4:$C$200,0),MATCH(G45,'Historic WASDE MY 202526'!$D$3:$X$3,0))/1000)))</f>
        <v>#N/A</v>
      </c>
      <c r="H59" s="58">
        <f>H58/H57</f>
        <v>7.2176790177815212E-2</v>
      </c>
      <c r="I59" s="2"/>
      <c r="J59" s="2"/>
      <c r="K59" s="59"/>
      <c r="L59" s="59"/>
      <c r="M59" s="59"/>
      <c r="N59" s="59"/>
      <c r="O59" s="59"/>
      <c r="P59" s="60"/>
      <c r="Q59" s="59"/>
    </row>
    <row r="60" spans="1:23" ht="15">
      <c r="A60" s="61"/>
      <c r="B60" s="61"/>
      <c r="C60" s="61"/>
      <c r="D60" s="61"/>
      <c r="E60" s="61"/>
      <c r="F60" s="61"/>
      <c r="G60" s="61"/>
      <c r="H60" s="61"/>
      <c r="I60" s="2"/>
      <c r="J60" s="2"/>
      <c r="K60" s="59"/>
      <c r="L60" s="59"/>
      <c r="M60" s="59"/>
      <c r="N60" s="59"/>
      <c r="O60" s="59"/>
      <c r="P60" s="60"/>
      <c r="Q60" s="59"/>
    </row>
    <row r="61" spans="1:23" ht="18">
      <c r="A61" s="1" t="s">
        <v>28</v>
      </c>
      <c r="B61" s="2"/>
      <c r="C61" s="2"/>
      <c r="D61" s="2"/>
      <c r="E61" s="2"/>
      <c r="F61" s="2"/>
      <c r="G61" s="2"/>
      <c r="H61" s="2"/>
      <c r="I61" s="2"/>
      <c r="J61" s="2"/>
    </row>
    <row r="62" spans="1:23" ht="13.5" thickBot="1">
      <c r="B62" s="2"/>
      <c r="C62" s="2"/>
      <c r="D62" s="2"/>
      <c r="E62" s="2"/>
      <c r="F62" s="2"/>
      <c r="G62" s="2"/>
      <c r="H62" s="2"/>
      <c r="I62" s="2"/>
      <c r="J62" s="2"/>
    </row>
    <row r="63" spans="1:23" ht="17.25" thickBot="1">
      <c r="A63" s="4" t="s">
        <v>29</v>
      </c>
      <c r="B63" s="5" t="s">
        <v>2</v>
      </c>
      <c r="C63" s="376" t="s">
        <v>3</v>
      </c>
      <c r="D63" s="376"/>
      <c r="E63" s="376"/>
      <c r="F63" s="377" t="s">
        <v>4</v>
      </c>
      <c r="G63" s="376"/>
      <c r="H63" s="378"/>
      <c r="I63" s="2"/>
      <c r="J63" s="2"/>
    </row>
    <row r="64" spans="1:23" ht="21.6" customHeight="1" thickBot="1">
      <c r="A64" s="4" t="s">
        <v>30</v>
      </c>
      <c r="B64" s="379" t="s">
        <v>6</v>
      </c>
      <c r="C64" s="381" t="s">
        <v>6</v>
      </c>
      <c r="D64" s="63" t="s">
        <v>7</v>
      </c>
      <c r="E64" s="383" t="s">
        <v>8</v>
      </c>
      <c r="F64" s="385" t="s">
        <v>6</v>
      </c>
      <c r="G64" s="6" t="str">
        <f>D64</f>
        <v>Change from</v>
      </c>
      <c r="H64" s="387" t="str">
        <f>E64</f>
        <v>Fastmarkets</v>
      </c>
      <c r="I64" s="2"/>
      <c r="J64" s="2"/>
    </row>
    <row r="65" spans="1:23" ht="12.75" customHeight="1" thickBot="1">
      <c r="A65" s="7"/>
      <c r="B65" s="380"/>
      <c r="C65" s="382"/>
      <c r="D65" s="8">
        <f>D25</f>
        <v>45748</v>
      </c>
      <c r="E65" s="384"/>
      <c r="F65" s="386"/>
      <c r="G65" s="8">
        <f>D65</f>
        <v>45748</v>
      </c>
      <c r="H65" s="388"/>
      <c r="I65" s="2"/>
      <c r="J65" s="2"/>
      <c r="Q65" s="9"/>
    </row>
    <row r="66" spans="1:23" ht="16.5">
      <c r="A66" s="10" t="s">
        <v>9</v>
      </c>
      <c r="B66" s="11"/>
      <c r="C66" s="12"/>
      <c r="D66" s="13"/>
      <c r="E66" s="14"/>
      <c r="F66" s="15"/>
      <c r="G66" s="13"/>
      <c r="H66" s="16"/>
      <c r="I66" s="2"/>
      <c r="J66" s="2"/>
      <c r="K66" s="17"/>
      <c r="L66" s="17"/>
      <c r="M66" s="18"/>
      <c r="N66" s="18"/>
      <c r="O66" s="18"/>
      <c r="P66" s="18"/>
      <c r="Q66" s="18"/>
      <c r="R66" s="17"/>
      <c r="S66" s="17"/>
      <c r="T66" s="17"/>
      <c r="U66" s="17"/>
      <c r="V66" s="17"/>
      <c r="W66" s="17"/>
    </row>
    <row r="67" spans="1:23" ht="16.5">
      <c r="A67" s="19" t="s">
        <v>10</v>
      </c>
      <c r="B67" s="20">
        <f>'Corn World-Major'!E5/1000</f>
        <v>1.5189999999999999</v>
      </c>
      <c r="C67" s="21">
        <f>'Corn World-Major'!F5/1000</f>
        <v>1.4490000000000001</v>
      </c>
      <c r="D67" s="22" cm="1">
        <f t="array" ref="D67">C67-(INDEX('Historic WASDE MY 202425'!$D$4:$S$200,MATCH(A67&amp;A63,'Historic WASDE MY 202425'!$B$4:$B$200&amp;'Historic WASDE MY 202425'!$C$4:$C$200,0),MATCH(D65,'Historic WASDE MY 202425'!$D$3:$Y$3,0))/1000)</f>
        <v>0</v>
      </c>
      <c r="E67" s="23">
        <f>VLOOKUP(A67,Canada!A:ZZ,30,FALSE)</f>
        <v>1.4430163550261708</v>
      </c>
      <c r="F67" s="24">
        <f>'Corn World-Major'!G5/1000</f>
        <v>1.46</v>
      </c>
      <c r="G67" s="22" t="e" cm="1">
        <f t="array" ref="G67">F67-(INDEX('Historic WASDE MY 202526'!$D$4:$R$200,MATCH(A67&amp;A63,'Historic WASDE MY 202526'!$B$4:$B$200&amp;'Historic WASDE MY 202526'!$C$4:$C$200,0),MATCH(G65,'Historic WASDE MY 202526'!$D$3:$X$3,0))/1000)</f>
        <v>#N/A</v>
      </c>
      <c r="H67" s="25">
        <f>VLOOKUP(A67,Canada!A:ZZ,31,FALSE)</f>
        <v>1.5107298511700202</v>
      </c>
      <c r="I67" s="2"/>
      <c r="J67" s="2"/>
      <c r="K67" s="17"/>
      <c r="L67" s="17"/>
      <c r="M67" s="18"/>
      <c r="N67" s="18"/>
      <c r="O67" s="18"/>
      <c r="P67" s="18"/>
      <c r="Q67" s="18"/>
      <c r="R67" s="17"/>
      <c r="S67" s="17"/>
      <c r="T67" s="17"/>
      <c r="U67" s="17"/>
      <c r="V67" s="17"/>
      <c r="W67" s="17"/>
    </row>
    <row r="68" spans="1:23" ht="16.5">
      <c r="A68" s="10" t="s">
        <v>11</v>
      </c>
      <c r="B68" s="26">
        <f>'Corn World-Major'!E126</f>
        <v>10.15</v>
      </c>
      <c r="C68" s="27">
        <f>'Corn World-Major'!F126</f>
        <v>10.59</v>
      </c>
      <c r="D68" s="28" cm="1">
        <f t="array" ref="D68">C68-(INDEX('Historic WASDE MY 202425'!$D$4:$S$200,MATCH(A68&amp;A63,'Historic WASDE MY 202425'!$B$4:$B$200&amp;'Historic WASDE MY 202425'!$C$4:$C$200,0),MATCH(D65,'Historic WASDE MY 202425'!$D$3:$Y$3,0)))</f>
        <v>0</v>
      </c>
      <c r="E68" s="29">
        <f>VLOOKUP(A68,Canada!A:ZZ,30,FALSE)</f>
        <v>10.633975108148862</v>
      </c>
      <c r="F68" s="30">
        <f>'Corn World-Major'!G126</f>
        <v>10.07</v>
      </c>
      <c r="G68" s="28" t="e" cm="1">
        <f t="array" ref="G68">F68-(INDEX('Historic WASDE MY 202526'!$D$4:$R$200,MATCH(A68&amp;A63,'Historic WASDE MY 202526'!$B$4:$B$200&amp;'Historic WASDE MY 202526'!$C$4:$C$200,0),MATCH(G65,'Historic WASDE MY 202526'!$D$3:$X$3,0)))</f>
        <v>#N/A</v>
      </c>
      <c r="H68" s="31">
        <f>VLOOKUP(A68,Canada!A:ZZ,31,FALSE)</f>
        <v>10.28175536353362</v>
      </c>
      <c r="I68" s="2"/>
      <c r="J68" s="2"/>
      <c r="K68" s="17"/>
      <c r="L68" s="17"/>
      <c r="M68" s="32"/>
      <c r="N68" s="32"/>
      <c r="O68" s="32"/>
      <c r="P68" s="32"/>
      <c r="Q68" s="33"/>
      <c r="R68" s="17"/>
      <c r="S68" s="17"/>
      <c r="T68" s="17"/>
      <c r="U68" s="17"/>
      <c r="V68" s="17"/>
      <c r="W68" s="17"/>
    </row>
    <row r="69" spans="1:23" ht="16.5">
      <c r="A69" s="34" t="s">
        <v>12</v>
      </c>
      <c r="B69" s="35">
        <f>'Corn World-Major'!E16/1000</f>
        <v>1.6279999999999999</v>
      </c>
      <c r="C69" s="36">
        <f>'Corn World-Major'!F16/1000</f>
        <v>1.996</v>
      </c>
      <c r="D69" s="37" cm="1">
        <f t="array" ref="D69">C69-(INDEX('Historic WASDE MY 202425'!$D$4:$S$200,MATCH(A69&amp;A63,'Historic WASDE MY 202425'!$B$4:$B$200&amp;'Historic WASDE MY 202425'!$C$4:$C$200,0),MATCH(D65,'Historic WASDE MY 202425'!$D$3:$Y$3,0))/1000)</f>
        <v>0</v>
      </c>
      <c r="E69" s="38">
        <f>B78</f>
        <v>1.996</v>
      </c>
      <c r="F69" s="39">
        <f>'Corn World-Major'!G16/1000</f>
        <v>1.9410000000000001</v>
      </c>
      <c r="G69" s="37" t="e" cm="1">
        <f t="array" ref="G69">F69-(INDEX('Historic WASDE MY 202526'!$D$4:$R$200,MATCH(A69&amp;A63,'Historic WASDE MY 202526'!$B$4:$B$200&amp;'Historic WASDE MY 202526'!$C$4:$C$200,0),MATCH(G65,'Historic WASDE MY 202526'!$D$3:$X$3,0))/1000)</f>
        <v>#N/A</v>
      </c>
      <c r="H69" s="40">
        <f>E78</f>
        <v>1.6757061305031797</v>
      </c>
      <c r="I69" s="2"/>
      <c r="J69" s="2"/>
      <c r="K69" s="41"/>
      <c r="L69" s="41"/>
      <c r="M69" s="42"/>
      <c r="N69" s="42"/>
      <c r="O69" s="42"/>
      <c r="P69" s="42"/>
      <c r="Q69" s="42"/>
      <c r="R69" s="17"/>
      <c r="S69" s="41"/>
      <c r="T69" s="41"/>
      <c r="U69" s="41"/>
      <c r="V69" s="41"/>
      <c r="W69" s="41"/>
    </row>
    <row r="70" spans="1:23" ht="16.5">
      <c r="A70" s="10" t="s">
        <v>13</v>
      </c>
      <c r="B70" s="26">
        <f>'Corn World-Major'!E27/1000</f>
        <v>15.420999999999999</v>
      </c>
      <c r="C70" s="27">
        <f>'Corn World-Major'!F27/1000</f>
        <v>15.345000000000001</v>
      </c>
      <c r="D70" s="28" cm="1">
        <f t="array" ref="D70">C70-(INDEX('Historic WASDE MY 202425'!$D$4:$S$200,MATCH(A70&amp;A63,'Historic WASDE MY 202425'!$B$4:$B$200&amp;'Historic WASDE MY 202425'!$C$4:$C$200,0),MATCH(D65,'Historic WASDE MY 202425'!$D$3:$Y$3,0))/1000)</f>
        <v>0</v>
      </c>
      <c r="E70" s="29">
        <f>VLOOKUP(A70,Canada!A:ZZ,30,FALSE)</f>
        <v>15.345000000000001</v>
      </c>
      <c r="F70" s="30">
        <f>'Corn World-Major'!G27/1000</f>
        <v>14.7</v>
      </c>
      <c r="G70" s="28" t="e" cm="1">
        <f t="array" ref="G70">F70-(INDEX('Historic WASDE MY 202526'!$D$4:$R$200,MATCH(A70&amp;A63,'Historic WASDE MY 202526'!$B$4:$B$200&amp;'Historic WASDE MY 202526'!$C$4:$C$200,0),MATCH(G65,'Historic WASDE MY 202526'!$D$3:$X$3,0))/1000)</f>
        <v>#N/A</v>
      </c>
      <c r="H70" s="31">
        <f>VLOOKUP(A70,Canada!A:ZZ,31,FALSE)</f>
        <v>15.532954750117703</v>
      </c>
      <c r="I70" s="2"/>
      <c r="J70" s="2"/>
      <c r="K70" s="41"/>
      <c r="L70" s="41"/>
      <c r="M70" s="42"/>
      <c r="N70" s="42"/>
      <c r="O70" s="42"/>
      <c r="P70" s="42"/>
      <c r="Q70" s="42"/>
      <c r="R70" s="17"/>
      <c r="S70" s="41"/>
      <c r="T70" s="41"/>
      <c r="U70" s="41"/>
      <c r="V70" s="41"/>
      <c r="W70" s="41"/>
    </row>
    <row r="71" spans="1:23" ht="16.5">
      <c r="A71" s="19" t="s">
        <v>14</v>
      </c>
      <c r="B71" s="20">
        <f>'Corn World-Major'!E38/1000</f>
        <v>2.8140000000000001</v>
      </c>
      <c r="C71" s="21">
        <f>'Corn World-Major'!F38/1000</f>
        <v>2.2000000000000002</v>
      </c>
      <c r="D71" s="43" cm="1">
        <f t="array" ref="D71">C71-(INDEX('Historic WASDE MY 202425'!$D$4:$S$200,MATCH(A71&amp;A63,'Historic WASDE MY 202425'!$B$4:$B$200&amp;'Historic WASDE MY 202425'!$C$4:$C$200,0),MATCH(D65,'Historic WASDE MY 202425'!$D$3:$Y$3,0))/1000)</f>
        <v>0</v>
      </c>
      <c r="E71" s="23">
        <f>VLOOKUP(A71,Canada!A:ZZ,30,FALSE)</f>
        <v>2.1886703327965042</v>
      </c>
      <c r="F71" s="24">
        <f>'Corn World-Major'!G38/1000</f>
        <v>2.5</v>
      </c>
      <c r="G71" s="43" t="e" cm="1">
        <f t="array" ref="G71">F71-(INDEX('Historic WASDE MY 202526'!$D$4:$R$200,MATCH(A71&amp;A63,'Historic WASDE MY 202526'!$B$4:$B$200&amp;'Historic WASDE MY 202526'!$C$4:$C$200,0),MATCH(G65,'Historic WASDE MY 202526'!$D$3:$X$3,0))/1000)</f>
        <v>#N/A</v>
      </c>
      <c r="H71" s="25">
        <f>VLOOKUP(A71,Canada!A:ZZ,31,FALSE)</f>
        <v>2.3321847351545166</v>
      </c>
      <c r="I71" s="2"/>
      <c r="J71" s="2"/>
      <c r="K71" s="41"/>
      <c r="L71" s="41"/>
      <c r="M71" s="42"/>
      <c r="N71" s="42"/>
      <c r="O71" s="42"/>
      <c r="P71" s="42"/>
      <c r="Q71" s="42"/>
      <c r="R71" s="17"/>
      <c r="S71" s="41"/>
      <c r="T71" s="41"/>
      <c r="U71" s="41"/>
      <c r="V71" s="41"/>
      <c r="W71" s="41"/>
    </row>
    <row r="72" spans="1:23" ht="16.5">
      <c r="A72" s="10" t="s">
        <v>15</v>
      </c>
      <c r="B72" s="26">
        <f>SUM(B69:B71)</f>
        <v>19.863</v>
      </c>
      <c r="C72" s="27">
        <f>SUM(C69:C71)</f>
        <v>19.541</v>
      </c>
      <c r="D72" s="28">
        <f>SUM(D69:D71)</f>
        <v>0</v>
      </c>
      <c r="E72" s="29">
        <f>SUM(E69:E71)</f>
        <v>19.529670332796506</v>
      </c>
      <c r="F72" s="30">
        <f>SUM(F69:F71)</f>
        <v>19.140999999999998</v>
      </c>
      <c r="G72" s="28" t="e">
        <f>G71+G70+G69</f>
        <v>#N/A</v>
      </c>
      <c r="H72" s="31">
        <f>SUM(H69:H71)</f>
        <v>19.5408456157754</v>
      </c>
      <c r="I72" s="2"/>
      <c r="J72" s="2"/>
      <c r="K72" s="41"/>
      <c r="L72" s="41"/>
      <c r="M72" s="42"/>
      <c r="N72" s="42"/>
      <c r="O72" s="42"/>
      <c r="P72" s="42"/>
      <c r="Q72" s="42"/>
      <c r="R72" s="41"/>
      <c r="S72" s="41"/>
      <c r="T72" s="41"/>
      <c r="U72" s="41"/>
      <c r="V72" s="41"/>
      <c r="W72" s="41"/>
    </row>
    <row r="73" spans="1:23" ht="16.5">
      <c r="A73" s="34" t="s">
        <v>16</v>
      </c>
      <c r="B73" s="35">
        <f t="shared" ref="B73:H73" si="14">B74+B75</f>
        <v>15.8</v>
      </c>
      <c r="C73" s="36">
        <f t="shared" si="14"/>
        <v>15.399999999999999</v>
      </c>
      <c r="D73" s="37">
        <f t="shared" si="14"/>
        <v>0</v>
      </c>
      <c r="E73" s="38">
        <f t="shared" si="14"/>
        <v>15.747199999999921</v>
      </c>
      <c r="F73" s="39">
        <f t="shared" si="14"/>
        <v>15.1</v>
      </c>
      <c r="G73" s="37" t="e">
        <f t="shared" si="14"/>
        <v>#N/A</v>
      </c>
      <c r="H73" s="40">
        <f t="shared" si="14"/>
        <v>15.357119999999981</v>
      </c>
      <c r="I73" s="2"/>
      <c r="J73" s="2"/>
      <c r="K73" s="41"/>
      <c r="L73" s="41"/>
      <c r="M73" s="42"/>
      <c r="N73" s="42"/>
      <c r="O73" s="42"/>
      <c r="P73" s="42"/>
      <c r="Q73" s="42"/>
      <c r="R73" s="41"/>
      <c r="S73" s="41"/>
      <c r="T73" s="41"/>
      <c r="U73" s="41"/>
      <c r="V73" s="41"/>
      <c r="W73" s="41"/>
    </row>
    <row r="74" spans="1:23" ht="16.5">
      <c r="A74" s="10" t="s">
        <v>17</v>
      </c>
      <c r="B74" s="26">
        <f>'Corn World-Major'!E71/1000</f>
        <v>9.7850000000000001</v>
      </c>
      <c r="C74" s="27">
        <f>'Corn World-Major'!F71/1000</f>
        <v>9.6</v>
      </c>
      <c r="D74" s="28" cm="1">
        <f t="array" ref="D74">C74-(INDEX('Historic WASDE MY 202425'!$D$4:$S$200,MATCH(A74&amp;A63,'Historic WASDE MY 202425'!$B$4:$B$200&amp;'Historic WASDE MY 202425'!$C$4:$C$200,0),MATCH(D65,'Historic WASDE MY 202425'!$D$3:$Y$3,0))/1000)</f>
        <v>0</v>
      </c>
      <c r="E74" s="29">
        <f>VLOOKUP(A74,Canada!A:ZZ,30,FALSE)</f>
        <v>9.9788733333332402</v>
      </c>
      <c r="F74" s="30">
        <f>'Corn World-Major'!G71/1000</f>
        <v>9.6</v>
      </c>
      <c r="G74" s="28" t="e" cm="1">
        <f t="array" ref="G74">F74-(INDEX('Historic WASDE MY 202526'!$D$4:$R$200,MATCH(A74&amp;A63,'Historic WASDE MY 202526'!$B$4:$B$200&amp;'Historic WASDE MY 202526'!$C$4:$C$200,0),MATCH(G65,'Historic WASDE MY 202526'!$D$3:$X$3,0))/1000)</f>
        <v>#N/A</v>
      </c>
      <c r="H74" s="31">
        <f>VLOOKUP(A74,Canada!A:ZZ,31,FALSE)</f>
        <v>9.4900559999999814</v>
      </c>
      <c r="I74" s="2"/>
      <c r="J74" s="2"/>
      <c r="K74" s="41"/>
      <c r="L74" s="41"/>
      <c r="M74" s="42"/>
      <c r="N74" s="42"/>
      <c r="O74" s="42"/>
      <c r="P74" s="42"/>
      <c r="Q74" s="42"/>
      <c r="R74" s="41"/>
      <c r="S74" s="41"/>
      <c r="T74" s="41"/>
      <c r="U74" s="41"/>
      <c r="V74" s="41"/>
      <c r="W74" s="41"/>
    </row>
    <row r="75" spans="1:23" ht="16.5">
      <c r="A75" s="19" t="s">
        <v>18</v>
      </c>
      <c r="B75" s="20">
        <f>'Corn World-Major'!E82/1000</f>
        <v>6.0149999999999997</v>
      </c>
      <c r="C75" s="21">
        <f>'Corn World-Major'!F82/1000</f>
        <v>5.8</v>
      </c>
      <c r="D75" s="43" cm="1">
        <f t="array" ref="D75">C75-(INDEX('Historic WASDE MY 202425'!$D$4:$S$200,MATCH(A75&amp;A63,'Historic WASDE MY 202425'!$B$4:$B$200&amp;'Historic WASDE MY 202425'!$C$4:$C$200,0),MATCH(D65,'Historic WASDE MY 202425'!$D$3:$Y$3,0))/1000)</f>
        <v>0</v>
      </c>
      <c r="E75" s="23">
        <f>VLOOKUP(A75,Canada!A:ZZ,30,FALSE)</f>
        <v>5.768326666666681</v>
      </c>
      <c r="F75" s="24">
        <f>'Corn World-Major'!G82/1000</f>
        <v>5.5</v>
      </c>
      <c r="G75" s="43" t="e" cm="1">
        <f t="array" ref="G75">F75-(INDEX('Historic WASDE MY 202526'!$D$4:$R$200,MATCH(A75&amp;A63,'Historic WASDE MY 202526'!$B$4:$B$200&amp;'Historic WASDE MY 202526'!$C$4:$C$200,0),MATCH(G65,'Historic WASDE MY 202526'!$D$3:$X$3,0))/1000)</f>
        <v>#N/A</v>
      </c>
      <c r="H75" s="25">
        <f>VLOOKUP(A75,Canada!A:ZZ,31,FALSE)</f>
        <v>5.8670639999999992</v>
      </c>
      <c r="I75" s="2"/>
      <c r="J75" s="2"/>
      <c r="K75" s="41"/>
      <c r="L75" s="41"/>
      <c r="M75" s="42"/>
      <c r="N75" s="42"/>
      <c r="O75" s="42"/>
      <c r="P75" s="42"/>
      <c r="Q75" s="42"/>
      <c r="R75" s="41"/>
      <c r="S75" s="41"/>
      <c r="T75" s="41"/>
      <c r="U75" s="41"/>
      <c r="V75" s="41"/>
      <c r="W75" s="41"/>
    </row>
    <row r="76" spans="1:23" ht="16.5">
      <c r="A76" s="10" t="s">
        <v>19</v>
      </c>
      <c r="B76" s="26">
        <f>'Corn World-Major'!E61/1000</f>
        <v>3.0000000000000001E-3</v>
      </c>
      <c r="C76" s="27">
        <f>'Corn World-Major'!F60/1000</f>
        <v>2.2000000000000002</v>
      </c>
      <c r="D76" s="28" cm="1">
        <f t="array" ref="D76">C76-(INDEX('Historic WASDE MY 202425'!$D$4:$S$200,MATCH(A76&amp;A63,'Historic WASDE MY 202425'!$B$4:$B$200&amp;'Historic WASDE MY 202425'!$C$4:$C$200,0),MATCH(D65,'Historic WASDE MY 202425'!$D$3:$Y$3,0))/1000)</f>
        <v>0</v>
      </c>
      <c r="E76" s="29">
        <f>VLOOKUP(A76,Canada!A:ZZ,30,FALSE)</f>
        <v>2.1067642022934066</v>
      </c>
      <c r="F76" s="30">
        <f>'Corn World-Major'!G60/1000</f>
        <v>2.1</v>
      </c>
      <c r="G76" s="28" t="e" cm="1">
        <f t="array" ref="G76">F76-(INDEX('Historic WASDE MY 202526'!$D$4:$R$200,MATCH(A76&amp;A63,'Historic WASDE MY 202526'!$B$4:$B$200&amp;'Historic WASDE MY 202526'!$C$4:$C$200,0),MATCH(G65,'Historic WASDE MY 202526'!$D$3:$X$3,0))/1000)</f>
        <v>#N/A</v>
      </c>
      <c r="H76" s="31">
        <f>VLOOKUP(A76,Canada!A:ZZ,31,FALSE)</f>
        <v>2.1549592916294951</v>
      </c>
      <c r="I76" s="2"/>
      <c r="J76" s="2"/>
      <c r="K76" s="41"/>
      <c r="L76" s="41"/>
      <c r="M76" s="42"/>
      <c r="N76" s="42"/>
      <c r="O76" s="42"/>
      <c r="P76" s="42"/>
      <c r="Q76" s="42"/>
      <c r="R76" s="41"/>
      <c r="S76" s="41"/>
      <c r="T76" s="41"/>
      <c r="U76" s="41"/>
      <c r="V76" s="41"/>
      <c r="W76" s="41"/>
    </row>
    <row r="77" spans="1:23" ht="16.5">
      <c r="A77" s="19" t="s">
        <v>20</v>
      </c>
      <c r="B77" s="20">
        <f>B76+B73</f>
        <v>15.803000000000001</v>
      </c>
      <c r="C77" s="21">
        <f>C76+C73</f>
        <v>17.599999999999998</v>
      </c>
      <c r="D77" s="43">
        <f t="shared" ref="D77" si="15">D76+D73</f>
        <v>0</v>
      </c>
      <c r="E77" s="23">
        <f>E76+E73</f>
        <v>17.853964202293326</v>
      </c>
      <c r="F77" s="24">
        <f>F76+F73</f>
        <v>17.2</v>
      </c>
      <c r="G77" s="43" t="e">
        <f t="shared" ref="G77" si="16">G76+G73</f>
        <v>#N/A</v>
      </c>
      <c r="H77" s="25">
        <f>H76+H73</f>
        <v>17.512079291629476</v>
      </c>
      <c r="I77" s="2"/>
      <c r="J77" s="2"/>
      <c r="K77" s="41"/>
      <c r="L77" s="41"/>
      <c r="M77" s="42"/>
      <c r="N77" s="42"/>
      <c r="O77" s="42"/>
      <c r="P77" s="42"/>
      <c r="Q77" s="42"/>
      <c r="R77" s="41"/>
      <c r="S77" s="41"/>
      <c r="T77" s="41"/>
      <c r="U77" s="41"/>
      <c r="V77" s="41"/>
      <c r="W77" s="41"/>
    </row>
    <row r="78" spans="1:23" ht="16.5">
      <c r="A78" s="44" t="s">
        <v>21</v>
      </c>
      <c r="B78" s="45">
        <f>'Corn World-Major'!E104/1000</f>
        <v>1.996</v>
      </c>
      <c r="C78" s="46">
        <f>'Corn World-Major'!F104/1000</f>
        <v>1.9410000000000001</v>
      </c>
      <c r="D78" s="47" cm="1">
        <f t="array" ref="D78">C78-(INDEX('Historic WASDE MY 202425'!$D$4:$S$200,MATCH(A78&amp;A63,'Historic WASDE MY 202425'!$B$4:$B$200&amp;'Historic WASDE MY 202425'!$C$4:$C$200,0),MATCH(D65,'Historic WASDE MY 202425'!$D$3:$Y$3,0))/1000)</f>
        <v>0</v>
      </c>
      <c r="E78" s="48">
        <f>E72-E77</f>
        <v>1.6757061305031797</v>
      </c>
      <c r="F78" s="49">
        <f>'Corn World-Major'!G104/1000</f>
        <v>1.9410000000000001</v>
      </c>
      <c r="G78" s="47" t="e" cm="1">
        <f t="array" ref="G78">F78-(INDEX('Historic WASDE MY 202526'!$D$4:$R$200,MATCH(A78&amp;A63,'Historic WASDE MY 202526'!$B$4:$B$200&amp;'Historic WASDE MY 202526'!$C$4:$C$200,0),MATCH(G65,'Historic WASDE MY 202526'!$D$3:$X$3,0))/1000)</f>
        <v>#N/A</v>
      </c>
      <c r="H78" s="50">
        <f>H72-H77</f>
        <v>2.0287663241459235</v>
      </c>
      <c r="I78" s="2"/>
      <c r="J78" s="51"/>
      <c r="K78" s="41"/>
      <c r="L78" s="41"/>
      <c r="M78" s="42"/>
      <c r="N78" s="42"/>
      <c r="O78" s="42"/>
      <c r="P78" s="42"/>
      <c r="Q78" s="52"/>
    </row>
    <row r="79" spans="1:23" ht="17.25" thickBot="1">
      <c r="A79" s="19" t="s">
        <v>22</v>
      </c>
      <c r="B79" s="53">
        <f t="shared" ref="B79:C79" si="17">B78/B77</f>
        <v>0.12630513193697399</v>
      </c>
      <c r="C79" s="54">
        <f t="shared" si="17"/>
        <v>0.11028409090909093</v>
      </c>
      <c r="D79" s="55" cm="1">
        <f t="array" ref="D79">C79-(((INDEX('Historic WASDE MY 202425'!$D$4:$S$200,MATCH(A78&amp;A63,'Historic WASDE MY 202425'!$B$4:$B$200&amp;'Historic WASDE MY 202425'!$C$4:$C$200,0),MATCH(D65,'Historic WASDE MY 202425'!$D$3:$Y$3,0))/1000))/SUM(((INDEX('Historic WASDE MY 202425'!$D$4:$S$200,MATCH(A74&amp;A63,'Historic WASDE MY 202425'!$B$4:$B$200&amp;'Historic WASDE MY 202425'!$C$4:$C$200,0),MATCH(D65,'Historic WASDE MY 202425'!$D$3:$Y$3,0))/1000)),((INDEX('Historic WASDE MY 202425'!$D$4:$S$200,MATCH(A75&amp;A63,'Historic WASDE MY 202425'!$B$4:$B$200&amp;'Historic WASDE MY 202425'!$C$4:$C$200,0),MATCH(D65,'Historic WASDE MY 202425'!$D$3:$Y$3,0))/1000)),((INDEX('Historic WASDE MY 202425'!$D$4:$S$200,MATCH(A76&amp;A63,'Historic WASDE MY 202425'!$B$4:$B$200&amp;'Historic WASDE MY 202425'!$C$4:$C$200,0),MATCH(D65,'Historic WASDE MY 202425'!$D$3:$Y$3,0))/1000))))</f>
        <v>0</v>
      </c>
      <c r="E79" s="56">
        <f>E78/E77</f>
        <v>9.3856250159162782E-2</v>
      </c>
      <c r="F79" s="57">
        <f t="shared" ref="F79" si="18">F78/F77</f>
        <v>0.11284883720930233</v>
      </c>
      <c r="G79" s="55" t="e" cm="1">
        <f t="array" ref="G79">F79-((INDEX('Historic WASDE MY 202526'!$D$4:$R$200,MATCH(A78&amp;A63,'Historic WASDE MY 202526'!$B$4:$B$200&amp;'Historic WASDE MY 202526'!$C$4:$C$200,0),MATCH(G65,'Historic WASDE MY 202526'!$D$3:$X$3,0))/1000))/SUM(((INDEX('Historic WASDE MY 202526'!$D$4:$R$200,MATCH(A74&amp;A63,'Historic WASDE MY 202526'!$B$4:$B$200&amp;'Historic WASDE MY 202526'!$C$4:$C$200,0),MATCH(G65,'Historic WASDE MY 202526'!$D$3:$X$3,0))/1000)),((INDEX('Historic WASDE MY 202526'!$D$4:$R$200,MATCH(A75&amp;A63,'Historic WASDE MY 202526'!$B$4:$B$200&amp;'Historic WASDE MY 202526'!$C$4:$C$200,0),MATCH(G65,'Historic WASDE MY 202526'!$D$3:$X$3,0))/1000)),((INDEX('Historic WASDE MY 202526'!$D$4:$R$200,MATCH(A76&amp;A63,'Historic WASDE MY 202526'!$B$4:$B$200&amp;'Historic WASDE MY 202526'!$C$4:$C$200,0),MATCH(G65,'Historic WASDE MY 202526'!$D$3:$X$3,0))/1000)))</f>
        <v>#N/A</v>
      </c>
      <c r="H79" s="58">
        <f>H78/H77</f>
        <v>0.11584953964408126</v>
      </c>
      <c r="I79" s="2"/>
      <c r="J79" s="2"/>
      <c r="K79" s="59"/>
      <c r="L79" s="59"/>
      <c r="M79" s="59"/>
      <c r="N79" s="59"/>
      <c r="O79" s="59"/>
      <c r="P79" s="60"/>
      <c r="Q79" s="59"/>
    </row>
    <row r="80" spans="1:23">
      <c r="A80" s="61"/>
      <c r="B80" s="61"/>
      <c r="C80" s="61"/>
      <c r="D80" s="61"/>
      <c r="E80" s="61"/>
      <c r="F80" s="61"/>
      <c r="G80" s="61"/>
      <c r="H80" s="61"/>
    </row>
    <row r="81" spans="1:23" ht="18">
      <c r="A81" s="1" t="s">
        <v>31</v>
      </c>
      <c r="B81" s="2"/>
      <c r="C81" s="2"/>
      <c r="D81" s="2"/>
      <c r="E81" s="2"/>
      <c r="F81" s="2"/>
      <c r="G81" s="2"/>
      <c r="H81" s="2"/>
      <c r="I81" s="2"/>
      <c r="J81" s="2"/>
    </row>
    <row r="82" spans="1:23" ht="13.5" thickBot="1">
      <c r="B82" s="2"/>
      <c r="C82" s="2"/>
      <c r="D82" s="2"/>
      <c r="E82" s="2"/>
      <c r="F82" s="2"/>
      <c r="G82" s="2"/>
      <c r="H82" s="2"/>
      <c r="I82" s="2"/>
      <c r="J82" s="2"/>
    </row>
    <row r="83" spans="1:23" ht="17.25" thickBot="1">
      <c r="A83" s="4" t="s">
        <v>32</v>
      </c>
      <c r="B83" s="5" t="s">
        <v>2</v>
      </c>
      <c r="C83" s="376" t="s">
        <v>3</v>
      </c>
      <c r="D83" s="376"/>
      <c r="E83" s="376"/>
      <c r="F83" s="377" t="s">
        <v>4</v>
      </c>
      <c r="G83" s="376"/>
      <c r="H83" s="378"/>
      <c r="I83" s="2"/>
      <c r="J83" s="2"/>
    </row>
    <row r="84" spans="1:23" ht="21.6" customHeight="1" thickBot="1">
      <c r="A84" s="4" t="s">
        <v>5</v>
      </c>
      <c r="B84" s="379" t="s">
        <v>6</v>
      </c>
      <c r="C84" s="381" t="s">
        <v>6</v>
      </c>
      <c r="D84" s="63" t="s">
        <v>7</v>
      </c>
      <c r="E84" s="383" t="s">
        <v>8</v>
      </c>
      <c r="F84" s="385" t="s">
        <v>6</v>
      </c>
      <c r="G84" s="6" t="str">
        <f>D84</f>
        <v>Change from</v>
      </c>
      <c r="H84" s="387" t="str">
        <f>E84</f>
        <v>Fastmarkets</v>
      </c>
      <c r="I84" s="2"/>
      <c r="J84" s="2"/>
    </row>
    <row r="85" spans="1:23" ht="12.75" customHeight="1" thickBot="1">
      <c r="A85" s="7"/>
      <c r="B85" s="380"/>
      <c r="C85" s="382"/>
      <c r="D85" s="8">
        <f>D45</f>
        <v>45748</v>
      </c>
      <c r="E85" s="384"/>
      <c r="F85" s="386"/>
      <c r="G85" s="8">
        <f>D85</f>
        <v>45748</v>
      </c>
      <c r="H85" s="388"/>
      <c r="I85" s="2"/>
      <c r="J85" s="2"/>
      <c r="Q85" s="9"/>
    </row>
    <row r="86" spans="1:23" ht="16.5">
      <c r="A86" s="10" t="s">
        <v>9</v>
      </c>
      <c r="B86" s="11"/>
      <c r="C86" s="12"/>
      <c r="D86" s="13"/>
      <c r="E86" s="14"/>
      <c r="F86" s="15"/>
      <c r="G86" s="13"/>
      <c r="H86" s="16"/>
      <c r="I86" s="2"/>
      <c r="J86" s="2"/>
      <c r="K86" s="17"/>
      <c r="L86" s="17"/>
      <c r="M86" s="18"/>
      <c r="N86" s="18"/>
      <c r="O86" s="18"/>
      <c r="P86" s="18"/>
      <c r="Q86" s="18"/>
      <c r="R86" s="17"/>
      <c r="S86" s="17"/>
      <c r="T86" s="17"/>
      <c r="U86" s="17"/>
      <c r="V86" s="17"/>
      <c r="W86" s="17"/>
    </row>
    <row r="87" spans="1:23" ht="16.5">
      <c r="A87" s="19" t="s">
        <v>10</v>
      </c>
      <c r="B87" s="20">
        <f>'Corn World-Major'!E6/1000</f>
        <v>44.218000000000004</v>
      </c>
      <c r="C87" s="21">
        <f>'Corn World-Major'!F6/1000</f>
        <v>44.741</v>
      </c>
      <c r="D87" s="22" cm="1">
        <f t="array" ref="D87">C87-(INDEX('Historic WASDE MY 202425'!$D$4:$S$200,MATCH(A87&amp;A83,'Historic WASDE MY 202425'!$B$4:$B$200&amp;'Historic WASDE MY 202425'!$C$4:$C$200,0),MATCH(D85,'Historic WASDE MY 202425'!$D$3:$Y$3,0))/1000)</f>
        <v>0</v>
      </c>
      <c r="E87" s="23">
        <f>VLOOKUP(A87,China!A:ZZ,51,FALSE)</f>
        <v>44.622066666666655</v>
      </c>
      <c r="F87" s="24">
        <f>'Corn World-Major'!G6/1000</f>
        <v>44.3</v>
      </c>
      <c r="G87" s="22" t="e" cm="1">
        <f t="array" ref="G87">F87-(INDEX('Historic WASDE MY 202526'!$D$4:$R$200,MATCH(A87&amp;A83,'Historic WASDE MY 202526'!$B$4:$B$200&amp;'Historic WASDE MY 202526'!$C$4:$C$200,0),MATCH(G85,'Historic WASDE MY 202526'!$D$3:$X$3,0))/1000)</f>
        <v>#N/A</v>
      </c>
      <c r="H87" s="25">
        <f>VLOOKUP(A87,China!A:ZZ,52,FALSE)</f>
        <v>45.281559999999999</v>
      </c>
      <c r="I87" s="2"/>
      <c r="J87" s="2"/>
      <c r="K87" s="17"/>
      <c r="L87" s="17"/>
      <c r="M87" s="18"/>
      <c r="N87" s="18"/>
      <c r="O87" s="18"/>
      <c r="P87" s="18"/>
      <c r="Q87" s="18"/>
      <c r="R87" s="17"/>
      <c r="S87" s="17"/>
      <c r="T87" s="17"/>
      <c r="U87" s="17"/>
      <c r="V87" s="17"/>
      <c r="W87" s="17"/>
    </row>
    <row r="88" spans="1:23" ht="16.5">
      <c r="A88" s="10" t="s">
        <v>11</v>
      </c>
      <c r="B88" s="26">
        <f>'Corn World-Major'!E127</f>
        <v>6.53</v>
      </c>
      <c r="C88" s="27">
        <f>'Corn World-Major'!F127</f>
        <v>6.59</v>
      </c>
      <c r="D88" s="28" cm="1">
        <f t="array" ref="D88">C88-(INDEX('Historic WASDE MY 202425'!$D$4:$S$200,MATCH(A88&amp;A83,'Historic WASDE MY 202425'!$B$4:$B$200&amp;'Historic WASDE MY 202425'!$C$4:$C$200,0),MATCH(D85,'Historic WASDE MY 202425'!$D$3:$Y$3,0)))</f>
        <v>0</v>
      </c>
      <c r="E88" s="29">
        <f>VLOOKUP(A88,China!A:ZZ,51,FALSE)</f>
        <v>6.6090202453957545</v>
      </c>
      <c r="F88" s="30">
        <f>'Corn World-Major'!G127</f>
        <v>6.66</v>
      </c>
      <c r="G88" s="28" t="e" cm="1">
        <f t="array" ref="G88">F88-(INDEX('Historic WASDE MY 202526'!$D$4:$R$200,MATCH(A88&amp;A83,'Historic WASDE MY 202526'!$B$4:$B$200&amp;'Historic WASDE MY 202526'!$C$4:$C$200,0),MATCH(G85,'Historic WASDE MY 202526'!$D$3:$X$3,0)))</f>
        <v>#N/A</v>
      </c>
      <c r="H88" s="31">
        <f>VLOOKUP(A88,China!A:ZZ,52,FALSE)</f>
        <v>6.6478832091233073</v>
      </c>
      <c r="I88" s="2"/>
      <c r="J88" s="2"/>
      <c r="K88" s="17"/>
      <c r="L88" s="17"/>
      <c r="M88" s="32"/>
      <c r="N88" s="32"/>
      <c r="O88" s="32"/>
      <c r="P88" s="32"/>
      <c r="Q88" s="33"/>
      <c r="R88" s="17"/>
      <c r="S88" s="17"/>
      <c r="T88" s="17"/>
      <c r="U88" s="17"/>
      <c r="V88" s="17"/>
      <c r="W88" s="17"/>
    </row>
    <row r="89" spans="1:23" ht="16.5">
      <c r="A89" s="34" t="s">
        <v>12</v>
      </c>
      <c r="B89" s="35">
        <f>'Corn World-Major'!E17/1000</f>
        <v>206.04</v>
      </c>
      <c r="C89" s="36">
        <f>'Corn World-Major'!F17/1000</f>
        <v>211.286</v>
      </c>
      <c r="D89" s="37" cm="1">
        <f t="array" ref="D89">C89-(INDEX('Historic WASDE MY 202425'!$D$4:$S$200,MATCH(A89&amp;A83,'Historic WASDE MY 202425'!$B$4:$B$200&amp;'Historic WASDE MY 202425'!$C$4:$C$200,0),MATCH(D85,'Historic WASDE MY 202425'!$D$3:$Y$3,0))/1000)</f>
        <v>0</v>
      </c>
      <c r="E89" s="38">
        <f>B98</f>
        <v>211.286</v>
      </c>
      <c r="F89" s="39">
        <f>'Corn World-Major'!G17/1000</f>
        <v>198.18299999999999</v>
      </c>
      <c r="G89" s="37" t="e" cm="1">
        <f t="array" ref="G89">F89-(INDEX('Historic WASDE MY 202526'!$D$4:$R$200,MATCH(A89&amp;A83,'Historic WASDE MY 202526'!$B$4:$B$200&amp;'Historic WASDE MY 202526'!$C$4:$C$200,0),MATCH(G85,'Historic WASDE MY 202526'!$D$3:$X$3,0))/1000)</f>
        <v>#N/A</v>
      </c>
      <c r="H89" s="40">
        <f>E98</f>
        <v>209.28600000000006</v>
      </c>
      <c r="I89" s="2"/>
      <c r="J89" s="2"/>
      <c r="K89" s="41"/>
      <c r="L89" s="41"/>
      <c r="M89" s="42"/>
      <c r="N89" s="42"/>
      <c r="O89" s="42"/>
      <c r="P89" s="42"/>
      <c r="Q89" s="42"/>
      <c r="R89" s="17"/>
      <c r="S89" s="41"/>
      <c r="T89" s="41"/>
      <c r="U89" s="41"/>
      <c r="V89" s="41"/>
      <c r="W89" s="41"/>
    </row>
    <row r="90" spans="1:23" ht="16.5">
      <c r="A90" s="10" t="s">
        <v>13</v>
      </c>
      <c r="B90" s="26">
        <f>'Corn World-Major'!E28/1000</f>
        <v>288.84199999999998</v>
      </c>
      <c r="C90" s="27">
        <f>'Corn World-Major'!F28/1000</f>
        <v>294.91699999999997</v>
      </c>
      <c r="D90" s="28" cm="1">
        <f t="array" ref="D90">C90-(INDEX('Historic WASDE MY 202425'!$D$4:$S$200,MATCH(A90&amp;A83,'Historic WASDE MY 202425'!$B$4:$B$200&amp;'Historic WASDE MY 202425'!$C$4:$C$200,0),MATCH(D85,'Historic WASDE MY 202425'!$D$3:$Y$3,0))/1000)</f>
        <v>0</v>
      </c>
      <c r="E90" s="29">
        <f>VLOOKUP(A90,China!A:ZZ,51,FALSE)</f>
        <v>295</v>
      </c>
      <c r="F90" s="30">
        <f>'Corn World-Major'!G28/1000</f>
        <v>295</v>
      </c>
      <c r="G90" s="28" t="e" cm="1">
        <f t="array" ref="G90">F90-(INDEX('Historic WASDE MY 202526'!$D$4:$R$200,MATCH(A90&amp;A83,'Historic WASDE MY 202526'!$B$4:$B$200&amp;'Historic WASDE MY 202526'!$C$4:$C$200,0),MATCH(G85,'Historic WASDE MY 202526'!$D$3:$X$3,0))/1000)</f>
        <v>#N/A</v>
      </c>
      <c r="H90" s="31">
        <f>VLOOKUP(A90,China!A:ZZ,52,FALSE)</f>
        <v>301.02652240690958</v>
      </c>
      <c r="I90" s="2"/>
      <c r="J90" s="2"/>
      <c r="K90" s="41"/>
      <c r="L90" s="41"/>
      <c r="M90" s="42"/>
      <c r="N90" s="42"/>
      <c r="O90" s="42"/>
      <c r="P90" s="42"/>
      <c r="Q90" s="42"/>
      <c r="R90" s="17"/>
      <c r="S90" s="41"/>
      <c r="T90" s="41"/>
      <c r="U90" s="41"/>
      <c r="V90" s="41"/>
      <c r="W90" s="41"/>
    </row>
    <row r="91" spans="1:23" ht="16.5">
      <c r="A91" s="19" t="s">
        <v>14</v>
      </c>
      <c r="B91" s="20">
        <f>'Corn World-Major'!E39/1000</f>
        <v>23.407</v>
      </c>
      <c r="C91" s="21">
        <f>'Corn World-Major'!F39/1000</f>
        <v>8</v>
      </c>
      <c r="D91" s="43" cm="1">
        <f t="array" ref="D91">C91-(INDEX('Historic WASDE MY 202425'!$D$4:$S$200,MATCH(A91&amp;A83,'Historic WASDE MY 202425'!$B$4:$B$200&amp;'Historic WASDE MY 202425'!$C$4:$C$200,0),MATCH(D85,'Historic WASDE MY 202425'!$D$3:$Y$3,0))/1000)</f>
        <v>0</v>
      </c>
      <c r="E91" s="23">
        <f>VLOOKUP(A91,China!A:ZZ,51,FALSE)</f>
        <v>7.5</v>
      </c>
      <c r="F91" s="24">
        <f>'Corn World-Major'!G39/1000</f>
        <v>10</v>
      </c>
      <c r="G91" s="43" t="e" cm="1">
        <f t="array" ref="G91">F91-(INDEX('Historic WASDE MY 202526'!$D$4:$R$200,MATCH(A91&amp;A83,'Historic WASDE MY 202526'!$B$4:$B$200&amp;'Historic WASDE MY 202526'!$C$4:$C$200,0),MATCH(G85,'Historic WASDE MY 202526'!$D$3:$X$3,0))/1000)</f>
        <v>#N/A</v>
      </c>
      <c r="H91" s="25">
        <f>VLOOKUP(A91,China!A:ZZ,52,FALSE)</f>
        <v>10</v>
      </c>
      <c r="I91" s="2"/>
      <c r="J91" s="2"/>
      <c r="K91" s="41"/>
      <c r="L91" s="41"/>
      <c r="M91" s="42"/>
      <c r="N91" s="42"/>
      <c r="O91" s="42"/>
      <c r="P91" s="42"/>
      <c r="Q91" s="42"/>
      <c r="R91" s="17"/>
      <c r="S91" s="41"/>
      <c r="T91" s="41"/>
      <c r="U91" s="41"/>
      <c r="V91" s="41"/>
      <c r="W91" s="41"/>
    </row>
    <row r="92" spans="1:23" ht="16.5">
      <c r="A92" s="10" t="s">
        <v>15</v>
      </c>
      <c r="B92" s="26">
        <f>SUM(B89:B91)</f>
        <v>518.28899999999999</v>
      </c>
      <c r="C92" s="27">
        <f>SUM(C89:C91)</f>
        <v>514.20299999999997</v>
      </c>
      <c r="D92" s="28">
        <f>SUM(D89:D91)</f>
        <v>0</v>
      </c>
      <c r="E92" s="29">
        <f>SUM(E89:E91)</f>
        <v>513.78600000000006</v>
      </c>
      <c r="F92" s="30">
        <f>SUM(F89:F91)</f>
        <v>503.18299999999999</v>
      </c>
      <c r="G92" s="28" t="e">
        <f>G91+G90+G89</f>
        <v>#N/A</v>
      </c>
      <c r="H92" s="31">
        <f>SUM(H89:H91)</f>
        <v>520.31252240690969</v>
      </c>
      <c r="I92" s="2"/>
      <c r="J92" s="2"/>
      <c r="K92" s="41"/>
      <c r="L92" s="41"/>
      <c r="M92" s="42"/>
      <c r="N92" s="42"/>
      <c r="O92" s="42"/>
      <c r="P92" s="42"/>
      <c r="Q92" s="42"/>
      <c r="R92" s="41"/>
      <c r="S92" s="41"/>
      <c r="T92" s="41"/>
      <c r="U92" s="41"/>
      <c r="V92" s="41"/>
      <c r="W92" s="41"/>
    </row>
    <row r="93" spans="1:23" ht="16.5">
      <c r="A93" s="34" t="s">
        <v>16</v>
      </c>
      <c r="B93" s="35">
        <f t="shared" ref="B93:H93" si="19">B94+B95</f>
        <v>307</v>
      </c>
      <c r="C93" s="36">
        <f t="shared" si="19"/>
        <v>316</v>
      </c>
      <c r="D93" s="37">
        <f t="shared" si="19"/>
        <v>3</v>
      </c>
      <c r="E93" s="38">
        <f t="shared" si="19"/>
        <v>304.5</v>
      </c>
      <c r="F93" s="39">
        <f t="shared" si="19"/>
        <v>321</v>
      </c>
      <c r="G93" s="37" t="e">
        <f t="shared" si="19"/>
        <v>#N/A</v>
      </c>
      <c r="H93" s="40">
        <f t="shared" si="19"/>
        <v>306.02652240690963</v>
      </c>
      <c r="I93" s="2"/>
      <c r="J93" s="2"/>
      <c r="K93" s="41"/>
      <c r="L93" s="41"/>
      <c r="M93" s="42"/>
      <c r="N93" s="42"/>
      <c r="O93" s="42"/>
      <c r="P93" s="42"/>
      <c r="Q93" s="42"/>
      <c r="R93" s="41"/>
      <c r="S93" s="41"/>
      <c r="T93" s="41"/>
      <c r="U93" s="41"/>
      <c r="V93" s="41"/>
      <c r="W93" s="41"/>
    </row>
    <row r="94" spans="1:23" ht="16.5">
      <c r="A94" s="10" t="s">
        <v>17</v>
      </c>
      <c r="B94" s="26">
        <f>'Corn World-Major'!E72/1000</f>
        <v>225</v>
      </c>
      <c r="C94" s="27">
        <f>'Corn World-Major'!F72/1000</f>
        <v>234</v>
      </c>
      <c r="D94" s="28" cm="1">
        <f t="array" ref="D94">C94-(INDEX('Historic WASDE MY 202425'!$D$4:$S$200,MATCH(A94&amp;A83,'Historic WASDE MY 202425'!$B$4:$B$200&amp;'Historic WASDE MY 202425'!$C$4:$C$200,0),MATCH(D85,'Historic WASDE MY 202425'!$D$3:$Y$3,0))/1000)</f>
        <v>3</v>
      </c>
      <c r="E94" s="29">
        <f>VLOOKUP(A94,China!A:ZZ,51,FALSE)</f>
        <v>223.5</v>
      </c>
      <c r="F94" s="30">
        <f>'Corn World-Major'!G72/1000</f>
        <v>239</v>
      </c>
      <c r="G94" s="28" t="e" cm="1">
        <f t="array" ref="G94">F94-(INDEX('Historic WASDE MY 202526'!$D$4:$R$200,MATCH(A94&amp;A83,'Historic WASDE MY 202526'!$B$4:$B$200&amp;'Historic WASDE MY 202526'!$C$4:$C$200,0),MATCH(G85,'Historic WASDE MY 202526'!$D$3:$X$3,0))/1000)</f>
        <v>#N/A</v>
      </c>
      <c r="H94" s="31">
        <f>VLOOKUP(A94,China!A:ZZ,52,FALSE)</f>
        <v>225.02652240690963</v>
      </c>
      <c r="I94" s="2"/>
      <c r="J94" s="2"/>
      <c r="K94" s="41"/>
      <c r="L94" s="41"/>
      <c r="M94" s="42"/>
      <c r="N94" s="42"/>
      <c r="O94" s="42"/>
      <c r="P94" s="42"/>
      <c r="Q94" s="42"/>
      <c r="R94" s="41"/>
      <c r="S94" s="41"/>
      <c r="T94" s="41"/>
      <c r="U94" s="41"/>
      <c r="V94" s="41"/>
      <c r="W94" s="41"/>
    </row>
    <row r="95" spans="1:23" ht="16.5">
      <c r="A95" s="19" t="s">
        <v>18</v>
      </c>
      <c r="B95" s="20">
        <f>'Corn World-Major'!E83/1000</f>
        <v>82</v>
      </c>
      <c r="C95" s="21">
        <f>'Corn World-Major'!F83/1000</f>
        <v>82</v>
      </c>
      <c r="D95" s="43" cm="1">
        <f t="array" ref="D95">C95-(INDEX('Historic WASDE MY 202425'!$D$4:$S$200,MATCH(A95&amp;A83,'Historic WASDE MY 202425'!$B$4:$B$200&amp;'Historic WASDE MY 202425'!$C$4:$C$200,0),MATCH(D85,'Historic WASDE MY 202425'!$D$3:$Y$3,0))/1000)</f>
        <v>0</v>
      </c>
      <c r="E95" s="23">
        <f>VLOOKUP(A95,China!A:ZZ,51,FALSE)</f>
        <v>81</v>
      </c>
      <c r="F95" s="24">
        <f>'Corn World-Major'!G83/1000</f>
        <v>82</v>
      </c>
      <c r="G95" s="43" t="e" cm="1">
        <f t="array" ref="G95">F95-(INDEX('Historic WASDE MY 202526'!$D$4:$R$200,MATCH(A95&amp;A83,'Historic WASDE MY 202526'!$B$4:$B$200&amp;'Historic WASDE MY 202526'!$C$4:$C$200,0),MATCH(G85,'Historic WASDE MY 202526'!$D$3:$X$3,0))/1000)</f>
        <v>#N/A</v>
      </c>
      <c r="H95" s="25">
        <f>VLOOKUP(A95,China!A:ZZ,52,FALSE)</f>
        <v>81</v>
      </c>
      <c r="I95" s="2"/>
      <c r="J95" s="2"/>
      <c r="K95" s="41"/>
      <c r="L95" s="41"/>
      <c r="M95" s="42"/>
      <c r="N95" s="42"/>
      <c r="O95" s="42"/>
      <c r="P95" s="42"/>
      <c r="Q95" s="42"/>
      <c r="R95" s="41"/>
      <c r="S95" s="41"/>
      <c r="T95" s="41"/>
      <c r="U95" s="41"/>
      <c r="V95" s="41"/>
      <c r="W95" s="41"/>
    </row>
    <row r="96" spans="1:23" ht="16.5">
      <c r="A96" s="10" t="s">
        <v>19</v>
      </c>
      <c r="B96" s="26">
        <f>'Corn World-Major'!E62/1000</f>
        <v>4.3890000000000002</v>
      </c>
      <c r="C96" s="27">
        <f>'Corn World-Major'!F61/1000</f>
        <v>0.02</v>
      </c>
      <c r="D96" s="28" cm="1">
        <f t="array" ref="D96">C96-(INDEX('Historic WASDE MY 202425'!$D$4:$S$200,MATCH(A96&amp;A83,'Historic WASDE MY 202425'!$B$4:$B$200&amp;'Historic WASDE MY 202425'!$C$4:$C$200,0),MATCH(D85,'Historic WASDE MY 202425'!$D$3:$Y$3,0))/1000)</f>
        <v>0</v>
      </c>
      <c r="E96" s="29">
        <f>VLOOKUP(A96,China!A:ZZ,51,FALSE)</f>
        <v>0</v>
      </c>
      <c r="F96" s="30">
        <f>'Corn World-Major'!G61/1000</f>
        <v>0.02</v>
      </c>
      <c r="G96" s="28" t="e" cm="1">
        <f t="array" ref="G96">F96-(INDEX('Historic WASDE MY 202526'!$D$4:$R$200,MATCH(A96&amp;A83,'Historic WASDE MY 202526'!$B$4:$B$200&amp;'Historic WASDE MY 202526'!$C$4:$C$200,0),MATCH(G85,'Historic WASDE MY 202526'!$D$3:$X$3,0))/1000)</f>
        <v>#N/A</v>
      </c>
      <c r="H96" s="31">
        <f>VLOOKUP(A96,China!A:ZZ,52,FALSE)</f>
        <v>0</v>
      </c>
      <c r="I96" s="2"/>
      <c r="J96" s="2"/>
      <c r="K96" s="41"/>
      <c r="L96" s="41"/>
      <c r="M96" s="42"/>
      <c r="N96" s="42"/>
      <c r="O96" s="42"/>
      <c r="P96" s="42"/>
      <c r="Q96" s="42"/>
      <c r="R96" s="41"/>
      <c r="S96" s="41"/>
      <c r="T96" s="41"/>
      <c r="U96" s="41"/>
      <c r="V96" s="41"/>
      <c r="W96" s="41"/>
    </row>
    <row r="97" spans="1:23" ht="16.5">
      <c r="A97" s="19" t="s">
        <v>20</v>
      </c>
      <c r="B97" s="20">
        <f>B96+B93</f>
        <v>311.38900000000001</v>
      </c>
      <c r="C97" s="21">
        <f>C96+C93</f>
        <v>316.02</v>
      </c>
      <c r="D97" s="43">
        <f t="shared" ref="D97" si="20">D96+D93</f>
        <v>3</v>
      </c>
      <c r="E97" s="23">
        <f>E96+E93</f>
        <v>304.5</v>
      </c>
      <c r="F97" s="24">
        <f>F96+F93</f>
        <v>321.02</v>
      </c>
      <c r="G97" s="43" t="e">
        <f t="shared" ref="G97" si="21">G96+G93</f>
        <v>#N/A</v>
      </c>
      <c r="H97" s="25">
        <f>H96+H93</f>
        <v>306.02652240690963</v>
      </c>
      <c r="I97" s="2"/>
      <c r="J97" s="2"/>
      <c r="K97" s="41"/>
      <c r="L97" s="41"/>
      <c r="M97" s="42"/>
      <c r="N97" s="42"/>
      <c r="O97" s="42"/>
      <c r="P97" s="42"/>
      <c r="Q97" s="42"/>
      <c r="R97" s="41"/>
      <c r="S97" s="41"/>
      <c r="T97" s="41"/>
      <c r="U97" s="41"/>
      <c r="V97" s="41"/>
      <c r="W97" s="41"/>
    </row>
    <row r="98" spans="1:23" ht="16.5">
      <c r="A98" s="44" t="s">
        <v>21</v>
      </c>
      <c r="B98" s="45">
        <f>'Corn World-Major'!E105/1000</f>
        <v>211.286</v>
      </c>
      <c r="C98" s="46">
        <f>'Corn World-Major'!F105/1000</f>
        <v>198.18299999999999</v>
      </c>
      <c r="D98" s="47" cm="1">
        <f t="array" ref="D98">C98-(INDEX('Historic WASDE MY 202425'!$D$4:$S$200,MATCH(A98&amp;A83,'Historic WASDE MY 202425'!$B$4:$B$200&amp;'Historic WASDE MY 202425'!$C$4:$C$200,0),MATCH(D85,'Historic WASDE MY 202425'!$D$3:$Y$3,0))/1000)</f>
        <v>-3</v>
      </c>
      <c r="E98" s="48">
        <f>E92-E97</f>
        <v>209.28600000000006</v>
      </c>
      <c r="F98" s="49">
        <f>'Corn World-Major'!G105/1000</f>
        <v>182.16300000000001</v>
      </c>
      <c r="G98" s="47" t="e" cm="1">
        <f t="array" ref="G98">F98-(INDEX('Historic WASDE MY 202526'!$D$4:$R$200,MATCH(A98&amp;A83,'Historic WASDE MY 202526'!$B$4:$B$200&amp;'Historic WASDE MY 202526'!$C$4:$C$200,0),MATCH(G85,'Historic WASDE MY 202526'!$D$3:$X$3,0))/1000)</f>
        <v>#N/A</v>
      </c>
      <c r="H98" s="50">
        <f>H92-H97</f>
        <v>214.28600000000006</v>
      </c>
      <c r="I98" s="2"/>
      <c r="J98" s="51"/>
      <c r="K98" s="41"/>
      <c r="L98" s="41"/>
      <c r="M98" s="42"/>
      <c r="N98" s="42"/>
      <c r="O98" s="42"/>
      <c r="P98" s="42"/>
      <c r="Q98" s="52"/>
    </row>
    <row r="99" spans="1:23" ht="17.25" thickBot="1">
      <c r="A99" s="19" t="s">
        <v>22</v>
      </c>
      <c r="B99" s="53">
        <f t="shared" ref="B99:C99" si="22">B98/B97</f>
        <v>0.67852750097145365</v>
      </c>
      <c r="C99" s="54">
        <f t="shared" si="22"/>
        <v>0.62712170115815458</v>
      </c>
      <c r="D99" s="55" cm="1">
        <f t="array" ref="D99">C99-(((INDEX('Historic WASDE MY 202425'!$D$4:$S$200,MATCH(A98&amp;A83,'Historic WASDE MY 202425'!$B$4:$B$200&amp;'Historic WASDE MY 202425'!$C$4:$C$200,0),MATCH(D85,'Historic WASDE MY 202425'!$D$3:$Y$3,0))/1000))/SUM(((INDEX('Historic WASDE MY 202425'!$D$4:$S$200,MATCH(A94&amp;A83,'Historic WASDE MY 202425'!$B$4:$B$200&amp;'Historic WASDE MY 202425'!$C$4:$C$200,0),MATCH(D85,'Historic WASDE MY 202425'!$D$3:$Y$3,0))/1000)),((INDEX('Historic WASDE MY 202425'!$D$4:$S$200,MATCH(A95&amp;A83,'Historic WASDE MY 202425'!$B$4:$B$200&amp;'Historic WASDE MY 202425'!$C$4:$C$200,0),MATCH(D85,'Historic WASDE MY 202425'!$D$3:$Y$3,0))/1000)),((INDEX('Historic WASDE MY 202425'!$D$4:$S$200,MATCH(A96&amp;A83,'Historic WASDE MY 202425'!$B$4:$B$200&amp;'Historic WASDE MY 202425'!$C$4:$C$200,0),MATCH(D85,'Historic WASDE MY 202425'!$D$3:$Y$3,0))/1000))))</f>
        <v>-1.5594419217540234E-2</v>
      </c>
      <c r="E99" s="56">
        <f>E98/E97</f>
        <v>0.68731034482758635</v>
      </c>
      <c r="F99" s="57">
        <f t="shared" ref="F99" si="23">F98/F97</f>
        <v>0.56745062612921315</v>
      </c>
      <c r="G99" s="55" t="e" cm="1">
        <f t="array" ref="G99">F99-((INDEX('Historic WASDE MY 202526'!$D$4:$R$200,MATCH(A98&amp;A83,'Historic WASDE MY 202526'!$B$4:$B$200&amp;'Historic WASDE MY 202526'!$C$4:$C$200,0),MATCH(G85,'Historic WASDE MY 202526'!$D$3:$X$3,0))/1000))/SUM(((INDEX('Historic WASDE MY 202526'!$D$4:$R$200,MATCH(A94&amp;A83,'Historic WASDE MY 202526'!$B$4:$B$200&amp;'Historic WASDE MY 202526'!$C$4:$C$200,0),MATCH(G85,'Historic WASDE MY 202526'!$D$3:$X$3,0))/1000)),((INDEX('Historic WASDE MY 202526'!$D$4:$R$200,MATCH(A95&amp;A83,'Historic WASDE MY 202526'!$B$4:$B$200&amp;'Historic WASDE MY 202526'!$C$4:$C$200,0),MATCH(G85,'Historic WASDE MY 202526'!$D$3:$X$3,0))/1000)),((INDEX('Historic WASDE MY 202526'!$D$4:$R$200,MATCH(A96&amp;A83,'Historic WASDE MY 202526'!$B$4:$B$200&amp;'Historic WASDE MY 202526'!$C$4:$C$200,0),MATCH(G85,'Historic WASDE MY 202526'!$D$3:$X$3,0))/1000)))</f>
        <v>#N/A</v>
      </c>
      <c r="H99" s="58">
        <f>H98/H97</f>
        <v>0.70022035447984354</v>
      </c>
      <c r="I99" s="2"/>
      <c r="J99" s="2"/>
      <c r="K99" s="59"/>
      <c r="L99" s="59"/>
      <c r="M99" s="59"/>
      <c r="N99" s="59"/>
      <c r="O99" s="59"/>
      <c r="P99" s="60"/>
      <c r="Q99" s="59"/>
    </row>
    <row r="100" spans="1:23">
      <c r="A100" s="61"/>
      <c r="B100" s="61"/>
      <c r="C100" s="61"/>
      <c r="D100" s="61"/>
      <c r="E100" s="61"/>
      <c r="F100" s="61"/>
      <c r="G100" s="61"/>
      <c r="H100" s="61"/>
    </row>
    <row r="101" spans="1:23" ht="18">
      <c r="A101" s="1" t="s">
        <v>33</v>
      </c>
      <c r="B101" s="2"/>
      <c r="C101" s="2"/>
      <c r="D101" s="2"/>
      <c r="E101" s="2"/>
      <c r="F101" s="2"/>
      <c r="G101" s="2"/>
      <c r="H101" s="2"/>
      <c r="I101" s="2"/>
      <c r="J101" s="2"/>
    </row>
    <row r="102" spans="1:23" ht="13.5" thickBot="1">
      <c r="B102" s="2"/>
      <c r="C102" s="2"/>
      <c r="D102" s="2"/>
      <c r="E102" s="2"/>
      <c r="F102" s="2"/>
      <c r="G102" s="2"/>
      <c r="H102" s="2"/>
      <c r="I102" s="2"/>
      <c r="J102" s="2"/>
    </row>
    <row r="103" spans="1:23" ht="17.25" thickBot="1">
      <c r="A103" s="4" t="s">
        <v>34</v>
      </c>
      <c r="B103" s="5" t="s">
        <v>2</v>
      </c>
      <c r="C103" s="376" t="s">
        <v>3</v>
      </c>
      <c r="D103" s="376"/>
      <c r="E103" s="376"/>
      <c r="F103" s="377" t="s">
        <v>4</v>
      </c>
      <c r="G103" s="376"/>
      <c r="H103" s="378"/>
      <c r="I103" s="2"/>
      <c r="J103" s="2"/>
    </row>
    <row r="104" spans="1:23" ht="21.6" customHeight="1" thickBot="1">
      <c r="A104" s="4" t="s">
        <v>5</v>
      </c>
      <c r="B104" s="379" t="s">
        <v>6</v>
      </c>
      <c r="C104" s="381" t="s">
        <v>6</v>
      </c>
      <c r="D104" s="63" t="s">
        <v>7</v>
      </c>
      <c r="E104" s="383" t="s">
        <v>8</v>
      </c>
      <c r="F104" s="385" t="s">
        <v>6</v>
      </c>
      <c r="G104" s="6" t="str">
        <f>D104</f>
        <v>Change from</v>
      </c>
      <c r="H104" s="387" t="str">
        <f>E104</f>
        <v>Fastmarkets</v>
      </c>
      <c r="I104" s="2"/>
      <c r="J104" s="2"/>
    </row>
    <row r="105" spans="1:23" ht="12.75" customHeight="1" thickBot="1">
      <c r="A105" s="7"/>
      <c r="B105" s="380"/>
      <c r="C105" s="382"/>
      <c r="D105" s="8">
        <f>D65</f>
        <v>45748</v>
      </c>
      <c r="E105" s="384"/>
      <c r="F105" s="386"/>
      <c r="G105" s="8">
        <f>D105</f>
        <v>45748</v>
      </c>
      <c r="H105" s="388"/>
      <c r="I105" s="2"/>
      <c r="J105" s="2"/>
      <c r="Q105" s="9"/>
    </row>
    <row r="106" spans="1:23" ht="16.5">
      <c r="A106" s="10" t="s">
        <v>9</v>
      </c>
      <c r="B106" s="11"/>
      <c r="C106" s="11"/>
      <c r="D106" s="13"/>
      <c r="E106" s="14"/>
      <c r="F106" s="11"/>
      <c r="G106" s="13"/>
      <c r="H106" s="16"/>
      <c r="I106" s="2"/>
      <c r="J106" s="2"/>
      <c r="K106" s="17"/>
      <c r="L106" s="17"/>
      <c r="M106" s="18"/>
      <c r="N106" s="18"/>
      <c r="O106" s="18"/>
      <c r="P106" s="18"/>
      <c r="Q106" s="18"/>
      <c r="R106" s="17"/>
      <c r="S106" s="17"/>
      <c r="T106" s="17"/>
      <c r="U106" s="17"/>
      <c r="V106" s="17"/>
      <c r="W106" s="17"/>
    </row>
    <row r="107" spans="1:23" ht="16.5">
      <c r="A107" s="19" t="s">
        <v>10</v>
      </c>
      <c r="B107" s="20">
        <f>'Corn World-Major'!E7/1000</f>
        <v>8.2829999999999995</v>
      </c>
      <c r="C107" s="20">
        <f>'Corn World-Major'!F7/1000</f>
        <v>8.7040000000000006</v>
      </c>
      <c r="D107" s="22" cm="1">
        <f t="array" ref="D107">C107-(INDEX('Historic WASDE MY 202425'!$D$4:$S$200,MATCH(A107&amp;A103,'Historic WASDE MY 202425'!$B$4:$B$200&amp;'Historic WASDE MY 202425'!$C$4:$C$200,0),MATCH(D105,'Historic WASDE MY 202425'!$D$3:$Y$3,0))/1000)</f>
        <v>0</v>
      </c>
      <c r="E107" s="23">
        <f>VLOOKUP(A107,'EU27'!A:ZZ,51,FALSE)</f>
        <v>8.6136333333333308</v>
      </c>
      <c r="F107" s="20">
        <f>'Corn World-Major'!G7/1000</f>
        <v>8.25</v>
      </c>
      <c r="G107" s="22" t="e" cm="1">
        <f t="array" ref="G107">F107-(INDEX('Historic WASDE MY 202526'!$D$4:$R$200,MATCH(A107&amp;A103,'Historic WASDE MY 202526'!$B$4:$B$200&amp;'Historic WASDE MY 202526'!$C$4:$C$200,0),MATCH(G105,'Historic WASDE MY 202526'!$D$3:$X$3,0))/1000)</f>
        <v>#N/A</v>
      </c>
      <c r="H107" s="25">
        <f>VLOOKUP(A107,'EU27'!A:ZZ,52,FALSE)</f>
        <v>8.7794881237880329</v>
      </c>
      <c r="I107" s="2"/>
      <c r="J107" s="2"/>
      <c r="K107" s="17"/>
      <c r="L107" s="17"/>
      <c r="M107" s="18"/>
      <c r="N107" s="18"/>
      <c r="O107" s="18"/>
      <c r="P107" s="18"/>
      <c r="Q107" s="18"/>
      <c r="R107" s="17"/>
      <c r="S107" s="17"/>
      <c r="T107" s="17"/>
      <c r="U107" s="17"/>
      <c r="V107" s="17"/>
      <c r="W107" s="17"/>
    </row>
    <row r="108" spans="1:23" ht="16.5">
      <c r="A108" s="10" t="s">
        <v>11</v>
      </c>
      <c r="B108" s="26">
        <f>'Corn World-Major'!E128</f>
        <v>7.48</v>
      </c>
      <c r="C108" s="26">
        <f>'Corn World-Major'!F128</f>
        <v>6.81</v>
      </c>
      <c r="D108" s="28" cm="1">
        <f t="array" ref="D108">C108-(INDEX('Historic WASDE MY 202425'!$D$4:$S$200,MATCH(A108&amp;A103,'Historic WASDE MY 202425'!$B$4:$B$200&amp;'Historic WASDE MY 202425'!$C$4:$C$200,0),MATCH(D105,'Historic WASDE MY 202425'!$D$3:$Y$3,0)))</f>
        <v>0</v>
      </c>
      <c r="E108" s="29">
        <f>VLOOKUP(A108,'EU27'!A:ZZ,51,FALSE)</f>
        <v>6.5825880677530604</v>
      </c>
      <c r="F108" s="26">
        <f>'Corn World-Major'!G128</f>
        <v>7.27</v>
      </c>
      <c r="G108" s="28" t="e" cm="1">
        <f t="array" ref="G108">F108-(INDEX('Historic WASDE MY 202526'!$D$4:$R$200,MATCH(A108&amp;A103,'Historic WASDE MY 202526'!$B$4:$B$200&amp;'Historic WASDE MY 202526'!$C$4:$C$200,0),MATCH(G105,'Historic WASDE MY 202526'!$D$3:$X$3,0)))</f>
        <v>#N/A</v>
      </c>
      <c r="H108" s="31">
        <f>VLOOKUP(A108,'EU27'!A:ZZ,52,FALSE)</f>
        <v>7.0347030805891961</v>
      </c>
      <c r="I108" s="2"/>
      <c r="J108" s="2"/>
      <c r="K108" s="17"/>
      <c r="L108" s="17"/>
      <c r="M108" s="32"/>
      <c r="N108" s="32"/>
      <c r="O108" s="32"/>
      <c r="P108" s="32"/>
      <c r="Q108" s="33"/>
      <c r="R108" s="17"/>
      <c r="S108" s="17"/>
      <c r="T108" s="17"/>
      <c r="U108" s="17"/>
      <c r="V108" s="17"/>
      <c r="W108" s="17"/>
    </row>
    <row r="109" spans="1:23" ht="16.5">
      <c r="A109" s="34" t="s">
        <v>12</v>
      </c>
      <c r="B109" s="35">
        <f>'Corn World-Major'!E18/1000</f>
        <v>8.0239999999999991</v>
      </c>
      <c r="C109" s="35">
        <f>'Corn World-Major'!F18/1000</f>
        <v>7.3140000000000001</v>
      </c>
      <c r="D109" s="37" cm="1">
        <f t="array" ref="D109">C109-(INDEX('Historic WASDE MY 202425'!$D$4:$S$200,MATCH(A109&amp;A103,'Historic WASDE MY 202425'!$B$4:$B$200&amp;'Historic WASDE MY 202425'!$C$4:$C$200,0),MATCH(D105,'Historic WASDE MY 202425'!$D$3:$Y$3,0))/1000)</f>
        <v>0</v>
      </c>
      <c r="E109" s="38">
        <f>B118</f>
        <v>7.3140000000000001</v>
      </c>
      <c r="F109" s="35">
        <f>'Corn World-Major'!G18/1000</f>
        <v>6.3259999999999996</v>
      </c>
      <c r="G109" s="37" t="e" cm="1">
        <f t="array" ref="G109">F109-(INDEX('Historic WASDE MY 202526'!$D$4:$R$200,MATCH(A109&amp;A103,'Historic WASDE MY 202526'!$B$4:$B$200&amp;'Historic WASDE MY 202526'!$C$4:$C$200,0),MATCH(G105,'Historic WASDE MY 202526'!$D$3:$X$3,0))/1000)</f>
        <v>#N/A</v>
      </c>
      <c r="H109" s="40">
        <f>E118</f>
        <v>10.804745204656854</v>
      </c>
      <c r="I109" s="2"/>
      <c r="J109" s="2"/>
      <c r="K109" s="41"/>
      <c r="L109" s="41"/>
      <c r="M109" s="42"/>
      <c r="N109" s="42"/>
      <c r="O109" s="42"/>
      <c r="P109" s="42"/>
      <c r="Q109" s="42"/>
      <c r="R109" s="17"/>
      <c r="S109" s="41"/>
      <c r="T109" s="41"/>
      <c r="U109" s="41"/>
      <c r="V109" s="41"/>
      <c r="W109" s="41"/>
    </row>
    <row r="110" spans="1:23" ht="16.5">
      <c r="A110" s="10" t="s">
        <v>13</v>
      </c>
      <c r="B110" s="26">
        <f>'Corn World-Major'!E29/1000</f>
        <v>61.947000000000003</v>
      </c>
      <c r="C110" s="26">
        <f>'Corn World-Major'!F29/1000</f>
        <v>59.311999999999998</v>
      </c>
      <c r="D110" s="28" cm="1">
        <f t="array" ref="D110">C110-(INDEX('Historic WASDE MY 202425'!$D$4:$S$200,MATCH(A110&amp;A103,'Historic WASDE MY 202425'!$B$4:$B$200&amp;'Historic WASDE MY 202425'!$C$4:$C$200,0),MATCH(D105,'Historic WASDE MY 202425'!$D$3:$Y$3,0))/1000)</f>
        <v>0</v>
      </c>
      <c r="E110" s="29">
        <f>VLOOKUP(A110,'EU27'!A:ZZ,51,FALSE)</f>
        <v>56.7</v>
      </c>
      <c r="F110" s="26">
        <f>'Corn World-Major'!G29/1000</f>
        <v>60</v>
      </c>
      <c r="G110" s="28" t="e" cm="1">
        <f t="array" ref="G110">F110-(INDEX('Historic WASDE MY 202526'!$D$4:$R$200,MATCH(A110&amp;A103,'Historic WASDE MY 202526'!$B$4:$B$200&amp;'Historic WASDE MY 202526'!$C$4:$C$200,0),MATCH(G105,'Historic WASDE MY 202526'!$D$3:$X$3,0))/1000)</f>
        <v>#N/A</v>
      </c>
      <c r="H110" s="31">
        <f>VLOOKUP(A110,'EU27'!A:ZZ,52,FALSE)</f>
        <v>61.76109215040794</v>
      </c>
      <c r="I110" s="2"/>
      <c r="J110" s="2"/>
      <c r="K110" s="41"/>
      <c r="L110" s="41"/>
      <c r="M110" s="42"/>
      <c r="N110" s="42"/>
      <c r="O110" s="42"/>
      <c r="P110" s="42"/>
      <c r="Q110" s="42"/>
      <c r="R110" s="17"/>
      <c r="S110" s="41"/>
      <c r="T110" s="41"/>
      <c r="U110" s="41"/>
      <c r="V110" s="41"/>
      <c r="W110" s="41"/>
    </row>
    <row r="111" spans="1:23" ht="16.5">
      <c r="A111" s="19" t="s">
        <v>14</v>
      </c>
      <c r="B111" s="20">
        <f>'Corn World-Major'!E40/1000</f>
        <v>19.832000000000001</v>
      </c>
      <c r="C111" s="20">
        <f>'Corn World-Major'!F40/1000</f>
        <v>20</v>
      </c>
      <c r="D111" s="43" cm="1">
        <f t="array" ref="D111">C111-(INDEX('Historic WASDE MY 202425'!$D$4:$S$200,MATCH(A111&amp;A103,'Historic WASDE MY 202425'!$B$4:$B$200&amp;'Historic WASDE MY 202425'!$C$4:$C$200,0),MATCH(D105,'Historic WASDE MY 202425'!$D$3:$Y$3,0))/1000)</f>
        <v>0</v>
      </c>
      <c r="E111" s="23">
        <f>VLOOKUP(A111,'EU27'!A:ZZ,51,FALSE)</f>
        <v>20</v>
      </c>
      <c r="F111" s="20">
        <f>'Corn World-Major'!G40/1000</f>
        <v>20.5</v>
      </c>
      <c r="G111" s="43" t="e" cm="1">
        <f t="array" ref="G111">F111-(INDEX('Historic WASDE MY 202526'!$D$4:$R$200,MATCH(A111&amp;A103,'Historic WASDE MY 202526'!$B$4:$B$200&amp;'Historic WASDE MY 202526'!$C$4:$C$200,0),MATCH(G105,'Historic WASDE MY 202526'!$D$3:$X$3,0))/1000)</f>
        <v>#N/A</v>
      </c>
      <c r="H111" s="25">
        <f>VLOOKUP(A111,'EU27'!A:ZZ,52,FALSE)</f>
        <v>19</v>
      </c>
      <c r="I111" s="2"/>
      <c r="J111" s="2"/>
      <c r="K111" s="41"/>
      <c r="L111" s="41"/>
      <c r="M111" s="42"/>
      <c r="N111" s="42"/>
      <c r="O111" s="42"/>
      <c r="P111" s="42"/>
      <c r="Q111" s="42"/>
      <c r="R111" s="17"/>
      <c r="S111" s="41"/>
      <c r="T111" s="41"/>
      <c r="U111" s="41"/>
      <c r="V111" s="41"/>
      <c r="W111" s="41"/>
    </row>
    <row r="112" spans="1:23" ht="16.5">
      <c r="A112" s="10" t="s">
        <v>15</v>
      </c>
      <c r="B112" s="26">
        <f>SUM(B109:B111)</f>
        <v>89.802999999999997</v>
      </c>
      <c r="C112" s="26">
        <f>SUM(C109:C111)</f>
        <v>86.626000000000005</v>
      </c>
      <c r="D112" s="28">
        <f>SUM(D109:D111)</f>
        <v>0</v>
      </c>
      <c r="E112" s="29">
        <f>SUM(E109:E111)</f>
        <v>84.01400000000001</v>
      </c>
      <c r="F112" s="26">
        <f>SUM(F109:F111)</f>
        <v>86.825999999999993</v>
      </c>
      <c r="G112" s="28" t="e">
        <f>G111+G110+G109</f>
        <v>#N/A</v>
      </c>
      <c r="H112" s="31">
        <f>SUM(H109:H111)</f>
        <v>91.565837355064787</v>
      </c>
      <c r="I112" s="2"/>
      <c r="J112" s="2"/>
      <c r="K112" s="41"/>
      <c r="L112" s="41"/>
      <c r="M112" s="42"/>
      <c r="N112" s="42"/>
      <c r="O112" s="42"/>
      <c r="P112" s="42"/>
      <c r="Q112" s="42"/>
      <c r="R112" s="41"/>
      <c r="S112" s="41"/>
      <c r="T112" s="41"/>
      <c r="U112" s="41"/>
      <c r="V112" s="41"/>
      <c r="W112" s="41"/>
    </row>
    <row r="113" spans="1:23" ht="16.5">
      <c r="A113" s="34" t="s">
        <v>16</v>
      </c>
      <c r="B113" s="35">
        <f t="shared" ref="B113:H113" si="24">B114+B115</f>
        <v>78.099999999999994</v>
      </c>
      <c r="C113" s="35">
        <f t="shared" si="24"/>
        <v>77.900000000000006</v>
      </c>
      <c r="D113" s="37">
        <f t="shared" si="24"/>
        <v>0.5</v>
      </c>
      <c r="E113" s="38">
        <f t="shared" si="24"/>
        <v>70.609254795343162</v>
      </c>
      <c r="F113" s="35">
        <f t="shared" si="24"/>
        <v>77.800000000000011</v>
      </c>
      <c r="G113" s="37" t="e">
        <f t="shared" si="24"/>
        <v>#N/A</v>
      </c>
      <c r="H113" s="40">
        <f t="shared" si="24"/>
        <v>76.961092150407936</v>
      </c>
      <c r="I113" s="2"/>
      <c r="J113" s="2"/>
      <c r="K113" s="41"/>
      <c r="L113" s="41"/>
      <c r="M113" s="42"/>
      <c r="N113" s="42"/>
      <c r="O113" s="42"/>
      <c r="P113" s="42"/>
      <c r="Q113" s="42"/>
      <c r="R113" s="41"/>
      <c r="S113" s="41"/>
      <c r="T113" s="41"/>
      <c r="U113" s="41"/>
      <c r="V113" s="41"/>
      <c r="W113" s="41"/>
    </row>
    <row r="114" spans="1:23" ht="16.5">
      <c r="A114" s="10" t="s">
        <v>17</v>
      </c>
      <c r="B114" s="26">
        <f>'Corn World-Major'!E73/1000</f>
        <v>58.3</v>
      </c>
      <c r="C114" s="26">
        <f>'Corn World-Major'!F73/1000</f>
        <v>58.2</v>
      </c>
      <c r="D114" s="28" cm="1">
        <f t="array" ref="D114">C114-(INDEX('Historic WASDE MY 202425'!$D$4:$S$200,MATCH(A114&amp;A103,'Historic WASDE MY 202425'!$B$4:$B$200&amp;'Historic WASDE MY 202425'!$C$4:$C$200,0),MATCH(D105,'Historic WASDE MY 202425'!$D$3:$Y$3,0))/1000)</f>
        <v>0.5</v>
      </c>
      <c r="E114" s="29">
        <f>VLOOKUP(A114,'EU27'!A:ZZ,51,FALSE)</f>
        <v>53.469056226271789</v>
      </c>
      <c r="F114" s="26">
        <f>'Corn World-Major'!G73/1000</f>
        <v>57.7</v>
      </c>
      <c r="G114" s="28" t="e" cm="1">
        <f t="array" ref="G114">F114-(INDEX('Historic WASDE MY 202526'!$D$4:$R$200,MATCH(A114&amp;A103,'Historic WASDE MY 202526'!$B$4:$B$200&amp;'Historic WASDE MY 202526'!$C$4:$C$200,0),MATCH(G105,'Historic WASDE MY 202526'!$D$3:$X$3,0))/1000)</f>
        <v>#N/A</v>
      </c>
      <c r="H114" s="31">
        <f>VLOOKUP(A114,'EU27'!A:ZZ,52,FALSE)</f>
        <v>59.644173893101765</v>
      </c>
      <c r="I114" s="2"/>
      <c r="J114" s="2"/>
      <c r="K114" s="41"/>
      <c r="L114" s="41"/>
      <c r="M114" s="42"/>
      <c r="N114" s="42"/>
      <c r="O114" s="42"/>
      <c r="P114" s="42"/>
      <c r="Q114" s="42"/>
      <c r="R114" s="41"/>
      <c r="S114" s="41"/>
      <c r="T114" s="41"/>
      <c r="U114" s="41"/>
      <c r="V114" s="41"/>
      <c r="W114" s="41"/>
    </row>
    <row r="115" spans="1:23" ht="16.5">
      <c r="A115" s="19" t="s">
        <v>18</v>
      </c>
      <c r="B115" s="20">
        <f>'Corn World-Major'!E84/1000</f>
        <v>19.8</v>
      </c>
      <c r="C115" s="20">
        <f>'Corn World-Major'!F84/1000</f>
        <v>19.7</v>
      </c>
      <c r="D115" s="43" cm="1">
        <f t="array" ref="D115">C115-(INDEX('Historic WASDE MY 202425'!$D$4:$S$200,MATCH(A115&amp;A103,'Historic WASDE MY 202425'!$B$4:$B$200&amp;'Historic WASDE MY 202425'!$C$4:$C$200,0),MATCH(D105,'Historic WASDE MY 202425'!$D$3:$Y$3,0))/1000)</f>
        <v>0</v>
      </c>
      <c r="E115" s="23">
        <f>SUM('EU27'!AX13:AX15)</f>
        <v>17.140198569071369</v>
      </c>
      <c r="F115" s="20">
        <f>'Corn World-Major'!G84/1000</f>
        <v>20.100000000000001</v>
      </c>
      <c r="G115" s="43" t="e" cm="1">
        <f t="array" ref="G115">F115-(INDEX('Historic WASDE MY 202526'!$D$4:$R$200,MATCH(A115&amp;A103,'Historic WASDE MY 202526'!$B$4:$B$200&amp;'Historic WASDE MY 202526'!$C$4:$C$200,0),MATCH(G105,'Historic WASDE MY 202526'!$D$3:$X$3,0))/1000)</f>
        <v>#N/A</v>
      </c>
      <c r="H115" s="25">
        <f>SUM('EU27'!AZ13:AZ15)</f>
        <v>17.31691825730617</v>
      </c>
      <c r="I115" s="2"/>
      <c r="J115" s="2"/>
      <c r="K115" s="41"/>
      <c r="L115" s="41"/>
      <c r="M115" s="42"/>
      <c r="N115" s="42"/>
      <c r="O115" s="42"/>
      <c r="P115" s="42"/>
      <c r="Q115" s="42"/>
      <c r="R115" s="41"/>
      <c r="S115" s="41"/>
      <c r="T115" s="41"/>
      <c r="U115" s="41"/>
      <c r="V115" s="41"/>
      <c r="W115" s="41"/>
    </row>
    <row r="116" spans="1:23" ht="16.5">
      <c r="A116" s="10" t="s">
        <v>19</v>
      </c>
      <c r="B116" s="26">
        <f>'Corn World-Major'!E63/1000</f>
        <v>6.6</v>
      </c>
      <c r="C116" s="26">
        <f>'Corn World-Major'!F62/1000</f>
        <v>2.4</v>
      </c>
      <c r="D116" s="28" cm="1">
        <f t="array" ref="D116">C116-(INDEX('Historic WASDE MY 202425'!$D$4:$S$200,MATCH(A116&amp;A103,'Historic WASDE MY 202425'!$B$4:$B$200&amp;'Historic WASDE MY 202425'!$C$4:$C$200,0),MATCH(D105,'Historic WASDE MY 202425'!$D$3:$Y$3,0))/1000)</f>
        <v>-0.10000000000000009</v>
      </c>
      <c r="E116" s="29">
        <f>VLOOKUP(A116,'EU27'!A:ZZ,51,FALSE)</f>
        <v>2.6</v>
      </c>
      <c r="F116" s="26">
        <f>'Corn World-Major'!G62/1000</f>
        <v>3</v>
      </c>
      <c r="G116" s="28" t="e" cm="1">
        <f t="array" ref="G116">F116-(INDEX('Historic WASDE MY 202526'!$D$4:$R$200,MATCH(A116&amp;A103,'Historic WASDE MY 202526'!$B$4:$B$200&amp;'Historic WASDE MY 202526'!$C$4:$C$200,0),MATCH(G105,'Historic WASDE MY 202526'!$D$3:$X$3,0))/1000)</f>
        <v>#N/A</v>
      </c>
      <c r="H116" s="31">
        <f>VLOOKUP(A116,'EU27'!A:ZZ,52,FALSE)</f>
        <v>3</v>
      </c>
      <c r="I116" s="2"/>
      <c r="J116" s="2"/>
      <c r="K116" s="41"/>
      <c r="L116" s="41"/>
      <c r="M116" s="42"/>
      <c r="N116" s="42"/>
      <c r="O116" s="42"/>
      <c r="P116" s="42"/>
      <c r="Q116" s="42"/>
      <c r="R116" s="41"/>
      <c r="S116" s="41"/>
      <c r="T116" s="41"/>
      <c r="U116" s="41"/>
      <c r="V116" s="41"/>
      <c r="W116" s="41"/>
    </row>
    <row r="117" spans="1:23" ht="16.5">
      <c r="A117" s="19" t="s">
        <v>20</v>
      </c>
      <c r="B117" s="20">
        <f>B116+B113</f>
        <v>84.699999999999989</v>
      </c>
      <c r="C117" s="20">
        <f>C116+C113</f>
        <v>80.300000000000011</v>
      </c>
      <c r="D117" s="43">
        <f t="shared" ref="D117" si="25">D116+D113</f>
        <v>0.39999999999999991</v>
      </c>
      <c r="E117" s="23">
        <f>E116+E113</f>
        <v>73.209254795343156</v>
      </c>
      <c r="F117" s="20">
        <f>F116+F113</f>
        <v>80.800000000000011</v>
      </c>
      <c r="G117" s="43" t="e">
        <f t="shared" ref="G117" si="26">G116+G113</f>
        <v>#N/A</v>
      </c>
      <c r="H117" s="25">
        <f>H116+H113</f>
        <v>79.961092150407936</v>
      </c>
      <c r="I117" s="2"/>
      <c r="J117" s="2"/>
      <c r="K117" s="41"/>
      <c r="L117" s="41"/>
      <c r="M117" s="42"/>
      <c r="N117" s="42"/>
      <c r="O117" s="42"/>
      <c r="P117" s="42"/>
      <c r="Q117" s="42"/>
      <c r="R117" s="41"/>
      <c r="S117" s="41"/>
      <c r="T117" s="41"/>
      <c r="U117" s="41"/>
      <c r="V117" s="41"/>
      <c r="W117" s="41"/>
    </row>
    <row r="118" spans="1:23" ht="16.5">
      <c r="A118" s="44" t="s">
        <v>21</v>
      </c>
      <c r="B118" s="45">
        <f>'Corn World-Major'!E106/1000</f>
        <v>7.3140000000000001</v>
      </c>
      <c r="C118" s="45">
        <f>'Corn World-Major'!F106/1000</f>
        <v>6.3259999999999996</v>
      </c>
      <c r="D118" s="47" cm="1">
        <f t="array" ref="D118">C118-(INDEX('Historic WASDE MY 202425'!$D$4:$S$200,MATCH(A118&amp;A103,'Historic WASDE MY 202425'!$B$4:$B$200&amp;'Historic WASDE MY 202425'!$C$4:$C$200,0),MATCH(D105,'Historic WASDE MY 202425'!$D$3:$Y$3,0))/1000)</f>
        <v>-0.40000000000000036</v>
      </c>
      <c r="E118" s="48">
        <f>E112-E117</f>
        <v>10.804745204656854</v>
      </c>
      <c r="F118" s="45">
        <f>'Corn World-Major'!G106/1000</f>
        <v>6.0259999999999998</v>
      </c>
      <c r="G118" s="47" t="e" cm="1">
        <f t="array" ref="G118">F118-(INDEX('Historic WASDE MY 202526'!$D$4:$R$200,MATCH(A118&amp;A103,'Historic WASDE MY 202526'!$B$4:$B$200&amp;'Historic WASDE MY 202526'!$C$4:$C$200,0),MATCH(G105,'Historic WASDE MY 202526'!$D$3:$X$3,0))/1000)</f>
        <v>#N/A</v>
      </c>
      <c r="H118" s="50">
        <f>H112-H117</f>
        <v>11.604745204656851</v>
      </c>
      <c r="I118" s="2"/>
      <c r="J118" s="51"/>
      <c r="K118" s="41"/>
      <c r="L118" s="41"/>
      <c r="M118" s="42"/>
      <c r="N118" s="42"/>
      <c r="O118" s="42"/>
      <c r="P118" s="42"/>
      <c r="Q118" s="52"/>
    </row>
    <row r="119" spans="1:23" ht="17.25" thickBot="1">
      <c r="A119" s="19" t="s">
        <v>22</v>
      </c>
      <c r="B119" s="53">
        <f t="shared" ref="B119:C119" si="27">B118/B117</f>
        <v>8.6351829988193643E-2</v>
      </c>
      <c r="C119" s="53">
        <f t="shared" si="27"/>
        <v>7.8779576587795747E-2</v>
      </c>
      <c r="D119" s="55" cm="1">
        <f t="array" ref="D119">C119-(((INDEX('Historic WASDE MY 202425'!$D$4:$S$200,MATCH(A118&amp;A103,'Historic WASDE MY 202425'!$B$4:$B$200&amp;'Historic WASDE MY 202425'!$C$4:$C$200,0),MATCH(D105,'Historic WASDE MY 202425'!$D$3:$Y$3,0))/1000))/SUM(((INDEX('Historic WASDE MY 202425'!$D$4:$S$200,MATCH(A114&amp;A103,'Historic WASDE MY 202425'!$B$4:$B$200&amp;'Historic WASDE MY 202425'!$C$4:$C$200,0),MATCH(D105,'Historic WASDE MY 202425'!$D$3:$Y$3,0))/1000)),((INDEX('Historic WASDE MY 202425'!$D$4:$S$200,MATCH(A115&amp;A103,'Historic WASDE MY 202425'!$B$4:$B$200&amp;'Historic WASDE MY 202425'!$C$4:$C$200,0),MATCH(D105,'Historic WASDE MY 202425'!$D$3:$Y$3,0))/1000)),((INDEX('Historic WASDE MY 202425'!$D$4:$S$200,MATCH(A116&amp;A103,'Historic WASDE MY 202425'!$B$4:$B$200&amp;'Historic WASDE MY 202425'!$C$4:$C$200,0),MATCH(D105,'Historic WASDE MY 202425'!$D$3:$Y$3,0))/1000))))</f>
        <v>-5.4006486938062565E-3</v>
      </c>
      <c r="E119" s="56">
        <f>E118/E117</f>
        <v>0.14758714912290222</v>
      </c>
      <c r="F119" s="53">
        <f t="shared" ref="F119" si="28">F118/F117</f>
        <v>7.4579207920792062E-2</v>
      </c>
      <c r="G119" s="55" t="e" cm="1">
        <f t="array" ref="G119">F119-((INDEX('Historic WASDE MY 202526'!$D$4:$R$200,MATCH(A118&amp;A103,'Historic WASDE MY 202526'!$B$4:$B$200&amp;'Historic WASDE MY 202526'!$C$4:$C$200,0),MATCH(G105,'Historic WASDE MY 202526'!$D$3:$X$3,0))/1000))/SUM(((INDEX('Historic WASDE MY 202526'!$D$4:$R$200,MATCH(A114&amp;A103,'Historic WASDE MY 202526'!$B$4:$B$200&amp;'Historic WASDE MY 202526'!$C$4:$C$200,0),MATCH(G105,'Historic WASDE MY 202526'!$D$3:$X$3,0))/1000)),((INDEX('Historic WASDE MY 202526'!$D$4:$R$200,MATCH(A115&amp;A103,'Historic WASDE MY 202526'!$B$4:$B$200&amp;'Historic WASDE MY 202526'!$C$4:$C$200,0),MATCH(G105,'Historic WASDE MY 202526'!$D$3:$X$3,0))/1000)),((INDEX('Historic WASDE MY 202526'!$D$4:$R$200,MATCH(A116&amp;A103,'Historic WASDE MY 202526'!$B$4:$B$200&amp;'Historic WASDE MY 202526'!$C$4:$C$200,0),MATCH(G105,'Historic WASDE MY 202526'!$D$3:$X$3,0))/1000)))</f>
        <v>#N/A</v>
      </c>
      <c r="H119" s="58">
        <f>H118/H117</f>
        <v>0.1451298987115904</v>
      </c>
      <c r="I119" s="2"/>
      <c r="J119" s="2"/>
      <c r="K119" s="59"/>
      <c r="L119" s="59"/>
      <c r="M119" s="59"/>
      <c r="N119" s="59"/>
      <c r="O119" s="59"/>
      <c r="P119" s="60"/>
      <c r="Q119" s="59"/>
    </row>
    <row r="120" spans="1:23">
      <c r="A120" s="61"/>
      <c r="B120" s="61"/>
      <c r="C120" s="61"/>
      <c r="D120" s="61"/>
      <c r="E120" s="61"/>
      <c r="F120" s="61"/>
      <c r="G120" s="61"/>
      <c r="H120" s="61"/>
      <c r="I120" s="2"/>
    </row>
    <row r="121" spans="1:23" ht="18">
      <c r="A121" s="1" t="s">
        <v>35</v>
      </c>
      <c r="B121" s="2"/>
      <c r="C121" s="2"/>
      <c r="D121" s="2"/>
      <c r="E121" s="2"/>
      <c r="F121" s="2"/>
      <c r="G121" s="2"/>
      <c r="H121" s="2"/>
      <c r="J121" s="2"/>
    </row>
    <row r="122" spans="1:23" ht="13.5" thickBot="1">
      <c r="B122" s="2"/>
      <c r="C122" s="2"/>
      <c r="D122" s="2"/>
      <c r="E122" s="2"/>
      <c r="F122" s="2"/>
      <c r="G122" s="2"/>
      <c r="H122" s="2"/>
      <c r="I122" s="2"/>
      <c r="J122" s="2"/>
    </row>
    <row r="123" spans="1:23" ht="17.25" thickBot="1">
      <c r="A123" s="4" t="s">
        <v>36</v>
      </c>
      <c r="B123" s="5" t="s">
        <v>2</v>
      </c>
      <c r="C123" s="376" t="s">
        <v>3</v>
      </c>
      <c r="D123" s="376"/>
      <c r="E123" s="376"/>
      <c r="F123" s="377" t="s">
        <v>4</v>
      </c>
      <c r="G123" s="376"/>
      <c r="H123" s="378"/>
      <c r="I123" s="2"/>
      <c r="J123" s="2"/>
    </row>
    <row r="124" spans="1:23" ht="21.6" customHeight="1" thickBot="1">
      <c r="A124" s="4" t="s">
        <v>5</v>
      </c>
      <c r="B124" s="379" t="s">
        <v>6</v>
      </c>
      <c r="C124" s="381" t="s">
        <v>6</v>
      </c>
      <c r="D124" s="63" t="s">
        <v>7</v>
      </c>
      <c r="E124" s="383" t="s">
        <v>8</v>
      </c>
      <c r="F124" s="385" t="s">
        <v>6</v>
      </c>
      <c r="G124" s="6" t="str">
        <f>D124</f>
        <v>Change from</v>
      </c>
      <c r="H124" s="387" t="str">
        <f>E124</f>
        <v>Fastmarkets</v>
      </c>
      <c r="I124" s="2"/>
      <c r="J124" s="2"/>
    </row>
    <row r="125" spans="1:23" ht="12.75" customHeight="1" thickBot="1">
      <c r="A125" s="7"/>
      <c r="B125" s="380"/>
      <c r="C125" s="382"/>
      <c r="D125" s="8">
        <f>D105</f>
        <v>45748</v>
      </c>
      <c r="E125" s="384"/>
      <c r="F125" s="386"/>
      <c r="G125" s="8">
        <f>D125</f>
        <v>45748</v>
      </c>
      <c r="H125" s="388"/>
      <c r="I125" s="2"/>
      <c r="J125" s="2"/>
      <c r="Q125" s="9"/>
    </row>
    <row r="126" spans="1:23" ht="16.5">
      <c r="A126" s="10" t="s">
        <v>9</v>
      </c>
      <c r="B126" s="11"/>
      <c r="C126" s="11"/>
      <c r="D126" s="13"/>
      <c r="E126" s="14"/>
      <c r="F126" s="11"/>
      <c r="G126" s="13"/>
      <c r="H126" s="16"/>
      <c r="I126" s="2"/>
      <c r="J126" s="2"/>
      <c r="K126" s="17"/>
      <c r="L126" s="17"/>
      <c r="M126" s="18"/>
      <c r="N126" s="18"/>
      <c r="O126" s="18"/>
      <c r="P126" s="18"/>
      <c r="Q126" s="18"/>
      <c r="R126" s="17"/>
      <c r="S126" s="17"/>
      <c r="T126" s="17"/>
      <c r="U126" s="17"/>
      <c r="V126" s="17"/>
      <c r="W126" s="17"/>
    </row>
    <row r="127" spans="1:23" ht="16.5">
      <c r="A127" s="19" t="s">
        <v>10</v>
      </c>
      <c r="B127" s="20">
        <f>'Corn World-Major'!E8/1000</f>
        <v>2.4</v>
      </c>
      <c r="C127" s="20">
        <f>'Corn World-Major'!F8/1000</f>
        <v>2.7</v>
      </c>
      <c r="D127" s="22" cm="1">
        <f t="array" ref="D127">C127-(INDEX('Historic WASDE MY 202425'!$D$4:$S$200,MATCH(A127&amp;A123,'Historic WASDE MY 202425'!$B$4:$B$200&amp;'Historic WASDE MY 202425'!$C$4:$C$200,0),MATCH(D125,'Historic WASDE MY 202425'!$D$3:$Y$3,0))/1000)</f>
        <v>0</v>
      </c>
      <c r="E127" s="23">
        <f>VLOOKUP(A127,Russia!A:ZZ,51,FALSE)</f>
        <v>2.5</v>
      </c>
      <c r="F127" s="20">
        <f>'Corn World-Major'!G8/1000</f>
        <v>2.5</v>
      </c>
      <c r="G127" s="22" t="e" cm="1">
        <f t="array" ref="G127">F127-(INDEX('Historic WASDE MY 202526'!$D$4:$R$200,MATCH(A127&amp;A123,'Historic WASDE MY 202526'!$B$4:$B$200&amp;'Historic WASDE MY 202526'!$C$4:$C$200,0),MATCH(G125,'Historic WASDE MY 202526'!$D$3:$X$3,0))/1000)</f>
        <v>#N/A</v>
      </c>
      <c r="H127" s="25">
        <f>VLOOKUP(A127,Russia!A:ZZ,52,FALSE)</f>
        <v>2.9673619047619297</v>
      </c>
      <c r="I127" s="2"/>
      <c r="J127" s="2"/>
      <c r="K127" s="17"/>
      <c r="L127" s="17"/>
      <c r="M127" s="18"/>
      <c r="N127" s="18"/>
      <c r="O127" s="18"/>
      <c r="P127" s="18"/>
      <c r="Q127" s="18"/>
      <c r="R127" s="17"/>
      <c r="S127" s="17"/>
      <c r="T127" s="17"/>
      <c r="U127" s="17"/>
      <c r="V127" s="17"/>
      <c r="W127" s="17"/>
    </row>
    <row r="128" spans="1:23" ht="16.5">
      <c r="A128" s="10" t="s">
        <v>11</v>
      </c>
      <c r="B128" s="26">
        <f>'Corn World-Major'!E129</f>
        <v>6.92</v>
      </c>
      <c r="C128" s="26">
        <f>'Corn World-Major'!F129</f>
        <v>5.19</v>
      </c>
      <c r="D128" s="28" cm="1">
        <f t="array" ref="D128">C128-(INDEX('Historic WASDE MY 202425'!$D$4:$S$200,MATCH(A128&amp;A123,'Historic WASDE MY 202425'!$B$4:$B$200&amp;'Historic WASDE MY 202425'!$C$4:$C$200,0),MATCH(D125,'Historic WASDE MY 202425'!$D$3:$Y$3,0)))</f>
        <v>0</v>
      </c>
      <c r="E128" s="29">
        <f>VLOOKUP(A128,Russia!A:ZZ,51,FALSE)</f>
        <v>5.4799999999999995</v>
      </c>
      <c r="F128" s="26">
        <f>'Corn World-Major'!G129</f>
        <v>6</v>
      </c>
      <c r="G128" s="28" t="e" cm="1">
        <f t="array" ref="G128">F128-(INDEX('Historic WASDE MY 202526'!$D$4:$R$200,MATCH(A128&amp;A123,'Historic WASDE MY 202526'!$B$4:$B$200&amp;'Historic WASDE MY 202526'!$C$4:$C$200,0),MATCH(G125,'Historic WASDE MY 202526'!$D$3:$X$3,0)))</f>
        <v>#N/A</v>
      </c>
      <c r="H128" s="31">
        <f>VLOOKUP(A128,Russia!A:ZZ,52,FALSE)</f>
        <v>5.6347929199927647</v>
      </c>
      <c r="I128" s="2"/>
      <c r="J128" s="2"/>
      <c r="K128" s="17"/>
      <c r="L128" s="17"/>
      <c r="M128" s="32"/>
      <c r="N128" s="32"/>
      <c r="O128" s="32"/>
      <c r="P128" s="32"/>
      <c r="Q128" s="33"/>
      <c r="R128" s="17"/>
      <c r="S128" s="17"/>
      <c r="T128" s="17"/>
      <c r="U128" s="17"/>
      <c r="V128" s="17"/>
      <c r="W128" s="17"/>
    </row>
    <row r="129" spans="1:23" ht="16.5">
      <c r="A129" s="34" t="s">
        <v>12</v>
      </c>
      <c r="B129" s="35">
        <f>'Corn World-Major'!E19/1000</f>
        <v>0.90800000000000003</v>
      </c>
      <c r="C129" s="35">
        <f>'Corn World-Major'!F19/1000</f>
        <v>0.75800000000000001</v>
      </c>
      <c r="D129" s="37" cm="1">
        <f t="array" ref="D129">C129-(INDEX('Historic WASDE MY 202425'!$D$4:$S$200,MATCH(A129&amp;A123,'Historic WASDE MY 202425'!$B$4:$B$200&amp;'Historic WASDE MY 202425'!$C$4:$C$200,0),MATCH(D125,'Historic WASDE MY 202425'!$D$3:$Y$3,0))/1000)</f>
        <v>0</v>
      </c>
      <c r="E129" s="38">
        <f>B138</f>
        <v>0.75800000000000001</v>
      </c>
      <c r="F129" s="35">
        <f>'Corn World-Major'!G19/1000</f>
        <v>0.90800000000000003</v>
      </c>
      <c r="G129" s="37" t="e" cm="1">
        <f t="array" ref="G129">F129-(INDEX('Historic WASDE MY 202526'!$D$4:$R$200,MATCH(A129&amp;A123,'Historic WASDE MY 202526'!$B$4:$B$200&amp;'Historic WASDE MY 202526'!$C$4:$C$200,0),MATCH(G125,'Historic WASDE MY 202526'!$D$3:$X$3,0))/1000)</f>
        <v>#N/A</v>
      </c>
      <c r="H129" s="40">
        <f>E138</f>
        <v>0.4079999999999977</v>
      </c>
      <c r="I129" s="2"/>
      <c r="J129" s="2"/>
      <c r="K129" s="41"/>
      <c r="L129" s="41"/>
      <c r="M129" s="42"/>
      <c r="N129" s="42"/>
      <c r="O129" s="42"/>
      <c r="P129" s="42"/>
      <c r="Q129" s="42"/>
      <c r="R129" s="17"/>
      <c r="S129" s="41"/>
      <c r="T129" s="41"/>
      <c r="U129" s="41"/>
      <c r="V129" s="41"/>
      <c r="W129" s="41"/>
    </row>
    <row r="130" spans="1:23" ht="16.5">
      <c r="A130" s="10" t="s">
        <v>13</v>
      </c>
      <c r="B130" s="26">
        <f>'Corn World-Major'!E30/1000</f>
        <v>16.600000000000001</v>
      </c>
      <c r="C130" s="26">
        <f>'Corn World-Major'!F30/1000</f>
        <v>14</v>
      </c>
      <c r="D130" s="28" cm="1">
        <f t="array" ref="D130">C130-(INDEX('Historic WASDE MY 202425'!$D$4:$S$200,MATCH(A130&amp;A123,'Historic WASDE MY 202425'!$B$4:$B$200&amp;'Historic WASDE MY 202425'!$C$4:$C$200,0),MATCH(D125,'Historic WASDE MY 202425'!$D$3:$Y$3,0))/1000)</f>
        <v>0</v>
      </c>
      <c r="E130" s="29">
        <f>VLOOKUP(A130,Russia!A:ZZ,51,FALSE)</f>
        <v>13.7</v>
      </c>
      <c r="F130" s="26">
        <f>'Corn World-Major'!G30/1000</f>
        <v>15</v>
      </c>
      <c r="G130" s="28" t="e" cm="1">
        <f t="array" ref="G130">F130-(INDEX('Historic WASDE MY 202526'!$D$4:$R$200,MATCH(A130&amp;A123,'Historic WASDE MY 202526'!$B$4:$B$200&amp;'Historic WASDE MY 202526'!$C$4:$C$200,0),MATCH(G125,'Historic WASDE MY 202526'!$D$3:$X$3,0))/1000)</f>
        <v>#N/A</v>
      </c>
      <c r="H130" s="31">
        <f>VLOOKUP(A130,Russia!A:ZZ,52,FALSE)</f>
        <v>16.720469852008765</v>
      </c>
      <c r="I130" s="2"/>
      <c r="J130" s="2"/>
      <c r="K130" s="41"/>
      <c r="L130" s="41"/>
      <c r="M130" s="42"/>
      <c r="N130" s="42"/>
      <c r="O130" s="42"/>
      <c r="P130" s="42"/>
      <c r="Q130" s="42"/>
      <c r="R130" s="17"/>
      <c r="S130" s="41"/>
      <c r="T130" s="41"/>
      <c r="U130" s="41"/>
      <c r="V130" s="41"/>
      <c r="W130" s="41"/>
    </row>
    <row r="131" spans="1:23" ht="16.5">
      <c r="A131" s="19" t="s">
        <v>14</v>
      </c>
      <c r="B131" s="20">
        <f>'Corn World-Major'!E41/1000</f>
        <v>0.05</v>
      </c>
      <c r="C131" s="20">
        <f>'Corn World-Major'!F41/1000</f>
        <v>0.05</v>
      </c>
      <c r="D131" s="43" cm="1">
        <f t="array" ref="D131">C131-(INDEX('Historic WASDE MY 202425'!$D$4:$S$200,MATCH(A131&amp;A123,'Historic WASDE MY 202425'!$B$4:$B$200&amp;'Historic WASDE MY 202425'!$C$4:$C$200,0),MATCH(D125,'Historic WASDE MY 202425'!$D$3:$Y$3,0))/1000)</f>
        <v>0</v>
      </c>
      <c r="E131" s="23">
        <f>VLOOKUP(A131,Russia!A:ZZ,51,FALSE)</f>
        <v>0.05</v>
      </c>
      <c r="F131" s="20">
        <f>'Corn World-Major'!G41/1000</f>
        <v>0.05</v>
      </c>
      <c r="G131" s="43" t="e" cm="1">
        <f t="array" ref="G131">F131-(INDEX('Historic WASDE MY 202526'!$D$4:$R$200,MATCH(A131&amp;A123,'Historic WASDE MY 202526'!$B$4:$B$200&amp;'Historic WASDE MY 202526'!$C$4:$C$200,0),MATCH(G125,'Historic WASDE MY 202526'!$D$3:$X$3,0))/1000)</f>
        <v>#N/A</v>
      </c>
      <c r="H131" s="25">
        <f>VLOOKUP(A131,Russia!A:ZZ,52,FALSE)</f>
        <v>0.05</v>
      </c>
      <c r="I131" s="2"/>
      <c r="J131" s="2"/>
      <c r="K131" s="41"/>
      <c r="L131" s="41"/>
      <c r="M131" s="42"/>
      <c r="N131" s="42"/>
      <c r="O131" s="42"/>
      <c r="P131" s="42"/>
      <c r="Q131" s="42"/>
      <c r="R131" s="17"/>
      <c r="S131" s="41"/>
      <c r="T131" s="41"/>
      <c r="U131" s="41"/>
      <c r="V131" s="41"/>
      <c r="W131" s="41"/>
    </row>
    <row r="132" spans="1:23" ht="16.5">
      <c r="A132" s="10" t="s">
        <v>15</v>
      </c>
      <c r="B132" s="26">
        <f>SUM(B129:B131)</f>
        <v>17.558000000000003</v>
      </c>
      <c r="C132" s="26">
        <f>SUM(C129:C131)</f>
        <v>14.808</v>
      </c>
      <c r="D132" s="28">
        <f>SUM(D129:D131)</f>
        <v>0</v>
      </c>
      <c r="E132" s="29">
        <f>SUM(E129:E131)</f>
        <v>14.507999999999999</v>
      </c>
      <c r="F132" s="26">
        <f>SUM(F129:F131)</f>
        <v>15.958</v>
      </c>
      <c r="G132" s="28" t="e">
        <f>G131+G130+G129</f>
        <v>#N/A</v>
      </c>
      <c r="H132" s="31">
        <f>SUM(H129:H131)</f>
        <v>17.178469852008764</v>
      </c>
      <c r="I132" s="2"/>
      <c r="J132" s="2"/>
      <c r="K132" s="41"/>
      <c r="L132" s="41"/>
      <c r="M132" s="42"/>
      <c r="N132" s="42"/>
      <c r="O132" s="42"/>
      <c r="P132" s="42"/>
      <c r="Q132" s="42"/>
      <c r="R132" s="41"/>
      <c r="S132" s="41"/>
      <c r="T132" s="41"/>
      <c r="U132" s="41"/>
      <c r="V132" s="41"/>
      <c r="W132" s="41"/>
    </row>
    <row r="133" spans="1:23" ht="16.5">
      <c r="A133" s="34" t="s">
        <v>16</v>
      </c>
      <c r="B133" s="35">
        <f t="shared" ref="B133:H133" si="29">B134+B135</f>
        <v>10.199999999999999</v>
      </c>
      <c r="C133" s="35">
        <f t="shared" si="29"/>
        <v>10.6</v>
      </c>
      <c r="D133" s="37">
        <f t="shared" si="29"/>
        <v>0</v>
      </c>
      <c r="E133" s="38">
        <f>E134+E135</f>
        <v>10.8</v>
      </c>
      <c r="F133" s="35">
        <f t="shared" si="29"/>
        <v>11.2</v>
      </c>
      <c r="G133" s="37" t="e">
        <f t="shared" si="29"/>
        <v>#N/A</v>
      </c>
      <c r="H133" s="40">
        <f t="shared" si="29"/>
        <v>12.028469852008765</v>
      </c>
      <c r="I133" s="2"/>
      <c r="J133" s="2"/>
      <c r="K133" s="41"/>
      <c r="L133" s="41"/>
      <c r="M133" s="42"/>
      <c r="N133" s="42"/>
      <c r="O133" s="42"/>
      <c r="P133" s="42"/>
      <c r="Q133" s="42"/>
      <c r="R133" s="41"/>
      <c r="S133" s="41"/>
      <c r="T133" s="41"/>
      <c r="U133" s="41"/>
      <c r="V133" s="41"/>
      <c r="W133" s="41"/>
    </row>
    <row r="134" spans="1:23" ht="16.5">
      <c r="A134" s="10" t="s">
        <v>17</v>
      </c>
      <c r="B134" s="26">
        <f>'Corn World-Major'!E74/1000</f>
        <v>9.1</v>
      </c>
      <c r="C134" s="26">
        <f>'Corn World-Major'!F74/1000</f>
        <v>9.5</v>
      </c>
      <c r="D134" s="28" cm="1">
        <f t="array" ref="D134">C134-(INDEX('Historic WASDE MY 202425'!$D$4:$S$200,MATCH(A134&amp;A123,'Historic WASDE MY 202425'!$B$4:$B$200&amp;'Historic WASDE MY 202425'!$C$4:$C$200,0),MATCH(D125,'Historic WASDE MY 202425'!$D$3:$Y$3,0))/1000)</f>
        <v>0</v>
      </c>
      <c r="E134" s="29">
        <f>VLOOKUP(A134,Russia!A:ZZ,51,FALSE)</f>
        <v>9.7000000000000011</v>
      </c>
      <c r="F134" s="26">
        <f>'Corn World-Major'!G74/1000</f>
        <v>10.1</v>
      </c>
      <c r="G134" s="28" t="e" cm="1">
        <f t="array" ref="G134">F134-(INDEX('Historic WASDE MY 202526'!$D$4:$R$200,MATCH(A134&amp;A123,'Historic WASDE MY 202526'!$B$4:$B$200&amp;'Historic WASDE MY 202526'!$C$4:$C$200,0),MATCH(G125,'Historic WASDE MY 202526'!$D$3:$X$3,0))/1000)</f>
        <v>#N/A</v>
      </c>
      <c r="H134" s="31">
        <f>VLOOKUP(A134,Russia!A:ZZ,52,FALSE)</f>
        <v>10.928469852008766</v>
      </c>
      <c r="I134" s="2"/>
      <c r="J134" s="2"/>
      <c r="K134" s="41"/>
      <c r="L134" s="41"/>
      <c r="M134" s="42"/>
      <c r="N134" s="42"/>
      <c r="O134" s="42"/>
      <c r="P134" s="42"/>
      <c r="Q134" s="42"/>
      <c r="R134" s="41"/>
      <c r="S134" s="41"/>
      <c r="T134" s="41"/>
      <c r="U134" s="41"/>
      <c r="V134" s="41"/>
      <c r="W134" s="41"/>
    </row>
    <row r="135" spans="1:23" ht="16.5">
      <c r="A135" s="19" t="s">
        <v>18</v>
      </c>
      <c r="B135" s="20">
        <f>'Corn World-Major'!E85/1000</f>
        <v>1.1000000000000001</v>
      </c>
      <c r="C135" s="20">
        <f>'Corn World-Major'!F85/1000</f>
        <v>1.1000000000000001</v>
      </c>
      <c r="D135" s="43" cm="1">
        <f t="array" ref="D135">C135-(INDEX('Historic WASDE MY 202425'!$D$4:$S$200,MATCH(A135&amp;A123,'Historic WASDE MY 202425'!$B$4:$B$200&amp;'Historic WASDE MY 202425'!$C$4:$C$200,0),MATCH(D125,'Historic WASDE MY 202425'!$D$3:$Y$3,0))/1000)</f>
        <v>0</v>
      </c>
      <c r="E135" s="23">
        <f>VLOOKUP(A135,Russia!A:ZZ,51,FALSE)</f>
        <v>1.1000000000000001</v>
      </c>
      <c r="F135" s="20">
        <f>'Corn World-Major'!G85/1000</f>
        <v>1.1000000000000001</v>
      </c>
      <c r="G135" s="43" t="e" cm="1">
        <f t="array" ref="G135">F135-(INDEX('Historic WASDE MY 202526'!$D$4:$R$200,MATCH(A135&amp;A123,'Historic WASDE MY 202526'!$B$4:$B$200&amp;'Historic WASDE MY 202526'!$C$4:$C$200,0),MATCH(G125,'Historic WASDE MY 202526'!$D$3:$X$3,0))/1000)</f>
        <v>#N/A</v>
      </c>
      <c r="H135" s="25">
        <f>VLOOKUP(A135,Russia!A:ZZ,52,FALSE)</f>
        <v>1.1000000000000001</v>
      </c>
      <c r="I135" s="2"/>
      <c r="J135" s="2"/>
      <c r="K135" s="41"/>
      <c r="L135" s="41"/>
      <c r="M135" s="42"/>
      <c r="N135" s="42"/>
      <c r="O135" s="42"/>
      <c r="P135" s="42"/>
      <c r="Q135" s="42"/>
      <c r="R135" s="41"/>
      <c r="S135" s="41"/>
      <c r="T135" s="41"/>
      <c r="U135" s="41"/>
      <c r="V135" s="41"/>
      <c r="W135" s="41"/>
    </row>
    <row r="136" spans="1:23" ht="16.5">
      <c r="A136" s="10" t="s">
        <v>19</v>
      </c>
      <c r="B136" s="26">
        <f>'Corn World-Major'!E63/1000</f>
        <v>6.6</v>
      </c>
      <c r="C136" s="26">
        <f>'Corn World-Major'!F63/1000</f>
        <v>3.3</v>
      </c>
      <c r="D136" s="28" cm="1">
        <f t="array" ref="D136">C136-(INDEX('Historic WASDE MY 202425'!$D$4:$S$200,MATCH(A136&amp;A123,'Historic WASDE MY 202425'!$B$4:$B$200&amp;'Historic WASDE MY 202425'!$C$4:$C$200,0),MATCH(D125,'Historic WASDE MY 202425'!$D$3:$Y$3,0))/1000)</f>
        <v>0</v>
      </c>
      <c r="E136" s="29">
        <f>VLOOKUP(A136,Russia!A:ZZ,51,FALSE)</f>
        <v>3.3</v>
      </c>
      <c r="F136" s="26">
        <f>'Corn World-Major'!G63/1000</f>
        <v>3.6</v>
      </c>
      <c r="G136" s="28" t="e" cm="1">
        <f t="array" ref="G136">F136-(INDEX('Historic WASDE MY 202526'!$D$4:$R$200,MATCH(A136&amp;A123,'Historic WASDE MY 202526'!$B$4:$B$200&amp;'Historic WASDE MY 202526'!$C$4:$C$200,0),MATCH(G125,'Historic WASDE MY 202526'!$D$3:$X$3,0))/1000)</f>
        <v>#N/A</v>
      </c>
      <c r="H136" s="31">
        <f>VLOOKUP(A136,Russia!A:ZZ,52,FALSE)</f>
        <v>4.5</v>
      </c>
      <c r="I136" s="2"/>
      <c r="J136" s="2"/>
      <c r="K136" s="41"/>
      <c r="L136" s="41"/>
      <c r="M136" s="42"/>
      <c r="N136" s="42"/>
      <c r="O136" s="42"/>
      <c r="P136" s="42"/>
      <c r="Q136" s="42"/>
      <c r="R136" s="41"/>
      <c r="S136" s="41"/>
      <c r="T136" s="41"/>
      <c r="U136" s="41"/>
      <c r="V136" s="41"/>
      <c r="W136" s="41"/>
    </row>
    <row r="137" spans="1:23" ht="16.5">
      <c r="A137" s="19" t="s">
        <v>20</v>
      </c>
      <c r="B137" s="20">
        <f>B136+B133</f>
        <v>16.799999999999997</v>
      </c>
      <c r="C137" s="20">
        <f>C136+C133</f>
        <v>13.899999999999999</v>
      </c>
      <c r="D137" s="43">
        <f t="shared" ref="D137" si="30">D136+D133</f>
        <v>0</v>
      </c>
      <c r="E137" s="23">
        <f>E136+E133</f>
        <v>14.100000000000001</v>
      </c>
      <c r="F137" s="20">
        <f>F136+F133</f>
        <v>14.799999999999999</v>
      </c>
      <c r="G137" s="43" t="e">
        <f t="shared" ref="G137" si="31">G136+G133</f>
        <v>#N/A</v>
      </c>
      <c r="H137" s="25">
        <f>H136+H133</f>
        <v>16.528469852008765</v>
      </c>
      <c r="I137" s="2"/>
      <c r="J137" s="2"/>
      <c r="K137" s="41"/>
      <c r="L137" s="41"/>
      <c r="M137" s="42"/>
      <c r="N137" s="42"/>
      <c r="O137" s="42"/>
      <c r="P137" s="42"/>
      <c r="Q137" s="42"/>
      <c r="R137" s="41"/>
      <c r="S137" s="41"/>
      <c r="T137" s="41"/>
      <c r="U137" s="41"/>
      <c r="V137" s="41"/>
      <c r="W137" s="41"/>
    </row>
    <row r="138" spans="1:23" ht="16.5">
      <c r="A138" s="44" t="s">
        <v>21</v>
      </c>
      <c r="B138" s="45">
        <f>'Corn World-Major'!E107/1000</f>
        <v>0.75800000000000001</v>
      </c>
      <c r="C138" s="45">
        <f>'Corn World-Major'!F107/1000</f>
        <v>0.90800000000000003</v>
      </c>
      <c r="D138" s="47" cm="1">
        <f t="array" ref="D138">C138-(INDEX('Historic WASDE MY 202425'!$D$4:$S$200,MATCH(A138&amp;A123,'Historic WASDE MY 202425'!$B$4:$B$200&amp;'Historic WASDE MY 202425'!$C$4:$C$200,0),MATCH(D125,'Historic WASDE MY 202425'!$D$3:$Y$3,0))/1000)</f>
        <v>0</v>
      </c>
      <c r="E138" s="48">
        <f>E132-E137</f>
        <v>0.4079999999999977</v>
      </c>
      <c r="F138" s="45">
        <f>'Corn World-Major'!G107/1000</f>
        <v>1.1579999999999999</v>
      </c>
      <c r="G138" s="47" t="e" cm="1">
        <f t="array" ref="G138">F138-(INDEX('Historic WASDE MY 202526'!$D$4:$R$200,MATCH(A138&amp;A123,'Historic WASDE MY 202526'!$B$4:$B$200&amp;'Historic WASDE MY 202526'!$C$4:$C$200,0),MATCH(G125,'Historic WASDE MY 202526'!$D$3:$X$3,0))/1000)</f>
        <v>#N/A</v>
      </c>
      <c r="H138" s="50">
        <f>H132-H137</f>
        <v>0.64999999999999858</v>
      </c>
      <c r="I138" s="2"/>
      <c r="J138" s="51"/>
      <c r="K138" s="41"/>
      <c r="L138" s="41"/>
      <c r="M138" s="42"/>
      <c r="N138" s="42"/>
      <c r="O138" s="42"/>
      <c r="P138" s="42"/>
      <c r="Q138" s="52"/>
    </row>
    <row r="139" spans="1:23" ht="17.25" thickBot="1">
      <c r="A139" s="19" t="s">
        <v>22</v>
      </c>
      <c r="B139" s="53">
        <f>B138/B137</f>
        <v>4.5119047619047628E-2</v>
      </c>
      <c r="C139" s="53">
        <f t="shared" ref="C139" si="32">C138/C137</f>
        <v>6.532374100719425E-2</v>
      </c>
      <c r="D139" s="55" cm="1">
        <f t="array" ref="D139">C139-(((INDEX('Historic WASDE MY 202425'!$D$4:$S$200,MATCH(A138&amp;A123,'Historic WASDE MY 202425'!$B$4:$B$200&amp;'Historic WASDE MY 202425'!$C$4:$C$200,0),MATCH(D125,'Historic WASDE MY 202425'!$D$3:$Y$3,0))/1000))/SUM(((INDEX('Historic WASDE MY 202425'!$D$4:$S$200,MATCH(A134&amp;A123,'Historic WASDE MY 202425'!$B$4:$B$200&amp;'Historic WASDE MY 202425'!$C$4:$C$200,0),MATCH(D125,'Historic WASDE MY 202425'!$D$3:$Y$3,0))/1000)),((INDEX('Historic WASDE MY 202425'!$D$4:$S$200,MATCH(A135&amp;A123,'Historic WASDE MY 202425'!$B$4:$B$200&amp;'Historic WASDE MY 202425'!$C$4:$C$200,0),MATCH(D125,'Historic WASDE MY 202425'!$D$3:$Y$3,0))/1000)),((INDEX('Historic WASDE MY 202425'!$D$4:$S$200,MATCH(A136&amp;A123,'Historic WASDE MY 202425'!$B$4:$B$200&amp;'Historic WASDE MY 202425'!$C$4:$C$200,0),MATCH(D125,'Historic WASDE MY 202425'!$D$3:$Y$3,0))/1000))))</f>
        <v>0</v>
      </c>
      <c r="E139" s="56">
        <f>E138/E137</f>
        <v>2.8936170212765792E-2</v>
      </c>
      <c r="F139" s="53">
        <f t="shared" ref="F139" si="33">F138/F137</f>
        <v>7.8243243243243249E-2</v>
      </c>
      <c r="G139" s="55" t="e" cm="1">
        <f t="array" ref="G139">F139-((INDEX('Historic WASDE MY 202526'!$D$4:$R$200,MATCH(A138&amp;A123,'Historic WASDE MY 202526'!$B$4:$B$200&amp;'Historic WASDE MY 202526'!$C$4:$C$200,0),MATCH(G125,'Historic WASDE MY 202526'!$D$3:$X$3,0))/1000))/SUM(((INDEX('Historic WASDE MY 202526'!$D$4:$R$200,MATCH(A134&amp;A123,'Historic WASDE MY 202526'!$B$4:$B$200&amp;'Historic WASDE MY 202526'!$C$4:$C$200,0),MATCH(G125,'Historic WASDE MY 202526'!$D$3:$X$3,0))/1000)),((INDEX('Historic WASDE MY 202526'!$D$4:$R$200,MATCH(A135&amp;A123,'Historic WASDE MY 202526'!$B$4:$B$200&amp;'Historic WASDE MY 202526'!$C$4:$C$200,0),MATCH(G125,'Historic WASDE MY 202526'!$D$3:$X$3,0))/1000)),((INDEX('Historic WASDE MY 202526'!$D$4:$R$200,MATCH(A136&amp;A123,'Historic WASDE MY 202526'!$B$4:$B$200&amp;'Historic WASDE MY 202526'!$C$4:$C$200,0),MATCH(G125,'Historic WASDE MY 202526'!$D$3:$X$3,0))/1000)))</f>
        <v>#N/A</v>
      </c>
      <c r="H139" s="58">
        <f>H138/H137</f>
        <v>3.9326084375620636E-2</v>
      </c>
      <c r="I139" s="2"/>
      <c r="J139" s="2"/>
      <c r="K139" s="59"/>
      <c r="L139" s="59"/>
      <c r="M139" s="59"/>
      <c r="N139" s="59"/>
      <c r="O139" s="59"/>
      <c r="P139" s="60"/>
      <c r="Q139" s="59"/>
    </row>
    <row r="140" spans="1:23">
      <c r="A140" s="61"/>
      <c r="B140" s="61"/>
      <c r="C140" s="61"/>
      <c r="D140" s="61"/>
      <c r="E140" s="61"/>
      <c r="F140" s="61"/>
      <c r="G140" s="61"/>
      <c r="H140" s="61"/>
      <c r="I140" s="51"/>
      <c r="J140" s="51"/>
    </row>
    <row r="141" spans="1:23" ht="18">
      <c r="A141" s="1" t="s">
        <v>37</v>
      </c>
      <c r="B141" s="2"/>
      <c r="C141" s="2"/>
      <c r="D141" s="2"/>
      <c r="E141" s="2"/>
      <c r="F141" s="2"/>
      <c r="G141" s="2"/>
      <c r="H141" s="2"/>
      <c r="I141" s="51"/>
      <c r="J141" s="51"/>
    </row>
    <row r="142" spans="1:23" ht="13.5" thickBot="1">
      <c r="B142" s="2"/>
      <c r="C142" s="2"/>
      <c r="D142" s="2"/>
      <c r="E142" s="2"/>
      <c r="F142" s="2"/>
      <c r="G142" s="2"/>
      <c r="H142" s="2"/>
      <c r="I142" s="2"/>
      <c r="J142" s="2"/>
    </row>
    <row r="143" spans="1:23" ht="17.25" thickBot="1">
      <c r="A143" s="4" t="s">
        <v>38</v>
      </c>
      <c r="B143" s="5" t="s">
        <v>2</v>
      </c>
      <c r="C143" s="376" t="s">
        <v>3</v>
      </c>
      <c r="D143" s="376"/>
      <c r="E143" s="376"/>
      <c r="F143" s="377" t="s">
        <v>4</v>
      </c>
      <c r="G143" s="376"/>
      <c r="H143" s="378"/>
      <c r="I143" s="2"/>
      <c r="J143" s="2"/>
    </row>
    <row r="144" spans="1:23" ht="21.6" customHeight="1" thickBot="1">
      <c r="A144" s="4" t="s">
        <v>5</v>
      </c>
      <c r="B144" s="379" t="s">
        <v>6</v>
      </c>
      <c r="C144" s="381" t="s">
        <v>6</v>
      </c>
      <c r="D144" s="63" t="s">
        <v>7</v>
      </c>
      <c r="E144" s="383" t="s">
        <v>8</v>
      </c>
      <c r="F144" s="385" t="s">
        <v>6</v>
      </c>
      <c r="G144" s="6" t="str">
        <f>D144</f>
        <v>Change from</v>
      </c>
      <c r="H144" s="387" t="str">
        <f>E144</f>
        <v>Fastmarkets</v>
      </c>
      <c r="I144" s="2"/>
      <c r="J144" s="2"/>
    </row>
    <row r="145" spans="1:23" ht="12.75" customHeight="1" thickBot="1">
      <c r="A145" s="7"/>
      <c r="B145" s="380"/>
      <c r="C145" s="382"/>
      <c r="D145" s="8">
        <f>D85</f>
        <v>45748</v>
      </c>
      <c r="E145" s="384"/>
      <c r="F145" s="386"/>
      <c r="G145" s="8">
        <f>D145</f>
        <v>45748</v>
      </c>
      <c r="H145" s="388"/>
      <c r="I145" s="2"/>
      <c r="J145" s="2"/>
      <c r="Q145" s="9"/>
    </row>
    <row r="146" spans="1:23" ht="16.5">
      <c r="A146" s="10" t="s">
        <v>9</v>
      </c>
      <c r="B146" s="11"/>
      <c r="C146" s="11"/>
      <c r="D146" s="13"/>
      <c r="E146" s="14"/>
      <c r="F146" s="11"/>
      <c r="G146" s="13"/>
      <c r="H146" s="16"/>
      <c r="I146" s="2"/>
      <c r="J146" s="2"/>
      <c r="K146" s="17"/>
      <c r="L146" s="17"/>
      <c r="M146" s="18"/>
      <c r="N146" s="18"/>
      <c r="O146" s="18"/>
      <c r="P146" s="18"/>
      <c r="Q146" s="18"/>
      <c r="R146" s="17"/>
      <c r="S146" s="17"/>
      <c r="T146" s="17"/>
      <c r="U146" s="17"/>
      <c r="V146" s="17"/>
      <c r="W146" s="17"/>
    </row>
    <row r="147" spans="1:23" ht="16.5">
      <c r="A147" s="19" t="s">
        <v>10</v>
      </c>
      <c r="B147" s="20">
        <f>'Corn World-Major'!E9/1000</f>
        <v>4.2</v>
      </c>
      <c r="C147" s="20">
        <f>'Corn World-Major'!F9/1000</f>
        <v>4.0999999999999996</v>
      </c>
      <c r="D147" s="22" cm="1">
        <f t="array" ref="D147">C147-(INDEX('Historic WASDE MY 202425'!$D$4:$S$200,MATCH(A147&amp;A143,'Historic WASDE MY 202425'!$B$4:$B$200&amp;'Historic WASDE MY 202425'!$C$4:$C$200,0),MATCH(D145,'Historic WASDE MY 202425'!$D$3:$Y$3,0))/1000)</f>
        <v>0</v>
      </c>
      <c r="E147" s="23">
        <f>VLOOKUP(A147,Ukraine!A:ZZ,41,FALSE)</f>
        <v>3.9238019170233889</v>
      </c>
      <c r="F147" s="20">
        <f>'Corn World-Major'!G9/1000</f>
        <v>4.2</v>
      </c>
      <c r="G147" s="22" t="e" cm="1">
        <f t="array" ref="G147">F147-(INDEX('Historic WASDE MY 202526'!$D$4:$R$200,MATCH(A147&amp;A143,'Historic WASDE MY 202526'!$B$4:$B$200&amp;'Historic WASDE MY 202526'!$C$4:$C$200,0),MATCH(G145,'Historic WASDE MY 202526'!$D$3:$X$3,0))/1000)</f>
        <v>#N/A</v>
      </c>
      <c r="H147" s="25">
        <f>VLOOKUP(A147,Ukraine!A:ZZ,42,FALSE)</f>
        <v>4.4683871998889373</v>
      </c>
      <c r="I147" s="2"/>
      <c r="J147" s="2"/>
      <c r="K147" s="17"/>
      <c r="L147" s="17"/>
      <c r="M147" s="18"/>
      <c r="N147" s="18"/>
      <c r="O147" s="18"/>
      <c r="P147" s="18"/>
      <c r="Q147" s="18"/>
      <c r="R147" s="17"/>
      <c r="S147" s="17"/>
      <c r="T147" s="17"/>
      <c r="U147" s="17"/>
      <c r="V147" s="17"/>
      <c r="W147" s="17"/>
    </row>
    <row r="148" spans="1:23" ht="16.5">
      <c r="A148" s="10" t="s">
        <v>11</v>
      </c>
      <c r="B148" s="26">
        <f>'Corn World-Major'!E130</f>
        <v>7.74</v>
      </c>
      <c r="C148" s="26">
        <f>'Corn World-Major'!F130</f>
        <v>6.54</v>
      </c>
      <c r="D148" s="28" cm="1">
        <f t="array" ref="D148">C148-(INDEX('Historic WASDE MY 202425'!$D$4:$S$200,MATCH(A148&amp;A143,'Historic WASDE MY 202425'!$B$4:$B$200&amp;'Historic WASDE MY 202425'!$C$4:$C$200,0),MATCH(D145,'Historic WASDE MY 202425'!$D$3:$Y$3,0)))</f>
        <v>0</v>
      </c>
      <c r="E148" s="29">
        <f>VLOOKUP(A148,Ukraine!A:ZZ,41,FALSE)</f>
        <v>6.2928899999999999</v>
      </c>
      <c r="F148" s="26">
        <f>'Corn World-Major'!G130</f>
        <v>7.26</v>
      </c>
      <c r="G148" s="28" t="e" cm="1">
        <f t="array" ref="G148">F148-(INDEX('Historic WASDE MY 202526'!$D$4:$R$200,MATCH(A148&amp;A143,'Historic WASDE MY 202526'!$B$4:$B$200&amp;'Historic WASDE MY 202526'!$C$4:$C$200,0),MATCH(G145,'Historic WASDE MY 202526'!$D$3:$X$3,0)))</f>
        <v>#N/A</v>
      </c>
      <c r="H148" s="31">
        <f>VLOOKUP(A148,Ukraine!A:ZZ,42,FALSE)</f>
        <v>6.4828535731728039</v>
      </c>
      <c r="I148" s="2"/>
      <c r="J148" s="2"/>
      <c r="K148" s="17"/>
      <c r="L148" s="17"/>
      <c r="M148" s="32"/>
      <c r="N148" s="32"/>
      <c r="O148" s="32"/>
      <c r="P148" s="32"/>
      <c r="Q148" s="33"/>
      <c r="R148" s="17"/>
      <c r="S148" s="17"/>
      <c r="T148" s="17"/>
      <c r="U148" s="17"/>
      <c r="V148" s="17"/>
      <c r="W148" s="17"/>
    </row>
    <row r="149" spans="1:23" ht="16.5">
      <c r="A149" s="34" t="s">
        <v>12</v>
      </c>
      <c r="B149" s="35">
        <f>'Corn World-Major'!E20/1000</f>
        <v>2.9950000000000001</v>
      </c>
      <c r="C149" s="35">
        <f>'Corn World-Major'!F20/1000</f>
        <v>0.64200000000000002</v>
      </c>
      <c r="D149" s="37" cm="1">
        <f t="array" ref="D149">C149-(INDEX('Historic WASDE MY 202425'!$D$4:$S$200,MATCH(A149&amp;A143,'Historic WASDE MY 202425'!$B$4:$B$200&amp;'Historic WASDE MY 202425'!$C$4:$C$200,0),MATCH(D145,'Historic WASDE MY 202425'!$D$3:$Y$3,0))/1000)</f>
        <v>-0.42499999999999993</v>
      </c>
      <c r="E149" s="38">
        <f>B158</f>
        <v>1.7090000000000001</v>
      </c>
      <c r="F149" s="35">
        <f>'Corn World-Major'!G20/1000</f>
        <v>0.312</v>
      </c>
      <c r="G149" s="37" t="e" cm="1">
        <f t="array" ref="G149">F149-(INDEX('Historic WASDE MY 202526'!$D$4:$R$200,MATCH(A149&amp;A143,'Historic WASDE MY 202526'!$B$4:$B$200&amp;'Historic WASDE MY 202526'!$C$4:$C$200,0),MATCH(G145,'Historic WASDE MY 202526'!$D$3:$X$3,0))/1000)</f>
        <v>#N/A</v>
      </c>
      <c r="H149" s="40">
        <f>E158</f>
        <v>1.6089999999999982</v>
      </c>
      <c r="I149" s="2"/>
      <c r="J149" s="2"/>
      <c r="K149" s="41"/>
      <c r="L149" s="41"/>
      <c r="M149" s="42"/>
      <c r="N149" s="42"/>
      <c r="O149" s="42"/>
      <c r="P149" s="42"/>
      <c r="Q149" s="42"/>
      <c r="R149" s="17"/>
      <c r="S149" s="41"/>
      <c r="T149" s="41"/>
      <c r="U149" s="41"/>
      <c r="V149" s="41"/>
      <c r="W149" s="41"/>
    </row>
    <row r="150" spans="1:23" ht="16.5">
      <c r="A150" s="10" t="s">
        <v>13</v>
      </c>
      <c r="B150" s="26">
        <f>'Corn World-Major'!E31/1000</f>
        <v>32.5</v>
      </c>
      <c r="C150" s="26">
        <f>'Corn World-Major'!F31/1000</f>
        <v>26.8</v>
      </c>
      <c r="D150" s="28" cm="1">
        <f t="array" ref="D150">C150-(INDEX('Historic WASDE MY 202425'!$D$4:$S$200,MATCH(A150&amp;A143,'Historic WASDE MY 202425'!$B$4:$B$200&amp;'Historic WASDE MY 202425'!$C$4:$C$200,0),MATCH(D145,'Historic WASDE MY 202425'!$D$3:$Y$3,0))/1000)</f>
        <v>0</v>
      </c>
      <c r="E150" s="29">
        <f>VLOOKUP(A150,Ukraine!A:ZZ,41,FALSE)</f>
        <v>24.692053845617313</v>
      </c>
      <c r="F150" s="26">
        <f>'Corn World-Major'!G31/1000</f>
        <v>30.5</v>
      </c>
      <c r="G150" s="28" t="e" cm="1">
        <f t="array" ref="G150">F150-(INDEX('Historic WASDE MY 202526'!$D$4:$R$200,MATCH(A150&amp;A143,'Historic WASDE MY 202526'!$B$4:$B$200&amp;'Historic WASDE MY 202526'!$C$4:$C$200,0),MATCH(G145,'Historic WASDE MY 202526'!$D$3:$X$3,0))/1000)</f>
        <v>#N/A</v>
      </c>
      <c r="H150" s="31">
        <f>VLOOKUP(A150,Ukraine!A:ZZ,42,FALSE)</f>
        <v>28.967899925119617</v>
      </c>
      <c r="I150" s="2"/>
      <c r="J150" s="2"/>
      <c r="K150" s="41"/>
      <c r="L150" s="41"/>
      <c r="M150" s="42"/>
      <c r="N150" s="42"/>
      <c r="O150" s="42"/>
      <c r="P150" s="42"/>
      <c r="Q150" s="42"/>
      <c r="R150" s="17"/>
      <c r="S150" s="41"/>
      <c r="T150" s="41"/>
      <c r="U150" s="41"/>
      <c r="V150" s="41"/>
      <c r="W150" s="41"/>
    </row>
    <row r="151" spans="1:23" ht="16.5">
      <c r="A151" s="19" t="s">
        <v>14</v>
      </c>
      <c r="B151" s="20">
        <f>'Corn World-Major'!E42/1000</f>
        <v>0.01</v>
      </c>
      <c r="C151" s="20">
        <f>'Corn World-Major'!F42/1000</f>
        <v>0.02</v>
      </c>
      <c r="D151" s="43" cm="1">
        <f t="array" ref="D151">C151-(INDEX('Historic WASDE MY 202425'!$D$4:$S$200,MATCH(A151&amp;A143,'Historic WASDE MY 202425'!$B$4:$B$200&amp;'Historic WASDE MY 202425'!$C$4:$C$200,0),MATCH(D145,'Historic WASDE MY 202425'!$D$3:$Y$3,0))/1000)</f>
        <v>0</v>
      </c>
      <c r="E151" s="23">
        <f>VLOOKUP(A151,Ukraine!A:ZZ,41,FALSE)</f>
        <v>0</v>
      </c>
      <c r="F151" s="20">
        <f>'Corn World-Major'!G42/1000</f>
        <v>0.01</v>
      </c>
      <c r="G151" s="43" t="e" cm="1">
        <f t="array" ref="G151">F151-(INDEX('Historic WASDE MY 202526'!$D$4:$R$200,MATCH(A151&amp;A143,'Historic WASDE MY 202526'!$B$4:$B$200&amp;'Historic WASDE MY 202526'!$C$4:$C$200,0),MATCH(G145,'Historic WASDE MY 202526'!$D$3:$X$3,0))/1000)</f>
        <v>#N/A</v>
      </c>
      <c r="H151" s="25">
        <f>VLOOKUP(A151,Ukraine!A:ZZ,42,FALSE)</f>
        <v>1.4999999999999999E-2</v>
      </c>
      <c r="I151" s="2"/>
      <c r="J151" s="2"/>
      <c r="K151" s="41"/>
      <c r="L151" s="41"/>
      <c r="M151" s="42"/>
      <c r="N151" s="42"/>
      <c r="O151" s="42"/>
      <c r="P151" s="42"/>
      <c r="Q151" s="42"/>
      <c r="R151" s="17"/>
      <c r="S151" s="41"/>
      <c r="T151" s="41"/>
      <c r="U151" s="41"/>
      <c r="V151" s="41"/>
      <c r="W151" s="41"/>
    </row>
    <row r="152" spans="1:23" ht="16.5">
      <c r="A152" s="10" t="s">
        <v>15</v>
      </c>
      <c r="B152" s="26">
        <f>SUM(B149:B151)</f>
        <v>35.504999999999995</v>
      </c>
      <c r="C152" s="26">
        <f>SUM(C149:C151)</f>
        <v>27.462</v>
      </c>
      <c r="D152" s="28">
        <f>SUM(D149:D151)</f>
        <v>-0.42499999999999993</v>
      </c>
      <c r="E152" s="29">
        <f>SUM(E149:E151)</f>
        <v>26.401053845617312</v>
      </c>
      <c r="F152" s="26">
        <f>SUM(F149:F151)</f>
        <v>30.822000000000003</v>
      </c>
      <c r="G152" s="28" t="e">
        <f>G151+G150+G149</f>
        <v>#N/A</v>
      </c>
      <c r="H152" s="31">
        <f>SUM(H149:H151)</f>
        <v>30.591899925119616</v>
      </c>
      <c r="I152" s="2"/>
      <c r="J152" s="2"/>
      <c r="K152" s="41"/>
      <c r="L152" s="41"/>
      <c r="M152" s="42"/>
      <c r="N152" s="42"/>
      <c r="O152" s="42"/>
      <c r="P152" s="42"/>
      <c r="Q152" s="42"/>
      <c r="R152" s="41"/>
      <c r="S152" s="41"/>
      <c r="T152" s="41"/>
      <c r="U152" s="41"/>
      <c r="V152" s="41"/>
      <c r="W152" s="41"/>
    </row>
    <row r="153" spans="1:23" ht="16.5">
      <c r="A153" s="34" t="s">
        <v>16</v>
      </c>
      <c r="B153" s="35">
        <f t="shared" ref="B153:G153" si="34">B154+B155</f>
        <v>10.324999999999999</v>
      </c>
      <c r="C153" s="35">
        <f t="shared" si="34"/>
        <v>5.15</v>
      </c>
      <c r="D153" s="37">
        <f t="shared" si="34"/>
        <v>0</v>
      </c>
      <c r="E153" s="38">
        <f t="shared" si="34"/>
        <v>1.7920538456173141</v>
      </c>
      <c r="F153" s="35">
        <f t="shared" si="34"/>
        <v>6.2249999999999996</v>
      </c>
      <c r="G153" s="37" t="e">
        <f t="shared" si="34"/>
        <v>#N/A</v>
      </c>
      <c r="H153" s="40">
        <f>H154+H155</f>
        <v>4.3828999251196166</v>
      </c>
      <c r="I153" s="2"/>
      <c r="J153" s="2"/>
      <c r="K153" s="41"/>
      <c r="L153" s="41"/>
      <c r="M153" s="42"/>
      <c r="N153" s="42"/>
      <c r="O153" s="42"/>
      <c r="P153" s="42"/>
      <c r="Q153" s="42"/>
      <c r="R153" s="41"/>
      <c r="S153" s="41"/>
      <c r="T153" s="41"/>
      <c r="U153" s="41"/>
      <c r="V153" s="41"/>
      <c r="W153" s="41"/>
    </row>
    <row r="154" spans="1:23" ht="16.5">
      <c r="A154" s="10" t="s">
        <v>17</v>
      </c>
      <c r="B154" s="26">
        <f>'Corn World-Major'!E75/1000</f>
        <v>8.5</v>
      </c>
      <c r="C154" s="26">
        <f>'Corn World-Major'!F75/1000</f>
        <v>4.2</v>
      </c>
      <c r="D154" s="28" cm="1">
        <f t="array" ref="D154">C154-(INDEX('Historic WASDE MY 202425'!$D$4:$S$200,MATCH(A154&amp;A143,'Historic WASDE MY 202425'!$B$4:$B$200&amp;'Historic WASDE MY 202425'!$C$4:$C$200,0),MATCH(D145,'Historic WASDE MY 202425'!$D$3:$Y$3,0))/1000)</f>
        <v>0</v>
      </c>
      <c r="E154" s="29">
        <f>VLOOKUP(A154,Ukraine!A:ZZ,41,FALSE)</f>
        <v>0.84205384561731411</v>
      </c>
      <c r="F154" s="26">
        <f>'Corn World-Major'!G75/1000</f>
        <v>5.3</v>
      </c>
      <c r="G154" s="28" t="e" cm="1">
        <f t="array" ref="G154">F154-(INDEX('Historic WASDE MY 202526'!$D$4:$R$200,MATCH(A154&amp;A143,'Historic WASDE MY 202526'!$B$4:$B$200&amp;'Historic WASDE MY 202526'!$C$4:$C$200,0),MATCH(G145,'Historic WASDE MY 202526'!$D$3:$X$3,0))/1000)</f>
        <v>#N/A</v>
      </c>
      <c r="H154" s="31">
        <f>VLOOKUP(A154,Ukraine!A:ZZ,42,FALSE)</f>
        <v>3.4295665917862834</v>
      </c>
      <c r="I154" s="2"/>
      <c r="J154" s="2"/>
      <c r="K154" s="41"/>
      <c r="L154" s="41"/>
      <c r="M154" s="42"/>
      <c r="N154" s="42"/>
      <c r="O154" s="42"/>
      <c r="P154" s="42"/>
      <c r="Q154" s="42"/>
      <c r="R154" s="41"/>
      <c r="S154" s="41"/>
      <c r="T154" s="41"/>
      <c r="U154" s="41"/>
      <c r="V154" s="41"/>
      <c r="W154" s="41"/>
    </row>
    <row r="155" spans="1:23" ht="16.5">
      <c r="A155" s="19" t="s">
        <v>18</v>
      </c>
      <c r="B155" s="20">
        <f>'Corn World-Major'!E86/1000</f>
        <v>1.825</v>
      </c>
      <c r="C155" s="20">
        <f>'Corn World-Major'!F86/1000</f>
        <v>0.95</v>
      </c>
      <c r="D155" s="43" cm="1">
        <f t="array" ref="D155">C155-(INDEX('Historic WASDE MY 202425'!$D$4:$S$200,MATCH(A155&amp;A143,'Historic WASDE MY 202425'!$B$4:$B$200&amp;'Historic WASDE MY 202425'!$C$4:$C$200,0),MATCH(D145,'Historic WASDE MY 202425'!$D$3:$Y$3,0))/1000)</f>
        <v>0</v>
      </c>
      <c r="E155" s="23">
        <f>VLOOKUP(A155,Ukraine!A:ZZ,41,FALSE)</f>
        <v>0.95</v>
      </c>
      <c r="F155" s="20">
        <f>'Corn World-Major'!G86/1000</f>
        <v>0.92500000000000004</v>
      </c>
      <c r="G155" s="43" t="e" cm="1">
        <f t="array" ref="G155">F155-(INDEX('Historic WASDE MY 202526'!$D$4:$R$200,MATCH(A155&amp;A143,'Historic WASDE MY 202526'!$B$4:$B$200&amp;'Historic WASDE MY 202526'!$C$4:$C$200,0),MATCH(G145,'Historic WASDE MY 202526'!$D$3:$X$3,0))/1000)</f>
        <v>#N/A</v>
      </c>
      <c r="H155" s="25">
        <f>VLOOKUP(A155,Ukraine!A:ZZ,42,FALSE)</f>
        <v>0.95333333333333314</v>
      </c>
      <c r="I155" s="2"/>
      <c r="J155" s="2"/>
      <c r="K155" s="41"/>
      <c r="L155" s="41"/>
      <c r="M155" s="42"/>
      <c r="N155" s="42"/>
      <c r="O155" s="42"/>
      <c r="P155" s="42"/>
      <c r="Q155" s="42"/>
      <c r="R155" s="41"/>
      <c r="S155" s="41"/>
      <c r="T155" s="41"/>
      <c r="U155" s="41"/>
      <c r="V155" s="41"/>
      <c r="W155" s="41"/>
    </row>
    <row r="156" spans="1:23" ht="16.5">
      <c r="A156" s="10" t="s">
        <v>19</v>
      </c>
      <c r="B156" s="26">
        <f>'Corn World-Major'!E64/1000</f>
        <v>29.488</v>
      </c>
      <c r="C156" s="26">
        <f>'Corn World-Major'!F64/1000</f>
        <v>22</v>
      </c>
      <c r="D156" s="28" cm="1">
        <f t="array" ref="D156">C156-(INDEX('Historic WASDE MY 202425'!$D$4:$S$200,MATCH(A156&amp;A143,'Historic WASDE MY 202425'!$B$4:$B$200&amp;'Historic WASDE MY 202425'!$C$4:$C$200,0),MATCH(D145,'Historic WASDE MY 202425'!$D$3:$Y$3,0))/1000)</f>
        <v>0</v>
      </c>
      <c r="E156" s="29">
        <f>VLOOKUP(A156,Ukraine!A:ZZ,41,FALSE)</f>
        <v>23</v>
      </c>
      <c r="F156" s="26">
        <f>'Corn World-Major'!G64/1000</f>
        <v>24</v>
      </c>
      <c r="G156" s="28" t="e" cm="1">
        <f t="array" ref="G156">F156-(INDEX('Historic WASDE MY 202526'!$D$4:$R$200,MATCH(A156&amp;A143,'Historic WASDE MY 202526'!$B$4:$B$200&amp;'Historic WASDE MY 202526'!$C$4:$C$200,0),MATCH(G145,'Historic WASDE MY 202526'!$D$3:$X$3,0))/1000)</f>
        <v>#N/A</v>
      </c>
      <c r="H156" s="31">
        <f>VLOOKUP(A156,Ukraine!A:ZZ,42,FALSE)</f>
        <v>23</v>
      </c>
      <c r="I156" s="2"/>
      <c r="J156" s="2"/>
      <c r="K156" s="41"/>
      <c r="L156" s="41"/>
      <c r="M156" s="42"/>
      <c r="N156" s="42"/>
      <c r="O156" s="42"/>
      <c r="P156" s="42"/>
      <c r="Q156" s="42"/>
      <c r="R156" s="41"/>
      <c r="S156" s="41"/>
      <c r="T156" s="41"/>
      <c r="U156" s="41"/>
      <c r="V156" s="41"/>
      <c r="W156" s="41"/>
    </row>
    <row r="157" spans="1:23" ht="16.5">
      <c r="A157" s="19" t="s">
        <v>20</v>
      </c>
      <c r="B157" s="20">
        <f>B156+B153</f>
        <v>39.813000000000002</v>
      </c>
      <c r="C157" s="20">
        <f>C156+C153</f>
        <v>27.15</v>
      </c>
      <c r="D157" s="43">
        <f t="shared" ref="D157" si="35">D156+D153</f>
        <v>0</v>
      </c>
      <c r="E157" s="23">
        <f>E156+E153</f>
        <v>24.792053845617314</v>
      </c>
      <c r="F157" s="20">
        <f>F156+F153</f>
        <v>30.225000000000001</v>
      </c>
      <c r="G157" s="43" t="e">
        <f t="shared" ref="G157" si="36">G156+G153</f>
        <v>#N/A</v>
      </c>
      <c r="H157" s="25">
        <f>H156+H153</f>
        <v>27.382899925119617</v>
      </c>
      <c r="I157" s="2"/>
      <c r="J157" s="2"/>
      <c r="K157" s="41"/>
      <c r="L157" s="41"/>
      <c r="M157" s="42"/>
      <c r="N157" s="42"/>
      <c r="O157" s="42"/>
      <c r="P157" s="42"/>
      <c r="Q157" s="42"/>
      <c r="R157" s="41"/>
      <c r="S157" s="41"/>
      <c r="T157" s="41"/>
      <c r="U157" s="41"/>
      <c r="V157" s="41"/>
      <c r="W157" s="41"/>
    </row>
    <row r="158" spans="1:23" ht="16.5">
      <c r="A158" s="44" t="s">
        <v>21</v>
      </c>
      <c r="B158" s="45">
        <f>'Corn World-Major'!E108/1000</f>
        <v>1.7090000000000001</v>
      </c>
      <c r="C158" s="45">
        <f>'Corn World-Major'!F108/1000</f>
        <v>0.312</v>
      </c>
      <c r="D158" s="47" cm="1">
        <f t="array" ref="D158">C158-(INDEX('Historic WASDE MY 202425'!$D$4:$S$200,MATCH(A158&amp;A143,'Historic WASDE MY 202425'!$B$4:$B$200&amp;'Historic WASDE MY 202425'!$C$4:$C$200,0),MATCH(D145,'Historic WASDE MY 202425'!$D$3:$Y$3,0))/1000)</f>
        <v>-0.42499999999999999</v>
      </c>
      <c r="E158" s="48">
        <f>E152-E157</f>
        <v>1.6089999999999982</v>
      </c>
      <c r="F158" s="45">
        <f>'Corn World-Major'!G108/1000</f>
        <v>0.59699999999999998</v>
      </c>
      <c r="G158" s="47" t="e" cm="1">
        <f t="array" ref="G158">F158-(INDEX('Historic WASDE MY 202526'!$D$4:$R$200,MATCH(A158&amp;A143,'Historic WASDE MY 202526'!$B$4:$B$200&amp;'Historic WASDE MY 202526'!$C$4:$C$200,0),MATCH(G145,'Historic WASDE MY 202526'!$D$3:$X$3,0))/1000)</f>
        <v>#N/A</v>
      </c>
      <c r="H158" s="50">
        <f>H152-H157</f>
        <v>3.2089999999999996</v>
      </c>
      <c r="I158" s="2"/>
      <c r="J158" s="51"/>
      <c r="K158" s="41"/>
      <c r="L158" s="41"/>
      <c r="M158" s="42"/>
      <c r="N158" s="42"/>
      <c r="O158" s="42"/>
      <c r="P158" s="42"/>
      <c r="Q158" s="52"/>
    </row>
    <row r="159" spans="1:23" ht="17.25" thickBot="1">
      <c r="A159" s="19" t="s">
        <v>22</v>
      </c>
      <c r="B159" s="53">
        <f>B158/B157</f>
        <v>4.292567754251124E-2</v>
      </c>
      <c r="C159" s="53">
        <f>C158/C157</f>
        <v>1.1491712707182321E-2</v>
      </c>
      <c r="D159" s="55" cm="1">
        <f t="array" ref="D159">C159-(((INDEX('Historic WASDE MY 202425'!$D$4:$S$200,MATCH(A158&amp;A143,'Historic WASDE MY 202425'!$B$4:$B$200&amp;'Historic WASDE MY 202425'!$C$4:$C$200,0),MATCH(D145,'Historic WASDE MY 202425'!$D$3:$Y$3,0))/1000))/SUM(((INDEX('Historic WASDE MY 202425'!$D$4:$S$200,MATCH(A154&amp;A143,'Historic WASDE MY 202425'!$B$4:$B$200&amp;'Historic WASDE MY 202425'!$C$4:$C$200,0),MATCH(D145,'Historic WASDE MY 202425'!$D$3:$Y$3,0))/1000)),((INDEX('Historic WASDE MY 202425'!$D$4:$S$200,MATCH(A155&amp;A143,'Historic WASDE MY 202425'!$B$4:$B$200&amp;'Historic WASDE MY 202425'!$C$4:$C$200,0),MATCH(D145,'Historic WASDE MY 202425'!$D$3:$Y$3,0))/1000)),((INDEX('Historic WASDE MY 202425'!$D$4:$S$200,MATCH(A156&amp;A143,'Historic WASDE MY 202425'!$B$4:$B$200&amp;'Historic WASDE MY 202425'!$C$4:$C$200,0),MATCH(D145,'Historic WASDE MY 202425'!$D$3:$Y$3,0))/1000))))</f>
        <v>-1.5653775322283611E-2</v>
      </c>
      <c r="E159" s="56">
        <f>E158/E157</f>
        <v>6.4899826775926178E-2</v>
      </c>
      <c r="F159" s="53">
        <f>F158/F157</f>
        <v>1.975186104218362E-2</v>
      </c>
      <c r="G159" s="55" t="e" cm="1">
        <f t="array" ref="G159">F159-((INDEX('Historic WASDE MY 202526'!$D$4:$R$200,MATCH(A158&amp;A143,'Historic WASDE MY 202526'!$B$4:$B$200&amp;'Historic WASDE MY 202526'!$C$4:$C$200,0),MATCH(G145,'Historic WASDE MY 202526'!$D$3:$X$3,0))/1000))/SUM(((INDEX('Historic WASDE MY 202526'!$D$4:$R$200,MATCH(A154&amp;A143,'Historic WASDE MY 202526'!$B$4:$B$200&amp;'Historic WASDE MY 202526'!$C$4:$C$200,0),MATCH(G145,'Historic WASDE MY 202526'!$D$3:$X$3,0))/1000)),((INDEX('Historic WASDE MY 202526'!$D$4:$R$200,MATCH(A155&amp;A143,'Historic WASDE MY 202526'!$B$4:$B$200&amp;'Historic WASDE MY 202526'!$C$4:$C$200,0),MATCH(G145,'Historic WASDE MY 202526'!$D$3:$X$3,0))/1000)),((INDEX('Historic WASDE MY 202526'!$D$4:$R$200,MATCH(A156&amp;A143,'Historic WASDE MY 202526'!$B$4:$B$200&amp;'Historic WASDE MY 202526'!$C$4:$C$200,0),MATCH(G145,'Historic WASDE MY 202526'!$D$3:$X$3,0))/1000)))</f>
        <v>#N/A</v>
      </c>
      <c r="H159" s="58">
        <f>H158/H157</f>
        <v>0.11718992541970449</v>
      </c>
      <c r="I159" s="2"/>
      <c r="J159" s="2"/>
      <c r="K159" s="59"/>
      <c r="L159" s="59"/>
      <c r="M159" s="59"/>
      <c r="N159" s="59"/>
      <c r="O159" s="59"/>
      <c r="P159" s="60"/>
      <c r="Q159" s="59"/>
    </row>
    <row r="160" spans="1:23">
      <c r="A160" s="61"/>
      <c r="B160" s="61"/>
      <c r="C160" s="61"/>
      <c r="D160" s="61"/>
      <c r="E160" s="61"/>
      <c r="F160" s="61"/>
      <c r="G160" s="61"/>
      <c r="H160" s="61"/>
      <c r="I160" s="51"/>
      <c r="J160" s="51"/>
    </row>
    <row r="161" spans="1:23" ht="18">
      <c r="A161" s="1" t="s">
        <v>39</v>
      </c>
      <c r="B161" s="2"/>
      <c r="C161" s="2"/>
      <c r="D161" s="2"/>
      <c r="E161" s="2"/>
      <c r="F161" s="2"/>
      <c r="G161" s="2"/>
      <c r="H161" s="2"/>
      <c r="I161" s="51"/>
      <c r="J161" s="51"/>
    </row>
    <row r="162" spans="1:23" ht="13.5" thickBot="1">
      <c r="B162" s="2"/>
      <c r="C162" s="2"/>
      <c r="D162" s="2"/>
      <c r="E162" s="2"/>
      <c r="F162" s="2"/>
      <c r="G162" s="2"/>
      <c r="H162" s="2"/>
      <c r="I162" s="2"/>
      <c r="J162" s="2"/>
    </row>
    <row r="163" spans="1:23" ht="17.25" thickBot="1">
      <c r="A163" s="4" t="s">
        <v>40</v>
      </c>
      <c r="B163" s="5" t="s">
        <v>2</v>
      </c>
      <c r="C163" s="376" t="s">
        <v>3</v>
      </c>
      <c r="D163" s="376"/>
      <c r="E163" s="376"/>
      <c r="F163" s="377" t="s">
        <v>4</v>
      </c>
      <c r="G163" s="376"/>
      <c r="H163" s="378"/>
      <c r="I163" s="2"/>
      <c r="J163" s="2"/>
    </row>
    <row r="164" spans="1:23" ht="21.6" customHeight="1" thickBot="1">
      <c r="A164" s="4" t="s">
        <v>30</v>
      </c>
      <c r="B164" s="379" t="s">
        <v>6</v>
      </c>
      <c r="C164" s="381" t="s">
        <v>6</v>
      </c>
      <c r="D164" s="63" t="s">
        <v>7</v>
      </c>
      <c r="E164" s="383" t="s">
        <v>8</v>
      </c>
      <c r="F164" s="385" t="s">
        <v>6</v>
      </c>
      <c r="G164" s="6" t="str">
        <f>D164</f>
        <v>Change from</v>
      </c>
      <c r="H164" s="387" t="str">
        <f>E164</f>
        <v>Fastmarkets</v>
      </c>
      <c r="I164" s="2"/>
      <c r="J164" s="2"/>
    </row>
    <row r="165" spans="1:23" ht="12.75" customHeight="1" thickBot="1">
      <c r="A165" s="7"/>
      <c r="B165" s="380"/>
      <c r="C165" s="382"/>
      <c r="D165" s="8">
        <f>D5</f>
        <v>45748</v>
      </c>
      <c r="E165" s="384"/>
      <c r="F165" s="386"/>
      <c r="G165" s="8">
        <f>D165</f>
        <v>45748</v>
      </c>
      <c r="H165" s="388"/>
      <c r="I165" s="2"/>
      <c r="J165" s="2"/>
      <c r="Q165" s="9"/>
    </row>
    <row r="166" spans="1:23" ht="16.5">
      <c r="A166" s="10" t="s">
        <v>9</v>
      </c>
      <c r="B166" s="11">
        <f>[1]Corn!$AW$4*0.404686</f>
        <v>35.677927132000001</v>
      </c>
      <c r="C166" s="11">
        <f>[1]Corn!$AX$4*0.404686</f>
        <v>38.299887726000001</v>
      </c>
      <c r="D166" s="13">
        <v>0</v>
      </c>
      <c r="E166" s="14">
        <f>[1]Corn!$AX$4*0.404686</f>
        <v>38.299887726000001</v>
      </c>
      <c r="F166" s="11">
        <f>90.7*0.404686</f>
        <v>36.7050202</v>
      </c>
      <c r="G166" s="13">
        <f>D166</f>
        <v>0</v>
      </c>
      <c r="H166" s="16">
        <f>[1]Corn!$AZ$4*0.404686</f>
        <v>39.953839407999993</v>
      </c>
      <c r="I166" s="2"/>
      <c r="J166" s="2"/>
      <c r="K166" s="17"/>
      <c r="L166" s="17"/>
      <c r="M166" s="18"/>
      <c r="N166" s="18"/>
      <c r="O166" s="18"/>
      <c r="P166" s="18"/>
      <c r="Q166" s="18"/>
      <c r="R166" s="17"/>
      <c r="S166" s="17"/>
      <c r="T166" s="17"/>
      <c r="U166" s="17"/>
      <c r="V166" s="17"/>
      <c r="W166" s="17"/>
    </row>
    <row r="167" spans="1:23" ht="16.5">
      <c r="A167" s="19" t="s">
        <v>10</v>
      </c>
      <c r="B167" s="20">
        <f>'Corn World-Major'!E10/1000</f>
        <v>35.008000000000003</v>
      </c>
      <c r="C167" s="20">
        <f>'Corn World-Major'!F10/1000</f>
        <v>33.546999999999997</v>
      </c>
      <c r="D167" s="22" cm="1">
        <f t="array" ref="D167">C167-(INDEX('Historic WASDE MY 202425'!$D$4:$S$200,MATCH(A167&amp;A163,'Historic WASDE MY 202425'!$B$4:$B$200&amp;'Historic WASDE MY 202425'!$C$4:$C$200,0),MATCH(D165,'Historic WASDE MY 202425'!$D$3:$Y$3,0))/1000)</f>
        <v>0</v>
      </c>
      <c r="E167" s="23">
        <f>VLOOKUP(A167,[1]Corn!$A$2:$BB$22,51,FALSE)*0.404686</f>
        <v>33.546850655999997</v>
      </c>
      <c r="F167" s="20">
        <f>'Corn World-Major'!G10/1000</f>
        <v>35.369999999999997</v>
      </c>
      <c r="G167" s="22" t="e" cm="1">
        <f t="array" ref="G167">F167-(INDEX('Historic WASDE MY 202526'!$D$4:$R$200,MATCH(A167&amp;A163,'Historic WASDE MY 202526'!$B$4:$B$200&amp;'Historic WASDE MY 202526'!$C$4:$C$200,0),MATCH(G165,'Historic WASDE MY 202526'!$D$3:$X$3,0))/1000)</f>
        <v>#N/A</v>
      </c>
      <c r="H167" s="25">
        <f>VLOOKUP(A167,[1]Corn!$A$2:$BB$22,52,FALSE)*0.404686</f>
        <v>36.483339965545987</v>
      </c>
      <c r="I167" s="2"/>
      <c r="J167" s="2"/>
      <c r="K167" s="17"/>
      <c r="L167" s="17"/>
      <c r="M167" s="18"/>
      <c r="N167" s="18"/>
      <c r="O167" s="18"/>
      <c r="P167" s="18"/>
      <c r="Q167" s="18"/>
      <c r="R167" s="17"/>
      <c r="S167" s="17"/>
      <c r="T167" s="17"/>
      <c r="U167" s="17"/>
      <c r="V167" s="17"/>
      <c r="W167" s="17"/>
    </row>
    <row r="168" spans="1:23" ht="16.5">
      <c r="A168" s="10" t="s">
        <v>11</v>
      </c>
      <c r="B168" s="26">
        <f>'Corn World-Major'!E131</f>
        <v>11.13</v>
      </c>
      <c r="C168" s="26">
        <f>'Corn World-Major'!F131</f>
        <v>11.26</v>
      </c>
      <c r="D168" s="28" cm="1">
        <f t="array" ref="D168">C168-(INDEX('Historic WASDE MY 202425'!$D$4:$S$200,MATCH(A168&amp;A163,'Historic WASDE MY 202425'!$B$4:$B$200&amp;'Historic WASDE MY 202425'!$C$4:$C$200,0),MATCH(D165,'Historic WASDE MY 202425'!$D$3:$Y$3,0)))</f>
        <v>0</v>
      </c>
      <c r="E168" s="29">
        <f>VLOOKUP(A168,[1]Corn!$A$2:$BB$22,51,FALSE)*0.0673</f>
        <v>12.06972436788265</v>
      </c>
      <c r="F168" s="26">
        <f>'Corn World-Major'!G131</f>
        <v>11.36</v>
      </c>
      <c r="G168" s="28" t="e" cm="1">
        <f t="array" ref="G168">F168-(INDEX('Historic WASDE MY 202526'!$D$4:$R$200,MATCH(A168&amp;A163,'Historic WASDE MY 202526'!$B$4:$B$200&amp;'Historic WASDE MY 202526'!$C$4:$C$200,0),MATCH(G165,'Historic WASDE MY 202526'!$D$3:$X$3,0)))</f>
        <v>#N/A</v>
      </c>
      <c r="H168" s="31">
        <f>VLOOKUP(A168,[1]Corn!$A$2:$BB$22,52,FALSE)*0.0673</f>
        <v>12.473266075531086</v>
      </c>
      <c r="I168" s="2"/>
      <c r="J168" s="2"/>
      <c r="K168" s="17"/>
      <c r="L168" s="17"/>
      <c r="M168" s="32"/>
      <c r="N168" s="32"/>
      <c r="O168" s="32"/>
      <c r="P168" s="32"/>
      <c r="Q168" s="33"/>
      <c r="R168" s="17"/>
      <c r="S168" s="17"/>
      <c r="T168" s="17"/>
      <c r="U168" s="17"/>
      <c r="V168" s="17"/>
      <c r="W168" s="17"/>
    </row>
    <row r="169" spans="1:23" ht="16.5">
      <c r="A169" s="34" t="s">
        <v>12</v>
      </c>
      <c r="B169" s="35">
        <f>'Corn World-Major'!E21/1000</f>
        <v>34.551000000000002</v>
      </c>
      <c r="C169" s="35">
        <f>'Corn World-Major'!F21/1000</f>
        <v>44.792000000000002</v>
      </c>
      <c r="D169" s="37" cm="1">
        <f t="array" ref="D169">C169-(INDEX('Historic WASDE MY 202425'!$D$4:$S$200,MATCH(A169&amp;A163,'Historic WASDE MY 202425'!$B$4:$B$200&amp;'Historic WASDE MY 202425'!$C$4:$C$200,0),MATCH(D165,'Historic WASDE MY 202425'!$D$3:$Y$3,0))/1000)</f>
        <v>0</v>
      </c>
      <c r="E169" s="38">
        <f>B178</f>
        <v>44.792000000000002</v>
      </c>
      <c r="F169" s="35">
        <f>'Corn World-Major'!G21/1000</f>
        <v>35.945999999999998</v>
      </c>
      <c r="G169" s="37" t="e" cm="1">
        <f t="array" ref="G169">F169-(INDEX('Historic WASDE MY 202526'!$D$4:$R$200,MATCH(A169&amp;A163,'Historic WASDE MY 202526'!$B$4:$B$200&amp;'Historic WASDE MY 202526'!$C$4:$C$200,0),MATCH(G165,'Historic WASDE MY 202526'!$D$3:$X$3,0))/1000)</f>
        <v>#N/A</v>
      </c>
      <c r="H169" s="40">
        <f>E178</f>
        <v>38.907709000000011</v>
      </c>
      <c r="I169" s="2"/>
      <c r="J169" s="2"/>
      <c r="K169" s="41"/>
      <c r="L169" s="41"/>
      <c r="M169" s="42"/>
      <c r="N169" s="42"/>
      <c r="O169" s="42"/>
      <c r="P169" s="42"/>
      <c r="Q169" s="42"/>
      <c r="R169" s="17"/>
      <c r="S169" s="41"/>
      <c r="T169" s="41"/>
      <c r="U169" s="41"/>
      <c r="V169" s="41"/>
      <c r="W169" s="41"/>
    </row>
    <row r="170" spans="1:23" ht="16.5">
      <c r="A170" s="10" t="s">
        <v>13</v>
      </c>
      <c r="B170" s="26">
        <f>'Corn World-Major'!E32/1000</f>
        <v>389.66699999999997</v>
      </c>
      <c r="C170" s="26">
        <f>'Corn World-Major'!F32/1000</f>
        <v>377.63299999999998</v>
      </c>
      <c r="D170" s="28" cm="1">
        <f t="array" ref="D170">C170-(INDEX('Historic WASDE MY 202425'!$D$4:$S$200,MATCH(A170&amp;A163,'Historic WASDE MY 202425'!$B$4:$B$200&amp;'Historic WASDE MY 202425'!$C$4:$C$200,0),MATCH(D165,'Historic WASDE MY 202425'!$D$3:$Y$3,0))/1000)</f>
        <v>0</v>
      </c>
      <c r="E170" s="29">
        <f>VLOOKUP(A170,[1]Corn!$A$2:$BB$22,51,FALSE)*0.0254</f>
        <v>377.61529760000002</v>
      </c>
      <c r="F170" s="26">
        <f>'Corn World-Major'!G32/1000</f>
        <v>401.84699999999998</v>
      </c>
      <c r="G170" s="28" t="e" cm="1">
        <f t="array" ref="G170">F170-(INDEX('Historic WASDE MY 202526'!$D$4:$R$200,MATCH(A170&amp;A163,'Historic WASDE MY 202526'!$B$4:$B$200&amp;'Historic WASDE MY 202526'!$C$4:$C$200,0),MATCH(G165,'Historic WASDE MY 202526'!$D$3:$X$3,0))/1000)</f>
        <v>#N/A</v>
      </c>
      <c r="H170" s="31">
        <f>VLOOKUP(A170,[1]Corn!$A$2:$BB$22,52,FALSE)*0.0254</f>
        <v>424.3998764923428</v>
      </c>
      <c r="I170" s="2"/>
      <c r="J170" s="2"/>
      <c r="K170" s="41"/>
      <c r="L170" s="41"/>
      <c r="M170" s="42"/>
      <c r="N170" s="42"/>
      <c r="O170" s="42"/>
      <c r="P170" s="42"/>
      <c r="Q170" s="42"/>
      <c r="R170" s="17"/>
      <c r="S170" s="41"/>
      <c r="T170" s="41"/>
      <c r="U170" s="41"/>
      <c r="V170" s="41"/>
      <c r="W170" s="41"/>
    </row>
    <row r="171" spans="1:23" ht="16.5">
      <c r="A171" s="19" t="s">
        <v>14</v>
      </c>
      <c r="B171" s="20">
        <f>'Corn World-Major'!E43/1000</f>
        <v>0.72099999999999997</v>
      </c>
      <c r="C171" s="20">
        <f>'Corn World-Major'!F43/1000</f>
        <v>0.63500000000000001</v>
      </c>
      <c r="D171" s="43" cm="1">
        <f t="array" ref="D171">C171-(INDEX('Historic WASDE MY 202425'!$D$4:$S$200,MATCH(A171&amp;A163,'Historic WASDE MY 202425'!$B$4:$B$200&amp;'Historic WASDE MY 202425'!$C$4:$C$200,0),MATCH(D165,'Historic WASDE MY 202425'!$D$3:$Y$3,0))/1000)</f>
        <v>0</v>
      </c>
      <c r="E171" s="23">
        <f>VLOOKUP(A171,[1]Corn!$A$2:$BB$22,51,FALSE)*0.0254</f>
        <v>0.52069999999999994</v>
      </c>
      <c r="F171" s="20">
        <f>'Corn World-Major'!G43/1000</f>
        <v>0.63500000000000001</v>
      </c>
      <c r="G171" s="43" t="e" cm="1">
        <f t="array" ref="G171">F171-(INDEX('Historic WASDE MY 202526'!$D$4:$R$200,MATCH(A171&amp;A163,'Historic WASDE MY 202526'!$B$4:$B$200&amp;'Historic WASDE MY 202526'!$C$4:$C$200,0),MATCH(G165,'Historic WASDE MY 202526'!$D$3:$X$3,0))/1000)</f>
        <v>#N/A</v>
      </c>
      <c r="H171" s="25">
        <f>VLOOKUP(A171,[1]Corn!$A$2:$BB$22,52,FALSE)*0.0254</f>
        <v>0.76200000000000001</v>
      </c>
      <c r="I171" s="2"/>
      <c r="J171" s="2"/>
      <c r="K171" s="41"/>
      <c r="L171" s="41"/>
      <c r="M171" s="42"/>
      <c r="N171" s="42"/>
      <c r="O171" s="42"/>
      <c r="P171" s="42"/>
      <c r="Q171" s="42"/>
      <c r="R171" s="17"/>
      <c r="S171" s="41"/>
      <c r="T171" s="41"/>
      <c r="U171" s="41"/>
      <c r="V171" s="41"/>
      <c r="W171" s="41"/>
    </row>
    <row r="172" spans="1:23" ht="16.5">
      <c r="A172" s="10" t="s">
        <v>15</v>
      </c>
      <c r="B172" s="26">
        <f>SUM(B169:B171)</f>
        <v>424.93899999999996</v>
      </c>
      <c r="C172" s="26">
        <f>SUM(C169:C171)</f>
        <v>423.05999999999995</v>
      </c>
      <c r="D172" s="28">
        <f>SUM(D169:D171)</f>
        <v>0</v>
      </c>
      <c r="E172" s="29">
        <f>SUM(E169:E171)</f>
        <v>422.92799759999997</v>
      </c>
      <c r="F172" s="26">
        <f>SUM(F169:F171)</f>
        <v>438.428</v>
      </c>
      <c r="G172" s="28" t="e">
        <f>G171+G170+G169</f>
        <v>#N/A</v>
      </c>
      <c r="H172" s="31">
        <f>SUM(H169:H171)</f>
        <v>464.06958549234281</v>
      </c>
      <c r="I172" s="2"/>
      <c r="J172" s="2"/>
      <c r="K172" s="41"/>
      <c r="L172" s="41"/>
      <c r="M172" s="42"/>
      <c r="N172" s="42"/>
      <c r="O172" s="42"/>
      <c r="P172" s="42"/>
      <c r="Q172" s="42"/>
      <c r="R172" s="41"/>
      <c r="S172" s="41"/>
      <c r="T172" s="41"/>
      <c r="U172" s="41"/>
      <c r="V172" s="41"/>
      <c r="W172" s="41"/>
    </row>
    <row r="173" spans="1:23" ht="16.5">
      <c r="A173" s="34" t="s">
        <v>16</v>
      </c>
      <c r="B173" s="35">
        <f t="shared" ref="B173:H173" si="37">B174+B175</f>
        <v>321.92100000000005</v>
      </c>
      <c r="C173" s="35">
        <f t="shared" si="37"/>
        <v>321.07100000000003</v>
      </c>
      <c r="D173" s="37">
        <f t="shared" si="37"/>
        <v>0</v>
      </c>
      <c r="E173" s="38">
        <f t="shared" si="37"/>
        <v>314.17028859999999</v>
      </c>
      <c r="F173" s="35">
        <f t="shared" si="37"/>
        <v>324.75400000000002</v>
      </c>
      <c r="G173" s="37" t="e">
        <f t="shared" si="37"/>
        <v>#N/A</v>
      </c>
      <c r="H173" s="40">
        <f t="shared" si="37"/>
        <v>336.54999999999995</v>
      </c>
      <c r="I173" s="2"/>
      <c r="J173" s="2"/>
      <c r="K173" s="41"/>
      <c r="L173" s="41"/>
      <c r="M173" s="42"/>
      <c r="N173" s="42"/>
      <c r="O173" s="42"/>
      <c r="P173" s="42"/>
      <c r="Q173" s="42"/>
      <c r="R173" s="41"/>
      <c r="S173" s="41"/>
      <c r="T173" s="41"/>
      <c r="U173" s="41"/>
      <c r="V173" s="41"/>
      <c r="W173" s="41"/>
    </row>
    <row r="174" spans="1:23" ht="16.5">
      <c r="A174" s="10" t="s">
        <v>17</v>
      </c>
      <c r="B174" s="26">
        <f>'Corn World-Major'!E76/1000</f>
        <v>147.45500000000001</v>
      </c>
      <c r="C174" s="26">
        <f>'Corn World-Major'!F76/1000</f>
        <v>146.05699999999999</v>
      </c>
      <c r="D174" s="28" cm="1">
        <f t="array" ref="D174">C174-(INDEX('Historic WASDE MY 202425'!$D$4:$S$200,MATCH(A174&amp;A163,'Historic WASDE MY 202425'!$B$4:$B$200&amp;'Historic WASDE MY 202425'!$C$4:$C$200,0),MATCH(D165,'Historic WASDE MY 202425'!$D$3:$Y$3,0))/1000)</f>
        <v>0</v>
      </c>
      <c r="E174" s="29">
        <f>VLOOKUP(A174,[1]Corn!$A$2:$BB$22,51,FALSE)*0.0254</f>
        <v>141.45028859999999</v>
      </c>
      <c r="F174" s="26">
        <f>'Corn World-Major'!G76/1000</f>
        <v>149.86699999999999</v>
      </c>
      <c r="G174" s="28" t="e" cm="1">
        <f t="array" ref="G174">F174-(INDEX('Historic WASDE MY 202526'!$D$4:$R$200,MATCH(A174&amp;A163,'Historic WASDE MY 202526'!$B$4:$B$200&amp;'Historic WASDE MY 202526'!$C$4:$C$200,0),MATCH(G165,'Historic WASDE MY 202526'!$D$3:$X$3,0))/1000)</f>
        <v>#N/A</v>
      </c>
      <c r="H174" s="31">
        <f>VLOOKUP(A174,[1]Corn!$A$2:$BB$22,52,FALSE)*0.0254</f>
        <v>162.56</v>
      </c>
      <c r="I174" s="2"/>
      <c r="J174" s="2"/>
      <c r="K174" s="41"/>
      <c r="L174" s="41"/>
      <c r="M174" s="42"/>
      <c r="N174" s="42"/>
      <c r="O174" s="42"/>
      <c r="P174" s="42"/>
      <c r="Q174" s="42"/>
      <c r="R174" s="41"/>
      <c r="S174" s="41"/>
      <c r="T174" s="41"/>
      <c r="U174" s="41"/>
      <c r="V174" s="41"/>
      <c r="W174" s="41"/>
    </row>
    <row r="175" spans="1:23" ht="16.5">
      <c r="A175" s="19" t="s">
        <v>18</v>
      </c>
      <c r="B175" s="20">
        <f>'Corn World-Major'!E87/1000</f>
        <v>174.46600000000001</v>
      </c>
      <c r="C175" s="20">
        <f>'Corn World-Major'!F87/1000</f>
        <v>175.01400000000001</v>
      </c>
      <c r="D175" s="43" cm="1">
        <f t="array" ref="D175">C175-(INDEX('Historic WASDE MY 202425'!$D$4:$S$200,MATCH(A175&amp;A163,'Historic WASDE MY 202425'!$B$4:$B$200&amp;'Historic WASDE MY 202425'!$C$4:$C$200,0),MATCH(D165,'Historic WASDE MY 202425'!$D$3:$Y$3,0))/1000)</f>
        <v>0</v>
      </c>
      <c r="E175" s="23">
        <f>VLOOKUP(A175,[1]Corn!$A$2:$BB$22,51,FALSE)*0.0254</f>
        <v>172.72</v>
      </c>
      <c r="F175" s="20">
        <f>'Corn World-Major'!G87/1000</f>
        <v>174.887</v>
      </c>
      <c r="G175" s="43" t="e" cm="1">
        <f t="array" ref="G175">F175-(INDEX('Historic WASDE MY 202526'!$D$4:$R$200,MATCH(A175&amp;A163,'Historic WASDE MY 202526'!$B$4:$B$200&amp;'Historic WASDE MY 202526'!$C$4:$C$200,0),MATCH(G165,'Historic WASDE MY 202526'!$D$3:$X$3,0))/1000)</f>
        <v>#N/A</v>
      </c>
      <c r="H175" s="25">
        <f>VLOOKUP(A175,[1]Corn!$A$2:$BB$22,52,FALSE)*0.0254</f>
        <v>173.98999999999998</v>
      </c>
      <c r="I175" s="2"/>
      <c r="J175" s="2"/>
      <c r="K175" s="41"/>
      <c r="L175" s="41"/>
      <c r="M175" s="42"/>
      <c r="N175" s="42"/>
      <c r="O175" s="42"/>
      <c r="P175" s="42"/>
      <c r="Q175" s="42"/>
      <c r="R175" s="41"/>
      <c r="S175" s="41"/>
      <c r="T175" s="41"/>
      <c r="U175" s="41"/>
      <c r="V175" s="41"/>
      <c r="W175" s="41"/>
    </row>
    <row r="176" spans="1:23" ht="16.5">
      <c r="A176" s="10" t="s">
        <v>19</v>
      </c>
      <c r="B176" s="26">
        <f>'Corn World-Major'!E65/1000</f>
        <v>58.225999999999999</v>
      </c>
      <c r="C176" s="26">
        <f>'Corn World-Major'!F65/1000</f>
        <v>66.043000000000006</v>
      </c>
      <c r="D176" s="28" cm="1">
        <f t="array" ref="D176">C176-(INDEX('Historic WASDE MY 202425'!$D$4:$S$200,MATCH(A176&amp;A163,'Historic WASDE MY 202425'!$B$4:$B$200&amp;'Historic WASDE MY 202425'!$C$4:$C$200,0),MATCH(D165,'Historic WASDE MY 202425'!$D$3:$Y$3,0))/1000)</f>
        <v>1.2700000000000102</v>
      </c>
      <c r="E176" s="29">
        <f>VLOOKUP(A176,[1]Corn!$A$2:$BB$22,51,FALSE)*0.0254</f>
        <v>69.849999999999994</v>
      </c>
      <c r="F176" s="26">
        <f>'Corn World-Major'!G65/1000</f>
        <v>67.947999999999993</v>
      </c>
      <c r="G176" s="28" t="e" cm="1">
        <f t="array" ref="G176">F176-(INDEX('Historic WASDE MY 202526'!$D$4:$R$200,MATCH(A176&amp;A163,'Historic WASDE MY 202526'!$B$4:$B$200&amp;'Historic WASDE MY 202526'!$C$4:$C$200,0),MATCH(G165,'Historic WASDE MY 202526'!$D$3:$X$3,0))/1000)</f>
        <v>#N/A</v>
      </c>
      <c r="H176" s="31">
        <f>VLOOKUP(A176,[1]Corn!$A$2:$BB$22,52,FALSE)*0.0254</f>
        <v>74.929999999999993</v>
      </c>
      <c r="I176" s="2"/>
      <c r="J176" s="2"/>
      <c r="K176" s="41"/>
      <c r="L176" s="41"/>
      <c r="M176" s="42"/>
      <c r="N176" s="42"/>
      <c r="O176" s="42"/>
      <c r="P176" s="42"/>
      <c r="Q176" s="42"/>
      <c r="R176" s="41"/>
      <c r="S176" s="41"/>
      <c r="T176" s="41"/>
      <c r="U176" s="41"/>
      <c r="V176" s="41"/>
      <c r="W176" s="41"/>
    </row>
    <row r="177" spans="1:23" ht="16.5">
      <c r="A177" s="19" t="s">
        <v>20</v>
      </c>
      <c r="B177" s="20">
        <f>B176+B173</f>
        <v>380.14700000000005</v>
      </c>
      <c r="C177" s="20">
        <f>C176+C173</f>
        <v>387.11400000000003</v>
      </c>
      <c r="D177" s="43">
        <f t="shared" ref="D177" si="38">D176+D173</f>
        <v>1.2700000000000102</v>
      </c>
      <c r="E177" s="23">
        <f>E176+E173</f>
        <v>384.02028859999996</v>
      </c>
      <c r="F177" s="20">
        <f>F176+F173</f>
        <v>392.702</v>
      </c>
      <c r="G177" s="43" t="e">
        <f t="shared" ref="G177" si="39">G176+G173</f>
        <v>#N/A</v>
      </c>
      <c r="H177" s="25">
        <f>H176+H173</f>
        <v>411.47999999999996</v>
      </c>
      <c r="I177" s="2"/>
      <c r="J177" s="2"/>
      <c r="K177" s="41"/>
      <c r="L177" s="41"/>
      <c r="M177" s="42"/>
      <c r="N177" s="42"/>
      <c r="O177" s="42"/>
      <c r="P177" s="42"/>
      <c r="Q177" s="42"/>
      <c r="R177" s="41"/>
      <c r="S177" s="41"/>
      <c r="T177" s="41"/>
      <c r="U177" s="41"/>
      <c r="V177" s="41"/>
      <c r="W177" s="41"/>
    </row>
    <row r="178" spans="1:23" ht="16.5">
      <c r="A178" s="44" t="s">
        <v>21</v>
      </c>
      <c r="B178" s="45">
        <f>'Corn World-Major'!E109/1000</f>
        <v>44.792000000000002</v>
      </c>
      <c r="C178" s="45">
        <f>'Corn World-Major'!F109/1000</f>
        <v>35.945999999999998</v>
      </c>
      <c r="D178" s="47" cm="1">
        <f t="array" ref="D178">C178-(INDEX('Historic WASDE MY 202425'!$D$4:$S$200,MATCH(A178&amp;A163,'Historic WASDE MY 202425'!$B$4:$B$200&amp;'Historic WASDE MY 202425'!$C$4:$C$200,0),MATCH(D165,'Historic WASDE MY 202425'!$D$3:$Y$3,0))/1000)</f>
        <v>-1.2700000000000031</v>
      </c>
      <c r="E178" s="48">
        <f>E172-E177</f>
        <v>38.907709000000011</v>
      </c>
      <c r="F178" s="45">
        <f>'Corn World-Major'!G109/1000</f>
        <v>45.725999999999999</v>
      </c>
      <c r="G178" s="47" t="e" cm="1">
        <f t="array" ref="G178">F178-(INDEX('Historic WASDE MY 202526'!$D$4:$R$200,MATCH(A178&amp;A163,'Historic WASDE MY 202526'!$B$4:$B$200&amp;'Historic WASDE MY 202526'!$C$4:$C$200,0),MATCH(G165,'Historic WASDE MY 202526'!$D$3:$X$3,0))/1000)</f>
        <v>#N/A</v>
      </c>
      <c r="H178" s="50">
        <f>H172-H177</f>
        <v>52.589585492342849</v>
      </c>
      <c r="I178" s="2"/>
      <c r="J178" s="51"/>
      <c r="K178" s="41"/>
      <c r="L178" s="41"/>
      <c r="M178" s="42"/>
      <c r="N178" s="42"/>
      <c r="O178" s="42"/>
      <c r="P178" s="42"/>
      <c r="Q178" s="52"/>
    </row>
    <row r="179" spans="1:23" ht="17.25" thickBot="1">
      <c r="A179" s="19" t="s">
        <v>22</v>
      </c>
      <c r="B179" s="53">
        <f>B178/B177</f>
        <v>0.11782810333897149</v>
      </c>
      <c r="C179" s="53">
        <f>C178/C177</f>
        <v>9.2856367891628808E-2</v>
      </c>
      <c r="D179" s="55" cm="1">
        <f t="array" ref="D179">C179-(((INDEX('Historic WASDE MY 202425'!$D$4:$S$200,MATCH(A178&amp;A163,'Historic WASDE MY 202425'!$B$4:$B$200&amp;'Historic WASDE MY 202425'!$C$4:$C$200,0),MATCH(D165,'Historic WASDE MY 202425'!$D$3:$Y$3,0))/1000))/SUM(((INDEX('Historic WASDE MY 202425'!$D$4:$S$200,MATCH(A174&amp;A163,'Historic WASDE MY 202425'!$B$4:$B$200&amp;'Historic WASDE MY 202425'!$C$4:$C$200,0),MATCH(D165,'Historic WASDE MY 202425'!$D$3:$Y$3,0))/1000)),((INDEX('Historic WASDE MY 202425'!$D$4:$S$200,MATCH(A175&amp;A163,'Historic WASDE MY 202425'!$B$4:$B$200&amp;'Historic WASDE MY 202425'!$C$4:$C$200,0),MATCH(D165,'Historic WASDE MY 202425'!$D$3:$Y$3,0))/1000)),((INDEX('Historic WASDE MY 202425'!$D$4:$S$200,MATCH(A176&amp;A163,'Historic WASDE MY 202425'!$B$4:$B$200&amp;'Historic WASDE MY 202425'!$C$4:$C$200,0),MATCH(D165,'Historic WASDE MY 202425'!$D$3:$Y$3,0))/1000))))</f>
        <v>-3.5971210831900191E-3</v>
      </c>
      <c r="E179" s="56">
        <f>E178/E177</f>
        <v>0.10131680579128656</v>
      </c>
      <c r="F179" s="53">
        <f>F178/F177</f>
        <v>0.1164394375378786</v>
      </c>
      <c r="G179" s="55" t="e" cm="1">
        <f t="array" ref="G179">F179-((INDEX('Historic WASDE MY 202526'!$D$4:$R$200,MATCH(A178&amp;A163,'Historic WASDE MY 202526'!$B$4:$B$200&amp;'Historic WASDE MY 202526'!$C$4:$C$200,0),MATCH(G165,'Historic WASDE MY 202526'!$D$3:$X$3,0))/1000))/SUM(((INDEX('Historic WASDE MY 202526'!$D$4:$R$200,MATCH(A174&amp;A163,'Historic WASDE MY 202526'!$B$4:$B$200&amp;'Historic WASDE MY 202526'!$C$4:$C$200,0),MATCH(G165,'Historic WASDE MY 202526'!$D$3:$X$3,0))/1000)),((INDEX('Historic WASDE MY 202526'!$D$4:$R$200,MATCH(A175&amp;A163,'Historic WASDE MY 202526'!$B$4:$B$200&amp;'Historic WASDE MY 202526'!$C$4:$C$200,0),MATCH(G165,'Historic WASDE MY 202526'!$D$3:$X$3,0))/1000)),((INDEX('Historic WASDE MY 202526'!$D$4:$R$200,MATCH(A176&amp;A163,'Historic WASDE MY 202526'!$B$4:$B$200&amp;'Historic WASDE MY 202526'!$C$4:$C$200,0),MATCH(G165,'Historic WASDE MY 202526'!$D$3:$X$3,0))/1000)))</f>
        <v>#N/A</v>
      </c>
      <c r="H179" s="58">
        <f>H178/H177</f>
        <v>0.12780593344109764</v>
      </c>
      <c r="I179" s="2"/>
      <c r="J179" s="2"/>
      <c r="K179" s="59"/>
      <c r="L179" s="59"/>
      <c r="M179" s="59"/>
      <c r="N179" s="59"/>
      <c r="O179" s="59"/>
      <c r="P179" s="60"/>
      <c r="Q179" s="59"/>
    </row>
    <row r="180" spans="1:23">
      <c r="A180" s="61"/>
      <c r="B180" s="61"/>
      <c r="C180" s="61"/>
      <c r="D180" s="61"/>
      <c r="E180" s="61"/>
      <c r="F180" s="61"/>
      <c r="G180" s="61"/>
      <c r="H180" s="61"/>
    </row>
  </sheetData>
  <mergeCells count="63">
    <mergeCell ref="C163:E163"/>
    <mergeCell ref="F163:H163"/>
    <mergeCell ref="B164:B165"/>
    <mergeCell ref="C164:C165"/>
    <mergeCell ref="E164:E165"/>
    <mergeCell ref="F164:F165"/>
    <mergeCell ref="H164:H165"/>
    <mergeCell ref="C143:E143"/>
    <mergeCell ref="F143:H143"/>
    <mergeCell ref="B144:B145"/>
    <mergeCell ref="C144:C145"/>
    <mergeCell ref="E144:E145"/>
    <mergeCell ref="F144:F145"/>
    <mergeCell ref="H144:H145"/>
    <mergeCell ref="C123:E123"/>
    <mergeCell ref="F123:H123"/>
    <mergeCell ref="B124:B125"/>
    <mergeCell ref="C124:C125"/>
    <mergeCell ref="E124:E125"/>
    <mergeCell ref="F124:F125"/>
    <mergeCell ref="H124:H125"/>
    <mergeCell ref="C103:E103"/>
    <mergeCell ref="F103:H103"/>
    <mergeCell ref="B104:B105"/>
    <mergeCell ref="C104:C105"/>
    <mergeCell ref="E104:E105"/>
    <mergeCell ref="F104:F105"/>
    <mergeCell ref="H104:H105"/>
    <mergeCell ref="C83:E83"/>
    <mergeCell ref="F83:H83"/>
    <mergeCell ref="B84:B85"/>
    <mergeCell ref="C84:C85"/>
    <mergeCell ref="E84:E85"/>
    <mergeCell ref="F84:F85"/>
    <mergeCell ref="H84:H85"/>
    <mergeCell ref="C63:E63"/>
    <mergeCell ref="F63:H63"/>
    <mergeCell ref="B64:B65"/>
    <mergeCell ref="C64:C65"/>
    <mergeCell ref="E64:E65"/>
    <mergeCell ref="F64:F65"/>
    <mergeCell ref="H64:H65"/>
    <mergeCell ref="C43:E43"/>
    <mergeCell ref="F43:H43"/>
    <mergeCell ref="B44:B45"/>
    <mergeCell ref="C44:C45"/>
    <mergeCell ref="E44:E45"/>
    <mergeCell ref="F44:F45"/>
    <mergeCell ref="H44:H45"/>
    <mergeCell ref="C23:E23"/>
    <mergeCell ref="F23:H23"/>
    <mergeCell ref="B24:B25"/>
    <mergeCell ref="C24:C25"/>
    <mergeCell ref="E24:E25"/>
    <mergeCell ref="F24:F25"/>
    <mergeCell ref="H24:H25"/>
    <mergeCell ref="C3:E3"/>
    <mergeCell ref="F3:H3"/>
    <mergeCell ref="B4:B5"/>
    <mergeCell ref="C4:C5"/>
    <mergeCell ref="E4:E5"/>
    <mergeCell ref="F4:F5"/>
    <mergeCell ref="H4:H5"/>
  </mergeCells>
  <conditionalFormatting sqref="D6:D19">
    <cfRule type="cellIs" dxfId="35" priority="36" operator="greaterThan">
      <formula>0</formula>
    </cfRule>
    <cfRule type="cellIs" dxfId="34" priority="35" operator="lessThan">
      <formula>0</formula>
    </cfRule>
  </conditionalFormatting>
  <conditionalFormatting sqref="D26:D39">
    <cfRule type="cellIs" dxfId="33" priority="32" operator="greaterThan">
      <formula>0</formula>
    </cfRule>
    <cfRule type="cellIs" dxfId="32" priority="31" operator="lessThan">
      <formula>0</formula>
    </cfRule>
  </conditionalFormatting>
  <conditionalFormatting sqref="D46:D59">
    <cfRule type="cellIs" dxfId="31" priority="27" operator="lessThan">
      <formula>0</formula>
    </cfRule>
    <cfRule type="cellIs" dxfId="30" priority="28" operator="greaterThan">
      <formula>0</formula>
    </cfRule>
  </conditionalFormatting>
  <conditionalFormatting sqref="D66:D79">
    <cfRule type="cellIs" dxfId="29" priority="24" operator="greaterThan">
      <formula>0</formula>
    </cfRule>
    <cfRule type="cellIs" dxfId="28" priority="23" operator="lessThan">
      <formula>0</formula>
    </cfRule>
  </conditionalFormatting>
  <conditionalFormatting sqref="D86:D99">
    <cfRule type="cellIs" dxfId="27" priority="19" operator="lessThan">
      <formula>0</formula>
    </cfRule>
    <cfRule type="cellIs" dxfId="26" priority="20" operator="greaterThan">
      <formula>0</formula>
    </cfRule>
  </conditionalFormatting>
  <conditionalFormatting sqref="D106:D119">
    <cfRule type="cellIs" dxfId="25" priority="16" operator="greaterThan">
      <formula>0</formula>
    </cfRule>
    <cfRule type="cellIs" dxfId="24" priority="15" operator="lessThan">
      <formula>0</formula>
    </cfRule>
  </conditionalFormatting>
  <conditionalFormatting sqref="D126:D139">
    <cfRule type="cellIs" dxfId="23" priority="11" operator="lessThan">
      <formula>0</formula>
    </cfRule>
    <cfRule type="cellIs" dxfId="22" priority="12" operator="greaterThan">
      <formula>0</formula>
    </cfRule>
  </conditionalFormatting>
  <conditionalFormatting sqref="D146:D159">
    <cfRule type="cellIs" dxfId="21" priority="7" operator="lessThan">
      <formula>0</formula>
    </cfRule>
    <cfRule type="cellIs" dxfId="20" priority="8" operator="greaterThan">
      <formula>0</formula>
    </cfRule>
  </conditionalFormatting>
  <conditionalFormatting sqref="D166:D179">
    <cfRule type="cellIs" dxfId="19" priority="3" operator="lessThan">
      <formula>0</formula>
    </cfRule>
    <cfRule type="cellIs" dxfId="18" priority="4" operator="greaterThan">
      <formula>0</formula>
    </cfRule>
  </conditionalFormatting>
  <conditionalFormatting sqref="G6:G19">
    <cfRule type="cellIs" dxfId="17" priority="33" operator="lessThan">
      <formula>0</formula>
    </cfRule>
    <cfRule type="cellIs" dxfId="16" priority="34" operator="greaterThan">
      <formula>0</formula>
    </cfRule>
  </conditionalFormatting>
  <conditionalFormatting sqref="G26:G39">
    <cfRule type="cellIs" dxfId="15" priority="29" operator="lessThan">
      <formula>0</formula>
    </cfRule>
    <cfRule type="cellIs" dxfId="14" priority="30" operator="greaterThan">
      <formula>0</formula>
    </cfRule>
  </conditionalFormatting>
  <conditionalFormatting sqref="G46:G59">
    <cfRule type="cellIs" dxfId="13" priority="25" operator="lessThan">
      <formula>0</formula>
    </cfRule>
    <cfRule type="cellIs" dxfId="12" priority="26" operator="greaterThan">
      <formula>0</formula>
    </cfRule>
  </conditionalFormatting>
  <conditionalFormatting sqref="G66:G79">
    <cfRule type="cellIs" dxfId="11" priority="21" operator="lessThan">
      <formula>0</formula>
    </cfRule>
    <cfRule type="cellIs" dxfId="10" priority="22" operator="greaterThan">
      <formula>0</formula>
    </cfRule>
  </conditionalFormatting>
  <conditionalFormatting sqref="G86:G99">
    <cfRule type="cellIs" dxfId="9" priority="18" operator="greaterThan">
      <formula>0</formula>
    </cfRule>
    <cfRule type="cellIs" dxfId="8" priority="17" operator="lessThan">
      <formula>0</formula>
    </cfRule>
  </conditionalFormatting>
  <conditionalFormatting sqref="G106:G119">
    <cfRule type="cellIs" dxfId="7" priority="14" operator="greaterThan">
      <formula>0</formula>
    </cfRule>
    <cfRule type="cellIs" dxfId="6" priority="13" operator="lessThan">
      <formula>0</formula>
    </cfRule>
  </conditionalFormatting>
  <conditionalFormatting sqref="G126:G139">
    <cfRule type="cellIs" dxfId="5" priority="9" operator="lessThan">
      <formula>0</formula>
    </cfRule>
    <cfRule type="cellIs" dxfId="4" priority="10" operator="greaterThan">
      <formula>0</formula>
    </cfRule>
  </conditionalFormatting>
  <conditionalFormatting sqref="G146:G159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G166:G179">
    <cfRule type="cellIs" dxfId="1" priority="2" operator="greaterThan">
      <formula>0</formula>
    </cfRule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A9D5E-FA34-4DC1-8A51-EE20DCB3AB3B}">
  <sheetPr>
    <tabColor rgb="FF92D050"/>
  </sheetPr>
  <dimension ref="A1:AG55"/>
  <sheetViews>
    <sheetView zoomScale="92" zoomScaleNormal="150" workbookViewId="0">
      <pane xSplit="1" ySplit="2" topLeftCell="X3" activePane="bottomRight" state="frozen"/>
      <selection activeCell="P12" sqref="P12"/>
      <selection pane="topRight" activeCell="P12" sqref="P12"/>
      <selection pane="bottomLeft" activeCell="P12" sqref="P12"/>
      <selection pane="bottomRight" activeCell="B5" sqref="B5"/>
    </sheetView>
  </sheetViews>
  <sheetFormatPr defaultColWidth="7.42578125" defaultRowHeight="12.75"/>
  <cols>
    <col min="1" max="1" width="27.42578125" style="3" customWidth="1"/>
    <col min="2" max="2" width="8.7109375" style="3" hidden="1" customWidth="1"/>
    <col min="3" max="10" width="7" style="3" hidden="1" customWidth="1"/>
    <col min="11" max="11" width="8.28515625" style="3" hidden="1" customWidth="1"/>
    <col min="12" max="19" width="8" style="3" hidden="1" customWidth="1"/>
    <col min="20" max="23" width="10" style="3" hidden="1" customWidth="1"/>
    <col min="24" max="27" width="10" style="3" customWidth="1"/>
    <col min="28" max="28" width="7.42578125" style="3"/>
    <col min="29" max="29" width="13.42578125" style="3" bestFit="1" customWidth="1"/>
    <col min="30" max="16384" width="7.42578125" style="3"/>
  </cols>
  <sheetData>
    <row r="1" spans="1:32" ht="18.75" thickBot="1">
      <c r="A1" s="64" t="s">
        <v>41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spans="1:32" ht="17.25" thickBot="1">
      <c r="A2" s="65" t="s">
        <v>42</v>
      </c>
      <c r="B2" s="66" t="s">
        <v>43</v>
      </c>
      <c r="C2" s="66" t="s">
        <v>44</v>
      </c>
      <c r="D2" s="66" t="s">
        <v>45</v>
      </c>
      <c r="E2" s="66" t="s">
        <v>46</v>
      </c>
      <c r="F2" s="66" t="s">
        <v>47</v>
      </c>
      <c r="G2" s="66" t="s">
        <v>48</v>
      </c>
      <c r="H2" s="66" t="s">
        <v>49</v>
      </c>
      <c r="I2" s="66" t="s">
        <v>50</v>
      </c>
      <c r="J2" s="66" t="s">
        <v>51</v>
      </c>
      <c r="K2" s="66" t="s">
        <v>52</v>
      </c>
      <c r="L2" s="66" t="s">
        <v>53</v>
      </c>
      <c r="M2" s="66" t="s">
        <v>54</v>
      </c>
      <c r="N2" s="66" t="s">
        <v>55</v>
      </c>
      <c r="O2" s="66" t="s">
        <v>56</v>
      </c>
      <c r="P2" s="66" t="s">
        <v>57</v>
      </c>
      <c r="Q2" s="66" t="s">
        <v>58</v>
      </c>
      <c r="R2" s="66" t="s">
        <v>59</v>
      </c>
      <c r="S2" s="66" t="s">
        <v>60</v>
      </c>
      <c r="T2" s="66" t="s">
        <v>61</v>
      </c>
      <c r="U2" s="66" t="s">
        <v>62</v>
      </c>
      <c r="V2" s="66" t="s">
        <v>63</v>
      </c>
      <c r="W2" s="66" t="s">
        <v>64</v>
      </c>
      <c r="X2" s="66" t="s">
        <v>65</v>
      </c>
      <c r="Y2" s="66" t="s">
        <v>2</v>
      </c>
      <c r="Z2" s="66" t="s">
        <v>3</v>
      </c>
      <c r="AA2" s="66" t="s">
        <v>4</v>
      </c>
    </row>
    <row r="3" spans="1:32" ht="16.5">
      <c r="A3" s="67"/>
      <c r="B3" s="68">
        <v>2000</v>
      </c>
      <c r="C3" s="68">
        <v>2001</v>
      </c>
      <c r="D3" s="68">
        <v>2002</v>
      </c>
      <c r="E3" s="68">
        <v>2003</v>
      </c>
      <c r="F3" s="68">
        <v>2004</v>
      </c>
      <c r="G3" s="68">
        <v>2005</v>
      </c>
      <c r="H3" s="68">
        <v>2006</v>
      </c>
      <c r="I3" s="68">
        <v>2007</v>
      </c>
      <c r="J3" s="68">
        <v>2008</v>
      </c>
      <c r="K3" s="68">
        <v>2009</v>
      </c>
      <c r="L3" s="68">
        <v>2010</v>
      </c>
      <c r="M3" s="68">
        <v>2011</v>
      </c>
      <c r="N3" s="68">
        <v>2012</v>
      </c>
      <c r="O3" s="68">
        <v>2013</v>
      </c>
      <c r="P3" s="68">
        <v>2014</v>
      </c>
      <c r="Q3" s="68">
        <v>2015</v>
      </c>
      <c r="R3" s="68">
        <v>2016</v>
      </c>
      <c r="S3" s="68">
        <v>2017</v>
      </c>
      <c r="T3" s="68">
        <v>2018</v>
      </c>
      <c r="U3" s="68">
        <v>2019</v>
      </c>
      <c r="V3" s="68">
        <v>2020</v>
      </c>
      <c r="W3" s="68">
        <v>2021</v>
      </c>
      <c r="X3" s="68">
        <v>2022</v>
      </c>
      <c r="Y3" s="68">
        <v>2023</v>
      </c>
      <c r="Z3" s="68">
        <v>2024</v>
      </c>
      <c r="AA3" s="68">
        <v>2025</v>
      </c>
    </row>
    <row r="4" spans="1:32" ht="15.75">
      <c r="A4" s="69" t="s">
        <v>9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C4" s="71"/>
    </row>
    <row r="5" spans="1:32" ht="15.75">
      <c r="A5" s="69" t="s">
        <v>10</v>
      </c>
      <c r="B5" s="70" t="e">
        <f>SUM(#REF!,[2]Australia!B5,[2]Canada!F5,[2]EU27!B5,[2]Russia!B5,[2]Turkey!B5,[2]Ukraine!B5)</f>
        <v>#REF!</v>
      </c>
      <c r="C5" s="70" t="e">
        <f>SUM(#REF!,[2]Australia!C5,[2]Canada!G5,[2]EU27!C5,[2]Russia!C5,[2]Turkey!C5,[2]Ukraine!C5)</f>
        <v>#REF!</v>
      </c>
      <c r="D5" s="70" t="e">
        <f>SUM(#REF!,[2]Australia!D5,[2]Canada!H5,[2]EU27!D5,[2]Russia!D5,[2]Turkey!D5,[2]Ukraine!D5)</f>
        <v>#REF!</v>
      </c>
      <c r="E5" s="70" t="e">
        <f>SUM(#REF!,[2]Australia!E5,[2]Canada!I5,[2]EU27!E5,[2]Russia!E5,[2]Turkey!E5,[2]Ukraine!E5)</f>
        <v>#REF!</v>
      </c>
      <c r="F5" s="70" t="e">
        <f>SUM(#REF!,[2]Australia!F5,[2]Canada!J5,[2]EU27!F5,[2]Russia!F5,[2]Turkey!F5,[2]Ukraine!F5)</f>
        <v>#REF!</v>
      </c>
      <c r="G5" s="70" t="e">
        <f>SUM(#REF!,[2]Australia!G5,[2]Canada!K5,[2]EU27!G5,[2]Russia!G5,[2]Turkey!G5,[2]Ukraine!G5)</f>
        <v>#REF!</v>
      </c>
      <c r="H5" s="70" t="e">
        <f>SUM(#REF!,[2]Australia!H5,[2]Canada!L5,[2]EU27!H5,[2]Russia!H5,[2]Turkey!H5,[2]Ukraine!H5)</f>
        <v>#REF!</v>
      </c>
      <c r="I5" s="70" t="e">
        <f>SUM(#REF!,[2]Australia!I5,[2]Canada!M5,[2]EU27!I5,[2]Russia!I5,[2]Turkey!I5,[2]Ukraine!I5)</f>
        <v>#REF!</v>
      </c>
      <c r="J5" s="70" t="e">
        <f>SUM(#REF!,[2]Australia!J5,[2]Canada!N5,[2]EU27!J5,[2]Russia!J5,[2]Turkey!J5,[2]Ukraine!J5)</f>
        <v>#REF!</v>
      </c>
      <c r="K5" s="70" t="e">
        <f>SUM(#REF!,[2]Australia!K5,[2]Canada!O5,[2]EU27!K5,[2]Russia!K5,[2]Turkey!K5,[2]Ukraine!K5)</f>
        <v>#REF!</v>
      </c>
      <c r="L5" s="70" t="e">
        <f>SUM(#REF!,[2]Australia!L5,[2]Canada!P5,[2]EU27!L5,[2]Russia!L5,[2]Turkey!L5,[2]Ukraine!L5)</f>
        <v>#REF!</v>
      </c>
      <c r="M5" s="70" t="e">
        <f>SUM(#REF!,[2]Australia!M5,[2]Canada!Q5,[2]EU27!M5,[2]Russia!M5,[2]Turkey!M5,[2]Ukraine!M5)</f>
        <v>#REF!</v>
      </c>
      <c r="N5" s="70" t="e">
        <f>SUM(#REF!,[2]Australia!N5,[2]Canada!R5,[2]EU27!N5,[2]Russia!N5,[2]Turkey!N5,[2]Ukraine!N5)</f>
        <v>#REF!</v>
      </c>
      <c r="O5" s="70" t="e">
        <f>SUM(#REF!,[2]Australia!O5,[2]Canada!S5,[2]EU27!O5,[2]Russia!O5,[2]Turkey!O5,[2]Ukraine!O5)</f>
        <v>#REF!</v>
      </c>
      <c r="P5" s="70" t="e">
        <f>SUM(#REF!,[2]Australia!P5,[2]Canada!T5,[2]EU27!P5,[2]Russia!P5,[2]Turkey!P5,[2]Ukraine!P5)</f>
        <v>#REF!</v>
      </c>
      <c r="Q5" s="70" t="e">
        <f>SUM(#REF!,[2]Australia!Q5,[2]Canada!U5,[2]EU27!Q5,[2]Russia!Q5,[2]Turkey!Q5,[2]Ukraine!Q5)</f>
        <v>#REF!</v>
      </c>
      <c r="R5" s="70" t="e">
        <f>SUM(#REF!,[2]Australia!R5,[2]Canada!V5,[2]EU27!R5,[2]Russia!R5,[2]Turkey!R5,[2]Ukraine!R5)</f>
        <v>#REF!</v>
      </c>
      <c r="S5" s="70" t="e">
        <f>SUM(#REF!,[2]Australia!S5,[2]Canada!W5,[2]EU27!S5,[2]Russia!S5,[2]Turkey!S5,[2]Ukraine!S5)</f>
        <v>#REF!</v>
      </c>
      <c r="T5" s="70" t="e">
        <f>SUM(#REF!,[2]Australia!T5,[2]Canada!X5,[2]EU27!T5,[2]Russia!T5,[2]Turkey!T5,[2]Ukraine!T5)</f>
        <v>#REF!</v>
      </c>
      <c r="U5" s="70" t="e">
        <f>SUM(#REF!,[2]Australia!U5,[2]Canada!Y5,[2]EU27!U5,[2]Russia!U5,[2]Turkey!U5,[2]Ukraine!U5)</f>
        <v>#REF!</v>
      </c>
      <c r="V5" s="70" t="e">
        <f>SUM(#REF!,[2]Australia!V5,[2]Canada!Z5,[2]EU27!V5,[2]Russia!V5,[2]Turkey!V5,[2]Ukraine!V5)</f>
        <v>#REF!</v>
      </c>
      <c r="W5" s="70" t="e">
        <f>SUM(#REF!,[2]Australia!W5,[2]Canada!AA5,[2]EU27!W5,[2]Russia!W5,[2]Turkey!W5,[2]Ukraine!W5)</f>
        <v>#REF!</v>
      </c>
      <c r="X5" s="70">
        <f>'Corn World-Major'!D11/1000</f>
        <v>200.65199999999999</v>
      </c>
      <c r="Y5" s="70">
        <f>SUM('Corn World-Major'!D12/1000,Argentina!AY5,Brazil!AY4,Canada!AC5,China!AX4,'EU27'!AX5,Russia!AX4,Ukraine!AN5)+([1]Corn!AX5*0.404686)</f>
        <v>203.98223899044555</v>
      </c>
      <c r="Z5" s="70">
        <f>SUM('Corn World-Major'!F12/1000,Argentina!AZ5,Brazil!AZ4,Canada!AD5,China!AY4,'EU27'!AY5,Russia!AY4,Ukraine!AO5)+([1]Corn!AY5*0.404686)</f>
        <v>203.19403005334351</v>
      </c>
      <c r="AA5" s="70">
        <f>SUM('Corn World-Major'!G12/1000,Argentina!BA5,Brazil!BA4,Canada!AE5,China!AZ4,'EU27'!AZ5,Russia!AZ4,Ukraine!AP5)+([1]Corn!AZ5*0.404686)</f>
        <v>212.57350026141151</v>
      </c>
    </row>
    <row r="6" spans="1:32" ht="15.75">
      <c r="A6" s="72" t="s">
        <v>11</v>
      </c>
      <c r="B6" s="73" t="e">
        <f t="shared" ref="B6:K6" si="0">B9/B5</f>
        <v>#REF!</v>
      </c>
      <c r="C6" s="73" t="e">
        <f t="shared" si="0"/>
        <v>#REF!</v>
      </c>
      <c r="D6" s="73" t="e">
        <f t="shared" si="0"/>
        <v>#REF!</v>
      </c>
      <c r="E6" s="73" t="e">
        <f t="shared" si="0"/>
        <v>#REF!</v>
      </c>
      <c r="F6" s="73" t="e">
        <f t="shared" si="0"/>
        <v>#REF!</v>
      </c>
      <c r="G6" s="73" t="e">
        <f t="shared" si="0"/>
        <v>#REF!</v>
      </c>
      <c r="H6" s="73" t="e">
        <f t="shared" si="0"/>
        <v>#REF!</v>
      </c>
      <c r="I6" s="73" t="e">
        <f t="shared" si="0"/>
        <v>#REF!</v>
      </c>
      <c r="J6" s="73" t="e">
        <f t="shared" si="0"/>
        <v>#REF!</v>
      </c>
      <c r="K6" s="73" t="e">
        <f t="shared" si="0"/>
        <v>#REF!</v>
      </c>
      <c r="L6" s="73" t="e">
        <f>L9/L5</f>
        <v>#REF!</v>
      </c>
      <c r="M6" s="73" t="e">
        <f t="shared" ref="M6:X6" si="1">M9/M5</f>
        <v>#REF!</v>
      </c>
      <c r="N6" s="73" t="e">
        <f t="shared" si="1"/>
        <v>#REF!</v>
      </c>
      <c r="O6" s="73" t="e">
        <f t="shared" si="1"/>
        <v>#REF!</v>
      </c>
      <c r="P6" s="73" t="e">
        <f t="shared" si="1"/>
        <v>#REF!</v>
      </c>
      <c r="Q6" s="73" t="e">
        <f t="shared" si="1"/>
        <v>#REF!</v>
      </c>
      <c r="R6" s="73" t="e">
        <f t="shared" si="1"/>
        <v>#REF!</v>
      </c>
      <c r="S6" s="73" t="e">
        <f t="shared" si="1"/>
        <v>#REF!</v>
      </c>
      <c r="T6" s="73" t="e">
        <f>T9/T5</f>
        <v>#REF!</v>
      </c>
      <c r="U6" s="73" t="e">
        <f>U9/U5</f>
        <v>#REF!</v>
      </c>
      <c r="V6" s="73" t="e">
        <f t="shared" si="1"/>
        <v>#REF!</v>
      </c>
      <c r="W6" s="73" t="e">
        <f t="shared" si="1"/>
        <v>#REF!</v>
      </c>
      <c r="X6" s="73">
        <f t="shared" si="1"/>
        <v>5.7796034926140791</v>
      </c>
      <c r="Y6" s="73">
        <f>Y9/Y5</f>
        <v>5.9190932680004247</v>
      </c>
      <c r="Z6" s="73">
        <f>Z9/Z5</f>
        <v>6.336450052938857</v>
      </c>
      <c r="AA6" s="73">
        <f>AA9/AA5</f>
        <v>4.3582346883181655</v>
      </c>
    </row>
    <row r="7" spans="1:32" ht="15.75">
      <c r="A7" s="74" t="s">
        <v>66</v>
      </c>
      <c r="B7" s="75" t="e">
        <f t="shared" ref="B7:K7" si="2">B5/B4</f>
        <v>#REF!</v>
      </c>
      <c r="C7" s="75" t="e">
        <f t="shared" si="2"/>
        <v>#REF!</v>
      </c>
      <c r="D7" s="75" t="e">
        <f t="shared" si="2"/>
        <v>#REF!</v>
      </c>
      <c r="E7" s="75" t="e">
        <f t="shared" si="2"/>
        <v>#REF!</v>
      </c>
      <c r="F7" s="75" t="e">
        <f t="shared" si="2"/>
        <v>#REF!</v>
      </c>
      <c r="G7" s="75" t="e">
        <f t="shared" si="2"/>
        <v>#REF!</v>
      </c>
      <c r="H7" s="75" t="e">
        <f t="shared" si="2"/>
        <v>#REF!</v>
      </c>
      <c r="I7" s="75" t="e">
        <f t="shared" si="2"/>
        <v>#REF!</v>
      </c>
      <c r="J7" s="75" t="e">
        <f t="shared" si="2"/>
        <v>#REF!</v>
      </c>
      <c r="K7" s="75" t="e">
        <f t="shared" si="2"/>
        <v>#REF!</v>
      </c>
      <c r="L7" s="75" t="e">
        <f>L5/L4</f>
        <v>#REF!</v>
      </c>
      <c r="M7" s="75" t="e">
        <f>M5/M4</f>
        <v>#REF!</v>
      </c>
      <c r="N7" s="75" t="e">
        <f>N5/N4</f>
        <v>#REF!</v>
      </c>
      <c r="O7" s="75" t="e">
        <f>O5/O4</f>
        <v>#REF!</v>
      </c>
      <c r="P7" s="75" t="e">
        <f>P5/O4</f>
        <v>#REF!</v>
      </c>
      <c r="Q7" s="75" t="e">
        <f>Q5/P4</f>
        <v>#REF!</v>
      </c>
      <c r="R7" s="75" t="e">
        <f t="shared" ref="R7:AA7" si="3">R5/R4</f>
        <v>#REF!</v>
      </c>
      <c r="S7" s="75" t="e">
        <f t="shared" si="3"/>
        <v>#REF!</v>
      </c>
      <c r="T7" s="75" t="e">
        <f t="shared" si="3"/>
        <v>#REF!</v>
      </c>
      <c r="U7" s="75" t="e">
        <f t="shared" si="3"/>
        <v>#REF!</v>
      </c>
      <c r="V7" s="75" t="e">
        <f t="shared" si="3"/>
        <v>#REF!</v>
      </c>
      <c r="W7" s="75" t="e">
        <f t="shared" si="3"/>
        <v>#REF!</v>
      </c>
      <c r="X7" s="75" t="e">
        <f t="shared" si="3"/>
        <v>#DIV/0!</v>
      </c>
      <c r="Y7" s="75" t="e">
        <f t="shared" si="3"/>
        <v>#DIV/0!</v>
      </c>
      <c r="Z7" s="75" t="e">
        <f>Z5/Z4</f>
        <v>#DIV/0!</v>
      </c>
      <c r="AA7" s="75" t="e">
        <f t="shared" si="3"/>
        <v>#DIV/0!</v>
      </c>
    </row>
    <row r="8" spans="1:32" ht="15.75">
      <c r="A8" s="69" t="s">
        <v>67</v>
      </c>
      <c r="B8" s="70" t="e">
        <f>SUM(#REF!,[2]Australia!B8,[2]Canada!F8,[2]EU27!B8,[2]Russia!B8,[2]Turkey!B8,[2]Ukraine!B8)</f>
        <v>#REF!</v>
      </c>
      <c r="C8" s="70" t="e">
        <f>B17</f>
        <v>#REF!</v>
      </c>
      <c r="D8" s="70" t="e">
        <f t="shared" ref="D8:W8" si="4">C17</f>
        <v>#REF!</v>
      </c>
      <c r="E8" s="70" t="e">
        <f t="shared" si="4"/>
        <v>#REF!</v>
      </c>
      <c r="F8" s="70" t="e">
        <f t="shared" si="4"/>
        <v>#REF!</v>
      </c>
      <c r="G8" s="70" t="e">
        <f t="shared" si="4"/>
        <v>#REF!</v>
      </c>
      <c r="H8" s="70" t="e">
        <f t="shared" si="4"/>
        <v>#REF!</v>
      </c>
      <c r="I8" s="70" t="e">
        <f t="shared" si="4"/>
        <v>#REF!</v>
      </c>
      <c r="J8" s="70" t="e">
        <f t="shared" si="4"/>
        <v>#REF!</v>
      </c>
      <c r="K8" s="70" t="e">
        <f t="shared" si="4"/>
        <v>#REF!</v>
      </c>
      <c r="L8" s="70" t="e">
        <f t="shared" si="4"/>
        <v>#REF!</v>
      </c>
      <c r="M8" s="70" t="e">
        <f t="shared" si="4"/>
        <v>#REF!</v>
      </c>
      <c r="N8" s="70" t="e">
        <f t="shared" si="4"/>
        <v>#REF!</v>
      </c>
      <c r="O8" s="70" t="e">
        <f t="shared" si="4"/>
        <v>#REF!</v>
      </c>
      <c r="P8" s="70" t="e">
        <f t="shared" si="4"/>
        <v>#REF!</v>
      </c>
      <c r="Q8" s="70" t="e">
        <f t="shared" si="4"/>
        <v>#REF!</v>
      </c>
      <c r="R8" s="70" t="e">
        <f t="shared" si="4"/>
        <v>#REF!</v>
      </c>
      <c r="S8" s="70" t="e">
        <f t="shared" si="4"/>
        <v>#REF!</v>
      </c>
      <c r="T8" s="70" t="e">
        <f t="shared" si="4"/>
        <v>#REF!</v>
      </c>
      <c r="U8" s="70" t="e">
        <f t="shared" si="4"/>
        <v>#REF!</v>
      </c>
      <c r="V8" s="70" t="e">
        <f t="shared" si="4"/>
        <v>#REF!</v>
      </c>
      <c r="W8" s="70" t="e">
        <f t="shared" si="4"/>
        <v>#REF!</v>
      </c>
      <c r="X8" s="70">
        <f>'Corn World-Major'!D22/1000</f>
        <v>313.738</v>
      </c>
      <c r="Y8" s="70">
        <f>X17</f>
        <v>304.82600000000002</v>
      </c>
      <c r="Z8" s="70">
        <f>Y17</f>
        <v>319.95319807431684</v>
      </c>
      <c r="AA8" s="70">
        <f>Z17</f>
        <v>316.0589694194864</v>
      </c>
      <c r="AC8" s="76"/>
      <c r="AE8" s="77"/>
      <c r="AF8" s="78"/>
    </row>
    <row r="9" spans="1:32" ht="15.75">
      <c r="A9" s="79" t="s">
        <v>13</v>
      </c>
      <c r="B9" s="70" t="e">
        <f>SUM(#REF!,[2]Australia!B9,[2]Canada!B9,[2]EU27!B9,[2]Russia!B9,[2]Turkey!B9,[2]Ukraine!B9)</f>
        <v>#REF!</v>
      </c>
      <c r="C9" s="70" t="e">
        <f>SUM(#REF!,[2]Australia!C9,[2]Canada!C9,[2]EU27!C9,[2]Russia!C9,[2]Turkey!C9,[2]Ukraine!C9)</f>
        <v>#REF!</v>
      </c>
      <c r="D9" s="70" t="e">
        <f>SUM(#REF!,[2]Australia!D9,[2]Canada!D9,[2]EU27!D9,[2]Russia!D9,[2]Turkey!D9,[2]Ukraine!D9)</f>
        <v>#REF!</v>
      </c>
      <c r="E9" s="70" t="e">
        <f>SUM(#REF!,[2]Australia!E9,[2]Canada!E9,[2]EU27!E9,[2]Russia!E9,[2]Turkey!E9,[2]Ukraine!E9)</f>
        <v>#REF!</v>
      </c>
      <c r="F9" s="70" t="e">
        <f>SUM(#REF!,[2]Australia!F9,[2]Canada!F9,[2]EU27!F9,[2]Russia!F9,[2]Turkey!F9,[2]Ukraine!F9)</f>
        <v>#REF!</v>
      </c>
      <c r="G9" s="70" t="e">
        <f>SUM(#REF!,[2]Australia!G9,[2]Canada!G9,[2]EU27!G9,[2]Russia!G9,[2]Turkey!G9,[2]Ukraine!G9)</f>
        <v>#REF!</v>
      </c>
      <c r="H9" s="70" t="e">
        <f>SUM(#REF!,[2]Australia!H9,[2]Canada!H9,[2]EU27!H9,[2]Russia!H9,[2]Turkey!H9,[2]Ukraine!H9)</f>
        <v>#REF!</v>
      </c>
      <c r="I9" s="70" t="e">
        <f>SUM(#REF!,[2]Australia!I9,[2]Canada!I9,[2]EU27!I9,[2]Russia!I9,[2]Turkey!I9,[2]Ukraine!I9)</f>
        <v>#REF!</v>
      </c>
      <c r="J9" s="70" t="e">
        <f>SUM(#REF!,[2]Australia!J9,[2]Canada!J9,[2]EU27!J9,[2]Russia!J9,[2]Turkey!J9,[2]Ukraine!J9)</f>
        <v>#REF!</v>
      </c>
      <c r="K9" s="70" t="e">
        <f>SUM(#REF!,[2]Australia!K9,[2]Canada!K9,[2]EU27!K9,[2]Russia!K9,[2]Turkey!K9,[2]Ukraine!K9)</f>
        <v>#REF!</v>
      </c>
      <c r="L9" s="70" t="e">
        <f>SUM(#REF!,[2]Australia!L9,[2]Canada!L9,[2]EU27!L9,[2]Russia!L9,[2]Turkey!L9,[2]Ukraine!L9)</f>
        <v>#REF!</v>
      </c>
      <c r="M9" s="70" t="e">
        <f>SUM(#REF!,[2]Australia!M9,[2]Canada!M9,[2]EU27!M9,[2]Russia!M9,[2]Turkey!M9,[2]Ukraine!M9)</f>
        <v>#REF!</v>
      </c>
      <c r="N9" s="70" t="e">
        <f>SUM(#REF!,[2]Australia!N9,[2]Canada!N9,[2]EU27!N9,[2]Russia!N9,[2]Turkey!N9,[2]Ukraine!N9)</f>
        <v>#REF!</v>
      </c>
      <c r="O9" s="70" t="e">
        <f>SUM(#REF!,[2]Australia!O9,[2]Canada!O9,[2]EU27!O9,[2]Russia!O9,[2]Turkey!O9,[2]Ukraine!O9)</f>
        <v>#REF!</v>
      </c>
      <c r="P9" s="70" t="e">
        <f>SUM(#REF!,[2]Australia!P9,[2]Canada!P9,[2]EU27!P9,[2]Russia!P9,[2]Turkey!P9,[2]Ukraine!P9)</f>
        <v>#REF!</v>
      </c>
      <c r="Q9" s="70" t="e">
        <f>SUM(#REF!,[2]Australia!Q9,[2]Canada!Q9,[2]EU27!Q9,[2]Russia!Q9,[2]Turkey!Q9,[2]Ukraine!Q9)</f>
        <v>#REF!</v>
      </c>
      <c r="R9" s="70" t="e">
        <f>SUM(#REF!,[2]Australia!R9,[2]Canada!R9,[2]EU27!R9,[2]Russia!R9,[2]Turkey!R9,[2]Ukraine!R9)</f>
        <v>#REF!</v>
      </c>
      <c r="S9" s="70" t="e">
        <f>SUM(#REF!,[2]Australia!S9,[2]Canada!S9,[2]EU27!S9,[2]Russia!S9,[2]Turkey!S9,[2]Ukraine!S9)</f>
        <v>#REF!</v>
      </c>
      <c r="T9" s="70" t="e">
        <f>SUM(#REF!,[2]Australia!T9,[2]Canada!T9,[2]EU27!T9,[2]Russia!T9,[2]Turkey!T9,[2]Ukraine!T9)</f>
        <v>#REF!</v>
      </c>
      <c r="U9" s="70" t="e">
        <f>SUM(#REF!,[2]Australia!U9,[2]Canada!U9,[2]EU27!U9,[2]Russia!U9,[2]Turkey!U9,[2]Ukraine!U9)</f>
        <v>#REF!</v>
      </c>
      <c r="V9" s="70" t="e">
        <f>SUM(#REF!,[2]Australia!V9,[2]Canada!V9,[2]EU27!V9,[2]Russia!V9,[2]Turkey!V9,[2]Ukraine!V9)</f>
        <v>#REF!</v>
      </c>
      <c r="W9" s="70" t="e">
        <f>SUM(#REF!,[2]Australia!W9,[2]Canada!W9,[2]EU27!W9,[2]Russia!W9,[2]Turkey!W9,[2]Ukraine!W9)</f>
        <v>#REF!</v>
      </c>
      <c r="X9" s="70">
        <f>'Corn World-Major'!D33/1000</f>
        <v>1159.6890000000001</v>
      </c>
      <c r="Y9" s="70">
        <f>SUM('Corn World-Major'!F34/1000,Argentina!AY9,Brazil!AY7,Canada!AC9,China!AX7,'EU27'!AY9,Russia!AX8,Ukraine!AN9)+[1]Corn!AY9*0.0254</f>
        <v>1207.3898976</v>
      </c>
      <c r="Z9" s="70">
        <f>SUM('Corn World-Major'!G34/1000,Argentina!AZ9,Brazil!AZ7,Canada!AD9,China!AY7,'EU27'!AZ9,Russia!AY8,Ukraine!AO9)+[1]Corn!AZ9*0.0254</f>
        <v>1287.5288224883682</v>
      </c>
      <c r="AA9" s="70">
        <f>SUM('Corn World-Major'!H34/1000,Argentina!BA9,Brazil!BA7,Canada!AE9,China!AZ7,'EU27'!BA9,Russia!AZ8,Ukraine!AP9)+[1]Corn!BA9*0.0254</f>
        <v>926.4452026564943</v>
      </c>
    </row>
    <row r="10" spans="1:32" ht="15.75">
      <c r="A10" s="79" t="s">
        <v>14</v>
      </c>
      <c r="B10" s="80" t="e">
        <f>B54/1000</f>
        <v>#REF!</v>
      </c>
      <c r="C10" s="80" t="e">
        <f t="shared" ref="C10:W10" si="5">C54/1000</f>
        <v>#REF!</v>
      </c>
      <c r="D10" s="80" t="e">
        <f t="shared" si="5"/>
        <v>#REF!</v>
      </c>
      <c r="E10" s="80" t="e">
        <f t="shared" si="5"/>
        <v>#REF!</v>
      </c>
      <c r="F10" s="80" t="e">
        <f t="shared" si="5"/>
        <v>#REF!</v>
      </c>
      <c r="G10" s="80" t="e">
        <f t="shared" si="5"/>
        <v>#REF!</v>
      </c>
      <c r="H10" s="80" t="e">
        <f t="shared" si="5"/>
        <v>#REF!</v>
      </c>
      <c r="I10" s="80" t="e">
        <f t="shared" si="5"/>
        <v>#REF!</v>
      </c>
      <c r="J10" s="80" t="e">
        <f t="shared" si="5"/>
        <v>#REF!</v>
      </c>
      <c r="K10" s="80" t="e">
        <f t="shared" si="5"/>
        <v>#REF!</v>
      </c>
      <c r="L10" s="80" t="e">
        <f t="shared" si="5"/>
        <v>#REF!</v>
      </c>
      <c r="M10" s="80" t="e">
        <f t="shared" si="5"/>
        <v>#REF!</v>
      </c>
      <c r="N10" s="80" t="e">
        <f t="shared" si="5"/>
        <v>#REF!</v>
      </c>
      <c r="O10" s="80" t="e">
        <f t="shared" si="5"/>
        <v>#REF!</v>
      </c>
      <c r="P10" s="80" t="e">
        <f t="shared" si="5"/>
        <v>#REF!</v>
      </c>
      <c r="Q10" s="80" t="e">
        <f t="shared" si="5"/>
        <v>#REF!</v>
      </c>
      <c r="R10" s="80" t="e">
        <f t="shared" si="5"/>
        <v>#REF!</v>
      </c>
      <c r="S10" s="80" t="e">
        <f t="shared" si="5"/>
        <v>#REF!</v>
      </c>
      <c r="T10" s="80" t="e">
        <f t="shared" si="5"/>
        <v>#REF!</v>
      </c>
      <c r="U10" s="80" t="e">
        <f t="shared" si="5"/>
        <v>#REF!</v>
      </c>
      <c r="V10" s="80" t="e">
        <f t="shared" si="5"/>
        <v>#REF!</v>
      </c>
      <c r="W10" s="80" t="e">
        <f t="shared" si="5"/>
        <v>#REF!</v>
      </c>
      <c r="X10" s="80">
        <f>X54/1000</f>
        <v>173.39099999999999</v>
      </c>
      <c r="Y10" s="80">
        <f>Y54/1000</f>
        <v>196.1058095153945</v>
      </c>
      <c r="Z10" s="80">
        <f>Z54/1000</f>
        <v>199.28961571985553</v>
      </c>
      <c r="AA10" s="80">
        <f>AA54/1000</f>
        <v>30.316678344823021</v>
      </c>
      <c r="AB10" s="81"/>
    </row>
    <row r="11" spans="1:32" ht="15.75">
      <c r="A11" s="79" t="s">
        <v>15</v>
      </c>
      <c r="B11" s="82" t="e">
        <f t="shared" ref="B11:K11" si="6">SUM(B8:B10)</f>
        <v>#REF!</v>
      </c>
      <c r="C11" s="82" t="e">
        <f t="shared" si="6"/>
        <v>#REF!</v>
      </c>
      <c r="D11" s="82" t="e">
        <f t="shared" si="6"/>
        <v>#REF!</v>
      </c>
      <c r="E11" s="82" t="e">
        <f t="shared" si="6"/>
        <v>#REF!</v>
      </c>
      <c r="F11" s="82" t="e">
        <f t="shared" si="6"/>
        <v>#REF!</v>
      </c>
      <c r="G11" s="82" t="e">
        <f t="shared" si="6"/>
        <v>#REF!</v>
      </c>
      <c r="H11" s="82" t="e">
        <f t="shared" si="6"/>
        <v>#REF!</v>
      </c>
      <c r="I11" s="82" t="e">
        <f t="shared" si="6"/>
        <v>#REF!</v>
      </c>
      <c r="J11" s="82" t="e">
        <f t="shared" si="6"/>
        <v>#REF!</v>
      </c>
      <c r="K11" s="82" t="e">
        <f t="shared" si="6"/>
        <v>#REF!</v>
      </c>
      <c r="L11" s="82" t="e">
        <f>SUM(L8:L10)</f>
        <v>#REF!</v>
      </c>
      <c r="M11" s="82" t="e">
        <f t="shared" ref="M11:T11" si="7">SUM(M8:M10)</f>
        <v>#REF!</v>
      </c>
      <c r="N11" s="82" t="e">
        <f t="shared" si="7"/>
        <v>#REF!</v>
      </c>
      <c r="O11" s="82" t="e">
        <f t="shared" si="7"/>
        <v>#REF!</v>
      </c>
      <c r="P11" s="82" t="e">
        <f t="shared" si="7"/>
        <v>#REF!</v>
      </c>
      <c r="Q11" s="82" t="e">
        <f t="shared" si="7"/>
        <v>#REF!</v>
      </c>
      <c r="R11" s="82" t="e">
        <f t="shared" si="7"/>
        <v>#REF!</v>
      </c>
      <c r="S11" s="82" t="e">
        <f t="shared" si="7"/>
        <v>#REF!</v>
      </c>
      <c r="T11" s="82" t="e">
        <f t="shared" si="7"/>
        <v>#REF!</v>
      </c>
      <c r="U11" s="82" t="e">
        <f>SUM(U8:U10)</f>
        <v>#REF!</v>
      </c>
      <c r="V11" s="82" t="e">
        <f>SUM(V8:V10)</f>
        <v>#REF!</v>
      </c>
      <c r="W11" s="82" t="e">
        <f t="shared" ref="W11:Y11" si="8">SUM(W8:W10)</f>
        <v>#REF!</v>
      </c>
      <c r="X11" s="82">
        <f t="shared" si="8"/>
        <v>1646.8180000000002</v>
      </c>
      <c r="Y11" s="82">
        <f t="shared" si="8"/>
        <v>1708.3217071153945</v>
      </c>
      <c r="Z11" s="82">
        <f>SUM(Z8:Z10)</f>
        <v>1806.7716362825404</v>
      </c>
      <c r="AA11" s="82">
        <f>SUM(AA8:AA10)</f>
        <v>1272.8208504208037</v>
      </c>
    </row>
    <row r="12" spans="1:32" ht="15.75">
      <c r="A12" s="83" t="s">
        <v>17</v>
      </c>
      <c r="B12" s="70" t="e">
        <f t="shared" ref="B12:W12" si="9">B14-B13</f>
        <v>#REF!</v>
      </c>
      <c r="C12" s="70" t="e">
        <f t="shared" si="9"/>
        <v>#REF!</v>
      </c>
      <c r="D12" s="70" t="e">
        <f t="shared" si="9"/>
        <v>#REF!</v>
      </c>
      <c r="E12" s="70" t="e">
        <f t="shared" si="9"/>
        <v>#REF!</v>
      </c>
      <c r="F12" s="70" t="e">
        <f t="shared" si="9"/>
        <v>#REF!</v>
      </c>
      <c r="G12" s="70" t="e">
        <f t="shared" si="9"/>
        <v>#REF!</v>
      </c>
      <c r="H12" s="70" t="e">
        <f t="shared" si="9"/>
        <v>#REF!</v>
      </c>
      <c r="I12" s="70" t="e">
        <f t="shared" si="9"/>
        <v>#REF!</v>
      </c>
      <c r="J12" s="70" t="e">
        <f t="shared" si="9"/>
        <v>#REF!</v>
      </c>
      <c r="K12" s="70" t="e">
        <f t="shared" si="9"/>
        <v>#REF!</v>
      </c>
      <c r="L12" s="70" t="e">
        <f t="shared" si="9"/>
        <v>#REF!</v>
      </c>
      <c r="M12" s="70" t="e">
        <f t="shared" si="9"/>
        <v>#REF!</v>
      </c>
      <c r="N12" s="70" t="e">
        <f t="shared" si="9"/>
        <v>#REF!</v>
      </c>
      <c r="O12" s="70" t="e">
        <f t="shared" si="9"/>
        <v>#REF!</v>
      </c>
      <c r="P12" s="70" t="e">
        <f t="shared" si="9"/>
        <v>#REF!</v>
      </c>
      <c r="Q12" s="70" t="e">
        <f t="shared" si="9"/>
        <v>#REF!</v>
      </c>
      <c r="R12" s="70" t="e">
        <f t="shared" si="9"/>
        <v>#REF!</v>
      </c>
      <c r="S12" s="70" t="e">
        <f t="shared" si="9"/>
        <v>#REF!</v>
      </c>
      <c r="T12" s="70" t="e">
        <f t="shared" si="9"/>
        <v>#REF!</v>
      </c>
      <c r="U12" s="70" t="e">
        <f t="shared" si="9"/>
        <v>#REF!</v>
      </c>
      <c r="V12" s="70" t="e">
        <f t="shared" si="9"/>
        <v>#REF!</v>
      </c>
      <c r="W12" s="70" t="e">
        <f t="shared" si="9"/>
        <v>#REF!</v>
      </c>
      <c r="X12" s="70">
        <f>X14-X13</f>
        <v>732.55300000000011</v>
      </c>
      <c r="Y12" s="70">
        <f>Y14-Y13</f>
        <v>742.22568725806457</v>
      </c>
      <c r="Z12" s="70">
        <f>Z14-Z13</f>
        <v>848.78304082876173</v>
      </c>
      <c r="AA12" s="70" t="e">
        <f t="shared" ref="AA12" si="10">AA14-AA13</f>
        <v>#REF!</v>
      </c>
    </row>
    <row r="13" spans="1:32" ht="16.5">
      <c r="A13" s="84" t="s">
        <v>18</v>
      </c>
      <c r="B13" s="70" t="e">
        <f>SUM(#REF!,[2]Australia!B13:B14,[2]Canada!B14,[2]EU27!B13:B15,[2]Russia!B13,[2]Turkey!B13,[2]Ukraine!B13)</f>
        <v>#REF!</v>
      </c>
      <c r="C13" s="70" t="e">
        <f>SUM(#REF!,[2]Australia!C13:C14,[2]Canada!C14,[2]EU27!C13:C15,[2]Russia!C13,[2]Turkey!C13,[2]Ukraine!C13)</f>
        <v>#REF!</v>
      </c>
      <c r="D13" s="70" t="e">
        <f>SUM(#REF!,[2]Australia!D13:D14,[2]Canada!D14,[2]EU27!D13:D15,[2]Russia!D13,[2]Turkey!D13,[2]Ukraine!D13)</f>
        <v>#REF!</v>
      </c>
      <c r="E13" s="70" t="e">
        <f>SUM(#REF!,[2]Australia!E13:E14,[2]Canada!E14,[2]EU27!E13:E15,[2]Russia!E13,[2]Turkey!E13,[2]Ukraine!E13)</f>
        <v>#REF!</v>
      </c>
      <c r="F13" s="70" t="e">
        <f>SUM(#REF!,[2]Australia!F13:F14,[2]Canada!F14,[2]EU27!F13:F15,[2]Russia!F13,[2]Turkey!F13,[2]Ukraine!F13)</f>
        <v>#REF!</v>
      </c>
      <c r="G13" s="70" t="e">
        <f>SUM(#REF!,[2]Australia!G13:G14,[2]Canada!G14,[2]EU27!G13:G15,[2]Russia!G13,[2]Turkey!G13,[2]Ukraine!G13)</f>
        <v>#REF!</v>
      </c>
      <c r="H13" s="70" t="e">
        <f>SUM(#REF!,[2]Australia!H13:H14,[2]Canada!H14,[2]EU27!H13:H15,[2]Russia!H13,[2]Turkey!H13,[2]Ukraine!H13)</f>
        <v>#REF!</v>
      </c>
      <c r="I13" s="70" t="e">
        <f>SUM(#REF!,[2]Australia!I13:I14,[2]Canada!I14,[2]EU27!I13:I15,[2]Russia!I13,[2]Turkey!I13,[2]Ukraine!I13)</f>
        <v>#REF!</v>
      </c>
      <c r="J13" s="70" t="e">
        <f>SUM(#REF!,[2]Australia!J13:J14,[2]Canada!J14,[2]EU27!J13:J15,[2]Russia!J13,[2]Turkey!J13,[2]Ukraine!J13)</f>
        <v>#REF!</v>
      </c>
      <c r="K13" s="70" t="e">
        <f>SUM(#REF!,[2]Australia!K13:K14,[2]Canada!K14,[2]EU27!K13:K15,[2]Russia!K13,[2]Turkey!K13,[2]Ukraine!K13)</f>
        <v>#REF!</v>
      </c>
      <c r="L13" s="70" t="e">
        <f>SUM(#REF!,[2]Australia!L13:L14,[2]Canada!L14,[2]EU27!L13:L15,[2]Russia!L13,[2]Turkey!L13,[2]Ukraine!L13)</f>
        <v>#REF!</v>
      </c>
      <c r="M13" s="70" t="e">
        <f>SUM(#REF!,[2]Australia!M13:M14,[2]Canada!M14,[2]EU27!M13:M15,[2]Russia!M13,[2]Turkey!M13,[2]Ukraine!M13)</f>
        <v>#REF!</v>
      </c>
      <c r="N13" s="70" t="e">
        <f>SUM(#REF!,[2]Australia!N13:N14,[2]Canada!N14,[2]EU27!N13:N15,[2]Russia!N13,[2]Turkey!N13,[2]Ukraine!N13)</f>
        <v>#REF!</v>
      </c>
      <c r="O13" s="70" t="e">
        <f>SUM(#REF!,[2]Australia!O13:O14,[2]Canada!O14,[2]EU27!O13:O15,[2]Russia!O13,[2]Turkey!O13,[2]Ukraine!O13)</f>
        <v>#REF!</v>
      </c>
      <c r="P13" s="70" t="e">
        <f>SUM(#REF!,[2]Australia!P13:P14,[2]Canada!P14,[2]EU27!P13:P15,[2]Russia!P13,[2]Turkey!P13,[2]Ukraine!P13)</f>
        <v>#REF!</v>
      </c>
      <c r="Q13" s="70" t="e">
        <f>SUM(#REF!,[2]Australia!Q13:Q14,[2]Canada!Q14,[2]EU27!Q13:Q15,[2]Russia!Q13,[2]Turkey!Q13,[2]Ukraine!Q13)</f>
        <v>#REF!</v>
      </c>
      <c r="R13" s="70" t="e">
        <f>SUM(#REF!,[2]Australia!R13:R14,[2]Canada!R14,[2]EU27!R13:R15,[2]Russia!R13,[2]Turkey!R13,[2]Ukraine!R13)</f>
        <v>#REF!</v>
      </c>
      <c r="S13" s="70" t="e">
        <f>SUM(#REF!,[2]Australia!S13:S14,[2]Canada!S14,[2]EU27!S13:S15,[2]Russia!S13,[2]Turkey!S13,[2]Ukraine!S13)</f>
        <v>#REF!</v>
      </c>
      <c r="T13" s="70" t="e">
        <f>SUM(#REF!,[2]Australia!T13:T14,[2]Canada!T14,[2]EU27!T13:T15,[2]Russia!T13,[2]Turkey!T13,[2]Ukraine!T13)</f>
        <v>#REF!</v>
      </c>
      <c r="U13" s="70" t="e">
        <f>SUM(#REF!,[2]Australia!U13:U14,[2]Canada!U14,[2]EU27!U13:U15,[2]Russia!U13,[2]Turkey!U13,[2]Ukraine!U13)</f>
        <v>#REF!</v>
      </c>
      <c r="V13" s="70" t="e">
        <f>SUM(#REF!,[2]Australia!V13:V14,[2]Canada!V14,[2]EU27!V13:V15,[2]Russia!V13,[2]Turkey!V13,[2]Ukraine!V13)</f>
        <v>#REF!</v>
      </c>
      <c r="W13" s="70" t="e">
        <f>SUM(#REF!,[2]Australia!W13:W14,[2]Canada!W14,[2]EU27!W13:W15,[2]Russia!W13,[2]Turkey!W13,[2]Ukraine!W13)</f>
        <v>#REF!</v>
      </c>
      <c r="X13" s="70">
        <f>'Corn World-Major'!D88/1000</f>
        <v>429.19900000000001</v>
      </c>
      <c r="Y13" s="70">
        <f>SUM('Corn World-Major'!F89/1000,Argentina!AY13,Brazil!AY11,Canada!AC14,China!AX11,'EU27'!AX13,'EU27'!AX14,'EU27'!AX15,Russia!AX12,Ukraine!AN13)+[1]Corn!AX14*0.0254</f>
        <v>454.32114796907138</v>
      </c>
      <c r="Z13" s="70">
        <f>SUM('Corn World-Major'!G89/1000,Argentina!AZ13,Brazil!AZ11,Canada!AD14,China!AY11,'EU27'!AY13,'EU27'!AY14,'EU27'!AY15,Russia!AY12,Ukraine!AO13)+[1]Corn!AY14*0.0254</f>
        <v>456.85125251471175</v>
      </c>
      <c r="AA13" s="70">
        <f>SUM('Corn World-Major'!H89/1000,Argentina!BA13,Brazil!BA11,Canada!AE14,China!AZ11,'EU27'!AZ13,'EU27'!AZ14,'EU27'!AZ15,Russia!AZ12,Ukraine!AP13)+[1]Corn!AZ14*0.0254</f>
        <v>310.94436866206809</v>
      </c>
    </row>
    <row r="14" spans="1:32" ht="15.75">
      <c r="A14" s="79" t="s">
        <v>68</v>
      </c>
      <c r="B14" s="70" t="e">
        <f>B16-B15</f>
        <v>#REF!</v>
      </c>
      <c r="C14" s="70" t="e">
        <f t="shared" ref="C14:X14" si="11">C16-C15</f>
        <v>#REF!</v>
      </c>
      <c r="D14" s="70" t="e">
        <f t="shared" si="11"/>
        <v>#REF!</v>
      </c>
      <c r="E14" s="70" t="e">
        <f t="shared" si="11"/>
        <v>#REF!</v>
      </c>
      <c r="F14" s="70" t="e">
        <f t="shared" si="11"/>
        <v>#REF!</v>
      </c>
      <c r="G14" s="70" t="e">
        <f t="shared" si="11"/>
        <v>#REF!</v>
      </c>
      <c r="H14" s="70" t="e">
        <f t="shared" si="11"/>
        <v>#REF!</v>
      </c>
      <c r="I14" s="70" t="e">
        <f t="shared" si="11"/>
        <v>#REF!</v>
      </c>
      <c r="J14" s="70" t="e">
        <f t="shared" si="11"/>
        <v>#REF!</v>
      </c>
      <c r="K14" s="70" t="e">
        <f t="shared" si="11"/>
        <v>#REF!</v>
      </c>
      <c r="L14" s="70" t="e">
        <f t="shared" si="11"/>
        <v>#REF!</v>
      </c>
      <c r="M14" s="70" t="e">
        <f t="shared" si="11"/>
        <v>#REF!</v>
      </c>
      <c r="N14" s="70" t="e">
        <f t="shared" si="11"/>
        <v>#REF!</v>
      </c>
      <c r="O14" s="70" t="e">
        <f t="shared" si="11"/>
        <v>#REF!</v>
      </c>
      <c r="P14" s="70" t="e">
        <f t="shared" si="11"/>
        <v>#REF!</v>
      </c>
      <c r="Q14" s="70" t="e">
        <f t="shared" si="11"/>
        <v>#REF!</v>
      </c>
      <c r="R14" s="70" t="e">
        <f t="shared" si="11"/>
        <v>#REF!</v>
      </c>
      <c r="S14" s="70" t="e">
        <f t="shared" si="11"/>
        <v>#REF!</v>
      </c>
      <c r="T14" s="70" t="e">
        <f t="shared" si="11"/>
        <v>#REF!</v>
      </c>
      <c r="U14" s="70" t="e">
        <f t="shared" si="11"/>
        <v>#REF!</v>
      </c>
      <c r="V14" s="70" t="e">
        <f t="shared" si="11"/>
        <v>#REF!</v>
      </c>
      <c r="W14" s="70" t="e">
        <f t="shared" si="11"/>
        <v>#REF!</v>
      </c>
      <c r="X14" s="70">
        <f t="shared" si="11"/>
        <v>1161.7520000000002</v>
      </c>
      <c r="Y14" s="70">
        <f>Y16-Y15</f>
        <v>1196.5468352271359</v>
      </c>
      <c r="Z14" s="70">
        <f>Z16-Z15</f>
        <v>1305.6342933434735</v>
      </c>
      <c r="AA14" s="70" t="e">
        <f>AA16-AA15</f>
        <v>#REF!</v>
      </c>
    </row>
    <row r="15" spans="1:32" ht="15.75">
      <c r="A15" s="79" t="s">
        <v>19</v>
      </c>
      <c r="B15" s="70" t="e">
        <f>SUM(#REF!,[2]Australia!B16,[2]Canada!B15,[2]EU27!B18,[2]Russia!B15,[2]Turkey!B15,[2]Ukraine!B15)</f>
        <v>#REF!</v>
      </c>
      <c r="C15" s="70" t="e">
        <f>SUM(#REF!,[2]Australia!C16,[2]Canada!C15,[2]EU27!C18,[2]Russia!C15,[2]Turkey!C15,[2]Ukraine!C15)</f>
        <v>#REF!</v>
      </c>
      <c r="D15" s="70" t="e">
        <f>SUM(#REF!,[2]Australia!D16,[2]Canada!D15,[2]EU27!D18,[2]Russia!D15,[2]Turkey!D15,[2]Ukraine!D15)</f>
        <v>#REF!</v>
      </c>
      <c r="E15" s="70" t="e">
        <f>SUM(#REF!,[2]Australia!E16,[2]Canada!E15,[2]EU27!E18,[2]Russia!E15,[2]Turkey!E15,[2]Ukraine!E15)</f>
        <v>#REF!</v>
      </c>
      <c r="F15" s="70" t="e">
        <f>SUM(#REF!,[2]Australia!F16,[2]Canada!F15,[2]EU27!F18,[2]Russia!F15,[2]Turkey!F15,[2]Ukraine!F15)</f>
        <v>#REF!</v>
      </c>
      <c r="G15" s="70" t="e">
        <f>SUM(#REF!,[2]Australia!G16,[2]Canada!G15,[2]EU27!G18,[2]Russia!G15,[2]Turkey!G15,[2]Ukraine!G15)</f>
        <v>#REF!</v>
      </c>
      <c r="H15" s="70" t="e">
        <f>SUM(#REF!,[2]Australia!H16,[2]Canada!H15,[2]EU27!H18,[2]Russia!H15,[2]Turkey!H15,[2]Ukraine!H15)</f>
        <v>#REF!</v>
      </c>
      <c r="I15" s="70" t="e">
        <f>SUM(#REF!,[2]Australia!I16,[2]Canada!I15,[2]EU27!I18,[2]Russia!I15,[2]Turkey!I15,[2]Ukraine!I15)</f>
        <v>#REF!</v>
      </c>
      <c r="J15" s="70" t="e">
        <f>SUM(#REF!,[2]Australia!J16,[2]Canada!J15,[2]EU27!J18,[2]Russia!J15,[2]Turkey!J15,[2]Ukraine!J15)</f>
        <v>#REF!</v>
      </c>
      <c r="K15" s="70" t="e">
        <f>SUM(#REF!,[2]Australia!K16,[2]Canada!K15,[2]EU27!K18,[2]Russia!K15,[2]Turkey!K15,[2]Ukraine!K15)</f>
        <v>#REF!</v>
      </c>
      <c r="L15" s="70" t="e">
        <f>SUM(#REF!,[2]Australia!L16,[2]Canada!L15,[2]EU27!L18,[2]Russia!L15,[2]Turkey!L15,[2]Ukraine!L15)</f>
        <v>#REF!</v>
      </c>
      <c r="M15" s="70" t="e">
        <f>SUM(#REF!,[2]Australia!M16,[2]Canada!M15,[2]EU27!M18,[2]Russia!M15,[2]Turkey!M15,[2]Ukraine!M15)</f>
        <v>#REF!</v>
      </c>
      <c r="N15" s="70" t="e">
        <f>SUM(#REF!,[2]Australia!N16,[2]Canada!N15,[2]EU27!N18,[2]Russia!N15,[2]Turkey!N15,[2]Ukraine!N15)</f>
        <v>#REF!</v>
      </c>
      <c r="O15" s="70" t="e">
        <f>SUM(#REF!,[2]Australia!O16,[2]Canada!O15,[2]EU27!O18,[2]Russia!O15,[2]Turkey!O15,[2]Ukraine!O15)</f>
        <v>#REF!</v>
      </c>
      <c r="P15" s="70" t="e">
        <f>SUM(#REF!,[2]Australia!P16,[2]Canada!P15,[2]EU27!P18,[2]Russia!P15,[2]Turkey!P15,[2]Ukraine!P15)</f>
        <v>#REF!</v>
      </c>
      <c r="Q15" s="70" t="e">
        <f>SUM(#REF!,[2]Australia!Q16,[2]Canada!Q15,[2]EU27!Q18,[2]Russia!Q15,[2]Turkey!Q15,[2]Ukraine!Q15)</f>
        <v>#REF!</v>
      </c>
      <c r="R15" s="70" t="e">
        <f>SUM(#REF!,[2]Australia!R16,[2]Canada!R15,[2]EU27!R18,[2]Russia!R15,[2]Turkey!R15,[2]Ukraine!R15)</f>
        <v>#REF!</v>
      </c>
      <c r="S15" s="70" t="e">
        <f>SUM(#REF!,[2]Australia!S16,[2]Canada!S15,[2]EU27!S18,[2]Russia!S15,[2]Turkey!S15,[2]Ukraine!S15)</f>
        <v>#REF!</v>
      </c>
      <c r="T15" s="70" t="e">
        <f>SUM(#REF!,[2]Australia!T16,[2]Canada!T15,[2]EU27!T18,[2]Russia!T15,[2]Turkey!T15,[2]Ukraine!T15)</f>
        <v>#REF!</v>
      </c>
      <c r="U15" s="70" t="e">
        <f>SUM(#REF!,[2]Australia!U16,[2]Canada!U15,[2]EU27!U18,[2]Russia!U15,[2]Turkey!U15,[2]Ukraine!U15)</f>
        <v>#REF!</v>
      </c>
      <c r="V15" s="70" t="e">
        <f>SUM(#REF!,[2]Australia!V16,[2]Canada!V15,[2]EU27!V18,[2]Russia!V15,[2]Turkey!V15,[2]Ukraine!V15)</f>
        <v>#REF!</v>
      </c>
      <c r="W15" s="70" t="e">
        <f>SUM(#REF!,[2]Australia!W16,[2]Canada!W15,[2]EU27!W18,[2]Russia!W15,[2]Turkey!W15,[2]Ukraine!W15)</f>
        <v>#REF!</v>
      </c>
      <c r="X15" s="70">
        <f>X38/1000</f>
        <v>180.24</v>
      </c>
      <c r="Y15" s="70">
        <f>Y38/1000</f>
        <v>191.82167381394183</v>
      </c>
      <c r="Z15" s="70">
        <f>Z38/1000</f>
        <v>185.07837351958062</v>
      </c>
      <c r="AA15" s="70" t="e">
        <f t="shared" ref="AA15" si="12">AA38/1000</f>
        <v>#REF!</v>
      </c>
      <c r="AC15" s="85"/>
    </row>
    <row r="16" spans="1:32" ht="15.75">
      <c r="A16" s="79" t="s">
        <v>69</v>
      </c>
      <c r="B16" s="86" t="e">
        <f t="shared" ref="B16:X16" si="13">B11-B17</f>
        <v>#REF!</v>
      </c>
      <c r="C16" s="86" t="e">
        <f t="shared" si="13"/>
        <v>#REF!</v>
      </c>
      <c r="D16" s="86" t="e">
        <f t="shared" si="13"/>
        <v>#REF!</v>
      </c>
      <c r="E16" s="86" t="e">
        <f t="shared" si="13"/>
        <v>#REF!</v>
      </c>
      <c r="F16" s="86" t="e">
        <f t="shared" si="13"/>
        <v>#REF!</v>
      </c>
      <c r="G16" s="86" t="e">
        <f t="shared" si="13"/>
        <v>#REF!</v>
      </c>
      <c r="H16" s="86" t="e">
        <f t="shared" si="13"/>
        <v>#REF!</v>
      </c>
      <c r="I16" s="86" t="e">
        <f t="shared" si="13"/>
        <v>#REF!</v>
      </c>
      <c r="J16" s="86" t="e">
        <f t="shared" si="13"/>
        <v>#REF!</v>
      </c>
      <c r="K16" s="86" t="e">
        <f t="shared" si="13"/>
        <v>#REF!</v>
      </c>
      <c r="L16" s="86" t="e">
        <f t="shared" si="13"/>
        <v>#REF!</v>
      </c>
      <c r="M16" s="86" t="e">
        <f t="shared" si="13"/>
        <v>#REF!</v>
      </c>
      <c r="N16" s="86" t="e">
        <f t="shared" si="13"/>
        <v>#REF!</v>
      </c>
      <c r="O16" s="86" t="e">
        <f t="shared" si="13"/>
        <v>#REF!</v>
      </c>
      <c r="P16" s="86" t="e">
        <f t="shared" si="13"/>
        <v>#REF!</v>
      </c>
      <c r="Q16" s="86" t="e">
        <f t="shared" si="13"/>
        <v>#REF!</v>
      </c>
      <c r="R16" s="86" t="e">
        <f t="shared" si="13"/>
        <v>#REF!</v>
      </c>
      <c r="S16" s="86" t="e">
        <f t="shared" si="13"/>
        <v>#REF!</v>
      </c>
      <c r="T16" s="86" t="e">
        <f t="shared" si="13"/>
        <v>#REF!</v>
      </c>
      <c r="U16" s="86" t="e">
        <f t="shared" si="13"/>
        <v>#REF!</v>
      </c>
      <c r="V16" s="86" t="e">
        <f t="shared" si="13"/>
        <v>#REF!</v>
      </c>
      <c r="W16" s="86" t="e">
        <f t="shared" si="13"/>
        <v>#REF!</v>
      </c>
      <c r="X16" s="86">
        <f t="shared" si="13"/>
        <v>1341.9920000000002</v>
      </c>
      <c r="Y16" s="86">
        <f>Y11-Y17</f>
        <v>1388.3685090410777</v>
      </c>
      <c r="Z16" s="86">
        <f t="shared" ref="Z16:AA16" si="14">Z11-Z17</f>
        <v>1490.712666863054</v>
      </c>
      <c r="AA16" s="86">
        <f t="shared" si="14"/>
        <v>969.19642065528046</v>
      </c>
    </row>
    <row r="17" spans="1:33" ht="15.75">
      <c r="A17" s="83" t="s">
        <v>70</v>
      </c>
      <c r="B17" s="70" t="e">
        <f>SUM(#REF!,[2]Australia!B18,[2]Canada!F17,[2]EU27!B20,[2]Russia!B17,[2]Turkey!B17,[2]Ukraine!B17)</f>
        <v>#REF!</v>
      </c>
      <c r="C17" s="70" t="e">
        <f>SUM(#REF!,[2]Australia!C18,[2]Canada!G17,[2]EU27!C20,[2]Russia!C17,[2]Turkey!C17,[2]Ukraine!C17)</f>
        <v>#REF!</v>
      </c>
      <c r="D17" s="70" t="e">
        <f>SUM(#REF!,[2]Australia!D18,[2]Canada!H17,[2]EU27!D20,[2]Russia!D17,[2]Turkey!D17,[2]Ukraine!D17)</f>
        <v>#REF!</v>
      </c>
      <c r="E17" s="70" t="e">
        <f>SUM(#REF!,[2]Australia!E18,[2]Canada!I17,[2]EU27!E20,[2]Russia!E17,[2]Turkey!E17,[2]Ukraine!E17)</f>
        <v>#REF!</v>
      </c>
      <c r="F17" s="70" t="e">
        <f>SUM(#REF!,[2]Australia!F18,[2]Canada!J17,[2]EU27!F20,[2]Russia!F17,[2]Turkey!F17,[2]Ukraine!F17)</f>
        <v>#REF!</v>
      </c>
      <c r="G17" s="70" t="e">
        <f>SUM(#REF!,[2]Australia!G18,[2]Canada!K17,[2]EU27!G20,[2]Russia!G17,[2]Turkey!G17,[2]Ukraine!G17)</f>
        <v>#REF!</v>
      </c>
      <c r="H17" s="70" t="e">
        <f>SUM(#REF!,[2]Australia!H18,[2]Canada!L17,[2]EU27!H20,[2]Russia!H17,[2]Turkey!H17,[2]Ukraine!H17)</f>
        <v>#REF!</v>
      </c>
      <c r="I17" s="70" t="e">
        <f>SUM(#REF!,[2]Australia!I18,[2]Canada!M17,[2]EU27!I20,[2]Russia!I17,[2]Turkey!I17,[2]Ukraine!I17)</f>
        <v>#REF!</v>
      </c>
      <c r="J17" s="70" t="e">
        <f>SUM(#REF!,[2]Australia!J18,[2]Canada!N17,[2]EU27!J20,[2]Russia!J17,[2]Turkey!J17,[2]Ukraine!J17)</f>
        <v>#REF!</v>
      </c>
      <c r="K17" s="70" t="e">
        <f>SUM(#REF!,[2]Australia!K18,[2]Canada!O17,[2]EU27!K20,[2]Russia!K17,[2]Turkey!K17,[2]Ukraine!K17)</f>
        <v>#REF!</v>
      </c>
      <c r="L17" s="70" t="e">
        <f>SUM(#REF!,[2]Australia!L18,[2]Canada!P17,[2]EU27!L20,[2]Russia!L17,[2]Turkey!L17,[2]Ukraine!L17)</f>
        <v>#REF!</v>
      </c>
      <c r="M17" s="70" t="e">
        <f>SUM(#REF!,[2]Australia!M18,[2]Canada!Q17,[2]EU27!M20,[2]Russia!M17,[2]Turkey!M17,[2]Ukraine!M17)</f>
        <v>#REF!</v>
      </c>
      <c r="N17" s="70" t="e">
        <f>SUM(#REF!,[2]Australia!N18,[2]Canada!R17,[2]EU27!N20,[2]Russia!N17,[2]Turkey!N17,[2]Ukraine!N17)</f>
        <v>#REF!</v>
      </c>
      <c r="O17" s="70" t="e">
        <f>SUM(#REF!,[2]Australia!O18,[2]Canada!S17,[2]EU27!O20,[2]Russia!O17,[2]Turkey!O17,[2]Ukraine!O17)</f>
        <v>#REF!</v>
      </c>
      <c r="P17" s="70" t="e">
        <f>SUM(#REF!,[2]Australia!P18,[2]Canada!T17,[2]EU27!P20,[2]Russia!P17,[2]Turkey!P17,[2]Ukraine!P17)</f>
        <v>#REF!</v>
      </c>
      <c r="Q17" s="70" t="e">
        <f>SUM(#REF!,[2]Australia!Q18,[2]Canada!U17,[2]EU27!Q20,[2]Russia!Q17,[2]Turkey!Q17,[2]Ukraine!Q17)</f>
        <v>#REF!</v>
      </c>
      <c r="R17" s="70" t="e">
        <f>SUM(#REF!,[2]Australia!R18,[2]Canada!V17,[2]EU27!R20,[2]Russia!R17,[2]Turkey!R17,[2]Ukraine!R17)</f>
        <v>#REF!</v>
      </c>
      <c r="S17" s="70" t="e">
        <f>SUM(#REF!,[2]Australia!S18,[2]Canada!W17,[2]EU27!S20,[2]Russia!S17,[2]Turkey!S17,[2]Ukraine!S17)</f>
        <v>#REF!</v>
      </c>
      <c r="T17" s="70" t="e">
        <f>SUM(#REF!,[2]Australia!T18,[2]Canada!X17,[2]EU27!T20,[2]Russia!T17,[2]Turkey!T17,[2]Ukraine!T17)</f>
        <v>#REF!</v>
      </c>
      <c r="U17" s="70" t="e">
        <f>SUM(#REF!,[2]Australia!U18,[2]Canada!Y17,[2]EU27!U20,[2]Russia!U17,[2]Turkey!U17,[2]Ukraine!U17)</f>
        <v>#REF!</v>
      </c>
      <c r="V17" s="70" t="e">
        <f>SUM(#REF!,[2]Australia!V18,[2]Canada!Z17,[2]EU27!V20,[2]Russia!V17,[2]Turkey!V17,[2]Ukraine!V17)</f>
        <v>#REF!</v>
      </c>
      <c r="W17" s="70" t="e">
        <f>SUM(#REF!,[2]Australia!W18,[2]Canada!AA17,[2]EU27!W20,[2]Russia!W17,[2]Turkey!W17,[2]Ukraine!W17)</f>
        <v>#REF!</v>
      </c>
      <c r="X17" s="70">
        <f>'Corn World-Major'!D110/1000</f>
        <v>304.82600000000002</v>
      </c>
      <c r="Y17" s="70">
        <f>'Corn World-Major'!F111/1000+Argentina!AY17+Brazil!AY15+Canada!AC17+China!AX15+'EU27'!AX20+Russia!AX16+Ukraine!AN17+([1]Corn!AX18*0.0254)</f>
        <v>319.95319807431684</v>
      </c>
      <c r="Z17" s="70">
        <f>SUM('Corn World-Major'!G111/1000,Argentina!AZ17,Brazil!AZ15,Canada!AD17,China!AY15,'EU27'!AY20,Russia!AY16,Ukraine!AO17)+[1]Corn!AY18*0.0254</f>
        <v>316.0589694194864</v>
      </c>
      <c r="AA17" s="70">
        <f>SUM('Corn World-Major'!H110/1000,Argentina!BA17,Brazil!BA15,Canada!AE17,China!AZ15,'EU27'!AZ20,Russia!AZ16,Ukraine!AP17)+[1]Corn!AZ18*0.0254</f>
        <v>303.62442976552325</v>
      </c>
    </row>
    <row r="18" spans="1:33" ht="16.5" thickBot="1">
      <c r="A18" s="87" t="s">
        <v>22</v>
      </c>
      <c r="B18" s="88" t="e">
        <f t="shared" ref="B18:AA18" si="15">B17/B16</f>
        <v>#REF!</v>
      </c>
      <c r="C18" s="88" t="e">
        <f t="shared" si="15"/>
        <v>#REF!</v>
      </c>
      <c r="D18" s="88" t="e">
        <f t="shared" si="15"/>
        <v>#REF!</v>
      </c>
      <c r="E18" s="88" t="e">
        <f t="shared" si="15"/>
        <v>#REF!</v>
      </c>
      <c r="F18" s="88" t="e">
        <f t="shared" si="15"/>
        <v>#REF!</v>
      </c>
      <c r="G18" s="88" t="e">
        <f t="shared" si="15"/>
        <v>#REF!</v>
      </c>
      <c r="H18" s="88" t="e">
        <f t="shared" si="15"/>
        <v>#REF!</v>
      </c>
      <c r="I18" s="88" t="e">
        <f t="shared" si="15"/>
        <v>#REF!</v>
      </c>
      <c r="J18" s="88" t="e">
        <f t="shared" si="15"/>
        <v>#REF!</v>
      </c>
      <c r="K18" s="88" t="e">
        <f t="shared" si="15"/>
        <v>#REF!</v>
      </c>
      <c r="L18" s="88" t="e">
        <f t="shared" si="15"/>
        <v>#REF!</v>
      </c>
      <c r="M18" s="88" t="e">
        <f t="shared" si="15"/>
        <v>#REF!</v>
      </c>
      <c r="N18" s="88" t="e">
        <f t="shared" si="15"/>
        <v>#REF!</v>
      </c>
      <c r="O18" s="88" t="e">
        <f t="shared" si="15"/>
        <v>#REF!</v>
      </c>
      <c r="P18" s="88" t="e">
        <f t="shared" si="15"/>
        <v>#REF!</v>
      </c>
      <c r="Q18" s="88" t="e">
        <f t="shared" si="15"/>
        <v>#REF!</v>
      </c>
      <c r="R18" s="88" t="e">
        <f>R17/R16</f>
        <v>#REF!</v>
      </c>
      <c r="S18" s="88" t="e">
        <f t="shared" si="15"/>
        <v>#REF!</v>
      </c>
      <c r="T18" s="88" t="e">
        <f t="shared" si="15"/>
        <v>#REF!</v>
      </c>
      <c r="U18" s="88" t="e">
        <f t="shared" si="15"/>
        <v>#REF!</v>
      </c>
      <c r="V18" s="88" t="e">
        <f t="shared" si="15"/>
        <v>#REF!</v>
      </c>
      <c r="W18" s="88" t="e">
        <f t="shared" si="15"/>
        <v>#REF!</v>
      </c>
      <c r="X18" s="88">
        <f>X17/X16</f>
        <v>0.22714442410983074</v>
      </c>
      <c r="Y18" s="88">
        <f>Y17/Y16</f>
        <v>0.23045264711117874</v>
      </c>
      <c r="Z18" s="89">
        <f t="shared" si="15"/>
        <v>0.21201870517715371</v>
      </c>
      <c r="AA18" s="89">
        <f t="shared" si="15"/>
        <v>0.31327440268530982</v>
      </c>
    </row>
    <row r="19" spans="1:33" ht="13.5" hidden="1" thickBo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90"/>
      <c r="Y19" s="90"/>
      <c r="Z19" s="90"/>
      <c r="AA19" s="90"/>
    </row>
    <row r="20" spans="1:33" ht="13.5" hidden="1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90"/>
      <c r="Y20" s="90"/>
      <c r="Z20" s="90"/>
      <c r="AA20" s="90"/>
    </row>
    <row r="21" spans="1:33">
      <c r="A21" s="91" t="s">
        <v>71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</row>
    <row r="24" spans="1:33" ht="16.5" thickBot="1">
      <c r="A24" s="93" t="s">
        <v>72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</row>
    <row r="25" spans="1:33" ht="16.5" thickBot="1">
      <c r="A25" s="94"/>
      <c r="B25" s="95" t="str">
        <f t="shared" ref="B25:AA25" si="16">B2</f>
        <v xml:space="preserve">00/01 </v>
      </c>
      <c r="C25" s="95" t="str">
        <f t="shared" si="16"/>
        <v xml:space="preserve">01/02 </v>
      </c>
      <c r="D25" s="95" t="str">
        <f t="shared" si="16"/>
        <v xml:space="preserve">02/03 </v>
      </c>
      <c r="E25" s="95" t="str">
        <f t="shared" si="16"/>
        <v xml:space="preserve">03/04 </v>
      </c>
      <c r="F25" s="95" t="str">
        <f t="shared" si="16"/>
        <v xml:space="preserve">04/05 </v>
      </c>
      <c r="G25" s="95" t="str">
        <f t="shared" si="16"/>
        <v xml:space="preserve">05/06 </v>
      </c>
      <c r="H25" s="95" t="str">
        <f t="shared" si="16"/>
        <v xml:space="preserve">06/07 </v>
      </c>
      <c r="I25" s="95" t="str">
        <f t="shared" si="16"/>
        <v xml:space="preserve">07/08 </v>
      </c>
      <c r="J25" s="95" t="str">
        <f t="shared" si="16"/>
        <v xml:space="preserve">08/09 </v>
      </c>
      <c r="K25" s="95" t="str">
        <f t="shared" si="16"/>
        <v xml:space="preserve">09/10 </v>
      </c>
      <c r="L25" s="95" t="str">
        <f t="shared" si="16"/>
        <v xml:space="preserve">10/11 </v>
      </c>
      <c r="M25" s="95" t="str">
        <f t="shared" si="16"/>
        <v xml:space="preserve">11/12 </v>
      </c>
      <c r="N25" s="95" t="str">
        <f t="shared" si="16"/>
        <v xml:space="preserve">12/13 </v>
      </c>
      <c r="O25" s="95" t="str">
        <f t="shared" si="16"/>
        <v xml:space="preserve">13/14 </v>
      </c>
      <c r="P25" s="95" t="str">
        <f t="shared" si="16"/>
        <v xml:space="preserve">14/15 </v>
      </c>
      <c r="Q25" s="95" t="str">
        <f t="shared" si="16"/>
        <v xml:space="preserve">15/16 </v>
      </c>
      <c r="R25" s="95" t="str">
        <f t="shared" si="16"/>
        <v xml:space="preserve">16/17 </v>
      </c>
      <c r="S25" s="95" t="str">
        <f t="shared" si="16"/>
        <v xml:space="preserve">17/18 </v>
      </c>
      <c r="T25" s="95" t="str">
        <f t="shared" si="16"/>
        <v xml:space="preserve">18/19 </v>
      </c>
      <c r="U25" s="95" t="str">
        <f t="shared" si="16"/>
        <v>19/20</v>
      </c>
      <c r="V25" s="95" t="str">
        <f t="shared" si="16"/>
        <v>20/21</v>
      </c>
      <c r="W25" s="95" t="str">
        <f t="shared" si="16"/>
        <v>21/22</v>
      </c>
      <c r="X25" s="95" t="str">
        <f t="shared" si="16"/>
        <v>22/23</v>
      </c>
      <c r="Y25" s="95" t="str">
        <f t="shared" si="16"/>
        <v>23/24</v>
      </c>
      <c r="Z25" s="95" t="str">
        <f t="shared" si="16"/>
        <v>24/25</v>
      </c>
      <c r="AA25" s="95" t="str">
        <f t="shared" si="16"/>
        <v>25/26</v>
      </c>
    </row>
    <row r="26" spans="1:33" ht="15.75">
      <c r="A26" s="93" t="s">
        <v>73</v>
      </c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>
        <f>'Corn World-Major'!$D$66/12</f>
        <v>15020</v>
      </c>
      <c r="Y26" s="42">
        <f>'Corn World-Major'!F67/12+Argentina!AX32+Brazil!AX31+Canada!AC71+China!AW36+'EU27'!AW40+Russia!AW36+Ukraine!AM37+([1]Corn!AX93*0.0254)*1000</f>
        <v>16990.932625571146</v>
      </c>
      <c r="Z26" s="42">
        <f>'Corn World-Major'!G67/12+Argentina!AY32+Brazil!AY31+Canada!AD71+China!AX36+'EU27'!AX40+Russia!AX36+Ukraine!AN37+([1]Corn!AY93*0.0254*1000)</f>
        <v>16278.205232742093</v>
      </c>
      <c r="AA26" s="42" t="e">
        <f>SUM('Corn World-Major'!#REF!/12+Argentina!BA32+Brazil!BA31+Canada!AE71+China!AY36+'EU27'!AY40+Russia!AY36+Ukraine!AO37)+[1]Corn!AZ93*0.0254</f>
        <v>#REF!</v>
      </c>
    </row>
    <row r="27" spans="1:33" ht="15.75">
      <c r="A27" s="93" t="s">
        <v>74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>
        <f>'Corn World-Major'!$D$66/12</f>
        <v>15020</v>
      </c>
      <c r="Y27" s="42">
        <f>'Corn World-Major'!F67/12+Argentina!AX33+Brazil!AX32+Canada!AC72+China!AX25+'EU27'!AX29+Russia!AX25+Ukraine!AN26+[1]Corn!AX94*0.0254*1000</f>
        <v>15562.292717163036</v>
      </c>
      <c r="Z27" s="42">
        <f>SUM('Corn World-Major'!G67/12+Argentina!AY33+Brazil!AY32+Canada!AD72+China!AY25+'EU27'!AY29+Russia!AY25+Ukraine!AO26)+[1]Corn!AY94*0.0254*1000</f>
        <v>16626.802986272429</v>
      </c>
      <c r="AA27" s="42" t="e">
        <f>SUM('Corn World-Major'!#REF!/12+Argentina!BA33+Brazil!BA32+Canada!AE72+China!AZ25+'EU27'!AZ29+Russia!AZ25+Ukraine!AP26)+[1]Corn!AZ94*0.0254</f>
        <v>#REF!</v>
      </c>
    </row>
    <row r="28" spans="1:33" ht="15.75">
      <c r="A28" s="93" t="s">
        <v>75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>
        <f>'Corn World-Major'!$D$66/12</f>
        <v>15020</v>
      </c>
      <c r="Y28" s="42">
        <f>'Corn World-Major'!F67/12+Argentina!AX34+Brazil!AX33+Canada!AC73+China!AX26+'EU27'!AX30+Russia!AX26+Ukraine!AN27+[1]Corn!AX95*0.0254*1000</f>
        <v>16708.897292701728</v>
      </c>
      <c r="Z28" s="42">
        <f>SUM('Corn World-Major'!G67/12+Argentina!AY34+Brazil!AY33+Canada!AD73+China!AY26+'EU27'!AY30+Russia!AY26+Ukraine!AO27)+[1]Corn!AY95*0.0254*1000</f>
        <v>15734.133957259362</v>
      </c>
      <c r="AA28" s="42" t="e">
        <f>SUM('Corn World-Major'!#REF!/12+Argentina!BA34+Brazil!BA33+Canada!AE73+China!AZ26+'EU27'!AZ30+Russia!AZ26+Ukraine!AP27)+[1]Corn!AZ95*0.0254</f>
        <v>#REF!</v>
      </c>
      <c r="AE28" s="42"/>
    </row>
    <row r="29" spans="1:33" ht="15.75">
      <c r="A29" s="93" t="s">
        <v>76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>
        <f>'Corn World-Major'!$D$66/12</f>
        <v>15020</v>
      </c>
      <c r="Y29" s="42">
        <f>'Corn World-Major'!F67/12+Argentina!AX35+Brazil!AX34+Canada!AC74+China!AX27+'EU27'!AX31+Russia!AX27+Ukraine!AN28+[1]Corn!AX96*0.0254*1000</f>
        <v>17815.32091285241</v>
      </c>
      <c r="Z29" s="42">
        <f>SUM('Corn World-Major'!G67/12+Argentina!AY35+Brazil!AY34+Canada!AD74+China!AY27+'EU27'!AY31+Russia!AY27+Ukraine!AO28)+[1]Corn!AY96*0.0254*1000</f>
        <v>14330.204351790611</v>
      </c>
      <c r="AA29" s="42" t="e">
        <f>SUM('Corn World-Major'!#REF!/12+Argentina!BA35+Brazil!BA34+Canada!AE74+China!AZ27+'EU27'!AZ31+Russia!AZ27+Ukraine!AP28)+[1]Corn!AZ96*0.0254</f>
        <v>#REF!</v>
      </c>
      <c r="AE29" s="42"/>
    </row>
    <row r="30" spans="1:33" ht="15.75">
      <c r="A30" s="93" t="s">
        <v>77</v>
      </c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>
        <f>'Corn World-Major'!$D$66/12</f>
        <v>15020</v>
      </c>
      <c r="Y30" s="42">
        <f>'Corn World-Major'!F67/12+Argentina!AX36+Brazil!AX35+Canada!AC75+China!AX28+'EU27'!AX32+Russia!AX28+Ukraine!AN29+[1]Corn!AX97*0.0254*1000</f>
        <v>16461.915364504031</v>
      </c>
      <c r="Z30" s="42">
        <f>SUM('Corn World-Major'!G67/12+Argentina!AY36+Brazil!AY35+Canada!AD75+China!AY28+'EU27'!AY32+Russia!AY28+Ukraine!AO29)+[1]Corn!AY97*0.0254*1000</f>
        <v>15401.164807384897</v>
      </c>
      <c r="AA30" s="42" t="e">
        <f>SUM('Corn World-Major'!#REF!/12+Argentina!BA36+Brazil!BA35+Canada!AE75+China!AZ28+'EU27'!AZ32+Russia!AZ28+Ukraine!AP29)+[1]Corn!AZ97*0.0254</f>
        <v>#REF!</v>
      </c>
      <c r="AE30" s="42"/>
      <c r="AG30" s="9"/>
    </row>
    <row r="31" spans="1:33" ht="15.75">
      <c r="A31" s="93" t="s">
        <v>78</v>
      </c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>
        <f>'Corn World-Major'!$D$66/12</f>
        <v>15020</v>
      </c>
      <c r="Y31" s="42">
        <f>'Corn World-Major'!F67/12+Argentina!AX37+Brazil!AX36+Canada!AC76+China!AX29+'EU27'!AX33+Russia!AX29+Ukraine!AN30+[1]Corn!AX98*0.0254*1000</f>
        <v>13961.864069420095</v>
      </c>
      <c r="Z31" s="42">
        <f>SUM('Corn World-Major'!G67/12+Argentina!AY37+Brazil!AY36+Canada!AD76+China!AY29+'EU27'!AY33+Russia!AY29+Ukraine!AO30)+[1]Corn!AY98*0.0254*1000</f>
        <v>13777.785467223141</v>
      </c>
      <c r="AA31" s="42" t="e">
        <f>SUM('Corn World-Major'!#REF!/12+Argentina!BA37+Brazil!BA36+Canada!AE76+China!AZ29+'EU27'!AZ33+Russia!AZ29+Ukraine!AP30)+[1]Corn!AZ98*0.0254</f>
        <v>#REF!</v>
      </c>
      <c r="AE31" s="42"/>
      <c r="AG31" s="9"/>
    </row>
    <row r="32" spans="1:33" ht="15.75">
      <c r="A32" s="93" t="s">
        <v>79</v>
      </c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>
        <f>'Corn World-Major'!$D$66/12</f>
        <v>15020</v>
      </c>
      <c r="Y32" s="42">
        <f>'Corn World-Major'!F67/12+Argentina!AY26+Brazil!AY25+Canada!AC77+China!AX30+'EU27'!AX34+Russia!AX30+Ukraine!AN31+[1]Corn!AX99*0.0254*1000</f>
        <v>15062.974706723777</v>
      </c>
      <c r="Z32" s="42">
        <f>SUM('Corn World-Major'!G67/12+Argentina!AZ26+Brazil!AZ25+Canada!AD77+China!AY30+'EU27'!AY34+Russia!AY30+Ukraine!AO31)+[1]Corn!AY99*0.0254*1000</f>
        <v>14380.017112238249</v>
      </c>
      <c r="AA32" s="42" t="e">
        <f>SUM('Corn World-Major'!#REF!/12+Argentina!BB26+Brazil!BB25+Canada!AE77+China!AZ30+'EU27'!AZ34+Russia!AZ30+Ukraine!AP31)+[1]Corn!AZ99*0.0254</f>
        <v>#REF!</v>
      </c>
      <c r="AE32" s="42"/>
    </row>
    <row r="33" spans="1:31" ht="15.75">
      <c r="A33" s="93" t="s">
        <v>80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>
        <f>'Corn World-Major'!$D$66/12</f>
        <v>15020</v>
      </c>
      <c r="Y33" s="42">
        <f>'Corn World-Major'!F67/12+Argentina!AY27+Brazil!AY26+Canada!AC78+China!AX31+'EU27'!AX35+Russia!AX31+Ukraine!AN32+[1]Corn!AX100*0.0254*1000</f>
        <v>17122.900005897063</v>
      </c>
      <c r="Z33" s="42">
        <f>SUM('Corn World-Major'!G67/12+Argentina!AZ27+Brazil!AZ26+Canada!AD78+China!AY31+'EU27'!AY35+Russia!AY31+Ukraine!AO32)+[1]Corn!AY100*0.0254*1000</f>
        <v>15409.79416402413</v>
      </c>
      <c r="AA33" s="42" t="e">
        <f>SUM('Corn World-Major'!#REF!/12+Argentina!BB27+Brazil!BB26+Canada!AE78+China!AZ31+'EU27'!AZ35+Russia!AZ31+Ukraine!AP32)+[1]Corn!AZ100*0.0254</f>
        <v>#REF!</v>
      </c>
      <c r="AE33" s="42"/>
    </row>
    <row r="34" spans="1:31" ht="15.75">
      <c r="A34" s="93" t="s">
        <v>81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>
        <f>'Corn World-Major'!$D$66/12</f>
        <v>15020</v>
      </c>
      <c r="Y34" s="42">
        <f>'Corn World-Major'!F67/12+Argentina!AY28+Brazil!AY27+Canada!AC79+China!AX32+'EU27'!AX36+Russia!AX32+Ukraine!AN33+[1]Corn!AX101*0.0254*1000</f>
        <v>14782.96253074002</v>
      </c>
      <c r="Z34" s="42">
        <f>SUM('Corn World-Major'!G67/12+Argentina!AZ28+Brazil!AZ27+Canada!AD79+China!AY32+'EU27'!AY36+Russia!AY32+Ukraine!AO33)+[1]Corn!AY101*0.0254*1000</f>
        <v>14993.338156761214</v>
      </c>
      <c r="AA34" s="42" t="e">
        <f>SUM('Corn World-Major'!#REF!/12+Argentina!BB28+Brazil!BB27+Canada!AE79+China!AZ32+'EU27'!AZ36+Russia!AZ32+Ukraine!AP33)+[1]Corn!AZ101*0.0254</f>
        <v>#REF!</v>
      </c>
      <c r="AE34" s="42"/>
    </row>
    <row r="35" spans="1:31" ht="15.75">
      <c r="A35" s="93" t="s">
        <v>82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>
        <f>'Corn World-Major'!$D$66/12</f>
        <v>15020</v>
      </c>
      <c r="Y35" s="42">
        <f>'Corn World-Major'!F67/12+Argentina!AY29+Brazil!AY28+Canada!AC80+China!AX33+'EU27'!AX37+Russia!AX33+Ukraine!AN34+[1]Corn!AX102*0.0254*1000</f>
        <v>15338.581435970013</v>
      </c>
      <c r="Z35" s="42">
        <f>SUM('Corn World-Major'!G67/12+Argentina!AZ29+Brazil!AZ28+Canada!AD80+China!AY33+'EU27'!AY37+Russia!AY33+Ukraine!AO34)+[1]Corn!AY102*0.0254*1000</f>
        <v>14937.439353265003</v>
      </c>
      <c r="AA35" s="42" t="e">
        <f>SUM('Corn World-Major'!#REF!/12+Argentina!BB29+Brazil!BB28+Canada!AE80+China!AZ33+'EU27'!AZ37+Russia!AZ33+Ukraine!AP34)+[1]Corn!AZ102*0.0254</f>
        <v>#REF!</v>
      </c>
      <c r="AE35" s="42"/>
    </row>
    <row r="36" spans="1:31" ht="15.75">
      <c r="A36" s="93" t="s">
        <v>83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>
        <f>'Corn World-Major'!$D$66/12</f>
        <v>15020</v>
      </c>
      <c r="Y36" s="42">
        <f>'Corn World-Major'!F67/12+Argentina!AY30+Brazil!AY29+Canada!AC81+China!AX34+'EU27'!AX38+Russia!AX34+Ukraine!AN35+[1]Corn!AX103*0.0254*1000</f>
        <v>15373.807773032175</v>
      </c>
      <c r="Z36" s="42">
        <f>SUM('Corn World-Major'!G67/12+Argentina!AZ30+Brazil!AZ29+Canada!AD81+China!AY34+'EU27'!AY38+Russia!AY34+Ukraine!AO35)+[1]Corn!AY103*0.0254*1000</f>
        <v>15684.229390640621</v>
      </c>
      <c r="AA36" s="42" t="e">
        <f>SUM('Corn World-Major'!#REF!/12+Argentina!BB30+Brazil!BB29+Canada!AE81+China!AZ34+'EU27'!AZ38+Russia!AZ34+Ukraine!AP35)+[1]Corn!AZ103*0.0254</f>
        <v>#REF!</v>
      </c>
      <c r="AE36" s="42"/>
    </row>
    <row r="37" spans="1:31" ht="15.75">
      <c r="A37" s="93" t="s">
        <v>84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>
        <f>'Corn World-Major'!$D$66/12</f>
        <v>15020</v>
      </c>
      <c r="Y37" s="42">
        <f>'Corn World-Major'!F67/12+Argentina!AY31+Brazil!AY30+Canada!AC82+China!AX35+'EU27'!AX39+Russia!AX35+Ukraine!AN36+[1]Corn!AX104*0.0254*1000</f>
        <v>16639.224379366391</v>
      </c>
      <c r="Z37" s="42">
        <f>SUM('Corn World-Major'!G67/12+Argentina!AZ31+Brazil!AZ30+Canada!AD82+China!AY35+'EU27'!AY39+Russia!AY35+Ukraine!AO36)+[1]Corn!AY104*0.0254*1000</f>
        <v>17525.258539978891</v>
      </c>
      <c r="AA37" s="42" t="e">
        <f>SUM('Corn World-Major'!#REF!/12+Argentina!BB31+Brazil!BB30+Canada!AE82+China!AZ35+'EU27'!AZ39+Russia!AZ35+Ukraine!AP36)+[1]Corn!AZ104*0.0254</f>
        <v>#REF!</v>
      </c>
      <c r="AE37" s="42"/>
    </row>
    <row r="38" spans="1:31" ht="16.5" thickBot="1">
      <c r="A38" s="93" t="s">
        <v>85</v>
      </c>
      <c r="B38" s="96" t="e">
        <f>#REF!+[2]Australia!B39+[2]Canada!F105+[2]EU27!B41+[2]Russia!B38+[2]Turkey!B38+[2]Ukraine!B38</f>
        <v>#REF!</v>
      </c>
      <c r="C38" s="96" t="e">
        <f>#REF!+[2]Australia!C39+[2]Canada!G105+[2]EU27!C41+[2]Russia!C38+[2]Turkey!C38+[2]Ukraine!C38</f>
        <v>#REF!</v>
      </c>
      <c r="D38" s="96" t="e">
        <f>#REF!+[2]Australia!D39+[2]Canada!H105+[2]EU27!D41+[2]Russia!D38+[2]Turkey!D38+[2]Ukraine!D38</f>
        <v>#REF!</v>
      </c>
      <c r="E38" s="96" t="e">
        <f>#REF!+[2]Australia!E39+[2]Canada!I105+[2]EU27!E41+[2]Russia!E38+[2]Turkey!E38+[2]Ukraine!E38</f>
        <v>#REF!</v>
      </c>
      <c r="F38" s="96" t="e">
        <f>#REF!+[2]Australia!F39+[2]Canada!J105+[2]EU27!F41+[2]Russia!F38+[2]Turkey!F38+[2]Ukraine!F38</f>
        <v>#REF!</v>
      </c>
      <c r="G38" s="96" t="e">
        <f>#REF!+[2]Australia!G39+[2]Canada!K105+[2]EU27!G41+[2]Russia!G38+[2]Turkey!G38+[2]Ukraine!G38</f>
        <v>#REF!</v>
      </c>
      <c r="H38" s="96" t="e">
        <f>#REF!+[2]Australia!H39+[2]Canada!L105+[2]EU27!H41+[2]Russia!H38+[2]Turkey!H38+[2]Ukraine!H38</f>
        <v>#REF!</v>
      </c>
      <c r="I38" s="96" t="e">
        <f>#REF!+[2]Australia!I39+[2]Canada!M105+[2]EU27!I41+[2]Russia!I38+[2]Turkey!I38+[2]Ukraine!I38</f>
        <v>#REF!</v>
      </c>
      <c r="J38" s="96" t="e">
        <f>#REF!+[2]Australia!J39+[2]Canada!N105+[2]EU27!J41+[2]Russia!J38+[2]Turkey!J38+[2]Ukraine!J38</f>
        <v>#REF!</v>
      </c>
      <c r="K38" s="96" t="e">
        <f>#REF!+[2]Australia!K39+[2]Canada!O105+[2]EU27!K41+[2]Russia!K38+[2]Turkey!K38+[2]Ukraine!K38</f>
        <v>#REF!</v>
      </c>
      <c r="L38" s="96" t="e">
        <f>#REF!+[2]Australia!L39+[2]Canada!P105+[2]EU27!L41+[2]Russia!L38+[2]Turkey!L38+[2]Ukraine!L38</f>
        <v>#REF!</v>
      </c>
      <c r="M38" s="96" t="e">
        <f>#REF!+[2]Australia!M39+[2]Canada!Q105+[2]EU27!M41+[2]Russia!M38+[2]Turkey!M38+[2]Ukraine!M38</f>
        <v>#REF!</v>
      </c>
      <c r="N38" s="96" t="e">
        <f>#REF!+[2]Australia!N39+[2]Canada!R105+[2]EU27!N41+[2]Russia!N38+[2]Turkey!N38+[2]Ukraine!N38</f>
        <v>#REF!</v>
      </c>
      <c r="O38" s="96" t="e">
        <f>#REF!+[2]Australia!O39+[2]Canada!S105+[2]EU27!O41+[2]Russia!O38+[2]Turkey!O38+[2]Ukraine!O38</f>
        <v>#REF!</v>
      </c>
      <c r="P38" s="96" t="e">
        <f>#REF!+[2]Australia!P39+[2]Canada!T105+[2]EU27!P41+[2]Russia!P38+[2]Turkey!P38+[2]Ukraine!P38</f>
        <v>#REF!</v>
      </c>
      <c r="Q38" s="96" t="e">
        <f>#REF!+[2]Australia!Q39+[2]Canada!U105+[2]EU27!Q41+[2]Russia!Q38+[2]Turkey!Q38+[2]Ukraine!Q38</f>
        <v>#REF!</v>
      </c>
      <c r="R38" s="96" t="e">
        <f>#REF!+[2]Australia!R39+[2]Canada!V105+[2]EU27!R41+[2]Russia!R38+[2]Turkey!R38+[2]Ukraine!R38</f>
        <v>#REF!</v>
      </c>
      <c r="S38" s="96" t="e">
        <f>#REF!+[2]Australia!S39+[2]Canada!W105+[2]EU27!S41+[2]Russia!S38+[2]Turkey!S38+[2]Ukraine!S38</f>
        <v>#REF!</v>
      </c>
      <c r="T38" s="96" t="e">
        <f>#REF!+[2]Australia!T39+[2]Canada!X105+[2]EU27!T41+[2]Russia!T38+[2]Turkey!T38+[2]Ukraine!T38</f>
        <v>#REF!</v>
      </c>
      <c r="U38" s="96" t="e">
        <f>#REF!+[2]Australia!U39+[2]Canada!Y105+[2]EU27!U41+[2]Russia!U38+[2]Turkey!U38+[2]Ukraine!U38</f>
        <v>#REF!</v>
      </c>
      <c r="V38" s="96" t="e">
        <f>#REF!+[2]Australia!V39+[2]Canada!Z105+[2]EU27!V41+[2]Russia!V38+[2]Turkey!V38+[2]Ukraine!V38</f>
        <v>#REF!</v>
      </c>
      <c r="W38" s="96" t="e">
        <f>#REF!+[2]Australia!W39+[2]Canada!AA105+[2]EU27!W41+[2]Russia!W38+[2]Turkey!W38+[2]Ukraine!W38</f>
        <v>#REF!</v>
      </c>
      <c r="X38" s="97">
        <f>SUM(X26:X37)</f>
        <v>180240</v>
      </c>
      <c r="Y38" s="97">
        <f>SUM(Y26:Y37)</f>
        <v>191821.67381394183</v>
      </c>
      <c r="Z38" s="97">
        <f>SUM(Z26:Z37)</f>
        <v>185078.37351958064</v>
      </c>
      <c r="AA38" s="97" t="e">
        <f t="shared" ref="AA38" si="17">SUM(AA26:AA37)</f>
        <v>#REF!</v>
      </c>
    </row>
    <row r="39" spans="1:31" ht="15.75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1:31" ht="16.5" thickBot="1">
      <c r="A40" s="93" t="s">
        <v>86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</row>
    <row r="41" spans="1:31" ht="16.5" thickBot="1">
      <c r="A41" s="94"/>
      <c r="B41" s="95" t="str">
        <f t="shared" ref="B41:AA41" si="18">B2</f>
        <v xml:space="preserve">00/01 </v>
      </c>
      <c r="C41" s="95" t="str">
        <f t="shared" si="18"/>
        <v xml:space="preserve">01/02 </v>
      </c>
      <c r="D41" s="95" t="str">
        <f t="shared" si="18"/>
        <v xml:space="preserve">02/03 </v>
      </c>
      <c r="E41" s="95" t="str">
        <f t="shared" si="18"/>
        <v xml:space="preserve">03/04 </v>
      </c>
      <c r="F41" s="95" t="str">
        <f t="shared" si="18"/>
        <v xml:space="preserve">04/05 </v>
      </c>
      <c r="G41" s="95" t="str">
        <f t="shared" si="18"/>
        <v xml:space="preserve">05/06 </v>
      </c>
      <c r="H41" s="95" t="str">
        <f t="shared" si="18"/>
        <v xml:space="preserve">06/07 </v>
      </c>
      <c r="I41" s="95" t="str">
        <f t="shared" si="18"/>
        <v xml:space="preserve">07/08 </v>
      </c>
      <c r="J41" s="95" t="str">
        <f t="shared" si="18"/>
        <v xml:space="preserve">08/09 </v>
      </c>
      <c r="K41" s="95" t="str">
        <f t="shared" si="18"/>
        <v xml:space="preserve">09/10 </v>
      </c>
      <c r="L41" s="95" t="str">
        <f t="shared" si="18"/>
        <v xml:space="preserve">10/11 </v>
      </c>
      <c r="M41" s="95" t="str">
        <f t="shared" si="18"/>
        <v xml:space="preserve">11/12 </v>
      </c>
      <c r="N41" s="95" t="str">
        <f t="shared" si="18"/>
        <v xml:space="preserve">12/13 </v>
      </c>
      <c r="O41" s="95" t="str">
        <f t="shared" si="18"/>
        <v xml:space="preserve">13/14 </v>
      </c>
      <c r="P41" s="95" t="str">
        <f t="shared" si="18"/>
        <v xml:space="preserve">14/15 </v>
      </c>
      <c r="Q41" s="95" t="str">
        <f t="shared" si="18"/>
        <v xml:space="preserve">15/16 </v>
      </c>
      <c r="R41" s="95" t="str">
        <f t="shared" si="18"/>
        <v xml:space="preserve">16/17 </v>
      </c>
      <c r="S41" s="95" t="str">
        <f t="shared" si="18"/>
        <v xml:space="preserve">17/18 </v>
      </c>
      <c r="T41" s="95" t="str">
        <f t="shared" si="18"/>
        <v xml:space="preserve">18/19 </v>
      </c>
      <c r="U41" s="95" t="str">
        <f t="shared" si="18"/>
        <v>19/20</v>
      </c>
      <c r="V41" s="95" t="str">
        <f t="shared" si="18"/>
        <v>20/21</v>
      </c>
      <c r="W41" s="95" t="str">
        <f t="shared" si="18"/>
        <v>21/22</v>
      </c>
      <c r="X41" s="95" t="str">
        <f t="shared" si="18"/>
        <v>22/23</v>
      </c>
      <c r="Y41" s="95" t="str">
        <f t="shared" si="18"/>
        <v>23/24</v>
      </c>
      <c r="Z41" s="95" t="str">
        <f t="shared" si="18"/>
        <v>24/25</v>
      </c>
      <c r="AA41" s="95" t="str">
        <f t="shared" si="18"/>
        <v>25/26</v>
      </c>
    </row>
    <row r="42" spans="1:31" ht="15.75">
      <c r="A42" s="93" t="s">
        <v>73</v>
      </c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42">
        <f>'Corn World-Major'!$D$44/12</f>
        <v>14449.25</v>
      </c>
      <c r="Y42" s="32">
        <f>('Corn World-Major'!F45/12)+Argentina!AZ48+Brazil!AZ47+Canada!AC87+China!AW54+'EU27'!AW57+Russia!AW52+Ukraine!AM53+[1]Corn!AX77*0.0254</f>
        <v>16334.232361265735</v>
      </c>
      <c r="Z42" s="32">
        <f>('Corn World-Major'!G45/12)+Argentina!BA48+Brazil!BA47+Canada!AD87+China!AX54+'EU27'!AX57+Russia!AX52+Ukraine!AN53+[1]Corn!AY77*0.0254</f>
        <v>14898.255838144418</v>
      </c>
      <c r="AA42" s="32">
        <f>('Corn World-Major'!H45/12)+Argentina!BB48+Brazil!BB47+Canada!AE87+China!AY54+'EU27'!AY57+Russia!AY52+Ukraine!AO53+[1]Corn!AZ77*0.0254</f>
        <v>2806.6611341951339</v>
      </c>
    </row>
    <row r="43" spans="1:31" ht="15.75">
      <c r="A43" s="93" t="s">
        <v>74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42">
        <f>'Corn World-Major'!$D$44/12</f>
        <v>14449.25</v>
      </c>
      <c r="Y43" s="32">
        <f>('Corn World-Major'!F45/12)+Argentina!AZ49+Brazil!AZ48+Canada!AC88+China!AW55+'EU27'!AX46+Russia!AX41+Ukraine!AN42+[1]Corn!AX78*0.0254</f>
        <v>33178.023472255816</v>
      </c>
      <c r="Z43" s="32">
        <f>('Corn World-Major'!G45/12)+Argentina!BA49+Brazil!BA48+Canada!AD88+China!AX55+'EU27'!AY46+Russia!AY41+Ukraine!AO42+[1]Corn!AY78*0.0254</f>
        <v>38457.394080280428</v>
      </c>
      <c r="AA43" s="32">
        <f>('Corn World-Major'!H45/12)+Argentina!BB49+Brazil!BB48+Canada!AE88+China!AY55+'EU27'!AZ46+Russia!AZ41+Ukraine!AP42+[1]Corn!AZ78*0.0254</f>
        <v>9125.0963313670618</v>
      </c>
    </row>
    <row r="44" spans="1:31" ht="15.75">
      <c r="A44" s="93" t="s">
        <v>75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42">
        <f>'Corn World-Major'!$D$44/12</f>
        <v>14449.25</v>
      </c>
      <c r="Y44" s="32">
        <f>('Corn World-Major'!F45/12)+Argentina!AZ50+Brazil!AZ49+Canada!AC89+China!AW56+'EU27'!AX47+Russia!AX42+Ukraine!AN43+[1]Corn!AX79*0.0254</f>
        <v>14702.595446536403</v>
      </c>
      <c r="Z44" s="32">
        <f>('Corn World-Major'!G45/12)+Argentina!BA50+Brazil!BA49+Canada!AD89+China!AX56+'EU27'!AY47+Russia!AY42+Ukraine!AO43+[1]Corn!AY79*0.0254</f>
        <v>14280.339604200055</v>
      </c>
      <c r="AA44" s="32">
        <f>('Corn World-Major'!H45/12)+Argentina!BB50+Brazil!BB49+Canada!AE89+China!AY56+'EU27'!AZ47+Russia!AZ42+Ukraine!AP43+[1]Corn!AZ79*0.0254</f>
        <v>1791.6885141754353</v>
      </c>
    </row>
    <row r="45" spans="1:31" ht="15.75">
      <c r="A45" s="93" t="s">
        <v>76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42">
        <f>'Corn World-Major'!$D$44/12</f>
        <v>14449.25</v>
      </c>
      <c r="Y45" s="32">
        <f>('Corn World-Major'!F45/12)+Argentina!AZ51+Brazil!AZ50+Canada!AC90+China!AW57+'EU27'!AX48+Russia!AX43+Ukraine!AN44+[1]Corn!AX80*0.0254</f>
        <v>14785.749527463444</v>
      </c>
      <c r="Z45" s="32">
        <f>('Corn World-Major'!G45/12)+Argentina!BA51+Brazil!BA50+Canada!AD90+China!AX57+'EU27'!AY48+Russia!AY43+Ukraine!AO44+[1]Corn!AY80*0.0254</f>
        <v>15080.356478515609</v>
      </c>
      <c r="AA45" s="32">
        <f>('Corn World-Major'!H45/12)+Argentina!BB51+Brazil!BB50+Canada!AE90+China!AY57+'EU27'!AZ48+Russia!AZ43+Ukraine!AP44+[1]Corn!AZ80*0.0254</f>
        <v>2099.5364969882121</v>
      </c>
    </row>
    <row r="46" spans="1:31" ht="15.75">
      <c r="A46" s="93" t="s">
        <v>77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42">
        <f>'Corn World-Major'!$D$44/12</f>
        <v>14449.25</v>
      </c>
      <c r="Y46" s="32">
        <f>('Corn World-Major'!F45/12)+Argentina!AZ52+Brazil!AZ51+Canada!AC91+China!AW58+'EU27'!AX49+Russia!AX44+Ukraine!AN45+[1]Corn!AX81*0.0254</f>
        <v>14910.105256574987</v>
      </c>
      <c r="Z46" s="32">
        <f>('Corn World-Major'!G45/12)+Argentina!BA52+Brazil!BA51+Canada!AD91+China!AX58+'EU27'!AY49+Russia!AY44+Ukraine!AO45+[1]Corn!AY81*0.0254</f>
        <v>15146.114388134822</v>
      </c>
      <c r="AA46" s="32">
        <f>('Corn World-Major'!H45/12)+Argentina!BB52+Brazil!BB51+Canada!AE91+China!AY58+'EU27'!AZ49+Russia!AZ44+Ukraine!AP45+[1]Corn!AZ81*0.0254</f>
        <v>2241.7351321971983</v>
      </c>
    </row>
    <row r="47" spans="1:31" ht="15.75">
      <c r="A47" s="93" t="s">
        <v>78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42">
        <f>'Corn World-Major'!$D$44/12</f>
        <v>14449.25</v>
      </c>
      <c r="Y47" s="32">
        <f>('Corn World-Major'!F45/12)+Argentina!AZ53+Brazil!AZ52+Canada!AC92+China!AW59+'EU27'!AX50+Russia!AX45+Ukraine!AN46+[1]Corn!AX82*0.0254</f>
        <v>14654.905385682639</v>
      </c>
      <c r="Z47" s="32">
        <f>('Corn World-Major'!G45/12)+Argentina!BA53+Brazil!BA52+Canada!AD92+China!AX59+'EU27'!AY50+Russia!AY45+Ukraine!AO46+[1]Corn!AY82*0.0254</f>
        <v>14836.176346579785</v>
      </c>
      <c r="AA47" s="32">
        <f>('Corn World-Major'!H45/12)+Argentina!BB53+Brazil!BB52+Canada!AE92+China!AY59+'EU27'!AZ50+Russia!AZ45+Ukraine!AP46+[1]Corn!AZ82*0.0254</f>
        <v>2023.4626531192971</v>
      </c>
    </row>
    <row r="48" spans="1:31" ht="15.75">
      <c r="A48" s="93" t="s">
        <v>79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42">
        <f>'Corn World-Major'!$D$44/12</f>
        <v>14449.25</v>
      </c>
      <c r="Y48" s="32">
        <f>('Corn World-Major'!F45/12)+Argentina!BA42+Brazil!BA41+Canada!AC93+China!AW60+'EU27'!AX51+Russia!AX46+Ukraine!AN47+[1]Corn!AX83*0.0254</f>
        <v>14002.218393189391</v>
      </c>
      <c r="Z48" s="32">
        <f>('Corn World-Major'!G45/12)+Argentina!BB42+Brazil!BB41+Canada!AD93+China!AX60+'EU27'!AY51+Russia!AY46+Ukraine!AO47+[1]Corn!AY83*0.0254</f>
        <v>14334.234063029387</v>
      </c>
      <c r="AA48" s="32">
        <f>('Corn World-Major'!H45/12)+Argentina!BC42+Brazil!BC41+Canada!AE93+China!AY60+'EU27'!AZ51+Russia!AZ46+Ukraine!AP47+[1]Corn!AZ83*0.0254</f>
        <v>1588.4115834859056</v>
      </c>
    </row>
    <row r="49" spans="1:28" ht="15.75">
      <c r="A49" s="93" t="s">
        <v>80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42">
        <f>'Corn World-Major'!$D$44/12</f>
        <v>14449.25</v>
      </c>
      <c r="Y49" s="32">
        <f>('Corn World-Major'!F45/12)+Argentina!BA43+Brazil!BA42+Canada!AC94+China!AW61+'EU27'!AX52+Russia!AX47+Ukraine!AN48+[1]Corn!AX84*0.0254</f>
        <v>14470.119787157761</v>
      </c>
      <c r="Z49" s="32">
        <f>('Corn World-Major'!G45/12)+Argentina!BB43+Brazil!BB42+Canada!AD94+China!AX61+'EU27'!AY52+Russia!AY47+Ukraine!AO48+[1]Corn!AY84*0.0254</f>
        <v>14298.495376725437</v>
      </c>
      <c r="AA49" s="32">
        <f>('Corn World-Major'!H45/12)+Argentina!BC43+Brazil!BC42+Canada!AE94+China!AY61+'EU27'!AZ52+Russia!AZ47+Ukraine!AP48+[1]Corn!AZ84*0.0254</f>
        <v>1520.5544575053975</v>
      </c>
    </row>
    <row r="50" spans="1:28" ht="15.75">
      <c r="A50" s="93" t="s">
        <v>81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42">
        <f>'Corn World-Major'!$D$44/12</f>
        <v>14449.25</v>
      </c>
      <c r="Y50" s="32">
        <f>('Corn World-Major'!F45/12)+Argentina!BA44+Brazil!BA43+Canada!AC95+China!AW62+'EU27'!AX53+Russia!AX48+Ukraine!AN49+[1]Corn!AX85*0.0254</f>
        <v>14270.37042624382</v>
      </c>
      <c r="Z50" s="32">
        <f>('Corn World-Major'!G45/12)+Argentina!BB44+Brazil!BB43+Canada!AD95+China!AX62+'EU27'!AY53+Russia!AY48+Ukraine!AO49+[1]Corn!AY85*0.0254</f>
        <v>14301.589166933474</v>
      </c>
      <c r="AA50" s="32">
        <f>('Corn World-Major'!H45/12)+Argentina!BC44+Brazil!BC43+Canada!AE95+China!AY62+'EU27'!AZ53+Russia!AZ48+Ukraine!AP49+[1]Corn!AZ85*0.0254</f>
        <v>1596.6660104976734</v>
      </c>
    </row>
    <row r="51" spans="1:28" ht="15.75">
      <c r="A51" s="93" t="s">
        <v>82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42">
        <f>'Corn World-Major'!$D$44/12</f>
        <v>14449.25</v>
      </c>
      <c r="Y51" s="32">
        <f>('Corn World-Major'!F45/12)+Argentina!BA45+Brazil!BA44+Canada!AC96+China!AW63+'EU27'!AX54+Russia!AX49+Ukraine!AN50+[1]Corn!AX86*0.0254</f>
        <v>14843.840940739299</v>
      </c>
      <c r="Z51" s="32">
        <f>('Corn World-Major'!G45/12)+Argentina!BB45+Brazil!BB44+Canada!AD96+China!AX63+'EU27'!AY54+Russia!AY49+Ukraine!AO50+[1]Corn!AY86*0.0254</f>
        <v>14276.044133702413</v>
      </c>
      <c r="AA51" s="32">
        <f>('Corn World-Major'!H45/12)+Argentina!BC45+Brazil!BC44+Canada!AE96+China!AY63+'EU27'!AZ54+Russia!AZ49+Ukraine!AP50+[1]Corn!AZ86*0.0254</f>
        <v>1592.3967763354815</v>
      </c>
    </row>
    <row r="52" spans="1:28" ht="15.75">
      <c r="A52" s="93" t="s">
        <v>83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42">
        <f>'Corn World-Major'!$D$44/12</f>
        <v>14449.25</v>
      </c>
      <c r="Y52" s="32">
        <f>('Corn World-Major'!F45/12)+Argentina!BA46+Brazil!BA45+Canada!AC97+China!AW64+'EU27'!AX55+Russia!AX50+Ukraine!AN51+[1]Corn!AX87*0.0254</f>
        <v>15302.679035594538</v>
      </c>
      <c r="Z52" s="32">
        <f>('Corn World-Major'!G45/12)+Argentina!BB46+Brazil!BB45+Canada!AD97+China!AX64+'EU27'!AY55+Russia!AY50+Ukraine!AO51+[1]Corn!AY87*0.0254</f>
        <v>14422.928890535926</v>
      </c>
      <c r="AA52" s="32">
        <f>('Corn World-Major'!H45/12)+Argentina!BC46+Brazil!BC45+Canada!AE97+China!AY64+'EU27'!AZ55+Russia!AZ50+Ukraine!AP51+[1]Corn!AZ87*0.0254</f>
        <v>1755.0620691519221</v>
      </c>
    </row>
    <row r="53" spans="1:28" ht="15.75">
      <c r="A53" s="93" t="s">
        <v>84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42">
        <f>'Corn World-Major'!$D$44/12</f>
        <v>14449.25</v>
      </c>
      <c r="Y53" s="32">
        <f>('Corn World-Major'!F45/12)+Argentina!BA47+Brazil!BA46+Canada!AC98+China!AW65+'EU27'!AX56+Russia!AX51+Ukraine!AN52+[1]Corn!AX88*0.0254</f>
        <v>14650.969482690667</v>
      </c>
      <c r="Z53" s="32">
        <f>('Corn World-Major'!G45/12)+Argentina!BB47+Brazil!BB46+Canada!AD98+China!AX65+'EU27'!AY56+Russia!AY51+Ukraine!AO52+[1]Corn!AY88*0.0254</f>
        <v>14957.687353073759</v>
      </c>
      <c r="AA53" s="32">
        <f>('Corn World-Major'!H45/12)+Argentina!BC47+Brazil!BC46+Canada!AE98+China!AY65+'EU27'!AZ56+Russia!AZ51+Ukraine!AP52+[1]Corn!AZ88*0.0254</f>
        <v>2175.4071858043017</v>
      </c>
    </row>
    <row r="54" spans="1:28" ht="16.5" thickBot="1">
      <c r="A54" s="93" t="s">
        <v>85</v>
      </c>
      <c r="B54" s="96" t="e">
        <f>#REF!+[2]Australia!B55+[2]Canada!F89+[2]EU27!B57+[2]Russia!B54+[2]Turkey!B54+[2]Ukraine!B54</f>
        <v>#REF!</v>
      </c>
      <c r="C54" s="96" t="e">
        <f>#REF!+[2]Australia!C55+[2]Canada!G89+[2]EU27!C57+[2]Russia!C54+[2]Turkey!C54+[2]Ukraine!C54</f>
        <v>#REF!</v>
      </c>
      <c r="D54" s="96" t="e">
        <f>#REF!+[2]Australia!D55+[2]Canada!H89+[2]EU27!D57+[2]Russia!D54+[2]Turkey!D54+[2]Ukraine!D54</f>
        <v>#REF!</v>
      </c>
      <c r="E54" s="96" t="e">
        <f>#REF!+[2]Australia!E55+[2]Canada!I89+[2]EU27!E57+[2]Russia!E54+[2]Turkey!E54+[2]Ukraine!E54</f>
        <v>#REF!</v>
      </c>
      <c r="F54" s="96" t="e">
        <f>#REF!+[2]Australia!F55+[2]Canada!J89+[2]EU27!F57+[2]Russia!F54+[2]Turkey!F54+[2]Ukraine!F54</f>
        <v>#REF!</v>
      </c>
      <c r="G54" s="96" t="e">
        <f>#REF!+[2]Australia!G55+[2]Canada!K89+[2]EU27!G57+[2]Russia!G54+[2]Turkey!G54+[2]Ukraine!G54</f>
        <v>#REF!</v>
      </c>
      <c r="H54" s="96" t="e">
        <f>#REF!+[2]Australia!H55+[2]Canada!L89+[2]EU27!H57+[2]Russia!H54+[2]Turkey!H54+[2]Ukraine!H54</f>
        <v>#REF!</v>
      </c>
      <c r="I54" s="96" t="e">
        <f>#REF!+[2]Australia!I55+[2]Canada!M89+[2]EU27!I57+[2]Russia!I54+[2]Turkey!I54+[2]Ukraine!I54</f>
        <v>#REF!</v>
      </c>
      <c r="J54" s="96" t="e">
        <f>#REF!+[2]Australia!J55+[2]Canada!N89+[2]EU27!J57+[2]Russia!J54+[2]Turkey!J54+[2]Ukraine!J54</f>
        <v>#REF!</v>
      </c>
      <c r="K54" s="96" t="e">
        <f>#REF!+[2]Australia!K55+[2]Canada!O89+[2]EU27!K57+[2]Russia!K54+[2]Turkey!K54+[2]Ukraine!K54</f>
        <v>#REF!</v>
      </c>
      <c r="L54" s="96" t="e">
        <f>#REF!+[2]Australia!L55+[2]Canada!P89+[2]EU27!L57+[2]Russia!L54+[2]Turkey!L54+[2]Ukraine!L54</f>
        <v>#REF!</v>
      </c>
      <c r="M54" s="96" t="e">
        <f>#REF!+[2]Australia!M55+[2]Canada!Q89+[2]EU27!M57+[2]Russia!M54+[2]Turkey!M54+[2]Ukraine!M54</f>
        <v>#REF!</v>
      </c>
      <c r="N54" s="96" t="e">
        <f>#REF!+[2]Australia!N55+[2]Canada!R89+[2]EU27!N57+[2]Russia!N54+[2]Turkey!N54+[2]Ukraine!N54</f>
        <v>#REF!</v>
      </c>
      <c r="O54" s="96" t="e">
        <f>#REF!+[2]Australia!O55+[2]Canada!S89+[2]EU27!O57+[2]Russia!O54+[2]Turkey!O54+[2]Ukraine!O54</f>
        <v>#REF!</v>
      </c>
      <c r="P54" s="96" t="e">
        <f>#REF!+[2]Australia!P55+[2]Canada!T89+[2]EU27!P57+[2]Russia!P54+[2]Turkey!P54+[2]Ukraine!P54</f>
        <v>#REF!</v>
      </c>
      <c r="Q54" s="96" t="e">
        <f>#REF!+[2]Australia!Q55+[2]Canada!U89+[2]EU27!Q57+[2]Russia!Q54+[2]Turkey!Q54+[2]Ukraine!Q54</f>
        <v>#REF!</v>
      </c>
      <c r="R54" s="96" t="e">
        <f>#REF!+[2]Australia!R55+[2]Canada!V89+[2]EU27!R57+[2]Russia!R54+[2]Turkey!R54+[2]Ukraine!R54</f>
        <v>#REF!</v>
      </c>
      <c r="S54" s="96" t="e">
        <f>#REF!+[2]Australia!S55+[2]Canada!W89+[2]EU27!S57+[2]Russia!S54+[2]Turkey!S54+[2]Ukraine!S54</f>
        <v>#REF!</v>
      </c>
      <c r="T54" s="96" t="e">
        <f>#REF!+[2]Australia!T55+[2]Canada!X89+[2]EU27!T57+[2]Russia!T54+[2]Turkey!T54+[2]Ukraine!T54</f>
        <v>#REF!</v>
      </c>
      <c r="U54" s="96" t="e">
        <f>#REF!+[2]Australia!U55+[2]Canada!Y89+[2]EU27!U57+[2]Russia!U54+[2]Turkey!U54+[2]Ukraine!U54</f>
        <v>#REF!</v>
      </c>
      <c r="V54" s="96" t="e">
        <f>#REF!+[2]Australia!V55+[2]Canada!Z89+[2]EU27!V57+[2]Russia!V54+[2]Turkey!V54+[2]Ukraine!V54</f>
        <v>#REF!</v>
      </c>
      <c r="W54" s="96" t="e">
        <f>#REF!+[2]Australia!W55+[2]Canada!AA89+[2]EU27!W57+[2]Russia!W54+[2]Turkey!W54+[2]Ukraine!W54</f>
        <v>#REF!</v>
      </c>
      <c r="X54" s="97">
        <f>SUM(X42:X53)</f>
        <v>173391</v>
      </c>
      <c r="Y54" s="97">
        <f>SUM(Y42:Y53)</f>
        <v>196105.8095153945</v>
      </c>
      <c r="Z54" s="97">
        <f>SUM(Z42:Z53)</f>
        <v>199289.61571985553</v>
      </c>
      <c r="AA54" s="97">
        <f>SUM(AA42:AA53)</f>
        <v>30316.67834482302</v>
      </c>
      <c r="AB54" s="96"/>
    </row>
    <row r="55" spans="1:28" ht="15.75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94AF-C5B8-4426-8071-11C60AEDE4EE}">
  <sheetPr>
    <tabColor rgb="FF92D050"/>
  </sheetPr>
  <dimension ref="A1:BL134"/>
  <sheetViews>
    <sheetView zoomScale="120" zoomScaleNormal="120" workbookViewId="0">
      <pane xSplit="1" ySplit="2" topLeftCell="AW3" activePane="bottomRight" state="frozen"/>
      <selection activeCell="P12" sqref="P12"/>
      <selection pane="topRight" activeCell="P12" sqref="P12"/>
      <selection pane="bottomLeft" activeCell="P12" sqref="P12"/>
      <selection pane="bottomRight" activeCell="AW17" sqref="AW17"/>
    </sheetView>
  </sheetViews>
  <sheetFormatPr defaultColWidth="9.140625" defaultRowHeight="12.75"/>
  <cols>
    <col min="1" max="1" width="27.42578125" style="3" customWidth="1"/>
    <col min="2" max="44" width="8" style="3" customWidth="1"/>
    <col min="45" max="52" width="10" style="3" customWidth="1"/>
    <col min="53" max="53" width="9.140625" style="3"/>
    <col min="54" max="54" width="15.42578125" style="3" bestFit="1" customWidth="1"/>
    <col min="55" max="55" width="9.140625" style="3"/>
    <col min="56" max="56" width="11" style="3" bestFit="1" customWidth="1"/>
    <col min="57" max="16384" width="9.140625" style="3"/>
  </cols>
  <sheetData>
    <row r="1" spans="1:64" ht="18.75" thickBot="1">
      <c r="A1" s="64" t="s">
        <v>87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</row>
    <row r="2" spans="1:64" ht="17.25" thickBot="1">
      <c r="A2" s="65" t="s">
        <v>42</v>
      </c>
      <c r="B2" s="66" t="s">
        <v>88</v>
      </c>
      <c r="C2" s="66" t="s">
        <v>89</v>
      </c>
      <c r="D2" s="66" t="s">
        <v>90</v>
      </c>
      <c r="E2" s="66" t="s">
        <v>91</v>
      </c>
      <c r="F2" s="66" t="s">
        <v>92</v>
      </c>
      <c r="G2" s="66" t="s">
        <v>93</v>
      </c>
      <c r="H2" s="66" t="s">
        <v>94</v>
      </c>
      <c r="I2" s="66" t="s">
        <v>95</v>
      </c>
      <c r="J2" s="66" t="s">
        <v>96</v>
      </c>
      <c r="K2" s="66" t="s">
        <v>97</v>
      </c>
      <c r="L2" s="66" t="s">
        <v>98</v>
      </c>
      <c r="M2" s="66" t="s">
        <v>99</v>
      </c>
      <c r="N2" s="66" t="s">
        <v>100</v>
      </c>
      <c r="O2" s="66" t="s">
        <v>101</v>
      </c>
      <c r="P2" s="66" t="s">
        <v>102</v>
      </c>
      <c r="Q2" s="66" t="s">
        <v>103</v>
      </c>
      <c r="R2" s="66" t="s">
        <v>104</v>
      </c>
      <c r="S2" s="66" t="s">
        <v>105</v>
      </c>
      <c r="T2" s="66" t="s">
        <v>106</v>
      </c>
      <c r="U2" s="66" t="s">
        <v>107</v>
      </c>
      <c r="V2" s="66" t="s">
        <v>108</v>
      </c>
      <c r="W2" s="66" t="s">
        <v>109</v>
      </c>
      <c r="X2" s="66" t="s">
        <v>110</v>
      </c>
      <c r="Y2" s="66" t="s">
        <v>111</v>
      </c>
      <c r="Z2" s="66" t="s">
        <v>112</v>
      </c>
      <c r="AA2" s="66" t="s">
        <v>113</v>
      </c>
      <c r="AB2" s="66" t="s">
        <v>43</v>
      </c>
      <c r="AC2" s="66" t="s">
        <v>44</v>
      </c>
      <c r="AD2" s="66" t="s">
        <v>45</v>
      </c>
      <c r="AE2" s="66" t="s">
        <v>46</v>
      </c>
      <c r="AF2" s="66" t="s">
        <v>47</v>
      </c>
      <c r="AG2" s="66" t="s">
        <v>48</v>
      </c>
      <c r="AH2" s="66" t="s">
        <v>49</v>
      </c>
      <c r="AI2" s="66" t="s">
        <v>50</v>
      </c>
      <c r="AJ2" s="66" t="s">
        <v>51</v>
      </c>
      <c r="AK2" s="66" t="s">
        <v>52</v>
      </c>
      <c r="AL2" s="66" t="s">
        <v>53</v>
      </c>
      <c r="AM2" s="66" t="s">
        <v>54</v>
      </c>
      <c r="AN2" s="66" t="s">
        <v>55</v>
      </c>
      <c r="AO2" s="66" t="s">
        <v>56</v>
      </c>
      <c r="AP2" s="66" t="s">
        <v>57</v>
      </c>
      <c r="AQ2" s="66" t="s">
        <v>58</v>
      </c>
      <c r="AR2" s="66" t="s">
        <v>59</v>
      </c>
      <c r="AS2" s="66" t="s">
        <v>60</v>
      </c>
      <c r="AT2" s="66" t="s">
        <v>61</v>
      </c>
      <c r="AU2" s="66" t="s">
        <v>62</v>
      </c>
      <c r="AV2" s="66" t="s">
        <v>63</v>
      </c>
      <c r="AW2" s="66" t="s">
        <v>64</v>
      </c>
      <c r="AX2" s="66" t="s">
        <v>65</v>
      </c>
      <c r="AY2" s="66" t="s">
        <v>2</v>
      </c>
      <c r="AZ2" s="66" t="s">
        <v>3</v>
      </c>
      <c r="BA2" s="66" t="s">
        <v>4</v>
      </c>
    </row>
    <row r="3" spans="1:64" ht="16.5">
      <c r="A3" s="67"/>
      <c r="B3" s="68">
        <v>1975</v>
      </c>
      <c r="C3" s="68">
        <v>1976</v>
      </c>
      <c r="D3" s="68">
        <v>1977</v>
      </c>
      <c r="E3" s="68">
        <v>1978</v>
      </c>
      <c r="F3" s="68">
        <v>1979</v>
      </c>
      <c r="G3" s="68">
        <v>1980</v>
      </c>
      <c r="H3" s="68">
        <v>1981</v>
      </c>
      <c r="I3" s="68">
        <v>1982</v>
      </c>
      <c r="J3" s="68">
        <v>1983</v>
      </c>
      <c r="K3" s="68">
        <v>1984</v>
      </c>
      <c r="L3" s="68">
        <v>1985</v>
      </c>
      <c r="M3" s="68">
        <v>1986</v>
      </c>
      <c r="N3" s="68">
        <v>1987</v>
      </c>
      <c r="O3" s="68">
        <v>1988</v>
      </c>
      <c r="P3" s="68">
        <v>1989</v>
      </c>
      <c r="Q3" s="68">
        <v>1990</v>
      </c>
      <c r="R3" s="68">
        <v>1991</v>
      </c>
      <c r="S3" s="68">
        <v>1992</v>
      </c>
      <c r="T3" s="68">
        <v>1993</v>
      </c>
      <c r="U3" s="68">
        <v>1994</v>
      </c>
      <c r="V3" s="68">
        <v>1995</v>
      </c>
      <c r="W3" s="68">
        <v>1996</v>
      </c>
      <c r="X3" s="68">
        <v>1997</v>
      </c>
      <c r="Y3" s="68">
        <v>1998</v>
      </c>
      <c r="Z3" s="68">
        <v>1999</v>
      </c>
      <c r="AA3" s="68">
        <v>2000</v>
      </c>
      <c r="AB3" s="68">
        <v>2001</v>
      </c>
      <c r="AC3" s="68">
        <v>2002</v>
      </c>
      <c r="AD3" s="68">
        <v>2003</v>
      </c>
      <c r="AE3" s="68">
        <v>2004</v>
      </c>
      <c r="AF3" s="68">
        <v>2005</v>
      </c>
      <c r="AG3" s="68">
        <v>2006</v>
      </c>
      <c r="AH3" s="68">
        <v>2007</v>
      </c>
      <c r="AI3" s="68">
        <v>2008</v>
      </c>
      <c r="AJ3" s="68">
        <v>2009</v>
      </c>
      <c r="AK3" s="68">
        <v>2010</v>
      </c>
      <c r="AL3" s="68">
        <v>2011</v>
      </c>
      <c r="AM3" s="68">
        <v>2012</v>
      </c>
      <c r="AN3" s="68">
        <v>2013</v>
      </c>
      <c r="AO3" s="68">
        <v>2014</v>
      </c>
      <c r="AP3" s="68">
        <v>2015</v>
      </c>
      <c r="AQ3" s="68">
        <v>2016</v>
      </c>
      <c r="AR3" s="68">
        <v>2017</v>
      </c>
      <c r="AS3" s="68">
        <v>2018</v>
      </c>
      <c r="AT3" s="68">
        <v>2019</v>
      </c>
      <c r="AU3" s="68">
        <v>2020</v>
      </c>
      <c r="AV3" s="68">
        <v>2021</v>
      </c>
      <c r="AW3" s="68">
        <v>2022</v>
      </c>
      <c r="AX3" s="68">
        <v>2023</v>
      </c>
      <c r="AY3" s="68">
        <v>2024</v>
      </c>
      <c r="AZ3" s="68">
        <v>2025</v>
      </c>
      <c r="BA3" s="68">
        <v>2026</v>
      </c>
    </row>
    <row r="4" spans="1:64" ht="15.75">
      <c r="A4" s="69" t="s">
        <v>9</v>
      </c>
      <c r="B4" s="70">
        <f>B59</f>
        <v>3.86985</v>
      </c>
      <c r="C4" s="70">
        <f t="shared" ref="C4:AI5" si="0">C59</f>
        <v>3.6949000000000001</v>
      </c>
      <c r="D4" s="70">
        <f t="shared" si="0"/>
        <v>2.9788999999999999</v>
      </c>
      <c r="E4" s="70">
        <f t="shared" si="0"/>
        <v>3.0992000000000002</v>
      </c>
      <c r="F4" s="70">
        <f t="shared" si="0"/>
        <v>3.29935</v>
      </c>
      <c r="G4" s="70">
        <f t="shared" si="0"/>
        <v>3.30945</v>
      </c>
      <c r="H4" s="70">
        <f t="shared" si="0"/>
        <v>3.9995500000000002</v>
      </c>
      <c r="I4" s="70">
        <f t="shared" si="0"/>
        <v>3.6946500000000002</v>
      </c>
      <c r="J4" s="70">
        <f t="shared" si="0"/>
        <v>3.4394999999999998</v>
      </c>
      <c r="K4" s="70">
        <f t="shared" si="0"/>
        <v>3.4830999999999999</v>
      </c>
      <c r="L4" s="70">
        <f t="shared" si="0"/>
        <v>3.6198999999999999</v>
      </c>
      <c r="M4" s="70">
        <f t="shared" si="0"/>
        <v>3.8197999999999999</v>
      </c>
      <c r="N4" s="70">
        <f t="shared" si="0"/>
        <v>3.64988</v>
      </c>
      <c r="O4" s="70">
        <f t="shared" si="0"/>
        <v>2.824894</v>
      </c>
      <c r="P4" s="70">
        <f t="shared" si="0"/>
        <v>2.6848000000000001</v>
      </c>
      <c r="Q4" s="70">
        <f t="shared" si="0"/>
        <v>2.06982</v>
      </c>
      <c r="R4" s="70">
        <f t="shared" si="0"/>
        <v>2.1597</v>
      </c>
      <c r="S4" s="70">
        <f t="shared" si="0"/>
        <v>2.6840000000000002</v>
      </c>
      <c r="T4" s="70">
        <f t="shared" si="0"/>
        <v>2.96082</v>
      </c>
      <c r="U4" s="70">
        <f t="shared" si="0"/>
        <v>2.7805800000000001</v>
      </c>
      <c r="V4" s="70">
        <f t="shared" si="0"/>
        <v>2.9571999999999998</v>
      </c>
      <c r="W4" s="70">
        <f t="shared" si="0"/>
        <v>3.4143500000000002</v>
      </c>
      <c r="X4" s="70">
        <f t="shared" si="0"/>
        <v>4.1532</v>
      </c>
      <c r="Y4" s="70">
        <f t="shared" si="0"/>
        <v>3.75163</v>
      </c>
      <c r="Z4" s="70">
        <f t="shared" si="0"/>
        <v>3.2700499999999999</v>
      </c>
      <c r="AA4" s="70">
        <f t="shared" si="0"/>
        <v>3.6518999999999999</v>
      </c>
      <c r="AB4" s="70">
        <f t="shared" si="0"/>
        <v>3.494523</v>
      </c>
      <c r="AC4" s="70">
        <f t="shared" si="0"/>
        <v>3.061661</v>
      </c>
      <c r="AD4" s="70">
        <f t="shared" si="0"/>
        <v>3.0603739999999999</v>
      </c>
      <c r="AE4" s="70">
        <f t="shared" si="0"/>
        <v>2.9624000000000001</v>
      </c>
      <c r="AF4" s="70">
        <f t="shared" si="0"/>
        <v>3.4038369999999998</v>
      </c>
      <c r="AG4" s="70">
        <f t="shared" si="0"/>
        <v>3.1904400000000002</v>
      </c>
      <c r="AH4" s="70">
        <f t="shared" si="0"/>
        <v>3.5782349999999998</v>
      </c>
      <c r="AI4" s="70">
        <f t="shared" si="0"/>
        <v>4.2383290000000002</v>
      </c>
      <c r="AJ4" s="70">
        <f>AJ66</f>
        <v>3.75</v>
      </c>
      <c r="AK4" s="70">
        <f t="shared" ref="AK4:AX5" si="1">AK66</f>
        <v>3.2</v>
      </c>
      <c r="AL4" s="70">
        <f t="shared" si="1"/>
        <v>4.5</v>
      </c>
      <c r="AM4" s="70">
        <f t="shared" si="1"/>
        <v>5.2</v>
      </c>
      <c r="AN4" s="70">
        <f t="shared" si="1"/>
        <v>4.5999999999999996</v>
      </c>
      <c r="AO4" s="70">
        <f t="shared" si="1"/>
        <v>4.5</v>
      </c>
      <c r="AP4" s="70">
        <f t="shared" si="1"/>
        <v>4.2</v>
      </c>
      <c r="AQ4" s="70">
        <f t="shared" si="1"/>
        <v>4.4000000000000004</v>
      </c>
      <c r="AR4" s="70">
        <f t="shared" si="1"/>
        <v>5.5</v>
      </c>
      <c r="AS4" s="70">
        <f t="shared" si="1"/>
        <v>6.45</v>
      </c>
      <c r="AT4" s="70">
        <f t="shared" si="1"/>
        <v>6.9</v>
      </c>
      <c r="AU4" s="70">
        <f t="shared" si="1"/>
        <v>6.9</v>
      </c>
      <c r="AV4" s="70">
        <f t="shared" si="1"/>
        <v>7.1</v>
      </c>
      <c r="AW4" s="70">
        <f t="shared" si="1"/>
        <v>7.7</v>
      </c>
      <c r="AX4" s="70">
        <f t="shared" si="1"/>
        <v>7.6</v>
      </c>
      <c r="AY4" s="70">
        <f>AY66</f>
        <v>8.4</v>
      </c>
      <c r="AZ4" s="70">
        <v>7.1</v>
      </c>
      <c r="BA4" s="99">
        <f>FORECAST(BA57,AL6:AZ6,AL57:AZ57)+0.5</f>
        <v>7.5051338407282415</v>
      </c>
      <c r="BB4" s="71"/>
    </row>
    <row r="5" spans="1:64" ht="15.75">
      <c r="A5" s="69" t="s">
        <v>10</v>
      </c>
      <c r="B5" s="70">
        <f>B60</f>
        <v>3.06915</v>
      </c>
      <c r="C5" s="70">
        <f t="shared" si="0"/>
        <v>2.7652000000000001</v>
      </c>
      <c r="D5" s="70">
        <f t="shared" si="0"/>
        <v>2.53112</v>
      </c>
      <c r="E5" s="70">
        <f t="shared" si="0"/>
        <v>2.6593</v>
      </c>
      <c r="F5" s="70">
        <f t="shared" si="0"/>
        <v>2.7995000000000001</v>
      </c>
      <c r="G5" s="70">
        <f t="shared" si="0"/>
        <v>2.4895999999999998</v>
      </c>
      <c r="H5" s="70">
        <f t="shared" si="0"/>
        <v>3.3936999999999999</v>
      </c>
      <c r="I5" s="70">
        <f t="shared" si="0"/>
        <v>3.1696499999999999</v>
      </c>
      <c r="J5" s="70">
        <f t="shared" si="0"/>
        <v>2.9695</v>
      </c>
      <c r="K5" s="70">
        <f t="shared" si="0"/>
        <v>3.0238999999999998</v>
      </c>
      <c r="L5" s="70">
        <f t="shared" si="0"/>
        <v>3.3399000000000001</v>
      </c>
      <c r="M5" s="70">
        <f t="shared" si="0"/>
        <v>3.2307999999999999</v>
      </c>
      <c r="N5" s="70">
        <f t="shared" si="0"/>
        <v>2.89988</v>
      </c>
      <c r="O5" s="70">
        <f t="shared" si="0"/>
        <v>2.4373939999999998</v>
      </c>
      <c r="P5" s="70">
        <f t="shared" si="0"/>
        <v>1.6835500000000001</v>
      </c>
      <c r="Q5" s="70">
        <f t="shared" si="0"/>
        <v>1.560149</v>
      </c>
      <c r="R5" s="70">
        <f t="shared" si="0"/>
        <v>1.8996999999999999</v>
      </c>
      <c r="S5" s="70">
        <f t="shared" si="0"/>
        <v>2.3639399999999999</v>
      </c>
      <c r="T5" s="70">
        <f t="shared" si="0"/>
        <v>2.5011100000000002</v>
      </c>
      <c r="U5" s="70">
        <f t="shared" si="0"/>
        <v>2.4442400000000002</v>
      </c>
      <c r="V5" s="70">
        <f t="shared" si="0"/>
        <v>2.5212500000000002</v>
      </c>
      <c r="W5" s="70">
        <f t="shared" si="0"/>
        <v>2.6035200000000001</v>
      </c>
      <c r="X5" s="70">
        <f t="shared" si="0"/>
        <v>3.4101849999999998</v>
      </c>
      <c r="Y5" s="70">
        <f t="shared" si="0"/>
        <v>3.1853899999999999</v>
      </c>
      <c r="Z5" s="70">
        <f t="shared" si="0"/>
        <v>2.5144500000000001</v>
      </c>
      <c r="AA5" s="70">
        <f t="shared" si="0"/>
        <v>3.0887150000000001</v>
      </c>
      <c r="AB5" s="70">
        <f t="shared" si="0"/>
        <v>2.8155039999999998</v>
      </c>
      <c r="AC5" s="70">
        <f t="shared" si="0"/>
        <v>2.4201239999999999</v>
      </c>
      <c r="AD5" s="70">
        <f t="shared" si="0"/>
        <v>2.3008570000000002</v>
      </c>
      <c r="AE5" s="70">
        <f t="shared" si="0"/>
        <v>2.3076020000000002</v>
      </c>
      <c r="AF5" s="70">
        <f t="shared" si="0"/>
        <v>2.783436</v>
      </c>
      <c r="AG5" s="70">
        <f t="shared" si="0"/>
        <v>2.4471660000000002</v>
      </c>
      <c r="AH5" s="70">
        <f t="shared" si="0"/>
        <v>2.8380719999999999</v>
      </c>
      <c r="AI5" s="70">
        <f t="shared" si="0"/>
        <v>3.4137840000000002</v>
      </c>
      <c r="AJ5" s="70">
        <f>AJ67</f>
        <v>3.2650000000000001</v>
      </c>
      <c r="AK5" s="70">
        <f t="shared" si="1"/>
        <v>3.1395</v>
      </c>
      <c r="AL5" s="70">
        <f t="shared" si="1"/>
        <v>4.3369999999999997</v>
      </c>
      <c r="AM5" s="70">
        <f t="shared" si="1"/>
        <v>4.79</v>
      </c>
      <c r="AN5" s="70">
        <f t="shared" si="1"/>
        <v>4.3079999999999998</v>
      </c>
      <c r="AO5" s="70">
        <f t="shared" si="1"/>
        <v>4.33</v>
      </c>
      <c r="AP5" s="70">
        <f t="shared" si="1"/>
        <v>4.03</v>
      </c>
      <c r="AQ5" s="70">
        <f t="shared" si="1"/>
        <v>4.2450000000000001</v>
      </c>
      <c r="AR5" s="70">
        <f t="shared" si="1"/>
        <v>5.2439999999999998</v>
      </c>
      <c r="AS5" s="70">
        <f t="shared" si="1"/>
        <v>6.21</v>
      </c>
      <c r="AT5" s="70">
        <f t="shared" si="1"/>
        <v>6.68</v>
      </c>
      <c r="AU5" s="70">
        <f t="shared" si="1"/>
        <v>6.69</v>
      </c>
      <c r="AV5" s="70">
        <f t="shared" si="1"/>
        <v>6.94</v>
      </c>
      <c r="AW5" s="70">
        <f t="shared" si="1"/>
        <v>7.44</v>
      </c>
      <c r="AX5" s="70">
        <f t="shared" si="1"/>
        <v>7.2005710000000001</v>
      </c>
      <c r="AY5" s="70">
        <f>AY67</f>
        <v>7.7277440000000004</v>
      </c>
      <c r="AZ5" s="99">
        <f>AVERAGE(AU7:AY7)*AZ4</f>
        <v>6.788561125293965</v>
      </c>
      <c r="BA5" s="99">
        <f>AVERAGE(AV7:AZ7)*BA4</f>
        <v>7.1557653591137012</v>
      </c>
    </row>
    <row r="6" spans="1:64" ht="15.75">
      <c r="A6" s="72" t="s">
        <v>11</v>
      </c>
      <c r="B6" s="73">
        <f>B9/B5</f>
        <v>2.5084306729876351</v>
      </c>
      <c r="C6" s="73">
        <f t="shared" ref="C6:AT6" si="2">C9/C5</f>
        <v>2.1170584406191235</v>
      </c>
      <c r="D6" s="73">
        <f t="shared" si="2"/>
        <v>3.2786086791617941</v>
      </c>
      <c r="E6" s="73">
        <f t="shared" si="2"/>
        <v>3.6470311736171168</v>
      </c>
      <c r="F6" s="73">
        <f t="shared" si="2"/>
        <v>3.1073691730666191</v>
      </c>
      <c r="G6" s="73">
        <f t="shared" si="2"/>
        <v>2.5703807840616966</v>
      </c>
      <c r="H6" s="73">
        <f t="shared" si="2"/>
        <v>3.8009105106520908</v>
      </c>
      <c r="I6" s="73">
        <f t="shared" si="2"/>
        <v>3.0284495133532099</v>
      </c>
      <c r="J6" s="73">
        <f t="shared" si="2"/>
        <v>3.0304765111971714</v>
      </c>
      <c r="K6" s="73">
        <f t="shared" si="2"/>
        <v>3.1407751579086609</v>
      </c>
      <c r="L6" s="73">
        <f t="shared" si="2"/>
        <v>3.5629000868289467</v>
      </c>
      <c r="M6" s="73">
        <f t="shared" si="2"/>
        <v>3.7450476662127032</v>
      </c>
      <c r="N6" s="73">
        <f t="shared" si="2"/>
        <v>3.1896940563057781</v>
      </c>
      <c r="O6" s="73">
        <f t="shared" si="2"/>
        <v>3.7743959327051764</v>
      </c>
      <c r="P6" s="73">
        <f t="shared" si="2"/>
        <v>2.9102907546553411</v>
      </c>
      <c r="Q6" s="73">
        <f t="shared" si="2"/>
        <v>3.4609386667555473</v>
      </c>
      <c r="R6" s="73">
        <f t="shared" si="2"/>
        <v>4.0447439069326734</v>
      </c>
      <c r="S6" s="73">
        <f t="shared" si="2"/>
        <v>4.5246495257916868</v>
      </c>
      <c r="T6" s="73">
        <f t="shared" si="2"/>
        <v>4.3562658179768183</v>
      </c>
      <c r="U6" s="73">
        <f t="shared" si="2"/>
        <v>4.2373907635911365</v>
      </c>
      <c r="V6" s="73">
        <f t="shared" si="2"/>
        <v>4.5225745166088247</v>
      </c>
      <c r="W6" s="73">
        <f t="shared" si="2"/>
        <v>4.0397730764503441</v>
      </c>
      <c r="X6" s="73">
        <f t="shared" si="2"/>
        <v>4.5557997586641195</v>
      </c>
      <c r="Y6" s="73">
        <f t="shared" si="2"/>
        <v>6.0779543478192632</v>
      </c>
      <c r="Z6" s="73">
        <f t="shared" si="2"/>
        <v>5.3703195529837533</v>
      </c>
      <c r="AA6" s="73">
        <f t="shared" si="2"/>
        <v>5.4328903767424324</v>
      </c>
      <c r="AB6" s="73">
        <f t="shared" si="2"/>
        <v>5.455292196352767</v>
      </c>
      <c r="AC6" s="73">
        <f t="shared" si="2"/>
        <v>6.0790604117805538</v>
      </c>
      <c r="AD6" s="73">
        <f t="shared" si="2"/>
        <v>6.5202744021032162</v>
      </c>
      <c r="AE6" s="73">
        <f t="shared" si="2"/>
        <v>6.4217261035481847</v>
      </c>
      <c r="AF6" s="73">
        <f t="shared" si="2"/>
        <v>7.3587364681638094</v>
      </c>
      <c r="AG6" s="73">
        <f t="shared" si="2"/>
        <v>5.9029661248971257</v>
      </c>
      <c r="AH6" s="73">
        <f t="shared" si="2"/>
        <v>7.6655437212304696</v>
      </c>
      <c r="AI6" s="73">
        <f t="shared" si="2"/>
        <v>6.4523130344509205</v>
      </c>
      <c r="AJ6" s="73">
        <f t="shared" si="2"/>
        <v>5.9724349157733538</v>
      </c>
      <c r="AK6" s="73">
        <f t="shared" si="2"/>
        <v>8.6000955566172959</v>
      </c>
      <c r="AL6" s="73">
        <f t="shared" si="2"/>
        <v>6.8019368226884946</v>
      </c>
      <c r="AM6" s="73">
        <f t="shared" si="2"/>
        <v>5.5323590814196244</v>
      </c>
      <c r="AN6" s="73">
        <f t="shared" si="2"/>
        <v>7.3119777158774379</v>
      </c>
      <c r="AO6" s="73">
        <f t="shared" si="2"/>
        <v>7.5057736720554269</v>
      </c>
      <c r="AP6" s="73">
        <f>AP9/AP5</f>
        <v>8.064516129032258</v>
      </c>
      <c r="AQ6" s="73">
        <f t="shared" si="2"/>
        <v>8.1272084805653702</v>
      </c>
      <c r="AR6" s="73">
        <f t="shared" si="2"/>
        <v>8.0091533180778036</v>
      </c>
      <c r="AS6" s="73">
        <f t="shared" si="2"/>
        <v>6.0064412238325273</v>
      </c>
      <c r="AT6" s="73">
        <f t="shared" si="2"/>
        <v>8.3083832335329344</v>
      </c>
      <c r="AU6" s="73">
        <f>AU9/AU5</f>
        <v>8.146487294469356</v>
      </c>
      <c r="AV6" s="73">
        <f t="shared" ref="AV6:AW6" si="3">AV9/AV5</f>
        <v>7.9250720461095092</v>
      </c>
      <c r="AW6" s="73">
        <f t="shared" si="3"/>
        <v>6.989247311827957</v>
      </c>
      <c r="AX6" s="73">
        <f>AX9/AX5</f>
        <v>5.138481378768434</v>
      </c>
      <c r="AY6" s="73">
        <f>AY9/AY5</f>
        <v>6.677239825749921</v>
      </c>
      <c r="AZ6" s="100">
        <f>FORECAST(AZ57,AK6:AY6,AK57:AY57)</f>
        <v>6.8930116397431789</v>
      </c>
      <c r="BA6" s="100">
        <f>FORECAST(BA57,AL6:AZ6,AL57:AZ57)</f>
        <v>7.0051338407282415</v>
      </c>
      <c r="BB6" s="101"/>
      <c r="BD6" s="101"/>
    </row>
    <row r="7" spans="1:64" ht="15.75">
      <c r="A7" s="74" t="s">
        <v>66</v>
      </c>
      <c r="B7" s="75">
        <f>B5/B4</f>
        <v>0.79309275553316017</v>
      </c>
      <c r="C7" s="75">
        <f t="shared" ref="C7:BA7" si="4">C5/C4</f>
        <v>0.74838290616796121</v>
      </c>
      <c r="D7" s="75">
        <f t="shared" si="4"/>
        <v>0.84968276880727789</v>
      </c>
      <c r="E7" s="75">
        <f t="shared" si="4"/>
        <v>0.85806014455343305</v>
      </c>
      <c r="F7" s="75">
        <f t="shared" si="4"/>
        <v>0.84850046221225395</v>
      </c>
      <c r="G7" s="75">
        <f t="shared" si="4"/>
        <v>0.75227001465500309</v>
      </c>
      <c r="H7" s="75">
        <f t="shared" si="4"/>
        <v>0.84852045855158698</v>
      </c>
      <c r="I7" s="75">
        <f t="shared" si="4"/>
        <v>0.85790264301083996</v>
      </c>
      <c r="J7" s="75">
        <f t="shared" si="4"/>
        <v>0.86335223142898687</v>
      </c>
      <c r="K7" s="75">
        <f t="shared" si="4"/>
        <v>0.86816341764520111</v>
      </c>
      <c r="L7" s="75">
        <f t="shared" si="4"/>
        <v>0.92264979695571703</v>
      </c>
      <c r="M7" s="75">
        <f t="shared" si="4"/>
        <v>0.84580344520655537</v>
      </c>
      <c r="N7" s="75">
        <f t="shared" si="4"/>
        <v>0.79451379223426521</v>
      </c>
      <c r="O7" s="75">
        <f t="shared" si="4"/>
        <v>0.86282671137394884</v>
      </c>
      <c r="P7" s="75">
        <f t="shared" si="4"/>
        <v>0.62706719308700831</v>
      </c>
      <c r="Q7" s="75">
        <f t="shared" si="4"/>
        <v>0.75376071349199447</v>
      </c>
      <c r="R7" s="75">
        <f t="shared" si="4"/>
        <v>0.87961290920035184</v>
      </c>
      <c r="S7" s="75">
        <f t="shared" si="4"/>
        <v>0.88075260804768996</v>
      </c>
      <c r="T7" s="75">
        <f t="shared" si="4"/>
        <v>0.844735580008241</v>
      </c>
      <c r="U7" s="75">
        <f t="shared" si="4"/>
        <v>0.87903962482647513</v>
      </c>
      <c r="V7" s="75">
        <f t="shared" si="4"/>
        <v>0.852580143378872</v>
      </c>
      <c r="W7" s="75">
        <f t="shared" si="4"/>
        <v>0.76252288136834245</v>
      </c>
      <c r="X7" s="75">
        <f t="shared" si="4"/>
        <v>0.82109818934797263</v>
      </c>
      <c r="Y7" s="75">
        <f t="shared" si="4"/>
        <v>0.84906827165791932</v>
      </c>
      <c r="Z7" s="75">
        <f t="shared" si="4"/>
        <v>0.76893319674011107</v>
      </c>
      <c r="AA7" s="75">
        <f t="shared" si="4"/>
        <v>0.8457830170596129</v>
      </c>
      <c r="AB7" s="75">
        <f t="shared" si="4"/>
        <v>0.80569050482712512</v>
      </c>
      <c r="AC7" s="75">
        <f t="shared" si="4"/>
        <v>0.79046112551324266</v>
      </c>
      <c r="AD7" s="75">
        <f t="shared" si="4"/>
        <v>0.75182216291211468</v>
      </c>
      <c r="AE7" s="75">
        <f t="shared" si="4"/>
        <v>0.77896367809883882</v>
      </c>
      <c r="AF7" s="75">
        <f t="shared" si="4"/>
        <v>0.81773480927553233</v>
      </c>
      <c r="AG7" s="75">
        <f t="shared" si="4"/>
        <v>0.7670308797532629</v>
      </c>
      <c r="AH7" s="75">
        <f t="shared" si="4"/>
        <v>0.79314857744111278</v>
      </c>
      <c r="AI7" s="75">
        <f t="shared" si="4"/>
        <v>0.80545516877052248</v>
      </c>
      <c r="AJ7" s="75">
        <f t="shared" si="4"/>
        <v>0.8706666666666667</v>
      </c>
      <c r="AK7" s="75">
        <f t="shared" si="4"/>
        <v>0.98109374999999999</v>
      </c>
      <c r="AL7" s="75">
        <f t="shared" si="4"/>
        <v>0.96377777777777773</v>
      </c>
      <c r="AM7" s="75">
        <f t="shared" si="4"/>
        <v>0.9211538461538461</v>
      </c>
      <c r="AN7" s="75">
        <f t="shared" si="4"/>
        <v>0.93652173913043479</v>
      </c>
      <c r="AO7" s="75">
        <f t="shared" si="4"/>
        <v>0.9622222222222222</v>
      </c>
      <c r="AP7" s="75">
        <f t="shared" si="4"/>
        <v>0.95952380952380956</v>
      </c>
      <c r="AQ7" s="75">
        <f t="shared" si="4"/>
        <v>0.96477272727272723</v>
      </c>
      <c r="AR7" s="75">
        <f t="shared" si="4"/>
        <v>0.95345454545454544</v>
      </c>
      <c r="AS7" s="75">
        <f t="shared" si="4"/>
        <v>0.96279069767441861</v>
      </c>
      <c r="AT7" s="75">
        <f t="shared" si="4"/>
        <v>0.96811594202898543</v>
      </c>
      <c r="AU7" s="75">
        <f t="shared" si="4"/>
        <v>0.9695652173913043</v>
      </c>
      <c r="AV7" s="75">
        <f t="shared" si="4"/>
        <v>0.97746478873239451</v>
      </c>
      <c r="AW7" s="75">
        <f t="shared" si="4"/>
        <v>0.96623376623376622</v>
      </c>
      <c r="AX7" s="75">
        <f t="shared" si="4"/>
        <v>0.94744355263157898</v>
      </c>
      <c r="AY7" s="75">
        <f t="shared" si="4"/>
        <v>0.91996952380952379</v>
      </c>
      <c r="AZ7" s="102">
        <f t="shared" si="4"/>
        <v>0.95613536975971347</v>
      </c>
      <c r="BA7" s="102">
        <f t="shared" si="4"/>
        <v>0.95344940023339542</v>
      </c>
    </row>
    <row r="8" spans="1:64" ht="15.75">
      <c r="A8" s="69" t="s">
        <v>114</v>
      </c>
      <c r="B8" s="80">
        <v>0.17799999999999999</v>
      </c>
      <c r="C8" s="80">
        <f>B17</f>
        <v>0.76100000000000001</v>
      </c>
      <c r="D8" s="80">
        <f t="shared" ref="D8:AZ8" si="5">C17</f>
        <v>0.51500000000000001</v>
      </c>
      <c r="E8" s="80">
        <f t="shared" si="5"/>
        <v>0.183</v>
      </c>
      <c r="F8" s="80">
        <f t="shared" si="5"/>
        <v>0.434</v>
      </c>
      <c r="G8" s="80">
        <f t="shared" si="5"/>
        <v>0.17299999999999999</v>
      </c>
      <c r="H8" s="80">
        <f t="shared" si="5"/>
        <v>0.108</v>
      </c>
      <c r="I8" s="80">
        <f t="shared" si="5"/>
        <v>0.21</v>
      </c>
      <c r="J8" s="80">
        <f t="shared" si="5"/>
        <v>0.54500000000000004</v>
      </c>
      <c r="K8" s="80">
        <f t="shared" si="5"/>
        <v>0.28899999999999998</v>
      </c>
      <c r="L8" s="80">
        <f t="shared" si="5"/>
        <v>9.0999999999999998E-2</v>
      </c>
      <c r="M8" s="80">
        <f t="shared" si="5"/>
        <v>0.39</v>
      </c>
      <c r="N8" s="80">
        <f t="shared" si="5"/>
        <v>0.42299999999999999</v>
      </c>
      <c r="O8" s="80">
        <f t="shared" si="5"/>
        <v>0.39100000000000001</v>
      </c>
      <c r="P8" s="80">
        <f t="shared" si="5"/>
        <v>0.58499999999999996</v>
      </c>
      <c r="Q8" s="80">
        <f t="shared" si="5"/>
        <v>0.68500000000000005</v>
      </c>
      <c r="R8" s="80">
        <f t="shared" si="5"/>
        <v>0.185</v>
      </c>
      <c r="S8" s="80">
        <f t="shared" si="5"/>
        <v>0.56999999999999995</v>
      </c>
      <c r="T8" s="80">
        <f t="shared" si="5"/>
        <v>0.7</v>
      </c>
      <c r="U8" s="80">
        <f t="shared" si="5"/>
        <v>1.05</v>
      </c>
      <c r="V8" s="80">
        <f t="shared" si="5"/>
        <v>1.1850000000000001</v>
      </c>
      <c r="W8" s="80">
        <f t="shared" si="5"/>
        <v>1.329</v>
      </c>
      <c r="X8" s="80">
        <f t="shared" si="5"/>
        <v>0.629</v>
      </c>
      <c r="Y8" s="80">
        <f t="shared" si="5"/>
        <v>1.016</v>
      </c>
      <c r="Z8" s="80">
        <f t="shared" si="5"/>
        <v>1.8069999999999999</v>
      </c>
      <c r="AA8" s="80">
        <f t="shared" si="5"/>
        <v>0.98099999999999998</v>
      </c>
      <c r="AB8" s="80">
        <f t="shared" si="5"/>
        <v>0.76100000000000001</v>
      </c>
      <c r="AC8" s="80">
        <f t="shared" si="5"/>
        <v>0.86699999999999999</v>
      </c>
      <c r="AD8" s="80">
        <f t="shared" si="5"/>
        <v>0.56699999999999995</v>
      </c>
      <c r="AE8" s="80">
        <f t="shared" si="5"/>
        <v>0.77100000000000002</v>
      </c>
      <c r="AF8" s="80">
        <f t="shared" si="5"/>
        <v>0.41299999999999998</v>
      </c>
      <c r="AG8" s="80">
        <f t="shared" si="5"/>
        <v>1.1319999999999999</v>
      </c>
      <c r="AH8" s="80">
        <f t="shared" si="5"/>
        <v>1.248</v>
      </c>
      <c r="AI8" s="80">
        <f t="shared" si="5"/>
        <v>1.6759999999999999</v>
      </c>
      <c r="AJ8" s="80">
        <f t="shared" si="5"/>
        <v>2.0979999999999999</v>
      </c>
      <c r="AK8" s="80">
        <f t="shared" si="5"/>
        <v>0.88</v>
      </c>
      <c r="AL8" s="80">
        <f t="shared" si="5"/>
        <v>2.48</v>
      </c>
      <c r="AM8" s="80">
        <f t="shared" si="5"/>
        <v>4.0380000000000003</v>
      </c>
      <c r="AN8" s="80">
        <f t="shared" si="5"/>
        <v>0.89600000000000002</v>
      </c>
      <c r="AO8" s="80">
        <f t="shared" si="5"/>
        <v>1.3080000000000001</v>
      </c>
      <c r="AP8" s="80">
        <f t="shared" si="5"/>
        <v>1.4079999999999999</v>
      </c>
      <c r="AQ8" s="80">
        <f t="shared" si="5"/>
        <v>2.8980000000000001</v>
      </c>
      <c r="AR8" s="80">
        <f t="shared" si="5"/>
        <v>1.448</v>
      </c>
      <c r="AS8" s="80">
        <f t="shared" si="5"/>
        <v>5.2729999999999997</v>
      </c>
      <c r="AT8" s="80">
        <f t="shared" si="5"/>
        <v>2.407</v>
      </c>
      <c r="AU8" s="80">
        <f t="shared" si="5"/>
        <v>2.367</v>
      </c>
      <c r="AV8" s="80">
        <f t="shared" si="5"/>
        <v>3.6190000000000002</v>
      </c>
      <c r="AW8" s="80">
        <f t="shared" si="5"/>
        <v>1.1819999999999999</v>
      </c>
      <c r="AX8" s="80">
        <f t="shared" si="5"/>
        <v>2.4</v>
      </c>
      <c r="AY8" s="80">
        <f t="shared" si="5"/>
        <v>1.1000000000000001</v>
      </c>
      <c r="AZ8" s="103">
        <f t="shared" si="5"/>
        <v>2</v>
      </c>
      <c r="BA8" s="103">
        <f>AZ17</f>
        <v>2</v>
      </c>
    </row>
    <row r="9" spans="1:64" ht="15.75">
      <c r="A9" s="79" t="s">
        <v>13</v>
      </c>
      <c r="B9" s="80">
        <f>B61</f>
        <v>7.6987500000000004</v>
      </c>
      <c r="C9" s="80">
        <f t="shared" ref="C9:AI9" si="6">C61</f>
        <v>5.8540900000000002</v>
      </c>
      <c r="D9" s="80">
        <f t="shared" si="6"/>
        <v>8.2985520000000008</v>
      </c>
      <c r="E9" s="80">
        <f t="shared" si="6"/>
        <v>9.6985499999999991</v>
      </c>
      <c r="F9" s="80">
        <f t="shared" si="6"/>
        <v>8.6990800000000004</v>
      </c>
      <c r="G9" s="80">
        <f t="shared" si="6"/>
        <v>6.3992199999999997</v>
      </c>
      <c r="H9" s="80">
        <f t="shared" si="6"/>
        <v>12.899150000000001</v>
      </c>
      <c r="I9" s="80">
        <f t="shared" si="6"/>
        <v>9.5991250000000008</v>
      </c>
      <c r="J9" s="80">
        <f t="shared" si="6"/>
        <v>8.9990000000000006</v>
      </c>
      <c r="K9" s="80">
        <f t="shared" si="6"/>
        <v>9.4973899999999993</v>
      </c>
      <c r="L9" s="80">
        <f t="shared" si="6"/>
        <v>11.89973</v>
      </c>
      <c r="M9" s="80">
        <f t="shared" si="6"/>
        <v>12.099500000000001</v>
      </c>
      <c r="N9" s="80">
        <f t="shared" si="6"/>
        <v>9.2497299999999996</v>
      </c>
      <c r="O9" s="80">
        <f t="shared" si="6"/>
        <v>9.1996900000000004</v>
      </c>
      <c r="P9" s="80">
        <f t="shared" si="6"/>
        <v>4.8996199999999996</v>
      </c>
      <c r="Q9" s="80">
        <f t="shared" si="6"/>
        <v>5.3995800000000003</v>
      </c>
      <c r="R9" s="80">
        <f t="shared" si="6"/>
        <v>7.6837999999999997</v>
      </c>
      <c r="S9" s="80">
        <f t="shared" si="6"/>
        <v>10.696</v>
      </c>
      <c r="T9" s="80">
        <f t="shared" si="6"/>
        <v>10.8955</v>
      </c>
      <c r="U9" s="80">
        <f t="shared" si="6"/>
        <v>10.357200000000001</v>
      </c>
      <c r="V9" s="80">
        <f t="shared" si="6"/>
        <v>11.402540999999999</v>
      </c>
      <c r="W9" s="80">
        <f t="shared" si="6"/>
        <v>10.51763</v>
      </c>
      <c r="X9" s="80">
        <f t="shared" si="6"/>
        <v>15.53612</v>
      </c>
      <c r="Y9" s="80">
        <f t="shared" si="6"/>
        <v>19.360655000000001</v>
      </c>
      <c r="Z9" s="80">
        <f t="shared" si="6"/>
        <v>13.503399999999999</v>
      </c>
      <c r="AA9" s="80">
        <f t="shared" si="6"/>
        <v>16.780650000000001</v>
      </c>
      <c r="AB9" s="80">
        <f t="shared" si="6"/>
        <v>15.359397</v>
      </c>
      <c r="AC9" s="80">
        <f t="shared" si="6"/>
        <v>14.71208</v>
      </c>
      <c r="AD9" s="80">
        <f t="shared" si="6"/>
        <v>15.002219</v>
      </c>
      <c r="AE9" s="80">
        <f t="shared" si="6"/>
        <v>14.818788</v>
      </c>
      <c r="AF9" s="80">
        <f t="shared" si="6"/>
        <v>20.482572000000001</v>
      </c>
      <c r="AG9" s="80">
        <f t="shared" si="6"/>
        <v>14.445538000000001</v>
      </c>
      <c r="AH9" s="80">
        <f t="shared" si="6"/>
        <v>21.755365000000001</v>
      </c>
      <c r="AI9" s="80">
        <f t="shared" si="6"/>
        <v>22.026803000000001</v>
      </c>
      <c r="AJ9" s="80">
        <f>AJ68</f>
        <v>19.5</v>
      </c>
      <c r="AK9" s="80">
        <f t="shared" ref="AK9:AT9" si="7">AK68</f>
        <v>27</v>
      </c>
      <c r="AL9" s="80">
        <f t="shared" si="7"/>
        <v>29.5</v>
      </c>
      <c r="AM9" s="80">
        <f t="shared" si="7"/>
        <v>26.5</v>
      </c>
      <c r="AN9" s="80">
        <f t="shared" si="7"/>
        <v>31.5</v>
      </c>
      <c r="AO9" s="80">
        <f t="shared" si="7"/>
        <v>32.5</v>
      </c>
      <c r="AP9" s="80">
        <f t="shared" si="7"/>
        <v>32.5</v>
      </c>
      <c r="AQ9" s="80">
        <f t="shared" si="7"/>
        <v>34.5</v>
      </c>
      <c r="AR9" s="80">
        <f t="shared" si="7"/>
        <v>42</v>
      </c>
      <c r="AS9" s="80">
        <f t="shared" si="7"/>
        <v>37.299999999999997</v>
      </c>
      <c r="AT9" s="80">
        <f t="shared" si="7"/>
        <v>55.5</v>
      </c>
      <c r="AU9" s="80">
        <f t="shared" ref="AU9:AY9" si="8">AU68</f>
        <v>54.5</v>
      </c>
      <c r="AV9" s="80">
        <f t="shared" si="8"/>
        <v>55</v>
      </c>
      <c r="AW9" s="80">
        <f t="shared" si="8"/>
        <v>52</v>
      </c>
      <c r="AX9" s="80">
        <f t="shared" si="8"/>
        <v>37</v>
      </c>
      <c r="AY9" s="80">
        <f t="shared" si="8"/>
        <v>51.6</v>
      </c>
      <c r="AZ9" s="80">
        <f>AZ68</f>
        <v>49</v>
      </c>
      <c r="BA9" s="103">
        <f>BA6*BA5</f>
        <v>50.127094073438265</v>
      </c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</row>
    <row r="10" spans="1:64" ht="15.75">
      <c r="A10" s="79" t="s">
        <v>14</v>
      </c>
      <c r="B10" s="80">
        <v>0</v>
      </c>
      <c r="C10" s="80">
        <v>0</v>
      </c>
      <c r="D10" s="80">
        <v>0</v>
      </c>
      <c r="E10" s="80">
        <v>0</v>
      </c>
      <c r="F10" s="80">
        <v>0</v>
      </c>
      <c r="G10" s="80">
        <v>0</v>
      </c>
      <c r="H10" s="80">
        <v>0</v>
      </c>
      <c r="I10" s="80">
        <v>0</v>
      </c>
      <c r="J10" s="80">
        <v>0</v>
      </c>
      <c r="K10" s="80">
        <v>0</v>
      </c>
      <c r="L10" s="80">
        <v>0</v>
      </c>
      <c r="M10" s="80">
        <v>0</v>
      </c>
      <c r="N10" s="80">
        <v>0</v>
      </c>
      <c r="O10" s="80">
        <v>0</v>
      </c>
      <c r="P10" s="80">
        <v>0</v>
      </c>
      <c r="Q10" s="80">
        <v>0</v>
      </c>
      <c r="R10" s="80">
        <v>3.0000000000000001E-3</v>
      </c>
      <c r="S10" s="80">
        <v>1E-3</v>
      </c>
      <c r="T10" s="80">
        <v>1E-3</v>
      </c>
      <c r="U10" s="80">
        <v>1E-3</v>
      </c>
      <c r="V10" s="80">
        <v>1E-3</v>
      </c>
      <c r="W10" s="80">
        <v>2E-3</v>
      </c>
      <c r="X10" s="80">
        <f t="shared" ref="X10:AT10" si="9">X54</f>
        <v>30.542999999999999</v>
      </c>
      <c r="Y10" s="80">
        <f t="shared" si="9"/>
        <v>4.520999999999999</v>
      </c>
      <c r="Z10" s="80">
        <f t="shared" si="9"/>
        <v>4.5839999999999996</v>
      </c>
      <c r="AA10" s="80">
        <f t="shared" si="9"/>
        <v>74.429000000000002</v>
      </c>
      <c r="AB10" s="80">
        <f t="shared" si="9"/>
        <v>23.116999999999994</v>
      </c>
      <c r="AC10" s="80">
        <f t="shared" si="9"/>
        <v>1.8099999999999998</v>
      </c>
      <c r="AD10" s="80">
        <f t="shared" si="9"/>
        <v>3.0209999999999995</v>
      </c>
      <c r="AE10" s="80">
        <f t="shared" si="9"/>
        <v>2.0459999999999998</v>
      </c>
      <c r="AF10" s="80">
        <f t="shared" si="9"/>
        <v>2.0269999999999997</v>
      </c>
      <c r="AG10" s="80">
        <f t="shared" si="9"/>
        <v>1.677</v>
      </c>
      <c r="AH10" s="80">
        <f t="shared" si="9"/>
        <v>4.0169999999999995</v>
      </c>
      <c r="AI10" s="80">
        <f t="shared" si="9"/>
        <v>6.2620000000000005</v>
      </c>
      <c r="AJ10" s="80">
        <f t="shared" si="9"/>
        <v>3.7069999999999999</v>
      </c>
      <c r="AK10" s="80">
        <f t="shared" si="9"/>
        <v>7.1000000000000005</v>
      </c>
      <c r="AL10" s="80">
        <f t="shared" si="9"/>
        <v>5.0489999999999995</v>
      </c>
      <c r="AM10" s="80">
        <f t="shared" si="9"/>
        <v>7.137999999999999</v>
      </c>
      <c r="AN10" s="80">
        <f t="shared" si="9"/>
        <v>3.0760000000000001</v>
      </c>
      <c r="AO10" s="80">
        <f t="shared" si="9"/>
        <v>2.1349999999999998</v>
      </c>
      <c r="AP10" s="80">
        <f t="shared" si="9"/>
        <v>2.5990000000000002</v>
      </c>
      <c r="AQ10" s="80">
        <f t="shared" si="9"/>
        <v>2.1199999999999997</v>
      </c>
      <c r="AR10" s="80">
        <f t="shared" si="9"/>
        <v>11.097999999999999</v>
      </c>
      <c r="AS10" s="80">
        <f t="shared" si="9"/>
        <v>6.3209999999999988</v>
      </c>
      <c r="AT10" s="80">
        <f t="shared" si="9"/>
        <v>5.2109999999999994</v>
      </c>
      <c r="AU10" s="80">
        <f>AU54/1000</f>
        <v>3.6959999999999996E-3</v>
      </c>
      <c r="AV10" s="80">
        <f>AV54/1000</f>
        <v>5.4649999999999994E-3</v>
      </c>
      <c r="AW10" s="80">
        <f>AW54/1000</f>
        <v>8.1889999999999984E-3</v>
      </c>
      <c r="AX10" s="103">
        <v>0.125</v>
      </c>
      <c r="AY10" s="103">
        <f>0.015</f>
        <v>1.4999999999999999E-2</v>
      </c>
      <c r="AZ10" s="103">
        <v>1.4999999999999999E-2</v>
      </c>
      <c r="BA10" s="103">
        <v>1.0149999999999999</v>
      </c>
    </row>
    <row r="11" spans="1:64" ht="15.75">
      <c r="A11" s="79" t="s">
        <v>15</v>
      </c>
      <c r="B11" s="80">
        <f t="shared" ref="B11:AT11" si="10">SUM(B8:B10)</f>
        <v>7.8767500000000004</v>
      </c>
      <c r="C11" s="80">
        <f t="shared" si="10"/>
        <v>6.6150900000000004</v>
      </c>
      <c r="D11" s="80">
        <f t="shared" si="10"/>
        <v>8.8135520000000014</v>
      </c>
      <c r="E11" s="80">
        <f t="shared" si="10"/>
        <v>9.8815499999999989</v>
      </c>
      <c r="F11" s="80">
        <f t="shared" si="10"/>
        <v>9.1330799999999996</v>
      </c>
      <c r="G11" s="80">
        <f t="shared" si="10"/>
        <v>6.5722199999999997</v>
      </c>
      <c r="H11" s="80">
        <f t="shared" si="10"/>
        <v>13.007150000000001</v>
      </c>
      <c r="I11" s="80">
        <f t="shared" si="10"/>
        <v>9.8091250000000016</v>
      </c>
      <c r="J11" s="80">
        <f t="shared" si="10"/>
        <v>9.5440000000000005</v>
      </c>
      <c r="K11" s="80">
        <f t="shared" si="10"/>
        <v>9.786389999999999</v>
      </c>
      <c r="L11" s="80">
        <f t="shared" si="10"/>
        <v>11.990729999999999</v>
      </c>
      <c r="M11" s="80">
        <f t="shared" si="10"/>
        <v>12.489500000000001</v>
      </c>
      <c r="N11" s="80">
        <f t="shared" si="10"/>
        <v>9.6727299999999996</v>
      </c>
      <c r="O11" s="80">
        <f t="shared" si="10"/>
        <v>9.5906900000000004</v>
      </c>
      <c r="P11" s="80">
        <f t="shared" si="10"/>
        <v>5.4846199999999996</v>
      </c>
      <c r="Q11" s="80">
        <f t="shared" si="10"/>
        <v>6.0845800000000008</v>
      </c>
      <c r="R11" s="80">
        <f t="shared" si="10"/>
        <v>7.8717999999999995</v>
      </c>
      <c r="S11" s="80">
        <f t="shared" si="10"/>
        <v>11.266999999999999</v>
      </c>
      <c r="T11" s="80">
        <f t="shared" si="10"/>
        <v>11.596499999999999</v>
      </c>
      <c r="U11" s="80">
        <f t="shared" si="10"/>
        <v>11.408200000000001</v>
      </c>
      <c r="V11" s="80">
        <f t="shared" si="10"/>
        <v>12.588540999999999</v>
      </c>
      <c r="W11" s="80">
        <f t="shared" si="10"/>
        <v>11.848630000000002</v>
      </c>
      <c r="X11" s="80">
        <f t="shared" si="10"/>
        <v>46.708120000000001</v>
      </c>
      <c r="Y11" s="80">
        <f t="shared" si="10"/>
        <v>24.897655</v>
      </c>
      <c r="Z11" s="80">
        <f t="shared" si="10"/>
        <v>19.894399999999997</v>
      </c>
      <c r="AA11" s="80">
        <f t="shared" si="10"/>
        <v>92.190650000000005</v>
      </c>
      <c r="AB11" s="80">
        <f t="shared" si="10"/>
        <v>39.237396999999994</v>
      </c>
      <c r="AC11" s="80">
        <f t="shared" si="10"/>
        <v>17.38908</v>
      </c>
      <c r="AD11" s="80">
        <f t="shared" si="10"/>
        <v>18.590219000000001</v>
      </c>
      <c r="AE11" s="80">
        <f t="shared" si="10"/>
        <v>17.635788000000002</v>
      </c>
      <c r="AF11" s="80">
        <f t="shared" si="10"/>
        <v>22.922572000000002</v>
      </c>
      <c r="AG11" s="80">
        <f t="shared" si="10"/>
        <v>17.254538</v>
      </c>
      <c r="AH11" s="80">
        <f t="shared" si="10"/>
        <v>27.020365000000002</v>
      </c>
      <c r="AI11" s="80">
        <f t="shared" si="10"/>
        <v>29.964803</v>
      </c>
      <c r="AJ11" s="80">
        <f t="shared" si="10"/>
        <v>25.305</v>
      </c>
      <c r="AK11" s="80">
        <f t="shared" si="10"/>
        <v>34.979999999999997</v>
      </c>
      <c r="AL11" s="80">
        <f t="shared" si="10"/>
        <v>37.028999999999996</v>
      </c>
      <c r="AM11" s="80">
        <f t="shared" si="10"/>
        <v>37.676000000000002</v>
      </c>
      <c r="AN11" s="80">
        <f t="shared" si="10"/>
        <v>35.472000000000001</v>
      </c>
      <c r="AO11" s="80">
        <f t="shared" si="10"/>
        <v>35.942999999999998</v>
      </c>
      <c r="AP11" s="80">
        <f t="shared" si="10"/>
        <v>36.507000000000005</v>
      </c>
      <c r="AQ11" s="80">
        <f t="shared" si="10"/>
        <v>39.518000000000001</v>
      </c>
      <c r="AR11" s="80">
        <f t="shared" si="10"/>
        <v>54.545999999999999</v>
      </c>
      <c r="AS11" s="80">
        <f t="shared" si="10"/>
        <v>48.893999999999991</v>
      </c>
      <c r="AT11" s="80">
        <f t="shared" si="10"/>
        <v>63.117999999999995</v>
      </c>
      <c r="AU11" s="80">
        <f>SUM(AU8:AU10)</f>
        <v>56.870695999999995</v>
      </c>
      <c r="AV11" s="80">
        <f>SUM(AV8:AV10)</f>
        <v>58.624465000000001</v>
      </c>
      <c r="AW11" s="80">
        <f>SUM(AW8:AW10)</f>
        <v>53.190189000000004</v>
      </c>
      <c r="AX11" s="80">
        <f>SUM(AX8:AX10)</f>
        <v>39.524999999999999</v>
      </c>
      <c r="AY11" s="103">
        <f t="shared" ref="AY11:BA11" si="11">SUM(AY8:AY10)</f>
        <v>52.715000000000003</v>
      </c>
      <c r="AZ11" s="103">
        <f t="shared" si="11"/>
        <v>51.015000000000001</v>
      </c>
      <c r="BA11" s="103">
        <f t="shared" si="11"/>
        <v>53.142094073438265</v>
      </c>
    </row>
    <row r="12" spans="1:64" ht="15.75">
      <c r="A12" s="83" t="s">
        <v>17</v>
      </c>
      <c r="B12" s="104">
        <f>B14-B13</f>
        <v>2.2107500000000004</v>
      </c>
      <c r="C12" s="104">
        <f t="shared" ref="C12:AW12" si="12">C14-C13</f>
        <v>2.5620900000000009</v>
      </c>
      <c r="D12" s="104">
        <f t="shared" si="12"/>
        <v>3.0995520000000019</v>
      </c>
      <c r="E12" s="104">
        <f t="shared" si="12"/>
        <v>3.2485499999999994</v>
      </c>
      <c r="F12" s="104">
        <f t="shared" si="12"/>
        <v>2.7490799999999997</v>
      </c>
      <c r="G12" s="104">
        <f t="shared" si="12"/>
        <v>2.79922</v>
      </c>
      <c r="H12" s="104">
        <f t="shared" si="12"/>
        <v>3.3989500000000001</v>
      </c>
      <c r="I12" s="104">
        <f t="shared" si="12"/>
        <v>3.2006250000000032</v>
      </c>
      <c r="J12" s="104">
        <f t="shared" si="12"/>
        <v>2.8982999999999999</v>
      </c>
      <c r="K12" s="104">
        <f t="shared" si="12"/>
        <v>3.8973899999999984</v>
      </c>
      <c r="L12" s="104">
        <f t="shared" si="12"/>
        <v>3.8323299999999989</v>
      </c>
      <c r="M12" s="104">
        <f t="shared" si="12"/>
        <v>4.4184000000000019</v>
      </c>
      <c r="N12" s="104">
        <f t="shared" si="12"/>
        <v>4.6496300000000002</v>
      </c>
      <c r="O12" s="104">
        <f t="shared" si="12"/>
        <v>4.5895900000000012</v>
      </c>
      <c r="P12" s="104">
        <f t="shared" si="12"/>
        <v>2.0015199999999993</v>
      </c>
      <c r="Q12" s="104">
        <f t="shared" si="12"/>
        <v>2.2205800000000013</v>
      </c>
      <c r="R12" s="104">
        <f t="shared" si="12"/>
        <v>2.3480539999999994</v>
      </c>
      <c r="S12" s="104">
        <f t="shared" si="12"/>
        <v>2.9405640000000002</v>
      </c>
      <c r="T12" s="104">
        <f t="shared" si="12"/>
        <v>4.2147399999999973</v>
      </c>
      <c r="U12" s="104">
        <f t="shared" si="12"/>
        <v>4.613608000000001</v>
      </c>
      <c r="V12" s="104">
        <f t="shared" si="12"/>
        <v>3.7654659999999995</v>
      </c>
      <c r="W12" s="104">
        <f t="shared" si="12"/>
        <v>2.4327890000000028</v>
      </c>
      <c r="X12" s="104">
        <f t="shared" si="12"/>
        <v>33.218859999999999</v>
      </c>
      <c r="Y12" s="104">
        <f t="shared" si="12"/>
        <v>9.1745180000000008</v>
      </c>
      <c r="Z12" s="104">
        <f t="shared" si="12"/>
        <v>9.2497329999999955</v>
      </c>
      <c r="AA12" s="104">
        <f t="shared" si="12"/>
        <v>77.870497000000015</v>
      </c>
      <c r="AB12" s="104" t="e">
        <f t="shared" si="12"/>
        <v>#REF!</v>
      </c>
      <c r="AC12" s="104">
        <f t="shared" si="12"/>
        <v>9.147199999999998</v>
      </c>
      <c r="AD12" s="104">
        <f t="shared" si="12"/>
        <v>7.3991569999999971</v>
      </c>
      <c r="AE12" s="104">
        <f t="shared" si="12"/>
        <v>9.0223160000000018</v>
      </c>
      <c r="AF12" s="104">
        <f t="shared" si="12"/>
        <v>9.4596430000000016</v>
      </c>
      <c r="AG12" s="104">
        <f t="shared" si="12"/>
        <v>7.1780109999999988</v>
      </c>
      <c r="AH12" s="104">
        <f t="shared" si="12"/>
        <v>10.959968000000003</v>
      </c>
      <c r="AI12" s="104">
        <f t="shared" si="12"/>
        <v>14.170410000000002</v>
      </c>
      <c r="AJ12" s="104">
        <f t="shared" si="12"/>
        <v>18.972857000000001</v>
      </c>
      <c r="AK12" s="104">
        <f t="shared" si="12"/>
        <v>14.095415403999999</v>
      </c>
      <c r="AL12" s="104">
        <f t="shared" si="12"/>
        <v>14.640942768999999</v>
      </c>
      <c r="AM12" s="104">
        <f t="shared" si="12"/>
        <v>17.430779397000002</v>
      </c>
      <c r="AN12" s="104">
        <f t="shared" si="12"/>
        <v>12.872677994000002</v>
      </c>
      <c r="AO12" s="104">
        <f t="shared" si="12"/>
        <v>14.432756622999996</v>
      </c>
      <c r="AP12" s="104">
        <f t="shared" si="12"/>
        <v>9.114140731000008</v>
      </c>
      <c r="AQ12" s="104">
        <f t="shared" si="12"/>
        <v>11.221853954999995</v>
      </c>
      <c r="AR12" s="104">
        <f t="shared" si="12"/>
        <v>17.538265414999998</v>
      </c>
      <c r="AS12" s="104">
        <f t="shared" si="12"/>
        <v>17.865813997999993</v>
      </c>
      <c r="AT12" s="104">
        <f>AT14-AT13</f>
        <v>17.323405178999987</v>
      </c>
      <c r="AU12" s="104">
        <f t="shared" si="12"/>
        <v>10.510550934999998</v>
      </c>
      <c r="AV12" s="104">
        <f t="shared" si="12"/>
        <v>9.2875214239999906</v>
      </c>
      <c r="AW12" s="104">
        <f t="shared" si="12"/>
        <v>9.1068128869999967</v>
      </c>
      <c r="AX12" s="104">
        <f>AX14-AX13</f>
        <v>5.8192925289999975</v>
      </c>
      <c r="AY12" s="105">
        <f>AY14-AY13</f>
        <v>8.6148780000000027</v>
      </c>
      <c r="AZ12" s="105">
        <f>AZ14-AZ13</f>
        <v>7.9861560000000011</v>
      </c>
      <c r="BA12" s="105">
        <f>BA14-BA13</f>
        <v>9.1250410020097164</v>
      </c>
    </row>
    <row r="13" spans="1:64" ht="15.75">
      <c r="A13" s="79" t="s">
        <v>18</v>
      </c>
      <c r="B13" s="80">
        <v>1.42</v>
      </c>
      <c r="C13" s="80">
        <v>0.3</v>
      </c>
      <c r="D13" s="80">
        <v>0.3</v>
      </c>
      <c r="E13" s="80">
        <v>0.28299999999999997</v>
      </c>
      <c r="F13" s="80">
        <v>0.246</v>
      </c>
      <c r="G13" s="80">
        <v>0.248</v>
      </c>
      <c r="H13" s="80">
        <v>0.3</v>
      </c>
      <c r="I13" s="80">
        <v>0.3</v>
      </c>
      <c r="J13" s="80">
        <v>0.3</v>
      </c>
      <c r="K13" s="80">
        <v>0.35</v>
      </c>
      <c r="L13" s="80">
        <v>0.67500000000000004</v>
      </c>
      <c r="M13" s="80">
        <v>0.3</v>
      </c>
      <c r="N13" s="80">
        <v>0.6</v>
      </c>
      <c r="O13" s="80">
        <v>6.6000000000000003E-2</v>
      </c>
      <c r="P13" s="80">
        <v>1</v>
      </c>
      <c r="Q13" s="80">
        <v>0.9</v>
      </c>
      <c r="R13" s="80">
        <v>1.1000000000000001</v>
      </c>
      <c r="S13" s="80">
        <v>1.5</v>
      </c>
      <c r="T13" s="80">
        <v>1.5009999999999999</v>
      </c>
      <c r="U13" s="80">
        <v>1.516</v>
      </c>
      <c r="V13" s="80">
        <v>1.5009999999999999</v>
      </c>
      <c r="W13" s="80">
        <v>1.5009999999999999</v>
      </c>
      <c r="X13" s="80">
        <v>1.546</v>
      </c>
      <c r="Y13" s="80">
        <v>1.65</v>
      </c>
      <c r="Z13" s="80">
        <v>1.6</v>
      </c>
      <c r="AA13" s="80">
        <v>1.52</v>
      </c>
      <c r="AB13" s="80">
        <v>1.7</v>
      </c>
      <c r="AC13" s="80">
        <v>1.5</v>
      </c>
      <c r="AD13" s="80">
        <v>1.6</v>
      </c>
      <c r="AE13" s="80">
        <v>1.6</v>
      </c>
      <c r="AF13" s="80">
        <v>1.7</v>
      </c>
      <c r="AG13" s="80">
        <v>1.8</v>
      </c>
      <c r="AH13" s="80">
        <v>1.9</v>
      </c>
      <c r="AI13" s="80">
        <v>1.9</v>
      </c>
      <c r="AJ13" s="80">
        <v>1.9</v>
      </c>
      <c r="AK13" s="80">
        <v>1.9</v>
      </c>
      <c r="AL13" s="80">
        <v>2</v>
      </c>
      <c r="AM13" s="80">
        <v>2.2000000000000002</v>
      </c>
      <c r="AN13" s="80">
        <v>2.6</v>
      </c>
      <c r="AO13" s="80">
        <v>3</v>
      </c>
      <c r="AP13" s="80">
        <f t="shared" ref="AP13:AT13" si="13">AP112/1000</f>
        <v>5.5310439999999996</v>
      </c>
      <c r="AQ13" s="80">
        <f t="shared" si="13"/>
        <v>5.1953060000000004</v>
      </c>
      <c r="AR13" s="80">
        <f t="shared" si="13"/>
        <v>5.7499279999999997</v>
      </c>
      <c r="AS13" s="80">
        <f t="shared" si="13"/>
        <v>6.1465960000000006</v>
      </c>
      <c r="AT13" s="80">
        <f t="shared" si="13"/>
        <v>6.1836170000000008</v>
      </c>
      <c r="AU13" s="80">
        <f t="shared" ref="AU13:AZ13" si="14">AU112/1000</f>
        <v>6.4661040000000005</v>
      </c>
      <c r="AV13" s="80">
        <f t="shared" si="14"/>
        <v>7.2124599999999992</v>
      </c>
      <c r="AW13" s="80">
        <f t="shared" si="14"/>
        <v>6.9913599999999994</v>
      </c>
      <c r="AX13" s="80">
        <f t="shared" si="14"/>
        <v>7.3646690000000001</v>
      </c>
      <c r="AY13" s="80">
        <f t="shared" si="14"/>
        <v>7.6001220000000007</v>
      </c>
      <c r="AZ13" s="80">
        <f t="shared" si="14"/>
        <v>7.0288439999999994</v>
      </c>
      <c r="BA13" s="103">
        <f>FORECAST(BA3,AS13:AZ13,AS3:AZ3)</f>
        <v>7.7170530714285519</v>
      </c>
    </row>
    <row r="14" spans="1:64" ht="15.75">
      <c r="A14" s="79" t="s">
        <v>68</v>
      </c>
      <c r="B14" s="80">
        <f>B16-B15</f>
        <v>3.6307500000000004</v>
      </c>
      <c r="C14" s="80">
        <f t="shared" ref="C14:AZ14" si="15">C16-C15</f>
        <v>2.8620900000000007</v>
      </c>
      <c r="D14" s="80">
        <f t="shared" si="15"/>
        <v>3.3995520000000017</v>
      </c>
      <c r="E14" s="80">
        <f t="shared" si="15"/>
        <v>3.5315499999999993</v>
      </c>
      <c r="F14" s="80">
        <f t="shared" si="15"/>
        <v>2.9950799999999997</v>
      </c>
      <c r="G14" s="80">
        <f t="shared" si="15"/>
        <v>3.0472200000000003</v>
      </c>
      <c r="H14" s="80">
        <f t="shared" si="15"/>
        <v>3.69895</v>
      </c>
      <c r="I14" s="80">
        <f t="shared" si="15"/>
        <v>3.500625000000003</v>
      </c>
      <c r="J14" s="80">
        <f t="shared" si="15"/>
        <v>3.1982999999999997</v>
      </c>
      <c r="K14" s="80">
        <f t="shared" si="15"/>
        <v>4.2473899999999984</v>
      </c>
      <c r="L14" s="80">
        <f t="shared" si="15"/>
        <v>4.5073299999999987</v>
      </c>
      <c r="M14" s="80">
        <f t="shared" si="15"/>
        <v>4.7184000000000017</v>
      </c>
      <c r="N14" s="80">
        <f t="shared" si="15"/>
        <v>5.2496299999999998</v>
      </c>
      <c r="O14" s="80">
        <f t="shared" si="15"/>
        <v>4.655590000000001</v>
      </c>
      <c r="P14" s="80">
        <f t="shared" si="15"/>
        <v>3.0015199999999993</v>
      </c>
      <c r="Q14" s="80">
        <f t="shared" si="15"/>
        <v>3.1205800000000012</v>
      </c>
      <c r="R14" s="80">
        <f t="shared" si="15"/>
        <v>3.4480539999999995</v>
      </c>
      <c r="S14" s="80">
        <f t="shared" si="15"/>
        <v>4.4405640000000002</v>
      </c>
      <c r="T14" s="80">
        <f t="shared" si="15"/>
        <v>5.7157399999999976</v>
      </c>
      <c r="U14" s="80">
        <f t="shared" si="15"/>
        <v>6.1296080000000011</v>
      </c>
      <c r="V14" s="80">
        <f t="shared" si="15"/>
        <v>5.2664659999999994</v>
      </c>
      <c r="W14" s="80">
        <f t="shared" si="15"/>
        <v>3.9337890000000026</v>
      </c>
      <c r="X14" s="80">
        <f t="shared" si="15"/>
        <v>34.764859999999999</v>
      </c>
      <c r="Y14" s="80">
        <f t="shared" si="15"/>
        <v>10.824518000000001</v>
      </c>
      <c r="Z14" s="80">
        <f t="shared" si="15"/>
        <v>10.849732999999995</v>
      </c>
      <c r="AA14" s="80">
        <f t="shared" si="15"/>
        <v>79.390497000000011</v>
      </c>
      <c r="AB14" s="80" t="e">
        <f t="shared" si="15"/>
        <v>#REF!</v>
      </c>
      <c r="AC14" s="80">
        <f t="shared" si="15"/>
        <v>10.647199999999998</v>
      </c>
      <c r="AD14" s="80">
        <f t="shared" si="15"/>
        <v>8.9991569999999967</v>
      </c>
      <c r="AE14" s="80">
        <f t="shared" si="15"/>
        <v>10.622316000000001</v>
      </c>
      <c r="AF14" s="80">
        <f t="shared" si="15"/>
        <v>11.159643000000001</v>
      </c>
      <c r="AG14" s="80">
        <f t="shared" si="15"/>
        <v>8.9780109999999986</v>
      </c>
      <c r="AH14" s="80">
        <f t="shared" si="15"/>
        <v>12.859968000000004</v>
      </c>
      <c r="AI14" s="80">
        <f t="shared" si="15"/>
        <v>16.070410000000003</v>
      </c>
      <c r="AJ14" s="80">
        <f t="shared" si="15"/>
        <v>20.872857</v>
      </c>
      <c r="AK14" s="80">
        <f t="shared" si="15"/>
        <v>15.995415403999999</v>
      </c>
      <c r="AL14" s="80">
        <f t="shared" si="15"/>
        <v>16.640942768999999</v>
      </c>
      <c r="AM14" s="80">
        <f t="shared" si="15"/>
        <v>19.630779397000001</v>
      </c>
      <c r="AN14" s="80">
        <f t="shared" si="15"/>
        <v>15.472677994000001</v>
      </c>
      <c r="AO14" s="80">
        <f t="shared" si="15"/>
        <v>17.432756622999996</v>
      </c>
      <c r="AP14" s="80">
        <f t="shared" si="15"/>
        <v>14.645184731000008</v>
      </c>
      <c r="AQ14" s="80">
        <f t="shared" si="15"/>
        <v>16.417159954999995</v>
      </c>
      <c r="AR14" s="80">
        <f t="shared" si="15"/>
        <v>23.288193414999999</v>
      </c>
      <c r="AS14" s="80">
        <f t="shared" si="15"/>
        <v>24.012409997999995</v>
      </c>
      <c r="AT14" s="80">
        <f t="shared" si="15"/>
        <v>23.507022178999989</v>
      </c>
      <c r="AU14" s="80">
        <f t="shared" si="15"/>
        <v>16.976654934999999</v>
      </c>
      <c r="AV14" s="80">
        <f t="shared" si="15"/>
        <v>16.499981423999991</v>
      </c>
      <c r="AW14" s="80">
        <f t="shared" si="15"/>
        <v>16.098172886999997</v>
      </c>
      <c r="AX14" s="80">
        <f t="shared" si="15"/>
        <v>13.183961528999998</v>
      </c>
      <c r="AY14" s="80">
        <f t="shared" si="15"/>
        <v>16.215000000000003</v>
      </c>
      <c r="AZ14" s="80">
        <f t="shared" si="15"/>
        <v>15.015000000000001</v>
      </c>
      <c r="BA14" s="103">
        <f>BA16-BA15</f>
        <v>16.842094073438268</v>
      </c>
    </row>
    <row r="15" spans="1:64" ht="15.75">
      <c r="A15" s="79" t="s">
        <v>19</v>
      </c>
      <c r="B15" s="80">
        <v>3.4849999999999999</v>
      </c>
      <c r="C15" s="80">
        <v>3.238</v>
      </c>
      <c r="D15" s="80">
        <v>5.2309999999999999</v>
      </c>
      <c r="E15" s="80">
        <v>5.9160000000000004</v>
      </c>
      <c r="F15" s="80">
        <v>5.9649999999999999</v>
      </c>
      <c r="G15" s="80">
        <v>3.4169999999999998</v>
      </c>
      <c r="H15" s="80">
        <f>H38/1000</f>
        <v>9.0982000000000003</v>
      </c>
      <c r="I15" s="80">
        <f t="shared" ref="I15:AZ15" si="16">I38/1000</f>
        <v>5.7634999999999987</v>
      </c>
      <c r="J15" s="80">
        <f t="shared" si="16"/>
        <v>6.0567000000000011</v>
      </c>
      <c r="K15" s="80">
        <f t="shared" si="16"/>
        <v>5.4480000000000013</v>
      </c>
      <c r="L15" s="80">
        <f t="shared" si="16"/>
        <v>7.0933999999999999</v>
      </c>
      <c r="M15" s="80">
        <f t="shared" si="16"/>
        <v>7.3480999999999996</v>
      </c>
      <c r="N15" s="80">
        <f t="shared" si="16"/>
        <v>4.0320999999999998</v>
      </c>
      <c r="O15" s="80">
        <f t="shared" si="16"/>
        <v>4.3501000000000003</v>
      </c>
      <c r="P15" s="80">
        <f t="shared" si="16"/>
        <v>1.7980999999999998</v>
      </c>
      <c r="Q15" s="80">
        <f t="shared" si="16"/>
        <v>2.7789999999999999</v>
      </c>
      <c r="R15" s="80">
        <f t="shared" si="16"/>
        <v>3.8537459999999997</v>
      </c>
      <c r="S15" s="80">
        <f t="shared" si="16"/>
        <v>6.126436</v>
      </c>
      <c r="T15" s="80">
        <f t="shared" si="16"/>
        <v>4.8307600000000006</v>
      </c>
      <c r="U15" s="80">
        <f t="shared" si="16"/>
        <v>4.0935919999999992</v>
      </c>
      <c r="V15" s="80">
        <f t="shared" si="16"/>
        <v>5.9930749999999993</v>
      </c>
      <c r="W15" s="80">
        <f t="shared" si="16"/>
        <v>7.2858409999999996</v>
      </c>
      <c r="X15" s="80">
        <f t="shared" si="16"/>
        <v>10.927260000000002</v>
      </c>
      <c r="Y15" s="80">
        <f t="shared" si="16"/>
        <v>12.266137000000001</v>
      </c>
      <c r="Z15" s="80">
        <f t="shared" si="16"/>
        <v>8.0636670000000006</v>
      </c>
      <c r="AA15" s="80">
        <f t="shared" si="16"/>
        <v>12.039152999999999</v>
      </c>
      <c r="AB15" s="80" t="e">
        <f t="shared" si="16"/>
        <v>#REF!</v>
      </c>
      <c r="AC15" s="80">
        <f t="shared" si="16"/>
        <v>6.1748800000000008</v>
      </c>
      <c r="AD15" s="80">
        <f t="shared" si="16"/>
        <v>8.8200620000000036</v>
      </c>
      <c r="AE15" s="80">
        <f t="shared" si="16"/>
        <v>6.6004720000000008</v>
      </c>
      <c r="AF15" s="80">
        <f t="shared" si="16"/>
        <v>10.630929</v>
      </c>
      <c r="AG15" s="80">
        <f t="shared" si="16"/>
        <v>7.0285270000000013</v>
      </c>
      <c r="AH15" s="80">
        <f t="shared" si="16"/>
        <v>12.484397</v>
      </c>
      <c r="AI15" s="80">
        <f t="shared" si="16"/>
        <v>11.796393</v>
      </c>
      <c r="AJ15" s="80">
        <f t="shared" si="16"/>
        <v>3.5521430000000001</v>
      </c>
      <c r="AK15" s="80">
        <f t="shared" si="16"/>
        <v>16.504584596000001</v>
      </c>
      <c r="AL15" s="80">
        <f t="shared" si="16"/>
        <v>16.350057231000001</v>
      </c>
      <c r="AM15" s="80">
        <f t="shared" si="16"/>
        <v>17.149220603</v>
      </c>
      <c r="AN15" s="80">
        <f t="shared" si="16"/>
        <v>18.691322006</v>
      </c>
      <c r="AO15" s="80">
        <f t="shared" si="16"/>
        <v>17.102243377000001</v>
      </c>
      <c r="AP15" s="80">
        <f t="shared" si="16"/>
        <v>18.963815268999994</v>
      </c>
      <c r="AQ15" s="80">
        <f t="shared" si="16"/>
        <v>21.652840045000005</v>
      </c>
      <c r="AR15" s="80">
        <f t="shared" si="16"/>
        <v>25.984806584999998</v>
      </c>
      <c r="AS15" s="80">
        <f t="shared" si="16"/>
        <v>22.474590001999999</v>
      </c>
      <c r="AT15" s="80">
        <f t="shared" si="16"/>
        <v>37.243977821000009</v>
      </c>
      <c r="AU15" s="80">
        <f t="shared" si="16"/>
        <v>36.275041064999996</v>
      </c>
      <c r="AV15" s="80">
        <f t="shared" si="16"/>
        <v>40.942483576000008</v>
      </c>
      <c r="AW15" s="80">
        <f>AW38/1000</f>
        <v>34.692016113000008</v>
      </c>
      <c r="AX15" s="80">
        <f>AX38/1000</f>
        <v>25.241038471</v>
      </c>
      <c r="AY15" s="103">
        <f t="shared" si="16"/>
        <v>34.5</v>
      </c>
      <c r="AZ15" s="103">
        <f t="shared" si="16"/>
        <v>34</v>
      </c>
      <c r="BA15" s="103">
        <f>BA38/1000</f>
        <v>34.299999999999997</v>
      </c>
    </row>
    <row r="16" spans="1:64" ht="15.75">
      <c r="A16" s="79" t="s">
        <v>69</v>
      </c>
      <c r="B16" s="80">
        <f>B11-B17</f>
        <v>7.1157500000000002</v>
      </c>
      <c r="C16" s="80">
        <f t="shared" ref="C16:AT16" si="17">C11-C17</f>
        <v>6.1000900000000007</v>
      </c>
      <c r="D16" s="80">
        <f t="shared" si="17"/>
        <v>8.6305520000000016</v>
      </c>
      <c r="E16" s="80">
        <f t="shared" si="17"/>
        <v>9.4475499999999997</v>
      </c>
      <c r="F16" s="80">
        <f t="shared" si="17"/>
        <v>8.9600799999999996</v>
      </c>
      <c r="G16" s="80">
        <f t="shared" si="17"/>
        <v>6.4642200000000001</v>
      </c>
      <c r="H16" s="80">
        <f t="shared" si="17"/>
        <v>12.79715</v>
      </c>
      <c r="I16" s="80">
        <f t="shared" si="17"/>
        <v>9.2641250000000017</v>
      </c>
      <c r="J16" s="80">
        <f t="shared" si="17"/>
        <v>9.2550000000000008</v>
      </c>
      <c r="K16" s="80">
        <f t="shared" si="17"/>
        <v>9.6953899999999997</v>
      </c>
      <c r="L16" s="80">
        <f t="shared" si="17"/>
        <v>11.600729999999999</v>
      </c>
      <c r="M16" s="80">
        <f t="shared" si="17"/>
        <v>12.066500000000001</v>
      </c>
      <c r="N16" s="80">
        <f t="shared" si="17"/>
        <v>9.2817299999999996</v>
      </c>
      <c r="O16" s="80">
        <f t="shared" si="17"/>
        <v>9.0056900000000013</v>
      </c>
      <c r="P16" s="80">
        <f t="shared" si="17"/>
        <v>4.7996199999999991</v>
      </c>
      <c r="Q16" s="80">
        <f t="shared" si="17"/>
        <v>5.8995800000000012</v>
      </c>
      <c r="R16" s="80">
        <f t="shared" si="17"/>
        <v>7.3017999999999992</v>
      </c>
      <c r="S16" s="80">
        <f t="shared" si="17"/>
        <v>10.567</v>
      </c>
      <c r="T16" s="80">
        <f t="shared" si="17"/>
        <v>10.546499999999998</v>
      </c>
      <c r="U16" s="80">
        <f t="shared" si="17"/>
        <v>10.2232</v>
      </c>
      <c r="V16" s="80">
        <f t="shared" si="17"/>
        <v>11.259540999999999</v>
      </c>
      <c r="W16" s="80">
        <f t="shared" si="17"/>
        <v>11.219630000000002</v>
      </c>
      <c r="X16" s="80">
        <f t="shared" si="17"/>
        <v>45.692120000000003</v>
      </c>
      <c r="Y16" s="80">
        <f t="shared" si="17"/>
        <v>23.090655000000002</v>
      </c>
      <c r="Z16" s="80">
        <f t="shared" si="17"/>
        <v>18.913399999999996</v>
      </c>
      <c r="AA16" s="80">
        <f t="shared" si="17"/>
        <v>91.429650000000009</v>
      </c>
      <c r="AB16" s="80">
        <f t="shared" si="17"/>
        <v>38.370396999999997</v>
      </c>
      <c r="AC16" s="80">
        <f t="shared" si="17"/>
        <v>16.82208</v>
      </c>
      <c r="AD16" s="80">
        <f t="shared" si="17"/>
        <v>17.819219</v>
      </c>
      <c r="AE16" s="80">
        <f t="shared" si="17"/>
        <v>17.222788000000001</v>
      </c>
      <c r="AF16" s="80">
        <f t="shared" si="17"/>
        <v>21.790572000000001</v>
      </c>
      <c r="AG16" s="80">
        <f t="shared" si="17"/>
        <v>16.006537999999999</v>
      </c>
      <c r="AH16" s="80">
        <f t="shared" si="17"/>
        <v>25.344365000000003</v>
      </c>
      <c r="AI16" s="80">
        <f t="shared" si="17"/>
        <v>27.866803000000001</v>
      </c>
      <c r="AJ16" s="80">
        <f t="shared" si="17"/>
        <v>24.425000000000001</v>
      </c>
      <c r="AK16" s="80">
        <f t="shared" si="17"/>
        <v>32.5</v>
      </c>
      <c r="AL16" s="80">
        <f t="shared" si="17"/>
        <v>32.991</v>
      </c>
      <c r="AM16" s="80">
        <f t="shared" si="17"/>
        <v>36.78</v>
      </c>
      <c r="AN16" s="80">
        <f t="shared" si="17"/>
        <v>34.164000000000001</v>
      </c>
      <c r="AO16" s="80">
        <f t="shared" si="17"/>
        <v>34.534999999999997</v>
      </c>
      <c r="AP16" s="80">
        <f t="shared" si="17"/>
        <v>33.609000000000002</v>
      </c>
      <c r="AQ16" s="80">
        <f t="shared" si="17"/>
        <v>38.07</v>
      </c>
      <c r="AR16" s="80">
        <f t="shared" si="17"/>
        <v>49.272999999999996</v>
      </c>
      <c r="AS16" s="80">
        <f>AS11-AS17</f>
        <v>46.486999999999995</v>
      </c>
      <c r="AT16" s="80">
        <f t="shared" si="17"/>
        <v>60.750999999999998</v>
      </c>
      <c r="AU16" s="80">
        <f>AU11-AU17</f>
        <v>53.251695999999995</v>
      </c>
      <c r="AV16" s="80">
        <f t="shared" ref="AV16:AY16" si="18">AV11-AV17</f>
        <v>57.442464999999999</v>
      </c>
      <c r="AW16" s="80">
        <f t="shared" si="18"/>
        <v>50.790189000000005</v>
      </c>
      <c r="AX16" s="80">
        <f t="shared" si="18"/>
        <v>38.424999999999997</v>
      </c>
      <c r="AY16" s="103">
        <f t="shared" si="18"/>
        <v>50.715000000000003</v>
      </c>
      <c r="AZ16" s="103">
        <f>AZ11-AZ17</f>
        <v>49.015000000000001</v>
      </c>
      <c r="BA16" s="103">
        <f>BA11-BA17</f>
        <v>51.142094073438265</v>
      </c>
    </row>
    <row r="17" spans="1:56" ht="15.75">
      <c r="A17" s="83" t="s">
        <v>115</v>
      </c>
      <c r="B17" s="104">
        <v>0.76100000000000001</v>
      </c>
      <c r="C17" s="104">
        <v>0.51500000000000001</v>
      </c>
      <c r="D17" s="104">
        <v>0.183</v>
      </c>
      <c r="E17" s="104">
        <v>0.434</v>
      </c>
      <c r="F17" s="104">
        <v>0.17299999999999999</v>
      </c>
      <c r="G17" s="104">
        <v>0.108</v>
      </c>
      <c r="H17" s="104">
        <v>0.21</v>
      </c>
      <c r="I17" s="104">
        <v>0.54500000000000004</v>
      </c>
      <c r="J17" s="104">
        <v>0.28899999999999998</v>
      </c>
      <c r="K17" s="104">
        <v>9.0999999999999998E-2</v>
      </c>
      <c r="L17" s="104">
        <v>0.39</v>
      </c>
      <c r="M17" s="104">
        <v>0.42299999999999999</v>
      </c>
      <c r="N17" s="104">
        <v>0.39100000000000001</v>
      </c>
      <c r="O17" s="104">
        <v>0.58499999999999996</v>
      </c>
      <c r="P17" s="104">
        <v>0.68500000000000005</v>
      </c>
      <c r="Q17" s="104">
        <v>0.185</v>
      </c>
      <c r="R17" s="104">
        <v>0.56999999999999995</v>
      </c>
      <c r="S17" s="104">
        <v>0.7</v>
      </c>
      <c r="T17" s="104">
        <v>1.05</v>
      </c>
      <c r="U17" s="104">
        <v>1.1850000000000001</v>
      </c>
      <c r="V17" s="104">
        <v>1.329</v>
      </c>
      <c r="W17" s="104">
        <v>0.629</v>
      </c>
      <c r="X17" s="104">
        <v>1.016</v>
      </c>
      <c r="Y17" s="104">
        <v>1.8069999999999999</v>
      </c>
      <c r="Z17" s="104">
        <v>0.98099999999999998</v>
      </c>
      <c r="AA17" s="104">
        <v>0.76100000000000001</v>
      </c>
      <c r="AB17" s="104">
        <v>0.86699999999999999</v>
      </c>
      <c r="AC17" s="104">
        <v>0.56699999999999995</v>
      </c>
      <c r="AD17" s="104">
        <v>0.77100000000000002</v>
      </c>
      <c r="AE17" s="104">
        <v>0.41299999999999998</v>
      </c>
      <c r="AF17" s="104">
        <v>1.1319999999999999</v>
      </c>
      <c r="AG17" s="104">
        <v>1.248</v>
      </c>
      <c r="AH17" s="104">
        <v>1.6759999999999999</v>
      </c>
      <c r="AI17" s="104">
        <v>2.0979999999999999</v>
      </c>
      <c r="AJ17" s="104">
        <v>0.88</v>
      </c>
      <c r="AK17" s="104">
        <v>2.48</v>
      </c>
      <c r="AL17" s="104">
        <v>4.0380000000000003</v>
      </c>
      <c r="AM17" s="104">
        <v>0.89600000000000002</v>
      </c>
      <c r="AN17" s="104">
        <v>1.3080000000000001</v>
      </c>
      <c r="AO17" s="104">
        <v>1.4079999999999999</v>
      </c>
      <c r="AP17" s="104">
        <v>2.8980000000000001</v>
      </c>
      <c r="AQ17" s="104">
        <v>1.448</v>
      </c>
      <c r="AR17" s="104">
        <v>5.2729999999999997</v>
      </c>
      <c r="AS17" s="104">
        <v>2.407</v>
      </c>
      <c r="AT17" s="104">
        <v>2.367</v>
      </c>
      <c r="AU17" s="104">
        <v>3.6190000000000002</v>
      </c>
      <c r="AV17" s="104">
        <v>1.1819999999999999</v>
      </c>
      <c r="AW17" s="104">
        <v>2.4</v>
      </c>
      <c r="AX17" s="105">
        <v>1.1000000000000001</v>
      </c>
      <c r="AY17" s="105">
        <v>2</v>
      </c>
      <c r="AZ17" s="105">
        <v>2</v>
      </c>
      <c r="BA17" s="105">
        <v>2</v>
      </c>
    </row>
    <row r="18" spans="1:56" ht="16.5" thickBot="1">
      <c r="A18" s="106" t="s">
        <v>22</v>
      </c>
      <c r="B18" s="88">
        <f>B17/B16</f>
        <v>0.10694585953694269</v>
      </c>
      <c r="C18" s="88">
        <f t="shared" ref="C18:BA18" si="19">C17/C16</f>
        <v>8.442498389368025E-2</v>
      </c>
      <c r="D18" s="88">
        <f t="shared" si="19"/>
        <v>2.1203742240357277E-2</v>
      </c>
      <c r="E18" s="88">
        <f t="shared" si="19"/>
        <v>4.5937835735190606E-2</v>
      </c>
      <c r="F18" s="88">
        <f t="shared" si="19"/>
        <v>1.9307863322648906E-2</v>
      </c>
      <c r="G18" s="88">
        <f t="shared" si="19"/>
        <v>1.6707352163138012E-2</v>
      </c>
      <c r="H18" s="88">
        <f t="shared" si="19"/>
        <v>1.6409903767635761E-2</v>
      </c>
      <c r="I18" s="88">
        <f t="shared" si="19"/>
        <v>5.8829085315666607E-2</v>
      </c>
      <c r="J18" s="88">
        <f t="shared" si="19"/>
        <v>3.1226364127498643E-2</v>
      </c>
      <c r="K18" s="88">
        <f t="shared" si="19"/>
        <v>9.3859040224271544E-3</v>
      </c>
      <c r="L18" s="88">
        <f t="shared" si="19"/>
        <v>3.3618574003532541E-2</v>
      </c>
      <c r="M18" s="88">
        <f t="shared" si="19"/>
        <v>3.5055732813989139E-2</v>
      </c>
      <c r="N18" s="88">
        <f t="shared" si="19"/>
        <v>4.2125767502394496E-2</v>
      </c>
      <c r="O18" s="88">
        <f t="shared" si="19"/>
        <v>6.4958931519961252E-2</v>
      </c>
      <c r="P18" s="88">
        <f t="shared" si="19"/>
        <v>0.1427196319708644</v>
      </c>
      <c r="Q18" s="88">
        <f t="shared" si="19"/>
        <v>3.1358164479505311E-2</v>
      </c>
      <c r="R18" s="88">
        <f t="shared" si="19"/>
        <v>7.8062943383823163E-2</v>
      </c>
      <c r="S18" s="88">
        <f t="shared" si="19"/>
        <v>6.6243967067284942E-2</v>
      </c>
      <c r="T18" s="88">
        <f t="shared" si="19"/>
        <v>9.9559095434504363E-2</v>
      </c>
      <c r="U18" s="88">
        <f t="shared" si="19"/>
        <v>0.11591282572971282</v>
      </c>
      <c r="V18" s="88">
        <f t="shared" si="19"/>
        <v>0.11803323066188934</v>
      </c>
      <c r="W18" s="88">
        <f t="shared" si="19"/>
        <v>5.6062454822485223E-2</v>
      </c>
      <c r="X18" s="88">
        <f t="shared" si="19"/>
        <v>2.2235781574590979E-2</v>
      </c>
      <c r="Y18" s="88">
        <f t="shared" si="19"/>
        <v>7.8256766644341613E-2</v>
      </c>
      <c r="Z18" s="88">
        <f t="shared" si="19"/>
        <v>5.1867987775862628E-2</v>
      </c>
      <c r="AA18" s="88">
        <f t="shared" si="19"/>
        <v>8.323339310606569E-3</v>
      </c>
      <c r="AB18" s="88">
        <f t="shared" si="19"/>
        <v>2.259554416390323E-2</v>
      </c>
      <c r="AC18" s="88">
        <f t="shared" si="19"/>
        <v>3.370570107858243E-2</v>
      </c>
      <c r="AD18" s="88">
        <f t="shared" si="19"/>
        <v>4.3267889574733889E-2</v>
      </c>
      <c r="AE18" s="88">
        <f t="shared" si="19"/>
        <v>2.3979857384298055E-2</v>
      </c>
      <c r="AF18" s="88">
        <f t="shared" si="19"/>
        <v>5.194907228685873E-2</v>
      </c>
      <c r="AG18" s="88">
        <f t="shared" si="19"/>
        <v>7.796814026868272E-2</v>
      </c>
      <c r="AH18" s="88">
        <f t="shared" si="19"/>
        <v>6.6129098124967811E-2</v>
      </c>
      <c r="AI18" s="88">
        <f t="shared" si="19"/>
        <v>7.5286713011176773E-2</v>
      </c>
      <c r="AJ18" s="88">
        <f t="shared" si="19"/>
        <v>3.602865916069601E-2</v>
      </c>
      <c r="AK18" s="88">
        <f t="shared" si="19"/>
        <v>7.6307692307692312E-2</v>
      </c>
      <c r="AL18" s="88">
        <f t="shared" si="19"/>
        <v>0.1223970173683732</v>
      </c>
      <c r="AM18" s="88">
        <f t="shared" si="19"/>
        <v>2.4361065796628601E-2</v>
      </c>
      <c r="AN18" s="88">
        <f t="shared" si="19"/>
        <v>3.8285914998243763E-2</v>
      </c>
      <c r="AO18" s="88">
        <f t="shared" si="19"/>
        <v>4.077023309685826E-2</v>
      </c>
      <c r="AP18" s="88">
        <f t="shared" si="19"/>
        <v>8.6226903507988936E-2</v>
      </c>
      <c r="AQ18" s="88">
        <f t="shared" si="19"/>
        <v>3.8035198318886264E-2</v>
      </c>
      <c r="AR18" s="88">
        <f t="shared" si="19"/>
        <v>0.10701601282649727</v>
      </c>
      <c r="AS18" s="88">
        <f t="shared" si="19"/>
        <v>5.1777916406737373E-2</v>
      </c>
      <c r="AT18" s="88">
        <f t="shared" si="19"/>
        <v>3.8962321607874766E-2</v>
      </c>
      <c r="AU18" s="88">
        <f t="shared" si="19"/>
        <v>6.796027679569118E-2</v>
      </c>
      <c r="AV18" s="88">
        <f t="shared" si="19"/>
        <v>2.0577111375704369E-2</v>
      </c>
      <c r="AW18" s="88">
        <f t="shared" si="19"/>
        <v>4.7253220498943205E-2</v>
      </c>
      <c r="AX18" s="89">
        <f t="shared" si="19"/>
        <v>2.8627195836044245E-2</v>
      </c>
      <c r="AY18" s="89">
        <f t="shared" si="19"/>
        <v>3.9436064280784777E-2</v>
      </c>
      <c r="AZ18" s="89">
        <f t="shared" si="19"/>
        <v>4.0803835560542692E-2</v>
      </c>
      <c r="BA18" s="89">
        <f t="shared" si="19"/>
        <v>3.9106728737545823E-2</v>
      </c>
    </row>
    <row r="19" spans="1:56" ht="13.5" hidden="1" thickBo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90"/>
      <c r="AX19" s="90"/>
      <c r="AY19" s="90"/>
      <c r="AZ19" s="90"/>
      <c r="BA19" s="90"/>
    </row>
    <row r="20" spans="1:56" ht="13.5" hidden="1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90"/>
      <c r="AX20" s="90"/>
      <c r="AY20" s="90"/>
      <c r="AZ20" s="90"/>
      <c r="BA20" s="90"/>
    </row>
    <row r="21" spans="1:56">
      <c r="A21" s="91" t="s">
        <v>71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</row>
    <row r="24" spans="1:56" ht="16.5" thickBot="1">
      <c r="A24" s="93" t="s">
        <v>72</v>
      </c>
    </row>
    <row r="25" spans="1:56" ht="16.5" thickBot="1">
      <c r="A25" s="94"/>
      <c r="B25" s="95" t="str">
        <f>B2</f>
        <v>74/75</v>
      </c>
      <c r="C25" s="95" t="str">
        <f t="shared" ref="C25:BA25" si="20">C2</f>
        <v xml:space="preserve">75/76 </v>
      </c>
      <c r="D25" s="95" t="str">
        <f t="shared" si="20"/>
        <v xml:space="preserve">76/77 </v>
      </c>
      <c r="E25" s="95" t="str">
        <f t="shared" si="20"/>
        <v xml:space="preserve">77/78 </v>
      </c>
      <c r="F25" s="95" t="str">
        <f t="shared" si="20"/>
        <v xml:space="preserve">78/79 </v>
      </c>
      <c r="G25" s="95" t="str">
        <f t="shared" si="20"/>
        <v xml:space="preserve">79/80 </v>
      </c>
      <c r="H25" s="95" t="str">
        <f t="shared" si="20"/>
        <v xml:space="preserve">80/81 </v>
      </c>
      <c r="I25" s="95" t="str">
        <f t="shared" si="20"/>
        <v xml:space="preserve">81/82 </v>
      </c>
      <c r="J25" s="95" t="str">
        <f t="shared" si="20"/>
        <v xml:space="preserve">82/83 </v>
      </c>
      <c r="K25" s="95" t="str">
        <f t="shared" si="20"/>
        <v xml:space="preserve">83/84 </v>
      </c>
      <c r="L25" s="95" t="str">
        <f t="shared" si="20"/>
        <v xml:space="preserve">84/85 </v>
      </c>
      <c r="M25" s="95" t="str">
        <f t="shared" si="20"/>
        <v xml:space="preserve">85/86 </v>
      </c>
      <c r="N25" s="95" t="str">
        <f t="shared" si="20"/>
        <v xml:space="preserve">86/87 </v>
      </c>
      <c r="O25" s="95" t="str">
        <f t="shared" si="20"/>
        <v xml:space="preserve">87/88 </v>
      </c>
      <c r="P25" s="95" t="str">
        <f t="shared" si="20"/>
        <v xml:space="preserve">88/89 </v>
      </c>
      <c r="Q25" s="95" t="str">
        <f t="shared" si="20"/>
        <v xml:space="preserve">89/90 </v>
      </c>
      <c r="R25" s="95" t="str">
        <f t="shared" si="20"/>
        <v xml:space="preserve">90/91 </v>
      </c>
      <c r="S25" s="95" t="str">
        <f t="shared" si="20"/>
        <v xml:space="preserve">91/92 </v>
      </c>
      <c r="T25" s="95" t="str">
        <f t="shared" si="20"/>
        <v xml:space="preserve">92/93 </v>
      </c>
      <c r="U25" s="95" t="str">
        <f t="shared" si="20"/>
        <v xml:space="preserve">93/94 </v>
      </c>
      <c r="V25" s="95" t="str">
        <f t="shared" si="20"/>
        <v xml:space="preserve">94/95 </v>
      </c>
      <c r="W25" s="95" t="str">
        <f t="shared" si="20"/>
        <v xml:space="preserve">95/96 </v>
      </c>
      <c r="X25" s="95" t="str">
        <f t="shared" si="20"/>
        <v xml:space="preserve">96/97 </v>
      </c>
      <c r="Y25" s="95" t="str">
        <f t="shared" si="20"/>
        <v xml:space="preserve">97/98 </v>
      </c>
      <c r="Z25" s="95" t="str">
        <f t="shared" si="20"/>
        <v xml:space="preserve">98/99 </v>
      </c>
      <c r="AA25" s="95" t="str">
        <f t="shared" si="20"/>
        <v xml:space="preserve">99/00 </v>
      </c>
      <c r="AB25" s="95" t="str">
        <f t="shared" si="20"/>
        <v xml:space="preserve">00/01 </v>
      </c>
      <c r="AC25" s="95" t="str">
        <f t="shared" si="20"/>
        <v xml:space="preserve">01/02 </v>
      </c>
      <c r="AD25" s="95" t="str">
        <f t="shared" si="20"/>
        <v xml:space="preserve">02/03 </v>
      </c>
      <c r="AE25" s="95" t="str">
        <f t="shared" si="20"/>
        <v xml:space="preserve">03/04 </v>
      </c>
      <c r="AF25" s="95" t="str">
        <f t="shared" si="20"/>
        <v xml:space="preserve">04/05 </v>
      </c>
      <c r="AG25" s="95" t="str">
        <f t="shared" si="20"/>
        <v xml:space="preserve">05/06 </v>
      </c>
      <c r="AH25" s="95" t="str">
        <f t="shared" si="20"/>
        <v xml:space="preserve">06/07 </v>
      </c>
      <c r="AI25" s="95" t="str">
        <f t="shared" si="20"/>
        <v xml:space="preserve">07/08 </v>
      </c>
      <c r="AJ25" s="95" t="str">
        <f t="shared" si="20"/>
        <v xml:space="preserve">08/09 </v>
      </c>
      <c r="AK25" s="95" t="str">
        <f t="shared" si="20"/>
        <v xml:space="preserve">09/10 </v>
      </c>
      <c r="AL25" s="95" t="str">
        <f t="shared" si="20"/>
        <v xml:space="preserve">10/11 </v>
      </c>
      <c r="AM25" s="95" t="str">
        <f t="shared" si="20"/>
        <v xml:space="preserve">11/12 </v>
      </c>
      <c r="AN25" s="95" t="str">
        <f t="shared" si="20"/>
        <v xml:space="preserve">12/13 </v>
      </c>
      <c r="AO25" s="95" t="str">
        <f t="shared" si="20"/>
        <v xml:space="preserve">13/14 </v>
      </c>
      <c r="AP25" s="95" t="str">
        <f t="shared" si="20"/>
        <v xml:space="preserve">14/15 </v>
      </c>
      <c r="AQ25" s="95" t="str">
        <f t="shared" si="20"/>
        <v xml:space="preserve">15/16 </v>
      </c>
      <c r="AR25" s="95" t="str">
        <f t="shared" si="20"/>
        <v xml:space="preserve">16/17 </v>
      </c>
      <c r="AS25" s="95" t="str">
        <f t="shared" si="20"/>
        <v xml:space="preserve">17/18 </v>
      </c>
      <c r="AT25" s="95" t="str">
        <f t="shared" si="20"/>
        <v xml:space="preserve">18/19 </v>
      </c>
      <c r="AU25" s="95" t="str">
        <f t="shared" si="20"/>
        <v>19/20</v>
      </c>
      <c r="AV25" s="95" t="str">
        <f t="shared" si="20"/>
        <v>20/21</v>
      </c>
      <c r="AW25" s="95" t="str">
        <f t="shared" si="20"/>
        <v>21/22</v>
      </c>
      <c r="AX25" s="95" t="str">
        <f t="shared" si="20"/>
        <v>22/23</v>
      </c>
      <c r="AY25" s="95" t="str">
        <f t="shared" si="20"/>
        <v>23/24</v>
      </c>
      <c r="AZ25" s="95" t="str">
        <f t="shared" si="20"/>
        <v>24/25</v>
      </c>
      <c r="BA25" s="95" t="str">
        <f t="shared" si="20"/>
        <v>25/26</v>
      </c>
      <c r="BB25" s="3" t="s">
        <v>116</v>
      </c>
    </row>
    <row r="26" spans="1:56" ht="15.75">
      <c r="A26" s="93" t="s">
        <v>79</v>
      </c>
      <c r="H26" s="42">
        <v>296.60000000000002</v>
      </c>
      <c r="I26" s="42">
        <v>264.5</v>
      </c>
      <c r="J26" s="42">
        <v>207</v>
      </c>
      <c r="K26" s="42">
        <v>556.79999999999995</v>
      </c>
      <c r="L26" s="42">
        <v>646.70000000000005</v>
      </c>
      <c r="M26" s="42">
        <v>727.9</v>
      </c>
      <c r="N26" s="42">
        <v>492.2</v>
      </c>
      <c r="O26" s="42">
        <v>224.9</v>
      </c>
      <c r="P26" s="42">
        <v>105.3</v>
      </c>
      <c r="Q26" s="42">
        <v>283.7</v>
      </c>
      <c r="R26" s="42">
        <v>167.4</v>
      </c>
      <c r="S26" s="42">
        <v>520.21</v>
      </c>
      <c r="T26" s="42">
        <v>576.32300000000009</v>
      </c>
      <c r="U26" s="42">
        <v>329.036</v>
      </c>
      <c r="V26" s="42">
        <v>575.61200000000008</v>
      </c>
      <c r="W26" s="42">
        <v>545.46199999999999</v>
      </c>
      <c r="X26" s="42">
        <v>1269.2180000000001</v>
      </c>
      <c r="Y26" s="42">
        <v>1706.6659999999999</v>
      </c>
      <c r="Z26" s="42">
        <v>1256.2650000000001</v>
      </c>
      <c r="AA26" s="42">
        <v>1428.2820000000002</v>
      </c>
      <c r="AB26" s="42">
        <v>1316.537</v>
      </c>
      <c r="AC26" s="42">
        <v>18.936</v>
      </c>
      <c r="AD26" s="42">
        <v>64.613</v>
      </c>
      <c r="AE26" s="42">
        <v>53.902000000000001</v>
      </c>
      <c r="AF26" s="42">
        <v>252.327</v>
      </c>
      <c r="AG26" s="42">
        <v>307.60300000000001</v>
      </c>
      <c r="AH26" s="42">
        <v>411.39400000000001</v>
      </c>
      <c r="AI26" s="42">
        <v>60.317</v>
      </c>
      <c r="AJ26" s="42">
        <v>67.084999999999994</v>
      </c>
      <c r="AK26" s="42">
        <v>1503.4494380000001</v>
      </c>
      <c r="AL26" s="42">
        <v>1554.178163</v>
      </c>
      <c r="AM26" s="42">
        <v>1672.388416</v>
      </c>
      <c r="AN26" s="42">
        <v>2588.3458700000001</v>
      </c>
      <c r="AO26" s="42">
        <v>621.29534200000001</v>
      </c>
      <c r="AP26" s="42">
        <v>1880.9843060000001</v>
      </c>
      <c r="AQ26" s="42">
        <v>2792.0996799999998</v>
      </c>
      <c r="AR26" s="42">
        <v>1901.3123619999999</v>
      </c>
      <c r="AS26" s="42">
        <v>2589.4074780000001</v>
      </c>
      <c r="AT26" s="42">
        <v>3693.240714</v>
      </c>
      <c r="AU26" s="42">
        <v>3656.5103210000002</v>
      </c>
      <c r="AV26" s="42">
        <v>2916.8596299999999</v>
      </c>
      <c r="AW26" s="42">
        <v>3206.8859430000002</v>
      </c>
      <c r="AX26" s="42">
        <v>2137.5061740000001</v>
      </c>
      <c r="AY26" s="42" cm="1">
        <f t="array" ref="AY26">INDEX('[3]Argentina Corn Exports'!$OJ$290:$OT$290,1,ROW(A1))</f>
        <v>3815.9845789999999</v>
      </c>
      <c r="AZ26" s="107">
        <f t="shared" ref="AZ26:BA31" si="21">(SUM(AU26:AY26)/SUM(AU$38:AY$38))*AZ$38</f>
        <v>3116.4904214904495</v>
      </c>
      <c r="BA26" s="107">
        <f t="shared" si="21"/>
        <v>3076.8600537028242</v>
      </c>
      <c r="BB26" s="3" t="s">
        <v>117</v>
      </c>
    </row>
    <row r="27" spans="1:56" ht="15.75">
      <c r="A27" s="93" t="s">
        <v>80</v>
      </c>
      <c r="H27" s="42">
        <v>1045.9000000000001</v>
      </c>
      <c r="I27" s="42">
        <v>1434.8</v>
      </c>
      <c r="J27" s="42">
        <v>676.7</v>
      </c>
      <c r="K27" s="42">
        <v>1073.8</v>
      </c>
      <c r="L27" s="42">
        <v>1542.7</v>
      </c>
      <c r="M27" s="42">
        <v>1505.8</v>
      </c>
      <c r="N27" s="42">
        <v>1215.5</v>
      </c>
      <c r="O27" s="42">
        <v>545.5</v>
      </c>
      <c r="P27" s="42">
        <v>155.19999999999999</v>
      </c>
      <c r="Q27" s="42">
        <v>375.5</v>
      </c>
      <c r="R27" s="42">
        <v>720.4</v>
      </c>
      <c r="S27" s="42">
        <v>1040.2860000000001</v>
      </c>
      <c r="T27" s="42">
        <v>938.85899999999992</v>
      </c>
      <c r="U27" s="42">
        <v>763.90499999999997</v>
      </c>
      <c r="V27" s="42">
        <v>1453.3380000000002</v>
      </c>
      <c r="W27" s="42">
        <v>1278.771</v>
      </c>
      <c r="X27" s="42">
        <v>2334.9090000000001</v>
      </c>
      <c r="Y27" s="42">
        <v>2235.6019999999999</v>
      </c>
      <c r="Z27" s="42">
        <v>1807.8600000000001</v>
      </c>
      <c r="AA27" s="42">
        <v>1785.2890000000002</v>
      </c>
      <c r="AB27" s="42">
        <v>1707.569</v>
      </c>
      <c r="AC27" s="42">
        <v>752.52</v>
      </c>
      <c r="AD27" s="42">
        <v>1568.127</v>
      </c>
      <c r="AE27" s="42">
        <v>1554.8430000000001</v>
      </c>
      <c r="AF27" s="42">
        <v>1756.8309999999999</v>
      </c>
      <c r="AG27" s="42">
        <v>1924.1420000000001</v>
      </c>
      <c r="AH27" s="42">
        <v>1241.223</v>
      </c>
      <c r="AI27" s="42">
        <v>1449.7270000000001</v>
      </c>
      <c r="AJ27" s="42">
        <v>1052.886</v>
      </c>
      <c r="AK27" s="42">
        <v>2332.6925970000002</v>
      </c>
      <c r="AL27" s="42">
        <v>1842.413133</v>
      </c>
      <c r="AM27" s="42">
        <v>1867.424231</v>
      </c>
      <c r="AN27" s="42">
        <v>2999.450636</v>
      </c>
      <c r="AO27" s="42">
        <v>1710.288284</v>
      </c>
      <c r="AP27" s="42">
        <v>2430.592142</v>
      </c>
      <c r="AQ27" s="42">
        <v>1972.0637340000001</v>
      </c>
      <c r="AR27" s="42">
        <v>2819.3853199999999</v>
      </c>
      <c r="AS27" s="42">
        <v>2478.3776379999999</v>
      </c>
      <c r="AT27" s="42">
        <v>3882.532373</v>
      </c>
      <c r="AU27" s="42">
        <v>4205.3191530000004</v>
      </c>
      <c r="AV27" s="42">
        <v>4251.3679499999998</v>
      </c>
      <c r="AW27" s="42">
        <v>4162.9756559999996</v>
      </c>
      <c r="AX27" s="42">
        <v>1658.946152</v>
      </c>
      <c r="AY27" s="42" cm="1">
        <f t="array" ref="AY27">INDEX('[3]Argentina Corn Exports'!$OJ$290:$OT$290,1,ROW(A2))</f>
        <v>4163.9032880000004</v>
      </c>
      <c r="AZ27" s="107">
        <f t="shared" si="21"/>
        <v>3653.0340742052922</v>
      </c>
      <c r="BA27" s="107">
        <f t="shared" si="21"/>
        <v>3622.9245196161301</v>
      </c>
    </row>
    <row r="28" spans="1:56" ht="15.75">
      <c r="A28" s="93" t="s">
        <v>81</v>
      </c>
      <c r="H28" s="42">
        <v>1546.7</v>
      </c>
      <c r="I28" s="42">
        <v>1179.5</v>
      </c>
      <c r="J28" s="42">
        <v>1145.4000000000001</v>
      </c>
      <c r="K28" s="42">
        <v>1063.5</v>
      </c>
      <c r="L28" s="42">
        <v>1673.4</v>
      </c>
      <c r="M28" s="42">
        <v>1409.3</v>
      </c>
      <c r="N28" s="42">
        <v>792.8</v>
      </c>
      <c r="O28" s="42">
        <v>628.5</v>
      </c>
      <c r="P28" s="42">
        <v>226.6</v>
      </c>
      <c r="Q28" s="42">
        <v>458.3</v>
      </c>
      <c r="R28" s="42">
        <v>840.3</v>
      </c>
      <c r="S28" s="42">
        <v>1188.9279999999999</v>
      </c>
      <c r="T28" s="42">
        <v>1090.846</v>
      </c>
      <c r="U28" s="42">
        <v>923.45399999999995</v>
      </c>
      <c r="V28" s="42">
        <v>1130.1299999999999</v>
      </c>
      <c r="W28" s="42">
        <v>1127.3430000000001</v>
      </c>
      <c r="X28" s="42">
        <v>1884.912</v>
      </c>
      <c r="Y28" s="42">
        <v>2225.5560000000005</v>
      </c>
      <c r="Z28" s="42">
        <v>1707.7860000000003</v>
      </c>
      <c r="AA28" s="42">
        <v>1402.4749999999999</v>
      </c>
      <c r="AB28" s="42">
        <v>1731.5179999999998</v>
      </c>
      <c r="AC28" s="42">
        <v>1516.576</v>
      </c>
      <c r="AD28" s="42">
        <v>2134.1869999999999</v>
      </c>
      <c r="AE28" s="42">
        <v>1440.133</v>
      </c>
      <c r="AF28" s="42">
        <v>2266.4</v>
      </c>
      <c r="AG28" s="42">
        <v>1183.5160000000001</v>
      </c>
      <c r="AH28" s="42">
        <v>1482.5709999999999</v>
      </c>
      <c r="AI28" s="42">
        <v>1588.5350000000001</v>
      </c>
      <c r="AJ28" s="42">
        <v>860.56399999999996</v>
      </c>
      <c r="AK28" s="42">
        <v>2333.0670949999999</v>
      </c>
      <c r="AL28" s="42">
        <v>2477.5742890000001</v>
      </c>
      <c r="AM28" s="42">
        <v>1938.504516</v>
      </c>
      <c r="AN28" s="42">
        <v>3063.631453</v>
      </c>
      <c r="AO28" s="42">
        <v>1430.730789</v>
      </c>
      <c r="AP28" s="42">
        <v>1689.1973170000001</v>
      </c>
      <c r="AQ28" s="42">
        <v>1600.9656910000001</v>
      </c>
      <c r="AR28" s="42">
        <v>2223.1237620000002</v>
      </c>
      <c r="AS28" s="42">
        <v>1812.6943289999999</v>
      </c>
      <c r="AT28" s="42">
        <v>4093.3481529999999</v>
      </c>
      <c r="AU28" s="42">
        <v>4086.3646520000002</v>
      </c>
      <c r="AV28" s="42">
        <v>3431.7944649999999</v>
      </c>
      <c r="AW28" s="42">
        <v>3865.761896</v>
      </c>
      <c r="AX28" s="42">
        <v>1762.053678</v>
      </c>
      <c r="AY28" s="42" cm="1">
        <f t="array" ref="AY28">INDEX('[3]Argentina Corn Exports'!$OJ$290:$OT$290,1,ROW(A4))</f>
        <v>2339.131171</v>
      </c>
      <c r="AZ28" s="107">
        <f t="shared" si="21"/>
        <v>3067.2404467559118</v>
      </c>
      <c r="BA28" s="107">
        <f t="shared" si="21"/>
        <v>2929.48542757107</v>
      </c>
      <c r="BC28" s="3">
        <v>1618.5239633276997</v>
      </c>
      <c r="BD28" s="42">
        <f>AX28-BC28</f>
        <v>143.52971467230032</v>
      </c>
    </row>
    <row r="29" spans="1:56" ht="15.75">
      <c r="A29" s="93" t="s">
        <v>82</v>
      </c>
      <c r="H29" s="42">
        <v>1407.8</v>
      </c>
      <c r="I29" s="42">
        <v>524.5</v>
      </c>
      <c r="J29" s="42">
        <v>926.3</v>
      </c>
      <c r="K29" s="42">
        <v>821.6</v>
      </c>
      <c r="L29" s="42">
        <v>1097.8</v>
      </c>
      <c r="M29" s="42">
        <v>1172.5999999999999</v>
      </c>
      <c r="N29" s="42">
        <v>556.29999999999995</v>
      </c>
      <c r="O29" s="42">
        <v>500</v>
      </c>
      <c r="P29" s="42">
        <v>294.5</v>
      </c>
      <c r="Q29" s="42">
        <v>621.1</v>
      </c>
      <c r="R29" s="42">
        <v>573</v>
      </c>
      <c r="S29" s="42">
        <v>1023.201</v>
      </c>
      <c r="T29" s="42">
        <v>490.18700000000001</v>
      </c>
      <c r="U29" s="42">
        <v>451.58</v>
      </c>
      <c r="V29" s="42">
        <v>925.63000000000011</v>
      </c>
      <c r="W29" s="42">
        <v>751.57700000000011</v>
      </c>
      <c r="X29" s="42">
        <v>1390.5629999999999</v>
      </c>
      <c r="Y29" s="42">
        <v>1813.8420000000001</v>
      </c>
      <c r="Z29" s="42">
        <v>891.68399999999986</v>
      </c>
      <c r="AA29" s="42">
        <v>1050.9789999999998</v>
      </c>
      <c r="AB29" s="42">
        <v>931.48699999999985</v>
      </c>
      <c r="AC29" s="42">
        <v>1027.607</v>
      </c>
      <c r="AD29" s="42">
        <v>2061.7359999999999</v>
      </c>
      <c r="AE29" s="42">
        <v>698.90899999999999</v>
      </c>
      <c r="AF29" s="42">
        <v>1345.269</v>
      </c>
      <c r="AG29" s="42">
        <v>896.97500000000002</v>
      </c>
      <c r="AH29" s="42">
        <v>1069.9939999999999</v>
      </c>
      <c r="AI29" s="42">
        <v>1574.703</v>
      </c>
      <c r="AJ29" s="42">
        <v>296.553</v>
      </c>
      <c r="AK29" s="42">
        <v>2342.972636</v>
      </c>
      <c r="AL29" s="42">
        <v>1908.0883610000001</v>
      </c>
      <c r="AM29" s="42">
        <v>2108.9955540000001</v>
      </c>
      <c r="AN29" s="42">
        <v>3455.3965400000002</v>
      </c>
      <c r="AO29" s="42">
        <v>1727.2126840000001</v>
      </c>
      <c r="AP29" s="42">
        <v>2251.719098</v>
      </c>
      <c r="AQ29" s="42">
        <v>1514.0700790000001</v>
      </c>
      <c r="AR29" s="42">
        <v>2116.9725720000001</v>
      </c>
      <c r="AS29" s="42">
        <v>1762.0858949999999</v>
      </c>
      <c r="AT29" s="42">
        <v>2987.2323390000001</v>
      </c>
      <c r="AU29" s="42">
        <v>4579.5477860000001</v>
      </c>
      <c r="AV29" s="42">
        <v>4171.5853859999997</v>
      </c>
      <c r="AW29" s="42">
        <v>3788.3802019999998</v>
      </c>
      <c r="AX29" s="42">
        <v>2334.9198590000001</v>
      </c>
      <c r="AY29" s="42" cm="1">
        <f t="array" ref="AY29">INDEX('[3]Argentina Corn Exports'!$OJ$290:$OT$290,1,ROW(A5))</f>
        <v>4015.650936</v>
      </c>
      <c r="AZ29" s="107">
        <f t="shared" si="21"/>
        <v>3741.6877044389134</v>
      </c>
      <c r="BA29" s="107">
        <f t="shared" si="21"/>
        <v>3655.7302956831809</v>
      </c>
      <c r="BC29" s="3">
        <v>1518.3589261138914</v>
      </c>
      <c r="BD29" s="42">
        <f t="shared" ref="BD29:BD37" si="22">AX29-BC29</f>
        <v>816.56093288610873</v>
      </c>
    </row>
    <row r="30" spans="1:56" ht="15.75">
      <c r="A30" s="93" t="s">
        <v>83</v>
      </c>
      <c r="H30" s="42">
        <v>1732.5</v>
      </c>
      <c r="I30" s="42">
        <v>604.4</v>
      </c>
      <c r="J30" s="42">
        <v>1096.5999999999999</v>
      </c>
      <c r="K30" s="42">
        <v>729.8</v>
      </c>
      <c r="L30" s="42">
        <v>891.5</v>
      </c>
      <c r="M30" s="42">
        <v>1138.9000000000001</v>
      </c>
      <c r="N30" s="42">
        <v>107.1</v>
      </c>
      <c r="O30" s="42">
        <v>427.7</v>
      </c>
      <c r="P30" s="42">
        <v>173.5</v>
      </c>
      <c r="Q30" s="42">
        <v>276.60000000000002</v>
      </c>
      <c r="R30" s="42">
        <v>552.79999999999995</v>
      </c>
      <c r="S30" s="42">
        <v>830.29300000000012</v>
      </c>
      <c r="T30" s="42">
        <v>413.97899999999998</v>
      </c>
      <c r="U30" s="42">
        <v>403.98200000000003</v>
      </c>
      <c r="V30" s="42">
        <v>507.48599999999999</v>
      </c>
      <c r="W30" s="42">
        <v>1044.2329999999999</v>
      </c>
      <c r="X30" s="42">
        <v>820.98399999999992</v>
      </c>
      <c r="Y30" s="42">
        <v>1386.001</v>
      </c>
      <c r="Z30" s="42">
        <v>434.28699999999992</v>
      </c>
      <c r="AA30" s="42">
        <v>505.47899999999998</v>
      </c>
      <c r="AB30" s="42">
        <v>536.49900000000014</v>
      </c>
      <c r="AC30" s="42">
        <v>1007.2190000000001</v>
      </c>
      <c r="AD30" s="42">
        <v>1921.3140000000001</v>
      </c>
      <c r="AE30" s="42">
        <v>869.23599999999999</v>
      </c>
      <c r="AF30" s="42">
        <v>1670.672</v>
      </c>
      <c r="AG30" s="42">
        <v>378.95400000000001</v>
      </c>
      <c r="AH30" s="42">
        <v>1051.826</v>
      </c>
      <c r="AI30" s="42">
        <v>2090.1579999999999</v>
      </c>
      <c r="AJ30" s="42">
        <v>406.483</v>
      </c>
      <c r="AK30" s="42">
        <v>2154.2924330000001</v>
      </c>
      <c r="AL30" s="42">
        <v>1470.3038369999999</v>
      </c>
      <c r="AM30" s="42">
        <v>2131.7845499999999</v>
      </c>
      <c r="AN30" s="42">
        <v>3360.4680920000001</v>
      </c>
      <c r="AO30" s="42">
        <v>2677.8444549999999</v>
      </c>
      <c r="AP30" s="42">
        <v>1972.484142</v>
      </c>
      <c r="AQ30" s="42">
        <v>2052.2178170000002</v>
      </c>
      <c r="AR30" s="42">
        <v>3171.780526</v>
      </c>
      <c r="AS30" s="42">
        <v>2493.3964430000001</v>
      </c>
      <c r="AT30" s="42">
        <v>4427.0348590000003</v>
      </c>
      <c r="AU30" s="42">
        <v>4322.9233340000001</v>
      </c>
      <c r="AV30" s="42">
        <v>4927.8477409999996</v>
      </c>
      <c r="AW30" s="42">
        <v>4964.6866380000001</v>
      </c>
      <c r="AX30" s="42">
        <v>3056.3168489999998</v>
      </c>
      <c r="AY30" s="42" cm="1">
        <f t="array" ref="AY30">INDEX('[3]Argentina Corn Exports'!$OJ$290:$OT$290,1,ROW(A6))</f>
        <v>3002.961139</v>
      </c>
      <c r="AZ30" s="107">
        <f t="shared" si="21"/>
        <v>4015.9550695742778</v>
      </c>
      <c r="BA30" s="107">
        <f t="shared" si="21"/>
        <v>4043.6442624171291</v>
      </c>
      <c r="BC30" s="3">
        <v>2078.736012229429</v>
      </c>
      <c r="BD30" s="42">
        <f t="shared" si="22"/>
        <v>977.58083677057084</v>
      </c>
    </row>
    <row r="31" spans="1:56" ht="15.75">
      <c r="A31" s="93" t="s">
        <v>84</v>
      </c>
      <c r="H31" s="42">
        <v>1741.3</v>
      </c>
      <c r="I31" s="42">
        <v>342.3</v>
      </c>
      <c r="J31" s="42">
        <v>656.7</v>
      </c>
      <c r="K31" s="42">
        <v>505.1</v>
      </c>
      <c r="L31" s="42">
        <v>552.9</v>
      </c>
      <c r="M31" s="42">
        <v>616.6</v>
      </c>
      <c r="N31" s="42">
        <v>225.9</v>
      </c>
      <c r="O31" s="42">
        <v>557.1</v>
      </c>
      <c r="P31" s="42">
        <v>264.89999999999998</v>
      </c>
      <c r="Q31" s="42">
        <v>378.5</v>
      </c>
      <c r="R31" s="42">
        <v>405.1</v>
      </c>
      <c r="S31" s="42">
        <v>615.62</v>
      </c>
      <c r="T31" s="42">
        <v>237.46899999999999</v>
      </c>
      <c r="U31" s="42">
        <v>226.35300000000001</v>
      </c>
      <c r="V31" s="42">
        <v>388.34699999999998</v>
      </c>
      <c r="W31" s="42">
        <v>1057.665</v>
      </c>
      <c r="X31" s="42">
        <v>699.80299999999988</v>
      </c>
      <c r="Y31" s="42">
        <v>1028.223</v>
      </c>
      <c r="Z31" s="42">
        <v>414.05899999999997</v>
      </c>
      <c r="AA31" s="42">
        <v>780.10699999999997</v>
      </c>
      <c r="AB31" s="42">
        <v>888.04099999999994</v>
      </c>
      <c r="AC31" s="42">
        <v>812.21500000000003</v>
      </c>
      <c r="AD31" s="42">
        <v>437.82299999999998</v>
      </c>
      <c r="AE31" s="42">
        <v>899.39400000000001</v>
      </c>
      <c r="AF31" s="42">
        <v>1117.5029999999999</v>
      </c>
      <c r="AG31" s="42">
        <v>540.62300000000005</v>
      </c>
      <c r="AH31" s="42">
        <v>1454.7429999999999</v>
      </c>
      <c r="AI31" s="42">
        <v>1812.1469999999999</v>
      </c>
      <c r="AJ31" s="42">
        <v>691.67100000000005</v>
      </c>
      <c r="AK31" s="42">
        <v>1482.7419970000001</v>
      </c>
      <c r="AL31" s="42">
        <v>1745.128107</v>
      </c>
      <c r="AM31" s="42">
        <v>1284.0600609999999</v>
      </c>
      <c r="AN31" s="42">
        <v>1381.885454</v>
      </c>
      <c r="AO31" s="42">
        <v>2295.1365289999999</v>
      </c>
      <c r="AP31" s="42">
        <v>1512.698631</v>
      </c>
      <c r="AQ31" s="42">
        <v>4107.291005</v>
      </c>
      <c r="AR31" s="42">
        <v>2927.6299060000001</v>
      </c>
      <c r="AS31" s="42">
        <v>2419.7167629999999</v>
      </c>
      <c r="AT31" s="42">
        <v>3431.3857170000001</v>
      </c>
      <c r="AU31" s="42">
        <v>4587.4680230000004</v>
      </c>
      <c r="AV31" s="42">
        <v>4690.4429209999998</v>
      </c>
      <c r="AW31" s="42">
        <v>3826.737803</v>
      </c>
      <c r="AX31" s="42">
        <v>3918.3316129999998</v>
      </c>
      <c r="AY31" s="42" cm="1">
        <f t="array" ref="AY31">INDEX('[3]Argentina Corn Exports'!$OJ$290:$OT$290,1,ROW(A7))</f>
        <v>3032.5804680000001</v>
      </c>
      <c r="AZ31" s="107">
        <f t="shared" si="21"/>
        <v>3972.5416088353427</v>
      </c>
      <c r="BA31" s="107">
        <f t="shared" si="21"/>
        <v>3936.8953016382384</v>
      </c>
      <c r="BC31" s="3">
        <v>4061.1690165305117</v>
      </c>
      <c r="BD31" s="42">
        <f t="shared" si="22"/>
        <v>-142.83740353051189</v>
      </c>
    </row>
    <row r="32" spans="1:56" ht="15.75">
      <c r="A32" s="93" t="s">
        <v>73</v>
      </c>
      <c r="H32" s="42">
        <v>840.4</v>
      </c>
      <c r="I32" s="42">
        <v>83.5</v>
      </c>
      <c r="J32" s="42">
        <v>471.6</v>
      </c>
      <c r="K32" s="42">
        <v>258.7</v>
      </c>
      <c r="L32" s="42">
        <v>220.5</v>
      </c>
      <c r="M32" s="42">
        <v>354.4</v>
      </c>
      <c r="N32" s="42">
        <v>154.19999999999999</v>
      </c>
      <c r="O32" s="42">
        <v>293.39999999999998</v>
      </c>
      <c r="P32" s="42">
        <v>107.2</v>
      </c>
      <c r="Q32" s="42">
        <v>174.7</v>
      </c>
      <c r="R32" s="42">
        <v>180</v>
      </c>
      <c r="S32" s="42">
        <v>280</v>
      </c>
      <c r="T32" s="42">
        <v>249.78899999999999</v>
      </c>
      <c r="U32" s="42">
        <v>249.202</v>
      </c>
      <c r="V32" s="42">
        <v>371.57699999999994</v>
      </c>
      <c r="W32" s="42">
        <v>315.88200000000001</v>
      </c>
      <c r="X32" s="42">
        <v>677.40599999999995</v>
      </c>
      <c r="Y32" s="42">
        <v>557.74199999999996</v>
      </c>
      <c r="Z32" s="42">
        <v>154.71300000000002</v>
      </c>
      <c r="AA32" s="42">
        <v>653.70600000000002</v>
      </c>
      <c r="AB32" s="42">
        <v>853.52100000000007</v>
      </c>
      <c r="AC32" s="42">
        <v>703.63499999999999</v>
      </c>
      <c r="AD32" s="42">
        <v>99.551000000000002</v>
      </c>
      <c r="AE32" s="42">
        <v>692.11599999999999</v>
      </c>
      <c r="AF32" s="42">
        <v>767.00300000000004</v>
      </c>
      <c r="AG32" s="42">
        <v>562.66700000000003</v>
      </c>
      <c r="AH32" s="42">
        <v>1614.222</v>
      </c>
      <c r="AI32" s="42">
        <v>1104.6099999999999</v>
      </c>
      <c r="AJ32" s="42">
        <v>98.542000000000002</v>
      </c>
      <c r="AK32" s="42">
        <v>1012.286235</v>
      </c>
      <c r="AL32" s="42">
        <v>857.10044500000004</v>
      </c>
      <c r="AM32" s="42">
        <v>1002.405234</v>
      </c>
      <c r="AN32" s="42">
        <v>795.730322</v>
      </c>
      <c r="AO32" s="42">
        <v>1337.419948</v>
      </c>
      <c r="AP32" s="42">
        <v>1408.3840399999999</v>
      </c>
      <c r="AQ32" s="42">
        <v>1822.910014</v>
      </c>
      <c r="AR32" s="42">
        <v>1999.1223359999999</v>
      </c>
      <c r="AS32" s="42">
        <v>1815.580582</v>
      </c>
      <c r="AT32" s="42">
        <v>3261.3274970000002</v>
      </c>
      <c r="AU32" s="42">
        <v>3029.5222939999999</v>
      </c>
      <c r="AV32" s="42">
        <v>4351.4682510000002</v>
      </c>
      <c r="AW32" s="42">
        <v>2837.5760399999999</v>
      </c>
      <c r="AX32" s="42">
        <v>2833.2030880000002</v>
      </c>
      <c r="AY32" s="42" cm="1">
        <f t="array" ref="AY32">INDEX('[3]Argentina Corn Exports'!$OJ$290:$OT$290,1,ROW(A8))</f>
        <v>2712.835</v>
      </c>
      <c r="AZ32" s="107">
        <f>(SUM(AU32:AY32)/SUM(AU$38:AY$38))*AZ$38</f>
        <v>3122.60268099308</v>
      </c>
      <c r="BA32" s="107">
        <f>(SUM(AV32:AZ32)/SUM(AV$38:AZ$38))*BA$38</f>
        <v>3211.3173098464299</v>
      </c>
      <c r="BC32" s="3">
        <v>1727.998599155972</v>
      </c>
      <c r="BD32" s="42">
        <f t="shared" si="22"/>
        <v>1105.2044888440282</v>
      </c>
    </row>
    <row r="33" spans="1:56" ht="15.75">
      <c r="A33" s="93" t="s">
        <v>74</v>
      </c>
      <c r="H33" s="42">
        <v>369.2</v>
      </c>
      <c r="I33" s="42">
        <v>127.2</v>
      </c>
      <c r="J33" s="42">
        <v>279.60000000000002</v>
      </c>
      <c r="K33" s="42">
        <v>219.3</v>
      </c>
      <c r="L33" s="42">
        <v>157.30000000000001</v>
      </c>
      <c r="M33" s="42">
        <v>240.4</v>
      </c>
      <c r="N33" s="42">
        <v>214.4</v>
      </c>
      <c r="O33" s="42">
        <v>349.7</v>
      </c>
      <c r="P33" s="42">
        <v>122</v>
      </c>
      <c r="Q33" s="42">
        <v>67</v>
      </c>
      <c r="R33" s="42">
        <v>169.762</v>
      </c>
      <c r="S33" s="42">
        <v>271.55899999999997</v>
      </c>
      <c r="T33" s="42">
        <v>158.01400000000001</v>
      </c>
      <c r="U33" s="42">
        <v>163.727</v>
      </c>
      <c r="V33" s="42">
        <v>199.82</v>
      </c>
      <c r="W33" s="42">
        <v>217.26799999999997</v>
      </c>
      <c r="X33" s="42">
        <v>597.41200000000003</v>
      </c>
      <c r="Y33" s="42">
        <v>458.89199999999994</v>
      </c>
      <c r="Z33" s="42">
        <v>188.702</v>
      </c>
      <c r="AA33" s="42">
        <v>875.53</v>
      </c>
      <c r="AB33" s="42">
        <v>471.06600000000003</v>
      </c>
      <c r="AC33" s="42">
        <v>205.87899999999999</v>
      </c>
      <c r="AD33" s="42">
        <v>99.549000000000007</v>
      </c>
      <c r="AE33" s="42">
        <v>126.69799999999999</v>
      </c>
      <c r="AF33" s="42">
        <v>289.27600000000001</v>
      </c>
      <c r="AG33" s="42">
        <v>537.49599999999998</v>
      </c>
      <c r="AH33" s="42">
        <v>1591.0940000000001</v>
      </c>
      <c r="AI33" s="42">
        <v>875.40899999999999</v>
      </c>
      <c r="AJ33" s="42">
        <v>34.003</v>
      </c>
      <c r="AK33" s="42">
        <v>952.7079</v>
      </c>
      <c r="AL33" s="42">
        <v>671.83467599999994</v>
      </c>
      <c r="AM33" s="42">
        <v>1021.191962</v>
      </c>
      <c r="AN33" s="42">
        <v>274.10699199999999</v>
      </c>
      <c r="AO33" s="42">
        <v>1819.258388</v>
      </c>
      <c r="AP33" s="42">
        <v>1091.062461</v>
      </c>
      <c r="AQ33" s="42">
        <v>2041.0445970000001</v>
      </c>
      <c r="AR33" s="42">
        <v>2205.1886890000001</v>
      </c>
      <c r="AS33" s="42">
        <v>2024.628465</v>
      </c>
      <c r="AT33" s="42">
        <v>3187.49602</v>
      </c>
      <c r="AU33" s="42">
        <v>2542.3787090000001</v>
      </c>
      <c r="AV33" s="42">
        <v>3793.3094249999999</v>
      </c>
      <c r="AW33" s="42">
        <v>2117.7722269999999</v>
      </c>
      <c r="AX33" s="42">
        <v>1415.7530810000001</v>
      </c>
      <c r="AY33" s="42" cm="1">
        <f t="array" ref="AY33">INDEX('[3]Argentina Corn Exports'!$OJ$290:$OT$290,1,ROW(A9))</f>
        <v>2323.3429999999998</v>
      </c>
      <c r="AZ33" s="107">
        <f t="shared" ref="AZ33:BA36" si="23">(SUM(AU33:AY33)/SUM(AU$38:AY$38))*AZ$38</f>
        <v>2415.0627449069716</v>
      </c>
      <c r="BA33" s="107">
        <f t="shared" si="23"/>
        <v>2443.3147365192649</v>
      </c>
      <c r="BC33" s="3">
        <v>1990.5824434501515</v>
      </c>
      <c r="BD33" s="42">
        <f t="shared" si="22"/>
        <v>-574.82936245015139</v>
      </c>
    </row>
    <row r="34" spans="1:56" ht="15.75">
      <c r="A34" s="93" t="s">
        <v>75</v>
      </c>
      <c r="H34" s="42">
        <v>78.5</v>
      </c>
      <c r="I34" s="42">
        <v>243.4</v>
      </c>
      <c r="J34" s="42">
        <v>218.9</v>
      </c>
      <c r="K34" s="42">
        <v>112</v>
      </c>
      <c r="L34" s="42">
        <v>87.7</v>
      </c>
      <c r="M34" s="42">
        <v>69.400000000000006</v>
      </c>
      <c r="N34" s="42">
        <v>76.400000000000006</v>
      </c>
      <c r="O34" s="42">
        <v>352.8</v>
      </c>
      <c r="P34" s="42">
        <v>94.9</v>
      </c>
      <c r="Q34" s="42">
        <v>79.5</v>
      </c>
      <c r="R34" s="42">
        <v>126.08399999999999</v>
      </c>
      <c r="S34" s="42">
        <v>149.179</v>
      </c>
      <c r="T34" s="42">
        <v>183.36</v>
      </c>
      <c r="U34" s="42">
        <v>225.40199999999996</v>
      </c>
      <c r="V34" s="42">
        <v>146.51599999999999</v>
      </c>
      <c r="W34" s="42">
        <v>252.524</v>
      </c>
      <c r="X34" s="42">
        <v>358.55500000000006</v>
      </c>
      <c r="Y34" s="42">
        <v>308.11200000000002</v>
      </c>
      <c r="Z34" s="42">
        <v>478.17399999999998</v>
      </c>
      <c r="AA34" s="42">
        <v>1317.684</v>
      </c>
      <c r="AB34" s="42">
        <v>495.57100000000003</v>
      </c>
      <c r="AC34" s="42">
        <v>56.75</v>
      </c>
      <c r="AD34" s="42">
        <v>253.88800000000001</v>
      </c>
      <c r="AE34" s="42">
        <v>21.161999999999999</v>
      </c>
      <c r="AF34" s="42">
        <v>105.196</v>
      </c>
      <c r="AG34" s="42">
        <v>472.1</v>
      </c>
      <c r="AH34" s="42">
        <v>1340.9110000000001</v>
      </c>
      <c r="AI34" s="42">
        <v>231.37200000000001</v>
      </c>
      <c r="AJ34" s="42">
        <v>38.018999999999998</v>
      </c>
      <c r="AK34" s="42">
        <v>714.60659699999997</v>
      </c>
      <c r="AL34" s="42">
        <v>790.89506300000005</v>
      </c>
      <c r="AM34" s="42">
        <v>1400.6015</v>
      </c>
      <c r="AN34" s="42">
        <v>185.22806700000001</v>
      </c>
      <c r="AO34" s="42">
        <v>1051.2455560000001</v>
      </c>
      <c r="AP34" s="42">
        <v>504.25551200000001</v>
      </c>
      <c r="AQ34" s="42">
        <v>1775.4425200000001</v>
      </c>
      <c r="AR34" s="42">
        <v>1958.1815690000001</v>
      </c>
      <c r="AS34" s="42">
        <v>1243.5185300000001</v>
      </c>
      <c r="AT34" s="42">
        <v>2865.1856779999998</v>
      </c>
      <c r="AU34" s="42">
        <v>1520.7129190000001</v>
      </c>
      <c r="AV34" s="42">
        <v>2477.5836100000001</v>
      </c>
      <c r="AW34" s="42">
        <v>1847.263563</v>
      </c>
      <c r="AX34" s="42">
        <v>1053.882294</v>
      </c>
      <c r="AY34" s="42" cm="1">
        <f t="array" ref="AY34">INDEX('[3]Argentina Corn Exports'!$OJ$290:$OT$290,1,ROW(A10))</f>
        <v>2429.8780000000002</v>
      </c>
      <c r="AZ34" s="107">
        <f t="shared" si="23"/>
        <v>1847.9220667715749</v>
      </c>
      <c r="BA34" s="107">
        <f t="shared" si="23"/>
        <v>1955.5300996031679</v>
      </c>
      <c r="BC34" s="3">
        <v>1699.9773399389858</v>
      </c>
      <c r="BD34" s="42">
        <f t="shared" si="22"/>
        <v>-646.09504593898578</v>
      </c>
    </row>
    <row r="35" spans="1:56" ht="15.75">
      <c r="A35" s="93" t="s">
        <v>76</v>
      </c>
      <c r="H35" s="42">
        <v>20.9</v>
      </c>
      <c r="I35" s="42">
        <v>391.7</v>
      </c>
      <c r="J35" s="42">
        <v>230.2</v>
      </c>
      <c r="K35" s="42">
        <v>70.099999999999994</v>
      </c>
      <c r="L35" s="42">
        <v>133</v>
      </c>
      <c r="M35" s="42">
        <v>49.2</v>
      </c>
      <c r="N35" s="42">
        <v>64.5</v>
      </c>
      <c r="O35" s="42">
        <v>220.1</v>
      </c>
      <c r="P35" s="42">
        <v>84.6</v>
      </c>
      <c r="Q35" s="42">
        <v>36</v>
      </c>
      <c r="R35" s="42">
        <v>77.796999999999997</v>
      </c>
      <c r="S35" s="42">
        <v>88.267999999999986</v>
      </c>
      <c r="T35" s="42">
        <v>251.61199999999999</v>
      </c>
      <c r="U35" s="42">
        <v>139.14699999999999</v>
      </c>
      <c r="V35" s="42">
        <v>124.82599999999999</v>
      </c>
      <c r="W35" s="42">
        <v>270.48900000000003</v>
      </c>
      <c r="X35" s="42">
        <v>447.79399999999998</v>
      </c>
      <c r="Y35" s="42">
        <v>235.47399999999999</v>
      </c>
      <c r="Z35" s="42">
        <v>281.95099999999996</v>
      </c>
      <c r="AA35" s="42">
        <v>675.78099999999995</v>
      </c>
      <c r="AB35" s="42">
        <v>438.30399999999997</v>
      </c>
      <c r="AC35" s="42">
        <v>41.195</v>
      </c>
      <c r="AD35" s="42">
        <v>48.643999999999998</v>
      </c>
      <c r="AE35" s="42">
        <v>28.744</v>
      </c>
      <c r="AF35" s="42">
        <v>176.298</v>
      </c>
      <c r="AG35" s="42">
        <v>184.63399999999999</v>
      </c>
      <c r="AH35" s="42">
        <v>545.45399999999995</v>
      </c>
      <c r="AI35" s="42">
        <v>265.64499999999998</v>
      </c>
      <c r="AJ35" s="42">
        <v>2.129</v>
      </c>
      <c r="AK35" s="42">
        <v>591.448668</v>
      </c>
      <c r="AL35" s="42">
        <v>722.27295800000002</v>
      </c>
      <c r="AM35" s="42">
        <v>1063.3091030000001</v>
      </c>
      <c r="AN35" s="42">
        <v>218.44473400000001</v>
      </c>
      <c r="AO35" s="42">
        <v>854.15093300000001</v>
      </c>
      <c r="AP35" s="42">
        <v>417.59822000000003</v>
      </c>
      <c r="AQ35" s="42">
        <v>1024.5034599999999</v>
      </c>
      <c r="AR35" s="42">
        <v>1433.4515220000001</v>
      </c>
      <c r="AS35" s="42">
        <v>1387.410028</v>
      </c>
      <c r="AT35" s="42">
        <v>1886.0771050000001</v>
      </c>
      <c r="AU35" s="42">
        <v>987.69217800000001</v>
      </c>
      <c r="AV35" s="42">
        <v>2333.5371369999998</v>
      </c>
      <c r="AW35" s="42">
        <v>1474.882018</v>
      </c>
      <c r="AX35" s="42">
        <v>1212.5094389999999</v>
      </c>
      <c r="AY35" s="42" cm="1">
        <f t="array" ref="AY35">INDEX('[3]Argentina Corn Exports'!$OJ$290:$OT$290,1,ROW(A11))</f>
        <v>6.8325782499999983</v>
      </c>
      <c r="AZ35" s="107">
        <f t="shared" si="23"/>
        <v>1191.5218394946839</v>
      </c>
      <c r="BA35" s="107">
        <f t="shared" si="23"/>
        <v>1259.4581816255502</v>
      </c>
      <c r="BC35" s="3">
        <v>1175.4269371427235</v>
      </c>
      <c r="BD35" s="42">
        <f t="shared" si="22"/>
        <v>37.082501857276384</v>
      </c>
    </row>
    <row r="36" spans="1:56" ht="15.75">
      <c r="A36" s="93" t="s">
        <v>77</v>
      </c>
      <c r="H36" s="42">
        <v>0</v>
      </c>
      <c r="I36" s="42">
        <v>359.4</v>
      </c>
      <c r="J36" s="42">
        <v>73.599999999999994</v>
      </c>
      <c r="K36" s="42">
        <v>37.1</v>
      </c>
      <c r="L36" s="42">
        <v>47.4</v>
      </c>
      <c r="M36" s="42">
        <v>31</v>
      </c>
      <c r="N36" s="42">
        <v>38.200000000000003</v>
      </c>
      <c r="O36" s="42">
        <v>154.1</v>
      </c>
      <c r="P36" s="42">
        <v>56.6</v>
      </c>
      <c r="Q36" s="42">
        <v>6.3</v>
      </c>
      <c r="R36" s="42">
        <v>12.62</v>
      </c>
      <c r="S36" s="42">
        <v>64.825999999999993</v>
      </c>
      <c r="T36" s="42">
        <v>123.91500000000001</v>
      </c>
      <c r="U36" s="42">
        <v>98.162000000000006</v>
      </c>
      <c r="V36" s="42">
        <v>72.563000000000017</v>
      </c>
      <c r="W36" s="42">
        <v>126.49500000000003</v>
      </c>
      <c r="X36" s="42">
        <v>223.94299999999998</v>
      </c>
      <c r="Y36" s="42">
        <v>144.17099999999999</v>
      </c>
      <c r="Z36" s="42">
        <v>254.745</v>
      </c>
      <c r="AA36" s="42">
        <v>970.19399999999996</v>
      </c>
      <c r="AB36" s="42" t="e">
        <f>#REF!</f>
        <v>#REF!</v>
      </c>
      <c r="AC36" s="42">
        <v>26.712</v>
      </c>
      <c r="AD36" s="42">
        <v>65.995000000000005</v>
      </c>
      <c r="AE36" s="42">
        <v>73.450999999999993</v>
      </c>
      <c r="AF36" s="42">
        <v>664.72</v>
      </c>
      <c r="AG36" s="42">
        <v>21.437999999999999</v>
      </c>
      <c r="AH36" s="42">
        <v>484.75700000000001</v>
      </c>
      <c r="AI36" s="42">
        <v>511.39100000000002</v>
      </c>
      <c r="AJ36" s="42">
        <v>2.2890000000000001</v>
      </c>
      <c r="AK36" s="42">
        <v>453.42438199999998</v>
      </c>
      <c r="AL36" s="42">
        <v>462.99733199999997</v>
      </c>
      <c r="AM36" s="42">
        <v>973.28216599999996</v>
      </c>
      <c r="AN36" s="42">
        <v>87.353825999999998</v>
      </c>
      <c r="AO36" s="42">
        <v>866.870498</v>
      </c>
      <c r="AP36" s="42">
        <v>1194.4310370000001</v>
      </c>
      <c r="AQ36" s="42">
        <v>701.10528299999999</v>
      </c>
      <c r="AR36" s="42">
        <v>1762.056366</v>
      </c>
      <c r="AS36" s="42">
        <v>1036.4999049999999</v>
      </c>
      <c r="AT36" s="42">
        <v>1862.4324590000001</v>
      </c>
      <c r="AU36" s="42">
        <v>1682.5294409999999</v>
      </c>
      <c r="AV36" s="42">
        <v>1848.9522239999999</v>
      </c>
      <c r="AW36" s="42">
        <v>1007.368252</v>
      </c>
      <c r="AX36" s="42">
        <v>1927.753199</v>
      </c>
      <c r="AY36" s="107">
        <f t="shared" ref="AY36:AY37" si="24">(SUM(AT36:AX36)/SUM(AT$38:AX$38))*AY$38</f>
        <v>1647.7104114075378</v>
      </c>
      <c r="AZ36" s="107">
        <f t="shared" si="23"/>
        <v>1607.2573782009986</v>
      </c>
      <c r="BA36" s="107">
        <f t="shared" si="23"/>
        <v>1627.9748848714905</v>
      </c>
      <c r="BC36" s="3">
        <v>833.4161413258787</v>
      </c>
      <c r="BD36" s="42">
        <f t="shared" si="22"/>
        <v>1094.3370576741213</v>
      </c>
    </row>
    <row r="37" spans="1:56" ht="15.75">
      <c r="A37" s="93" t="s">
        <v>78</v>
      </c>
      <c r="H37" s="42">
        <v>18.399999999999999</v>
      </c>
      <c r="I37" s="42">
        <v>208.3</v>
      </c>
      <c r="J37" s="42">
        <v>74.099999999999994</v>
      </c>
      <c r="K37" s="42">
        <v>0.2</v>
      </c>
      <c r="L37" s="42">
        <v>42.5</v>
      </c>
      <c r="M37" s="42">
        <v>32.6</v>
      </c>
      <c r="N37" s="42">
        <v>94.6</v>
      </c>
      <c r="O37" s="42">
        <v>96.3</v>
      </c>
      <c r="P37" s="42">
        <v>112.8</v>
      </c>
      <c r="Q37" s="42">
        <v>21.8</v>
      </c>
      <c r="R37" s="42">
        <v>28.483000000000001</v>
      </c>
      <c r="S37" s="42">
        <v>54.065999999999995</v>
      </c>
      <c r="T37" s="42">
        <v>116.407</v>
      </c>
      <c r="U37" s="42">
        <v>119.642</v>
      </c>
      <c r="V37" s="42">
        <v>97.230000000000018</v>
      </c>
      <c r="W37" s="42">
        <v>298.13200000000001</v>
      </c>
      <c r="X37" s="42">
        <v>221.76100000000002</v>
      </c>
      <c r="Y37" s="42">
        <v>165.85599999999999</v>
      </c>
      <c r="Z37" s="42">
        <v>193.44099999999997</v>
      </c>
      <c r="AA37" s="42">
        <v>593.64699999999993</v>
      </c>
      <c r="AB37" s="42" t="e">
        <f>#REF!</f>
        <v>#REF!</v>
      </c>
      <c r="AC37" s="42">
        <v>5.6360000000000001</v>
      </c>
      <c r="AD37" s="42">
        <v>64.635000000000005</v>
      </c>
      <c r="AE37" s="42">
        <v>141.88399999999999</v>
      </c>
      <c r="AF37" s="42">
        <v>219.434</v>
      </c>
      <c r="AG37" s="42">
        <v>18.379000000000001</v>
      </c>
      <c r="AH37" s="42">
        <v>196.208</v>
      </c>
      <c r="AI37" s="42">
        <v>232.37899999999999</v>
      </c>
      <c r="AJ37" s="42">
        <v>1.919</v>
      </c>
      <c r="AK37" s="42">
        <v>630.89461800000004</v>
      </c>
      <c r="AL37" s="42">
        <v>1847.270867</v>
      </c>
      <c r="AM37" s="42">
        <v>685.27331000000004</v>
      </c>
      <c r="AN37" s="42">
        <v>281.28001999999998</v>
      </c>
      <c r="AO37" s="42">
        <v>710.78997100000004</v>
      </c>
      <c r="AP37" s="42">
        <v>2610.408363</v>
      </c>
      <c r="AQ37" s="42">
        <v>249.12616499999999</v>
      </c>
      <c r="AR37" s="42">
        <v>1466.6016549999999</v>
      </c>
      <c r="AS37" s="42">
        <v>1411.273946</v>
      </c>
      <c r="AT37" s="42">
        <v>1666.6849070000001</v>
      </c>
      <c r="AU37" s="42">
        <v>1074.072255</v>
      </c>
      <c r="AV37" s="42">
        <v>1747.7348360000001</v>
      </c>
      <c r="AW37" s="42">
        <v>1591.7258750000001</v>
      </c>
      <c r="AX37" s="42">
        <v>1929.8630450000001</v>
      </c>
      <c r="AY37" s="107">
        <f t="shared" si="24"/>
        <v>1584.6124807559665</v>
      </c>
      <c r="AZ37" s="107">
        <f>AZ38-SUM(AZ26:AZ36)</f>
        <v>2248.6839643325075</v>
      </c>
      <c r="BA37" s="107">
        <f>BA38-SUM(BA26:BA36)</f>
        <v>2536.864926905524</v>
      </c>
      <c r="BC37" s="3">
        <v>4499.8416207847622</v>
      </c>
      <c r="BD37" s="42">
        <f t="shared" si="22"/>
        <v>-2569.9785757847621</v>
      </c>
    </row>
    <row r="38" spans="1:56" ht="16.5" thickBot="1">
      <c r="A38" s="93" t="s">
        <v>85</v>
      </c>
      <c r="H38" s="42">
        <f>SUM(H26:H37)</f>
        <v>9098.2000000000007</v>
      </c>
      <c r="I38" s="42">
        <f t="shared" ref="I38:AW38" si="25">SUM(I26:I37)</f>
        <v>5763.4999999999991</v>
      </c>
      <c r="J38" s="42">
        <f t="shared" si="25"/>
        <v>6056.7000000000007</v>
      </c>
      <c r="K38" s="42">
        <f t="shared" si="25"/>
        <v>5448.0000000000009</v>
      </c>
      <c r="L38" s="42">
        <f t="shared" si="25"/>
        <v>7093.4</v>
      </c>
      <c r="M38" s="42">
        <f t="shared" si="25"/>
        <v>7348.0999999999995</v>
      </c>
      <c r="N38" s="42">
        <f t="shared" si="25"/>
        <v>4032.1</v>
      </c>
      <c r="O38" s="42">
        <f t="shared" si="25"/>
        <v>4350.1000000000004</v>
      </c>
      <c r="P38" s="42">
        <f t="shared" si="25"/>
        <v>1798.1</v>
      </c>
      <c r="Q38" s="42">
        <f t="shared" si="25"/>
        <v>2779</v>
      </c>
      <c r="R38" s="42">
        <f t="shared" si="25"/>
        <v>3853.7459999999996</v>
      </c>
      <c r="S38" s="42">
        <f t="shared" si="25"/>
        <v>6126.4359999999997</v>
      </c>
      <c r="T38" s="42">
        <f t="shared" si="25"/>
        <v>4830.76</v>
      </c>
      <c r="U38" s="42">
        <f t="shared" si="25"/>
        <v>4093.5919999999992</v>
      </c>
      <c r="V38" s="42">
        <f t="shared" si="25"/>
        <v>5993.0749999999989</v>
      </c>
      <c r="W38" s="42">
        <f t="shared" si="25"/>
        <v>7285.8409999999994</v>
      </c>
      <c r="X38" s="42">
        <f t="shared" si="25"/>
        <v>10927.260000000002</v>
      </c>
      <c r="Y38" s="42">
        <f t="shared" si="25"/>
        <v>12266.137000000001</v>
      </c>
      <c r="Z38" s="42">
        <f t="shared" si="25"/>
        <v>8063.6670000000004</v>
      </c>
      <c r="AA38" s="42">
        <f t="shared" si="25"/>
        <v>12039.152999999998</v>
      </c>
      <c r="AB38" s="42" t="e">
        <f t="shared" si="25"/>
        <v>#REF!</v>
      </c>
      <c r="AC38" s="42">
        <f t="shared" si="25"/>
        <v>6174.880000000001</v>
      </c>
      <c r="AD38" s="42">
        <f t="shared" si="25"/>
        <v>8820.0620000000035</v>
      </c>
      <c r="AE38" s="42">
        <f t="shared" si="25"/>
        <v>6600.4720000000007</v>
      </c>
      <c r="AF38" s="42">
        <f t="shared" si="25"/>
        <v>10630.929</v>
      </c>
      <c r="AG38" s="42">
        <f t="shared" si="25"/>
        <v>7028.527000000001</v>
      </c>
      <c r="AH38" s="42">
        <f t="shared" si="25"/>
        <v>12484.396999999999</v>
      </c>
      <c r="AI38" s="42">
        <f t="shared" si="25"/>
        <v>11796.393</v>
      </c>
      <c r="AJ38" s="42">
        <f t="shared" si="25"/>
        <v>3552.143</v>
      </c>
      <c r="AK38" s="42">
        <f t="shared" si="25"/>
        <v>16504.584596000001</v>
      </c>
      <c r="AL38" s="42">
        <f t="shared" si="25"/>
        <v>16350.057231000001</v>
      </c>
      <c r="AM38" s="42">
        <f t="shared" si="25"/>
        <v>17149.220603000002</v>
      </c>
      <c r="AN38" s="42">
        <f t="shared" si="25"/>
        <v>18691.322005999999</v>
      </c>
      <c r="AO38" s="42">
        <f t="shared" si="25"/>
        <v>17102.243376999999</v>
      </c>
      <c r="AP38" s="42">
        <f t="shared" si="25"/>
        <v>18963.815268999995</v>
      </c>
      <c r="AQ38" s="42">
        <f t="shared" si="25"/>
        <v>21652.840045000004</v>
      </c>
      <c r="AR38" s="42">
        <f t="shared" si="25"/>
        <v>25984.806584999998</v>
      </c>
      <c r="AS38" s="42">
        <f t="shared" si="25"/>
        <v>22474.590002000001</v>
      </c>
      <c r="AT38" s="42">
        <f t="shared" si="25"/>
        <v>37243.977821000008</v>
      </c>
      <c r="AU38" s="42">
        <f t="shared" si="25"/>
        <v>36275.041064999998</v>
      </c>
      <c r="AV38" s="42">
        <f t="shared" si="25"/>
        <v>40942.483576000006</v>
      </c>
      <c r="AW38" s="42">
        <f t="shared" si="25"/>
        <v>34692.016113000005</v>
      </c>
      <c r="AX38" s="42">
        <f>SUM(AX26:AX37)</f>
        <v>25241.038471</v>
      </c>
      <c r="AY38" s="107">
        <v>34500</v>
      </c>
      <c r="AZ38" s="107">
        <v>34000</v>
      </c>
      <c r="BA38" s="107">
        <v>34300</v>
      </c>
    </row>
    <row r="39" spans="1:56" ht="15.75">
      <c r="A39" s="98" t="s">
        <v>118</v>
      </c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</row>
    <row r="40" spans="1:56" ht="16.5" thickBot="1">
      <c r="A40" s="93" t="s">
        <v>86</v>
      </c>
    </row>
    <row r="41" spans="1:56" ht="16.5" thickBot="1">
      <c r="A41" s="94"/>
      <c r="B41" s="95" t="str">
        <f>B2</f>
        <v>74/75</v>
      </c>
      <c r="C41" s="95" t="str">
        <f t="shared" ref="C41:BA41" si="26">C2</f>
        <v xml:space="preserve">75/76 </v>
      </c>
      <c r="D41" s="95" t="str">
        <f t="shared" si="26"/>
        <v xml:space="preserve">76/77 </v>
      </c>
      <c r="E41" s="95" t="str">
        <f t="shared" si="26"/>
        <v xml:space="preserve">77/78 </v>
      </c>
      <c r="F41" s="95" t="str">
        <f t="shared" si="26"/>
        <v xml:space="preserve">78/79 </v>
      </c>
      <c r="G41" s="95" t="str">
        <f t="shared" si="26"/>
        <v xml:space="preserve">79/80 </v>
      </c>
      <c r="H41" s="95" t="str">
        <f t="shared" si="26"/>
        <v xml:space="preserve">80/81 </v>
      </c>
      <c r="I41" s="95" t="str">
        <f t="shared" si="26"/>
        <v xml:space="preserve">81/82 </v>
      </c>
      <c r="J41" s="95" t="str">
        <f t="shared" si="26"/>
        <v xml:space="preserve">82/83 </v>
      </c>
      <c r="K41" s="95" t="str">
        <f t="shared" si="26"/>
        <v xml:space="preserve">83/84 </v>
      </c>
      <c r="L41" s="95" t="str">
        <f t="shared" si="26"/>
        <v xml:space="preserve">84/85 </v>
      </c>
      <c r="M41" s="95" t="str">
        <f t="shared" si="26"/>
        <v xml:space="preserve">85/86 </v>
      </c>
      <c r="N41" s="95" t="str">
        <f t="shared" si="26"/>
        <v xml:space="preserve">86/87 </v>
      </c>
      <c r="O41" s="95" t="str">
        <f t="shared" si="26"/>
        <v xml:space="preserve">87/88 </v>
      </c>
      <c r="P41" s="95" t="str">
        <f t="shared" si="26"/>
        <v xml:space="preserve">88/89 </v>
      </c>
      <c r="Q41" s="95" t="str">
        <f t="shared" si="26"/>
        <v xml:space="preserve">89/90 </v>
      </c>
      <c r="R41" s="95" t="str">
        <f t="shared" si="26"/>
        <v xml:space="preserve">90/91 </v>
      </c>
      <c r="S41" s="95" t="str">
        <f t="shared" si="26"/>
        <v xml:space="preserve">91/92 </v>
      </c>
      <c r="T41" s="95" t="str">
        <f t="shared" si="26"/>
        <v xml:space="preserve">92/93 </v>
      </c>
      <c r="U41" s="95" t="str">
        <f t="shared" si="26"/>
        <v xml:space="preserve">93/94 </v>
      </c>
      <c r="V41" s="95" t="str">
        <f t="shared" si="26"/>
        <v xml:space="preserve">94/95 </v>
      </c>
      <c r="W41" s="95" t="str">
        <f t="shared" si="26"/>
        <v xml:space="preserve">95/96 </v>
      </c>
      <c r="X41" s="95" t="str">
        <f t="shared" si="26"/>
        <v xml:space="preserve">96/97 </v>
      </c>
      <c r="Y41" s="95" t="str">
        <f t="shared" si="26"/>
        <v xml:space="preserve">97/98 </v>
      </c>
      <c r="Z41" s="95" t="str">
        <f t="shared" si="26"/>
        <v xml:space="preserve">98/99 </v>
      </c>
      <c r="AA41" s="95" t="str">
        <f t="shared" si="26"/>
        <v xml:space="preserve">99/00 </v>
      </c>
      <c r="AB41" s="95" t="str">
        <f t="shared" si="26"/>
        <v xml:space="preserve">00/01 </v>
      </c>
      <c r="AC41" s="95" t="str">
        <f t="shared" si="26"/>
        <v xml:space="preserve">01/02 </v>
      </c>
      <c r="AD41" s="95" t="str">
        <f t="shared" si="26"/>
        <v xml:space="preserve">02/03 </v>
      </c>
      <c r="AE41" s="95" t="str">
        <f t="shared" si="26"/>
        <v xml:space="preserve">03/04 </v>
      </c>
      <c r="AF41" s="95" t="str">
        <f t="shared" si="26"/>
        <v xml:space="preserve">04/05 </v>
      </c>
      <c r="AG41" s="95" t="str">
        <f t="shared" si="26"/>
        <v xml:space="preserve">05/06 </v>
      </c>
      <c r="AH41" s="95" t="str">
        <f t="shared" si="26"/>
        <v xml:space="preserve">06/07 </v>
      </c>
      <c r="AI41" s="95" t="str">
        <f t="shared" si="26"/>
        <v xml:space="preserve">07/08 </v>
      </c>
      <c r="AJ41" s="95" t="str">
        <f t="shared" si="26"/>
        <v xml:space="preserve">08/09 </v>
      </c>
      <c r="AK41" s="95" t="str">
        <f t="shared" si="26"/>
        <v xml:space="preserve">09/10 </v>
      </c>
      <c r="AL41" s="95" t="str">
        <f t="shared" si="26"/>
        <v xml:space="preserve">10/11 </v>
      </c>
      <c r="AM41" s="95" t="str">
        <f t="shared" si="26"/>
        <v xml:space="preserve">11/12 </v>
      </c>
      <c r="AN41" s="95" t="str">
        <f t="shared" si="26"/>
        <v xml:space="preserve">12/13 </v>
      </c>
      <c r="AO41" s="95" t="str">
        <f t="shared" si="26"/>
        <v xml:space="preserve">13/14 </v>
      </c>
      <c r="AP41" s="95" t="str">
        <f t="shared" si="26"/>
        <v xml:space="preserve">14/15 </v>
      </c>
      <c r="AQ41" s="95" t="str">
        <f t="shared" si="26"/>
        <v xml:space="preserve">15/16 </v>
      </c>
      <c r="AR41" s="95" t="str">
        <f t="shared" si="26"/>
        <v xml:space="preserve">16/17 </v>
      </c>
      <c r="AS41" s="95" t="str">
        <f t="shared" si="26"/>
        <v xml:space="preserve">17/18 </v>
      </c>
      <c r="AT41" s="95" t="str">
        <f t="shared" si="26"/>
        <v xml:space="preserve">18/19 </v>
      </c>
      <c r="AU41" s="95" t="str">
        <f t="shared" si="26"/>
        <v>19/20</v>
      </c>
      <c r="AV41" s="95" t="str">
        <f t="shared" si="26"/>
        <v>20/21</v>
      </c>
      <c r="AW41" s="95" t="str">
        <f t="shared" si="26"/>
        <v>21/22</v>
      </c>
      <c r="AX41" s="95" t="str">
        <f t="shared" si="26"/>
        <v>22/23</v>
      </c>
      <c r="AY41" s="95" t="str">
        <f t="shared" si="26"/>
        <v>23/24</v>
      </c>
      <c r="AZ41" s="95" t="str">
        <f t="shared" si="26"/>
        <v>24/25</v>
      </c>
      <c r="BA41" s="95" t="str">
        <f t="shared" si="26"/>
        <v>25/26</v>
      </c>
    </row>
    <row r="42" spans="1:56" ht="15.75">
      <c r="A42" s="93" t="s">
        <v>79</v>
      </c>
      <c r="X42" s="32">
        <v>1.9E-2</v>
      </c>
      <c r="Y42" s="32">
        <v>1.0620000000000001</v>
      </c>
      <c r="Z42" s="32">
        <v>5.6000000000000001E-2</v>
      </c>
      <c r="AA42" s="32">
        <v>0.58699999999999997</v>
      </c>
      <c r="AB42" s="32">
        <v>2E-3</v>
      </c>
      <c r="AC42" s="32">
        <v>1E-3</v>
      </c>
      <c r="AD42" s="32">
        <v>6.9000000000000006E-2</v>
      </c>
      <c r="AE42" s="32">
        <v>3.3000000000000002E-2</v>
      </c>
      <c r="AF42" s="32">
        <v>4.3999999999999997E-2</v>
      </c>
      <c r="AG42" s="32">
        <v>0.11899999999999999</v>
      </c>
      <c r="AH42" s="32">
        <v>2.5000000000000001E-2</v>
      </c>
      <c r="AI42" s="32">
        <v>1.4E-2</v>
      </c>
      <c r="AJ42" s="32">
        <v>0.106</v>
      </c>
      <c r="AK42" s="32">
        <v>7.9000000000000001E-2</v>
      </c>
      <c r="AL42" s="32">
        <v>3.3000000000000002E-2</v>
      </c>
      <c r="AM42" s="32">
        <v>0.66600000000000004</v>
      </c>
      <c r="AN42" s="32">
        <v>3.1E-2</v>
      </c>
      <c r="AO42" s="32">
        <v>0</v>
      </c>
      <c r="AP42" s="32">
        <v>1.7000000000000001E-2</v>
      </c>
      <c r="AQ42" s="32">
        <v>2.9000000000000001E-2</v>
      </c>
      <c r="AR42" s="32">
        <v>0.13800000000000001</v>
      </c>
      <c r="AS42" s="32">
        <v>0</v>
      </c>
      <c r="AT42" s="32">
        <v>7.5999999999999998E-2</v>
      </c>
      <c r="AU42" s="32">
        <v>0</v>
      </c>
      <c r="AV42" s="32">
        <v>0.15</v>
      </c>
      <c r="AW42" s="32">
        <v>0.06</v>
      </c>
      <c r="AX42" s="32">
        <v>4.5999999999999999E-2</v>
      </c>
      <c r="AY42" s="108">
        <f t="shared" ref="AY42:BA47" si="27">(SUM(AT42:AX42)/SUM(AT$54:AX$54))*AY$54</f>
        <v>2.1951864586088334E-4</v>
      </c>
      <c r="AZ42" s="108">
        <f t="shared" si="27"/>
        <v>2.1974229729490648E-4</v>
      </c>
      <c r="BA42" s="108">
        <f t="shared" si="27"/>
        <v>1.8849000641415248E-2</v>
      </c>
    </row>
    <row r="43" spans="1:56" ht="15.75">
      <c r="A43" s="93" t="s">
        <v>80</v>
      </c>
      <c r="X43" s="32">
        <v>0.73</v>
      </c>
      <c r="Y43" s="32">
        <v>2.7E-2</v>
      </c>
      <c r="Z43" s="32">
        <v>2.7E-2</v>
      </c>
      <c r="AA43" s="32">
        <v>0.08</v>
      </c>
      <c r="AB43" s="32">
        <v>21.696999999999999</v>
      </c>
      <c r="AC43" s="32">
        <v>0</v>
      </c>
      <c r="AD43" s="32">
        <v>0.113</v>
      </c>
      <c r="AE43" s="32">
        <v>0.10199999999999999</v>
      </c>
      <c r="AF43" s="32">
        <v>8.5999999999999993E-2</v>
      </c>
      <c r="AG43" s="32">
        <v>8.0000000000000002E-3</v>
      </c>
      <c r="AH43" s="32">
        <v>8.0000000000000002E-3</v>
      </c>
      <c r="AI43" s="32">
        <v>2.4E-2</v>
      </c>
      <c r="AJ43" s="32">
        <v>6.9000000000000006E-2</v>
      </c>
      <c r="AK43" s="32">
        <v>6.3E-2</v>
      </c>
      <c r="AL43" s="32">
        <v>4.2999999999999997E-2</v>
      </c>
      <c r="AM43" s="32">
        <v>1.5860000000000001</v>
      </c>
      <c r="AN43" s="32">
        <v>0</v>
      </c>
      <c r="AO43" s="32">
        <v>6.0000000000000001E-3</v>
      </c>
      <c r="AP43" s="32">
        <v>6.6000000000000003E-2</v>
      </c>
      <c r="AQ43" s="32">
        <v>4.2999999999999997E-2</v>
      </c>
      <c r="AR43" s="32">
        <v>0.27600000000000002</v>
      </c>
      <c r="AS43" s="32">
        <v>0</v>
      </c>
      <c r="AT43" s="32">
        <v>0.317</v>
      </c>
      <c r="AU43" s="32">
        <v>3.2000000000000001E-2</v>
      </c>
      <c r="AV43" s="32">
        <v>5.0999999999999997E-2</v>
      </c>
      <c r="AW43" s="32">
        <v>1.4E-2</v>
      </c>
      <c r="AX43" s="32">
        <v>1.851</v>
      </c>
      <c r="AY43" s="108">
        <f t="shared" si="27"/>
        <v>1.4976196773340386E-3</v>
      </c>
      <c r="AZ43" s="108">
        <f t="shared" si="27"/>
        <v>1.6719533616443693E-3</v>
      </c>
      <c r="BA43" s="108">
        <f t="shared" si="27"/>
        <v>0.14106431433373617</v>
      </c>
    </row>
    <row r="44" spans="1:56" ht="15.75">
      <c r="A44" s="93" t="s">
        <v>81</v>
      </c>
      <c r="X44" s="32">
        <v>2.052</v>
      </c>
      <c r="Y44" s="32">
        <v>0</v>
      </c>
      <c r="Z44" s="32">
        <v>0.78900000000000003</v>
      </c>
      <c r="AA44" s="32">
        <v>0.21100000000000002</v>
      </c>
      <c r="AB44" s="32">
        <v>2.1000000000000001E-2</v>
      </c>
      <c r="AC44" s="32">
        <v>1.9E-2</v>
      </c>
      <c r="AD44" s="32">
        <v>0.376</v>
      </c>
      <c r="AE44" s="32">
        <v>5.0000000000000001E-3</v>
      </c>
      <c r="AF44" s="32">
        <v>0.33100000000000002</v>
      </c>
      <c r="AG44" s="32">
        <v>6.6000000000000003E-2</v>
      </c>
      <c r="AH44" s="32">
        <v>1.6E-2</v>
      </c>
      <c r="AI44" s="32">
        <v>2.5999999999999999E-2</v>
      </c>
      <c r="AJ44" s="32">
        <v>7.0000000000000007E-2</v>
      </c>
      <c r="AK44" s="32">
        <v>2.7E-2</v>
      </c>
      <c r="AL44" s="32">
        <v>0.19900000000000001</v>
      </c>
      <c r="AM44" s="32">
        <v>1.0289999999999999</v>
      </c>
      <c r="AN44" s="32">
        <v>0.128</v>
      </c>
      <c r="AO44" s="32">
        <v>0</v>
      </c>
      <c r="AP44" s="32">
        <v>5.0000000000000001E-3</v>
      </c>
      <c r="AQ44" s="32">
        <v>0.06</v>
      </c>
      <c r="AR44" s="32">
        <v>0.27200000000000002</v>
      </c>
      <c r="AS44" s="32">
        <v>5.0000000000000001E-3</v>
      </c>
      <c r="AT44" s="32">
        <v>1.5529999999999999</v>
      </c>
      <c r="AU44" s="32">
        <v>0.56299999999999994</v>
      </c>
      <c r="AV44" s="32">
        <v>0.25600000000000001</v>
      </c>
      <c r="AW44" s="32">
        <v>9.9000000000000005E-2</v>
      </c>
      <c r="AX44" s="32">
        <v>2.4E-2</v>
      </c>
      <c r="AY44" s="108">
        <f t="shared" si="27"/>
        <v>1.6496958476593495E-3</v>
      </c>
      <c r="AZ44" s="108">
        <f t="shared" si="27"/>
        <v>8.0930505647312139E-4</v>
      </c>
      <c r="BA44" s="108">
        <f t="shared" si="27"/>
        <v>2.8038300088181221E-2</v>
      </c>
    </row>
    <row r="45" spans="1:56" ht="15.75">
      <c r="A45" s="93" t="s">
        <v>82</v>
      </c>
      <c r="X45" s="32">
        <v>1.149</v>
      </c>
      <c r="Y45" s="32">
        <v>0.82599999999999996</v>
      </c>
      <c r="Z45" s="32">
        <v>0.77200000000000002</v>
      </c>
      <c r="AA45" s="32">
        <v>51.739999999999995</v>
      </c>
      <c r="AB45" s="32">
        <v>4.3999999999999997E-2</v>
      </c>
      <c r="AC45" s="32">
        <v>4.7E-2</v>
      </c>
      <c r="AD45" s="32">
        <v>0.35399999999999998</v>
      </c>
      <c r="AE45" s="32">
        <v>0.27100000000000002</v>
      </c>
      <c r="AF45" s="32">
        <v>0.499</v>
      </c>
      <c r="AG45" s="32">
        <v>3.9E-2</v>
      </c>
      <c r="AH45" s="32">
        <v>0.93</v>
      </c>
      <c r="AI45" s="32">
        <v>0.81</v>
      </c>
      <c r="AJ45" s="32">
        <v>7.8E-2</v>
      </c>
      <c r="AK45" s="32">
        <v>0.245</v>
      </c>
      <c r="AL45" s="32">
        <v>0.36099999999999999</v>
      </c>
      <c r="AM45" s="32">
        <v>4.5999999999999999E-2</v>
      </c>
      <c r="AN45" s="32">
        <v>0.13700000000000001</v>
      </c>
      <c r="AO45" s="32">
        <v>8.0000000000000002E-3</v>
      </c>
      <c r="AP45" s="32">
        <v>0</v>
      </c>
      <c r="AQ45" s="32">
        <v>8.5999999999999993E-2</v>
      </c>
      <c r="AR45" s="32">
        <v>0.48</v>
      </c>
      <c r="AS45" s="32">
        <v>1.008</v>
      </c>
      <c r="AT45" s="32">
        <v>0.753</v>
      </c>
      <c r="AU45" s="32">
        <v>0.111</v>
      </c>
      <c r="AV45" s="32">
        <v>0.47099999999999997</v>
      </c>
      <c r="AW45" s="32">
        <v>0.78900000000000003</v>
      </c>
      <c r="AX45" s="32">
        <v>0.47799999999999998</v>
      </c>
      <c r="AY45" s="108">
        <f t="shared" si="27"/>
        <v>1.7204443268976463E-3</v>
      </c>
      <c r="AZ45" s="108">
        <f t="shared" si="27"/>
        <v>1.587238803024784E-3</v>
      </c>
      <c r="BA45" s="108">
        <f t="shared" si="27"/>
        <v>0.12799096953992842</v>
      </c>
    </row>
    <row r="46" spans="1:56" ht="15.75">
      <c r="A46" s="93" t="s">
        <v>83</v>
      </c>
      <c r="X46" s="32">
        <v>0.58199999999999996</v>
      </c>
      <c r="Y46" s="32">
        <v>0.34399999999999997</v>
      </c>
      <c r="Z46" s="32">
        <v>0.89500000000000002</v>
      </c>
      <c r="AA46" s="32">
        <v>5.3000000000000005E-2</v>
      </c>
      <c r="AB46" s="32">
        <v>0.46799999999999997</v>
      </c>
      <c r="AC46" s="32">
        <v>0.504</v>
      </c>
      <c r="AD46" s="32">
        <v>0.37</v>
      </c>
      <c r="AE46" s="32">
        <v>4.2000000000000003E-2</v>
      </c>
      <c r="AF46" s="32">
        <v>0.18099999999999999</v>
      </c>
      <c r="AG46" s="32">
        <v>0.16</v>
      </c>
      <c r="AH46" s="32">
        <v>0.14599999999999999</v>
      </c>
      <c r="AI46" s="32">
        <v>0.875</v>
      </c>
      <c r="AJ46" s="32">
        <v>0.156</v>
      </c>
      <c r="AK46" s="32">
        <v>0.83499999999999996</v>
      </c>
      <c r="AL46" s="32">
        <v>0.128</v>
      </c>
      <c r="AM46" s="32">
        <v>6.9000000000000006E-2</v>
      </c>
      <c r="AN46" s="32">
        <v>0.26800000000000002</v>
      </c>
      <c r="AO46" s="32">
        <v>0</v>
      </c>
      <c r="AP46" s="32">
        <v>2.1999999999999999E-2</v>
      </c>
      <c r="AQ46" s="32">
        <v>0.26</v>
      </c>
      <c r="AR46" s="32">
        <v>0.43099999999999999</v>
      </c>
      <c r="AS46" s="32">
        <v>0.98499999999999999</v>
      </c>
      <c r="AT46" s="32">
        <v>5.7000000000000002E-2</v>
      </c>
      <c r="AU46" s="32">
        <v>0.13800000000000001</v>
      </c>
      <c r="AV46" s="32">
        <v>0.83199999999999996</v>
      </c>
      <c r="AW46" s="32">
        <v>0.36199999999999999</v>
      </c>
      <c r="AX46" s="32">
        <v>0.35499999999999998</v>
      </c>
      <c r="AY46" s="108">
        <f t="shared" si="27"/>
        <v>1.1531340915101823E-3</v>
      </c>
      <c r="AZ46" s="108">
        <f t="shared" si="27"/>
        <v>1.4478157239206778E-3</v>
      </c>
      <c r="BA46" s="108">
        <f t="shared" si="27"/>
        <v>0.11404699573196192</v>
      </c>
    </row>
    <row r="47" spans="1:56" ht="15.75">
      <c r="A47" s="93" t="s">
        <v>84</v>
      </c>
      <c r="X47" s="32">
        <v>4.274</v>
      </c>
      <c r="Y47" s="32">
        <v>1.069</v>
      </c>
      <c r="Z47" s="32">
        <v>1.2009999999999998</v>
      </c>
      <c r="AA47" s="32">
        <v>0.57299999999999995</v>
      </c>
      <c r="AB47" s="32">
        <v>0.27200000000000002</v>
      </c>
      <c r="AC47" s="32">
        <v>0.30199999999999999</v>
      </c>
      <c r="AD47" s="32">
        <v>0.248</v>
      </c>
      <c r="AE47" s="32">
        <v>6.7000000000000004E-2</v>
      </c>
      <c r="AF47" s="32">
        <v>0.14000000000000001</v>
      </c>
      <c r="AG47" s="32">
        <v>0.22500000000000001</v>
      </c>
      <c r="AH47" s="32">
        <v>0.46899999999999997</v>
      </c>
      <c r="AI47" s="32">
        <v>0.38400000000000001</v>
      </c>
      <c r="AJ47" s="32">
        <v>0.126</v>
      </c>
      <c r="AK47" s="32">
        <v>0.64500000000000002</v>
      </c>
      <c r="AL47" s="32">
        <v>1.0149999999999999</v>
      </c>
      <c r="AM47" s="32">
        <v>1.18</v>
      </c>
      <c r="AN47" s="32">
        <v>1.276</v>
      </c>
      <c r="AO47" s="32">
        <v>7.1999999999999995E-2</v>
      </c>
      <c r="AP47" s="32">
        <v>1.0489999999999999</v>
      </c>
      <c r="AQ47" s="32">
        <v>0.184</v>
      </c>
      <c r="AR47" s="32">
        <v>0.45700000000000002</v>
      </c>
      <c r="AS47" s="32">
        <v>0.64200000000000002</v>
      </c>
      <c r="AT47" s="32">
        <v>0.214</v>
      </c>
      <c r="AU47" s="32">
        <v>0.45400000000000001</v>
      </c>
      <c r="AV47" s="32">
        <v>0.30399999999999999</v>
      </c>
      <c r="AW47" s="32">
        <v>0.22600000000000001</v>
      </c>
      <c r="AX47" s="32">
        <v>0.57399999999999995</v>
      </c>
      <c r="AY47" s="108">
        <f t="shared" si="27"/>
        <v>1.1716477122454374E-3</v>
      </c>
      <c r="AZ47" s="108">
        <f t="shared" si="27"/>
        <v>1.3371969534410339E-3</v>
      </c>
      <c r="BA47" s="108">
        <f t="shared" si="27"/>
        <v>8.1331485070292697E-2</v>
      </c>
    </row>
    <row r="48" spans="1:56" ht="15.75">
      <c r="A48" s="93" t="s">
        <v>73</v>
      </c>
      <c r="X48" s="32">
        <v>5.0179999999999998</v>
      </c>
      <c r="Y48" s="32">
        <v>0.33800000000000002</v>
      </c>
      <c r="Z48" s="32">
        <v>0.313</v>
      </c>
      <c r="AA48" s="32">
        <v>0.39500000000000002</v>
      </c>
      <c r="AB48" s="32">
        <v>0.28300000000000003</v>
      </c>
      <c r="AC48" s="32">
        <v>0.40800000000000003</v>
      </c>
      <c r="AD48" s="32">
        <v>0.88600000000000001</v>
      </c>
      <c r="AE48" s="32">
        <v>0.44400000000000001</v>
      </c>
      <c r="AF48" s="32">
        <v>0.29499999999999998</v>
      </c>
      <c r="AG48" s="32">
        <v>0.43099999999999999</v>
      </c>
      <c r="AH48" s="32">
        <v>0.76</v>
      </c>
      <c r="AI48" s="32">
        <v>0.624</v>
      </c>
      <c r="AJ48" s="32">
        <v>1.4790000000000001</v>
      </c>
      <c r="AK48" s="32">
        <v>1.2110000000000001</v>
      </c>
      <c r="AL48" s="32">
        <v>1.256</v>
      </c>
      <c r="AM48" s="32">
        <v>1.135</v>
      </c>
      <c r="AN48" s="32">
        <v>0.47199999999999998</v>
      </c>
      <c r="AO48" s="32">
        <v>0.37</v>
      </c>
      <c r="AP48" s="32">
        <v>0.17199999999999999</v>
      </c>
      <c r="AQ48" s="32">
        <v>0.43</v>
      </c>
      <c r="AR48" s="32">
        <v>5.3819999999999997</v>
      </c>
      <c r="AS48" s="32">
        <v>0.27600000000000002</v>
      </c>
      <c r="AT48" s="32">
        <v>0.47399999999999998</v>
      </c>
      <c r="AU48" s="32">
        <v>0.14599999999999999</v>
      </c>
      <c r="AV48" s="32">
        <v>0.245</v>
      </c>
      <c r="AW48" s="32">
        <v>0.86899999999999999</v>
      </c>
      <c r="AX48" s="32">
        <v>0.65600000000000003</v>
      </c>
      <c r="AY48" s="108">
        <f>(SUM(AT48:AX48)/SUM(AT$54:AX$54))*AY$54</f>
        <v>1.5802697699021423E-3</v>
      </c>
      <c r="AZ48" s="108">
        <f>(SUM(AU48:AY48)/SUM(AU$54:AY$54))*AZ$54</f>
        <v>1.6445799912263314E-3</v>
      </c>
      <c r="BA48" s="108">
        <f>(SUM(AV48:AZ48)/SUM(AV$54:AZ$54))*BA$54</f>
        <v>0.13033697027355676</v>
      </c>
    </row>
    <row r="49" spans="1:53" ht="15.75">
      <c r="A49" s="93" t="s">
        <v>74</v>
      </c>
      <c r="X49" s="32">
        <v>5.1619999999999999</v>
      </c>
      <c r="Y49" s="32">
        <v>0.74500000000000011</v>
      </c>
      <c r="Z49" s="32">
        <v>0.41200000000000003</v>
      </c>
      <c r="AA49" s="32">
        <v>0.59499999999999997</v>
      </c>
      <c r="AB49" s="32">
        <v>0.22300000000000003</v>
      </c>
      <c r="AC49" s="32">
        <v>0.46199999999999997</v>
      </c>
      <c r="AD49" s="32">
        <v>0.48500000000000004</v>
      </c>
      <c r="AE49" s="32">
        <v>0.39600000000000002</v>
      </c>
      <c r="AF49" s="32">
        <v>0.192</v>
      </c>
      <c r="AG49" s="32">
        <v>0.19500000000000001</v>
      </c>
      <c r="AH49" s="32">
        <v>0.505</v>
      </c>
      <c r="AI49" s="32">
        <v>1.351</v>
      </c>
      <c r="AJ49" s="32">
        <v>0.308</v>
      </c>
      <c r="AK49" s="32">
        <v>1.4379999999999999</v>
      </c>
      <c r="AL49" s="32">
        <v>1.0289999999999999</v>
      </c>
      <c r="AM49" s="32">
        <v>0.92</v>
      </c>
      <c r="AN49" s="32">
        <v>0.21299999999999999</v>
      </c>
      <c r="AO49" s="32">
        <v>0.98499999999999999</v>
      </c>
      <c r="AP49" s="32">
        <v>8.3000000000000004E-2</v>
      </c>
      <c r="AQ49" s="32">
        <v>0.71399999999999997</v>
      </c>
      <c r="AR49" s="32">
        <v>2.3370000000000002</v>
      </c>
      <c r="AS49" s="32">
        <v>1.853</v>
      </c>
      <c r="AT49" s="32">
        <v>0.26800000000000002</v>
      </c>
      <c r="AU49" s="32">
        <v>0.69599999999999995</v>
      </c>
      <c r="AV49" s="32">
        <v>0.90300000000000002</v>
      </c>
      <c r="AW49" s="32">
        <v>1.6080000000000001</v>
      </c>
      <c r="AX49" s="32">
        <v>4.1900000000000004</v>
      </c>
      <c r="AY49" s="108">
        <f t="shared" ref="AX49:BA52" si="28">(SUM(AT49:AX49)/SUM(AT$54:AX$54))*AY$54</f>
        <v>5.0681036762761176E-3</v>
      </c>
      <c r="AZ49" s="108">
        <f t="shared" si="28"/>
        <v>6.3482573787961216E-3</v>
      </c>
      <c r="BA49" s="108">
        <f t="shared" si="28"/>
        <v>0.49338131700129628</v>
      </c>
    </row>
    <row r="50" spans="1:53" ht="15.75">
      <c r="A50" s="93" t="s">
        <v>75</v>
      </c>
      <c r="X50" s="32">
        <v>5.8049999999999997</v>
      </c>
      <c r="Y50" s="32">
        <v>2.4E-2</v>
      </c>
      <c r="Z50" s="32">
        <v>3.1E-2</v>
      </c>
      <c r="AA50" s="32">
        <v>8.1000000000000003E-2</v>
      </c>
      <c r="AB50" s="32">
        <v>4.3000000000000003E-2</v>
      </c>
      <c r="AC50" s="32">
        <v>2.7000000000000003E-2</v>
      </c>
      <c r="AD50" s="32">
        <v>2.0999999999999998E-2</v>
      </c>
      <c r="AE50" s="32">
        <v>0.36</v>
      </c>
      <c r="AF50" s="32">
        <v>1.7000000000000001E-2</v>
      </c>
      <c r="AG50" s="32">
        <v>7.3999999999999996E-2</v>
      </c>
      <c r="AH50" s="32">
        <v>0.94599999999999995</v>
      </c>
      <c r="AI50" s="32">
        <v>0.47299999999999998</v>
      </c>
      <c r="AJ50" s="32">
        <v>0.79700000000000004</v>
      </c>
      <c r="AK50" s="32">
        <v>1.385</v>
      </c>
      <c r="AL50" s="32">
        <v>0.53900000000000003</v>
      </c>
      <c r="AM50" s="32">
        <v>0.23300000000000001</v>
      </c>
      <c r="AN50" s="32">
        <v>0.14099999999999999</v>
      </c>
      <c r="AO50" s="32">
        <v>0.35899999999999999</v>
      </c>
      <c r="AP50" s="32">
        <v>9.8000000000000004E-2</v>
      </c>
      <c r="AQ50" s="32">
        <v>0.14000000000000001</v>
      </c>
      <c r="AR50" s="32">
        <v>1.1220000000000001</v>
      </c>
      <c r="AS50" s="32">
        <v>0.97</v>
      </c>
      <c r="AT50" s="32">
        <v>0.70899999999999996</v>
      </c>
      <c r="AU50" s="32">
        <v>1.359</v>
      </c>
      <c r="AV50" s="32">
        <v>1.994</v>
      </c>
      <c r="AW50" s="32">
        <v>3.4279999999999999</v>
      </c>
      <c r="AX50" s="32">
        <v>4.4989999999999997</v>
      </c>
      <c r="AY50" s="108">
        <f t="shared" si="28"/>
        <v>7.9271356783919607E-3</v>
      </c>
      <c r="AZ50" s="108">
        <f t="shared" si="28"/>
        <v>9.6808980580432198E-3</v>
      </c>
      <c r="BA50" s="108">
        <f t="shared" si="28"/>
        <v>0.73051539968444357</v>
      </c>
    </row>
    <row r="51" spans="1:53" ht="15.75">
      <c r="A51" s="93" t="s">
        <v>76</v>
      </c>
      <c r="X51" s="32">
        <v>1.3679999999999999</v>
      </c>
      <c r="Y51" s="32">
        <v>4.8000000000000001E-2</v>
      </c>
      <c r="Z51" s="32">
        <v>4.3000000000000003E-2</v>
      </c>
      <c r="AA51" s="32">
        <v>2.7999999999999997E-2</v>
      </c>
      <c r="AB51" s="32">
        <v>3.6999999999999998E-2</v>
      </c>
      <c r="AC51" s="32">
        <v>3.1E-2</v>
      </c>
      <c r="AD51" s="32">
        <v>3.0000000000000002E-2</v>
      </c>
      <c r="AE51" s="32">
        <v>7.5999999999999998E-2</v>
      </c>
      <c r="AF51" s="32">
        <v>0.23599999999999999</v>
      </c>
      <c r="AG51" s="32">
        <v>7.6999999999999999E-2</v>
      </c>
      <c r="AH51" s="32">
        <v>0.11899999999999999</v>
      </c>
      <c r="AI51" s="32">
        <v>1.2210000000000001</v>
      </c>
      <c r="AJ51" s="32">
        <v>0.29199999999999998</v>
      </c>
      <c r="AK51" s="32">
        <v>0.75900000000000001</v>
      </c>
      <c r="AL51" s="32">
        <v>0.151</v>
      </c>
      <c r="AM51" s="32">
        <v>0.21299999999999999</v>
      </c>
      <c r="AN51" s="32">
        <v>0.13</v>
      </c>
      <c r="AO51" s="32">
        <v>0.23499999999999999</v>
      </c>
      <c r="AP51" s="32">
        <v>0.97799999999999998</v>
      </c>
      <c r="AQ51" s="32">
        <v>0.11600000000000001</v>
      </c>
      <c r="AR51" s="32">
        <v>0.161</v>
      </c>
      <c r="AS51" s="32">
        <v>0.39200000000000002</v>
      </c>
      <c r="AT51" s="32">
        <v>0.52900000000000003</v>
      </c>
      <c r="AU51" s="32">
        <v>9.6000000000000002E-2</v>
      </c>
      <c r="AV51" s="32">
        <v>0.159</v>
      </c>
      <c r="AW51" s="32">
        <v>0.65900000000000003</v>
      </c>
      <c r="AX51" s="32">
        <v>3.0329999999999999</v>
      </c>
      <c r="AY51" s="108">
        <f t="shared" si="28"/>
        <v>2.9595345146786562E-3</v>
      </c>
      <c r="AZ51" s="108">
        <f t="shared" si="28"/>
        <v>3.3876153812304284E-3</v>
      </c>
      <c r="BA51" s="108">
        <f t="shared" si="28"/>
        <v>0.2835257699431058</v>
      </c>
    </row>
    <row r="52" spans="1:53" ht="15.75">
      <c r="A52" s="93" t="s">
        <v>77</v>
      </c>
      <c r="X52" s="32">
        <v>1.325</v>
      </c>
      <c r="Y52" s="32">
        <v>0.01</v>
      </c>
      <c r="Z52" s="32">
        <v>4.4999999999999998E-2</v>
      </c>
      <c r="AA52" s="32">
        <v>5.1999999999999998E-2</v>
      </c>
      <c r="AB52" s="32">
        <v>2.5000000000000001E-2</v>
      </c>
      <c r="AC52" s="32">
        <v>1E-3</v>
      </c>
      <c r="AD52" s="32">
        <v>6.6000000000000003E-2</v>
      </c>
      <c r="AE52" s="32">
        <v>3.0000000000000001E-3</v>
      </c>
      <c r="AF52" s="32">
        <v>5.0000000000000001E-3</v>
      </c>
      <c r="AG52" s="32">
        <v>0.28299999999999997</v>
      </c>
      <c r="AH52" s="32">
        <v>3.4000000000000002E-2</v>
      </c>
      <c r="AI52" s="32">
        <v>0.24099999999999999</v>
      </c>
      <c r="AJ52" s="32">
        <v>0.14399999999999999</v>
      </c>
      <c r="AK52" s="32">
        <v>0.155</v>
      </c>
      <c r="AL52" s="32">
        <v>0.19500000000000001</v>
      </c>
      <c r="AM52" s="32">
        <v>6.0999999999999999E-2</v>
      </c>
      <c r="AN52" s="32">
        <v>0.26300000000000001</v>
      </c>
      <c r="AO52" s="32">
        <v>7.0999999999999994E-2</v>
      </c>
      <c r="AP52" s="32">
        <v>7.9000000000000001E-2</v>
      </c>
      <c r="AQ52" s="32">
        <v>1E-3</v>
      </c>
      <c r="AR52" s="32">
        <v>1E-3</v>
      </c>
      <c r="AS52" s="32">
        <v>0.121</v>
      </c>
      <c r="AT52" s="32">
        <v>0.20200000000000001</v>
      </c>
      <c r="AU52" s="32">
        <v>5.6000000000000001E-2</v>
      </c>
      <c r="AV52" s="32">
        <v>6.9000000000000006E-2</v>
      </c>
      <c r="AW52" s="32">
        <v>6.2E-2</v>
      </c>
      <c r="AX52" s="108">
        <f t="shared" si="28"/>
        <v>2.2072571151582304E-3</v>
      </c>
      <c r="AY52" s="108">
        <f t="shared" si="28"/>
        <v>2.5866652811105408E-4</v>
      </c>
      <c r="AZ52" s="108">
        <f t="shared" si="28"/>
        <v>1.6249221581755518E-4</v>
      </c>
      <c r="BA52" s="108">
        <f t="shared" si="28"/>
        <v>9.8220611265821666E-3</v>
      </c>
    </row>
    <row r="53" spans="1:53" ht="15.75">
      <c r="A53" s="93" t="s">
        <v>78</v>
      </c>
      <c r="X53" s="32">
        <v>3.0590000000000002</v>
      </c>
      <c r="Y53" s="32">
        <v>2.8000000000000001E-2</v>
      </c>
      <c r="Z53" s="32">
        <v>0</v>
      </c>
      <c r="AA53" s="32">
        <v>20.034000000000002</v>
      </c>
      <c r="AB53" s="32">
        <v>2E-3</v>
      </c>
      <c r="AC53" s="32">
        <v>8.0000000000000002E-3</v>
      </c>
      <c r="AD53" s="32">
        <v>3.0000000000000001E-3</v>
      </c>
      <c r="AE53" s="32">
        <v>0.247</v>
      </c>
      <c r="AF53" s="32">
        <v>1E-3</v>
      </c>
      <c r="AG53" s="32">
        <v>0</v>
      </c>
      <c r="AH53" s="32">
        <v>5.8999999999999997E-2</v>
      </c>
      <c r="AI53" s="32">
        <v>0.219</v>
      </c>
      <c r="AJ53" s="32">
        <v>8.2000000000000003E-2</v>
      </c>
      <c r="AK53" s="32">
        <v>0.25800000000000001</v>
      </c>
      <c r="AL53" s="32">
        <v>0.1</v>
      </c>
      <c r="AM53" s="32">
        <v>0</v>
      </c>
      <c r="AN53" s="32">
        <v>1.7000000000000001E-2</v>
      </c>
      <c r="AO53" s="32">
        <v>2.9000000000000001E-2</v>
      </c>
      <c r="AP53" s="32">
        <v>0.03</v>
      </c>
      <c r="AQ53" s="32">
        <v>5.7000000000000002E-2</v>
      </c>
      <c r="AR53" s="32">
        <v>4.1000000000000002E-2</v>
      </c>
      <c r="AS53" s="32">
        <v>6.9000000000000006E-2</v>
      </c>
      <c r="AT53" s="32">
        <v>5.8999999999999997E-2</v>
      </c>
      <c r="AU53" s="32">
        <v>4.4999999999999998E-2</v>
      </c>
      <c r="AV53" s="32">
        <v>3.1E-2</v>
      </c>
      <c r="AW53" s="32">
        <v>1.2999999999999999E-2</v>
      </c>
      <c r="AX53" s="108">
        <f>AX54-SUM(AX42:AX52)</f>
        <v>-15.583207257115156</v>
      </c>
      <c r="AY53" s="108">
        <f>AY54-SUM(AY42:AY52)</f>
        <v>-1.0205770468867469E-2</v>
      </c>
      <c r="AZ53" s="108">
        <f>AZ54-SUM(AZ42:AZ52)</f>
        <v>-1.3297095220912551E-2</v>
      </c>
      <c r="BA53" s="108">
        <f>BA54-SUM(BA42:BA52)</f>
        <v>-1.1439025834345007</v>
      </c>
    </row>
    <row r="54" spans="1:53" ht="16.5" thickBot="1">
      <c r="A54" s="93" t="s">
        <v>85</v>
      </c>
      <c r="X54" s="32">
        <f t="shared" ref="X54" si="29">SUM(X42:X53)</f>
        <v>30.542999999999999</v>
      </c>
      <c r="Y54" s="32">
        <f t="shared" ref="Y54:AW54" si="30">SUM(Y42:Y53)</f>
        <v>4.520999999999999</v>
      </c>
      <c r="Z54" s="32">
        <f t="shared" si="30"/>
        <v>4.5839999999999996</v>
      </c>
      <c r="AA54" s="32">
        <f t="shared" si="30"/>
        <v>74.429000000000002</v>
      </c>
      <c r="AB54" s="32">
        <f t="shared" si="30"/>
        <v>23.116999999999994</v>
      </c>
      <c r="AC54" s="32">
        <f t="shared" si="30"/>
        <v>1.8099999999999998</v>
      </c>
      <c r="AD54" s="32">
        <f t="shared" si="30"/>
        <v>3.0209999999999995</v>
      </c>
      <c r="AE54" s="32">
        <f t="shared" si="30"/>
        <v>2.0459999999999998</v>
      </c>
      <c r="AF54" s="32">
        <f t="shared" si="30"/>
        <v>2.0269999999999997</v>
      </c>
      <c r="AG54" s="32">
        <f t="shared" si="30"/>
        <v>1.677</v>
      </c>
      <c r="AH54" s="32">
        <f t="shared" si="30"/>
        <v>4.0169999999999995</v>
      </c>
      <c r="AI54" s="32">
        <f t="shared" si="30"/>
        <v>6.2620000000000005</v>
      </c>
      <c r="AJ54" s="32">
        <f t="shared" si="30"/>
        <v>3.7069999999999999</v>
      </c>
      <c r="AK54" s="32">
        <f t="shared" si="30"/>
        <v>7.1000000000000005</v>
      </c>
      <c r="AL54" s="32">
        <f t="shared" si="30"/>
        <v>5.0489999999999995</v>
      </c>
      <c r="AM54" s="32">
        <f t="shared" si="30"/>
        <v>7.137999999999999</v>
      </c>
      <c r="AN54" s="32">
        <f t="shared" si="30"/>
        <v>3.0760000000000001</v>
      </c>
      <c r="AO54" s="32">
        <f t="shared" si="30"/>
        <v>2.1349999999999998</v>
      </c>
      <c r="AP54" s="32">
        <f t="shared" si="30"/>
        <v>2.5990000000000002</v>
      </c>
      <c r="AQ54" s="32">
        <f t="shared" si="30"/>
        <v>2.1199999999999997</v>
      </c>
      <c r="AR54" s="32">
        <f t="shared" si="30"/>
        <v>11.097999999999999</v>
      </c>
      <c r="AS54" s="32">
        <f t="shared" si="30"/>
        <v>6.3209999999999988</v>
      </c>
      <c r="AT54" s="32">
        <f t="shared" si="30"/>
        <v>5.2109999999999994</v>
      </c>
      <c r="AU54" s="32">
        <f t="shared" si="30"/>
        <v>3.6959999999999997</v>
      </c>
      <c r="AV54" s="32">
        <f t="shared" si="30"/>
        <v>5.464999999999999</v>
      </c>
      <c r="AW54" s="32">
        <f t="shared" si="30"/>
        <v>8.1889999999999983</v>
      </c>
      <c r="AX54" s="108">
        <f>AX10</f>
        <v>0.125</v>
      </c>
      <c r="AY54" s="108">
        <f t="shared" ref="AY54:BA54" si="31">AY10</f>
        <v>1.4999999999999999E-2</v>
      </c>
      <c r="AZ54" s="108">
        <f t="shared" si="31"/>
        <v>1.4999999999999999E-2</v>
      </c>
      <c r="BA54" s="108">
        <f t="shared" si="31"/>
        <v>1.0149999999999999</v>
      </c>
    </row>
    <row r="55" spans="1:53" ht="15.75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</row>
    <row r="56" spans="1:53">
      <c r="A56" s="109"/>
    </row>
    <row r="57" spans="1:53" ht="13.5" thickBot="1">
      <c r="A57" s="110" t="s">
        <v>119</v>
      </c>
      <c r="B57" s="109"/>
      <c r="C57" s="109"/>
      <c r="D57" s="109"/>
      <c r="E57" s="109"/>
      <c r="F57" s="109"/>
      <c r="G57" s="3">
        <v>1980</v>
      </c>
      <c r="H57" s="3">
        <v>1981</v>
      </c>
      <c r="I57" s="3">
        <v>1982</v>
      </c>
      <c r="J57" s="3">
        <v>1983</v>
      </c>
      <c r="K57" s="3">
        <v>1984</v>
      </c>
      <c r="L57" s="3">
        <v>1985</v>
      </c>
      <c r="M57" s="3">
        <v>1986</v>
      </c>
      <c r="N57" s="3">
        <v>1987</v>
      </c>
      <c r="O57" s="3">
        <v>1988</v>
      </c>
      <c r="P57" s="3">
        <v>1989</v>
      </c>
      <c r="Q57" s="3">
        <v>1990</v>
      </c>
      <c r="R57" s="3">
        <v>1991</v>
      </c>
      <c r="S57" s="3">
        <v>1992</v>
      </c>
      <c r="T57" s="3">
        <v>1993</v>
      </c>
      <c r="U57" s="3">
        <v>1994</v>
      </c>
      <c r="V57" s="3">
        <v>1995</v>
      </c>
      <c r="W57" s="3">
        <v>1996</v>
      </c>
      <c r="X57" s="3">
        <v>1997</v>
      </c>
      <c r="Y57" s="3">
        <v>1998</v>
      </c>
      <c r="Z57" s="3">
        <v>1999</v>
      </c>
      <c r="AA57" s="3">
        <v>2000</v>
      </c>
      <c r="AB57" s="3">
        <v>2001</v>
      </c>
      <c r="AC57" s="3">
        <v>2002</v>
      </c>
      <c r="AD57" s="3">
        <v>2003</v>
      </c>
      <c r="AE57" s="3">
        <v>2004</v>
      </c>
      <c r="AF57" s="3">
        <v>2005</v>
      </c>
      <c r="AG57" s="3">
        <v>2006</v>
      </c>
      <c r="AH57" s="3">
        <v>2007</v>
      </c>
      <c r="AI57" s="3">
        <v>2008</v>
      </c>
      <c r="AJ57" s="3">
        <v>2009</v>
      </c>
      <c r="AK57" s="3">
        <v>2010</v>
      </c>
      <c r="AL57" s="3">
        <v>2011</v>
      </c>
      <c r="AM57" s="3">
        <v>2012</v>
      </c>
      <c r="AN57" s="3">
        <v>2013</v>
      </c>
      <c r="AO57" s="3">
        <v>2014</v>
      </c>
      <c r="AP57" s="3">
        <v>2015</v>
      </c>
      <c r="AQ57" s="3">
        <v>2016</v>
      </c>
      <c r="AR57" s="3">
        <v>2017</v>
      </c>
      <c r="AS57" s="3">
        <v>2018</v>
      </c>
      <c r="AT57" s="3">
        <v>2019</v>
      </c>
      <c r="AU57" s="3">
        <v>2020</v>
      </c>
      <c r="AV57" s="3">
        <v>2021</v>
      </c>
      <c r="AW57" s="3">
        <v>2022</v>
      </c>
      <c r="AX57" s="3">
        <v>2023</v>
      </c>
      <c r="AY57" s="3">
        <v>2024</v>
      </c>
      <c r="AZ57" s="3">
        <v>2025</v>
      </c>
      <c r="BA57" s="3">
        <v>2026</v>
      </c>
    </row>
    <row r="58" spans="1:53" ht="13.5" thickBot="1">
      <c r="A58" s="111"/>
      <c r="B58" s="112" t="str">
        <f>B$2</f>
        <v>74/75</v>
      </c>
      <c r="C58" s="112" t="str">
        <f t="shared" ref="C58:BA58" si="32">C$2</f>
        <v xml:space="preserve">75/76 </v>
      </c>
      <c r="D58" s="112" t="str">
        <f t="shared" si="32"/>
        <v xml:space="preserve">76/77 </v>
      </c>
      <c r="E58" s="112" t="str">
        <f t="shared" si="32"/>
        <v xml:space="preserve">77/78 </v>
      </c>
      <c r="F58" s="112" t="str">
        <f t="shared" si="32"/>
        <v xml:space="preserve">78/79 </v>
      </c>
      <c r="G58" s="112" t="str">
        <f t="shared" si="32"/>
        <v xml:space="preserve">79/80 </v>
      </c>
      <c r="H58" s="112" t="str">
        <f t="shared" si="32"/>
        <v xml:space="preserve">80/81 </v>
      </c>
      <c r="I58" s="112" t="str">
        <f t="shared" si="32"/>
        <v xml:space="preserve">81/82 </v>
      </c>
      <c r="J58" s="112" t="str">
        <f t="shared" si="32"/>
        <v xml:space="preserve">82/83 </v>
      </c>
      <c r="K58" s="112" t="str">
        <f t="shared" si="32"/>
        <v xml:space="preserve">83/84 </v>
      </c>
      <c r="L58" s="112" t="str">
        <f t="shared" si="32"/>
        <v xml:space="preserve">84/85 </v>
      </c>
      <c r="M58" s="112" t="str">
        <f t="shared" si="32"/>
        <v xml:space="preserve">85/86 </v>
      </c>
      <c r="N58" s="112" t="str">
        <f t="shared" si="32"/>
        <v xml:space="preserve">86/87 </v>
      </c>
      <c r="O58" s="112" t="str">
        <f t="shared" si="32"/>
        <v xml:space="preserve">87/88 </v>
      </c>
      <c r="P58" s="112" t="str">
        <f t="shared" si="32"/>
        <v xml:space="preserve">88/89 </v>
      </c>
      <c r="Q58" s="112" t="str">
        <f t="shared" si="32"/>
        <v xml:space="preserve">89/90 </v>
      </c>
      <c r="R58" s="112" t="str">
        <f t="shared" si="32"/>
        <v xml:space="preserve">90/91 </v>
      </c>
      <c r="S58" s="112" t="str">
        <f t="shared" si="32"/>
        <v xml:space="preserve">91/92 </v>
      </c>
      <c r="T58" s="112" t="str">
        <f t="shared" si="32"/>
        <v xml:space="preserve">92/93 </v>
      </c>
      <c r="U58" s="112" t="str">
        <f t="shared" si="32"/>
        <v xml:space="preserve">93/94 </v>
      </c>
      <c r="V58" s="112" t="str">
        <f t="shared" si="32"/>
        <v xml:space="preserve">94/95 </v>
      </c>
      <c r="W58" s="112" t="str">
        <f t="shared" si="32"/>
        <v xml:space="preserve">95/96 </v>
      </c>
      <c r="X58" s="112" t="str">
        <f t="shared" si="32"/>
        <v xml:space="preserve">96/97 </v>
      </c>
      <c r="Y58" s="112" t="str">
        <f t="shared" si="32"/>
        <v xml:space="preserve">97/98 </v>
      </c>
      <c r="Z58" s="112" t="str">
        <f t="shared" si="32"/>
        <v xml:space="preserve">98/99 </v>
      </c>
      <c r="AA58" s="112" t="str">
        <f t="shared" si="32"/>
        <v xml:space="preserve">99/00 </v>
      </c>
      <c r="AB58" s="112" t="str">
        <f t="shared" si="32"/>
        <v xml:space="preserve">00/01 </v>
      </c>
      <c r="AC58" s="112" t="str">
        <f t="shared" si="32"/>
        <v xml:space="preserve">01/02 </v>
      </c>
      <c r="AD58" s="112" t="str">
        <f t="shared" si="32"/>
        <v xml:space="preserve">02/03 </v>
      </c>
      <c r="AE58" s="112" t="str">
        <f t="shared" si="32"/>
        <v xml:space="preserve">03/04 </v>
      </c>
      <c r="AF58" s="112" t="str">
        <f t="shared" si="32"/>
        <v xml:space="preserve">04/05 </v>
      </c>
      <c r="AG58" s="112" t="str">
        <f t="shared" si="32"/>
        <v xml:space="preserve">05/06 </v>
      </c>
      <c r="AH58" s="112" t="str">
        <f t="shared" si="32"/>
        <v xml:space="preserve">06/07 </v>
      </c>
      <c r="AI58" s="112" t="str">
        <f t="shared" si="32"/>
        <v xml:space="preserve">07/08 </v>
      </c>
      <c r="AJ58" s="112" t="str">
        <f t="shared" si="32"/>
        <v xml:space="preserve">08/09 </v>
      </c>
      <c r="AK58" s="112" t="str">
        <f t="shared" si="32"/>
        <v xml:space="preserve">09/10 </v>
      </c>
      <c r="AL58" s="112" t="str">
        <f t="shared" si="32"/>
        <v xml:space="preserve">10/11 </v>
      </c>
      <c r="AM58" s="112" t="str">
        <f t="shared" si="32"/>
        <v xml:space="preserve">11/12 </v>
      </c>
      <c r="AN58" s="112" t="str">
        <f t="shared" si="32"/>
        <v xml:space="preserve">12/13 </v>
      </c>
      <c r="AO58" s="112" t="str">
        <f t="shared" si="32"/>
        <v xml:space="preserve">13/14 </v>
      </c>
      <c r="AP58" s="112" t="str">
        <f t="shared" si="32"/>
        <v xml:space="preserve">14/15 </v>
      </c>
      <c r="AQ58" s="112" t="str">
        <f t="shared" si="32"/>
        <v xml:space="preserve">15/16 </v>
      </c>
      <c r="AR58" s="112" t="str">
        <f t="shared" si="32"/>
        <v xml:space="preserve">16/17 </v>
      </c>
      <c r="AS58" s="112" t="str">
        <f t="shared" si="32"/>
        <v xml:space="preserve">17/18 </v>
      </c>
      <c r="AT58" s="112" t="str">
        <f t="shared" si="32"/>
        <v xml:space="preserve">18/19 </v>
      </c>
      <c r="AU58" s="112" t="str">
        <f t="shared" si="32"/>
        <v>19/20</v>
      </c>
      <c r="AV58" s="112" t="str">
        <f t="shared" si="32"/>
        <v>20/21</v>
      </c>
      <c r="AW58" s="112" t="str">
        <f t="shared" si="32"/>
        <v>21/22</v>
      </c>
      <c r="AX58" s="112" t="str">
        <f t="shared" si="32"/>
        <v>22/23</v>
      </c>
      <c r="AY58" s="112" t="str">
        <f t="shared" si="32"/>
        <v>23/24</v>
      </c>
      <c r="AZ58" s="112" t="str">
        <f t="shared" si="32"/>
        <v>24/25</v>
      </c>
      <c r="BA58" s="112" t="str">
        <f t="shared" si="32"/>
        <v>25/26</v>
      </c>
    </row>
    <row r="59" spans="1:53">
      <c r="A59" s="113" t="s">
        <v>9</v>
      </c>
      <c r="B59" s="114">
        <v>3.86985</v>
      </c>
      <c r="C59" s="114">
        <v>3.6949000000000001</v>
      </c>
      <c r="D59" s="114">
        <v>2.9788999999999999</v>
      </c>
      <c r="E59" s="114">
        <v>3.0992000000000002</v>
      </c>
      <c r="F59" s="114">
        <v>3.29935</v>
      </c>
      <c r="G59" s="114">
        <v>3.30945</v>
      </c>
      <c r="H59" s="114">
        <v>3.9995500000000002</v>
      </c>
      <c r="I59" s="114">
        <v>3.6946500000000002</v>
      </c>
      <c r="J59" s="114">
        <v>3.4394999999999998</v>
      </c>
      <c r="K59" s="114">
        <v>3.4830999999999999</v>
      </c>
      <c r="L59" s="114">
        <v>3.6198999999999999</v>
      </c>
      <c r="M59" s="114">
        <v>3.8197999999999999</v>
      </c>
      <c r="N59" s="114">
        <v>3.64988</v>
      </c>
      <c r="O59" s="114">
        <v>2.824894</v>
      </c>
      <c r="P59" s="114">
        <v>2.6848000000000001</v>
      </c>
      <c r="Q59" s="114">
        <v>2.06982</v>
      </c>
      <c r="R59" s="114">
        <v>2.1597</v>
      </c>
      <c r="S59" s="114">
        <v>2.6840000000000002</v>
      </c>
      <c r="T59" s="114">
        <v>2.96082</v>
      </c>
      <c r="U59" s="114">
        <v>2.7805800000000001</v>
      </c>
      <c r="V59" s="114">
        <v>2.9571999999999998</v>
      </c>
      <c r="W59" s="114">
        <v>3.4143500000000002</v>
      </c>
      <c r="X59" s="114">
        <v>4.1532</v>
      </c>
      <c r="Y59" s="114">
        <v>3.75163</v>
      </c>
      <c r="Z59" s="114">
        <v>3.2700499999999999</v>
      </c>
      <c r="AA59" s="114">
        <v>3.6518999999999999</v>
      </c>
      <c r="AB59" s="114">
        <v>3.494523</v>
      </c>
      <c r="AC59" s="114">
        <v>3.061661</v>
      </c>
      <c r="AD59" s="114">
        <v>3.0603739999999999</v>
      </c>
      <c r="AE59" s="114">
        <v>2.9624000000000001</v>
      </c>
      <c r="AF59" s="114">
        <v>3.4038369999999998</v>
      </c>
      <c r="AG59" s="114">
        <v>3.1904400000000002</v>
      </c>
      <c r="AH59" s="114">
        <v>3.5782349999999998</v>
      </c>
      <c r="AI59" s="114">
        <v>4.2383290000000002</v>
      </c>
      <c r="AJ59" s="114">
        <v>3.501328</v>
      </c>
      <c r="AK59" s="114">
        <v>3.6712600000000002</v>
      </c>
      <c r="AL59" s="114">
        <v>4.5611009999999998</v>
      </c>
      <c r="AM59" s="114">
        <v>5.0003299999999999</v>
      </c>
      <c r="AN59" s="114">
        <v>6.1333780000000004</v>
      </c>
      <c r="AO59" s="114">
        <v>6.0988850000000001</v>
      </c>
      <c r="AP59" s="114">
        <v>6.0344800000000003</v>
      </c>
      <c r="AQ59" s="114">
        <v>6.9045379999999996</v>
      </c>
      <c r="AR59" s="114">
        <v>8.486694</v>
      </c>
      <c r="AS59" s="114">
        <v>9.1397659999999998</v>
      </c>
      <c r="AT59" s="114">
        <v>9.0395939999999992</v>
      </c>
      <c r="AU59" s="114">
        <v>9.5044730000000008</v>
      </c>
      <c r="AV59" s="114">
        <v>9.7422299999999993</v>
      </c>
      <c r="AW59" s="114">
        <v>10.6</v>
      </c>
      <c r="AX59" s="114">
        <v>10.5</v>
      </c>
      <c r="AY59" s="115">
        <f>FORECAST(AY57,AO59:AX59,AO57:AX57)-1</f>
        <v>10.562076000000161</v>
      </c>
      <c r="AZ59" s="115"/>
      <c r="BA59" s="115"/>
    </row>
    <row r="60" spans="1:53">
      <c r="A60" s="113" t="s">
        <v>10</v>
      </c>
      <c r="B60" s="114">
        <v>3.06915</v>
      </c>
      <c r="C60" s="114">
        <v>2.7652000000000001</v>
      </c>
      <c r="D60" s="114">
        <v>2.53112</v>
      </c>
      <c r="E60" s="114">
        <v>2.6593</v>
      </c>
      <c r="F60" s="114">
        <v>2.7995000000000001</v>
      </c>
      <c r="G60" s="114">
        <v>2.4895999999999998</v>
      </c>
      <c r="H60" s="114">
        <v>3.3936999999999999</v>
      </c>
      <c r="I60" s="114">
        <v>3.1696499999999999</v>
      </c>
      <c r="J60" s="114">
        <v>2.9695</v>
      </c>
      <c r="K60" s="114">
        <v>3.0238999999999998</v>
      </c>
      <c r="L60" s="114">
        <v>3.3399000000000001</v>
      </c>
      <c r="M60" s="114">
        <v>3.2307999999999999</v>
      </c>
      <c r="N60" s="114">
        <v>2.89988</v>
      </c>
      <c r="O60" s="114">
        <v>2.4373939999999998</v>
      </c>
      <c r="P60" s="114">
        <v>1.6835500000000001</v>
      </c>
      <c r="Q60" s="114">
        <v>1.560149</v>
      </c>
      <c r="R60" s="114">
        <v>1.8996999999999999</v>
      </c>
      <c r="S60" s="114">
        <v>2.3639399999999999</v>
      </c>
      <c r="T60" s="114">
        <v>2.5011100000000002</v>
      </c>
      <c r="U60" s="114">
        <v>2.4442400000000002</v>
      </c>
      <c r="V60" s="114">
        <v>2.5212500000000002</v>
      </c>
      <c r="W60" s="114">
        <v>2.6035200000000001</v>
      </c>
      <c r="X60" s="114">
        <v>3.4101849999999998</v>
      </c>
      <c r="Y60" s="114">
        <v>3.1853899999999999</v>
      </c>
      <c r="Z60" s="114">
        <v>2.5144500000000001</v>
      </c>
      <c r="AA60" s="114">
        <v>3.0887150000000001</v>
      </c>
      <c r="AB60" s="114">
        <v>2.8155039999999998</v>
      </c>
      <c r="AC60" s="114">
        <v>2.4201239999999999</v>
      </c>
      <c r="AD60" s="114">
        <v>2.3008570000000002</v>
      </c>
      <c r="AE60" s="114">
        <v>2.3076020000000002</v>
      </c>
      <c r="AF60" s="114">
        <v>2.783436</v>
      </c>
      <c r="AG60" s="114">
        <v>2.4471660000000002</v>
      </c>
      <c r="AH60" s="114">
        <v>2.8380719999999999</v>
      </c>
      <c r="AI60" s="114">
        <v>3.4137840000000002</v>
      </c>
      <c r="AJ60" s="114">
        <v>2.3625080000000001</v>
      </c>
      <c r="AK60" s="114">
        <v>2.9040349999999999</v>
      </c>
      <c r="AL60" s="114">
        <v>3.7478379999999998</v>
      </c>
      <c r="AM60" s="114">
        <v>3.6962999999999999</v>
      </c>
      <c r="AN60" s="114">
        <v>4.8638009999999996</v>
      </c>
      <c r="AO60" s="114">
        <v>4.8366550000000004</v>
      </c>
      <c r="AP60" s="114">
        <v>4.6268799999999999</v>
      </c>
      <c r="AQ60" s="114">
        <v>5.3465930000000004</v>
      </c>
      <c r="AR60" s="114">
        <v>6.5367629999999997</v>
      </c>
      <c r="AS60" s="114">
        <v>7.1386200000000004</v>
      </c>
      <c r="AT60" s="114">
        <v>7.232761</v>
      </c>
      <c r="AU60" s="114">
        <v>7.7305060000000001</v>
      </c>
      <c r="AV60" s="114">
        <v>8.1465960000000006</v>
      </c>
      <c r="AW60" s="114">
        <v>8.6999999999999993</v>
      </c>
      <c r="AX60" s="114">
        <v>8.1</v>
      </c>
      <c r="AY60" s="115">
        <f>AY5</f>
        <v>7.7277440000000004</v>
      </c>
      <c r="AZ60" s="115"/>
      <c r="BA60" s="115"/>
    </row>
    <row r="61" spans="1:53" ht="13.5" thickBot="1">
      <c r="A61" s="116" t="s">
        <v>13</v>
      </c>
      <c r="B61" s="116">
        <v>7.6987500000000004</v>
      </c>
      <c r="C61" s="116">
        <v>5.8540900000000002</v>
      </c>
      <c r="D61" s="116">
        <v>8.2985520000000008</v>
      </c>
      <c r="E61" s="116">
        <v>9.6985499999999991</v>
      </c>
      <c r="F61" s="116">
        <v>8.6990800000000004</v>
      </c>
      <c r="G61" s="116">
        <v>6.3992199999999997</v>
      </c>
      <c r="H61" s="116">
        <v>12.899150000000001</v>
      </c>
      <c r="I61" s="116">
        <v>9.5991250000000008</v>
      </c>
      <c r="J61" s="116">
        <v>8.9990000000000006</v>
      </c>
      <c r="K61" s="116">
        <v>9.4973899999999993</v>
      </c>
      <c r="L61" s="116">
        <v>11.89973</v>
      </c>
      <c r="M61" s="116">
        <v>12.099500000000001</v>
      </c>
      <c r="N61" s="116">
        <v>9.2497299999999996</v>
      </c>
      <c r="O61" s="116">
        <v>9.1996900000000004</v>
      </c>
      <c r="P61" s="116">
        <v>4.8996199999999996</v>
      </c>
      <c r="Q61" s="116">
        <v>5.3995800000000003</v>
      </c>
      <c r="R61" s="116">
        <v>7.6837999999999997</v>
      </c>
      <c r="S61" s="116">
        <v>10.696</v>
      </c>
      <c r="T61" s="116">
        <v>10.8955</v>
      </c>
      <c r="U61" s="116">
        <v>10.357200000000001</v>
      </c>
      <c r="V61" s="116">
        <v>11.402540999999999</v>
      </c>
      <c r="W61" s="116">
        <v>10.51763</v>
      </c>
      <c r="X61" s="116">
        <v>15.53612</v>
      </c>
      <c r="Y61" s="116">
        <v>19.360655000000001</v>
      </c>
      <c r="Z61" s="116">
        <v>13.503399999999999</v>
      </c>
      <c r="AA61" s="116">
        <v>16.780650000000001</v>
      </c>
      <c r="AB61" s="116">
        <v>15.359397</v>
      </c>
      <c r="AC61" s="116">
        <v>14.71208</v>
      </c>
      <c r="AD61" s="116">
        <v>15.002219</v>
      </c>
      <c r="AE61" s="116">
        <v>14.818788</v>
      </c>
      <c r="AF61" s="116">
        <v>20.482572000000001</v>
      </c>
      <c r="AG61" s="116">
        <v>14.445538000000001</v>
      </c>
      <c r="AH61" s="116">
        <v>21.755365000000001</v>
      </c>
      <c r="AI61" s="116">
        <v>22.026803000000001</v>
      </c>
      <c r="AJ61" s="116">
        <v>13.134436000000001</v>
      </c>
      <c r="AK61" s="116">
        <v>22.663095999999999</v>
      </c>
      <c r="AL61" s="116">
        <v>23.79983</v>
      </c>
      <c r="AM61" s="116">
        <v>21.196636999999999</v>
      </c>
      <c r="AN61" s="116">
        <v>32.045751000000003</v>
      </c>
      <c r="AO61" s="116">
        <v>33.087164999999999</v>
      </c>
      <c r="AP61" s="116">
        <v>33.817449000000003</v>
      </c>
      <c r="AQ61" s="116">
        <v>39.792853999999998</v>
      </c>
      <c r="AR61" s="116">
        <v>49.490326000000003</v>
      </c>
      <c r="AS61" s="116">
        <v>43.462322999999998</v>
      </c>
      <c r="AT61" s="116">
        <v>56.860703999999998</v>
      </c>
      <c r="AU61" s="116">
        <v>58.395811000000002</v>
      </c>
      <c r="AV61" s="116">
        <v>60.525804999999998</v>
      </c>
      <c r="AW61" s="116">
        <v>59.037179000000002</v>
      </c>
      <c r="AX61" s="116">
        <v>41.4</v>
      </c>
      <c r="AY61" s="117">
        <f>AY9</f>
        <v>51.6</v>
      </c>
      <c r="AZ61" s="117"/>
      <c r="BA61" s="117"/>
    </row>
    <row r="62" spans="1:53">
      <c r="A62" s="118" t="s">
        <v>120</v>
      </c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</row>
    <row r="63" spans="1:53">
      <c r="A63" s="118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/>
      <c r="AQ63" s="109"/>
      <c r="AR63" s="109"/>
      <c r="AS63" s="109"/>
    </row>
    <row r="64" spans="1:53" ht="13.5" thickBot="1">
      <c r="A64" s="110" t="s">
        <v>121</v>
      </c>
      <c r="B64" s="109"/>
      <c r="C64" s="109"/>
      <c r="D64" s="109"/>
      <c r="E64" s="109"/>
      <c r="F64" s="109"/>
      <c r="G64" s="3">
        <v>1980</v>
      </c>
      <c r="H64" s="3">
        <v>1981</v>
      </c>
      <c r="I64" s="3">
        <v>1982</v>
      </c>
      <c r="J64" s="3">
        <v>1983</v>
      </c>
      <c r="K64" s="3">
        <v>1984</v>
      </c>
      <c r="L64" s="3">
        <v>1985</v>
      </c>
      <c r="M64" s="3">
        <v>1986</v>
      </c>
      <c r="N64" s="3">
        <v>1987</v>
      </c>
      <c r="O64" s="3">
        <v>1988</v>
      </c>
      <c r="P64" s="3">
        <v>1989</v>
      </c>
      <c r="Q64" s="3">
        <v>1990</v>
      </c>
      <c r="R64" s="3">
        <v>1991</v>
      </c>
      <c r="S64" s="3">
        <v>1992</v>
      </c>
      <c r="T64" s="3">
        <v>1993</v>
      </c>
      <c r="U64" s="3">
        <v>1994</v>
      </c>
      <c r="V64" s="3">
        <v>1995</v>
      </c>
      <c r="W64" s="3">
        <v>1996</v>
      </c>
      <c r="X64" s="3">
        <v>1997</v>
      </c>
      <c r="Y64" s="3">
        <v>1998</v>
      </c>
      <c r="Z64" s="3">
        <v>1999</v>
      </c>
      <c r="AA64" s="3">
        <v>2000</v>
      </c>
      <c r="AB64" s="3">
        <v>2001</v>
      </c>
      <c r="AC64" s="3">
        <v>2002</v>
      </c>
      <c r="AD64" s="3">
        <v>2003</v>
      </c>
      <c r="AE64" s="3">
        <v>2004</v>
      </c>
      <c r="AF64" s="3">
        <v>2005</v>
      </c>
      <c r="AG64" s="3">
        <v>2006</v>
      </c>
      <c r="AH64" s="3">
        <v>2007</v>
      </c>
      <c r="AI64" s="3">
        <v>2008</v>
      </c>
      <c r="AJ64" s="3">
        <v>2009</v>
      </c>
      <c r="AK64" s="3">
        <v>2010</v>
      </c>
      <c r="AL64" s="3">
        <v>2011</v>
      </c>
      <c r="AM64" s="3">
        <v>2012</v>
      </c>
      <c r="AN64" s="3">
        <v>2013</v>
      </c>
      <c r="AO64" s="3">
        <v>2014</v>
      </c>
      <c r="AP64" s="3">
        <v>2015</v>
      </c>
      <c r="AQ64" s="3">
        <v>2016</v>
      </c>
      <c r="AR64" s="3">
        <v>2017</v>
      </c>
      <c r="AS64" s="3">
        <v>2018</v>
      </c>
      <c r="AT64" s="3">
        <v>2019</v>
      </c>
      <c r="AU64" s="3">
        <v>2020</v>
      </c>
      <c r="AV64" s="3">
        <v>2021</v>
      </c>
      <c r="AW64" s="3">
        <v>2022</v>
      </c>
      <c r="AX64" s="3">
        <v>2023</v>
      </c>
      <c r="AY64" s="3">
        <v>2024</v>
      </c>
      <c r="AZ64" s="3">
        <v>2025</v>
      </c>
      <c r="BA64" s="3">
        <v>2026</v>
      </c>
    </row>
    <row r="65" spans="1:53" ht="13.5" thickBot="1">
      <c r="A65" s="111"/>
      <c r="B65" s="112" t="str">
        <f>B$2</f>
        <v>74/75</v>
      </c>
      <c r="C65" s="112" t="str">
        <f t="shared" ref="C65:BA65" si="33">C$2</f>
        <v xml:space="preserve">75/76 </v>
      </c>
      <c r="D65" s="112" t="str">
        <f t="shared" si="33"/>
        <v xml:space="preserve">76/77 </v>
      </c>
      <c r="E65" s="112" t="str">
        <f t="shared" si="33"/>
        <v xml:space="preserve">77/78 </v>
      </c>
      <c r="F65" s="112" t="str">
        <f t="shared" si="33"/>
        <v xml:space="preserve">78/79 </v>
      </c>
      <c r="G65" s="112" t="str">
        <f t="shared" si="33"/>
        <v xml:space="preserve">79/80 </v>
      </c>
      <c r="H65" s="112" t="str">
        <f t="shared" si="33"/>
        <v xml:space="preserve">80/81 </v>
      </c>
      <c r="I65" s="112" t="str">
        <f t="shared" si="33"/>
        <v xml:space="preserve">81/82 </v>
      </c>
      <c r="J65" s="112" t="str">
        <f t="shared" si="33"/>
        <v xml:space="preserve">82/83 </v>
      </c>
      <c r="K65" s="112" t="str">
        <f t="shared" si="33"/>
        <v xml:space="preserve">83/84 </v>
      </c>
      <c r="L65" s="112" t="str">
        <f t="shared" si="33"/>
        <v xml:space="preserve">84/85 </v>
      </c>
      <c r="M65" s="112" t="str">
        <f t="shared" si="33"/>
        <v xml:space="preserve">85/86 </v>
      </c>
      <c r="N65" s="112" t="str">
        <f t="shared" si="33"/>
        <v xml:space="preserve">86/87 </v>
      </c>
      <c r="O65" s="112" t="str">
        <f t="shared" si="33"/>
        <v xml:space="preserve">87/88 </v>
      </c>
      <c r="P65" s="112" t="str">
        <f t="shared" si="33"/>
        <v xml:space="preserve">88/89 </v>
      </c>
      <c r="Q65" s="112" t="str">
        <f t="shared" si="33"/>
        <v xml:space="preserve">89/90 </v>
      </c>
      <c r="R65" s="112" t="str">
        <f t="shared" si="33"/>
        <v xml:space="preserve">90/91 </v>
      </c>
      <c r="S65" s="112" t="str">
        <f t="shared" si="33"/>
        <v xml:space="preserve">91/92 </v>
      </c>
      <c r="T65" s="112" t="str">
        <f t="shared" si="33"/>
        <v xml:space="preserve">92/93 </v>
      </c>
      <c r="U65" s="112" t="str">
        <f t="shared" si="33"/>
        <v xml:space="preserve">93/94 </v>
      </c>
      <c r="V65" s="112" t="str">
        <f t="shared" si="33"/>
        <v xml:space="preserve">94/95 </v>
      </c>
      <c r="W65" s="112" t="str">
        <f t="shared" si="33"/>
        <v xml:space="preserve">95/96 </v>
      </c>
      <c r="X65" s="112" t="str">
        <f t="shared" si="33"/>
        <v xml:space="preserve">96/97 </v>
      </c>
      <c r="Y65" s="112" t="str">
        <f t="shared" si="33"/>
        <v xml:space="preserve">97/98 </v>
      </c>
      <c r="Z65" s="112" t="str">
        <f t="shared" si="33"/>
        <v xml:space="preserve">98/99 </v>
      </c>
      <c r="AA65" s="112" t="str">
        <f t="shared" si="33"/>
        <v xml:space="preserve">99/00 </v>
      </c>
      <c r="AB65" s="112" t="str">
        <f t="shared" si="33"/>
        <v xml:space="preserve">00/01 </v>
      </c>
      <c r="AC65" s="112" t="str">
        <f t="shared" si="33"/>
        <v xml:space="preserve">01/02 </v>
      </c>
      <c r="AD65" s="112" t="str">
        <f t="shared" si="33"/>
        <v xml:space="preserve">02/03 </v>
      </c>
      <c r="AE65" s="112" t="str">
        <f t="shared" si="33"/>
        <v xml:space="preserve">03/04 </v>
      </c>
      <c r="AF65" s="112" t="str">
        <f t="shared" si="33"/>
        <v xml:space="preserve">04/05 </v>
      </c>
      <c r="AG65" s="112" t="str">
        <f t="shared" si="33"/>
        <v xml:space="preserve">05/06 </v>
      </c>
      <c r="AH65" s="112" t="str">
        <f t="shared" si="33"/>
        <v xml:space="preserve">06/07 </v>
      </c>
      <c r="AI65" s="112" t="str">
        <f t="shared" si="33"/>
        <v xml:space="preserve">07/08 </v>
      </c>
      <c r="AJ65" s="112" t="str">
        <f t="shared" si="33"/>
        <v xml:space="preserve">08/09 </v>
      </c>
      <c r="AK65" s="112" t="str">
        <f t="shared" si="33"/>
        <v xml:space="preserve">09/10 </v>
      </c>
      <c r="AL65" s="112" t="str">
        <f t="shared" si="33"/>
        <v xml:space="preserve">10/11 </v>
      </c>
      <c r="AM65" s="112" t="str">
        <f t="shared" si="33"/>
        <v xml:space="preserve">11/12 </v>
      </c>
      <c r="AN65" s="112" t="str">
        <f t="shared" si="33"/>
        <v xml:space="preserve">12/13 </v>
      </c>
      <c r="AO65" s="112" t="str">
        <f t="shared" si="33"/>
        <v xml:space="preserve">13/14 </v>
      </c>
      <c r="AP65" s="112" t="str">
        <f t="shared" si="33"/>
        <v xml:space="preserve">14/15 </v>
      </c>
      <c r="AQ65" s="112" t="str">
        <f t="shared" si="33"/>
        <v xml:space="preserve">15/16 </v>
      </c>
      <c r="AR65" s="112" t="str">
        <f t="shared" si="33"/>
        <v xml:space="preserve">16/17 </v>
      </c>
      <c r="AS65" s="112" t="str">
        <f t="shared" si="33"/>
        <v xml:space="preserve">17/18 </v>
      </c>
      <c r="AT65" s="112" t="str">
        <f t="shared" si="33"/>
        <v xml:space="preserve">18/19 </v>
      </c>
      <c r="AU65" s="112" t="str">
        <f t="shared" si="33"/>
        <v>19/20</v>
      </c>
      <c r="AV65" s="112" t="str">
        <f t="shared" si="33"/>
        <v>20/21</v>
      </c>
      <c r="AW65" s="112" t="str">
        <f t="shared" si="33"/>
        <v>21/22</v>
      </c>
      <c r="AX65" s="112" t="str">
        <f t="shared" si="33"/>
        <v>22/23</v>
      </c>
      <c r="AY65" s="112" t="str">
        <f t="shared" si="33"/>
        <v>23/24</v>
      </c>
      <c r="AZ65" s="112" t="str">
        <f t="shared" si="33"/>
        <v>24/25</v>
      </c>
      <c r="BA65" s="112" t="str">
        <f t="shared" si="33"/>
        <v>25/26</v>
      </c>
    </row>
    <row r="66" spans="1:53">
      <c r="A66" s="113" t="s">
        <v>9</v>
      </c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14">
        <v>3.75</v>
      </c>
      <c r="AC66" s="114">
        <v>3</v>
      </c>
      <c r="AD66" s="114">
        <v>2.9</v>
      </c>
      <c r="AE66" s="114">
        <v>2.8</v>
      </c>
      <c r="AF66" s="114">
        <v>3.4</v>
      </c>
      <c r="AG66" s="114">
        <v>2.95</v>
      </c>
      <c r="AH66" s="114">
        <v>3.45</v>
      </c>
      <c r="AI66" s="114">
        <v>3.9</v>
      </c>
      <c r="AJ66" s="114">
        <v>3.75</v>
      </c>
      <c r="AK66" s="114">
        <v>3.2</v>
      </c>
      <c r="AL66" s="114">
        <v>4.5</v>
      </c>
      <c r="AM66" s="114">
        <v>5.2</v>
      </c>
      <c r="AN66" s="114">
        <v>4.5999999999999996</v>
      </c>
      <c r="AO66" s="114">
        <v>4.5</v>
      </c>
      <c r="AP66" s="114">
        <v>4.2</v>
      </c>
      <c r="AQ66" s="114">
        <v>4.4000000000000004</v>
      </c>
      <c r="AR66" s="114">
        <v>5.5</v>
      </c>
      <c r="AS66" s="114">
        <v>6.45</v>
      </c>
      <c r="AT66" s="114">
        <v>6.9</v>
      </c>
      <c r="AU66" s="114">
        <v>6.9</v>
      </c>
      <c r="AV66" s="114">
        <v>7.1</v>
      </c>
      <c r="AW66" s="114">
        <v>7.7</v>
      </c>
      <c r="AX66" s="114">
        <v>7.6</v>
      </c>
      <c r="AY66" s="114">
        <v>8.4</v>
      </c>
      <c r="AZ66" s="114">
        <v>7.1</v>
      </c>
      <c r="BA66" s="114"/>
    </row>
    <row r="67" spans="1:53" ht="15">
      <c r="A67" s="113" t="s">
        <v>10</v>
      </c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19">
        <v>3.1720000000000002</v>
      </c>
      <c r="AC67" s="119">
        <v>2.66</v>
      </c>
      <c r="AD67" s="119">
        <v>2.855</v>
      </c>
      <c r="AE67" s="119">
        <v>2.754</v>
      </c>
      <c r="AF67" s="119">
        <v>3.383</v>
      </c>
      <c r="AG67" s="119">
        <v>2.891</v>
      </c>
      <c r="AH67" s="119">
        <v>3.3849999999999998</v>
      </c>
      <c r="AI67" s="119">
        <v>3.7330000000000001</v>
      </c>
      <c r="AJ67" s="119">
        <v>3.2650000000000001</v>
      </c>
      <c r="AK67" s="119">
        <v>3.1395</v>
      </c>
      <c r="AL67" s="119">
        <v>4.3369999999999997</v>
      </c>
      <c r="AM67" s="119">
        <v>4.79</v>
      </c>
      <c r="AN67" s="119">
        <v>4.3079999999999998</v>
      </c>
      <c r="AO67" s="119">
        <v>4.33</v>
      </c>
      <c r="AP67" s="119">
        <v>4.03</v>
      </c>
      <c r="AQ67" s="119">
        <v>4.2450000000000001</v>
      </c>
      <c r="AR67" s="119">
        <v>5.2439999999999998</v>
      </c>
      <c r="AS67" s="119">
        <v>6.21</v>
      </c>
      <c r="AT67" s="119">
        <v>6.68</v>
      </c>
      <c r="AU67" s="119">
        <v>6.69</v>
      </c>
      <c r="AV67" s="119">
        <v>6.94</v>
      </c>
      <c r="AW67" s="119">
        <v>7.44</v>
      </c>
      <c r="AX67" s="119">
        <v>7.2005710000000001</v>
      </c>
      <c r="AY67" s="119">
        <v>7.7277440000000004</v>
      </c>
      <c r="AZ67" s="114"/>
      <c r="BA67" s="114"/>
    </row>
    <row r="68" spans="1:53" ht="13.5" thickBot="1">
      <c r="A68" s="116" t="s">
        <v>13</v>
      </c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>
        <v>18.3</v>
      </c>
      <c r="AC68" s="116">
        <v>17</v>
      </c>
      <c r="AD68" s="116">
        <v>20</v>
      </c>
      <c r="AE68" s="116">
        <v>18.5</v>
      </c>
      <c r="AF68" s="116">
        <v>25.6</v>
      </c>
      <c r="AG68" s="116">
        <v>18.7</v>
      </c>
      <c r="AH68" s="116">
        <v>27</v>
      </c>
      <c r="AI68" s="116">
        <v>25.5</v>
      </c>
      <c r="AJ68" s="116">
        <v>19.5</v>
      </c>
      <c r="AK68" s="116">
        <v>27</v>
      </c>
      <c r="AL68" s="116">
        <v>29.5</v>
      </c>
      <c r="AM68" s="116">
        <v>26.5</v>
      </c>
      <c r="AN68" s="116">
        <v>31.5</v>
      </c>
      <c r="AO68" s="116">
        <v>32.5</v>
      </c>
      <c r="AP68" s="116">
        <v>32.5</v>
      </c>
      <c r="AQ68" s="116">
        <v>34.5</v>
      </c>
      <c r="AR68" s="116">
        <v>42</v>
      </c>
      <c r="AS68" s="116">
        <v>37.299999999999997</v>
      </c>
      <c r="AT68" s="116">
        <v>55.5</v>
      </c>
      <c r="AU68" s="116">
        <v>54.5</v>
      </c>
      <c r="AV68" s="116">
        <v>55</v>
      </c>
      <c r="AW68" s="116">
        <v>52</v>
      </c>
      <c r="AX68" s="116">
        <v>37</v>
      </c>
      <c r="AY68" s="116">
        <v>51.6</v>
      </c>
      <c r="AZ68" s="116">
        <v>49</v>
      </c>
      <c r="BA68" s="116"/>
    </row>
    <row r="69" spans="1:53">
      <c r="A69" s="118" t="s">
        <v>122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</row>
    <row r="70" spans="1:53">
      <c r="A70" s="118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</row>
    <row r="71" spans="1:53" ht="13.5" thickBot="1">
      <c r="A71" s="110" t="s">
        <v>123</v>
      </c>
      <c r="B71" s="109"/>
      <c r="C71" s="109"/>
      <c r="D71" s="109"/>
      <c r="E71" s="109"/>
      <c r="F71" s="109"/>
      <c r="G71" s="3">
        <v>1980</v>
      </c>
      <c r="H71" s="3">
        <v>1981</v>
      </c>
      <c r="I71" s="3">
        <v>1982</v>
      </c>
      <c r="J71" s="3">
        <v>1983</v>
      </c>
      <c r="K71" s="3">
        <v>1984</v>
      </c>
      <c r="L71" s="3">
        <v>1985</v>
      </c>
      <c r="M71" s="3">
        <v>1986</v>
      </c>
      <c r="N71" s="3">
        <v>1987</v>
      </c>
      <c r="O71" s="3">
        <v>1988</v>
      </c>
      <c r="P71" s="3">
        <v>1989</v>
      </c>
      <c r="Q71" s="3">
        <v>1990</v>
      </c>
      <c r="R71" s="3">
        <v>1991</v>
      </c>
      <c r="S71" s="3">
        <v>1992</v>
      </c>
      <c r="T71" s="3">
        <v>1993</v>
      </c>
      <c r="U71" s="3">
        <v>1994</v>
      </c>
      <c r="V71" s="3">
        <v>1995</v>
      </c>
      <c r="W71" s="3">
        <v>1996</v>
      </c>
      <c r="X71" s="3">
        <v>1997</v>
      </c>
      <c r="Y71" s="3">
        <v>1998</v>
      </c>
      <c r="Z71" s="3">
        <v>1999</v>
      </c>
      <c r="AA71" s="3">
        <v>2000</v>
      </c>
      <c r="AB71" s="3">
        <v>2001</v>
      </c>
      <c r="AC71" s="3">
        <v>2002</v>
      </c>
      <c r="AD71" s="3">
        <v>2003</v>
      </c>
      <c r="AE71" s="3">
        <v>2004</v>
      </c>
      <c r="AF71" s="3">
        <v>2005</v>
      </c>
      <c r="AG71" s="3">
        <v>2006</v>
      </c>
      <c r="AH71" s="3">
        <v>2007</v>
      </c>
      <c r="AI71" s="3">
        <v>2008</v>
      </c>
      <c r="AJ71" s="3">
        <v>2009</v>
      </c>
      <c r="AK71" s="3">
        <v>2010</v>
      </c>
      <c r="AL71" s="3">
        <v>2011</v>
      </c>
      <c r="AM71" s="3">
        <v>2012</v>
      </c>
      <c r="AN71" s="3">
        <v>2013</v>
      </c>
      <c r="AO71" s="3">
        <v>2014</v>
      </c>
      <c r="AP71" s="3">
        <v>2015</v>
      </c>
      <c r="AQ71" s="3">
        <v>2016</v>
      </c>
      <c r="AR71" s="3">
        <v>2017</v>
      </c>
      <c r="AS71" s="3">
        <v>2018</v>
      </c>
      <c r="AT71" s="3">
        <v>2019</v>
      </c>
      <c r="AU71" s="3">
        <v>2020</v>
      </c>
      <c r="AV71" s="3">
        <v>2021</v>
      </c>
      <c r="AW71" s="3">
        <v>2022</v>
      </c>
      <c r="AX71" s="3">
        <v>2023</v>
      </c>
      <c r="AY71" s="3">
        <v>2024</v>
      </c>
      <c r="AZ71" s="3">
        <v>2025</v>
      </c>
      <c r="BA71" s="3">
        <v>2026</v>
      </c>
    </row>
    <row r="72" spans="1:53" ht="13.5" thickBot="1">
      <c r="A72" s="111"/>
      <c r="B72" s="112" t="str">
        <f>B$2</f>
        <v>74/75</v>
      </c>
      <c r="C72" s="112" t="str">
        <f t="shared" ref="C72:BA72" si="34">C$2</f>
        <v xml:space="preserve">75/76 </v>
      </c>
      <c r="D72" s="112" t="str">
        <f t="shared" si="34"/>
        <v xml:space="preserve">76/77 </v>
      </c>
      <c r="E72" s="112" t="str">
        <f t="shared" si="34"/>
        <v xml:space="preserve">77/78 </v>
      </c>
      <c r="F72" s="112" t="str">
        <f t="shared" si="34"/>
        <v xml:space="preserve">78/79 </v>
      </c>
      <c r="G72" s="112" t="str">
        <f t="shared" si="34"/>
        <v xml:space="preserve">79/80 </v>
      </c>
      <c r="H72" s="112" t="str">
        <f t="shared" si="34"/>
        <v xml:space="preserve">80/81 </v>
      </c>
      <c r="I72" s="112" t="str">
        <f t="shared" si="34"/>
        <v xml:space="preserve">81/82 </v>
      </c>
      <c r="J72" s="112" t="str">
        <f t="shared" si="34"/>
        <v xml:space="preserve">82/83 </v>
      </c>
      <c r="K72" s="112" t="str">
        <f t="shared" si="34"/>
        <v xml:space="preserve">83/84 </v>
      </c>
      <c r="L72" s="112" t="str">
        <f t="shared" si="34"/>
        <v xml:space="preserve">84/85 </v>
      </c>
      <c r="M72" s="112" t="str">
        <f t="shared" si="34"/>
        <v xml:space="preserve">85/86 </v>
      </c>
      <c r="N72" s="112" t="str">
        <f t="shared" si="34"/>
        <v xml:space="preserve">86/87 </v>
      </c>
      <c r="O72" s="112" t="str">
        <f t="shared" si="34"/>
        <v xml:space="preserve">87/88 </v>
      </c>
      <c r="P72" s="112" t="str">
        <f t="shared" si="34"/>
        <v xml:space="preserve">88/89 </v>
      </c>
      <c r="Q72" s="112" t="str">
        <f t="shared" si="34"/>
        <v xml:space="preserve">89/90 </v>
      </c>
      <c r="R72" s="112" t="str">
        <f t="shared" si="34"/>
        <v xml:space="preserve">90/91 </v>
      </c>
      <c r="S72" s="112" t="str">
        <f t="shared" si="34"/>
        <v xml:space="preserve">91/92 </v>
      </c>
      <c r="T72" s="112" t="str">
        <f t="shared" si="34"/>
        <v xml:space="preserve">92/93 </v>
      </c>
      <c r="U72" s="112" t="str">
        <f t="shared" si="34"/>
        <v xml:space="preserve">93/94 </v>
      </c>
      <c r="V72" s="112" t="str">
        <f t="shared" si="34"/>
        <v xml:space="preserve">94/95 </v>
      </c>
      <c r="W72" s="112" t="str">
        <f t="shared" si="34"/>
        <v xml:space="preserve">95/96 </v>
      </c>
      <c r="X72" s="112" t="str">
        <f t="shared" si="34"/>
        <v xml:space="preserve">96/97 </v>
      </c>
      <c r="Y72" s="112" t="str">
        <f t="shared" si="34"/>
        <v xml:space="preserve">97/98 </v>
      </c>
      <c r="Z72" s="112" t="str">
        <f t="shared" si="34"/>
        <v xml:space="preserve">98/99 </v>
      </c>
      <c r="AA72" s="112" t="str">
        <f t="shared" si="34"/>
        <v xml:space="preserve">99/00 </v>
      </c>
      <c r="AB72" s="112" t="str">
        <f t="shared" si="34"/>
        <v xml:space="preserve">00/01 </v>
      </c>
      <c r="AC72" s="112" t="str">
        <f t="shared" si="34"/>
        <v xml:space="preserve">01/02 </v>
      </c>
      <c r="AD72" s="112" t="str">
        <f t="shared" si="34"/>
        <v xml:space="preserve">02/03 </v>
      </c>
      <c r="AE72" s="112" t="str">
        <f t="shared" si="34"/>
        <v xml:space="preserve">03/04 </v>
      </c>
      <c r="AF72" s="112" t="str">
        <f t="shared" si="34"/>
        <v xml:space="preserve">04/05 </v>
      </c>
      <c r="AG72" s="112" t="str">
        <f t="shared" si="34"/>
        <v xml:space="preserve">05/06 </v>
      </c>
      <c r="AH72" s="112" t="str">
        <f t="shared" si="34"/>
        <v xml:space="preserve">06/07 </v>
      </c>
      <c r="AI72" s="112" t="str">
        <f t="shared" si="34"/>
        <v xml:space="preserve">07/08 </v>
      </c>
      <c r="AJ72" s="112" t="str">
        <f t="shared" si="34"/>
        <v xml:space="preserve">08/09 </v>
      </c>
      <c r="AK72" s="112" t="str">
        <f t="shared" si="34"/>
        <v xml:space="preserve">09/10 </v>
      </c>
      <c r="AL72" s="112" t="str">
        <f t="shared" si="34"/>
        <v xml:space="preserve">10/11 </v>
      </c>
      <c r="AM72" s="112" t="str">
        <f t="shared" si="34"/>
        <v xml:space="preserve">11/12 </v>
      </c>
      <c r="AN72" s="112" t="str">
        <f t="shared" si="34"/>
        <v xml:space="preserve">12/13 </v>
      </c>
      <c r="AO72" s="112" t="str">
        <f t="shared" si="34"/>
        <v xml:space="preserve">13/14 </v>
      </c>
      <c r="AP72" s="112" t="str">
        <f t="shared" si="34"/>
        <v xml:space="preserve">14/15 </v>
      </c>
      <c r="AQ72" s="112" t="str">
        <f t="shared" si="34"/>
        <v xml:space="preserve">15/16 </v>
      </c>
      <c r="AR72" s="112" t="str">
        <f t="shared" si="34"/>
        <v xml:space="preserve">16/17 </v>
      </c>
      <c r="AS72" s="112" t="str">
        <f t="shared" si="34"/>
        <v xml:space="preserve">17/18 </v>
      </c>
      <c r="AT72" s="112" t="str">
        <f t="shared" si="34"/>
        <v xml:space="preserve">18/19 </v>
      </c>
      <c r="AU72" s="112" t="str">
        <f t="shared" si="34"/>
        <v>19/20</v>
      </c>
      <c r="AV72" s="112" t="str">
        <f t="shared" si="34"/>
        <v>20/21</v>
      </c>
      <c r="AW72" s="112" t="str">
        <f t="shared" si="34"/>
        <v>21/22</v>
      </c>
      <c r="AX72" s="112" t="str">
        <f t="shared" si="34"/>
        <v>22/23</v>
      </c>
      <c r="AY72" s="112" t="str">
        <f t="shared" si="34"/>
        <v>23/24</v>
      </c>
      <c r="AZ72" s="112" t="str">
        <f t="shared" si="34"/>
        <v>24/25</v>
      </c>
      <c r="BA72" s="112" t="str">
        <f t="shared" si="34"/>
        <v>25/26</v>
      </c>
    </row>
    <row r="73" spans="1:53">
      <c r="A73" s="113" t="s">
        <v>9</v>
      </c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14"/>
      <c r="AV73" s="114"/>
      <c r="AW73" s="114"/>
      <c r="AX73" s="114"/>
      <c r="AY73" s="114"/>
      <c r="AZ73" s="114"/>
      <c r="BA73" s="114"/>
    </row>
    <row r="74" spans="1:53">
      <c r="A74" s="113" t="s">
        <v>10</v>
      </c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7">
        <v>2.8159999999999998</v>
      </c>
      <c r="AC74" s="17">
        <v>2.42</v>
      </c>
      <c r="AD74" s="17">
        <v>2.4500000000000002</v>
      </c>
      <c r="AE74" s="17">
        <v>2.339</v>
      </c>
      <c r="AF74" s="17">
        <v>2.7829999999999999</v>
      </c>
      <c r="AG74" s="17">
        <v>2.44</v>
      </c>
      <c r="AH74" s="17">
        <v>2.8</v>
      </c>
      <c r="AI74" s="17">
        <v>3.4119999999999999</v>
      </c>
      <c r="AJ74" s="17">
        <v>2.5</v>
      </c>
      <c r="AK74" s="17">
        <v>3</v>
      </c>
      <c r="AL74" s="17">
        <v>3.75</v>
      </c>
      <c r="AM74" s="17">
        <v>3.6</v>
      </c>
      <c r="AN74" s="17">
        <v>4.3079999999999998</v>
      </c>
      <c r="AO74" s="17">
        <v>4.33</v>
      </c>
      <c r="AP74" s="17">
        <v>4.03</v>
      </c>
      <c r="AQ74" s="17">
        <v>4.2450000000000001</v>
      </c>
      <c r="AR74" s="17">
        <v>5.2439999999999998</v>
      </c>
      <c r="AS74" s="17">
        <v>6.21</v>
      </c>
      <c r="AT74" s="17">
        <v>6.68</v>
      </c>
      <c r="AU74" s="17">
        <v>6.69</v>
      </c>
      <c r="AV74" s="17">
        <v>6.94</v>
      </c>
      <c r="AW74" s="17">
        <v>7.44</v>
      </c>
      <c r="AX74" s="17">
        <v>6.75</v>
      </c>
      <c r="AY74" s="17">
        <v>7</v>
      </c>
      <c r="AZ74" s="17">
        <v>6.4</v>
      </c>
      <c r="BA74" s="17">
        <v>6.4</v>
      </c>
    </row>
    <row r="75" spans="1:53" ht="13.5" thickBot="1">
      <c r="A75" s="116" t="s">
        <v>13</v>
      </c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>
        <v>15.359</v>
      </c>
      <c r="AC75" s="116">
        <v>14.712</v>
      </c>
      <c r="AD75" s="116">
        <v>15.5</v>
      </c>
      <c r="AE75" s="116">
        <v>14.951000000000001</v>
      </c>
      <c r="AF75" s="116">
        <v>20.483000000000001</v>
      </c>
      <c r="AG75" s="116">
        <v>15.8</v>
      </c>
      <c r="AH75" s="116">
        <v>22.5</v>
      </c>
      <c r="AI75" s="116">
        <v>22.016999999999999</v>
      </c>
      <c r="AJ75" s="116">
        <v>15.5</v>
      </c>
      <c r="AK75" s="116">
        <v>25</v>
      </c>
      <c r="AL75" s="116">
        <v>25.2</v>
      </c>
      <c r="AM75" s="116">
        <v>21</v>
      </c>
      <c r="AN75" s="116">
        <v>31.5</v>
      </c>
      <c r="AO75" s="116">
        <v>32.5</v>
      </c>
      <c r="AP75" s="116">
        <v>32.5</v>
      </c>
      <c r="AQ75" s="116">
        <v>34.5</v>
      </c>
      <c r="AR75" s="116">
        <v>42</v>
      </c>
      <c r="AS75" s="116">
        <v>37.299999999999997</v>
      </c>
      <c r="AT75" s="116">
        <v>55.5</v>
      </c>
      <c r="AU75" s="116">
        <v>54.5</v>
      </c>
      <c r="AV75" s="116">
        <v>55</v>
      </c>
      <c r="AW75" s="116">
        <v>52</v>
      </c>
      <c r="AX75" s="116">
        <v>36</v>
      </c>
      <c r="AY75" s="116">
        <v>53</v>
      </c>
      <c r="AZ75" s="116">
        <v>51</v>
      </c>
      <c r="BA75" s="116">
        <v>51</v>
      </c>
    </row>
    <row r="76" spans="1:53" ht="13.5" customHeight="1">
      <c r="A76" s="109" t="s">
        <v>124</v>
      </c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</row>
    <row r="77" spans="1:53" ht="13.5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</row>
    <row r="78" spans="1:53">
      <c r="A78" s="109" t="s">
        <v>125</v>
      </c>
      <c r="B78" s="32">
        <f>'[4]Argentina Soy Complex'!M$4/1000</f>
        <v>0.4425</v>
      </c>
      <c r="C78" s="32">
        <f>'[4]Argentina Soy Complex'!N$4/1000</f>
        <v>0.71</v>
      </c>
      <c r="D78" s="32">
        <f>'[4]Argentina Soy Complex'!O$4/1000</f>
        <v>1.2</v>
      </c>
      <c r="E78" s="32">
        <f>'[4]Argentina Soy Complex'!P$4/1000</f>
        <v>1.64</v>
      </c>
      <c r="F78" s="32">
        <f>'[4]Argentina Soy Complex'!Q$4/1000</f>
        <v>2.1</v>
      </c>
      <c r="G78" s="32">
        <f>'[4]Argentina Soy Complex'!R$4/1000</f>
        <v>1.925</v>
      </c>
      <c r="H78" s="32">
        <f>'[4]Argentina Soy Complex'!S$4/1000</f>
        <v>2.04</v>
      </c>
      <c r="I78" s="32">
        <f>'[4]Argentina Soy Complex'!T$4/1000</f>
        <v>2.3620000000000001</v>
      </c>
      <c r="J78" s="32">
        <f>'[4]Argentina Soy Complex'!U$4/1000</f>
        <v>2.92</v>
      </c>
      <c r="K78" s="32">
        <f>'[4]Argentina Soy Complex'!V$4/1000</f>
        <v>3.3</v>
      </c>
      <c r="L78" s="32">
        <f>'[4]Argentina Soy Complex'!W$4/1000</f>
        <v>3.34</v>
      </c>
      <c r="M78" s="32">
        <f>'[4]Argentina Soy Complex'!X$4/1000</f>
        <v>3.6840000000000002</v>
      </c>
      <c r="N78" s="32">
        <f>'[4]Argentina Soy Complex'!Y$4/1000</f>
        <v>4.4130000000000003</v>
      </c>
      <c r="O78" s="32">
        <f>'[4]Argentina Soy Complex'!Z$4/1000</f>
        <v>4.67</v>
      </c>
      <c r="P78" s="32">
        <f>'[4]Argentina Soy Complex'!AA$4/1000</f>
        <v>5.0999999999999996</v>
      </c>
      <c r="Q78" s="32">
        <f>'[4]Argentina Soy Complex'!AB$4/1000</f>
        <v>4.9661999999999997</v>
      </c>
      <c r="R78" s="32">
        <f>'[4]Argentina Soy Complex'!AC$4/1000</f>
        <v>5.0030000000000001</v>
      </c>
      <c r="S78" s="32">
        <f>'[4]Argentina Soy Complex'!AD$4/1000</f>
        <v>5.3184100000000001</v>
      </c>
      <c r="T78" s="32">
        <f>'[4]Argentina Soy Complex'!AE$4/1000</f>
        <v>5.8174899999999994</v>
      </c>
      <c r="U78" s="32">
        <f>'[4]Argentina Soy Complex'!AF$4/1000</f>
        <v>6.0112399999999999</v>
      </c>
      <c r="V78" s="32">
        <f>'[4]Argentina Soy Complex'!AG$4/1000</f>
        <v>6.0021550000000001</v>
      </c>
      <c r="W78" s="32">
        <f>'[4]Argentina Soy Complex'!AH$4/1000</f>
        <v>6.6695000000000002</v>
      </c>
      <c r="X78" s="32">
        <f>'[4]Argentina Soy Complex'!AI$4/1000</f>
        <v>7.1762499999999996</v>
      </c>
      <c r="Y78" s="32">
        <f>'[4]Argentina Soy Complex'!AJ$4/1000</f>
        <v>8.4</v>
      </c>
      <c r="Z78" s="32">
        <f>'[4]Argentina Soy Complex'!AK$4/1000</f>
        <v>8.7904999999999998</v>
      </c>
      <c r="AA78" s="32">
        <f>'[4]Argentina Soy Complex'!AL$4/1000</f>
        <v>10.92733</v>
      </c>
      <c r="AB78" s="32">
        <f>'[4]Argentina Soy Complex'!AM$4/1000</f>
        <v>11.63766</v>
      </c>
      <c r="AC78" s="32">
        <f>'[4]Argentina Soy Complex'!AN$4/1000</f>
        <v>12.606845</v>
      </c>
      <c r="AD78" s="32">
        <f>'[4]Argentina Soy Complex'!AO$4/1000</f>
        <v>14.526605999999999</v>
      </c>
      <c r="AE78" s="32">
        <f>'[4]Argentina Soy Complex'!AP$4/1000</f>
        <v>14.401921</v>
      </c>
      <c r="AF78" s="32">
        <f>'[4]Argentina Soy Complex'!AQ$4/1000</f>
        <v>15.393473999999999</v>
      </c>
      <c r="AG78" s="32">
        <f>'[4]Argentina Soy Complex'!AR$4/1000</f>
        <v>16.141338000000001</v>
      </c>
      <c r="AH78" s="32">
        <f>'[4]Argentina Soy Complex'!AS$4/1000</f>
        <v>17.980895</v>
      </c>
      <c r="AI78" s="32">
        <f>'[4]Argentina Soy Complex'!AT$4/1000</f>
        <v>18.392752000000002</v>
      </c>
      <c r="AJ78" s="32">
        <f>'[4]Argentina Soy Complex'!AU$4/1000</f>
        <v>18.870651000000002</v>
      </c>
      <c r="AK78" s="32">
        <f>'[4]Argentina Soy Complex'!AV$4/1000</f>
        <v>18.664148000000001</v>
      </c>
      <c r="AL78" s="32">
        <f>'[4]Argentina Soy Complex'!AW$4/1000</f>
        <v>19.902072</v>
      </c>
      <c r="AM78" s="32">
        <f>'[4]Argentina Soy Complex'!AX$4/1000</f>
        <v>19.705342000000002</v>
      </c>
      <c r="AN78" s="32">
        <f>'[4]Argentina Soy Complex'!AY$4/1000</f>
        <v>19.792099999999998</v>
      </c>
      <c r="AO78" s="32">
        <f>'[4]Argentina Soy Complex'!AZ$4/1000</f>
        <v>20.562232999999999</v>
      </c>
      <c r="AP78" s="32">
        <f>'[4]Argentina Soy Complex'!BA$4/1000</f>
        <v>18.057162000000002</v>
      </c>
      <c r="AQ78" s="32">
        <f>'[4]Argentina Soy Complex'!BB$4/1000</f>
        <v>17.259259999999998</v>
      </c>
      <c r="AR78" s="32">
        <f>'[4]Argentina Soy Complex'!BC$4/1000</f>
        <v>17.010276999999999</v>
      </c>
      <c r="AS78" s="32">
        <f>'[4]Argentina Soy Complex'!BD$4/1000</f>
        <v>16.908238000000001</v>
      </c>
      <c r="AT78" s="32">
        <f>'[4]Argentina Soy Complex'!BE$4/1000</f>
        <v>16.650093000000002</v>
      </c>
      <c r="AU78" s="32">
        <f>'[4]Argentina Soy Complex'!BF$4/1000</f>
        <v>16.094383000000001</v>
      </c>
      <c r="AV78" s="32">
        <f>'[4]Argentina Soy Complex'!BG$4/1000</f>
        <v>16.350000000000001</v>
      </c>
      <c r="AW78" s="32">
        <f>'[4]Argentina Soy Complex'!BH$4/1000</f>
        <v>15.97</v>
      </c>
      <c r="AX78" s="32">
        <f>'[4]Argentina Soy Complex'!BI$4/1000</f>
        <v>16.5</v>
      </c>
      <c r="AY78" s="32">
        <f>'[4]Argentina Soy Complex'!BJ$4/1000</f>
        <v>19</v>
      </c>
      <c r="AZ78" s="32">
        <f>'[4]Argentina Soy Complex'!BK$4/1000</f>
        <v>18</v>
      </c>
      <c r="BA78" s="32">
        <f>'[4]Argentina Soy Complex'!BL$4/1000</f>
        <v>18.25</v>
      </c>
    </row>
    <row r="79" spans="1:53">
      <c r="A79" s="109" t="s">
        <v>126</v>
      </c>
      <c r="B79" s="32">
        <v>5.1827800000000002</v>
      </c>
      <c r="C79" s="32">
        <v>5.7527999999999997</v>
      </c>
      <c r="D79" s="32">
        <v>7.1918199999999999</v>
      </c>
      <c r="E79" s="32">
        <v>4.59985</v>
      </c>
      <c r="F79" s="32">
        <v>5.2298600000000004</v>
      </c>
      <c r="G79" s="32">
        <v>4.9998500000000003</v>
      </c>
      <c r="H79" s="32">
        <v>6.1958700000000002</v>
      </c>
      <c r="I79" s="32">
        <v>6.5658099999999999</v>
      </c>
      <c r="J79" s="32">
        <v>7.4097999999999997</v>
      </c>
      <c r="K79" s="32">
        <v>7.1998600000000001</v>
      </c>
      <c r="L79" s="32">
        <v>6</v>
      </c>
      <c r="M79" s="32">
        <v>5.7</v>
      </c>
      <c r="N79" s="32">
        <v>5</v>
      </c>
      <c r="O79" s="32">
        <v>4.8499999999999996</v>
      </c>
      <c r="P79" s="32">
        <v>4.75</v>
      </c>
      <c r="Q79" s="32">
        <v>5.5</v>
      </c>
      <c r="R79" s="32">
        <v>6.1783999999999999</v>
      </c>
      <c r="S79" s="32">
        <v>4.7508499999999998</v>
      </c>
      <c r="T79" s="32">
        <v>4.5476999999999999</v>
      </c>
      <c r="U79" s="32">
        <v>4.9099000000000004</v>
      </c>
      <c r="V79" s="32">
        <v>5.3078500000000002</v>
      </c>
      <c r="W79" s="32">
        <v>5.0877999999999997</v>
      </c>
      <c r="X79" s="32">
        <v>7.3668500000000003</v>
      </c>
      <c r="Y79" s="32">
        <v>5.9186649999999998</v>
      </c>
      <c r="Z79" s="32">
        <v>5.4532499999999997</v>
      </c>
      <c r="AA79" s="32">
        <v>6.3</v>
      </c>
      <c r="AB79" s="32">
        <v>6.4965999999999999</v>
      </c>
      <c r="AC79" s="32">
        <v>7.1089000000000002</v>
      </c>
      <c r="AD79" s="32">
        <v>6.3002099999999999</v>
      </c>
      <c r="AE79" s="32">
        <v>6.0398569999999996</v>
      </c>
      <c r="AF79" s="32">
        <v>6.2553650000000003</v>
      </c>
      <c r="AG79" s="32">
        <v>5.2224849999999998</v>
      </c>
      <c r="AH79" s="32">
        <v>5.6759750000000002</v>
      </c>
      <c r="AI79" s="32">
        <v>5.9515770000000003</v>
      </c>
      <c r="AJ79" s="32">
        <v>4.7337350000000002</v>
      </c>
      <c r="AK79" s="32">
        <v>3.556705</v>
      </c>
      <c r="AL79" s="32">
        <v>4.5822500000000002</v>
      </c>
      <c r="AM79" s="32">
        <v>4.6306000000000003</v>
      </c>
      <c r="AN79" s="32">
        <v>3.1621380000000001</v>
      </c>
      <c r="AO79" s="32">
        <v>3.6480700000000001</v>
      </c>
      <c r="AP79" s="32">
        <v>5.2610849999999996</v>
      </c>
      <c r="AQ79" s="32">
        <v>4.3811280000000004</v>
      </c>
      <c r="AR79" s="32">
        <v>6.3640150000000002</v>
      </c>
      <c r="AS79" s="32">
        <v>5.9276099999999996</v>
      </c>
      <c r="AT79" s="32">
        <v>6.2871490000000003</v>
      </c>
      <c r="AU79" s="32">
        <v>6.9511710000000004</v>
      </c>
      <c r="AV79" s="32">
        <v>6.7298980000000004</v>
      </c>
      <c r="AW79" s="32">
        <v>6.7517290000000001</v>
      </c>
      <c r="AX79" s="32">
        <v>6.1</v>
      </c>
      <c r="AY79" s="32">
        <v>6.2</v>
      </c>
      <c r="AZ79" s="32">
        <v>7.2</v>
      </c>
      <c r="BA79" s="32">
        <v>8.1999999999999993</v>
      </c>
    </row>
    <row r="80" spans="1:53">
      <c r="A80" s="109" t="s">
        <v>127</v>
      </c>
      <c r="B80" s="32">
        <f>B79+B78+B59</f>
        <v>9.4951299999999996</v>
      </c>
      <c r="C80" s="32">
        <f t="shared" ref="C80:BA80" si="35">C79+C78+C59</f>
        <v>10.1577</v>
      </c>
      <c r="D80" s="32">
        <f t="shared" si="35"/>
        <v>11.370719999999999</v>
      </c>
      <c r="E80" s="32">
        <f t="shared" si="35"/>
        <v>9.3390500000000003</v>
      </c>
      <c r="F80" s="32">
        <f t="shared" si="35"/>
        <v>10.62921</v>
      </c>
      <c r="G80" s="32">
        <f t="shared" si="35"/>
        <v>10.234300000000001</v>
      </c>
      <c r="H80" s="32">
        <f t="shared" si="35"/>
        <v>12.235420000000001</v>
      </c>
      <c r="I80" s="32">
        <f t="shared" si="35"/>
        <v>12.62246</v>
      </c>
      <c r="J80" s="32">
        <f t="shared" si="35"/>
        <v>13.769299999999998</v>
      </c>
      <c r="K80" s="32">
        <f t="shared" si="35"/>
        <v>13.98296</v>
      </c>
      <c r="L80" s="32">
        <f t="shared" si="35"/>
        <v>12.959899999999999</v>
      </c>
      <c r="M80" s="32">
        <f t="shared" si="35"/>
        <v>13.203800000000001</v>
      </c>
      <c r="N80" s="32">
        <f t="shared" si="35"/>
        <v>13.06288</v>
      </c>
      <c r="O80" s="32">
        <f t="shared" si="35"/>
        <v>12.344894</v>
      </c>
      <c r="P80" s="32">
        <f t="shared" si="35"/>
        <v>12.534800000000001</v>
      </c>
      <c r="Q80" s="32">
        <f t="shared" si="35"/>
        <v>12.536020000000001</v>
      </c>
      <c r="R80" s="32">
        <f t="shared" si="35"/>
        <v>13.341100000000001</v>
      </c>
      <c r="S80" s="32">
        <f t="shared" si="35"/>
        <v>12.753260000000001</v>
      </c>
      <c r="T80" s="32">
        <f t="shared" si="35"/>
        <v>13.326009999999998</v>
      </c>
      <c r="U80" s="32">
        <f t="shared" si="35"/>
        <v>13.701720000000002</v>
      </c>
      <c r="V80" s="32">
        <f t="shared" si="35"/>
        <v>14.267205000000001</v>
      </c>
      <c r="W80" s="32">
        <f t="shared" si="35"/>
        <v>15.171650000000001</v>
      </c>
      <c r="X80" s="32">
        <f t="shared" si="35"/>
        <v>18.696300000000001</v>
      </c>
      <c r="Y80" s="32">
        <f t="shared" si="35"/>
        <v>18.070294999999998</v>
      </c>
      <c r="Z80" s="32">
        <f t="shared" si="35"/>
        <v>17.5138</v>
      </c>
      <c r="AA80" s="32">
        <f t="shared" si="35"/>
        <v>20.87923</v>
      </c>
      <c r="AB80" s="32">
        <f t="shared" si="35"/>
        <v>21.628783000000002</v>
      </c>
      <c r="AC80" s="32">
        <f t="shared" si="35"/>
        <v>22.777405999999999</v>
      </c>
      <c r="AD80" s="32">
        <f t="shared" si="35"/>
        <v>23.88719</v>
      </c>
      <c r="AE80" s="32">
        <f t="shared" si="35"/>
        <v>23.404177999999998</v>
      </c>
      <c r="AF80" s="32">
        <f t="shared" si="35"/>
        <v>25.052675999999998</v>
      </c>
      <c r="AG80" s="32">
        <f t="shared" si="35"/>
        <v>24.554262999999999</v>
      </c>
      <c r="AH80" s="32">
        <f t="shared" si="35"/>
        <v>27.235105000000001</v>
      </c>
      <c r="AI80" s="32">
        <f t="shared" si="35"/>
        <v>28.582658000000002</v>
      </c>
      <c r="AJ80" s="32">
        <f t="shared" si="35"/>
        <v>27.105714000000003</v>
      </c>
      <c r="AK80" s="32">
        <f t="shared" si="35"/>
        <v>25.892113000000002</v>
      </c>
      <c r="AL80" s="32">
        <f t="shared" si="35"/>
        <v>29.045423</v>
      </c>
      <c r="AM80" s="32">
        <f t="shared" si="35"/>
        <v>29.336272000000001</v>
      </c>
      <c r="AN80" s="32">
        <f t="shared" si="35"/>
        <v>29.087615999999997</v>
      </c>
      <c r="AO80" s="32">
        <f t="shared" si="35"/>
        <v>30.309187999999999</v>
      </c>
      <c r="AP80" s="32">
        <f t="shared" si="35"/>
        <v>29.352727000000002</v>
      </c>
      <c r="AQ80" s="32">
        <f t="shared" si="35"/>
        <v>28.544925999999997</v>
      </c>
      <c r="AR80" s="32">
        <f t="shared" si="35"/>
        <v>31.860985999999997</v>
      </c>
      <c r="AS80" s="32">
        <f t="shared" si="35"/>
        <v>31.975614</v>
      </c>
      <c r="AT80" s="32">
        <f t="shared" si="35"/>
        <v>31.976835999999999</v>
      </c>
      <c r="AU80" s="32">
        <f t="shared" si="35"/>
        <v>32.550027</v>
      </c>
      <c r="AV80" s="32">
        <f t="shared" si="35"/>
        <v>32.822127999999999</v>
      </c>
      <c r="AW80" s="32">
        <f t="shared" si="35"/>
        <v>33.321728999999998</v>
      </c>
      <c r="AX80" s="32">
        <f t="shared" si="35"/>
        <v>33.1</v>
      </c>
      <c r="AY80" s="32">
        <f t="shared" si="35"/>
        <v>35.762076000000164</v>
      </c>
      <c r="AZ80" s="32">
        <f t="shared" si="35"/>
        <v>25.2</v>
      </c>
      <c r="BA80" s="32">
        <f t="shared" si="35"/>
        <v>26.45</v>
      </c>
    </row>
    <row r="81" spans="1:50">
      <c r="A81" s="109" t="s">
        <v>128</v>
      </c>
    </row>
    <row r="82" spans="1:50">
      <c r="A82" s="109"/>
    </row>
    <row r="83" spans="1:50" ht="15.75">
      <c r="A83" s="120" t="s">
        <v>129</v>
      </c>
      <c r="I83" s="42">
        <f t="shared" ref="I83:AX83" si="36">SUM(I32:I37,J26:J31)</f>
        <v>6122.2</v>
      </c>
      <c r="J83" s="42">
        <f t="shared" si="36"/>
        <v>6098.6</v>
      </c>
      <c r="K83" s="42">
        <f t="shared" si="36"/>
        <v>7102.4000000000005</v>
      </c>
      <c r="L83" s="42">
        <f t="shared" si="36"/>
        <v>7259.5</v>
      </c>
      <c r="M83" s="42">
        <f t="shared" si="36"/>
        <v>4166.8</v>
      </c>
      <c r="N83" s="42">
        <f t="shared" si="36"/>
        <v>3525.9999999999995</v>
      </c>
      <c r="O83" s="42">
        <f t="shared" si="36"/>
        <v>2686.3999999999996</v>
      </c>
      <c r="P83" s="42">
        <f t="shared" si="36"/>
        <v>2971.7999999999997</v>
      </c>
      <c r="Q83" s="42">
        <f t="shared" si="36"/>
        <v>3644.2999999999997</v>
      </c>
      <c r="R83" s="42">
        <f t="shared" si="36"/>
        <v>5813.2840000000006</v>
      </c>
      <c r="S83" s="42">
        <f t="shared" si="36"/>
        <v>4655.5609999999997</v>
      </c>
      <c r="T83" s="42">
        <f t="shared" si="36"/>
        <v>4181.4070000000002</v>
      </c>
      <c r="U83" s="42">
        <f t="shared" si="36"/>
        <v>5975.8249999999998</v>
      </c>
      <c r="V83" s="42">
        <f t="shared" si="36"/>
        <v>6817.5830000000005</v>
      </c>
      <c r="W83" s="42">
        <f t="shared" si="36"/>
        <v>9881.1790000000001</v>
      </c>
      <c r="X83" s="42">
        <f t="shared" si="36"/>
        <v>12922.761</v>
      </c>
      <c r="Y83" s="42">
        <f t="shared" si="36"/>
        <v>8382.1880000000001</v>
      </c>
      <c r="Z83" s="42">
        <f t="shared" si="36"/>
        <v>8504.3369999999995</v>
      </c>
      <c r="AA83" s="42">
        <f t="shared" si="36"/>
        <v>12198.192999999999</v>
      </c>
      <c r="AB83" s="42" t="e">
        <f t="shared" si="36"/>
        <v>#REF!</v>
      </c>
      <c r="AC83" s="42">
        <f t="shared" si="36"/>
        <v>9227.607</v>
      </c>
      <c r="AD83" s="42">
        <f t="shared" si="36"/>
        <v>6148.6790000000001</v>
      </c>
      <c r="AE83" s="42">
        <f t="shared" si="36"/>
        <v>9493.0570000000007</v>
      </c>
      <c r="AF83" s="42">
        <f t="shared" si="36"/>
        <v>7453.74</v>
      </c>
      <c r="AG83" s="42">
        <f t="shared" si="36"/>
        <v>8508.4650000000001</v>
      </c>
      <c r="AH83" s="42">
        <f t="shared" si="36"/>
        <v>14348.232999999997</v>
      </c>
      <c r="AI83" s="42">
        <f t="shared" si="36"/>
        <v>6596.0480000000007</v>
      </c>
      <c r="AJ83" s="42">
        <f t="shared" si="36"/>
        <v>12326.117196000003</v>
      </c>
      <c r="AK83" s="42">
        <f t="shared" si="36"/>
        <v>15353.05429</v>
      </c>
      <c r="AL83" s="42">
        <f t="shared" si="36"/>
        <v>16355.528669000003</v>
      </c>
      <c r="AM83" s="42">
        <f t="shared" si="36"/>
        <v>22995.241320000001</v>
      </c>
      <c r="AN83" s="42">
        <f t="shared" si="36"/>
        <v>12304.652043999999</v>
      </c>
      <c r="AO83" s="42">
        <f t="shared" si="36"/>
        <v>18377.410929999998</v>
      </c>
      <c r="AP83" s="42">
        <f t="shared" si="36"/>
        <v>21264.847639</v>
      </c>
      <c r="AQ83" s="42">
        <f t="shared" si="36"/>
        <v>22774.336486999993</v>
      </c>
      <c r="AR83" s="42">
        <f t="shared" si="36"/>
        <v>24380.280683000005</v>
      </c>
      <c r="AS83" s="42">
        <f t="shared" si="36"/>
        <v>31433.685610999997</v>
      </c>
      <c r="AT83" s="42">
        <f t="shared" si="36"/>
        <v>40167.336935000007</v>
      </c>
      <c r="AU83" s="42">
        <f t="shared" si="36"/>
        <v>35226.805888999996</v>
      </c>
      <c r="AV83" s="42">
        <f t="shared" si="36"/>
        <v>40368.013621000006</v>
      </c>
      <c r="AW83" s="107">
        <f t="shared" si="36"/>
        <v>25744.6623</v>
      </c>
      <c r="AX83" s="107">
        <f t="shared" si="36"/>
        <v>30743.175727000002</v>
      </c>
    </row>
    <row r="84" spans="1:50" ht="15.75">
      <c r="A84" s="120" t="s">
        <v>130</v>
      </c>
      <c r="I84" s="42">
        <f t="shared" ref="I84:AX84" si="37">SUM(I33:I37,J26:J32)</f>
        <v>6510.3</v>
      </c>
      <c r="J84" s="42">
        <f t="shared" si="37"/>
        <v>5885.7000000000007</v>
      </c>
      <c r="K84" s="42">
        <f t="shared" si="37"/>
        <v>7064.2</v>
      </c>
      <c r="L84" s="42">
        <f t="shared" si="37"/>
        <v>7393.4</v>
      </c>
      <c r="M84" s="42">
        <f t="shared" si="37"/>
        <v>3966.6000000000004</v>
      </c>
      <c r="N84" s="42">
        <f t="shared" si="37"/>
        <v>3665.2</v>
      </c>
      <c r="O84" s="42">
        <f t="shared" si="37"/>
        <v>2500.1999999999998</v>
      </c>
      <c r="P84" s="42">
        <f t="shared" si="37"/>
        <v>3039.2999999999997</v>
      </c>
      <c r="Q84" s="42">
        <f t="shared" si="37"/>
        <v>3649.6</v>
      </c>
      <c r="R84" s="42">
        <f t="shared" si="37"/>
        <v>5913.2840000000006</v>
      </c>
      <c r="S84" s="42">
        <f t="shared" si="37"/>
        <v>4625.3499999999995</v>
      </c>
      <c r="T84" s="42">
        <f t="shared" si="37"/>
        <v>4180.82</v>
      </c>
      <c r="U84" s="42">
        <f t="shared" si="37"/>
        <v>6098.2</v>
      </c>
      <c r="V84" s="42">
        <f t="shared" si="37"/>
        <v>6761.8879999999999</v>
      </c>
      <c r="W84" s="42">
        <f t="shared" si="37"/>
        <v>10242.703000000001</v>
      </c>
      <c r="X84" s="42">
        <f t="shared" si="37"/>
        <v>12803.097000000002</v>
      </c>
      <c r="Y84" s="42">
        <f t="shared" si="37"/>
        <v>7979.1590000000006</v>
      </c>
      <c r="Z84" s="42">
        <f t="shared" si="37"/>
        <v>9003.33</v>
      </c>
      <c r="AA84" s="42">
        <f t="shared" si="37"/>
        <v>12398.007999999998</v>
      </c>
      <c r="AB84" s="42" t="e">
        <f t="shared" si="37"/>
        <v>#REF!</v>
      </c>
      <c r="AC84" s="42">
        <f t="shared" si="37"/>
        <v>8623.5229999999992</v>
      </c>
      <c r="AD84" s="42">
        <f t="shared" si="37"/>
        <v>6741.2439999999997</v>
      </c>
      <c r="AE84" s="42">
        <f t="shared" si="37"/>
        <v>9567.9440000000013</v>
      </c>
      <c r="AF84" s="42">
        <f t="shared" si="37"/>
        <v>7249.4039999999995</v>
      </c>
      <c r="AG84" s="42">
        <f t="shared" si="37"/>
        <v>9560.0199999999986</v>
      </c>
      <c r="AH84" s="42">
        <f t="shared" si="37"/>
        <v>13838.620999999999</v>
      </c>
      <c r="AI84" s="42">
        <f t="shared" si="37"/>
        <v>5589.9800000000005</v>
      </c>
      <c r="AJ84" s="42">
        <f t="shared" si="37"/>
        <v>13239.861431000001</v>
      </c>
      <c r="AK84" s="42">
        <f t="shared" si="37"/>
        <v>15197.8685</v>
      </c>
      <c r="AL84" s="42">
        <f t="shared" si="37"/>
        <v>16500.833458000001</v>
      </c>
      <c r="AM84" s="42">
        <f t="shared" si="37"/>
        <v>22788.566407999999</v>
      </c>
      <c r="AN84" s="42">
        <f t="shared" si="37"/>
        <v>12846.34167</v>
      </c>
      <c r="AO84" s="42">
        <f t="shared" si="37"/>
        <v>18448.375022</v>
      </c>
      <c r="AP84" s="42">
        <f t="shared" si="37"/>
        <v>21679.373613</v>
      </c>
      <c r="AQ84" s="42">
        <f t="shared" si="37"/>
        <v>22950.548809</v>
      </c>
      <c r="AR84" s="42">
        <f t="shared" si="37"/>
        <v>24196.738928999999</v>
      </c>
      <c r="AS84" s="42">
        <f t="shared" si="37"/>
        <v>32879.432526000004</v>
      </c>
      <c r="AT84" s="42">
        <f t="shared" si="37"/>
        <v>39935.531732000003</v>
      </c>
      <c r="AU84" s="42">
        <f t="shared" si="37"/>
        <v>36548.751845999999</v>
      </c>
      <c r="AV84" s="42">
        <f t="shared" si="37"/>
        <v>38854.12141</v>
      </c>
      <c r="AW84" s="107">
        <f t="shared" si="37"/>
        <v>25740.289347999998</v>
      </c>
      <c r="AX84" s="107">
        <f t="shared" si="37"/>
        <v>30622.807638999999</v>
      </c>
    </row>
    <row r="85" spans="1:50">
      <c r="A85" s="109"/>
    </row>
    <row r="86" spans="1:50">
      <c r="A86" s="109"/>
    </row>
    <row r="87" spans="1:50">
      <c r="A87" s="109" t="s">
        <v>131</v>
      </c>
    </row>
    <row r="88" spans="1:50">
      <c r="A88" s="109" t="s">
        <v>132</v>
      </c>
    </row>
    <row r="89" spans="1:50">
      <c r="A89" s="109"/>
    </row>
    <row r="90" spans="1:50">
      <c r="A90" s="3" t="s">
        <v>133</v>
      </c>
      <c r="B90" s="42">
        <v>7700</v>
      </c>
      <c r="C90" s="42">
        <v>5855</v>
      </c>
      <c r="D90" s="42">
        <v>8300</v>
      </c>
      <c r="E90" s="42">
        <v>9700</v>
      </c>
      <c r="F90" s="42">
        <v>9000</v>
      </c>
      <c r="G90" s="42">
        <v>6400</v>
      </c>
      <c r="H90" s="42">
        <v>12900</v>
      </c>
      <c r="I90" s="42">
        <v>9600</v>
      </c>
      <c r="J90" s="42">
        <v>9000</v>
      </c>
      <c r="K90" s="42">
        <v>9500</v>
      </c>
      <c r="L90" s="42">
        <v>11900</v>
      </c>
      <c r="M90" s="42">
        <v>12400</v>
      </c>
      <c r="N90" s="42">
        <v>9250</v>
      </c>
      <c r="O90" s="42">
        <v>9200</v>
      </c>
      <c r="P90" s="42">
        <v>4900</v>
      </c>
      <c r="Q90" s="42">
        <v>5200</v>
      </c>
      <c r="R90" s="42">
        <v>7685</v>
      </c>
      <c r="S90" s="42">
        <v>10600</v>
      </c>
      <c r="T90" s="42">
        <v>10200</v>
      </c>
      <c r="U90" s="42">
        <v>10000</v>
      </c>
      <c r="V90" s="42">
        <v>11404</v>
      </c>
      <c r="W90" s="42">
        <v>11100</v>
      </c>
      <c r="X90" s="42">
        <v>15537</v>
      </c>
      <c r="Y90" s="42">
        <v>19361</v>
      </c>
      <c r="Z90" s="42">
        <v>13504</v>
      </c>
      <c r="AA90" s="42">
        <v>17200</v>
      </c>
      <c r="AB90" s="42">
        <v>15359</v>
      </c>
      <c r="AC90" s="42">
        <v>14712</v>
      </c>
      <c r="AD90" s="42">
        <v>15500</v>
      </c>
      <c r="AE90" s="42">
        <v>14951</v>
      </c>
      <c r="AF90" s="42">
        <v>20483</v>
      </c>
      <c r="AG90" s="42">
        <v>15800</v>
      </c>
      <c r="AH90" s="42">
        <v>22500</v>
      </c>
      <c r="AI90" s="42">
        <v>22017</v>
      </c>
      <c r="AJ90" s="42">
        <v>15500</v>
      </c>
      <c r="AK90" s="42">
        <v>25000</v>
      </c>
      <c r="AL90" s="42">
        <v>25200</v>
      </c>
      <c r="AM90" s="42">
        <v>21000</v>
      </c>
      <c r="AN90" s="42">
        <v>27000</v>
      </c>
      <c r="AO90" s="42">
        <v>26000</v>
      </c>
      <c r="AP90" s="42">
        <v>29750</v>
      </c>
      <c r="AQ90" s="42">
        <v>29500</v>
      </c>
      <c r="AR90" s="42">
        <v>41000</v>
      </c>
      <c r="AS90" s="42">
        <v>32000</v>
      </c>
      <c r="AT90" s="42">
        <v>51000</v>
      </c>
      <c r="AU90" s="42">
        <v>51000</v>
      </c>
      <c r="AV90" s="42">
        <v>52000</v>
      </c>
      <c r="AW90" s="42">
        <v>51500</v>
      </c>
      <c r="AX90" s="42">
        <v>37000</v>
      </c>
    </row>
    <row r="91" spans="1:50">
      <c r="B91" s="121">
        <f>B90/1000-B61</f>
        <v>1.2499999999997513E-3</v>
      </c>
      <c r="C91" s="121">
        <f t="shared" ref="C91:AX91" si="38">C90/1000-C61</f>
        <v>9.1000000000018844E-4</v>
      </c>
      <c r="D91" s="121">
        <f t="shared" si="38"/>
        <v>1.4479999999998938E-3</v>
      </c>
      <c r="E91" s="121">
        <f t="shared" si="38"/>
        <v>1.4500000000001734E-3</v>
      </c>
      <c r="F91" s="121">
        <f t="shared" si="38"/>
        <v>0.30091999999999963</v>
      </c>
      <c r="G91" s="121">
        <f t="shared" si="38"/>
        <v>7.8000000000066905E-4</v>
      </c>
      <c r="H91" s="121">
        <f t="shared" si="38"/>
        <v>8.4999999999979536E-4</v>
      </c>
      <c r="I91" s="121">
        <f t="shared" si="38"/>
        <v>8.7499999999884892E-4</v>
      </c>
      <c r="J91" s="121">
        <f t="shared" si="38"/>
        <v>9.9999999999944578E-4</v>
      </c>
      <c r="K91" s="121">
        <f t="shared" si="38"/>
        <v>2.6100000000006673E-3</v>
      </c>
      <c r="L91" s="121">
        <f t="shared" si="38"/>
        <v>2.7000000000043656E-4</v>
      </c>
      <c r="M91" s="121">
        <f t="shared" si="38"/>
        <v>0.30049999999999955</v>
      </c>
      <c r="N91" s="121">
        <f t="shared" si="38"/>
        <v>2.7000000000043656E-4</v>
      </c>
      <c r="O91" s="121">
        <f t="shared" si="38"/>
        <v>3.0999999999892225E-4</v>
      </c>
      <c r="P91" s="121">
        <f t="shared" si="38"/>
        <v>3.800000000007131E-4</v>
      </c>
      <c r="Q91" s="121">
        <f t="shared" si="38"/>
        <v>-0.19958000000000009</v>
      </c>
      <c r="R91" s="121">
        <f t="shared" si="38"/>
        <v>1.1999999999998678E-3</v>
      </c>
      <c r="S91" s="121">
        <f t="shared" si="38"/>
        <v>-9.6000000000000085E-2</v>
      </c>
      <c r="T91" s="121">
        <f t="shared" si="38"/>
        <v>-0.6955000000000009</v>
      </c>
      <c r="U91" s="121">
        <f t="shared" si="38"/>
        <v>-0.35720000000000063</v>
      </c>
      <c r="V91" s="121">
        <f t="shared" si="38"/>
        <v>1.4590000000005432E-3</v>
      </c>
      <c r="W91" s="121">
        <f t="shared" si="38"/>
        <v>0.58236999999999917</v>
      </c>
      <c r="X91" s="121">
        <f t="shared" si="38"/>
        <v>8.8000000000043599E-4</v>
      </c>
      <c r="Y91" s="121">
        <f t="shared" si="38"/>
        <v>3.4499999999937359E-4</v>
      </c>
      <c r="Z91" s="121">
        <f t="shared" si="38"/>
        <v>6.0000000000037801E-4</v>
      </c>
      <c r="AA91" s="121">
        <f t="shared" si="38"/>
        <v>0.41934999999999789</v>
      </c>
      <c r="AB91" s="121">
        <f t="shared" si="38"/>
        <v>-3.9699999999953661E-4</v>
      </c>
      <c r="AC91" s="121">
        <f t="shared" si="38"/>
        <v>-8.0000000000524096E-5</v>
      </c>
      <c r="AD91" s="121">
        <f t="shared" si="38"/>
        <v>0.49778099999999981</v>
      </c>
      <c r="AE91" s="121">
        <f t="shared" si="38"/>
        <v>0.13221200000000088</v>
      </c>
      <c r="AF91" s="121">
        <f t="shared" si="38"/>
        <v>4.2799999999942884E-4</v>
      </c>
      <c r="AG91" s="121">
        <f t="shared" si="38"/>
        <v>1.3544619999999998</v>
      </c>
      <c r="AH91" s="121">
        <f t="shared" si="38"/>
        <v>0.74463499999999883</v>
      </c>
      <c r="AI91" s="121">
        <f t="shared" si="38"/>
        <v>-9.8030000000015605E-3</v>
      </c>
      <c r="AJ91" s="121">
        <f t="shared" si="38"/>
        <v>2.3655639999999991</v>
      </c>
      <c r="AK91" s="121">
        <f t="shared" si="38"/>
        <v>2.3369040000000005</v>
      </c>
      <c r="AL91" s="121">
        <f t="shared" si="38"/>
        <v>1.4001699999999992</v>
      </c>
      <c r="AM91" s="121">
        <f t="shared" si="38"/>
        <v>-0.19663699999999906</v>
      </c>
      <c r="AN91" s="121">
        <f t="shared" si="38"/>
        <v>-5.0457510000000028</v>
      </c>
      <c r="AO91" s="121">
        <f t="shared" si="38"/>
        <v>-7.0871649999999988</v>
      </c>
      <c r="AP91" s="121">
        <f t="shared" si="38"/>
        <v>-4.0674490000000034</v>
      </c>
      <c r="AQ91" s="121">
        <f t="shared" si="38"/>
        <v>-10.292853999999998</v>
      </c>
      <c r="AR91" s="121">
        <f t="shared" si="38"/>
        <v>-8.4903260000000031</v>
      </c>
      <c r="AS91" s="121">
        <f t="shared" si="38"/>
        <v>-11.462322999999998</v>
      </c>
      <c r="AT91" s="121">
        <f t="shared" si="38"/>
        <v>-5.8607039999999984</v>
      </c>
      <c r="AU91" s="121">
        <f t="shared" si="38"/>
        <v>-7.3958110000000019</v>
      </c>
      <c r="AV91" s="121">
        <f t="shared" si="38"/>
        <v>-8.5258049999999983</v>
      </c>
      <c r="AW91" s="121">
        <f t="shared" si="38"/>
        <v>-7.5371790000000018</v>
      </c>
      <c r="AX91" s="121">
        <f t="shared" si="38"/>
        <v>-4.3999999999999986</v>
      </c>
    </row>
    <row r="92" spans="1:50">
      <c r="AX92" s="121">
        <f>AX90/1000-AVERAGE(AN91:AW91)</f>
        <v>44.576536699999998</v>
      </c>
    </row>
    <row r="95" spans="1:50">
      <c r="AX95" s="32">
        <f>AX9-7.5</f>
        <v>29.5</v>
      </c>
    </row>
    <row r="98" spans="1:54" ht="16.5" thickBot="1">
      <c r="A98" s="93" t="s">
        <v>134</v>
      </c>
      <c r="BB98" s="122" t="s">
        <v>135</v>
      </c>
    </row>
    <row r="99" spans="1:54" ht="13.5" thickBot="1">
      <c r="A99" s="95"/>
      <c r="B99" s="95" t="str">
        <f t="shared" ref="B99:AW99" si="39">B2</f>
        <v>74/75</v>
      </c>
      <c r="C99" s="95" t="str">
        <f t="shared" si="39"/>
        <v xml:space="preserve">75/76 </v>
      </c>
      <c r="D99" s="95" t="str">
        <f t="shared" si="39"/>
        <v xml:space="preserve">76/77 </v>
      </c>
      <c r="E99" s="95" t="str">
        <f t="shared" si="39"/>
        <v xml:space="preserve">77/78 </v>
      </c>
      <c r="F99" s="95" t="str">
        <f t="shared" si="39"/>
        <v xml:space="preserve">78/79 </v>
      </c>
      <c r="G99" s="95" t="str">
        <f t="shared" si="39"/>
        <v xml:space="preserve">79/80 </v>
      </c>
      <c r="H99" s="95" t="str">
        <f t="shared" si="39"/>
        <v xml:space="preserve">80/81 </v>
      </c>
      <c r="I99" s="95" t="str">
        <f t="shared" si="39"/>
        <v xml:space="preserve">81/82 </v>
      </c>
      <c r="J99" s="95" t="str">
        <f t="shared" si="39"/>
        <v xml:space="preserve">82/83 </v>
      </c>
      <c r="K99" s="95" t="str">
        <f t="shared" si="39"/>
        <v xml:space="preserve">83/84 </v>
      </c>
      <c r="L99" s="95" t="str">
        <f t="shared" si="39"/>
        <v xml:space="preserve">84/85 </v>
      </c>
      <c r="M99" s="95" t="str">
        <f t="shared" si="39"/>
        <v xml:space="preserve">85/86 </v>
      </c>
      <c r="N99" s="95" t="str">
        <f t="shared" si="39"/>
        <v xml:space="preserve">86/87 </v>
      </c>
      <c r="O99" s="95" t="str">
        <f t="shared" si="39"/>
        <v xml:space="preserve">87/88 </v>
      </c>
      <c r="P99" s="95" t="str">
        <f t="shared" si="39"/>
        <v xml:space="preserve">88/89 </v>
      </c>
      <c r="Q99" s="95" t="str">
        <f t="shared" si="39"/>
        <v xml:space="preserve">89/90 </v>
      </c>
      <c r="R99" s="95" t="str">
        <f t="shared" si="39"/>
        <v xml:space="preserve">90/91 </v>
      </c>
      <c r="S99" s="95" t="str">
        <f t="shared" si="39"/>
        <v xml:space="preserve">91/92 </v>
      </c>
      <c r="T99" s="95" t="str">
        <f t="shared" si="39"/>
        <v xml:space="preserve">92/93 </v>
      </c>
      <c r="U99" s="95" t="str">
        <f t="shared" si="39"/>
        <v xml:space="preserve">93/94 </v>
      </c>
      <c r="V99" s="95" t="str">
        <f t="shared" si="39"/>
        <v xml:space="preserve">94/95 </v>
      </c>
      <c r="W99" s="95" t="str">
        <f t="shared" si="39"/>
        <v xml:space="preserve">95/96 </v>
      </c>
      <c r="X99" s="95" t="str">
        <f t="shared" si="39"/>
        <v xml:space="preserve">96/97 </v>
      </c>
      <c r="Y99" s="95" t="str">
        <f t="shared" si="39"/>
        <v xml:space="preserve">97/98 </v>
      </c>
      <c r="Z99" s="95" t="str">
        <f t="shared" si="39"/>
        <v xml:space="preserve">98/99 </v>
      </c>
      <c r="AA99" s="95" t="str">
        <f t="shared" si="39"/>
        <v xml:space="preserve">99/00 </v>
      </c>
      <c r="AB99" s="95" t="str">
        <f t="shared" si="39"/>
        <v xml:space="preserve">00/01 </v>
      </c>
      <c r="AC99" s="95" t="str">
        <f t="shared" si="39"/>
        <v xml:space="preserve">01/02 </v>
      </c>
      <c r="AD99" s="95" t="str">
        <f t="shared" si="39"/>
        <v xml:space="preserve">02/03 </v>
      </c>
      <c r="AE99" s="95" t="str">
        <f t="shared" si="39"/>
        <v xml:space="preserve">03/04 </v>
      </c>
      <c r="AF99" s="95" t="str">
        <f t="shared" si="39"/>
        <v xml:space="preserve">04/05 </v>
      </c>
      <c r="AG99" s="95" t="str">
        <f t="shared" si="39"/>
        <v xml:space="preserve">05/06 </v>
      </c>
      <c r="AH99" s="95" t="str">
        <f t="shared" si="39"/>
        <v xml:space="preserve">06/07 </v>
      </c>
      <c r="AI99" s="95" t="str">
        <f t="shared" si="39"/>
        <v xml:space="preserve">07/08 </v>
      </c>
      <c r="AJ99" s="95" t="str">
        <f t="shared" si="39"/>
        <v xml:space="preserve">08/09 </v>
      </c>
      <c r="AK99" s="95" t="str">
        <f t="shared" si="39"/>
        <v xml:space="preserve">09/10 </v>
      </c>
      <c r="AL99" s="95" t="str">
        <f t="shared" si="39"/>
        <v xml:space="preserve">10/11 </v>
      </c>
      <c r="AM99" s="95" t="str">
        <f t="shared" si="39"/>
        <v xml:space="preserve">11/12 </v>
      </c>
      <c r="AN99" s="95" t="str">
        <f t="shared" si="39"/>
        <v xml:space="preserve">12/13 </v>
      </c>
      <c r="AO99" s="95" t="str">
        <f t="shared" si="39"/>
        <v xml:space="preserve">13/14 </v>
      </c>
      <c r="AP99" s="95" t="str">
        <f t="shared" si="39"/>
        <v xml:space="preserve">14/15 </v>
      </c>
      <c r="AQ99" s="95" t="str">
        <f t="shared" si="39"/>
        <v xml:space="preserve">15/16 </v>
      </c>
      <c r="AR99" s="95" t="str">
        <f t="shared" si="39"/>
        <v xml:space="preserve">16/17 </v>
      </c>
      <c r="AS99" s="95" t="str">
        <f t="shared" si="39"/>
        <v xml:space="preserve">17/18 </v>
      </c>
      <c r="AT99" s="95" t="str">
        <f t="shared" si="39"/>
        <v xml:space="preserve">18/19 </v>
      </c>
      <c r="AU99" s="95" t="str">
        <f t="shared" si="39"/>
        <v>19/20</v>
      </c>
      <c r="AV99" s="95" t="str">
        <f t="shared" si="39"/>
        <v>20/21</v>
      </c>
      <c r="AW99" s="95" t="str">
        <f t="shared" si="39"/>
        <v>21/22</v>
      </c>
      <c r="AX99" s="95" t="str">
        <f>AX2</f>
        <v>22/23</v>
      </c>
      <c r="AY99" s="95" t="str">
        <f>AY2</f>
        <v>23/24</v>
      </c>
      <c r="AZ99" s="95" t="str">
        <f>AZ2</f>
        <v>24/25</v>
      </c>
      <c r="BA99" s="95" t="str">
        <f>BA2</f>
        <v>25/26</v>
      </c>
    </row>
    <row r="100" spans="1:54" ht="15.75">
      <c r="A100" s="93" t="s">
        <v>79</v>
      </c>
      <c r="AI100" s="32"/>
      <c r="AJ100" s="32"/>
      <c r="AK100" s="32"/>
      <c r="AL100" s="32"/>
      <c r="AM100" s="32"/>
      <c r="AN100" s="32"/>
      <c r="AO100" s="32"/>
      <c r="AP100" s="32">
        <v>457.36700000000002</v>
      </c>
      <c r="AQ100" s="32">
        <v>466.50200000000001</v>
      </c>
      <c r="AR100" s="32">
        <v>479.87299999999999</v>
      </c>
      <c r="AS100" s="32">
        <v>517.59900000000005</v>
      </c>
      <c r="AT100" s="32">
        <v>504.97</v>
      </c>
      <c r="AU100" s="32">
        <v>531.721</v>
      </c>
      <c r="AV100" s="32">
        <v>598.33799999999997</v>
      </c>
      <c r="AW100" s="32">
        <v>598.33799999999997</v>
      </c>
      <c r="AX100" s="32">
        <v>627.42600000000004</v>
      </c>
      <c r="AY100" s="32">
        <v>660.95899999999995</v>
      </c>
      <c r="AZ100" s="32">
        <v>551.66099999999994</v>
      </c>
      <c r="BA100" s="32">
        <v>571.54499999999996</v>
      </c>
    </row>
    <row r="101" spans="1:54" ht="15.75">
      <c r="A101" s="93" t="s">
        <v>80</v>
      </c>
      <c r="AI101" s="32"/>
      <c r="AJ101" s="32"/>
      <c r="AK101" s="32"/>
      <c r="AL101" s="32"/>
      <c r="AM101" s="32"/>
      <c r="AN101" s="32"/>
      <c r="AO101" s="32"/>
      <c r="AP101" s="32">
        <v>447.589</v>
      </c>
      <c r="AQ101" s="32">
        <v>457.09899999999999</v>
      </c>
      <c r="AR101" s="32">
        <v>449.43099999999998</v>
      </c>
      <c r="AS101" s="32">
        <v>516.93299999999999</v>
      </c>
      <c r="AT101" s="32">
        <v>524.16899999999998</v>
      </c>
      <c r="AU101" s="32">
        <v>472.93200000000002</v>
      </c>
      <c r="AV101" s="32">
        <v>575.99</v>
      </c>
      <c r="AW101" s="32">
        <v>575.99</v>
      </c>
      <c r="AX101" s="32">
        <v>611.96199999999999</v>
      </c>
      <c r="AY101" s="32">
        <v>636.96900000000005</v>
      </c>
      <c r="AZ101" s="32">
        <v>525.14800000000002</v>
      </c>
      <c r="BA101" s="32">
        <v>587.00800000000004</v>
      </c>
    </row>
    <row r="102" spans="1:54" ht="15.75">
      <c r="A102" s="93" t="s">
        <v>81</v>
      </c>
      <c r="AI102" s="32"/>
      <c r="AJ102" s="32"/>
      <c r="AK102" s="32"/>
      <c r="AL102" s="32"/>
      <c r="AM102" s="32"/>
      <c r="AN102" s="32"/>
      <c r="AO102" s="32"/>
      <c r="AP102" s="32">
        <v>462.22899999999998</v>
      </c>
      <c r="AQ102" s="32">
        <v>417.92</v>
      </c>
      <c r="AR102" s="32">
        <v>455.56</v>
      </c>
      <c r="AS102" s="32">
        <v>519.92399999999998</v>
      </c>
      <c r="AT102" s="32">
        <v>520.625</v>
      </c>
      <c r="AU102" s="32">
        <v>499.73700000000002</v>
      </c>
      <c r="AV102" s="32">
        <v>535.82399999999996</v>
      </c>
      <c r="AW102" s="32">
        <v>535.82399999999996</v>
      </c>
      <c r="AX102" s="32">
        <v>635.79899999999998</v>
      </c>
      <c r="AY102" s="32">
        <v>654.48400000000004</v>
      </c>
      <c r="AZ102" s="32">
        <v>578.24599999999998</v>
      </c>
      <c r="BA102" s="32">
        <v>605.774</v>
      </c>
    </row>
    <row r="103" spans="1:54" ht="15.75">
      <c r="A103" s="93" t="s">
        <v>82</v>
      </c>
      <c r="AI103" s="32"/>
      <c r="AJ103" s="32"/>
      <c r="AK103" s="32"/>
      <c r="AL103" s="32"/>
      <c r="AM103" s="32"/>
      <c r="AN103" s="32"/>
      <c r="AO103" s="32"/>
      <c r="AP103" s="32">
        <v>463.036</v>
      </c>
      <c r="AQ103" s="32">
        <v>404.03500000000003</v>
      </c>
      <c r="AR103" s="32">
        <v>471.38299999999998</v>
      </c>
      <c r="AS103" s="32">
        <v>494.87400000000002</v>
      </c>
      <c r="AT103" s="32">
        <v>471.72899999999998</v>
      </c>
      <c r="AU103" s="32">
        <v>530.39700000000005</v>
      </c>
      <c r="AV103" s="32">
        <v>517.99699999999996</v>
      </c>
      <c r="AW103" s="32">
        <v>517.99699999999996</v>
      </c>
      <c r="AX103" s="32">
        <v>611.81700000000001</v>
      </c>
      <c r="AY103" s="32">
        <v>654.85900000000004</v>
      </c>
      <c r="AZ103" s="32">
        <v>550.41700000000003</v>
      </c>
      <c r="BA103" s="32">
        <v>598.99400000000003</v>
      </c>
    </row>
    <row r="104" spans="1:54" ht="15.75">
      <c r="A104" s="93" t="s">
        <v>83</v>
      </c>
      <c r="AI104" s="32"/>
      <c r="AJ104" s="32"/>
      <c r="AK104" s="32"/>
      <c r="AL104" s="32"/>
      <c r="AM104" s="32"/>
      <c r="AN104" s="32"/>
      <c r="AO104" s="32"/>
      <c r="AP104" s="32">
        <v>489.87400000000002</v>
      </c>
      <c r="AQ104" s="32">
        <v>425.78699999999998</v>
      </c>
      <c r="AR104" s="32">
        <v>475.23500000000001</v>
      </c>
      <c r="AS104" s="32">
        <v>514.49699999999996</v>
      </c>
      <c r="AT104" s="32">
        <v>518.72699999999998</v>
      </c>
      <c r="AU104" s="32">
        <v>571.97799999999995</v>
      </c>
      <c r="AV104" s="32">
        <v>862.63199999999995</v>
      </c>
      <c r="AW104" s="32">
        <v>562.63199999999995</v>
      </c>
      <c r="AX104" s="32">
        <v>602.053</v>
      </c>
      <c r="AY104" s="32">
        <v>654.90599999999995</v>
      </c>
      <c r="AZ104" s="32">
        <v>625.51099999999997</v>
      </c>
      <c r="BA104" s="32">
        <v>637.92499999999995</v>
      </c>
    </row>
    <row r="105" spans="1:54" ht="15.75">
      <c r="A105" s="93" t="s">
        <v>84</v>
      </c>
      <c r="AI105" s="32"/>
      <c r="AJ105" s="32"/>
      <c r="AK105" s="32"/>
      <c r="AL105" s="32"/>
      <c r="AM105" s="32"/>
      <c r="AN105" s="32"/>
      <c r="AO105" s="32"/>
      <c r="AP105" s="32">
        <v>441.255</v>
      </c>
      <c r="AQ105" s="32">
        <v>463.20600000000002</v>
      </c>
      <c r="AR105" s="32">
        <v>483.26799999999997</v>
      </c>
      <c r="AS105" s="32">
        <v>522.93100000000004</v>
      </c>
      <c r="AT105" s="32">
        <v>511.22699999999998</v>
      </c>
      <c r="AU105" s="32">
        <v>570.71600000000001</v>
      </c>
      <c r="AV105" s="32">
        <v>597.245</v>
      </c>
      <c r="AW105" s="32">
        <v>597.245</v>
      </c>
      <c r="AX105" s="32">
        <v>636.82399999999996</v>
      </c>
      <c r="AY105" s="32">
        <v>662.68299999999999</v>
      </c>
      <c r="AZ105" s="32">
        <v>623.53399999999999</v>
      </c>
      <c r="BA105" s="32">
        <v>628.02800000000002</v>
      </c>
    </row>
    <row r="106" spans="1:54" ht="15.75">
      <c r="A106" s="93" t="s">
        <v>73</v>
      </c>
      <c r="AI106" s="32"/>
      <c r="AJ106" s="32"/>
      <c r="AK106" s="32"/>
      <c r="AL106" s="32"/>
      <c r="AM106" s="32"/>
      <c r="AN106" s="32"/>
      <c r="AO106" s="32"/>
      <c r="AP106" s="32">
        <v>493.84100000000001</v>
      </c>
      <c r="AQ106" s="32">
        <v>448.78399999999999</v>
      </c>
      <c r="AR106" s="32">
        <v>487.01900000000001</v>
      </c>
      <c r="AS106" s="32">
        <v>495.63</v>
      </c>
      <c r="AT106" s="32">
        <v>516.05600000000004</v>
      </c>
      <c r="AU106" s="32">
        <v>560.18600000000004</v>
      </c>
      <c r="AV106" s="32">
        <v>608.93499999999995</v>
      </c>
      <c r="AW106" s="32">
        <v>608.93499999999995</v>
      </c>
      <c r="AX106" s="32">
        <v>620.08699999999999</v>
      </c>
      <c r="AY106" s="32">
        <v>636.38099999999997</v>
      </c>
      <c r="AZ106" s="32">
        <v>598.29600000000005</v>
      </c>
      <c r="BA106" s="32">
        <v>591.89700000000005</v>
      </c>
    </row>
    <row r="107" spans="1:54" ht="15.75">
      <c r="A107" s="93" t="s">
        <v>74</v>
      </c>
      <c r="AI107" s="32"/>
      <c r="AJ107" s="32"/>
      <c r="AK107" s="32"/>
      <c r="AL107" s="32"/>
      <c r="AM107" s="32"/>
      <c r="AN107" s="32"/>
      <c r="AO107" s="32"/>
      <c r="AP107" s="32">
        <v>503.22800000000001</v>
      </c>
      <c r="AQ107" s="32">
        <v>420.64699999999999</v>
      </c>
      <c r="AR107" s="32">
        <v>506.35899999999998</v>
      </c>
      <c r="AS107" s="32">
        <v>532.67100000000005</v>
      </c>
      <c r="AT107" s="32">
        <v>550.73599999999999</v>
      </c>
      <c r="AU107" s="32">
        <v>585.32299999999998</v>
      </c>
      <c r="AV107" s="32">
        <v>611.96100000000001</v>
      </c>
      <c r="AW107" s="32">
        <v>611.96100000000001</v>
      </c>
      <c r="AX107" s="32">
        <v>625.01400000000001</v>
      </c>
      <c r="AY107" s="32">
        <v>644.69000000000005</v>
      </c>
      <c r="AZ107" s="32">
        <v>634.68299999999999</v>
      </c>
      <c r="BA107" s="108">
        <f t="shared" ref="BA107:BA110" si="40">BA$112*(SUM(AV107:AZ107)/SUM(AV$112:AZ$112))</f>
        <v>666.93436256299185</v>
      </c>
    </row>
    <row r="108" spans="1:54" ht="15.75">
      <c r="A108" s="93" t="s">
        <v>75</v>
      </c>
      <c r="AI108" s="32"/>
      <c r="AJ108" s="32"/>
      <c r="AK108" s="32"/>
      <c r="AL108" s="32"/>
      <c r="AM108" s="32"/>
      <c r="AN108" s="32"/>
      <c r="AO108" s="32"/>
      <c r="AP108" s="32">
        <v>448.15800000000002</v>
      </c>
      <c r="AQ108" s="32">
        <v>449.96600000000001</v>
      </c>
      <c r="AR108" s="32">
        <v>502.22500000000002</v>
      </c>
      <c r="AS108" s="32">
        <v>530.76</v>
      </c>
      <c r="AT108" s="32">
        <v>541.98800000000006</v>
      </c>
      <c r="AU108" s="32">
        <v>548.23699999999997</v>
      </c>
      <c r="AV108" s="32">
        <v>621.54</v>
      </c>
      <c r="AW108" s="32">
        <v>621.54</v>
      </c>
      <c r="AX108" s="32">
        <v>598.88099999999997</v>
      </c>
      <c r="AY108" s="32">
        <v>654.66399999999999</v>
      </c>
      <c r="AZ108" s="32">
        <v>609.245</v>
      </c>
      <c r="BA108" s="108">
        <f t="shared" si="40"/>
        <v>662.15051922732675</v>
      </c>
    </row>
    <row r="109" spans="1:54" ht="15.75">
      <c r="A109" s="93" t="s">
        <v>76</v>
      </c>
      <c r="AI109" s="32"/>
      <c r="AJ109" s="32"/>
      <c r="AK109" s="32"/>
      <c r="AL109" s="32"/>
      <c r="AM109" s="32"/>
      <c r="AN109" s="32"/>
      <c r="AO109" s="32"/>
      <c r="AP109" s="32">
        <v>456.947</v>
      </c>
      <c r="AQ109" s="32">
        <v>406.86599999999999</v>
      </c>
      <c r="AR109" s="32">
        <v>472.79899999999998</v>
      </c>
      <c r="AS109" s="32">
        <v>537.59199999999998</v>
      </c>
      <c r="AT109" s="32">
        <v>531.77200000000005</v>
      </c>
      <c r="AU109" s="32">
        <v>539.92899999999997</v>
      </c>
      <c r="AV109" s="32">
        <v>627.04999999999995</v>
      </c>
      <c r="AW109" s="32">
        <v>627.04999999999995</v>
      </c>
      <c r="AX109" s="32">
        <v>618.38599999999997</v>
      </c>
      <c r="AY109" s="32">
        <v>597.42100000000005</v>
      </c>
      <c r="AZ109" s="32">
        <v>600.726</v>
      </c>
      <c r="BA109" s="108">
        <f t="shared" si="40"/>
        <v>654.63822867878059</v>
      </c>
    </row>
    <row r="110" spans="1:54" ht="15.75">
      <c r="A110" s="93" t="s">
        <v>77</v>
      </c>
      <c r="AI110" s="32"/>
      <c r="AJ110" s="32"/>
      <c r="AK110" s="32"/>
      <c r="AL110" s="32"/>
      <c r="AM110" s="32"/>
      <c r="AN110" s="32"/>
      <c r="AO110" s="32">
        <v>434.90100000000001</v>
      </c>
      <c r="AP110" s="32">
        <v>451.41399999999999</v>
      </c>
      <c r="AQ110" s="32">
        <v>442.81900000000002</v>
      </c>
      <c r="AR110" s="32">
        <v>506.26900000000001</v>
      </c>
      <c r="AS110" s="32">
        <v>498.06700000000001</v>
      </c>
      <c r="AT110" s="32">
        <v>520.04999999999995</v>
      </c>
      <c r="AU110" s="32">
        <v>525.78399999999999</v>
      </c>
      <c r="AV110" s="32">
        <v>525.78399999999999</v>
      </c>
      <c r="AW110" s="32">
        <v>578.63499999999999</v>
      </c>
      <c r="AX110" s="32">
        <v>610.64200000000005</v>
      </c>
      <c r="AY110" s="32">
        <v>597.05200000000002</v>
      </c>
      <c r="AZ110" s="32">
        <v>590.16</v>
      </c>
      <c r="BA110" s="108">
        <f t="shared" si="40"/>
        <v>618.74501311692086</v>
      </c>
    </row>
    <row r="111" spans="1:54" ht="15.75">
      <c r="A111" s="93" t="s">
        <v>78</v>
      </c>
      <c r="AI111" s="32"/>
      <c r="AJ111" s="32"/>
      <c r="AK111" s="32"/>
      <c r="AL111" s="32"/>
      <c r="AM111" s="32"/>
      <c r="AN111" s="32"/>
      <c r="AO111" s="32">
        <v>417.92899999999997</v>
      </c>
      <c r="AP111" s="32">
        <v>416.10599999999999</v>
      </c>
      <c r="AQ111" s="32">
        <v>391.67500000000001</v>
      </c>
      <c r="AR111" s="32">
        <v>460.50700000000001</v>
      </c>
      <c r="AS111" s="32">
        <v>465.11799999999999</v>
      </c>
      <c r="AT111" s="32">
        <v>471.56799999999998</v>
      </c>
      <c r="AU111" s="32">
        <v>529.16399999999999</v>
      </c>
      <c r="AV111" s="32">
        <v>529.16399999999999</v>
      </c>
      <c r="AW111" s="32">
        <v>555.21299999999997</v>
      </c>
      <c r="AX111" s="32">
        <v>565.77800000000002</v>
      </c>
      <c r="AY111" s="32">
        <v>545.05399999999997</v>
      </c>
      <c r="AZ111" s="32">
        <v>541.21699999999998</v>
      </c>
      <c r="BA111" s="108">
        <f>BA112-SUM(BA100:BA110)</f>
        <v>893.41394784253225</v>
      </c>
    </row>
    <row r="112" spans="1:54" ht="16.5" thickBot="1">
      <c r="A112" s="93" t="s">
        <v>85</v>
      </c>
      <c r="AI112" s="32"/>
      <c r="AJ112" s="32"/>
      <c r="AK112" s="32"/>
      <c r="AL112" s="32"/>
      <c r="AM112" s="32"/>
      <c r="AN112" s="32"/>
      <c r="AO112" s="32"/>
      <c r="AP112" s="32">
        <f t="shared" ref="AP112:AZ112" si="41">SUM(AP100:AP111)</f>
        <v>5531.0439999999999</v>
      </c>
      <c r="AQ112" s="32">
        <f t="shared" si="41"/>
        <v>5195.3060000000005</v>
      </c>
      <c r="AR112" s="32">
        <f t="shared" si="41"/>
        <v>5749.9279999999999</v>
      </c>
      <c r="AS112" s="32">
        <f t="shared" si="41"/>
        <v>6146.5960000000005</v>
      </c>
      <c r="AT112" s="32">
        <f t="shared" si="41"/>
        <v>6183.6170000000011</v>
      </c>
      <c r="AU112" s="32">
        <f t="shared" si="41"/>
        <v>6466.1040000000003</v>
      </c>
      <c r="AV112" s="32">
        <f t="shared" si="41"/>
        <v>7212.4599999999991</v>
      </c>
      <c r="AW112" s="32">
        <f t="shared" si="41"/>
        <v>6991.36</v>
      </c>
      <c r="AX112" s="32">
        <f t="shared" si="41"/>
        <v>7364.6689999999999</v>
      </c>
      <c r="AY112" s="32">
        <f t="shared" si="41"/>
        <v>7600.1220000000003</v>
      </c>
      <c r="AZ112" s="32">
        <f t="shared" si="41"/>
        <v>7028.8439999999991</v>
      </c>
      <c r="BA112" s="108">
        <f>BA13*1000</f>
        <v>7717.0530714285524</v>
      </c>
    </row>
    <row r="113" spans="1:53" ht="15.75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  <c r="AM113" s="98"/>
      <c r="AN113" s="98"/>
      <c r="AO113" s="98"/>
      <c r="AP113" s="98"/>
      <c r="AQ113" s="98"/>
      <c r="AR113" s="98"/>
      <c r="AS113" s="98"/>
      <c r="AT113" s="98"/>
      <c r="AU113" s="98"/>
      <c r="AV113" s="98"/>
      <c r="AW113" s="98"/>
      <c r="AX113" s="98"/>
      <c r="AY113" s="98"/>
      <c r="AZ113" s="98"/>
      <c r="BA113" s="98"/>
    </row>
    <row r="114" spans="1:53" ht="15.75">
      <c r="A114" s="93" t="s">
        <v>136</v>
      </c>
    </row>
    <row r="115" spans="1:53" ht="15.75">
      <c r="A115" s="93" t="s">
        <v>137</v>
      </c>
      <c r="AI115" s="3">
        <v>2009</v>
      </c>
      <c r="AJ115" s="3">
        <v>2010</v>
      </c>
      <c r="AK115" s="3">
        <v>2011</v>
      </c>
      <c r="AL115" s="3">
        <v>2012</v>
      </c>
      <c r="AM115" s="3">
        <v>2013</v>
      </c>
      <c r="AN115" s="3">
        <v>2014</v>
      </c>
      <c r="AO115" s="3">
        <v>2015</v>
      </c>
      <c r="AP115" s="3">
        <v>2016</v>
      </c>
      <c r="AQ115" s="3">
        <v>2017</v>
      </c>
      <c r="AR115" s="3">
        <v>2018</v>
      </c>
      <c r="AS115" s="3">
        <v>2019</v>
      </c>
      <c r="AT115" s="3">
        <v>2020</v>
      </c>
      <c r="AU115" s="3">
        <v>2021</v>
      </c>
      <c r="AV115" s="3">
        <v>2022</v>
      </c>
      <c r="AW115" s="3">
        <v>2023</v>
      </c>
      <c r="AX115" s="81">
        <v>2024</v>
      </c>
      <c r="AY115" s="81">
        <v>2025</v>
      </c>
      <c r="AZ115" s="81">
        <v>2026</v>
      </c>
      <c r="BA115" s="81">
        <v>2027</v>
      </c>
    </row>
    <row r="116" spans="1:53" ht="15.75">
      <c r="A116" s="93" t="s">
        <v>138</v>
      </c>
      <c r="AM116" s="32">
        <v>11.045</v>
      </c>
      <c r="AN116" s="32">
        <v>12.013</v>
      </c>
      <c r="AO116" s="32">
        <v>13.617000000000001</v>
      </c>
      <c r="AP116" s="32">
        <v>13.173999999999999</v>
      </c>
      <c r="AQ116" s="32">
        <v>15.843999999999999</v>
      </c>
      <c r="AR116" s="108">
        <f>AR$120*(SUM(AM116:AQ116)/SUM(AM$120:AQ$120))</f>
        <v>14.323701699582212</v>
      </c>
      <c r="AS116" s="108">
        <f t="shared" ref="AS116:BA118" si="42">AS$120*(SUM(AN116:AR116)/SUM(AN$120:AR$120))</f>
        <v>14.52795088016922</v>
      </c>
      <c r="AT116" s="108">
        <f t="shared" si="42"/>
        <v>14.145443295570953</v>
      </c>
      <c r="AU116" s="108">
        <f t="shared" si="42"/>
        <v>8.5905591915812582</v>
      </c>
      <c r="AV116" s="108">
        <f t="shared" si="42"/>
        <v>7.6080599487116825</v>
      </c>
      <c r="AW116" s="108">
        <f t="shared" si="42"/>
        <v>7.4330253089073599</v>
      </c>
      <c r="AX116" s="108">
        <f t="shared" si="42"/>
        <v>4.7489285206385876</v>
      </c>
      <c r="AY116" s="108">
        <f t="shared" si="42"/>
        <v>7.038875220705445</v>
      </c>
      <c r="AZ116" s="108">
        <f t="shared" si="42"/>
        <v>6.5267974492138068</v>
      </c>
      <c r="BA116" s="108">
        <f t="shared" si="42"/>
        <v>7.4574184919233053</v>
      </c>
    </row>
    <row r="117" spans="1:53" ht="15.75">
      <c r="A117" s="93" t="s">
        <v>139</v>
      </c>
      <c r="AM117" s="32">
        <v>1.462</v>
      </c>
      <c r="AN117" s="32">
        <v>1.41</v>
      </c>
      <c r="AO117" s="32">
        <v>1.502</v>
      </c>
      <c r="AP117" s="32">
        <v>1.431</v>
      </c>
      <c r="AQ117" s="32">
        <v>1.329</v>
      </c>
      <c r="AR117" s="108">
        <f t="shared" ref="AR117:AR118" si="43">AR$120*(SUM(AM117:AQ117)/SUM(AM$120:AQ$120))</f>
        <v>1.5554973577827089</v>
      </c>
      <c r="AS117" s="108">
        <f t="shared" si="42"/>
        <v>1.522374017358137</v>
      </c>
      <c r="AT117" s="108">
        <f t="shared" si="42"/>
        <v>1.4523792986111626</v>
      </c>
      <c r="AU117" s="108">
        <f t="shared" si="42"/>
        <v>0.86964169349655018</v>
      </c>
      <c r="AV117" s="108">
        <f t="shared" si="42"/>
        <v>0.75919561024659032</v>
      </c>
      <c r="AW117" s="108">
        <f t="shared" si="42"/>
        <v>0.77337788393014495</v>
      </c>
      <c r="AX117" s="108">
        <f t="shared" si="42"/>
        <v>0.48819080824362399</v>
      </c>
      <c r="AY117" s="108">
        <f t="shared" si="42"/>
        <v>0.71881465707291181</v>
      </c>
      <c r="AZ117" s="108">
        <f t="shared" si="42"/>
        <v>0.66507676869659693</v>
      </c>
      <c r="BA117" s="108">
        <f t="shared" si="42"/>
        <v>0.76118783001161905</v>
      </c>
    </row>
    <row r="118" spans="1:53" ht="15.75">
      <c r="A118" s="93" t="s">
        <v>140</v>
      </c>
      <c r="AM118" s="32">
        <v>0.45600000000000002</v>
      </c>
      <c r="AN118" s="32">
        <v>1.55</v>
      </c>
      <c r="AO118" s="32">
        <v>1.488</v>
      </c>
      <c r="AP118" s="32">
        <v>1.5389999999999999</v>
      </c>
      <c r="AQ118" s="32">
        <v>1.698</v>
      </c>
      <c r="AR118" s="108">
        <f t="shared" si="43"/>
        <v>1.467627237907964</v>
      </c>
      <c r="AS118" s="108">
        <f t="shared" si="42"/>
        <v>1.6308791203344857</v>
      </c>
      <c r="AT118" s="108">
        <f t="shared" si="42"/>
        <v>1.5480787191650345</v>
      </c>
      <c r="AU118" s="108">
        <f t="shared" si="42"/>
        <v>0.94041955268080135</v>
      </c>
      <c r="AV118" s="108">
        <f t="shared" si="42"/>
        <v>0.82193966464805124</v>
      </c>
      <c r="AW118" s="108">
        <f t="shared" si="42"/>
        <v>0.80475157929228758</v>
      </c>
      <c r="AX118" s="108">
        <f t="shared" si="42"/>
        <v>0.52170249645143674</v>
      </c>
      <c r="AY118" s="108">
        <f t="shared" si="42"/>
        <v>0.76749498665300808</v>
      </c>
      <c r="AZ118" s="108">
        <f t="shared" si="42"/>
        <v>0.71060799445809286</v>
      </c>
      <c r="BA118" s="108">
        <f t="shared" si="42"/>
        <v>0.81078540397758614</v>
      </c>
    </row>
    <row r="119" spans="1:53" ht="15.75">
      <c r="A119" s="93" t="s">
        <v>141</v>
      </c>
      <c r="AM119" s="32">
        <v>0.193</v>
      </c>
      <c r="AN119" s="32">
        <v>0.16400000000000001</v>
      </c>
      <c r="AO119" s="32">
        <v>0.153</v>
      </c>
      <c r="AP119" s="32">
        <v>0.16</v>
      </c>
      <c r="AQ119" s="32">
        <v>0.20799999999999999</v>
      </c>
      <c r="AR119" s="108">
        <f>AR120-SUM(AR116:AR118)</f>
        <v>0.19143911972711081</v>
      </c>
      <c r="AS119" s="108">
        <f t="shared" ref="AS119:AY119" si="44">AS120-SUM(AS116:AS118)</f>
        <v>0.18460998013814844</v>
      </c>
      <c r="AT119" s="108">
        <f t="shared" si="44"/>
        <v>0.17750386565283804</v>
      </c>
      <c r="AU119" s="108">
        <f t="shared" si="44"/>
        <v>0.10993049724138793</v>
      </c>
      <c r="AV119" s="108">
        <f t="shared" si="44"/>
        <v>9.8326200393666241E-2</v>
      </c>
      <c r="AW119" s="108">
        <f t="shared" si="44"/>
        <v>9.5658114870204258E-2</v>
      </c>
      <c r="AX119" s="108">
        <f t="shared" si="44"/>
        <v>6.0470703666348768E-2</v>
      </c>
      <c r="AY119" s="108">
        <f t="shared" si="44"/>
        <v>8.9693135568637672E-2</v>
      </c>
      <c r="AZ119" s="108">
        <f t="shared" ref="AZ119:BA119" si="45">AZ120-SUM(AZ116:AZ118)</f>
        <v>8.3673787631504126E-2</v>
      </c>
      <c r="BA119" s="108">
        <f t="shared" si="45"/>
        <v>9.5649276097205416E-2</v>
      </c>
    </row>
    <row r="120" spans="1:53">
      <c r="A120" s="123" t="s">
        <v>142</v>
      </c>
      <c r="AM120" s="32">
        <f>SUM(AM116:AM119)</f>
        <v>13.155999999999999</v>
      </c>
      <c r="AN120" s="32">
        <f>SUM(AN116:AN119)</f>
        <v>15.137</v>
      </c>
      <c r="AO120" s="32">
        <f>SUM(AO116:AO119)</f>
        <v>16.760000000000002</v>
      </c>
      <c r="AP120" s="32">
        <f>SUM(AP116:AP119)</f>
        <v>16.304000000000002</v>
      </c>
      <c r="AQ120" s="32">
        <f>SUM(AQ116:AQ119)</f>
        <v>19.078999999999997</v>
      </c>
      <c r="AR120" s="108">
        <f>AR12</f>
        <v>17.538265414999998</v>
      </c>
      <c r="AS120" s="108">
        <f t="shared" ref="AS120:BA120" si="46">AS12</f>
        <v>17.865813997999993</v>
      </c>
      <c r="AT120" s="108">
        <f t="shared" si="46"/>
        <v>17.323405178999987</v>
      </c>
      <c r="AU120" s="108">
        <f t="shared" si="46"/>
        <v>10.510550934999998</v>
      </c>
      <c r="AV120" s="108">
        <f t="shared" si="46"/>
        <v>9.2875214239999906</v>
      </c>
      <c r="AW120" s="108">
        <f t="shared" si="46"/>
        <v>9.1068128869999967</v>
      </c>
      <c r="AX120" s="108">
        <f t="shared" si="46"/>
        <v>5.8192925289999975</v>
      </c>
      <c r="AY120" s="108">
        <f t="shared" si="46"/>
        <v>8.6148780000000027</v>
      </c>
      <c r="AZ120" s="108">
        <f t="shared" si="46"/>
        <v>7.9861560000000011</v>
      </c>
      <c r="BA120" s="108">
        <f t="shared" si="46"/>
        <v>9.1250410020097164</v>
      </c>
    </row>
    <row r="122" spans="1:53">
      <c r="A122" s="3" t="s">
        <v>143</v>
      </c>
      <c r="AM122" s="32">
        <f>AM116</f>
        <v>11.045</v>
      </c>
      <c r="AN122" s="32">
        <f t="shared" ref="AN122:AQ122" si="47">AN116</f>
        <v>12.013</v>
      </c>
      <c r="AO122" s="32">
        <f t="shared" si="47"/>
        <v>13.617000000000001</v>
      </c>
      <c r="AP122" s="32">
        <f t="shared" si="47"/>
        <v>13.173999999999999</v>
      </c>
      <c r="AQ122" s="32">
        <f t="shared" si="47"/>
        <v>15.843999999999999</v>
      </c>
    </row>
    <row r="123" spans="1:53">
      <c r="A123" s="3" t="s">
        <v>144</v>
      </c>
      <c r="AM123" s="32">
        <f>SUM(AM117:AM119)</f>
        <v>2.1109999999999998</v>
      </c>
      <c r="AN123" s="32">
        <f t="shared" ref="AN123:AQ123" si="48">SUM(AN117:AN119)</f>
        <v>3.1240000000000001</v>
      </c>
      <c r="AO123" s="32">
        <f t="shared" si="48"/>
        <v>3.1430000000000002</v>
      </c>
      <c r="AP123" s="32">
        <f t="shared" si="48"/>
        <v>3.13</v>
      </c>
      <c r="AQ123" s="32">
        <f t="shared" si="48"/>
        <v>3.2350000000000003</v>
      </c>
    </row>
    <row r="126" spans="1:53">
      <c r="A126" s="81" t="s">
        <v>145</v>
      </c>
      <c r="AK126" s="3" t="s">
        <v>146</v>
      </c>
      <c r="AL126" s="3" t="s">
        <v>147</v>
      </c>
      <c r="AM126" s="3" t="s">
        <v>148</v>
      </c>
      <c r="AN126" s="3" t="s">
        <v>149</v>
      </c>
      <c r="AO126" s="3" t="s">
        <v>150</v>
      </c>
      <c r="AP126" s="3" t="s">
        <v>151</v>
      </c>
      <c r="AQ126" s="3" t="s">
        <v>152</v>
      </c>
      <c r="AR126" s="3" t="s">
        <v>153</v>
      </c>
      <c r="AS126" s="3" t="s">
        <v>154</v>
      </c>
      <c r="AT126" s="3" t="s">
        <v>155</v>
      </c>
      <c r="AU126" s="3" t="s">
        <v>156</v>
      </c>
      <c r="AV126" s="3" t="s">
        <v>157</v>
      </c>
      <c r="AW126" s="3" t="s">
        <v>158</v>
      </c>
      <c r="AX126" s="3" t="s">
        <v>159</v>
      </c>
      <c r="AY126" s="3" t="s">
        <v>160</v>
      </c>
    </row>
    <row r="127" spans="1:53">
      <c r="AK127" s="114"/>
      <c r="AL127" s="114"/>
      <c r="AM127" s="114"/>
      <c r="AN127" s="114"/>
      <c r="AO127" s="114"/>
      <c r="AP127" s="114"/>
      <c r="AQ127" s="114"/>
      <c r="AR127" s="114"/>
      <c r="AS127" s="114"/>
      <c r="AT127" s="114"/>
      <c r="AU127" s="114"/>
      <c r="AV127" s="114"/>
      <c r="AW127" s="114"/>
      <c r="AX127" s="114"/>
      <c r="AY127" s="114"/>
    </row>
    <row r="128" spans="1:53"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</row>
    <row r="129" spans="1:51">
      <c r="A129" s="3" t="s">
        <v>13</v>
      </c>
      <c r="AK129" s="17">
        <f>AK61</f>
        <v>22.663095999999999</v>
      </c>
      <c r="AL129" s="17">
        <v>21.196636999999999</v>
      </c>
      <c r="AM129" s="17">
        <v>32.045751000000003</v>
      </c>
      <c r="AN129" s="17">
        <v>33.087164999999999</v>
      </c>
      <c r="AO129" s="17">
        <v>33.817449000000003</v>
      </c>
      <c r="AP129" s="17">
        <v>39.792853999999998</v>
      </c>
      <c r="AQ129" s="17">
        <v>49.490326000000003</v>
      </c>
      <c r="AR129" s="17">
        <v>43.462322999999998</v>
      </c>
      <c r="AS129" s="17">
        <v>56.860703999999998</v>
      </c>
      <c r="AT129" s="17">
        <v>58.395811000000002</v>
      </c>
      <c r="AU129" s="17">
        <v>60.525804999999998</v>
      </c>
      <c r="AV129" s="17">
        <v>59.037179000000002</v>
      </c>
      <c r="AW129" s="17">
        <v>41.409447999999998</v>
      </c>
      <c r="AX129" s="17"/>
      <c r="AY129" s="17"/>
    </row>
    <row r="130" spans="1:51"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</row>
    <row r="131" spans="1:51">
      <c r="A131" s="3" t="s">
        <v>6</v>
      </c>
      <c r="AK131" s="3">
        <v>25.2</v>
      </c>
      <c r="AL131" s="3">
        <v>21</v>
      </c>
      <c r="AM131" s="3">
        <v>31.5</v>
      </c>
      <c r="AN131" s="3">
        <v>32.5</v>
      </c>
      <c r="AO131" s="3">
        <v>32.5</v>
      </c>
      <c r="AP131" s="3">
        <v>34.5</v>
      </c>
      <c r="AQ131" s="3">
        <v>42</v>
      </c>
      <c r="AR131" s="3">
        <v>37.299999999999997</v>
      </c>
      <c r="AS131" s="3">
        <v>55.5</v>
      </c>
      <c r="AT131" s="3">
        <v>54.5</v>
      </c>
      <c r="AU131" s="3">
        <v>55</v>
      </c>
      <c r="AV131" s="3">
        <v>52</v>
      </c>
      <c r="AW131" s="3">
        <v>36</v>
      </c>
      <c r="AX131" s="3">
        <v>53</v>
      </c>
      <c r="AY131" s="3">
        <v>51</v>
      </c>
    </row>
    <row r="132" spans="1:51">
      <c r="A132" s="3" t="s">
        <v>161</v>
      </c>
      <c r="AK132" s="17">
        <v>29.5</v>
      </c>
      <c r="AL132" s="17">
        <v>26.5</v>
      </c>
      <c r="AM132" s="17">
        <v>31.5</v>
      </c>
      <c r="AN132" s="17">
        <v>32.5</v>
      </c>
      <c r="AO132" s="17">
        <v>32.5</v>
      </c>
      <c r="AP132" s="17">
        <v>34.5</v>
      </c>
      <c r="AQ132" s="17">
        <v>42</v>
      </c>
      <c r="AR132" s="17">
        <v>37.299999999999997</v>
      </c>
      <c r="AS132" s="17">
        <v>55.5</v>
      </c>
      <c r="AT132" s="17">
        <v>54.5</v>
      </c>
      <c r="AU132" s="17">
        <v>55</v>
      </c>
      <c r="AV132" s="17">
        <v>52</v>
      </c>
      <c r="AW132" s="17">
        <v>37</v>
      </c>
      <c r="AX132" s="17">
        <v>46.5</v>
      </c>
      <c r="AY132" s="17"/>
    </row>
    <row r="134" spans="1:51">
      <c r="AK134" s="17"/>
      <c r="AL134" s="17"/>
      <c r="AM134" s="17"/>
      <c r="AN134" s="17"/>
      <c r="AO134" s="17"/>
      <c r="AP134" s="17"/>
      <c r="AQ134" s="124"/>
      <c r="AR134" s="124"/>
      <c r="AS134" s="17"/>
      <c r="AT134" s="17"/>
      <c r="AU134" s="17"/>
      <c r="AV134" s="124"/>
      <c r="AW134" s="17"/>
      <c r="AX134" s="17"/>
    </row>
  </sheetData>
  <hyperlinks>
    <hyperlink ref="A62" r:id="rId1" xr:uid="{F74DAB27-7912-4032-9EC0-D291C9AF5681}"/>
    <hyperlink ref="BB98" r:id="rId2" display="MAgYP Corn Grind" xr:uid="{439E4A3A-5E39-4376-806F-E52B1D311E99}"/>
    <hyperlink ref="A69" r:id="rId3" xr:uid="{FB5EA9A3-DD56-4E4C-B1F7-6047D776D8C2}"/>
  </hyperlinks>
  <pageMargins left="0.7" right="0.7" top="0.75" bottom="0.75" header="0.3" footer="0.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97C1-F938-4E84-92EE-B13DAE31C44A}">
  <sheetPr>
    <tabColor rgb="FF92D050"/>
  </sheetPr>
  <dimension ref="A1:BG140"/>
  <sheetViews>
    <sheetView zoomScale="98" zoomScaleNormal="120" workbookViewId="0">
      <pane xSplit="1" ySplit="2" topLeftCell="AU3" activePane="bottomRight" state="frozen"/>
      <selection activeCell="P12" sqref="P12"/>
      <selection pane="topRight" activeCell="P12" sqref="P12"/>
      <selection pane="bottomLeft" activeCell="P12" sqref="P12"/>
      <selection pane="bottomRight" activeCell="BA9" sqref="BA9"/>
    </sheetView>
  </sheetViews>
  <sheetFormatPr defaultColWidth="9.140625" defaultRowHeight="12.75"/>
  <cols>
    <col min="1" max="1" width="27.42578125" style="3" customWidth="1"/>
    <col min="2" max="44" width="8" style="3" customWidth="1"/>
    <col min="45" max="49" width="9.28515625" style="3" customWidth="1"/>
    <col min="50" max="50" width="9.140625" style="3"/>
    <col min="51" max="51" width="8.42578125" style="3" bestFit="1" customWidth="1"/>
    <col min="52" max="52" width="9.42578125" style="3" bestFit="1" customWidth="1"/>
    <col min="53" max="53" width="7.85546875" style="3" bestFit="1" customWidth="1"/>
    <col min="54" max="54" width="9.140625" style="3"/>
    <col min="55" max="55" width="14.42578125" style="3" bestFit="1" customWidth="1"/>
    <col min="56" max="16384" width="9.140625" style="3"/>
  </cols>
  <sheetData>
    <row r="1" spans="1:55" ht="18.75" thickBot="1">
      <c r="A1" s="64" t="s">
        <v>162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</row>
    <row r="2" spans="1:55" ht="17.25" thickBot="1">
      <c r="A2" s="65" t="s">
        <v>42</v>
      </c>
      <c r="B2" s="66" t="s">
        <v>88</v>
      </c>
      <c r="C2" s="66" t="s">
        <v>89</v>
      </c>
      <c r="D2" s="66" t="s">
        <v>90</v>
      </c>
      <c r="E2" s="66" t="s">
        <v>91</v>
      </c>
      <c r="F2" s="66" t="s">
        <v>92</v>
      </c>
      <c r="G2" s="66" t="s">
        <v>93</v>
      </c>
      <c r="H2" s="66" t="s">
        <v>94</v>
      </c>
      <c r="I2" s="66" t="s">
        <v>95</v>
      </c>
      <c r="J2" s="66" t="s">
        <v>96</v>
      </c>
      <c r="K2" s="66" t="s">
        <v>97</v>
      </c>
      <c r="L2" s="66" t="s">
        <v>98</v>
      </c>
      <c r="M2" s="66" t="s">
        <v>99</v>
      </c>
      <c r="N2" s="66" t="s">
        <v>100</v>
      </c>
      <c r="O2" s="66" t="s">
        <v>101</v>
      </c>
      <c r="P2" s="66" t="s">
        <v>102</v>
      </c>
      <c r="Q2" s="66" t="s">
        <v>103</v>
      </c>
      <c r="R2" s="66" t="s">
        <v>104</v>
      </c>
      <c r="S2" s="66" t="s">
        <v>105</v>
      </c>
      <c r="T2" s="66" t="s">
        <v>106</v>
      </c>
      <c r="U2" s="66" t="s">
        <v>107</v>
      </c>
      <c r="V2" s="66" t="s">
        <v>108</v>
      </c>
      <c r="W2" s="66" t="s">
        <v>109</v>
      </c>
      <c r="X2" s="66" t="s">
        <v>110</v>
      </c>
      <c r="Y2" s="66" t="s">
        <v>111</v>
      </c>
      <c r="Z2" s="66" t="s">
        <v>112</v>
      </c>
      <c r="AA2" s="66" t="s">
        <v>113</v>
      </c>
      <c r="AB2" s="66" t="s">
        <v>43</v>
      </c>
      <c r="AC2" s="66" t="s">
        <v>44</v>
      </c>
      <c r="AD2" s="66" t="s">
        <v>45</v>
      </c>
      <c r="AE2" s="66" t="s">
        <v>46</v>
      </c>
      <c r="AF2" s="66" t="s">
        <v>47</v>
      </c>
      <c r="AG2" s="66" t="s">
        <v>48</v>
      </c>
      <c r="AH2" s="66" t="s">
        <v>49</v>
      </c>
      <c r="AI2" s="66" t="s">
        <v>50</v>
      </c>
      <c r="AJ2" s="66" t="s">
        <v>51</v>
      </c>
      <c r="AK2" s="66" t="s">
        <v>52</v>
      </c>
      <c r="AL2" s="66" t="s">
        <v>53</v>
      </c>
      <c r="AM2" s="66" t="s">
        <v>54</v>
      </c>
      <c r="AN2" s="66" t="s">
        <v>55</v>
      </c>
      <c r="AO2" s="66" t="s">
        <v>56</v>
      </c>
      <c r="AP2" s="66" t="s">
        <v>57</v>
      </c>
      <c r="AQ2" s="66" t="s">
        <v>58</v>
      </c>
      <c r="AR2" s="66" t="s">
        <v>59</v>
      </c>
      <c r="AS2" s="66" t="s">
        <v>60</v>
      </c>
      <c r="AT2" s="66" t="s">
        <v>61</v>
      </c>
      <c r="AU2" s="66" t="s">
        <v>62</v>
      </c>
      <c r="AV2" s="66" t="s">
        <v>63</v>
      </c>
      <c r="AW2" s="66" t="s">
        <v>64</v>
      </c>
      <c r="AX2" s="66" t="s">
        <v>65</v>
      </c>
      <c r="AY2" s="66" t="s">
        <v>2</v>
      </c>
      <c r="AZ2" s="66" t="s">
        <v>3</v>
      </c>
      <c r="BA2" s="66" t="s">
        <v>4</v>
      </c>
    </row>
    <row r="3" spans="1:55" ht="15.75">
      <c r="A3" s="69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126">
        <v>22.267399999999999</v>
      </c>
      <c r="AY3" s="126">
        <v>21.058499999999999</v>
      </c>
      <c r="AZ3" s="126">
        <v>21.857500000000002</v>
      </c>
      <c r="BA3" s="126">
        <v>22.688400000000001</v>
      </c>
    </row>
    <row r="4" spans="1:55" ht="15.75">
      <c r="A4" s="69" t="s">
        <v>10</v>
      </c>
      <c r="B4" s="126">
        <v>10.8</v>
      </c>
      <c r="C4" s="126">
        <v>11.118</v>
      </c>
      <c r="D4" s="126">
        <f t="shared" ref="D4:AU4" si="0">SUM(D93:D95)/1000</f>
        <v>11.797336</v>
      </c>
      <c r="E4" s="126">
        <f t="shared" si="0"/>
        <v>10.985059999999999</v>
      </c>
      <c r="F4" s="126">
        <f t="shared" si="0"/>
        <v>11.304812999999999</v>
      </c>
      <c r="G4" s="126">
        <f t="shared" si="0"/>
        <v>11.669883000000002</v>
      </c>
      <c r="H4" s="126">
        <f t="shared" si="0"/>
        <v>12.147144000000001</v>
      </c>
      <c r="I4" s="126">
        <f t="shared" si="0"/>
        <v>12.771052000000001</v>
      </c>
      <c r="J4" s="126">
        <f t="shared" si="0"/>
        <v>11.658185</v>
      </c>
      <c r="K4" s="126">
        <f t="shared" si="0"/>
        <v>12.205628999999998</v>
      </c>
      <c r="L4" s="126">
        <f t="shared" si="0"/>
        <v>11.940163</v>
      </c>
      <c r="M4" s="126">
        <f t="shared" si="0"/>
        <v>13.083451</v>
      </c>
      <c r="N4" s="126">
        <f t="shared" si="0"/>
        <v>14.610353000000002</v>
      </c>
      <c r="O4" s="126">
        <f t="shared" si="0"/>
        <v>13.411096000000001</v>
      </c>
      <c r="P4" s="126">
        <f t="shared" si="0"/>
        <v>12.974234999999998</v>
      </c>
      <c r="Q4" s="126">
        <f t="shared" si="0"/>
        <v>12.092694999999999</v>
      </c>
      <c r="R4" s="126">
        <f t="shared" si="0"/>
        <v>13.4514</v>
      </c>
      <c r="S4" s="126">
        <f t="shared" si="0"/>
        <v>14.027099999999999</v>
      </c>
      <c r="T4" s="126">
        <f t="shared" si="0"/>
        <v>12.436300000000001</v>
      </c>
      <c r="U4" s="126">
        <f t="shared" si="0"/>
        <v>14.151699999999998</v>
      </c>
      <c r="V4" s="126">
        <f t="shared" si="0"/>
        <v>14.2822</v>
      </c>
      <c r="W4" s="126">
        <f t="shared" si="0"/>
        <v>13.7567</v>
      </c>
      <c r="X4" s="126">
        <f t="shared" si="0"/>
        <v>13.7988</v>
      </c>
      <c r="Y4" s="126">
        <f t="shared" si="0"/>
        <v>11.3911</v>
      </c>
      <c r="Z4" s="126">
        <f t="shared" si="0"/>
        <v>12.513</v>
      </c>
      <c r="AA4" s="126">
        <f t="shared" si="0"/>
        <v>12.757899999999999</v>
      </c>
      <c r="AB4" s="126">
        <f t="shared" si="0"/>
        <v>12.9725</v>
      </c>
      <c r="AC4" s="126">
        <f t="shared" si="0"/>
        <v>12.297799999999999</v>
      </c>
      <c r="AD4" s="126">
        <f t="shared" si="0"/>
        <v>13.2262</v>
      </c>
      <c r="AE4" s="126">
        <f t="shared" si="0"/>
        <v>12.782999999999999</v>
      </c>
      <c r="AF4" s="126">
        <f t="shared" si="0"/>
        <v>12.2082</v>
      </c>
      <c r="AG4" s="126">
        <f t="shared" si="0"/>
        <v>12.963899999999999</v>
      </c>
      <c r="AH4" s="126">
        <f t="shared" si="0"/>
        <v>14.0549</v>
      </c>
      <c r="AI4" s="126">
        <f t="shared" si="0"/>
        <v>14.765700000000001</v>
      </c>
      <c r="AJ4" s="126">
        <f t="shared" si="0"/>
        <v>14.171799999999999</v>
      </c>
      <c r="AK4" s="126">
        <f t="shared" si="0"/>
        <v>12.9939</v>
      </c>
      <c r="AL4" s="126">
        <f t="shared" si="0"/>
        <v>13.806099999999999</v>
      </c>
      <c r="AM4" s="126">
        <f t="shared" si="0"/>
        <v>15.178100000000001</v>
      </c>
      <c r="AN4" s="126">
        <f t="shared" si="0"/>
        <v>15.829300000000002</v>
      </c>
      <c r="AO4" s="126">
        <f t="shared" si="0"/>
        <v>15.828900000000001</v>
      </c>
      <c r="AP4" s="126">
        <f t="shared" si="0"/>
        <v>15.692900000000002</v>
      </c>
      <c r="AQ4" s="126">
        <f t="shared" si="0"/>
        <v>15.8553</v>
      </c>
      <c r="AR4" s="126">
        <f t="shared" si="0"/>
        <v>17.591699999999999</v>
      </c>
      <c r="AS4" s="126">
        <f t="shared" si="0"/>
        <v>16.616400000000002</v>
      </c>
      <c r="AT4" s="126">
        <f t="shared" si="0"/>
        <v>17.492900000000002</v>
      </c>
      <c r="AU4" s="126">
        <f t="shared" si="0"/>
        <v>18.527299999999997</v>
      </c>
      <c r="AV4" s="126">
        <f t="shared" ref="AV4:AY4" si="1">SUM(AV93:AV95)/1000</f>
        <v>19.9436</v>
      </c>
      <c r="AW4" s="126">
        <f t="shared" si="1"/>
        <v>21.580599999999997</v>
      </c>
      <c r="AX4" s="126">
        <f t="shared" si="1"/>
        <v>22.269200000000001</v>
      </c>
      <c r="AY4" s="126">
        <f t="shared" si="1"/>
        <v>21.050799999999995</v>
      </c>
      <c r="AZ4" s="127">
        <f>SUM(AZ93:AZ95)/1000</f>
        <v>22.124099999999999</v>
      </c>
      <c r="BA4" s="127">
        <f>SUM(BA93:BA95)/1000</f>
        <v>23.530867857142912</v>
      </c>
    </row>
    <row r="5" spans="1:55" ht="15.75">
      <c r="A5" s="72" t="s">
        <v>11</v>
      </c>
      <c r="B5" s="128">
        <f>B7/B4</f>
        <v>1.5142592592592592</v>
      </c>
      <c r="C5" s="128">
        <f t="shared" ref="C5:AY5" si="2">C7/C4</f>
        <v>1.5966001079330816</v>
      </c>
      <c r="D5" s="128">
        <f t="shared" si="2"/>
        <v>1.6322098480538316</v>
      </c>
      <c r="E5" s="128">
        <f t="shared" si="2"/>
        <v>1.2760115101783698</v>
      </c>
      <c r="F5" s="128">
        <f t="shared" si="2"/>
        <v>1.4607785197331438</v>
      </c>
      <c r="G5" s="128">
        <f t="shared" si="2"/>
        <v>1.6654256088085884</v>
      </c>
      <c r="H5" s="128">
        <f t="shared" si="2"/>
        <v>1.7521657765808984</v>
      </c>
      <c r="I5" s="128">
        <f t="shared" si="2"/>
        <v>1.6917015137045877</v>
      </c>
      <c r="J5" s="128">
        <f t="shared" si="2"/>
        <v>1.6310398230942467</v>
      </c>
      <c r="K5" s="128">
        <f t="shared" si="2"/>
        <v>1.7351175428976258</v>
      </c>
      <c r="L5" s="128">
        <f t="shared" si="2"/>
        <v>1.7734011671364955</v>
      </c>
      <c r="M5" s="128">
        <f t="shared" si="2"/>
        <v>1.5488859934584536</v>
      </c>
      <c r="N5" s="128">
        <f t="shared" si="2"/>
        <v>1.8315068089046169</v>
      </c>
      <c r="O5" s="128">
        <f t="shared" si="2"/>
        <v>1.8808509759381333</v>
      </c>
      <c r="P5" s="128">
        <f t="shared" si="2"/>
        <v>2.0245964405608503</v>
      </c>
      <c r="Q5" s="128">
        <f t="shared" si="2"/>
        <v>1.84060128862921</v>
      </c>
      <c r="R5" s="128">
        <f t="shared" si="2"/>
        <v>1.7913451387959618</v>
      </c>
      <c r="S5" s="128">
        <f t="shared" si="2"/>
        <v>2.1936964875134564</v>
      </c>
      <c r="T5" s="128">
        <f t="shared" si="2"/>
        <v>2.3485843860312148</v>
      </c>
      <c r="U5" s="128">
        <f t="shared" si="2"/>
        <v>2.3441494661418769</v>
      </c>
      <c r="V5" s="128">
        <f t="shared" si="2"/>
        <v>2.6215779081654089</v>
      </c>
      <c r="W5" s="128">
        <f t="shared" si="2"/>
        <v>2.3555576555423903</v>
      </c>
      <c r="X5" s="128">
        <f t="shared" si="2"/>
        <v>2.5883120271327944</v>
      </c>
      <c r="Y5" s="128">
        <f t="shared" si="2"/>
        <v>2.6501215861505911</v>
      </c>
      <c r="Z5" s="128">
        <f t="shared" si="2"/>
        <v>2.5887796691440901</v>
      </c>
      <c r="AA5" s="128">
        <f t="shared" si="2"/>
        <v>2.4800711715878005</v>
      </c>
      <c r="AB5" s="128">
        <f t="shared" si="2"/>
        <v>3.2599498940065521</v>
      </c>
      <c r="AC5" s="128">
        <f t="shared" si="2"/>
        <v>2.8688627234139439</v>
      </c>
      <c r="AD5" s="128">
        <f t="shared" si="2"/>
        <v>3.5846199210657632</v>
      </c>
      <c r="AE5" s="128">
        <f t="shared" si="2"/>
        <v>3.2956661190643826</v>
      </c>
      <c r="AF5" s="128">
        <f t="shared" si="2"/>
        <v>2.8650333382480628</v>
      </c>
      <c r="AG5" s="128">
        <f t="shared" si="2"/>
        <v>3.2794837973140805</v>
      </c>
      <c r="AH5" s="128">
        <f t="shared" si="2"/>
        <v>3.6549317319938237</v>
      </c>
      <c r="AI5" s="128">
        <f t="shared" si="2"/>
        <v>3.9721923105575758</v>
      </c>
      <c r="AJ5" s="128">
        <f t="shared" si="2"/>
        <v>3.5989711963194515</v>
      </c>
      <c r="AK5" s="128">
        <f t="shared" si="2"/>
        <v>4.3110998237634579</v>
      </c>
      <c r="AL5" s="128">
        <f t="shared" si="2"/>
        <v>4.1580895401308116</v>
      </c>
      <c r="AM5" s="128">
        <f t="shared" si="2"/>
        <v>4.8082302791521991</v>
      </c>
      <c r="AN5" s="128">
        <f t="shared" si="2"/>
        <v>5.1490400712602566</v>
      </c>
      <c r="AO5" s="128">
        <f t="shared" si="2"/>
        <v>5.0573318423895532</v>
      </c>
      <c r="AP5" s="128">
        <f t="shared" si="2"/>
        <v>5.3955865391355315</v>
      </c>
      <c r="AQ5" s="128">
        <f t="shared" si="2"/>
        <v>4.1961110795759149</v>
      </c>
      <c r="AR5" s="128">
        <f t="shared" si="2"/>
        <v>5.5618729287106987</v>
      </c>
      <c r="AS5" s="128">
        <f t="shared" si="2"/>
        <v>4.85721937363087</v>
      </c>
      <c r="AT5" s="128">
        <f t="shared" si="2"/>
        <v>5.7190460129538261</v>
      </c>
      <c r="AU5" s="128">
        <f t="shared" si="2"/>
        <v>5.5370399356625093</v>
      </c>
      <c r="AV5" s="128">
        <f t="shared" si="2"/>
        <v>4.3671553781664292</v>
      </c>
      <c r="AW5" s="128">
        <f t="shared" si="2"/>
        <v>5.2413371268639422</v>
      </c>
      <c r="AX5" s="128">
        <f t="shared" si="2"/>
        <v>5.9214565408725948</v>
      </c>
      <c r="AY5" s="128">
        <f t="shared" si="2"/>
        <v>5.4883709882759808</v>
      </c>
      <c r="AZ5" s="129">
        <f>AZ7/AZ4</f>
        <v>6.314191311736975</v>
      </c>
      <c r="BA5" s="129">
        <f>FORECAST(BA92,AL5:AZ5,AL92:AZ92)</f>
        <v>5.856959476247539</v>
      </c>
    </row>
    <row r="6" spans="1:55" ht="15.75">
      <c r="A6" s="83" t="s">
        <v>114</v>
      </c>
      <c r="B6" s="104">
        <v>3.335</v>
      </c>
      <c r="C6" s="104">
        <f>B15</f>
        <v>0.3</v>
      </c>
      <c r="D6" s="104">
        <f t="shared" ref="D6:AU6" si="3">C15</f>
        <v>0.5</v>
      </c>
      <c r="E6" s="104">
        <f t="shared" si="3"/>
        <v>1</v>
      </c>
      <c r="F6" s="104">
        <f t="shared" si="3"/>
        <v>0.1</v>
      </c>
      <c r="G6" s="104">
        <f t="shared" si="3"/>
        <v>8.5999999999999993E-2</v>
      </c>
      <c r="H6" s="104">
        <f t="shared" si="3"/>
        <v>1.1000000000000001</v>
      </c>
      <c r="I6" s="104">
        <f t="shared" si="3"/>
        <v>1.3480000000000001</v>
      </c>
      <c r="J6" s="104">
        <f t="shared" si="3"/>
        <v>1.5449999999999999</v>
      </c>
      <c r="K6" s="104">
        <f t="shared" si="3"/>
        <v>0.3</v>
      </c>
      <c r="L6" s="104">
        <f t="shared" si="3"/>
        <v>0.55500000000000005</v>
      </c>
      <c r="M6" s="104">
        <f t="shared" si="3"/>
        <v>1.155</v>
      </c>
      <c r="N6" s="104">
        <f t="shared" si="3"/>
        <v>1.155</v>
      </c>
      <c r="O6" s="104">
        <f t="shared" si="3"/>
        <v>1.889</v>
      </c>
      <c r="P6" s="104">
        <f t="shared" si="3"/>
        <v>2.6890000000000001</v>
      </c>
      <c r="Q6" s="104">
        <f t="shared" si="3"/>
        <v>3.9510000000000001</v>
      </c>
      <c r="R6" s="104">
        <f t="shared" si="3"/>
        <v>1.351</v>
      </c>
      <c r="S6" s="104">
        <f t="shared" si="3"/>
        <v>0.751</v>
      </c>
      <c r="T6" s="104">
        <f t="shared" si="3"/>
        <v>3.3780000000000001</v>
      </c>
      <c r="U6" s="104">
        <f t="shared" si="3"/>
        <v>3.589</v>
      </c>
      <c r="V6" s="104">
        <f t="shared" si="3"/>
        <v>4.8230000000000004</v>
      </c>
      <c r="W6" s="104">
        <f t="shared" si="3"/>
        <v>7.6139999999999999</v>
      </c>
      <c r="X6" s="104">
        <f t="shared" si="3"/>
        <v>3.5070000000000001</v>
      </c>
      <c r="Y6" s="104">
        <f t="shared" si="3"/>
        <v>3.335</v>
      </c>
      <c r="Z6" s="104">
        <f t="shared" si="3"/>
        <v>1.7509999999999999</v>
      </c>
      <c r="AA6" s="104">
        <f t="shared" si="3"/>
        <v>2.1160000000000001</v>
      </c>
      <c r="AB6" s="104">
        <f t="shared" si="3"/>
        <v>1.667</v>
      </c>
      <c r="AC6" s="104">
        <f t="shared" si="3"/>
        <v>2.6859999999999999</v>
      </c>
      <c r="AD6" s="104">
        <f t="shared" si="3"/>
        <v>1.5</v>
      </c>
      <c r="AE6" s="104">
        <f t="shared" si="3"/>
        <v>6.258</v>
      </c>
      <c r="AF6" s="104">
        <f t="shared" si="3"/>
        <v>7.8780000000000001</v>
      </c>
      <c r="AG6" s="104">
        <f t="shared" si="3"/>
        <v>4.1929999999999996</v>
      </c>
      <c r="AH6" s="104">
        <f t="shared" si="3"/>
        <v>3.0169999999999999</v>
      </c>
      <c r="AI6" s="104">
        <f t="shared" si="3"/>
        <v>3.0939999999999999</v>
      </c>
      <c r="AJ6" s="104">
        <f t="shared" si="3"/>
        <v>10.581</v>
      </c>
      <c r="AK6" s="104">
        <f t="shared" si="3"/>
        <v>10.086</v>
      </c>
      <c r="AL6" s="104">
        <f t="shared" si="3"/>
        <v>6.4909999999999997</v>
      </c>
      <c r="AM6" s="104">
        <f t="shared" si="3"/>
        <v>6.2779999999999996</v>
      </c>
      <c r="AN6" s="104">
        <f t="shared" si="3"/>
        <v>4.2119999999999997</v>
      </c>
      <c r="AO6" s="104">
        <f t="shared" si="3"/>
        <v>9.15</v>
      </c>
      <c r="AP6" s="104">
        <f t="shared" si="3"/>
        <v>13.972</v>
      </c>
      <c r="AQ6" s="104">
        <f t="shared" si="3"/>
        <v>15.876200000000001</v>
      </c>
      <c r="AR6" s="104">
        <f t="shared" si="3"/>
        <v>5.2313999999999998</v>
      </c>
      <c r="AS6" s="104">
        <f t="shared" si="3"/>
        <v>15.876203330000001</v>
      </c>
      <c r="AT6" s="104">
        <f t="shared" si="3"/>
        <v>14.582125531000001</v>
      </c>
      <c r="AU6" s="104">
        <f t="shared" si="3"/>
        <v>13.1866</v>
      </c>
      <c r="AV6" s="104">
        <f>AU15</f>
        <v>15.312099999999999</v>
      </c>
      <c r="AW6" s="104">
        <f>AV15</f>
        <v>13.5153</v>
      </c>
      <c r="AX6" s="104">
        <f t="shared" ref="AX6" si="4">AW15</f>
        <v>8.0959000000000003</v>
      </c>
      <c r="AY6" s="104">
        <f>AX15</f>
        <v>7.2012999999999998</v>
      </c>
      <c r="AZ6" s="104">
        <f>AY15</f>
        <v>1.8842000000000001</v>
      </c>
      <c r="BA6" s="105">
        <f>AZ15</f>
        <v>3</v>
      </c>
    </row>
    <row r="7" spans="1:55" ht="15.75">
      <c r="A7" s="79" t="s">
        <v>13</v>
      </c>
      <c r="B7" s="80">
        <v>16.353999999999999</v>
      </c>
      <c r="C7" s="80">
        <v>17.751000000000001</v>
      </c>
      <c r="D7" s="80">
        <v>19.255727999999998</v>
      </c>
      <c r="E7" s="80">
        <v>14.017063</v>
      </c>
      <c r="F7" s="80">
        <v>16.513828</v>
      </c>
      <c r="G7" s="80">
        <v>19.435321999999999</v>
      </c>
      <c r="H7" s="80">
        <v>21.283810000000003</v>
      </c>
      <c r="I7" s="80">
        <v>21.604808000000002</v>
      </c>
      <c r="J7" s="80">
        <v>19.014963999999999</v>
      </c>
      <c r="K7" s="80">
        <v>21.178201000000001</v>
      </c>
      <c r="L7" s="80">
        <v>21.174699</v>
      </c>
      <c r="M7" s="80">
        <v>20.264773999999999</v>
      </c>
      <c r="N7" s="80">
        <v>26.758960999999999</v>
      </c>
      <c r="O7" s="80">
        <v>25.224272999999997</v>
      </c>
      <c r="P7" s="80">
        <v>26.267589999999998</v>
      </c>
      <c r="Q7" s="80">
        <v>22.257830000000002</v>
      </c>
      <c r="R7" s="80">
        <v>24.0961</v>
      </c>
      <c r="S7" s="80">
        <v>30.7712</v>
      </c>
      <c r="T7" s="80">
        <v>29.207699999999999</v>
      </c>
      <c r="U7" s="80">
        <v>33.173699999999997</v>
      </c>
      <c r="V7" s="80">
        <v>37.441900000000004</v>
      </c>
      <c r="W7" s="80">
        <v>32.404699999999998</v>
      </c>
      <c r="X7" s="80">
        <v>35.715600000000002</v>
      </c>
      <c r="Y7" s="80">
        <v>30.187799999999999</v>
      </c>
      <c r="Z7" s="80">
        <v>32.3934</v>
      </c>
      <c r="AA7" s="80">
        <v>31.640499999999999</v>
      </c>
      <c r="AB7" s="80">
        <v>42.289699999999996</v>
      </c>
      <c r="AC7" s="80">
        <v>35.280699999999996</v>
      </c>
      <c r="AD7" s="80">
        <v>47.410899999999998</v>
      </c>
      <c r="AE7" s="80">
        <v>42.128500000000003</v>
      </c>
      <c r="AF7" s="80">
        <v>34.976900000000001</v>
      </c>
      <c r="AG7" s="80">
        <v>42.514900000000004</v>
      </c>
      <c r="AH7" s="80">
        <v>51.369699999999995</v>
      </c>
      <c r="AI7" s="80">
        <v>58.652200000000001</v>
      </c>
      <c r="AJ7" s="80">
        <v>51.003900000000002</v>
      </c>
      <c r="AK7" s="80">
        <v>56.018000000000001</v>
      </c>
      <c r="AL7" s="80">
        <v>57.406999999999996</v>
      </c>
      <c r="AM7" s="80">
        <v>72.979799999999997</v>
      </c>
      <c r="AN7" s="80">
        <v>81.50569999999999</v>
      </c>
      <c r="AO7" s="80">
        <v>80.052000000000007</v>
      </c>
      <c r="AP7" s="80">
        <v>84.672399999999996</v>
      </c>
      <c r="AQ7" s="80">
        <v>66.530600000000007</v>
      </c>
      <c r="AR7" s="80">
        <v>97.842799999999997</v>
      </c>
      <c r="AS7" s="80">
        <v>80.709500000000006</v>
      </c>
      <c r="AT7" s="80">
        <v>100.0427</v>
      </c>
      <c r="AU7" s="80">
        <v>102.5864</v>
      </c>
      <c r="AV7" s="80">
        <v>87.096800000000002</v>
      </c>
      <c r="AW7" s="80">
        <v>113.11119999999998</v>
      </c>
      <c r="AX7" s="80">
        <v>131.86609999999999</v>
      </c>
      <c r="AY7" s="80">
        <v>115.5346</v>
      </c>
      <c r="AZ7" s="80">
        <v>139.69579999999999</v>
      </c>
      <c r="BA7" s="80">
        <v>138.6037</v>
      </c>
    </row>
    <row r="8" spans="1:55" ht="15.75">
      <c r="A8" s="79" t="s">
        <v>14</v>
      </c>
      <c r="B8" s="80">
        <v>0</v>
      </c>
      <c r="C8" s="80">
        <v>0</v>
      </c>
      <c r="D8" s="80">
        <v>0</v>
      </c>
      <c r="E8" s="80">
        <v>1.75</v>
      </c>
      <c r="F8" s="80">
        <v>1.476</v>
      </c>
      <c r="G8" s="80">
        <v>2</v>
      </c>
      <c r="H8" s="80">
        <v>0</v>
      </c>
      <c r="I8" s="80">
        <v>0</v>
      </c>
      <c r="J8" s="80">
        <v>0.5</v>
      </c>
      <c r="K8" s="80">
        <v>0.44</v>
      </c>
      <c r="L8" s="80">
        <v>1.1000000000000001</v>
      </c>
      <c r="M8" s="80">
        <v>2</v>
      </c>
      <c r="N8" s="80">
        <v>0.4</v>
      </c>
      <c r="O8" s="80">
        <v>0.05</v>
      </c>
      <c r="P8" s="80">
        <v>0.1</v>
      </c>
      <c r="Q8" s="80">
        <v>0.9</v>
      </c>
      <c r="R8" s="80">
        <v>0.7</v>
      </c>
      <c r="S8" s="80">
        <v>0.497</v>
      </c>
      <c r="T8" s="80">
        <v>1.22</v>
      </c>
      <c r="U8" s="80">
        <v>1.304</v>
      </c>
      <c r="V8" s="80">
        <v>1.407</v>
      </c>
      <c r="W8" s="80">
        <v>0.28000000000000003</v>
      </c>
      <c r="X8" s="80">
        <f>X53/1000</f>
        <v>0.59690999999999994</v>
      </c>
      <c r="Y8" s="80">
        <f t="shared" ref="Y8:AW8" si="5">Y53/1000</f>
        <v>1.8123119999999999</v>
      </c>
      <c r="Z8" s="80">
        <f t="shared" si="5"/>
        <v>0.90591700000000019</v>
      </c>
      <c r="AA8" s="80">
        <f t="shared" si="5"/>
        <v>1.714237</v>
      </c>
      <c r="AB8" s="80">
        <f t="shared" si="5"/>
        <v>0.42692099999999999</v>
      </c>
      <c r="AC8" s="80">
        <f t="shared" si="5"/>
        <v>0.37429600000000002</v>
      </c>
      <c r="AD8" s="80">
        <f t="shared" si="5"/>
        <v>0.78561999999999999</v>
      </c>
      <c r="AE8" s="80">
        <f t="shared" si="5"/>
        <v>0.31368799999999997</v>
      </c>
      <c r="AF8" s="80">
        <f t="shared" si="5"/>
        <v>0.60228700000000002</v>
      </c>
      <c r="AG8" s="80">
        <f t="shared" si="5"/>
        <v>0.992012</v>
      </c>
      <c r="AH8" s="80">
        <f t="shared" si="5"/>
        <v>1.220682</v>
      </c>
      <c r="AI8" s="80">
        <f t="shared" si="5"/>
        <v>0.61574200000000012</v>
      </c>
      <c r="AJ8" s="80">
        <f t="shared" si="5"/>
        <v>1.1526189999999998</v>
      </c>
      <c r="AK8" s="80">
        <f t="shared" si="5"/>
        <v>0.37880200000000003</v>
      </c>
      <c r="AL8" s="80">
        <f t="shared" si="5"/>
        <v>0.79097800000000007</v>
      </c>
      <c r="AM8" s="80">
        <f t="shared" si="5"/>
        <v>0.77126799999999995</v>
      </c>
      <c r="AN8" s="80">
        <f t="shared" si="5"/>
        <v>0.88620200000000016</v>
      </c>
      <c r="AO8" s="80">
        <f t="shared" si="5"/>
        <v>0.78851700000000002</v>
      </c>
      <c r="AP8" s="80">
        <f t="shared" si="5"/>
        <v>0.33039100000000005</v>
      </c>
      <c r="AQ8" s="80">
        <f t="shared" si="5"/>
        <v>3.4233240000000005</v>
      </c>
      <c r="AR8" s="80">
        <f t="shared" si="5"/>
        <v>0.85407899999999992</v>
      </c>
      <c r="AS8" s="80">
        <f t="shared" si="5"/>
        <v>0.91507199999999989</v>
      </c>
      <c r="AT8" s="80">
        <f t="shared" si="5"/>
        <v>1.6587129999999999</v>
      </c>
      <c r="AU8" s="80">
        <f t="shared" si="5"/>
        <v>1.6558199999999996</v>
      </c>
      <c r="AV8" s="80">
        <f t="shared" si="5"/>
        <v>2.8477030000000001</v>
      </c>
      <c r="AW8" s="80">
        <f t="shared" si="5"/>
        <v>2.5963189999999998</v>
      </c>
      <c r="AX8" s="80">
        <v>1.3</v>
      </c>
      <c r="AY8" s="80">
        <v>1.5</v>
      </c>
      <c r="AZ8" s="103">
        <v>1.7</v>
      </c>
      <c r="BA8" s="103">
        <v>1.8</v>
      </c>
    </row>
    <row r="9" spans="1:55" ht="15.75">
      <c r="A9" s="130" t="s">
        <v>15</v>
      </c>
      <c r="B9" s="131">
        <f>B6+B7+B8</f>
        <v>19.689</v>
      </c>
      <c r="C9" s="131">
        <f t="shared" ref="C9:AW9" si="6">C6+C7+C8</f>
        <v>18.051000000000002</v>
      </c>
      <c r="D9" s="131">
        <f t="shared" si="6"/>
        <v>19.755727999999998</v>
      </c>
      <c r="E9" s="131">
        <f t="shared" si="6"/>
        <v>16.767063</v>
      </c>
      <c r="F9" s="131">
        <f t="shared" si="6"/>
        <v>18.089828000000001</v>
      </c>
      <c r="G9" s="131">
        <f t="shared" si="6"/>
        <v>21.521321999999998</v>
      </c>
      <c r="H9" s="131">
        <f t="shared" si="6"/>
        <v>22.383810000000004</v>
      </c>
      <c r="I9" s="131">
        <f t="shared" si="6"/>
        <v>22.952808000000001</v>
      </c>
      <c r="J9" s="131">
        <f t="shared" si="6"/>
        <v>21.059964000000001</v>
      </c>
      <c r="K9" s="131">
        <f t="shared" si="6"/>
        <v>21.918201000000003</v>
      </c>
      <c r="L9" s="131">
        <f t="shared" si="6"/>
        <v>22.829699000000002</v>
      </c>
      <c r="M9" s="131">
        <f t="shared" si="6"/>
        <v>23.419774</v>
      </c>
      <c r="N9" s="131">
        <f t="shared" si="6"/>
        <v>28.313960999999999</v>
      </c>
      <c r="O9" s="131">
        <f t="shared" si="6"/>
        <v>27.163272999999997</v>
      </c>
      <c r="P9" s="131">
        <f t="shared" si="6"/>
        <v>29.05659</v>
      </c>
      <c r="Q9" s="131">
        <f t="shared" si="6"/>
        <v>27.108830000000001</v>
      </c>
      <c r="R9" s="131">
        <f t="shared" si="6"/>
        <v>26.147099999999998</v>
      </c>
      <c r="S9" s="131">
        <f t="shared" si="6"/>
        <v>32.019200000000005</v>
      </c>
      <c r="T9" s="131">
        <f t="shared" si="6"/>
        <v>33.805700000000002</v>
      </c>
      <c r="U9" s="131">
        <f t="shared" si="6"/>
        <v>38.066699999999997</v>
      </c>
      <c r="V9" s="131">
        <f t="shared" si="6"/>
        <v>43.671900000000008</v>
      </c>
      <c r="W9" s="131">
        <f t="shared" si="6"/>
        <v>40.298699999999997</v>
      </c>
      <c r="X9" s="131">
        <f t="shared" si="6"/>
        <v>39.819510000000001</v>
      </c>
      <c r="Y9" s="131">
        <f t="shared" si="6"/>
        <v>35.335111999999995</v>
      </c>
      <c r="Z9" s="131">
        <f t="shared" si="6"/>
        <v>35.050317</v>
      </c>
      <c r="AA9" s="131">
        <f t="shared" si="6"/>
        <v>35.470737</v>
      </c>
      <c r="AB9" s="131">
        <f t="shared" si="6"/>
        <v>44.383620999999998</v>
      </c>
      <c r="AC9" s="131">
        <f t="shared" si="6"/>
        <v>38.340995999999997</v>
      </c>
      <c r="AD9" s="131">
        <f t="shared" si="6"/>
        <v>49.69652</v>
      </c>
      <c r="AE9" s="131">
        <f t="shared" si="6"/>
        <v>48.700188000000004</v>
      </c>
      <c r="AF9" s="131">
        <f t="shared" si="6"/>
        <v>43.457186999999998</v>
      </c>
      <c r="AG9" s="131">
        <f t="shared" si="6"/>
        <v>47.699912000000005</v>
      </c>
      <c r="AH9" s="131">
        <f t="shared" si="6"/>
        <v>55.607382000000001</v>
      </c>
      <c r="AI9" s="131">
        <f t="shared" si="6"/>
        <v>62.361941999999999</v>
      </c>
      <c r="AJ9" s="131">
        <f t="shared" si="6"/>
        <v>62.737519000000006</v>
      </c>
      <c r="AK9" s="131">
        <f t="shared" si="6"/>
        <v>66.482801999999992</v>
      </c>
      <c r="AL9" s="131">
        <f t="shared" si="6"/>
        <v>64.688977999999992</v>
      </c>
      <c r="AM9" s="131">
        <f t="shared" si="6"/>
        <v>80.029068000000009</v>
      </c>
      <c r="AN9" s="131">
        <f t="shared" si="6"/>
        <v>86.603901999999991</v>
      </c>
      <c r="AO9" s="131">
        <f t="shared" si="6"/>
        <v>89.990517000000011</v>
      </c>
      <c r="AP9" s="131">
        <f t="shared" si="6"/>
        <v>98.974790999999996</v>
      </c>
      <c r="AQ9" s="131">
        <f t="shared" si="6"/>
        <v>85.830123999999998</v>
      </c>
      <c r="AR9" s="131">
        <f t="shared" si="6"/>
        <v>103.92827899999999</v>
      </c>
      <c r="AS9" s="131">
        <f t="shared" si="6"/>
        <v>97.500775329999996</v>
      </c>
      <c r="AT9" s="131">
        <f t="shared" si="6"/>
        <v>116.283538531</v>
      </c>
      <c r="AU9" s="131">
        <f t="shared" si="6"/>
        <v>117.42882</v>
      </c>
      <c r="AV9" s="131">
        <f t="shared" si="6"/>
        <v>105.256603</v>
      </c>
      <c r="AW9" s="131">
        <f t="shared" si="6"/>
        <v>129.22281899999999</v>
      </c>
      <c r="AX9" s="131">
        <f>AX6+AX7+AX8</f>
        <v>141.262</v>
      </c>
      <c r="AY9" s="131">
        <f>AY6+AY7+AY8</f>
        <v>124.2359</v>
      </c>
      <c r="AZ9" s="132">
        <f>AZ6+AZ7+AZ8</f>
        <v>143.27999999999997</v>
      </c>
      <c r="BA9" s="132">
        <f>BA6+BA7+BA8</f>
        <v>143.40370000000001</v>
      </c>
      <c r="BC9" s="133"/>
    </row>
    <row r="10" spans="1:55" ht="15.75">
      <c r="A10" s="69" t="s">
        <v>17</v>
      </c>
      <c r="B10" s="80">
        <f>B12-B11</f>
        <v>14.475</v>
      </c>
      <c r="C10" s="80">
        <f t="shared" ref="C10:AX10" si="7">C12-C11</f>
        <v>12.674000000000003</v>
      </c>
      <c r="D10" s="80">
        <f t="shared" si="7"/>
        <v>13.499727999999998</v>
      </c>
      <c r="E10" s="80">
        <f t="shared" si="7"/>
        <v>14.148062999999999</v>
      </c>
      <c r="F10" s="80">
        <f t="shared" si="7"/>
        <v>15.103828000000002</v>
      </c>
      <c r="G10" s="80">
        <f t="shared" si="7"/>
        <v>16.821321999999995</v>
      </c>
      <c r="H10" s="80">
        <f t="shared" si="7"/>
        <v>17.228810000000003</v>
      </c>
      <c r="I10" s="80">
        <f t="shared" si="7"/>
        <v>17.172808000000003</v>
      </c>
      <c r="J10" s="80">
        <f t="shared" si="7"/>
        <v>17.214964000000002</v>
      </c>
      <c r="K10" s="80">
        <f t="shared" si="7"/>
        <v>17.898201</v>
      </c>
      <c r="L10" s="80">
        <f t="shared" si="7"/>
        <v>18.504698999999999</v>
      </c>
      <c r="M10" s="80">
        <f t="shared" si="7"/>
        <v>19.000774</v>
      </c>
      <c r="N10" s="80">
        <f t="shared" si="7"/>
        <v>22.908960999999998</v>
      </c>
      <c r="O10" s="80">
        <f t="shared" si="7"/>
        <v>21.434272999999997</v>
      </c>
      <c r="P10" s="80">
        <f t="shared" si="7"/>
        <v>21.997589999999999</v>
      </c>
      <c r="Q10" s="80">
        <f t="shared" si="7"/>
        <v>22.457830000000001</v>
      </c>
      <c r="R10" s="80">
        <f t="shared" si="7"/>
        <v>22.016099999999998</v>
      </c>
      <c r="S10" s="80">
        <f t="shared" si="7"/>
        <v>25.641200000000005</v>
      </c>
      <c r="T10" s="80">
        <f t="shared" si="7"/>
        <v>26.507700000000003</v>
      </c>
      <c r="U10" s="80">
        <f t="shared" si="7"/>
        <v>28.239699999999999</v>
      </c>
      <c r="V10" s="80">
        <f t="shared" si="7"/>
        <v>30.901900000000012</v>
      </c>
      <c r="W10" s="80">
        <f t="shared" si="7"/>
        <v>31.424699999999994</v>
      </c>
      <c r="X10" s="80">
        <f t="shared" si="7"/>
        <v>31.392142999999997</v>
      </c>
      <c r="Y10" s="80">
        <f t="shared" si="7"/>
        <v>28.678058</v>
      </c>
      <c r="Z10" s="80">
        <f t="shared" si="7"/>
        <v>27.926242000000002</v>
      </c>
      <c r="AA10" s="80">
        <f t="shared" si="7"/>
        <v>28.364911986999999</v>
      </c>
      <c r="AB10" s="80">
        <f t="shared" si="7"/>
        <v>30.564342615999998</v>
      </c>
      <c r="AC10" s="80">
        <f t="shared" si="7"/>
        <v>31.040901339999994</v>
      </c>
      <c r="AD10" s="80">
        <f t="shared" si="7"/>
        <v>37.63852</v>
      </c>
      <c r="AE10" s="80">
        <f t="shared" si="7"/>
        <v>34.422188000000006</v>
      </c>
      <c r="AF10" s="80">
        <f t="shared" si="7"/>
        <v>32.764180158000002</v>
      </c>
      <c r="AG10" s="80">
        <f t="shared" si="7"/>
        <v>38.182910127</v>
      </c>
      <c r="AH10" s="80">
        <f t="shared" si="7"/>
        <v>46.013070667999997</v>
      </c>
      <c r="AI10" s="80">
        <f t="shared" si="7"/>
        <v>44.774935974999998</v>
      </c>
      <c r="AJ10" s="80">
        <f t="shared" si="7"/>
        <v>45.496848445000005</v>
      </c>
      <c r="AK10" s="80">
        <f t="shared" si="7"/>
        <v>41.392520475999994</v>
      </c>
      <c r="AL10" s="80">
        <f t="shared" si="7"/>
        <v>42.511388157999995</v>
      </c>
      <c r="AM10" s="80">
        <f t="shared" si="7"/>
        <v>43.480544750000007</v>
      </c>
      <c r="AN10" s="80">
        <f t="shared" si="7"/>
        <v>43.506369147999976</v>
      </c>
      <c r="AO10" s="80">
        <f t="shared" si="7"/>
        <v>46.051822633000015</v>
      </c>
      <c r="AP10" s="80">
        <f t="shared" si="7"/>
        <v>40.159669516999998</v>
      </c>
      <c r="AQ10" s="80">
        <f t="shared" si="7"/>
        <v>57.102475386999998</v>
      </c>
      <c r="AR10" s="80">
        <f t="shared" si="7"/>
        <v>46.94800090199999</v>
      </c>
      <c r="AS10" s="80">
        <f t="shared" si="7"/>
        <v>48.799103542999994</v>
      </c>
      <c r="AT10" s="80">
        <f>AT12-AT11</f>
        <v>53.350343321000004</v>
      </c>
      <c r="AU10" s="80">
        <f t="shared" si="7"/>
        <v>56.98980607499999</v>
      </c>
      <c r="AV10" s="80">
        <f t="shared" si="7"/>
        <v>60.933989791000002</v>
      </c>
      <c r="AW10" s="80">
        <f t="shared" si="7"/>
        <v>63.023930973999995</v>
      </c>
      <c r="AX10" s="80">
        <f t="shared" si="7"/>
        <v>62.987746835999985</v>
      </c>
      <c r="AY10" s="80">
        <f>AY12-AY11</f>
        <v>66.130589659999998</v>
      </c>
      <c r="AZ10" s="103">
        <f>AZ12-AZ11</f>
        <v>67.279999999999973</v>
      </c>
      <c r="BA10" s="103">
        <f>BA12-BA11</f>
        <v>68.903700000000015</v>
      </c>
    </row>
    <row r="11" spans="1:55" ht="15.75">
      <c r="A11" s="79" t="s">
        <v>18</v>
      </c>
      <c r="B11" s="80">
        <v>3.9460000000000002</v>
      </c>
      <c r="C11" s="80">
        <v>3.3660000000000001</v>
      </c>
      <c r="D11" s="80">
        <v>3.9940000000000002</v>
      </c>
      <c r="E11" s="80">
        <v>2.5190000000000001</v>
      </c>
      <c r="F11" s="80">
        <v>2.9</v>
      </c>
      <c r="G11" s="80">
        <v>3.6</v>
      </c>
      <c r="H11" s="80">
        <v>3.8</v>
      </c>
      <c r="I11" s="80">
        <v>3.5350000000000001</v>
      </c>
      <c r="J11" s="80">
        <v>3.0950000000000002</v>
      </c>
      <c r="K11" s="80">
        <v>3.08</v>
      </c>
      <c r="L11" s="80">
        <v>3.1139999999999999</v>
      </c>
      <c r="M11" s="80">
        <v>3.2639999999999998</v>
      </c>
      <c r="N11" s="80">
        <v>3.516</v>
      </c>
      <c r="O11" s="80">
        <v>3.04</v>
      </c>
      <c r="P11" s="80">
        <v>3.1080000000000001</v>
      </c>
      <c r="Q11" s="80">
        <v>3.3</v>
      </c>
      <c r="R11" s="80">
        <v>3.38</v>
      </c>
      <c r="S11" s="80">
        <v>3</v>
      </c>
      <c r="T11" s="80">
        <v>3.7</v>
      </c>
      <c r="U11" s="80">
        <v>5</v>
      </c>
      <c r="V11" s="80">
        <v>5.0999999999999996</v>
      </c>
      <c r="W11" s="80">
        <v>5.0999999999999996</v>
      </c>
      <c r="X11" s="80">
        <v>5</v>
      </c>
      <c r="Y11" s="80">
        <v>4.9000000000000004</v>
      </c>
      <c r="Z11" s="80">
        <v>5</v>
      </c>
      <c r="AA11" s="80">
        <v>5</v>
      </c>
      <c r="AB11" s="80">
        <v>5.5</v>
      </c>
      <c r="AC11" s="80">
        <v>5.8</v>
      </c>
      <c r="AD11" s="80">
        <v>5.8</v>
      </c>
      <c r="AE11" s="80">
        <v>6.4</v>
      </c>
      <c r="AF11" s="80">
        <v>6.5</v>
      </c>
      <c r="AG11" s="80">
        <v>6.5</v>
      </c>
      <c r="AH11" s="80">
        <v>6.5</v>
      </c>
      <c r="AI11" s="80">
        <v>7</v>
      </c>
      <c r="AJ11" s="80">
        <v>7</v>
      </c>
      <c r="AK11" s="80">
        <v>7</v>
      </c>
      <c r="AL11" s="80">
        <v>7.5</v>
      </c>
      <c r="AM11" s="80">
        <v>8</v>
      </c>
      <c r="AN11" s="80">
        <v>9</v>
      </c>
      <c r="AO11" s="80">
        <v>9</v>
      </c>
      <c r="AP11" s="80">
        <v>8.5</v>
      </c>
      <c r="AQ11" s="80">
        <v>9.5</v>
      </c>
      <c r="AR11" s="80">
        <v>9.5</v>
      </c>
      <c r="AS11" s="80">
        <v>10</v>
      </c>
      <c r="AT11" s="80">
        <v>10</v>
      </c>
      <c r="AU11" s="80">
        <v>10</v>
      </c>
      <c r="AV11" s="80">
        <v>10</v>
      </c>
      <c r="AW11" s="80">
        <v>10</v>
      </c>
      <c r="AX11" s="80">
        <v>17</v>
      </c>
      <c r="AY11" s="80">
        <v>18</v>
      </c>
      <c r="AZ11" s="103">
        <v>23</v>
      </c>
      <c r="BA11" s="103">
        <v>23</v>
      </c>
    </row>
    <row r="12" spans="1:55" ht="15.75">
      <c r="A12" s="79" t="s">
        <v>68</v>
      </c>
      <c r="B12" s="80">
        <f>B14-B13</f>
        <v>18.420999999999999</v>
      </c>
      <c r="C12" s="80">
        <f t="shared" ref="C12:AW12" si="8">C14-C13</f>
        <v>16.040000000000003</v>
      </c>
      <c r="D12" s="80">
        <f t="shared" si="8"/>
        <v>17.493727999999997</v>
      </c>
      <c r="E12" s="80">
        <f t="shared" si="8"/>
        <v>16.667062999999999</v>
      </c>
      <c r="F12" s="80">
        <f t="shared" si="8"/>
        <v>18.003828000000002</v>
      </c>
      <c r="G12" s="80">
        <f t="shared" si="8"/>
        <v>20.421321999999996</v>
      </c>
      <c r="H12" s="80">
        <f t="shared" si="8"/>
        <v>21.028810000000004</v>
      </c>
      <c r="I12" s="80">
        <f t="shared" si="8"/>
        <v>20.707808000000004</v>
      </c>
      <c r="J12" s="80">
        <f t="shared" si="8"/>
        <v>20.309964000000001</v>
      </c>
      <c r="K12" s="80">
        <f t="shared" si="8"/>
        <v>20.978201000000002</v>
      </c>
      <c r="L12" s="80">
        <f t="shared" si="8"/>
        <v>21.618698999999999</v>
      </c>
      <c r="M12" s="80">
        <f t="shared" si="8"/>
        <v>22.264773999999999</v>
      </c>
      <c r="N12" s="80">
        <f t="shared" si="8"/>
        <v>26.424961</v>
      </c>
      <c r="O12" s="80">
        <f t="shared" si="8"/>
        <v>24.474272999999997</v>
      </c>
      <c r="P12" s="80">
        <f t="shared" si="8"/>
        <v>25.105589999999999</v>
      </c>
      <c r="Q12" s="80">
        <f t="shared" si="8"/>
        <v>25.757830000000002</v>
      </c>
      <c r="R12" s="80">
        <f t="shared" si="8"/>
        <v>25.396099999999997</v>
      </c>
      <c r="S12" s="80">
        <f t="shared" si="8"/>
        <v>28.641200000000005</v>
      </c>
      <c r="T12" s="80">
        <f t="shared" si="8"/>
        <v>30.207700000000003</v>
      </c>
      <c r="U12" s="80">
        <f t="shared" si="8"/>
        <v>33.239699999999999</v>
      </c>
      <c r="V12" s="80">
        <f t="shared" si="8"/>
        <v>36.001900000000013</v>
      </c>
      <c r="W12" s="80">
        <f t="shared" si="8"/>
        <v>36.524699999999996</v>
      </c>
      <c r="X12" s="80">
        <f t="shared" si="8"/>
        <v>36.392142999999997</v>
      </c>
      <c r="Y12" s="80">
        <f t="shared" si="8"/>
        <v>33.578057999999999</v>
      </c>
      <c r="Z12" s="80">
        <f t="shared" si="8"/>
        <v>32.926242000000002</v>
      </c>
      <c r="AA12" s="80">
        <f t="shared" si="8"/>
        <v>33.364911986999999</v>
      </c>
      <c r="AB12" s="80">
        <f t="shared" si="8"/>
        <v>36.064342615999998</v>
      </c>
      <c r="AC12" s="80">
        <f t="shared" si="8"/>
        <v>36.840901339999995</v>
      </c>
      <c r="AD12" s="80">
        <f t="shared" si="8"/>
        <v>43.438519999999997</v>
      </c>
      <c r="AE12" s="80">
        <f t="shared" si="8"/>
        <v>40.822188000000004</v>
      </c>
      <c r="AF12" s="80">
        <f t="shared" si="8"/>
        <v>39.264180158000002</v>
      </c>
      <c r="AG12" s="80">
        <f t="shared" si="8"/>
        <v>44.682910127</v>
      </c>
      <c r="AH12" s="80">
        <f t="shared" si="8"/>
        <v>52.513070667999997</v>
      </c>
      <c r="AI12" s="80">
        <f t="shared" si="8"/>
        <v>51.774935974999998</v>
      </c>
      <c r="AJ12" s="80">
        <f t="shared" si="8"/>
        <v>52.496848445000005</v>
      </c>
      <c r="AK12" s="80">
        <f t="shared" si="8"/>
        <v>48.392520475999994</v>
      </c>
      <c r="AL12" s="80">
        <f t="shared" si="8"/>
        <v>50.011388157999995</v>
      </c>
      <c r="AM12" s="80">
        <f t="shared" si="8"/>
        <v>51.480544750000007</v>
      </c>
      <c r="AN12" s="80">
        <f t="shared" si="8"/>
        <v>52.506369147999976</v>
      </c>
      <c r="AO12" s="80">
        <f t="shared" si="8"/>
        <v>55.051822633000015</v>
      </c>
      <c r="AP12" s="80">
        <f t="shared" si="8"/>
        <v>48.659669516999998</v>
      </c>
      <c r="AQ12" s="80">
        <f t="shared" si="8"/>
        <v>66.602475386999998</v>
      </c>
      <c r="AR12" s="80">
        <f t="shared" si="8"/>
        <v>56.44800090199999</v>
      </c>
      <c r="AS12" s="80">
        <f t="shared" si="8"/>
        <v>58.799103542999994</v>
      </c>
      <c r="AT12" s="80">
        <f t="shared" si="8"/>
        <v>63.350343321000004</v>
      </c>
      <c r="AU12" s="80">
        <f t="shared" si="8"/>
        <v>66.98980607499999</v>
      </c>
      <c r="AV12" s="80">
        <f t="shared" si="8"/>
        <v>70.933989791000002</v>
      </c>
      <c r="AW12" s="80">
        <f t="shared" si="8"/>
        <v>73.023930973999995</v>
      </c>
      <c r="AX12" s="80">
        <f>AX14-AX13</f>
        <v>79.987746835999985</v>
      </c>
      <c r="AY12" s="80">
        <f>AY14-AY13</f>
        <v>84.130589659999998</v>
      </c>
      <c r="AZ12" s="103">
        <f>AZ14-AZ13</f>
        <v>90.279999999999973</v>
      </c>
      <c r="BA12" s="103">
        <f>BA14-BA13</f>
        <v>91.903700000000015</v>
      </c>
    </row>
    <row r="13" spans="1:55" ht="15.75">
      <c r="A13" s="79" t="s">
        <v>19</v>
      </c>
      <c r="B13" s="80">
        <v>0.96799999999999997</v>
      </c>
      <c r="C13" s="80">
        <v>1.5109999999999999</v>
      </c>
      <c r="D13" s="80">
        <v>1.262</v>
      </c>
      <c r="E13" s="80">
        <v>0</v>
      </c>
      <c r="F13" s="80">
        <v>0</v>
      </c>
      <c r="G13" s="80">
        <v>0</v>
      </c>
      <c r="H13" s="80">
        <v>7.0000000000000001E-3</v>
      </c>
      <c r="I13" s="80">
        <v>0.7</v>
      </c>
      <c r="J13" s="80">
        <v>0.45</v>
      </c>
      <c r="K13" s="80">
        <v>0.38500000000000001</v>
      </c>
      <c r="L13" s="80">
        <v>5.6000000000000001E-2</v>
      </c>
      <c r="M13" s="80">
        <v>0</v>
      </c>
      <c r="N13" s="80">
        <v>0</v>
      </c>
      <c r="O13" s="80">
        <v>0</v>
      </c>
      <c r="P13" s="80">
        <v>0</v>
      </c>
      <c r="Q13" s="80">
        <v>0</v>
      </c>
      <c r="R13" s="80">
        <v>0</v>
      </c>
      <c r="S13" s="80">
        <v>0</v>
      </c>
      <c r="T13" s="80">
        <v>8.9999999999999993E-3</v>
      </c>
      <c r="U13" s="80">
        <v>4.0000000000000001E-3</v>
      </c>
      <c r="V13" s="80">
        <v>5.6000000000000001E-2</v>
      </c>
      <c r="W13" s="80">
        <v>0.26700000000000002</v>
      </c>
      <c r="X13" s="80">
        <f t="shared" ref="X13:Z13" si="9">X37/1000</f>
        <v>9.2367000000000005E-2</v>
      </c>
      <c r="Y13" s="80">
        <f t="shared" si="9"/>
        <v>6.0540000000000004E-3</v>
      </c>
      <c r="Z13" s="80">
        <f t="shared" si="9"/>
        <v>8.0750000000000006E-3</v>
      </c>
      <c r="AA13" s="80">
        <f>AA37/1000</f>
        <v>0.43882501299999999</v>
      </c>
      <c r="AB13" s="80">
        <f t="shared" ref="AB13:AV13" si="10">AB37/1000</f>
        <v>5.6332783840000005</v>
      </c>
      <c r="AC13" s="80">
        <f t="shared" si="10"/>
        <v>9.4660000000000005E-5</v>
      </c>
      <c r="AD13" s="80">
        <f t="shared" si="10"/>
        <v>0</v>
      </c>
      <c r="AE13" s="80">
        <f t="shared" si="10"/>
        <v>0</v>
      </c>
      <c r="AF13" s="80">
        <f t="shared" si="10"/>
        <v>6.8420000000000007E-6</v>
      </c>
      <c r="AG13" s="80">
        <f t="shared" si="10"/>
        <v>1.8729999999999999E-6</v>
      </c>
      <c r="AH13" s="80">
        <f t="shared" si="10"/>
        <v>3.1133199999999994E-4</v>
      </c>
      <c r="AI13" s="80">
        <f t="shared" si="10"/>
        <v>6.0060249999999999E-3</v>
      </c>
      <c r="AJ13" s="80">
        <f t="shared" si="10"/>
        <v>0.15467055500000002</v>
      </c>
      <c r="AK13" s="80">
        <f t="shared" si="10"/>
        <v>11.599281524</v>
      </c>
      <c r="AL13" s="80">
        <f t="shared" si="10"/>
        <v>8.3995898419999993</v>
      </c>
      <c r="AM13" s="80">
        <f t="shared" si="10"/>
        <v>24.336523249999999</v>
      </c>
      <c r="AN13" s="80">
        <f t="shared" si="10"/>
        <v>24.947532852000005</v>
      </c>
      <c r="AO13" s="80">
        <f t="shared" si="10"/>
        <v>20.966694367000002</v>
      </c>
      <c r="AP13" s="80">
        <f t="shared" si="10"/>
        <v>34.438921483000001</v>
      </c>
      <c r="AQ13" s="80">
        <f t="shared" si="10"/>
        <v>13.996248613000001</v>
      </c>
      <c r="AR13" s="80">
        <f t="shared" si="10"/>
        <v>31.604074768000004</v>
      </c>
      <c r="AS13" s="80">
        <f t="shared" si="10"/>
        <v>24.119546256</v>
      </c>
      <c r="AT13" s="80">
        <f t="shared" si="10"/>
        <v>39.746595210000002</v>
      </c>
      <c r="AU13" s="80">
        <f t="shared" si="10"/>
        <v>35.126913925000004</v>
      </c>
      <c r="AV13" s="80">
        <f t="shared" si="10"/>
        <v>20.807313209</v>
      </c>
      <c r="AW13" s="80">
        <f>AW37/1000</f>
        <v>48.102988025999998</v>
      </c>
      <c r="AX13" s="80">
        <f>AX37/1000</f>
        <v>54.072953164000005</v>
      </c>
      <c r="AY13" s="80">
        <f>AY37/1000</f>
        <v>38.221110340000003</v>
      </c>
      <c r="AZ13" s="103">
        <f t="shared" ref="AZ13:BA13" si="11">AZ37/1000</f>
        <v>50</v>
      </c>
      <c r="BA13" s="103">
        <f t="shared" si="11"/>
        <v>48</v>
      </c>
    </row>
    <row r="14" spans="1:55" ht="15.75">
      <c r="A14" s="79" t="s">
        <v>69</v>
      </c>
      <c r="B14" s="80">
        <f>B9-B15</f>
        <v>19.388999999999999</v>
      </c>
      <c r="C14" s="80">
        <f t="shared" ref="C14:AX14" si="12">C9-C15</f>
        <v>17.551000000000002</v>
      </c>
      <c r="D14" s="80">
        <f t="shared" si="12"/>
        <v>18.755727999999998</v>
      </c>
      <c r="E14" s="80">
        <f t="shared" si="12"/>
        <v>16.667062999999999</v>
      </c>
      <c r="F14" s="80">
        <f t="shared" si="12"/>
        <v>18.003828000000002</v>
      </c>
      <c r="G14" s="80">
        <f t="shared" si="12"/>
        <v>20.421321999999996</v>
      </c>
      <c r="H14" s="80">
        <f t="shared" si="12"/>
        <v>21.035810000000005</v>
      </c>
      <c r="I14" s="80">
        <f t="shared" si="12"/>
        <v>21.407808000000003</v>
      </c>
      <c r="J14" s="80">
        <f t="shared" si="12"/>
        <v>20.759964</v>
      </c>
      <c r="K14" s="80">
        <f t="shared" si="12"/>
        <v>21.363201000000004</v>
      </c>
      <c r="L14" s="80">
        <f t="shared" si="12"/>
        <v>21.674699</v>
      </c>
      <c r="M14" s="80">
        <f t="shared" si="12"/>
        <v>22.264773999999999</v>
      </c>
      <c r="N14" s="80">
        <f t="shared" si="12"/>
        <v>26.424961</v>
      </c>
      <c r="O14" s="80">
        <f t="shared" si="12"/>
        <v>24.474272999999997</v>
      </c>
      <c r="P14" s="80">
        <f t="shared" si="12"/>
        <v>25.105589999999999</v>
      </c>
      <c r="Q14" s="80">
        <f t="shared" si="12"/>
        <v>25.757830000000002</v>
      </c>
      <c r="R14" s="80">
        <f t="shared" si="12"/>
        <v>25.396099999999997</v>
      </c>
      <c r="S14" s="80">
        <f t="shared" si="12"/>
        <v>28.641200000000005</v>
      </c>
      <c r="T14" s="80">
        <f t="shared" si="12"/>
        <v>30.216700000000003</v>
      </c>
      <c r="U14" s="80">
        <f t="shared" si="12"/>
        <v>33.243699999999997</v>
      </c>
      <c r="V14" s="80">
        <f t="shared" si="12"/>
        <v>36.057900000000011</v>
      </c>
      <c r="W14" s="80">
        <f t="shared" si="12"/>
        <v>36.791699999999999</v>
      </c>
      <c r="X14" s="80">
        <f t="shared" si="12"/>
        <v>36.48451</v>
      </c>
      <c r="Y14" s="80">
        <f t="shared" si="12"/>
        <v>33.584111999999998</v>
      </c>
      <c r="Z14" s="80">
        <f t="shared" si="12"/>
        <v>32.934317</v>
      </c>
      <c r="AA14" s="80">
        <f t="shared" si="12"/>
        <v>33.803736999999998</v>
      </c>
      <c r="AB14" s="80">
        <f t="shared" si="12"/>
        <v>41.697620999999998</v>
      </c>
      <c r="AC14" s="80">
        <f t="shared" si="12"/>
        <v>36.840995999999997</v>
      </c>
      <c r="AD14" s="80">
        <f t="shared" si="12"/>
        <v>43.438519999999997</v>
      </c>
      <c r="AE14" s="80">
        <f t="shared" si="12"/>
        <v>40.822188000000004</v>
      </c>
      <c r="AF14" s="80">
        <f t="shared" si="12"/>
        <v>39.264187</v>
      </c>
      <c r="AG14" s="80">
        <f t="shared" si="12"/>
        <v>44.682912000000002</v>
      </c>
      <c r="AH14" s="80">
        <f t="shared" si="12"/>
        <v>52.513382</v>
      </c>
      <c r="AI14" s="80">
        <f t="shared" si="12"/>
        <v>51.780941999999996</v>
      </c>
      <c r="AJ14" s="80">
        <f t="shared" si="12"/>
        <v>52.651519000000008</v>
      </c>
      <c r="AK14" s="80">
        <f t="shared" si="12"/>
        <v>59.991801999999993</v>
      </c>
      <c r="AL14" s="80">
        <f t="shared" si="12"/>
        <v>58.410977999999993</v>
      </c>
      <c r="AM14" s="80">
        <f t="shared" si="12"/>
        <v>75.817068000000006</v>
      </c>
      <c r="AN14" s="80">
        <f t="shared" si="12"/>
        <v>77.453901999999985</v>
      </c>
      <c r="AO14" s="80">
        <f t="shared" si="12"/>
        <v>76.018517000000017</v>
      </c>
      <c r="AP14" s="80">
        <f t="shared" si="12"/>
        <v>83.098590999999999</v>
      </c>
      <c r="AQ14" s="80">
        <f t="shared" si="12"/>
        <v>80.598724000000004</v>
      </c>
      <c r="AR14" s="80">
        <f t="shared" si="12"/>
        <v>88.052075669999994</v>
      </c>
      <c r="AS14" s="80">
        <f t="shared" si="12"/>
        <v>82.918649798999994</v>
      </c>
      <c r="AT14" s="80">
        <f t="shared" si="12"/>
        <v>103.09693853100001</v>
      </c>
      <c r="AU14" s="80">
        <f t="shared" si="12"/>
        <v>102.11672</v>
      </c>
      <c r="AV14" s="80">
        <f>AV9-AV15</f>
        <v>91.741303000000002</v>
      </c>
      <c r="AW14" s="80">
        <f t="shared" si="12"/>
        <v>121.12691899999999</v>
      </c>
      <c r="AX14" s="80">
        <f t="shared" si="12"/>
        <v>134.0607</v>
      </c>
      <c r="AY14" s="80">
        <f>AY9-AY15</f>
        <v>122.35169999999999</v>
      </c>
      <c r="AZ14" s="103">
        <f t="shared" ref="AZ14:BA14" si="13">AZ9-AZ15</f>
        <v>140.27999999999997</v>
      </c>
      <c r="BA14" s="103">
        <f t="shared" si="13"/>
        <v>139.90370000000001</v>
      </c>
      <c r="BC14" s="32"/>
    </row>
    <row r="15" spans="1:55" ht="15.75">
      <c r="A15" s="83" t="s">
        <v>115</v>
      </c>
      <c r="B15" s="104">
        <v>0.3</v>
      </c>
      <c r="C15" s="104">
        <v>0.5</v>
      </c>
      <c r="D15" s="104">
        <v>1</v>
      </c>
      <c r="E15" s="104">
        <v>0.1</v>
      </c>
      <c r="F15" s="104">
        <v>8.5999999999999993E-2</v>
      </c>
      <c r="G15" s="104">
        <v>1.1000000000000001</v>
      </c>
      <c r="H15" s="104">
        <v>1.3480000000000001</v>
      </c>
      <c r="I15" s="104">
        <v>1.5449999999999999</v>
      </c>
      <c r="J15" s="104">
        <v>0.3</v>
      </c>
      <c r="K15" s="104">
        <v>0.55500000000000005</v>
      </c>
      <c r="L15" s="104">
        <v>1.155</v>
      </c>
      <c r="M15" s="104">
        <v>1.155</v>
      </c>
      <c r="N15" s="104">
        <v>1.889</v>
      </c>
      <c r="O15" s="104">
        <v>2.6890000000000001</v>
      </c>
      <c r="P15" s="104">
        <v>3.9510000000000001</v>
      </c>
      <c r="Q15" s="104">
        <v>1.351</v>
      </c>
      <c r="R15" s="104">
        <v>0.751</v>
      </c>
      <c r="S15" s="104">
        <v>3.3780000000000001</v>
      </c>
      <c r="T15" s="104">
        <v>3.589</v>
      </c>
      <c r="U15" s="104">
        <v>4.8230000000000004</v>
      </c>
      <c r="V15" s="104">
        <v>7.6139999999999999</v>
      </c>
      <c r="W15" s="104">
        <v>3.5070000000000001</v>
      </c>
      <c r="X15" s="104">
        <v>3.335</v>
      </c>
      <c r="Y15" s="104">
        <v>1.7509999999999999</v>
      </c>
      <c r="Z15" s="104">
        <v>2.1160000000000001</v>
      </c>
      <c r="AA15" s="104">
        <v>1.667</v>
      </c>
      <c r="AB15" s="104">
        <v>2.6859999999999999</v>
      </c>
      <c r="AC15" s="104">
        <v>1.5</v>
      </c>
      <c r="AD15" s="104">
        <v>6.258</v>
      </c>
      <c r="AE15" s="104">
        <v>7.8780000000000001</v>
      </c>
      <c r="AF15" s="104">
        <v>4.1929999999999996</v>
      </c>
      <c r="AG15" s="104">
        <v>3.0169999999999999</v>
      </c>
      <c r="AH15" s="104">
        <v>3.0939999999999999</v>
      </c>
      <c r="AI15" s="104">
        <v>10.581</v>
      </c>
      <c r="AJ15" s="104">
        <v>10.086</v>
      </c>
      <c r="AK15" s="104">
        <v>6.4909999999999997</v>
      </c>
      <c r="AL15" s="104">
        <v>6.2779999999999996</v>
      </c>
      <c r="AM15" s="104">
        <v>4.2119999999999997</v>
      </c>
      <c r="AN15" s="104">
        <v>9.15</v>
      </c>
      <c r="AO15" s="104">
        <v>13.972</v>
      </c>
      <c r="AP15" s="104">
        <v>15.876200000000001</v>
      </c>
      <c r="AQ15" s="104">
        <v>5.2313999999999998</v>
      </c>
      <c r="AR15" s="104">
        <v>15.876203330000001</v>
      </c>
      <c r="AS15" s="104">
        <v>14.582125531000001</v>
      </c>
      <c r="AT15" s="104">
        <v>13.1866</v>
      </c>
      <c r="AU15" s="104">
        <v>15.312099999999999</v>
      </c>
      <c r="AV15" s="104">
        <v>13.5153</v>
      </c>
      <c r="AW15" s="104">
        <v>8.0959000000000003</v>
      </c>
      <c r="AX15" s="104">
        <v>7.2012999999999998</v>
      </c>
      <c r="AY15" s="104">
        <v>1.8842000000000001</v>
      </c>
      <c r="AZ15" s="105">
        <v>3</v>
      </c>
      <c r="BA15" s="105">
        <v>3.5</v>
      </c>
      <c r="BC15" s="133"/>
    </row>
    <row r="16" spans="1:55" ht="16.5" thickBot="1">
      <c r="A16" s="106" t="s">
        <v>22</v>
      </c>
      <c r="B16" s="88">
        <f t="shared" ref="B16:BA16" si="14">B15/B14</f>
        <v>1.5472690700912889E-2</v>
      </c>
      <c r="C16" s="88">
        <f t="shared" si="14"/>
        <v>2.8488405219075832E-2</v>
      </c>
      <c r="D16" s="88">
        <f t="shared" si="14"/>
        <v>5.3317045331431556E-2</v>
      </c>
      <c r="E16" s="88">
        <f t="shared" si="14"/>
        <v>5.9998573233928506E-3</v>
      </c>
      <c r="F16" s="88">
        <f t="shared" si="14"/>
        <v>4.7767619197428444E-3</v>
      </c>
      <c r="G16" s="88">
        <f t="shared" si="14"/>
        <v>5.3865268859675207E-2</v>
      </c>
      <c r="H16" s="88">
        <f t="shared" si="14"/>
        <v>6.408120248281382E-2</v>
      </c>
      <c r="I16" s="88">
        <f t="shared" si="14"/>
        <v>7.216992977515492E-2</v>
      </c>
      <c r="J16" s="88">
        <f t="shared" si="14"/>
        <v>1.4450892111373603E-2</v>
      </c>
      <c r="K16" s="88">
        <f t="shared" si="14"/>
        <v>2.5979252828262953E-2</v>
      </c>
      <c r="L16" s="88">
        <f t="shared" si="14"/>
        <v>5.3287937239635944E-2</v>
      </c>
      <c r="M16" s="88">
        <f t="shared" si="14"/>
        <v>5.1875666916717862E-2</v>
      </c>
      <c r="N16" s="88">
        <f t="shared" si="14"/>
        <v>7.1485441359781007E-2</v>
      </c>
      <c r="O16" s="88">
        <f t="shared" si="14"/>
        <v>0.10987047500859373</v>
      </c>
      <c r="P16" s="88">
        <f t="shared" si="14"/>
        <v>0.15737530964219523</v>
      </c>
      <c r="Q16" s="88">
        <f t="shared" si="14"/>
        <v>5.2450070522245075E-2</v>
      </c>
      <c r="R16" s="88">
        <f t="shared" si="14"/>
        <v>2.9571469635101457E-2</v>
      </c>
      <c r="S16" s="88">
        <f t="shared" si="14"/>
        <v>0.11794198567099143</v>
      </c>
      <c r="T16" s="88">
        <f t="shared" si="14"/>
        <v>0.11877537917773945</v>
      </c>
      <c r="U16" s="88">
        <f t="shared" si="14"/>
        <v>0.14508012044387361</v>
      </c>
      <c r="V16" s="88">
        <f t="shared" si="14"/>
        <v>0.21116038371618973</v>
      </c>
      <c r="W16" s="88">
        <f t="shared" si="14"/>
        <v>9.5320411940736635E-2</v>
      </c>
      <c r="X16" s="88">
        <f t="shared" si="14"/>
        <v>9.1408655344418763E-2</v>
      </c>
      <c r="Y16" s="88">
        <f t="shared" si="14"/>
        <v>5.2137748945096422E-2</v>
      </c>
      <c r="Z16" s="88">
        <f t="shared" si="14"/>
        <v>6.424909312678323E-2</v>
      </c>
      <c r="AA16" s="88">
        <f t="shared" si="14"/>
        <v>4.9314074358110173E-2</v>
      </c>
      <c r="AB16" s="88">
        <f t="shared" si="14"/>
        <v>6.4416144988223664E-2</v>
      </c>
      <c r="AC16" s="88">
        <f t="shared" si="14"/>
        <v>4.0715511600174982E-2</v>
      </c>
      <c r="AD16" s="88">
        <f t="shared" si="14"/>
        <v>0.14406568179578863</v>
      </c>
      <c r="AE16" s="88">
        <f t="shared" si="14"/>
        <v>0.19298328644216717</v>
      </c>
      <c r="AF16" s="88">
        <f t="shared" si="14"/>
        <v>0.10678942620154085</v>
      </c>
      <c r="AG16" s="88">
        <f t="shared" si="14"/>
        <v>6.7520218915007146E-2</v>
      </c>
      <c r="AH16" s="88">
        <f t="shared" si="14"/>
        <v>5.8918315335317765E-2</v>
      </c>
      <c r="AI16" s="88">
        <f t="shared" si="14"/>
        <v>0.20434158961418664</v>
      </c>
      <c r="AJ16" s="88">
        <f t="shared" si="14"/>
        <v>0.19156142484702102</v>
      </c>
      <c r="AK16" s="88">
        <f t="shared" si="14"/>
        <v>0.10819811680269248</v>
      </c>
      <c r="AL16" s="88">
        <f t="shared" si="14"/>
        <v>0.10747979600683968</v>
      </c>
      <c r="AM16" s="88">
        <f t="shared" si="14"/>
        <v>5.5554772970118016E-2</v>
      </c>
      <c r="AN16" s="88">
        <f t="shared" si="14"/>
        <v>0.11813478422300792</v>
      </c>
      <c r="AO16" s="88">
        <f t="shared" si="14"/>
        <v>0.18379732401251653</v>
      </c>
      <c r="AP16" s="88">
        <f t="shared" si="14"/>
        <v>0.19105257753407637</v>
      </c>
      <c r="AQ16" s="88">
        <f t="shared" si="14"/>
        <v>6.4906734751780923E-2</v>
      </c>
      <c r="AR16" s="88">
        <f t="shared" si="14"/>
        <v>0.18030470274773025</v>
      </c>
      <c r="AS16" s="88">
        <f t="shared" si="14"/>
        <v>0.17586062443549175</v>
      </c>
      <c r="AT16" s="88">
        <f t="shared" si="14"/>
        <v>0.12790486495420955</v>
      </c>
      <c r="AU16" s="88">
        <f t="shared" si="14"/>
        <v>0.14994704099387446</v>
      </c>
      <c r="AV16" s="88">
        <f t="shared" si="14"/>
        <v>0.14731968653203018</v>
      </c>
      <c r="AW16" s="88">
        <f t="shared" si="14"/>
        <v>6.6838156760183107E-2</v>
      </c>
      <c r="AX16" s="88">
        <f t="shared" si="14"/>
        <v>5.3716711907367334E-2</v>
      </c>
      <c r="AY16" s="88">
        <f>AY15/AY14</f>
        <v>1.5399867758273896E-2</v>
      </c>
      <c r="AZ16" s="89">
        <f t="shared" si="14"/>
        <v>2.1385799828913605E-2</v>
      </c>
      <c r="BA16" s="89">
        <f t="shared" si="14"/>
        <v>2.5017208265399698E-2</v>
      </c>
      <c r="BC16" s="133"/>
    </row>
    <row r="17" spans="1:59" ht="16.5" hidden="1" thickBot="1">
      <c r="A17" s="134" t="s">
        <v>129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80">
        <f>SUM(X31:X36,Y25:Y30)/1000</f>
        <v>6.3209999999999994E-3</v>
      </c>
      <c r="Z17" s="80">
        <f t="shared" ref="Z17:AV17" si="15">SUM(Y31:Y36,Z25:Z30)/1000</f>
        <v>7.9279999999999993E-3</v>
      </c>
      <c r="AA17" s="80">
        <f t="shared" si="15"/>
        <v>6.7709999999999992E-3</v>
      </c>
      <c r="AB17" s="80">
        <f t="shared" si="15"/>
        <v>3.7495987569999998</v>
      </c>
      <c r="AC17" s="80">
        <f t="shared" si="15"/>
        <v>2.3185162559999997</v>
      </c>
      <c r="AD17" s="80">
        <f t="shared" si="15"/>
        <v>7.2044000000000017E-5</v>
      </c>
      <c r="AE17" s="80">
        <f t="shared" si="15"/>
        <v>0</v>
      </c>
      <c r="AF17" s="80">
        <f t="shared" si="15"/>
        <v>4.673E-6</v>
      </c>
      <c r="AG17" s="80">
        <f t="shared" si="15"/>
        <v>4.031E-6</v>
      </c>
      <c r="AH17" s="80">
        <f t="shared" si="15"/>
        <v>3.08998E-4</v>
      </c>
      <c r="AI17" s="80">
        <f t="shared" si="15"/>
        <v>6.8500000000000005E-6</v>
      </c>
      <c r="AJ17" s="80">
        <f t="shared" si="15"/>
        <v>0.16036526400000004</v>
      </c>
      <c r="AK17" s="80">
        <f t="shared" si="15"/>
        <v>2.1153635320000004</v>
      </c>
      <c r="AL17" s="80">
        <f t="shared" si="15"/>
        <v>11.858681229999998</v>
      </c>
      <c r="AM17" s="80">
        <f t="shared" si="15"/>
        <v>11.175187294999999</v>
      </c>
      <c r="AN17" s="80">
        <f t="shared" si="15"/>
        <v>25.741083381999999</v>
      </c>
      <c r="AO17" s="80">
        <f t="shared" si="15"/>
        <v>22.804278836000002</v>
      </c>
      <c r="AP17" s="80">
        <f t="shared" si="15"/>
        <v>21.139638571000003</v>
      </c>
      <c r="AQ17" s="80">
        <f t="shared" si="15"/>
        <v>35.913307561000003</v>
      </c>
      <c r="AR17" s="80">
        <f t="shared" si="15"/>
        <v>16.793893444000002</v>
      </c>
      <c r="AS17" s="80">
        <f t="shared" si="15"/>
        <v>27.668967361</v>
      </c>
      <c r="AT17" s="80">
        <f t="shared" si="15"/>
        <v>35.775761838999998</v>
      </c>
      <c r="AU17" s="80">
        <f t="shared" si="15"/>
        <v>34.208672932999995</v>
      </c>
      <c r="AV17" s="103">
        <f t="shared" si="15"/>
        <v>30.943503540999998</v>
      </c>
      <c r="AW17" s="135"/>
      <c r="AX17" s="135"/>
    </row>
    <row r="18" spans="1:59" ht="16.5" hidden="1" thickBot="1">
      <c r="A18" s="134" t="s">
        <v>130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80">
        <f>SUM(X32:X36,Y25:Y31)/1000</f>
        <v>6.0569999999999999E-3</v>
      </c>
      <c r="Z18" s="80">
        <f t="shared" ref="Z18:AV18" si="16">SUM(Y32:Y36,Z25:Z31)/1000</f>
        <v>7.9839999999999998E-3</v>
      </c>
      <c r="AA18" s="80">
        <f t="shared" si="16"/>
        <v>6.6869999999999994E-3</v>
      </c>
      <c r="AB18" s="80">
        <f t="shared" si="16"/>
        <v>4.0980358190000006</v>
      </c>
      <c r="AC18" s="80">
        <f t="shared" si="16"/>
        <v>1.969663194</v>
      </c>
      <c r="AD18" s="80">
        <f t="shared" si="16"/>
        <v>7.2044000000000017E-5</v>
      </c>
      <c r="AE18" s="80">
        <f t="shared" si="16"/>
        <v>0</v>
      </c>
      <c r="AF18" s="80">
        <f t="shared" si="16"/>
        <v>4.673E-6</v>
      </c>
      <c r="AG18" s="80">
        <f t="shared" si="16"/>
        <v>4.0419999999999996E-6</v>
      </c>
      <c r="AH18" s="80">
        <f t="shared" si="16"/>
        <v>3.0918699999999999E-4</v>
      </c>
      <c r="AI18" s="80">
        <f t="shared" si="16"/>
        <v>6.8199999999999999E-6</v>
      </c>
      <c r="AJ18" s="80">
        <f t="shared" si="16"/>
        <v>0.16039088900000001</v>
      </c>
      <c r="AK18" s="80">
        <f t="shared" si="16"/>
        <v>4.0457817609999998</v>
      </c>
      <c r="AL18" s="80">
        <f t="shared" si="16"/>
        <v>11.577453982</v>
      </c>
      <c r="AM18" s="80">
        <f t="shared" si="16"/>
        <v>12.672977153</v>
      </c>
      <c r="AN18" s="80">
        <f t="shared" si="16"/>
        <v>26.044176339000003</v>
      </c>
      <c r="AO18" s="80">
        <f t="shared" si="16"/>
        <v>22.039741615000004</v>
      </c>
      <c r="AP18" s="80">
        <f t="shared" si="16"/>
        <v>21.910169792000001</v>
      </c>
      <c r="AQ18" s="80">
        <f t="shared" si="16"/>
        <v>35.372758355000002</v>
      </c>
      <c r="AR18" s="80">
        <f t="shared" si="16"/>
        <v>19.794276079999999</v>
      </c>
      <c r="AS18" s="80">
        <f t="shared" si="16"/>
        <v>25.114686820999996</v>
      </c>
      <c r="AT18" s="80">
        <f t="shared" si="16"/>
        <v>38.856287749000003</v>
      </c>
      <c r="AU18" s="80">
        <f t="shared" si="16"/>
        <v>34.137763981999996</v>
      </c>
      <c r="AV18" s="103">
        <f t="shared" si="16"/>
        <v>27.422411818</v>
      </c>
      <c r="AW18" s="135"/>
      <c r="AX18" s="135"/>
    </row>
    <row r="19" spans="1:59" ht="13.5" hidden="1" thickBot="1">
      <c r="A19" s="92"/>
      <c r="B19" s="92">
        <v>1975</v>
      </c>
      <c r="C19" s="92">
        <v>1976</v>
      </c>
      <c r="D19" s="92">
        <v>1977</v>
      </c>
      <c r="E19" s="92">
        <v>1978</v>
      </c>
      <c r="F19" s="92">
        <v>1979</v>
      </c>
      <c r="G19" s="92">
        <v>1980</v>
      </c>
      <c r="H19" s="92">
        <v>1981</v>
      </c>
      <c r="I19" s="92">
        <v>1982</v>
      </c>
      <c r="J19" s="92">
        <v>1983</v>
      </c>
      <c r="K19" s="92">
        <v>1984</v>
      </c>
      <c r="L19" s="92">
        <v>1985</v>
      </c>
      <c r="M19" s="92">
        <v>1986</v>
      </c>
      <c r="N19" s="92">
        <v>1987</v>
      </c>
      <c r="O19" s="92">
        <v>1988</v>
      </c>
      <c r="P19" s="92">
        <v>1989</v>
      </c>
      <c r="Q19" s="92">
        <v>1990</v>
      </c>
      <c r="R19" s="92">
        <v>1991</v>
      </c>
      <c r="S19" s="92">
        <v>1992</v>
      </c>
      <c r="T19" s="92">
        <v>1993</v>
      </c>
      <c r="U19" s="92">
        <v>1994</v>
      </c>
      <c r="V19" s="92">
        <v>1995</v>
      </c>
      <c r="W19" s="92">
        <v>1996</v>
      </c>
      <c r="X19" s="92">
        <v>1997</v>
      </c>
      <c r="Y19" s="92">
        <v>1998</v>
      </c>
      <c r="Z19" s="92">
        <v>1999</v>
      </c>
      <c r="AA19" s="92">
        <v>2000</v>
      </c>
      <c r="AB19" s="92">
        <v>2001</v>
      </c>
      <c r="AC19" s="92">
        <v>2002</v>
      </c>
      <c r="AD19" s="92">
        <v>2003</v>
      </c>
      <c r="AE19" s="92">
        <v>2004</v>
      </c>
      <c r="AF19" s="92">
        <v>2005</v>
      </c>
      <c r="AG19" s="92">
        <v>2006</v>
      </c>
      <c r="AH19" s="92">
        <v>2007</v>
      </c>
      <c r="AI19" s="92">
        <v>2008</v>
      </c>
      <c r="AJ19" s="92">
        <v>2009</v>
      </c>
      <c r="AK19" s="92">
        <v>2010</v>
      </c>
      <c r="AL19" s="92">
        <v>2011</v>
      </c>
      <c r="AM19" s="92">
        <v>2012</v>
      </c>
      <c r="AN19" s="92">
        <v>2013</v>
      </c>
      <c r="AO19" s="92">
        <v>2014</v>
      </c>
      <c r="AP19" s="92">
        <v>2015</v>
      </c>
      <c r="AQ19" s="92">
        <v>2016</v>
      </c>
      <c r="AR19" s="92">
        <v>2017</v>
      </c>
      <c r="AS19" s="92">
        <v>2018</v>
      </c>
      <c r="AT19" s="92">
        <v>2019</v>
      </c>
      <c r="AU19" s="92">
        <v>2020</v>
      </c>
      <c r="AV19" s="92">
        <v>2021</v>
      </c>
      <c r="AW19" s="92">
        <v>2022</v>
      </c>
      <c r="AX19" s="92">
        <v>2023</v>
      </c>
    </row>
    <row r="20" spans="1:59">
      <c r="A20" s="91" t="s">
        <v>71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</row>
    <row r="21" spans="1:59">
      <c r="A21" s="13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9" ht="15.75">
      <c r="A22" s="93" t="s">
        <v>72</v>
      </c>
    </row>
    <row r="23" spans="1:59" ht="16.5" thickBot="1">
      <c r="A23" s="93" t="s">
        <v>304</v>
      </c>
    </row>
    <row r="24" spans="1:59" ht="16.5" thickBot="1">
      <c r="A24" s="94"/>
      <c r="B24" s="95" t="str">
        <f t="shared" ref="B24:BA24" si="17">B2</f>
        <v>74/75</v>
      </c>
      <c r="C24" s="95" t="str">
        <f t="shared" si="17"/>
        <v xml:space="preserve">75/76 </v>
      </c>
      <c r="D24" s="95" t="str">
        <f t="shared" si="17"/>
        <v xml:space="preserve">76/77 </v>
      </c>
      <c r="E24" s="95" t="str">
        <f t="shared" si="17"/>
        <v xml:space="preserve">77/78 </v>
      </c>
      <c r="F24" s="95" t="str">
        <f t="shared" si="17"/>
        <v xml:space="preserve">78/79 </v>
      </c>
      <c r="G24" s="95" t="str">
        <f t="shared" si="17"/>
        <v xml:space="preserve">79/80 </v>
      </c>
      <c r="H24" s="95" t="str">
        <f t="shared" si="17"/>
        <v xml:space="preserve">80/81 </v>
      </c>
      <c r="I24" s="95" t="str">
        <f t="shared" si="17"/>
        <v xml:space="preserve">81/82 </v>
      </c>
      <c r="J24" s="95" t="str">
        <f t="shared" si="17"/>
        <v xml:space="preserve">82/83 </v>
      </c>
      <c r="K24" s="95" t="str">
        <f t="shared" si="17"/>
        <v xml:space="preserve">83/84 </v>
      </c>
      <c r="L24" s="95" t="str">
        <f t="shared" si="17"/>
        <v xml:space="preserve">84/85 </v>
      </c>
      <c r="M24" s="95" t="str">
        <f t="shared" si="17"/>
        <v xml:space="preserve">85/86 </v>
      </c>
      <c r="N24" s="95" t="str">
        <f t="shared" si="17"/>
        <v xml:space="preserve">86/87 </v>
      </c>
      <c r="O24" s="95" t="str">
        <f t="shared" si="17"/>
        <v xml:space="preserve">87/88 </v>
      </c>
      <c r="P24" s="95" t="str">
        <f t="shared" si="17"/>
        <v xml:space="preserve">88/89 </v>
      </c>
      <c r="Q24" s="95" t="str">
        <f t="shared" si="17"/>
        <v xml:space="preserve">89/90 </v>
      </c>
      <c r="R24" s="95" t="str">
        <f t="shared" si="17"/>
        <v xml:space="preserve">90/91 </v>
      </c>
      <c r="S24" s="95" t="str">
        <f t="shared" si="17"/>
        <v xml:space="preserve">91/92 </v>
      </c>
      <c r="T24" s="95" t="str">
        <f t="shared" si="17"/>
        <v xml:space="preserve">92/93 </v>
      </c>
      <c r="U24" s="95" t="str">
        <f t="shared" si="17"/>
        <v xml:space="preserve">93/94 </v>
      </c>
      <c r="V24" s="95" t="str">
        <f t="shared" si="17"/>
        <v xml:space="preserve">94/95 </v>
      </c>
      <c r="W24" s="95" t="str">
        <f t="shared" si="17"/>
        <v xml:space="preserve">95/96 </v>
      </c>
      <c r="X24" s="95" t="str">
        <f t="shared" si="17"/>
        <v xml:space="preserve">96/97 </v>
      </c>
      <c r="Y24" s="95" t="str">
        <f t="shared" si="17"/>
        <v xml:space="preserve">97/98 </v>
      </c>
      <c r="Z24" s="95" t="str">
        <f t="shared" si="17"/>
        <v xml:space="preserve">98/99 </v>
      </c>
      <c r="AA24" s="95" t="str">
        <f t="shared" si="17"/>
        <v xml:space="preserve">99/00 </v>
      </c>
      <c r="AB24" s="95" t="str">
        <f t="shared" si="17"/>
        <v xml:space="preserve">00/01 </v>
      </c>
      <c r="AC24" s="95" t="str">
        <f t="shared" si="17"/>
        <v xml:space="preserve">01/02 </v>
      </c>
      <c r="AD24" s="95" t="str">
        <f t="shared" si="17"/>
        <v xml:space="preserve">02/03 </v>
      </c>
      <c r="AE24" s="95" t="str">
        <f t="shared" si="17"/>
        <v xml:space="preserve">03/04 </v>
      </c>
      <c r="AF24" s="95" t="str">
        <f t="shared" si="17"/>
        <v xml:space="preserve">04/05 </v>
      </c>
      <c r="AG24" s="95" t="str">
        <f t="shared" si="17"/>
        <v xml:space="preserve">05/06 </v>
      </c>
      <c r="AH24" s="95" t="str">
        <f t="shared" si="17"/>
        <v xml:space="preserve">06/07 </v>
      </c>
      <c r="AI24" s="95" t="str">
        <f t="shared" si="17"/>
        <v xml:space="preserve">07/08 </v>
      </c>
      <c r="AJ24" s="95" t="str">
        <f t="shared" si="17"/>
        <v xml:space="preserve">08/09 </v>
      </c>
      <c r="AK24" s="95" t="str">
        <f t="shared" si="17"/>
        <v xml:space="preserve">09/10 </v>
      </c>
      <c r="AL24" s="95" t="str">
        <f t="shared" si="17"/>
        <v xml:space="preserve">10/11 </v>
      </c>
      <c r="AM24" s="95" t="str">
        <f t="shared" si="17"/>
        <v xml:space="preserve">11/12 </v>
      </c>
      <c r="AN24" s="95" t="str">
        <f t="shared" si="17"/>
        <v xml:space="preserve">12/13 </v>
      </c>
      <c r="AO24" s="95" t="str">
        <f t="shared" si="17"/>
        <v xml:space="preserve">13/14 </v>
      </c>
      <c r="AP24" s="95" t="str">
        <f t="shared" si="17"/>
        <v xml:space="preserve">14/15 </v>
      </c>
      <c r="AQ24" s="95" t="str">
        <f t="shared" si="17"/>
        <v xml:space="preserve">15/16 </v>
      </c>
      <c r="AR24" s="95" t="str">
        <f t="shared" si="17"/>
        <v xml:space="preserve">16/17 </v>
      </c>
      <c r="AS24" s="95" t="str">
        <f t="shared" si="17"/>
        <v xml:space="preserve">17/18 </v>
      </c>
      <c r="AT24" s="95" t="str">
        <f t="shared" si="17"/>
        <v xml:space="preserve">18/19 </v>
      </c>
      <c r="AU24" s="95" t="str">
        <f t="shared" si="17"/>
        <v>19/20</v>
      </c>
      <c r="AV24" s="95" t="str">
        <f t="shared" si="17"/>
        <v>20/21</v>
      </c>
      <c r="AW24" s="95" t="str">
        <f t="shared" si="17"/>
        <v>21/22</v>
      </c>
      <c r="AX24" s="95" t="str">
        <f t="shared" si="17"/>
        <v>22/23</v>
      </c>
      <c r="AY24" s="95" t="str">
        <f t="shared" si="17"/>
        <v>23/24</v>
      </c>
      <c r="AZ24" s="95" t="str">
        <f t="shared" si="17"/>
        <v>24/25</v>
      </c>
      <c r="BA24" s="95" t="str">
        <f t="shared" si="17"/>
        <v>25/26</v>
      </c>
      <c r="BB24" s="95" t="s">
        <v>163</v>
      </c>
    </row>
    <row r="25" spans="1:59" ht="15.75">
      <c r="A25" s="93" t="s">
        <v>79</v>
      </c>
      <c r="W25" s="32"/>
      <c r="X25" s="42">
        <v>48.453000000000003</v>
      </c>
      <c r="Y25" s="42">
        <v>0.89800000000000002</v>
      </c>
      <c r="Z25" s="42">
        <v>0.69900000000000007</v>
      </c>
      <c r="AA25" s="42">
        <v>0.65800000000000003</v>
      </c>
      <c r="AB25" s="42">
        <v>596.87744800000007</v>
      </c>
      <c r="AC25" s="42" cm="1">
        <f t="array" ref="AC25">INDEX('[3]Brazil Corn Exports'!$EQ$290:$US$290,1,ROW(A1))</f>
        <v>0</v>
      </c>
      <c r="AD25" s="42" cm="1">
        <f t="array" ref="AD25">INDEX('[3]Brazil Corn Exports'!$FC$290:$US$290,1,ROW(A1))</f>
        <v>0</v>
      </c>
      <c r="AE25" s="42" cm="1">
        <f t="array" ref="AE25">INDEX('[3]Brazil Corn Exports'!$FO$290:$US$290,1,ROW(A1))</f>
        <v>0</v>
      </c>
      <c r="AF25" s="42" cm="1">
        <f t="array" ref="AF25">INDEX('[3]Brazil Corn Exports'!$GA$290:$US$290,1,ROW(A1))</f>
        <v>0</v>
      </c>
      <c r="AG25" s="42" cm="1">
        <f t="array" ref="AG25">INDEX('[3]Brazil Corn Exports'!$GM$290:$US$290,1,ROW(A1))</f>
        <v>0</v>
      </c>
      <c r="AH25" s="42" cm="1">
        <f t="array" ref="AH25">INDEX('[3]Brazil Corn Exports'!$GY$290:$US$290,1,ROW(A1))</f>
        <v>3.0200000000000002E-4</v>
      </c>
      <c r="AI25" s="42" cm="1">
        <f t="array" ref="AI25">INDEX('[3]Brazil Corn Exports'!$HK$290:$US$290,1,ROW(A1))</f>
        <v>0</v>
      </c>
      <c r="AJ25" s="42" cm="1">
        <f t="array" ref="AJ25">INDEX('[3]Brazil Corn Exports'!$HW$290:$US$290,1,ROW(A1))</f>
        <v>1.139E-3</v>
      </c>
      <c r="AK25" s="42">
        <v>338.735477</v>
      </c>
      <c r="AL25" s="42">
        <v>387.75366300000002</v>
      </c>
      <c r="AM25" s="42">
        <v>280.18886099999997</v>
      </c>
      <c r="AN25" s="42">
        <v>1609.449582</v>
      </c>
      <c r="AO25" s="42">
        <v>579.105681</v>
      </c>
      <c r="AP25" s="42">
        <v>676.55872099999999</v>
      </c>
      <c r="AQ25" s="42">
        <v>2027.7032770000001</v>
      </c>
      <c r="AR25" s="42">
        <v>243.40698900000001</v>
      </c>
      <c r="AS25" s="42">
        <v>605.65457600000002</v>
      </c>
      <c r="AT25" s="42">
        <v>827.46110699999997</v>
      </c>
      <c r="AU25" s="42">
        <v>472.66970600000002</v>
      </c>
      <c r="AV25" s="42">
        <v>292.01317299999999</v>
      </c>
      <c r="AW25" s="42">
        <v>14.278862999999999</v>
      </c>
      <c r="AX25" s="42">
        <v>1335.257523</v>
      </c>
      <c r="AY25" s="42" cm="1">
        <f t="array" ref="AY25">INDEX('[3]Brazil Corn Exports'!$OU$290:$US$290,1,ROW(A1))</f>
        <v>427.30785600000002</v>
      </c>
      <c r="AZ25" s="42">
        <v>871</v>
      </c>
      <c r="BA25" s="107">
        <f t="shared" ref="BA25" si="18">(SUM(AV25:AZ25)/SUM(AV$37:AZ$37))*BA$37</f>
        <v>668.1356045571473</v>
      </c>
    </row>
    <row r="26" spans="1:59" ht="15.75">
      <c r="A26" s="93" t="s">
        <v>80</v>
      </c>
      <c r="W26" s="32"/>
      <c r="X26" s="42">
        <v>30.822000000000003</v>
      </c>
      <c r="Y26" s="42">
        <v>2.3E-2</v>
      </c>
      <c r="Z26" s="42">
        <v>0.375</v>
      </c>
      <c r="AA26" s="42">
        <v>0.51200000000000001</v>
      </c>
      <c r="AB26" s="42">
        <v>569.35700999999995</v>
      </c>
      <c r="AC26" s="42" cm="1">
        <f t="array" ref="AC26">INDEX('[3]Brazil Corn Exports'!$EQ$290:$US$290,1,ROW(A2))</f>
        <v>0</v>
      </c>
      <c r="AD26" s="42" cm="1">
        <f t="array" ref="AD26">INDEX('[3]Brazil Corn Exports'!$FC$290:$US$290,1,ROW(A2))</f>
        <v>0</v>
      </c>
      <c r="AE26" s="42" cm="1">
        <f t="array" ref="AE26">INDEX('[3]Brazil Corn Exports'!$FO$290:$US$290,1,ROW(A2))</f>
        <v>0</v>
      </c>
      <c r="AF26" s="42" cm="1">
        <f t="array" ref="AF26">INDEX('[3]Brazil Corn Exports'!$GA$290:$US$290,1,ROW(A2))</f>
        <v>0</v>
      </c>
      <c r="AG26" s="42" cm="1">
        <f t="array" ref="AG26">INDEX('[3]Brazil Corn Exports'!$GM$290:$US$290,1,ROW(A2))</f>
        <v>0</v>
      </c>
      <c r="AH26" s="42" cm="1">
        <f t="array" ref="AH26">INDEX('[3]Brazil Corn Exports'!$GY$290:$US$290,1,ROW(A2))</f>
        <v>0</v>
      </c>
      <c r="AI26" s="42" cm="1">
        <f t="array" ref="AI26">INDEX('[3]Brazil Corn Exports'!$HK$290:$US$290,1,ROW(A2))</f>
        <v>0</v>
      </c>
      <c r="AJ26" s="42" cm="1">
        <f t="array" ref="AJ26">INDEX('[3]Brazil Corn Exports'!$HW$290:$US$290,1,ROW(A2))</f>
        <v>2.3675000000000002E-2</v>
      </c>
      <c r="AK26" s="42">
        <v>204.521162</v>
      </c>
      <c r="AL26" s="42">
        <v>119.06962799999999</v>
      </c>
      <c r="AM26" s="42">
        <v>103.640067</v>
      </c>
      <c r="AN26" s="42">
        <v>608.75118399999997</v>
      </c>
      <c r="AO26" s="42">
        <v>566.38103599999999</v>
      </c>
      <c r="AP26" s="42">
        <v>163.73901799999999</v>
      </c>
      <c r="AQ26" s="42">
        <v>370.53413499999999</v>
      </c>
      <c r="AR26" s="42">
        <v>155.35162299999999</v>
      </c>
      <c r="AS26" s="42">
        <v>115.68559399999999</v>
      </c>
      <c r="AT26" s="42">
        <v>349.38226200000003</v>
      </c>
      <c r="AU26" s="42">
        <v>6.6964819999999996</v>
      </c>
      <c r="AV26" s="42">
        <v>130.87634700000001</v>
      </c>
      <c r="AW26" s="42">
        <v>690.29581499999995</v>
      </c>
      <c r="AX26" s="42">
        <v>470.80533500000001</v>
      </c>
      <c r="AY26" s="42" cm="1">
        <f t="array" ref="AY26">INDEX('[3]Brazil Corn Exports'!$OU$290:$US$290,1,ROW(A2))</f>
        <v>66.139351000000005</v>
      </c>
      <c r="AZ26" s="42">
        <v>178</v>
      </c>
      <c r="BA26" s="107">
        <f t="shared" ref="AZ26:BA36" si="19">(SUM(AV26:AZ26)/SUM(AV$37:AZ$37))*BA$37</f>
        <v>349.11025061019825</v>
      </c>
    </row>
    <row r="27" spans="1:59" ht="15.75">
      <c r="A27" s="93" t="s">
        <v>81</v>
      </c>
      <c r="W27" s="32"/>
      <c r="X27" s="42">
        <v>1.8679999999999999</v>
      </c>
      <c r="Y27" s="42">
        <v>3.3000000000000002E-2</v>
      </c>
      <c r="Z27" s="42">
        <v>0.72600000000000009</v>
      </c>
      <c r="AA27" s="42">
        <v>5.8000000000000003E-2</v>
      </c>
      <c r="AB27" s="42">
        <v>409.57146199999994</v>
      </c>
      <c r="AC27" s="42" cm="1">
        <f t="array" ref="AC27">INDEX('[3]Brazil Corn Exports'!$EQ$290:$US$290,1,ROW(A3))</f>
        <v>2.2339999999999999E-2</v>
      </c>
      <c r="AD27" s="42" cm="1">
        <f t="array" ref="AD27">INDEX('[3]Brazil Corn Exports'!$FC$290:$US$290,1,ROW(A3))</f>
        <v>0</v>
      </c>
      <c r="AE27" s="42" cm="1">
        <f t="array" ref="AE27">INDEX('[3]Brazil Corn Exports'!$FO$290:$US$290,1,ROW(A3))</f>
        <v>0</v>
      </c>
      <c r="AF27" s="42" cm="1">
        <f t="array" ref="AF27">INDEX('[3]Brazil Corn Exports'!$GA$290:$US$290,1,ROW(A3))</f>
        <v>6.0000000000000002E-6</v>
      </c>
      <c r="AG27" s="42" cm="1">
        <f t="array" ref="AG27">INDEX('[3]Brazil Corn Exports'!$GM$290:$US$290,1,ROW(A3))</f>
        <v>0</v>
      </c>
      <c r="AH27" s="42" cm="1">
        <f t="array" ref="AH27">INDEX('[3]Brazil Corn Exports'!$GY$290:$US$290,1,ROW(A3))</f>
        <v>2.0000000000000001E-4</v>
      </c>
      <c r="AI27" s="42" cm="1">
        <f t="array" ref="AI27">INDEX('[3]Brazil Corn Exports'!$HK$290:$US$290,1,ROW(A3))</f>
        <v>0</v>
      </c>
      <c r="AJ27" s="42" cm="1">
        <f t="array" ref="AJ27">INDEX('[3]Brazil Corn Exports'!$HW$290:$US$290,1,ROW(A3))</f>
        <v>1.3627E-2</v>
      </c>
      <c r="AK27" s="42">
        <v>93.496218999999996</v>
      </c>
      <c r="AL27" s="42">
        <v>60.624563999999999</v>
      </c>
      <c r="AM27" s="42">
        <v>165.73211900000001</v>
      </c>
      <c r="AN27" s="42">
        <v>275.86507899999998</v>
      </c>
      <c r="AO27" s="42">
        <v>127.56925699999999</v>
      </c>
      <c r="AP27" s="42">
        <v>39.539335999999999</v>
      </c>
      <c r="AQ27" s="42">
        <v>28.093024</v>
      </c>
      <c r="AR27" s="42">
        <v>310.62109600000002</v>
      </c>
      <c r="AS27" s="42">
        <v>57.370697999999997</v>
      </c>
      <c r="AT27" s="42">
        <v>957.66693499999997</v>
      </c>
      <c r="AU27" s="42">
        <v>24.933229999999998</v>
      </c>
      <c r="AV27" s="42">
        <v>13.919890000000001</v>
      </c>
      <c r="AW27" s="42">
        <v>1088.4720769999999</v>
      </c>
      <c r="AX27" s="42">
        <v>384.88475899999997</v>
      </c>
      <c r="AY27" s="42" cm="1">
        <f t="array" ref="AY27">INDEX('[3]Brazil Corn Exports'!$OU$290:$US$290,1,ROW(A3))</f>
        <v>413.37472000000002</v>
      </c>
      <c r="AZ27" s="42">
        <v>39</v>
      </c>
      <c r="BA27" s="107">
        <f t="shared" si="19"/>
        <v>440.82076392244176</v>
      </c>
    </row>
    <row r="28" spans="1:59" ht="15.75">
      <c r="A28" s="93" t="s">
        <v>82</v>
      </c>
      <c r="W28" s="32"/>
      <c r="X28" s="42">
        <v>0.87400000000000011</v>
      </c>
      <c r="Y28" s="42">
        <v>0.36299999999999999</v>
      </c>
      <c r="Z28" s="42">
        <v>0.80300000000000005</v>
      </c>
      <c r="AA28" s="42">
        <v>0.223</v>
      </c>
      <c r="AB28" s="42">
        <v>641.01605200000006</v>
      </c>
      <c r="AC28" s="42" cm="1">
        <f t="array" ref="AC28">INDEX('[3]Brazil Corn Exports'!$EQ$290:$US$290,1,ROW(A4))</f>
        <v>0</v>
      </c>
      <c r="AD28" s="42" cm="1">
        <f t="array" ref="AD28">INDEX('[3]Brazil Corn Exports'!$FC$290:$US$290,1,ROW(A4))</f>
        <v>0</v>
      </c>
      <c r="AE28" s="42" cm="1">
        <f t="array" ref="AE28">INDEX('[3]Brazil Corn Exports'!$FO$290:$US$290,1,ROW(A4))</f>
        <v>0</v>
      </c>
      <c r="AF28" s="42" cm="1">
        <f t="array" ref="AF28">INDEX('[3]Brazil Corn Exports'!$GA$290:$US$290,1,ROW(A4))</f>
        <v>0</v>
      </c>
      <c r="AG28" s="42" cm="1">
        <f t="array" ref="AG28">INDEX('[3]Brazil Corn Exports'!$GM$290:$US$290,1,ROW(A4))</f>
        <v>1.861E-3</v>
      </c>
      <c r="AH28" s="42" cm="1">
        <f t="array" ref="AH28">INDEX('[3]Brazil Corn Exports'!$GY$290:$US$290,1,ROW(A4))</f>
        <v>0</v>
      </c>
      <c r="AI28" s="42" cm="1">
        <f t="array" ref="AI28">INDEX('[3]Brazil Corn Exports'!$HK$290:$US$290,1,ROW(A4))</f>
        <v>4.5050000000000003E-3</v>
      </c>
      <c r="AJ28" s="42" cm="1">
        <f t="array" ref="AJ28">INDEX('[3]Brazil Corn Exports'!$HW$290:$US$290,1,ROW(A4))</f>
        <v>3.5177E-2</v>
      </c>
      <c r="AK28" s="42">
        <v>1.190337</v>
      </c>
      <c r="AL28" s="42">
        <v>11.815661</v>
      </c>
      <c r="AM28" s="42">
        <v>134.90349699999999</v>
      </c>
      <c r="AN28" s="42">
        <v>276.67584199999999</v>
      </c>
      <c r="AO28" s="42">
        <v>88.117194999999995</v>
      </c>
      <c r="AP28" s="42">
        <v>137.87546399999999</v>
      </c>
      <c r="AQ28" s="42">
        <v>20.195084000000001</v>
      </c>
      <c r="AR28" s="42">
        <v>564.947093</v>
      </c>
      <c r="AS28" s="42">
        <v>144.690934</v>
      </c>
      <c r="AT28" s="42">
        <v>1195.0195819999999</v>
      </c>
      <c r="AU28" s="42">
        <v>312.210825</v>
      </c>
      <c r="AV28" s="42">
        <v>92.169250000000005</v>
      </c>
      <c r="AW28" s="42">
        <v>989.29951900000003</v>
      </c>
      <c r="AX28" s="42">
        <v>1034.2820019999999</v>
      </c>
      <c r="AY28" s="42" cm="1">
        <f t="array" ref="AY28">INDEX('[3]Brazil Corn Exports'!$OU$290:$US$290,1,ROW(A4))</f>
        <v>850.89280799999995</v>
      </c>
      <c r="AZ28" s="42">
        <v>370</v>
      </c>
      <c r="BA28" s="107">
        <f t="shared" si="19"/>
        <v>758.31241456548287</v>
      </c>
    </row>
    <row r="29" spans="1:59" ht="15.75">
      <c r="A29" s="93" t="s">
        <v>83</v>
      </c>
      <c r="W29" s="32"/>
      <c r="X29" s="42">
        <v>6.4619999999999997</v>
      </c>
      <c r="Y29" s="42">
        <v>1.4119999999999997</v>
      </c>
      <c r="Z29" s="42">
        <v>1.5129999999999999</v>
      </c>
      <c r="AA29" s="42">
        <v>1.085</v>
      </c>
      <c r="AB29" s="42">
        <v>468.81078500000001</v>
      </c>
      <c r="AC29" s="42" cm="1">
        <f t="array" ref="AC29">INDEX('[3]Brazil Corn Exports'!$EQ$290:$US$290,1,ROW(A5))</f>
        <v>0</v>
      </c>
      <c r="AD29" s="42" cm="1">
        <f t="array" ref="AD29">INDEX('[3]Brazil Corn Exports'!$FC$290:$US$290,1,ROW(A5))</f>
        <v>0</v>
      </c>
      <c r="AE29" s="42" cm="1">
        <f t="array" ref="AE29">INDEX('[3]Brazil Corn Exports'!$FO$290:$US$290,1,ROW(A5))</f>
        <v>0</v>
      </c>
      <c r="AF29" s="42" cm="1">
        <f t="array" ref="AF29">INDEX('[3]Brazil Corn Exports'!$GA$290:$US$290,1,ROW(A5))</f>
        <v>5.8500000000000002E-4</v>
      </c>
      <c r="AG29" s="42" cm="1">
        <f t="array" ref="AG29">INDEX('[3]Brazil Corn Exports'!$GM$290:$US$290,1,ROW(A5))</f>
        <v>0</v>
      </c>
      <c r="AH29" s="42" cm="1">
        <f t="array" ref="AH29">INDEX('[3]Brazil Corn Exports'!$GY$290:$US$290,1,ROW(A5))</f>
        <v>0.30808000000000002</v>
      </c>
      <c r="AI29" s="42" cm="1">
        <f t="array" ref="AI29">INDEX('[3]Brazil Corn Exports'!$HK$290:$US$290,1,ROW(A5))</f>
        <v>0</v>
      </c>
      <c r="AJ29" s="42" cm="1">
        <f t="array" ref="AJ29">INDEX('[3]Brazil Corn Exports'!$HW$290:$US$290,1,ROW(A5))</f>
        <v>154.273143</v>
      </c>
      <c r="AK29" s="42">
        <v>286.00932499999999</v>
      </c>
      <c r="AL29" s="42">
        <v>271.57399500000002</v>
      </c>
      <c r="AM29" s="42">
        <v>1704.8859210000001</v>
      </c>
      <c r="AN29" s="42">
        <v>733.39810599999998</v>
      </c>
      <c r="AO29" s="42">
        <v>592.15280299999995</v>
      </c>
      <c r="AP29" s="42">
        <v>1281.4127989999999</v>
      </c>
      <c r="AQ29" s="42">
        <v>1046.2512750000001</v>
      </c>
      <c r="AR29" s="42">
        <v>2323.9155890000002</v>
      </c>
      <c r="AS29" s="42">
        <v>1171.24442</v>
      </c>
      <c r="AT29" s="42">
        <v>5926.4529519999996</v>
      </c>
      <c r="AU29" s="42">
        <v>3979.2241629999999</v>
      </c>
      <c r="AV29" s="42">
        <v>1991.3689910000001</v>
      </c>
      <c r="AW29" s="42">
        <v>4119.0912369999996</v>
      </c>
      <c r="AX29" s="42">
        <v>4230.6227399999998</v>
      </c>
      <c r="AY29" s="42" cm="1">
        <f t="array" ref="AY29">INDEX('[3]Brazil Corn Exports'!$OU$290:$US$290,1,ROW(A5))</f>
        <v>3553.8658260000002</v>
      </c>
      <c r="AZ29" s="42">
        <v>2434</v>
      </c>
      <c r="BA29" s="107">
        <f t="shared" si="19"/>
        <v>3711.0480319882763</v>
      </c>
    </row>
    <row r="30" spans="1:59" ht="15.75">
      <c r="A30" s="93" t="s">
        <v>84</v>
      </c>
      <c r="W30" s="32"/>
      <c r="X30" s="42">
        <v>1.008</v>
      </c>
      <c r="Y30" s="42">
        <v>0.71200000000000008</v>
      </c>
      <c r="Z30" s="42">
        <v>1.1990000000000001</v>
      </c>
      <c r="AA30" s="42">
        <v>1.4749999999999999</v>
      </c>
      <c r="AB30" s="42">
        <v>629.15198699999996</v>
      </c>
      <c r="AC30" s="42" cm="1">
        <f t="array" ref="AC30">INDEX('[3]Brazil Corn Exports'!$EQ$290:$US$290,1,ROW(A6))</f>
        <v>2.7599999999999999E-4</v>
      </c>
      <c r="AD30" s="42" cm="1">
        <f t="array" ref="AD30">INDEX('[3]Brazil Corn Exports'!$FC$290:$US$290,1,ROW(A6))</f>
        <v>0</v>
      </c>
      <c r="AE30" s="42" cm="1">
        <f t="array" ref="AE30">INDEX('[3]Brazil Corn Exports'!$FO$290:$US$290,1,ROW(A6))</f>
        <v>0</v>
      </c>
      <c r="AF30" s="42" cm="1">
        <f t="array" ref="AF30">INDEX('[3]Brazil Corn Exports'!$GA$290:$US$290,1,ROW(A6))</f>
        <v>4.0819999999999997E-3</v>
      </c>
      <c r="AG30" s="42" cm="1">
        <f t="array" ref="AG30">INDEX('[3]Brazil Corn Exports'!$GM$290:$US$290,1,ROW(A6))</f>
        <v>9.9999999999999995E-7</v>
      </c>
      <c r="AH30" s="42" cm="1">
        <f t="array" ref="AH30">INDEX('[3]Brazil Corn Exports'!$GY$290:$US$290,1,ROW(A6))</f>
        <v>4.0499999999999998E-4</v>
      </c>
      <c r="AI30" s="42" cm="1">
        <f t="array" ref="AI30">INDEX('[3]Brazil Corn Exports'!$HK$290:$US$290,1,ROW(A6))</f>
        <v>0</v>
      </c>
      <c r="AJ30" s="42" cm="1">
        <f t="array" ref="AJ30">INDEX('[3]Brazil Corn Exports'!$HW$290:$US$290,1,ROW(A6))</f>
        <v>1.6983000000000002E-2</v>
      </c>
      <c r="AK30" s="42">
        <v>1191.1042010000001</v>
      </c>
      <c r="AL30" s="42">
        <v>1523.6189159999999</v>
      </c>
      <c r="AM30" s="42">
        <v>2760.7034149999999</v>
      </c>
      <c r="AN30" s="42">
        <v>3050.4742190000002</v>
      </c>
      <c r="AO30" s="42">
        <v>2458.034024</v>
      </c>
      <c r="AP30" s="42">
        <v>2285.1788620000002</v>
      </c>
      <c r="AQ30" s="42">
        <v>2565.9134829999998</v>
      </c>
      <c r="AR30" s="42">
        <v>5258.0927190000002</v>
      </c>
      <c r="AS30" s="42">
        <v>2826.5814799999998</v>
      </c>
      <c r="AT30" s="42">
        <v>7321.4604470000004</v>
      </c>
      <c r="AU30" s="42">
        <v>6243.7866020000001</v>
      </c>
      <c r="AV30" s="42">
        <v>4335.7629729999999</v>
      </c>
      <c r="AW30" s="42">
        <v>7446.0912950000002</v>
      </c>
      <c r="AX30" s="42">
        <v>9363.4758340000008</v>
      </c>
      <c r="AY30" s="42" cm="1">
        <f t="array" ref="AY30">INDEX('[3]Brazil Corn Exports'!$OU$290:$US$290,1,ROW(A6))</f>
        <v>6063.1553219999996</v>
      </c>
      <c r="AZ30" s="42">
        <v>6849</v>
      </c>
      <c r="BA30" s="107">
        <f t="shared" si="19"/>
        <v>7740.1776349280781</v>
      </c>
      <c r="BB30" s="42"/>
      <c r="BC30" s="42"/>
      <c r="BD30" s="42"/>
      <c r="BE30" s="42"/>
      <c r="BF30" s="42"/>
      <c r="BG30" s="42"/>
    </row>
    <row r="31" spans="1:59" ht="15.75">
      <c r="A31" s="93" t="s">
        <v>73</v>
      </c>
      <c r="W31" s="32"/>
      <c r="X31" s="42">
        <v>0.70799999999999996</v>
      </c>
      <c r="Y31" s="42">
        <v>0.44399999999999995</v>
      </c>
      <c r="Z31" s="42">
        <v>0.5</v>
      </c>
      <c r="AA31" s="42">
        <v>0.41599999999999998</v>
      </c>
      <c r="AB31" s="42">
        <v>348.85306199999997</v>
      </c>
      <c r="AC31" s="42" cm="1">
        <f t="array" ref="AC31">INDEX('[3]Brazil Corn Exports'!$EQ$290:$US$290,1,ROW(A7))</f>
        <v>0</v>
      </c>
      <c r="AD31" s="42" cm="1">
        <f t="array" ref="AD31">INDEX('[3]Brazil Corn Exports'!$FC$290:$US$290,1,ROW(A7))</f>
        <v>0</v>
      </c>
      <c r="AE31" s="42" cm="1">
        <f t="array" ref="AE31">INDEX('[3]Brazil Corn Exports'!$FO$290:$US$290,1,ROW(A7))</f>
        <v>0</v>
      </c>
      <c r="AF31" s="42" cm="1">
        <f t="array" ref="AF31">INDEX('[3]Brazil Corn Exports'!$GA$290:$US$290,1,ROW(A7))</f>
        <v>0</v>
      </c>
      <c r="AG31" s="42" cm="1">
        <f t="array" ref="AG31">INDEX('[3]Brazil Corn Exports'!$GM$290:$US$290,1,ROW(A7))</f>
        <v>1.1E-5</v>
      </c>
      <c r="AH31" s="42" cm="1">
        <f t="array" ref="AH31">INDEX('[3]Brazil Corn Exports'!$GY$290:$US$290,1,ROW(A7))</f>
        <v>2.0000000000000001E-4</v>
      </c>
      <c r="AI31" s="42" cm="1">
        <f t="array" ref="AI31">INDEX('[3]Brazil Corn Exports'!$HK$290:$US$290,1,ROW(A7))</f>
        <v>1.7000000000000001E-4</v>
      </c>
      <c r="AJ31" s="42" cm="1">
        <f t="array" ref="AJ31">INDEX('[3]Brazil Corn Exports'!$HW$290:$US$290,1,ROW(A7))</f>
        <v>2.5794999999999998E-2</v>
      </c>
      <c r="AK31" s="42">
        <v>1930.4440239999999</v>
      </c>
      <c r="AL31" s="42">
        <v>1649.216776</v>
      </c>
      <c r="AM31" s="42">
        <v>3147.0066339999998</v>
      </c>
      <c r="AN31" s="42">
        <v>3450.0995910000001</v>
      </c>
      <c r="AO31" s="42">
        <v>2685.5623700000001</v>
      </c>
      <c r="AP31" s="42">
        <v>3456.0935909999998</v>
      </c>
      <c r="AQ31" s="42">
        <v>2915.5443850000001</v>
      </c>
      <c r="AR31" s="42">
        <v>5915.9270210000004</v>
      </c>
      <c r="AS31" s="42">
        <v>3361.6464810000002</v>
      </c>
      <c r="AT31" s="42">
        <v>6442.1723910000001</v>
      </c>
      <c r="AU31" s="42">
        <v>6371.2634399999997</v>
      </c>
      <c r="AV31" s="42">
        <v>2850.1717170000002</v>
      </c>
      <c r="AW31" s="42">
        <v>6421.8759899999995</v>
      </c>
      <c r="AX31" s="42">
        <v>8746.3822679999994</v>
      </c>
      <c r="AY31" s="42" cm="1">
        <f t="array" ref="AY31">INDEX('[3]Brazil Corn Exports'!$OU$290:$US$290,1,ROW(A7))</f>
        <v>6421.9499050000004</v>
      </c>
      <c r="AZ31" s="42">
        <v>7563.1</v>
      </c>
      <c r="BA31" s="107">
        <f t="shared" si="19"/>
        <v>7273.3678403774893</v>
      </c>
    </row>
    <row r="32" spans="1:59" ht="15.75">
      <c r="A32" s="93" t="s">
        <v>74</v>
      </c>
      <c r="W32" s="32"/>
      <c r="X32" s="42">
        <v>0.39400000000000002</v>
      </c>
      <c r="Y32" s="42">
        <v>0.77</v>
      </c>
      <c r="Z32" s="42">
        <v>0.73</v>
      </c>
      <c r="AA32" s="42">
        <v>0.52100000000000002</v>
      </c>
      <c r="AB32" s="42">
        <v>673.33200399999998</v>
      </c>
      <c r="AC32" s="42" cm="1">
        <f t="array" ref="AC32">INDEX('[3]Brazil Corn Exports'!$EQ$290:$US$290,1,ROW(A8))</f>
        <v>7.0236000000000007E-2</v>
      </c>
      <c r="AD32" s="42" cm="1">
        <f t="array" ref="AD32">INDEX('[3]Brazil Corn Exports'!$FC$290:$US$290,1,ROW(A8))</f>
        <v>0</v>
      </c>
      <c r="AE32" s="42" cm="1">
        <f t="array" ref="AE32">INDEX('[3]Brazil Corn Exports'!$FO$290:$US$290,1,ROW(A8))</f>
        <v>0</v>
      </c>
      <c r="AF32" s="42" cm="1">
        <f t="array" ref="AF32">INDEX('[3]Brazil Corn Exports'!$GA$290:$US$290,1,ROW(A8))</f>
        <v>0</v>
      </c>
      <c r="AG32" s="42" cm="1">
        <f t="array" ref="AG32">INDEX('[3]Brazil Corn Exports'!$GM$290:$US$290,1,ROW(A8))</f>
        <v>0</v>
      </c>
      <c r="AH32" s="42" cm="1">
        <f t="array" ref="AH32">INDEX('[3]Brazil Corn Exports'!$GY$290:$US$290,1,ROW(A8))</f>
        <v>2.0000000000000001E-4</v>
      </c>
      <c r="AI32" s="42" cm="1">
        <f t="array" ref="AI32">INDEX('[3]Brazil Corn Exports'!$HK$290:$US$290,1,ROW(A8))</f>
        <v>1.4100000000000001E-4</v>
      </c>
      <c r="AJ32" s="42" cm="1">
        <f t="array" ref="AJ32">INDEX('[3]Brazil Corn Exports'!$HW$290:$US$290,1,ROW(A8))</f>
        <v>2.0781000000000001E-2</v>
      </c>
      <c r="AK32" s="42">
        <v>1589.101727</v>
      </c>
      <c r="AL32" s="42">
        <v>1521.2312609999999</v>
      </c>
      <c r="AM32" s="42">
        <v>3662.5016949999999</v>
      </c>
      <c r="AN32" s="42">
        <v>3953.6200960000001</v>
      </c>
      <c r="AO32" s="42">
        <v>3179.5485189999999</v>
      </c>
      <c r="AP32" s="42">
        <v>5549.4027939999996</v>
      </c>
      <c r="AQ32" s="42">
        <v>1103.4230680000001</v>
      </c>
      <c r="AR32" s="42">
        <v>5030.288904</v>
      </c>
      <c r="AS32" s="42">
        <v>3109.789115</v>
      </c>
      <c r="AT32" s="42">
        <v>6023.7442789999996</v>
      </c>
      <c r="AU32" s="42">
        <v>5003.8128559999996</v>
      </c>
      <c r="AV32" s="42">
        <v>1797.038335</v>
      </c>
      <c r="AW32" s="42">
        <v>6785.0694970000004</v>
      </c>
      <c r="AX32" s="42">
        <v>8448.4376699999993</v>
      </c>
      <c r="AY32" s="42" cm="1">
        <f t="array" ref="AY32">INDEX('[3]Brazil Corn Exports'!$OU$290:$US$290,1,ROW(A8))</f>
        <v>6406.2045600000001</v>
      </c>
      <c r="AZ32" s="107">
        <f>(SUM(AU32:AY32)/SUM(AU$37:AY$37))*AZ$37</f>
        <v>7243.0035375751268</v>
      </c>
      <c r="BA32" s="107">
        <f t="shared" si="19"/>
        <v>6972.5271757495912</v>
      </c>
    </row>
    <row r="33" spans="1:53" ht="15.75">
      <c r="A33" s="93" t="s">
        <v>75</v>
      </c>
      <c r="W33" s="32"/>
      <c r="X33" s="42">
        <v>0.191</v>
      </c>
      <c r="Y33" s="42">
        <v>0.436</v>
      </c>
      <c r="Z33" s="42">
        <v>0.19200000000000003</v>
      </c>
      <c r="AA33" s="42">
        <v>4.4999999999999998E-2</v>
      </c>
      <c r="AB33" s="42">
        <v>650.88984399999993</v>
      </c>
      <c r="AC33" s="42" cm="1">
        <f t="array" ref="AC33">INDEX('[3]Brazil Corn Exports'!$EQ$290:$US$290,1,ROW(A9))</f>
        <v>0</v>
      </c>
      <c r="AD33" s="42" cm="1">
        <f t="array" ref="AD33">INDEX('[3]Brazil Corn Exports'!$FC$290:$US$290,1,ROW(A9))</f>
        <v>0</v>
      </c>
      <c r="AE33" s="42" cm="1">
        <f t="array" ref="AE33">INDEX('[3]Brazil Corn Exports'!$FO$290:$US$290,1,ROW(A9))</f>
        <v>0</v>
      </c>
      <c r="AF33" s="42" cm="1">
        <f t="array" ref="AF33">INDEX('[3]Brazil Corn Exports'!$GA$290:$US$290,1,ROW(A9))</f>
        <v>2.16E-3</v>
      </c>
      <c r="AG33" s="42" cm="1">
        <f t="array" ref="AG33">INDEX('[3]Brazil Corn Exports'!$GM$290:$US$290,1,ROW(A9))</f>
        <v>0</v>
      </c>
      <c r="AH33" s="42" cm="1">
        <f t="array" ref="AH33">INDEX('[3]Brazil Corn Exports'!$GY$290:$US$290,1,ROW(A9))</f>
        <v>5.5999999999999995E-4</v>
      </c>
      <c r="AI33" s="42" cm="1">
        <f t="array" ref="AI33">INDEX('[3]Brazil Corn Exports'!$HK$290:$US$290,1,ROW(A9))</f>
        <v>0.51365000000000005</v>
      </c>
      <c r="AJ33" s="42" cm="1">
        <f t="array" ref="AJ33">INDEX('[3]Brazil Corn Exports'!$HW$290:$US$290,1,ROW(A9))</f>
        <v>4.2206E-2</v>
      </c>
      <c r="AK33" s="42">
        <v>1825.2281829999999</v>
      </c>
      <c r="AL33" s="42">
        <v>908.76466900000003</v>
      </c>
      <c r="AM33" s="42">
        <v>3915.6774970000001</v>
      </c>
      <c r="AN33" s="42">
        <v>3913.142362</v>
      </c>
      <c r="AO33" s="42">
        <v>2980.1986969999998</v>
      </c>
      <c r="AP33" s="42">
        <v>4759.5547509999997</v>
      </c>
      <c r="AQ33" s="42">
        <v>966.62862500000006</v>
      </c>
      <c r="AR33" s="42">
        <v>3524.0154870000001</v>
      </c>
      <c r="AS33" s="42">
        <v>3649.6550229999998</v>
      </c>
      <c r="AT33" s="42">
        <v>4110.2834130000001</v>
      </c>
      <c r="AU33" s="42">
        <v>4732.6241369999998</v>
      </c>
      <c r="AV33" s="42">
        <v>2392.5219619999998</v>
      </c>
      <c r="AW33" s="42">
        <v>5889.6308060000001</v>
      </c>
      <c r="AX33" s="42">
        <v>7405.9028559999997</v>
      </c>
      <c r="AY33" s="42" cm="1">
        <f t="array" ref="AY33">INDEX('[3]Brazil Corn Exports'!$OU$290:$US$290,1,ROW(A9))</f>
        <v>4726.3529920000001</v>
      </c>
      <c r="AZ33" s="107">
        <f t="shared" si="19"/>
        <v>6404.234955357384</v>
      </c>
      <c r="BA33" s="107">
        <f t="shared" si="19"/>
        <v>6095.0203042250323</v>
      </c>
    </row>
    <row r="34" spans="1:53" ht="15.75">
      <c r="A34" s="93" t="s">
        <v>76</v>
      </c>
      <c r="W34" s="32"/>
      <c r="X34" s="42">
        <v>0.14899999999999999</v>
      </c>
      <c r="Y34" s="42">
        <v>0.63700000000000001</v>
      </c>
      <c r="Z34" s="42">
        <v>0.45499999999999996</v>
      </c>
      <c r="AA34" s="42">
        <v>56.422780999999993</v>
      </c>
      <c r="AB34" s="42">
        <v>645.41872999999998</v>
      </c>
      <c r="AC34" s="42" cm="1">
        <f t="array" ref="AC34">INDEX('[3]Brazil Corn Exports'!$EQ$290:$US$290,1,ROW(A10))</f>
        <v>1.26E-4</v>
      </c>
      <c r="AD34" s="42" cm="1">
        <f t="array" ref="AD34">INDEX('[3]Brazil Corn Exports'!$FC$290:$US$290,1,ROW(A10))</f>
        <v>0</v>
      </c>
      <c r="AE34" s="42" cm="1">
        <f t="array" ref="AE34">INDEX('[3]Brazil Corn Exports'!$FO$290:$US$290,1,ROW(A10))</f>
        <v>0</v>
      </c>
      <c r="AF34" s="42" cm="1">
        <f t="array" ref="AF34">INDEX('[3]Brazil Corn Exports'!$GA$290:$US$290,1,ROW(A10))</f>
        <v>9.0000000000000002E-6</v>
      </c>
      <c r="AG34" s="42" cm="1">
        <f t="array" ref="AG34">INDEX('[3]Brazil Corn Exports'!$GM$290:$US$290,1,ROW(A10))</f>
        <v>0</v>
      </c>
      <c r="AH34" s="42" cm="1">
        <f t="array" ref="AH34">INDEX('[3]Brazil Corn Exports'!$GY$290:$US$290,1,ROW(A10))</f>
        <v>0</v>
      </c>
      <c r="AI34" s="42" cm="1">
        <f t="array" ref="AI34">INDEX('[3]Brazil Corn Exports'!$HK$290:$US$290,1,ROW(A10))</f>
        <v>2.0797059999999998</v>
      </c>
      <c r="AJ34" s="42" cm="1">
        <f t="array" ref="AJ34">INDEX('[3]Brazil Corn Exports'!$HW$290:$US$290,1,ROW(A10))</f>
        <v>4.0869999999999997E-2</v>
      </c>
      <c r="AK34" s="42">
        <v>1925.3461139999999</v>
      </c>
      <c r="AL34" s="42">
        <v>814.28594399999997</v>
      </c>
      <c r="AM34" s="42">
        <v>2794.4533139999999</v>
      </c>
      <c r="AN34" s="42">
        <v>3085.7448039999999</v>
      </c>
      <c r="AO34" s="42">
        <v>3407.6221070000001</v>
      </c>
      <c r="AP34" s="42">
        <v>6272.1210570000003</v>
      </c>
      <c r="AQ34" s="42">
        <v>1011.578293</v>
      </c>
      <c r="AR34" s="42">
        <v>3998.9615800000001</v>
      </c>
      <c r="AS34" s="42">
        <v>3643.573985</v>
      </c>
      <c r="AT34" s="42">
        <v>4164.8062069999996</v>
      </c>
      <c r="AU34" s="42">
        <v>4856.5700660000002</v>
      </c>
      <c r="AV34" s="42">
        <v>3410.6003689999998</v>
      </c>
      <c r="AW34" s="42">
        <v>6244.7075930000001</v>
      </c>
      <c r="AX34" s="42">
        <v>6063.8159240000005</v>
      </c>
      <c r="AY34" s="42" cm="1">
        <f t="array" ref="AY34">INDEX('[3]Brazil Corn Exports'!$OU$290:$US$290,1,ROW(A10))</f>
        <v>4265.8670000000002</v>
      </c>
      <c r="AZ34" s="107">
        <f t="shared" si="19"/>
        <v>6326.4399643914294</v>
      </c>
      <c r="BA34" s="107">
        <f t="shared" si="19"/>
        <v>5979.7470681039322</v>
      </c>
    </row>
    <row r="35" spans="1:53" ht="15.75">
      <c r="A35" s="93" t="s">
        <v>77</v>
      </c>
      <c r="W35" s="32">
        <v>170.40799999999999</v>
      </c>
      <c r="X35" s="42">
        <v>0.19700000000000001</v>
      </c>
      <c r="Y35" s="42">
        <v>0.27500000000000002</v>
      </c>
      <c r="Z35" s="42">
        <v>0.40500000000000003</v>
      </c>
      <c r="AA35" s="42">
        <v>104.62795200000001</v>
      </c>
      <c r="AB35" s="42">
        <f>'[3]Brazil Corn Exports'!$EO$292</f>
        <v>0</v>
      </c>
      <c r="AC35" s="42" cm="1">
        <f t="array" ref="AC35">INDEX('[3]Brazil Corn Exports'!$EQ$290:$US$290,1,ROW(A11))</f>
        <v>1.6819999999999999E-3</v>
      </c>
      <c r="AD35" s="42" cm="1">
        <f t="array" ref="AD35">INDEX('[3]Brazil Corn Exports'!$FC$290:$US$290,1,ROW(A11))</f>
        <v>0</v>
      </c>
      <c r="AE35" s="42" cm="1">
        <f t="array" ref="AE35">INDEX('[3]Brazil Corn Exports'!$FO$290:$US$290,1,ROW(A11))</f>
        <v>0</v>
      </c>
      <c r="AF35" s="42" cm="1">
        <f t="array" ref="AF35">INDEX('[3]Brazil Corn Exports'!$GA$290:$US$290,1,ROW(A11))</f>
        <v>0</v>
      </c>
      <c r="AG35" s="42" cm="1">
        <f t="array" ref="AG35">INDEX('[3]Brazil Corn Exports'!$GM$290:$US$290,1,ROW(A11))</f>
        <v>0</v>
      </c>
      <c r="AH35" s="42" cm="1">
        <f t="array" ref="AH35">INDEX('[3]Brazil Corn Exports'!$GY$290:$US$290,1,ROW(A11))</f>
        <v>1.1999999999999999E-3</v>
      </c>
      <c r="AI35" s="42" cm="1">
        <f t="array" ref="AI35">INDEX('[3]Brazil Corn Exports'!$HK$290:$US$290,1,ROW(A11))</f>
        <v>1.2829740000000001</v>
      </c>
      <c r="AJ35" s="42" cm="1">
        <f t="array" ref="AJ35">INDEX('[3]Brazil Corn Exports'!$HW$290:$US$290,1,ROW(A11))</f>
        <v>3.0429000000000001E-2</v>
      </c>
      <c r="AK35" s="42">
        <v>1027.4660180000001</v>
      </c>
      <c r="AL35" s="42">
        <v>852.47840199999996</v>
      </c>
      <c r="AM35" s="42">
        <v>3372.0460280000002</v>
      </c>
      <c r="AN35" s="42">
        <v>2926.795071</v>
      </c>
      <c r="AO35" s="42">
        <v>3196.9902539999998</v>
      </c>
      <c r="AP35" s="42">
        <v>4442.5035010000001</v>
      </c>
      <c r="AQ35" s="42">
        <v>1452.3874060000001</v>
      </c>
      <c r="AR35" s="42">
        <v>3022.9793410000002</v>
      </c>
      <c r="AS35" s="42">
        <v>3835.1438349999999</v>
      </c>
      <c r="AT35" s="42">
        <v>2087.889631</v>
      </c>
      <c r="AU35" s="42">
        <v>2346.3035359999999</v>
      </c>
      <c r="AV35" s="42">
        <v>2732.4735970000002</v>
      </c>
      <c r="AW35" s="42">
        <v>6139.9445649999998</v>
      </c>
      <c r="AX35" s="42">
        <v>4876</v>
      </c>
      <c r="AY35" s="42">
        <v>3594</v>
      </c>
      <c r="AZ35" s="107">
        <f t="shared" si="19"/>
        <v>5014.1581697980855</v>
      </c>
      <c r="BA35" s="107">
        <f t="shared" si="19"/>
        <v>5080.9350708846969</v>
      </c>
    </row>
    <row r="36" spans="1:53" ht="15.75">
      <c r="A36" s="93" t="s">
        <v>78</v>
      </c>
      <c r="W36" s="32">
        <v>96.87</v>
      </c>
      <c r="X36" s="42">
        <v>1.2410000000000001</v>
      </c>
      <c r="Y36" s="42">
        <v>5.1000000000000004E-2</v>
      </c>
      <c r="Z36" s="42">
        <v>0.47799999999999998</v>
      </c>
      <c r="AA36" s="42">
        <v>272.78128000000004</v>
      </c>
      <c r="AB36" s="42">
        <f>'[3]Brazil Corn Exports'!$EP$292</f>
        <v>0</v>
      </c>
      <c r="AC36" s="42" cm="1">
        <f t="array" ref="AC36">INDEX('[3]Brazil Corn Exports'!$EQ$290:$US$290,1,ROW(A12))</f>
        <v>0</v>
      </c>
      <c r="AD36" s="42" cm="1">
        <f t="array" ref="AD36">INDEX('[3]Brazil Corn Exports'!$FC$290:$US$290,1,ROW(A12))</f>
        <v>0</v>
      </c>
      <c r="AE36" s="42" cm="1">
        <f t="array" ref="AE36">INDEX('[3]Brazil Corn Exports'!$FO$290:$US$290,1,ROW(A12))</f>
        <v>0</v>
      </c>
      <c r="AF36" s="42" cm="1">
        <f t="array" ref="AF36">INDEX('[3]Brazil Corn Exports'!$GA$290:$US$290,1,ROW(A12))</f>
        <v>0</v>
      </c>
      <c r="AG36" s="42" cm="1">
        <f t="array" ref="AG36">INDEX('[3]Brazil Corn Exports'!$GM$290:$US$290,1,ROW(A12))</f>
        <v>0</v>
      </c>
      <c r="AH36" s="42" cm="1">
        <f t="array" ref="AH36">INDEX('[3]Brazil Corn Exports'!$GY$290:$US$290,1,ROW(A12))</f>
        <v>1.85E-4</v>
      </c>
      <c r="AI36" s="42" cm="1">
        <f t="array" ref="AI36">INDEX('[3]Brazil Corn Exports'!$HK$290:$US$290,1,ROW(A12))</f>
        <v>2.124879</v>
      </c>
      <c r="AJ36" s="42" cm="1">
        <f t="array" ref="AJ36">INDEX('[3]Brazil Corn Exports'!$HW$290:$US$290,1,ROW(A12))</f>
        <v>0.14673</v>
      </c>
      <c r="AK36" s="42">
        <v>1186.638737</v>
      </c>
      <c r="AL36" s="42">
        <v>279.156363</v>
      </c>
      <c r="AM36" s="42">
        <v>2294.7842019999998</v>
      </c>
      <c r="AN36" s="42">
        <v>1063.516916</v>
      </c>
      <c r="AO36" s="42">
        <v>1105.4124240000001</v>
      </c>
      <c r="AP36" s="42">
        <v>5374.941589</v>
      </c>
      <c r="AQ36" s="42">
        <v>487.99655799999999</v>
      </c>
      <c r="AR36" s="42">
        <v>1255.5673260000001</v>
      </c>
      <c r="AS36" s="42">
        <v>1598.510115</v>
      </c>
      <c r="AT36" s="42">
        <v>340.25600400000002</v>
      </c>
      <c r="AU36" s="42">
        <v>776.81888200000003</v>
      </c>
      <c r="AV36" s="42">
        <v>768.39660500000002</v>
      </c>
      <c r="AW36" s="42">
        <v>2274.2307689999998</v>
      </c>
      <c r="AX36" s="42">
        <v>1713.0862529999999</v>
      </c>
      <c r="AY36" s="42">
        <v>1432</v>
      </c>
      <c r="AZ36" s="107">
        <f t="shared" si="19"/>
        <v>1773.6686065492022</v>
      </c>
      <c r="BA36" s="107">
        <f t="shared" si="19"/>
        <v>1809.3676600036492</v>
      </c>
    </row>
    <row r="37" spans="1:53" ht="16.5" thickBot="1">
      <c r="A37" s="93" t="s">
        <v>85</v>
      </c>
      <c r="W37" s="32"/>
      <c r="X37" s="42">
        <f>SUM(X25:X36)</f>
        <v>92.367000000000004</v>
      </c>
      <c r="Y37" s="42">
        <f t="shared" ref="Y37:AW37" si="20">SUM(Y25:Y36)</f>
        <v>6.0540000000000003</v>
      </c>
      <c r="Z37" s="42">
        <f t="shared" si="20"/>
        <v>8.0750000000000011</v>
      </c>
      <c r="AA37" s="42">
        <f t="shared" si="20"/>
        <v>438.82501300000001</v>
      </c>
      <c r="AB37" s="42">
        <f t="shared" si="20"/>
        <v>5633.2783840000002</v>
      </c>
      <c r="AC37" s="42">
        <f t="shared" si="20"/>
        <v>9.4660000000000008E-2</v>
      </c>
      <c r="AD37" s="42">
        <f t="shared" si="20"/>
        <v>0</v>
      </c>
      <c r="AE37" s="42">
        <f t="shared" si="20"/>
        <v>0</v>
      </c>
      <c r="AF37" s="42">
        <f t="shared" si="20"/>
        <v>6.8420000000000009E-3</v>
      </c>
      <c r="AG37" s="42">
        <f t="shared" si="20"/>
        <v>1.8729999999999999E-3</v>
      </c>
      <c r="AH37" s="42">
        <f t="shared" si="20"/>
        <v>0.31133199999999994</v>
      </c>
      <c r="AI37" s="42">
        <f t="shared" si="20"/>
        <v>6.0060250000000002</v>
      </c>
      <c r="AJ37" s="42">
        <f t="shared" si="20"/>
        <v>154.67055500000001</v>
      </c>
      <c r="AK37" s="42">
        <f t="shared" si="20"/>
        <v>11599.281524</v>
      </c>
      <c r="AL37" s="42">
        <f t="shared" si="20"/>
        <v>8399.5898419999994</v>
      </c>
      <c r="AM37" s="42">
        <f t="shared" si="20"/>
        <v>24336.523249999998</v>
      </c>
      <c r="AN37" s="42">
        <f t="shared" si="20"/>
        <v>24947.532852000004</v>
      </c>
      <c r="AO37" s="42">
        <f t="shared" si="20"/>
        <v>20966.694367000004</v>
      </c>
      <c r="AP37" s="42">
        <f t="shared" si="20"/>
        <v>34438.921482999998</v>
      </c>
      <c r="AQ37" s="42">
        <f t="shared" si="20"/>
        <v>13996.248613</v>
      </c>
      <c r="AR37" s="42">
        <f t="shared" si="20"/>
        <v>31604.074768000002</v>
      </c>
      <c r="AS37" s="42">
        <f t="shared" si="20"/>
        <v>24119.546255999998</v>
      </c>
      <c r="AT37" s="42">
        <f t="shared" si="20"/>
        <v>39746.595209999999</v>
      </c>
      <c r="AU37" s="42">
        <f t="shared" si="20"/>
        <v>35126.913925000001</v>
      </c>
      <c r="AV37" s="42">
        <f t="shared" si="20"/>
        <v>20807.313209</v>
      </c>
      <c r="AW37" s="42">
        <f t="shared" si="20"/>
        <v>48102.988025999999</v>
      </c>
      <c r="AX37" s="42">
        <f>SUM(AX25:AX36)</f>
        <v>54072.953164000006</v>
      </c>
      <c r="AY37" s="42">
        <f>SUM(AY25:AY36)</f>
        <v>38221.110339999999</v>
      </c>
      <c r="AZ37" s="107">
        <v>50000</v>
      </c>
      <c r="BA37" s="107">
        <v>48000</v>
      </c>
    </row>
    <row r="38" spans="1:53" ht="16.5" thickBot="1">
      <c r="A38" s="94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</row>
    <row r="39" spans="1:53" ht="16.5" thickBot="1">
      <c r="A39" s="93" t="s">
        <v>86</v>
      </c>
    </row>
    <row r="40" spans="1:53" ht="16.5" thickBot="1">
      <c r="A40" s="94"/>
      <c r="B40" s="95" t="str">
        <f t="shared" ref="B40:BA40" si="21">B2</f>
        <v>74/75</v>
      </c>
      <c r="C40" s="95" t="str">
        <f t="shared" si="21"/>
        <v xml:space="preserve">75/76 </v>
      </c>
      <c r="D40" s="95" t="str">
        <f t="shared" si="21"/>
        <v xml:space="preserve">76/77 </v>
      </c>
      <c r="E40" s="95" t="str">
        <f t="shared" si="21"/>
        <v xml:space="preserve">77/78 </v>
      </c>
      <c r="F40" s="95" t="str">
        <f t="shared" si="21"/>
        <v xml:space="preserve">78/79 </v>
      </c>
      <c r="G40" s="95" t="str">
        <f t="shared" si="21"/>
        <v xml:space="preserve">79/80 </v>
      </c>
      <c r="H40" s="95" t="str">
        <f t="shared" si="21"/>
        <v xml:space="preserve">80/81 </v>
      </c>
      <c r="I40" s="95" t="str">
        <f t="shared" si="21"/>
        <v xml:space="preserve">81/82 </v>
      </c>
      <c r="J40" s="95" t="str">
        <f t="shared" si="21"/>
        <v xml:space="preserve">82/83 </v>
      </c>
      <c r="K40" s="95" t="str">
        <f t="shared" si="21"/>
        <v xml:space="preserve">83/84 </v>
      </c>
      <c r="L40" s="95" t="str">
        <f t="shared" si="21"/>
        <v xml:space="preserve">84/85 </v>
      </c>
      <c r="M40" s="95" t="str">
        <f t="shared" si="21"/>
        <v xml:space="preserve">85/86 </v>
      </c>
      <c r="N40" s="95" t="str">
        <f t="shared" si="21"/>
        <v xml:space="preserve">86/87 </v>
      </c>
      <c r="O40" s="95" t="str">
        <f t="shared" si="21"/>
        <v xml:space="preserve">87/88 </v>
      </c>
      <c r="P40" s="95" t="str">
        <f t="shared" si="21"/>
        <v xml:space="preserve">88/89 </v>
      </c>
      <c r="Q40" s="95" t="str">
        <f t="shared" si="21"/>
        <v xml:space="preserve">89/90 </v>
      </c>
      <c r="R40" s="95" t="str">
        <f t="shared" si="21"/>
        <v xml:space="preserve">90/91 </v>
      </c>
      <c r="S40" s="95" t="str">
        <f t="shared" si="21"/>
        <v xml:space="preserve">91/92 </v>
      </c>
      <c r="T40" s="95" t="str">
        <f t="shared" si="21"/>
        <v xml:space="preserve">92/93 </v>
      </c>
      <c r="U40" s="95" t="str">
        <f t="shared" si="21"/>
        <v xml:space="preserve">93/94 </v>
      </c>
      <c r="V40" s="95" t="str">
        <f t="shared" si="21"/>
        <v xml:space="preserve">94/95 </v>
      </c>
      <c r="W40" s="95" t="str">
        <f t="shared" si="21"/>
        <v xml:space="preserve">95/96 </v>
      </c>
      <c r="X40" s="95" t="str">
        <f t="shared" si="21"/>
        <v xml:space="preserve">96/97 </v>
      </c>
      <c r="Y40" s="95" t="str">
        <f t="shared" si="21"/>
        <v xml:space="preserve">97/98 </v>
      </c>
      <c r="Z40" s="95" t="str">
        <f t="shared" si="21"/>
        <v xml:space="preserve">98/99 </v>
      </c>
      <c r="AA40" s="95" t="str">
        <f t="shared" si="21"/>
        <v xml:space="preserve">99/00 </v>
      </c>
      <c r="AB40" s="95" t="str">
        <f t="shared" si="21"/>
        <v xml:space="preserve">00/01 </v>
      </c>
      <c r="AC40" s="95" t="str">
        <f t="shared" si="21"/>
        <v xml:space="preserve">01/02 </v>
      </c>
      <c r="AD40" s="95" t="str">
        <f t="shared" si="21"/>
        <v xml:space="preserve">02/03 </v>
      </c>
      <c r="AE40" s="95" t="str">
        <f t="shared" si="21"/>
        <v xml:space="preserve">03/04 </v>
      </c>
      <c r="AF40" s="95" t="str">
        <f t="shared" si="21"/>
        <v xml:space="preserve">04/05 </v>
      </c>
      <c r="AG40" s="95" t="str">
        <f t="shared" si="21"/>
        <v xml:space="preserve">05/06 </v>
      </c>
      <c r="AH40" s="95" t="str">
        <f t="shared" si="21"/>
        <v xml:space="preserve">06/07 </v>
      </c>
      <c r="AI40" s="95" t="str">
        <f t="shared" si="21"/>
        <v xml:space="preserve">07/08 </v>
      </c>
      <c r="AJ40" s="95" t="str">
        <f t="shared" si="21"/>
        <v xml:space="preserve">08/09 </v>
      </c>
      <c r="AK40" s="95" t="str">
        <f t="shared" si="21"/>
        <v xml:space="preserve">09/10 </v>
      </c>
      <c r="AL40" s="95" t="str">
        <f t="shared" si="21"/>
        <v xml:space="preserve">10/11 </v>
      </c>
      <c r="AM40" s="95" t="str">
        <f t="shared" si="21"/>
        <v xml:space="preserve">11/12 </v>
      </c>
      <c r="AN40" s="95" t="str">
        <f t="shared" si="21"/>
        <v xml:space="preserve">12/13 </v>
      </c>
      <c r="AO40" s="95" t="str">
        <f t="shared" si="21"/>
        <v xml:space="preserve">13/14 </v>
      </c>
      <c r="AP40" s="95" t="str">
        <f t="shared" si="21"/>
        <v xml:space="preserve">14/15 </v>
      </c>
      <c r="AQ40" s="95" t="str">
        <f t="shared" si="21"/>
        <v xml:space="preserve">15/16 </v>
      </c>
      <c r="AR40" s="95" t="str">
        <f t="shared" si="21"/>
        <v xml:space="preserve">16/17 </v>
      </c>
      <c r="AS40" s="95" t="str">
        <f t="shared" si="21"/>
        <v xml:space="preserve">17/18 </v>
      </c>
      <c r="AT40" s="95" t="str">
        <f t="shared" si="21"/>
        <v xml:space="preserve">18/19 </v>
      </c>
      <c r="AU40" s="95" t="str">
        <f t="shared" si="21"/>
        <v>19/20</v>
      </c>
      <c r="AV40" s="95" t="str">
        <f t="shared" si="21"/>
        <v>20/21</v>
      </c>
      <c r="AW40" s="95" t="str">
        <f t="shared" si="21"/>
        <v>21/22</v>
      </c>
      <c r="AX40" s="95" t="str">
        <f t="shared" si="21"/>
        <v>22/23</v>
      </c>
      <c r="AY40" s="95" t="str">
        <f t="shared" si="21"/>
        <v>23/24</v>
      </c>
      <c r="AZ40" s="95" t="str">
        <f t="shared" si="21"/>
        <v>24/25</v>
      </c>
      <c r="BA40" s="95" t="str">
        <f t="shared" si="21"/>
        <v>25/26</v>
      </c>
    </row>
    <row r="41" spans="1:53" ht="15.75">
      <c r="A41" s="93" t="s">
        <v>79</v>
      </c>
      <c r="W41" s="42"/>
      <c r="X41" s="42">
        <v>49.204999999999998</v>
      </c>
      <c r="Y41" s="42">
        <v>60.619000000000007</v>
      </c>
      <c r="Z41" s="42">
        <v>43.172000000000004</v>
      </c>
      <c r="AA41" s="42">
        <v>221.69599999999997</v>
      </c>
      <c r="AB41" s="42">
        <v>77.632000000000005</v>
      </c>
      <c r="AC41" s="42">
        <v>33.17</v>
      </c>
      <c r="AD41" s="42">
        <v>5.9270000000000005</v>
      </c>
      <c r="AE41" s="42">
        <v>20.507000000000001</v>
      </c>
      <c r="AF41" s="42">
        <v>50.933</v>
      </c>
      <c r="AG41" s="42">
        <v>13.821</v>
      </c>
      <c r="AH41" s="42">
        <v>20.548999999999999</v>
      </c>
      <c r="AI41" s="42">
        <v>27.713000000000001</v>
      </c>
      <c r="AJ41" s="42">
        <v>74.134</v>
      </c>
      <c r="AK41" s="42">
        <v>15.105</v>
      </c>
      <c r="AL41" s="42">
        <v>0.79400000000000004</v>
      </c>
      <c r="AM41" s="42">
        <v>98.668000000000006</v>
      </c>
      <c r="AN41" s="42">
        <v>46.28</v>
      </c>
      <c r="AO41" s="42">
        <v>33.988999999999997</v>
      </c>
      <c r="AP41" s="42">
        <v>21.934000000000001</v>
      </c>
      <c r="AQ41" s="42">
        <v>94.373999999999995</v>
      </c>
      <c r="AR41" s="42">
        <v>87.35</v>
      </c>
      <c r="AS41" s="42">
        <v>10.051</v>
      </c>
      <c r="AT41" s="42">
        <v>53.673000000000002</v>
      </c>
      <c r="AU41" s="42">
        <v>73.944999999999993</v>
      </c>
      <c r="AV41" s="42">
        <v>113.613</v>
      </c>
      <c r="AW41" s="42">
        <v>114.515</v>
      </c>
      <c r="AX41" s="42">
        <v>20.5</v>
      </c>
      <c r="AY41" s="42">
        <f>(SUM(AT41:AX41)/SUM(AT$53:AX$53))*AY$53</f>
        <v>56.108357512585066</v>
      </c>
      <c r="AZ41" s="42">
        <f t="shared" ref="AZ41:BA48" si="22">(SUM(AU41:AY41)/SUM(AU$53:AY$53))*AZ$53</f>
        <v>63.114566868417235</v>
      </c>
      <c r="BA41" s="107">
        <f t="shared" si="22"/>
        <v>55.768663802395359</v>
      </c>
    </row>
    <row r="42" spans="1:53" ht="15.75">
      <c r="A42" s="93" t="s">
        <v>80</v>
      </c>
      <c r="W42" s="42"/>
      <c r="X42" s="42">
        <v>69.38</v>
      </c>
      <c r="Y42" s="42">
        <v>99.121000000000009</v>
      </c>
      <c r="Z42" s="42">
        <v>24.099</v>
      </c>
      <c r="AA42" s="42">
        <v>130.08699999999999</v>
      </c>
      <c r="AB42" s="42">
        <v>52.756</v>
      </c>
      <c r="AC42" s="42">
        <v>9.7169999999999987</v>
      </c>
      <c r="AD42" s="42">
        <v>1.171</v>
      </c>
      <c r="AE42" s="42">
        <v>11.795999999999999</v>
      </c>
      <c r="AF42" s="42">
        <v>12.829000000000001</v>
      </c>
      <c r="AG42" s="42">
        <v>8.0429999999999993</v>
      </c>
      <c r="AH42" s="42">
        <v>17.602</v>
      </c>
      <c r="AI42" s="42">
        <v>11.345000000000001</v>
      </c>
      <c r="AJ42" s="42">
        <v>44.941000000000003</v>
      </c>
      <c r="AK42" s="42">
        <v>6.7880000000000003</v>
      </c>
      <c r="AL42" s="42">
        <v>19.93</v>
      </c>
      <c r="AM42" s="42">
        <v>36.326000000000001</v>
      </c>
      <c r="AN42" s="42">
        <v>47.91</v>
      </c>
      <c r="AO42" s="42">
        <v>49.692999999999998</v>
      </c>
      <c r="AP42" s="42">
        <v>11.614000000000001</v>
      </c>
      <c r="AQ42" s="42">
        <v>105.943</v>
      </c>
      <c r="AR42" s="42">
        <v>84.835999999999999</v>
      </c>
      <c r="AS42" s="42">
        <v>31.088999999999999</v>
      </c>
      <c r="AT42" s="42">
        <v>84.977999999999994</v>
      </c>
      <c r="AU42" s="42">
        <v>93.447999999999993</v>
      </c>
      <c r="AV42" s="42">
        <v>77.308000000000007</v>
      </c>
      <c r="AW42" s="42">
        <v>159.58600000000001</v>
      </c>
      <c r="AX42" s="42">
        <f t="shared" ref="AX42:AX46" si="23">(SUM(AS42:AW42)/SUM(AS$53:AW$53))*AX$53</f>
        <v>59.991118119398244</v>
      </c>
      <c r="AY42" s="42">
        <f t="shared" ref="AY42:BA51" si="24">(SUM(AT42:AX42)/SUM(AT$53:AX$53))*AY$53</f>
        <v>70.881620389717767</v>
      </c>
      <c r="AZ42" s="42">
        <f t="shared" si="22"/>
        <v>76.870349904578433</v>
      </c>
      <c r="BA42" s="107">
        <f t="shared" si="24"/>
        <v>67.409960541884971</v>
      </c>
    </row>
    <row r="43" spans="1:53" ht="15.75">
      <c r="A43" s="93" t="s">
        <v>81</v>
      </c>
      <c r="W43" s="42"/>
      <c r="X43" s="42">
        <v>51.035000000000011</v>
      </c>
      <c r="Y43" s="42">
        <v>122.91799999999999</v>
      </c>
      <c r="Z43" s="42">
        <v>51</v>
      </c>
      <c r="AA43" s="42">
        <v>183.95</v>
      </c>
      <c r="AB43" s="42">
        <v>22.605</v>
      </c>
      <c r="AC43" s="42">
        <v>7.4489999999999998</v>
      </c>
      <c r="AD43" s="42">
        <v>27.605</v>
      </c>
      <c r="AE43" s="42">
        <v>14.3</v>
      </c>
      <c r="AF43" s="42">
        <v>47.667000000000002</v>
      </c>
      <c r="AG43" s="42">
        <v>11.192</v>
      </c>
      <c r="AH43" s="42">
        <v>8.49</v>
      </c>
      <c r="AI43" s="42">
        <v>33.03</v>
      </c>
      <c r="AJ43" s="42">
        <v>79.634</v>
      </c>
      <c r="AK43" s="42">
        <v>6.7220000000000004</v>
      </c>
      <c r="AL43" s="42">
        <v>7.8390000000000004</v>
      </c>
      <c r="AM43" s="42">
        <v>32.668999999999997</v>
      </c>
      <c r="AN43" s="42">
        <v>56.575000000000003</v>
      </c>
      <c r="AO43" s="42">
        <v>69.22</v>
      </c>
      <c r="AP43" s="42">
        <v>22.718</v>
      </c>
      <c r="AQ43" s="42">
        <v>134.6</v>
      </c>
      <c r="AR43" s="42">
        <v>107.166</v>
      </c>
      <c r="AS43" s="42">
        <v>63.984000000000002</v>
      </c>
      <c r="AT43" s="42">
        <v>146.80500000000001</v>
      </c>
      <c r="AU43" s="42">
        <v>8.8559999999999999</v>
      </c>
      <c r="AV43" s="42">
        <v>62.268000000000001</v>
      </c>
      <c r="AW43" s="42">
        <v>95.97</v>
      </c>
      <c r="AX43" s="42">
        <f t="shared" si="23"/>
        <v>50.782183352738336</v>
      </c>
      <c r="AY43" s="42">
        <f t="shared" si="24"/>
        <v>54.383733551102281</v>
      </c>
      <c r="AZ43" s="42">
        <f t="shared" si="22"/>
        <v>45.377377021909751</v>
      </c>
      <c r="BA43" s="107">
        <f t="shared" si="24"/>
        <v>46.813312208991</v>
      </c>
    </row>
    <row r="44" spans="1:53" ht="15.75">
      <c r="A44" s="93" t="s">
        <v>82</v>
      </c>
      <c r="W44" s="42"/>
      <c r="X44" s="42">
        <v>47.375</v>
      </c>
      <c r="Y44" s="42">
        <v>136.55599999999998</v>
      </c>
      <c r="Z44" s="42">
        <v>51.865000000000002</v>
      </c>
      <c r="AA44" s="42">
        <v>182.4</v>
      </c>
      <c r="AB44" s="42">
        <v>28.952000000000002</v>
      </c>
      <c r="AC44" s="42">
        <v>3.67</v>
      </c>
      <c r="AD44" s="42">
        <v>2.19</v>
      </c>
      <c r="AE44" s="42">
        <v>6.8259999999999996</v>
      </c>
      <c r="AF44" s="42">
        <v>76.195999999999998</v>
      </c>
      <c r="AG44" s="42">
        <v>10.654999999999999</v>
      </c>
      <c r="AH44" s="42">
        <v>24.225999999999999</v>
      </c>
      <c r="AI44" s="42">
        <v>20.260999999999999</v>
      </c>
      <c r="AJ44" s="42">
        <v>101.30200000000001</v>
      </c>
      <c r="AK44" s="42">
        <v>5.0880000000000001</v>
      </c>
      <c r="AL44" s="42">
        <v>1.748</v>
      </c>
      <c r="AM44" s="42">
        <v>17.492000000000001</v>
      </c>
      <c r="AN44" s="42">
        <v>27.783999999999999</v>
      </c>
      <c r="AO44" s="42">
        <v>48.944000000000003</v>
      </c>
      <c r="AP44" s="42">
        <v>33.183999999999997</v>
      </c>
      <c r="AQ44" s="42">
        <v>162.48400000000001</v>
      </c>
      <c r="AR44" s="42">
        <v>3.774</v>
      </c>
      <c r="AS44" s="42">
        <v>41.991999999999997</v>
      </c>
      <c r="AT44" s="42">
        <v>96.93</v>
      </c>
      <c r="AU44" s="42">
        <v>4.101</v>
      </c>
      <c r="AV44" s="42">
        <v>116.732</v>
      </c>
      <c r="AW44" s="42">
        <v>150.607</v>
      </c>
      <c r="AX44" s="42">
        <f t="shared" si="23"/>
        <v>55.146906119080256</v>
      </c>
      <c r="AY44" s="42">
        <f t="shared" si="24"/>
        <v>63.157715912337359</v>
      </c>
      <c r="AZ44" s="42">
        <f t="shared" si="22"/>
        <v>64.958473716230955</v>
      </c>
      <c r="BA44" s="107">
        <f t="shared" si="24"/>
        <v>68.314295604100423</v>
      </c>
    </row>
    <row r="45" spans="1:53" ht="15.75">
      <c r="A45" s="93" t="s">
        <v>83</v>
      </c>
      <c r="W45" s="42"/>
      <c r="X45" s="42">
        <v>29.411000000000001</v>
      </c>
      <c r="Y45" s="42">
        <v>256.16200000000003</v>
      </c>
      <c r="Z45" s="42">
        <v>29.419999999999998</v>
      </c>
      <c r="AA45" s="42">
        <v>96.616</v>
      </c>
      <c r="AB45" s="42">
        <v>14.074999999999999</v>
      </c>
      <c r="AC45" s="42">
        <v>7.7970000000000006</v>
      </c>
      <c r="AD45" s="42">
        <v>20.530999999999999</v>
      </c>
      <c r="AE45" s="42">
        <v>4.2409999999999997</v>
      </c>
      <c r="AF45" s="42">
        <v>32.954000000000001</v>
      </c>
      <c r="AG45" s="42">
        <v>55.581000000000003</v>
      </c>
      <c r="AH45" s="42">
        <v>85.081000000000003</v>
      </c>
      <c r="AI45" s="42">
        <v>21.181999999999999</v>
      </c>
      <c r="AJ45" s="42">
        <v>82.325000000000003</v>
      </c>
      <c r="AK45" s="42">
        <v>30.393000000000001</v>
      </c>
      <c r="AL45" s="42">
        <v>5.2050000000000001</v>
      </c>
      <c r="AM45" s="42">
        <v>22.393999999999998</v>
      </c>
      <c r="AN45" s="42">
        <v>56.106000000000002</v>
      </c>
      <c r="AO45" s="42">
        <v>35.845999999999997</v>
      </c>
      <c r="AP45" s="42">
        <v>17.277999999999999</v>
      </c>
      <c r="AQ45" s="42">
        <v>250.48500000000001</v>
      </c>
      <c r="AR45" s="42">
        <v>7.1040000000000001</v>
      </c>
      <c r="AS45" s="42">
        <v>81.283000000000001</v>
      </c>
      <c r="AT45" s="42">
        <v>98.629000000000005</v>
      </c>
      <c r="AU45" s="42">
        <v>44.392000000000003</v>
      </c>
      <c r="AV45" s="42">
        <v>144.31700000000001</v>
      </c>
      <c r="AW45" s="42">
        <v>290.03800000000001</v>
      </c>
      <c r="AX45" s="42">
        <f t="shared" si="23"/>
        <v>88.514545785153814</v>
      </c>
      <c r="AY45" s="42">
        <f>(SUM(AT45:AX45)/SUM(AT$53:AX$53))*AY$53</f>
        <v>99.302118313985545</v>
      </c>
      <c r="AZ45" s="42">
        <f t="shared" si="22"/>
        <v>111.09571705928037</v>
      </c>
      <c r="BA45" s="107">
        <f t="shared" si="24"/>
        <v>111.16824601134196</v>
      </c>
    </row>
    <row r="46" spans="1:53" ht="15.75">
      <c r="A46" s="93" t="s">
        <v>84</v>
      </c>
      <c r="W46" s="42"/>
      <c r="X46" s="42">
        <v>21.507000000000001</v>
      </c>
      <c r="Y46" s="42">
        <v>116.422</v>
      </c>
      <c r="Z46" s="42">
        <v>34.169000000000004</v>
      </c>
      <c r="AA46" s="42">
        <v>123.78100000000001</v>
      </c>
      <c r="AB46" s="42">
        <v>16.91</v>
      </c>
      <c r="AC46" s="42">
        <v>15.436999999999999</v>
      </c>
      <c r="AD46" s="42">
        <v>71.881</v>
      </c>
      <c r="AE46" s="42">
        <v>22.687999999999999</v>
      </c>
      <c r="AF46" s="42">
        <v>52.692999999999998</v>
      </c>
      <c r="AG46" s="42">
        <v>126.488</v>
      </c>
      <c r="AH46" s="42">
        <v>157.25800000000001</v>
      </c>
      <c r="AI46" s="42">
        <v>60.122</v>
      </c>
      <c r="AJ46" s="42">
        <v>124.801</v>
      </c>
      <c r="AK46" s="42">
        <v>45.554000000000002</v>
      </c>
      <c r="AL46" s="42">
        <v>46.298000000000002</v>
      </c>
      <c r="AM46" s="42">
        <v>49.334000000000003</v>
      </c>
      <c r="AN46" s="42">
        <v>103.80500000000001</v>
      </c>
      <c r="AO46" s="42">
        <v>77.787999999999997</v>
      </c>
      <c r="AP46" s="42">
        <v>15.541</v>
      </c>
      <c r="AQ46" s="42">
        <v>295.39400000000001</v>
      </c>
      <c r="AR46" s="42">
        <v>11.295999999999999</v>
      </c>
      <c r="AS46" s="42">
        <v>140.46899999999999</v>
      </c>
      <c r="AT46" s="42">
        <v>123.983</v>
      </c>
      <c r="AU46" s="42">
        <v>69.62</v>
      </c>
      <c r="AV46" s="42">
        <v>145.71600000000001</v>
      </c>
      <c r="AW46" s="42">
        <v>326.84100000000001</v>
      </c>
      <c r="AX46" s="42">
        <f t="shared" si="23"/>
        <v>108.39964162356065</v>
      </c>
      <c r="AY46" s="42">
        <f t="shared" ref="AY46:AY52" si="25">(SUM(AT46:AX46)/SUM(AT$53:AX$53))*AY$53</f>
        <v>115.50759154126426</v>
      </c>
      <c r="AZ46" s="42">
        <f t="shared" si="22"/>
        <v>127.68274329246481</v>
      </c>
      <c r="BA46" s="107">
        <f t="shared" si="24"/>
        <v>124.94620132095264</v>
      </c>
    </row>
    <row r="47" spans="1:53" ht="15.75">
      <c r="A47" s="93" t="s">
        <v>73</v>
      </c>
      <c r="W47" s="42"/>
      <c r="X47" s="42">
        <v>56.375</v>
      </c>
      <c r="Y47" s="42">
        <v>181.60799999999998</v>
      </c>
      <c r="Z47" s="42">
        <v>64.015000000000001</v>
      </c>
      <c r="AA47" s="42">
        <v>152.14599999999999</v>
      </c>
      <c r="AB47" s="42">
        <v>31.812000000000001</v>
      </c>
      <c r="AC47" s="42">
        <v>32.116</v>
      </c>
      <c r="AD47" s="42">
        <v>125.76299999999999</v>
      </c>
      <c r="AE47" s="42">
        <v>66.236000000000004</v>
      </c>
      <c r="AF47" s="42">
        <v>101.256</v>
      </c>
      <c r="AG47" s="42">
        <v>148.30600000000001</v>
      </c>
      <c r="AH47" s="42">
        <v>155.55699999999999</v>
      </c>
      <c r="AI47" s="42">
        <v>89.051000000000002</v>
      </c>
      <c r="AJ47" s="42">
        <v>128.93100000000001</v>
      </c>
      <c r="AK47" s="42">
        <v>51.314999999999998</v>
      </c>
      <c r="AL47" s="42">
        <v>110.986</v>
      </c>
      <c r="AM47" s="42">
        <v>81.646000000000001</v>
      </c>
      <c r="AN47" s="42">
        <v>98.221999999999994</v>
      </c>
      <c r="AO47" s="42">
        <v>79.838999999999999</v>
      </c>
      <c r="AP47" s="42">
        <v>18.541</v>
      </c>
      <c r="AQ47" s="42">
        <v>332.06099999999998</v>
      </c>
      <c r="AR47" s="42">
        <v>90.152000000000001</v>
      </c>
      <c r="AS47" s="42">
        <v>111.55200000000001</v>
      </c>
      <c r="AT47" s="42">
        <v>149.49199999999999</v>
      </c>
      <c r="AU47" s="42">
        <v>147.33199999999999</v>
      </c>
      <c r="AV47" s="42">
        <v>407.37900000000002</v>
      </c>
      <c r="AW47" s="42">
        <v>397.63499999999999</v>
      </c>
      <c r="AX47" s="42">
        <f>(SUM(AS47:AW47)/SUM(AS$53:AW$53))*AX$53</f>
        <v>163.06262377079457</v>
      </c>
      <c r="AY47" s="42">
        <f t="shared" si="25"/>
        <v>188.63056727891751</v>
      </c>
      <c r="AZ47" s="42">
        <f t="shared" si="22"/>
        <v>217.34333388674537</v>
      </c>
      <c r="BA47" s="107">
        <f t="shared" si="24"/>
        <v>208.31526222649248</v>
      </c>
    </row>
    <row r="48" spans="1:53" ht="15.75">
      <c r="A48" s="93" t="s">
        <v>74</v>
      </c>
      <c r="W48" s="42"/>
      <c r="X48" s="42">
        <v>17.195</v>
      </c>
      <c r="Y48" s="42">
        <v>230.94800000000001</v>
      </c>
      <c r="Z48" s="42">
        <v>92.751999999999995</v>
      </c>
      <c r="AA48" s="42">
        <v>118.404</v>
      </c>
      <c r="AB48" s="42">
        <v>31.956</v>
      </c>
      <c r="AC48" s="42">
        <v>37.623999999999995</v>
      </c>
      <c r="AD48" s="42">
        <v>191.70099999999999</v>
      </c>
      <c r="AE48" s="42">
        <v>37.838000000000001</v>
      </c>
      <c r="AF48" s="42">
        <v>65.3</v>
      </c>
      <c r="AG48" s="42">
        <v>184.7</v>
      </c>
      <c r="AH48" s="42">
        <v>191.53</v>
      </c>
      <c r="AI48" s="42">
        <v>109.77800000000001</v>
      </c>
      <c r="AJ48" s="42">
        <v>120.53400000000001</v>
      </c>
      <c r="AK48" s="42">
        <v>96.013000000000005</v>
      </c>
      <c r="AL48" s="42">
        <v>157.58000000000001</v>
      </c>
      <c r="AM48" s="42">
        <v>97.881</v>
      </c>
      <c r="AN48" s="42">
        <v>146.52500000000001</v>
      </c>
      <c r="AO48" s="42">
        <v>121.32299999999999</v>
      </c>
      <c r="AP48" s="42">
        <v>46.447000000000003</v>
      </c>
      <c r="AQ48" s="42">
        <v>495.053</v>
      </c>
      <c r="AR48" s="42">
        <v>144.92500000000001</v>
      </c>
      <c r="AS48" s="42">
        <v>110.105</v>
      </c>
      <c r="AT48" s="42">
        <v>217.26</v>
      </c>
      <c r="AU48" s="42">
        <v>190.81</v>
      </c>
      <c r="AV48" s="42">
        <v>503</v>
      </c>
      <c r="AW48" s="42">
        <v>347.90199999999999</v>
      </c>
      <c r="AX48" s="42">
        <f t="shared" ref="AX48:AX51" si="26">(SUM(AS48:AW48)/SUM(AS$53:AW$53))*AX$53</f>
        <v>183.9847763408699</v>
      </c>
      <c r="AY48" s="42">
        <f t="shared" si="25"/>
        <v>215.18350941176993</v>
      </c>
      <c r="AZ48" s="42">
        <f t="shared" si="22"/>
        <v>240.15054699780623</v>
      </c>
      <c r="BA48" s="107">
        <f t="shared" si="24"/>
        <v>225.92745893688826</v>
      </c>
    </row>
    <row r="49" spans="1:53" ht="15.75">
      <c r="A49" s="93" t="s">
        <v>75</v>
      </c>
      <c r="W49" s="42"/>
      <c r="X49" s="42">
        <v>36.404999999999994</v>
      </c>
      <c r="Y49" s="42">
        <v>200.29500000000002</v>
      </c>
      <c r="Z49" s="42">
        <v>86.270999999999987</v>
      </c>
      <c r="AA49" s="42">
        <v>168.43299999999999</v>
      </c>
      <c r="AB49" s="42">
        <v>18.228999999999999</v>
      </c>
      <c r="AC49" s="42">
        <v>78.331000000000003</v>
      </c>
      <c r="AD49" s="42">
        <v>143.22</v>
      </c>
      <c r="AE49" s="42">
        <v>31.81</v>
      </c>
      <c r="AF49" s="42">
        <v>50.896999999999998</v>
      </c>
      <c r="AG49" s="42">
        <v>152.87299999999999</v>
      </c>
      <c r="AH49" s="42">
        <v>178.24</v>
      </c>
      <c r="AI49" s="42">
        <v>74.891000000000005</v>
      </c>
      <c r="AJ49" s="42">
        <v>158.42500000000001</v>
      </c>
      <c r="AK49" s="42">
        <v>71.010999999999996</v>
      </c>
      <c r="AL49" s="42">
        <v>143.13499999999999</v>
      </c>
      <c r="AM49" s="42">
        <v>117.413</v>
      </c>
      <c r="AN49" s="42">
        <v>143.839</v>
      </c>
      <c r="AO49" s="42">
        <v>88.4</v>
      </c>
      <c r="AP49" s="42">
        <v>51.88</v>
      </c>
      <c r="AQ49" s="42">
        <v>547.34400000000005</v>
      </c>
      <c r="AR49" s="42">
        <v>114.77200000000001</v>
      </c>
      <c r="AS49" s="42">
        <v>114.371</v>
      </c>
      <c r="AT49" s="42">
        <v>215.55199999999999</v>
      </c>
      <c r="AU49" s="42">
        <v>209.34800000000001</v>
      </c>
      <c r="AV49" s="42">
        <v>621.37699999999995</v>
      </c>
      <c r="AW49" s="42">
        <v>303.96100000000001</v>
      </c>
      <c r="AX49" s="42">
        <f t="shared" si="26"/>
        <v>196.82293931738326</v>
      </c>
      <c r="AY49" s="42">
        <f t="shared" si="25"/>
        <v>230.70822886349734</v>
      </c>
      <c r="AZ49" s="107">
        <f t="shared" si="24"/>
        <v>260.37368348893381</v>
      </c>
      <c r="BA49" s="107">
        <f t="shared" si="24"/>
        <v>244.57842093990914</v>
      </c>
    </row>
    <row r="50" spans="1:53" ht="15.75">
      <c r="A50" s="93" t="s">
        <v>76</v>
      </c>
      <c r="W50" s="42"/>
      <c r="X50" s="42">
        <v>57.923999999999999</v>
      </c>
      <c r="Y50" s="42">
        <v>163.15699999999998</v>
      </c>
      <c r="Z50" s="42">
        <v>100.88</v>
      </c>
      <c r="AA50" s="42">
        <v>64.728999999999999</v>
      </c>
      <c r="AB50" s="42">
        <v>57.439</v>
      </c>
      <c r="AC50" s="42">
        <v>45.392000000000003</v>
      </c>
      <c r="AD50" s="42">
        <v>104.086</v>
      </c>
      <c r="AE50" s="42">
        <v>22.702999999999999</v>
      </c>
      <c r="AF50" s="42">
        <v>31.556999999999999</v>
      </c>
      <c r="AG50" s="42">
        <v>164.732</v>
      </c>
      <c r="AH50" s="42">
        <v>141.38499999999999</v>
      </c>
      <c r="AI50" s="42">
        <v>81.662000000000006</v>
      </c>
      <c r="AJ50" s="42">
        <v>135.744</v>
      </c>
      <c r="AK50" s="42">
        <v>32.701999999999998</v>
      </c>
      <c r="AL50" s="42">
        <v>144.71100000000001</v>
      </c>
      <c r="AM50" s="42">
        <v>123.86799999999999</v>
      </c>
      <c r="AN50" s="42">
        <v>90.766999999999996</v>
      </c>
      <c r="AO50" s="42">
        <v>99.605000000000004</v>
      </c>
      <c r="AP50" s="42">
        <v>46.982999999999997</v>
      </c>
      <c r="AQ50" s="42">
        <v>440.55200000000002</v>
      </c>
      <c r="AR50" s="42">
        <v>108.261</v>
      </c>
      <c r="AS50" s="42">
        <v>124.9</v>
      </c>
      <c r="AT50" s="42">
        <v>187.38900000000001</v>
      </c>
      <c r="AU50" s="42">
        <v>246.435</v>
      </c>
      <c r="AV50" s="42">
        <v>446.31900000000002</v>
      </c>
      <c r="AW50" s="42">
        <v>240.47900000000001</v>
      </c>
      <c r="AX50" s="42">
        <f t="shared" si="26"/>
        <v>167.38071459650035</v>
      </c>
      <c r="AY50" s="42">
        <f t="shared" si="25"/>
        <v>192.07570788197219</v>
      </c>
      <c r="AZ50" s="107">
        <f t="shared" si="24"/>
        <v>215.45167560143688</v>
      </c>
      <c r="BA50" s="107">
        <f t="shared" si="24"/>
        <v>191.28309469292307</v>
      </c>
    </row>
    <row r="51" spans="1:53" ht="15.75">
      <c r="A51" s="93" t="s">
        <v>77</v>
      </c>
      <c r="W51" s="42">
        <v>16.216999999999999</v>
      </c>
      <c r="X51" s="42">
        <v>114.42700000000001</v>
      </c>
      <c r="Y51" s="42">
        <v>150.58800000000002</v>
      </c>
      <c r="Z51" s="42">
        <v>125.334</v>
      </c>
      <c r="AA51" s="42">
        <v>114.039</v>
      </c>
      <c r="AB51" s="42">
        <v>38.503</v>
      </c>
      <c r="AC51" s="42">
        <v>55.603000000000002</v>
      </c>
      <c r="AD51" s="42">
        <v>64.561999999999998</v>
      </c>
      <c r="AE51" s="42">
        <v>33.497999999999998</v>
      </c>
      <c r="AF51" s="42">
        <v>33.601999999999997</v>
      </c>
      <c r="AG51" s="42">
        <v>88.533000000000001</v>
      </c>
      <c r="AH51" s="42">
        <v>157.42400000000001</v>
      </c>
      <c r="AI51" s="42">
        <v>39.606999999999999</v>
      </c>
      <c r="AJ51" s="42">
        <v>83.763999999999996</v>
      </c>
      <c r="AK51" s="42">
        <v>13.135</v>
      </c>
      <c r="AL51" s="42">
        <v>121.205</v>
      </c>
      <c r="AM51" s="42">
        <v>67.742999999999995</v>
      </c>
      <c r="AN51" s="42">
        <v>53.41</v>
      </c>
      <c r="AO51" s="42">
        <v>71.03</v>
      </c>
      <c r="AP51" s="42">
        <v>17.172000000000001</v>
      </c>
      <c r="AQ51" s="42">
        <v>452.72199999999998</v>
      </c>
      <c r="AR51" s="42">
        <v>81.507999999999996</v>
      </c>
      <c r="AS51" s="42">
        <v>59.043999999999997</v>
      </c>
      <c r="AT51" s="42">
        <v>196.352</v>
      </c>
      <c r="AU51" s="42">
        <v>277.43599999999998</v>
      </c>
      <c r="AV51" s="42">
        <v>162.589</v>
      </c>
      <c r="AW51" s="42">
        <v>140.49299999999999</v>
      </c>
      <c r="AX51" s="42">
        <f t="shared" si="26"/>
        <v>112.33513551845654</v>
      </c>
      <c r="AY51" s="42">
        <f t="shared" si="25"/>
        <v>132.60430581506836</v>
      </c>
      <c r="AZ51" s="107">
        <f t="shared" si="24"/>
        <v>137.57843591850417</v>
      </c>
      <c r="BA51" s="107">
        <f t="shared" si="24"/>
        <v>103.94153316801231</v>
      </c>
    </row>
    <row r="52" spans="1:53" ht="15.75">
      <c r="A52" s="93" t="s">
        <v>78</v>
      </c>
      <c r="W52" s="42">
        <v>54.204000000000001</v>
      </c>
      <c r="X52" s="42">
        <v>46.671000000000006</v>
      </c>
      <c r="Y52" s="42">
        <v>93.918000000000006</v>
      </c>
      <c r="Z52" s="42">
        <v>202.94</v>
      </c>
      <c r="AA52" s="42">
        <v>157.95600000000002</v>
      </c>
      <c r="AB52" s="42">
        <v>36.052</v>
      </c>
      <c r="AC52" s="42">
        <v>47.99</v>
      </c>
      <c r="AD52" s="42">
        <v>26.982999999999997</v>
      </c>
      <c r="AE52" s="42">
        <v>41.244999999999997</v>
      </c>
      <c r="AF52" s="42">
        <v>46.402999999999999</v>
      </c>
      <c r="AG52" s="42">
        <v>27.088000000000001</v>
      </c>
      <c r="AH52" s="42">
        <v>83.34</v>
      </c>
      <c r="AI52" s="42">
        <v>47.1</v>
      </c>
      <c r="AJ52" s="42">
        <v>18.084</v>
      </c>
      <c r="AK52" s="42">
        <v>4.976</v>
      </c>
      <c r="AL52" s="42">
        <v>31.547000000000001</v>
      </c>
      <c r="AM52" s="42">
        <v>25.834</v>
      </c>
      <c r="AN52" s="42">
        <v>14.978999999999999</v>
      </c>
      <c r="AO52" s="42">
        <v>12.84</v>
      </c>
      <c r="AP52" s="42">
        <v>27.099</v>
      </c>
      <c r="AQ52" s="42">
        <v>112.312</v>
      </c>
      <c r="AR52" s="42">
        <v>12.935</v>
      </c>
      <c r="AS52" s="42">
        <v>26.231999999999999</v>
      </c>
      <c r="AT52" s="42">
        <v>87.67</v>
      </c>
      <c r="AU52" s="42">
        <v>290.09699999999998</v>
      </c>
      <c r="AV52" s="42">
        <v>47.085000000000001</v>
      </c>
      <c r="AW52" s="42">
        <v>28.292000000000002</v>
      </c>
      <c r="AX52" s="42">
        <f>AX53-SUM(AX41:AX51)</f>
        <v>93.079415456063998</v>
      </c>
      <c r="AY52" s="42">
        <f t="shared" si="25"/>
        <v>81.456543527782685</v>
      </c>
      <c r="AZ52" s="107">
        <f t="shared" ref="AZ52:BA52" si="27">AZ53-SUM(AZ41:AZ51)</f>
        <v>90.003096243692198</v>
      </c>
      <c r="BA52" s="107">
        <f t="shared" si="27"/>
        <v>51.533550546108472</v>
      </c>
    </row>
    <row r="53" spans="1:53" ht="16.5" thickBot="1">
      <c r="A53" s="93" t="s">
        <v>85</v>
      </c>
      <c r="W53" s="42"/>
      <c r="X53" s="42">
        <f t="shared" ref="X53" si="28">SUM(X41:X52)</f>
        <v>596.91</v>
      </c>
      <c r="Y53" s="42">
        <f t="shared" ref="Y53:AW53" si="29">SUM(Y41:Y52)</f>
        <v>1812.3119999999999</v>
      </c>
      <c r="Z53" s="42">
        <f t="shared" si="29"/>
        <v>905.91700000000014</v>
      </c>
      <c r="AA53" s="42">
        <f t="shared" si="29"/>
        <v>1714.2370000000001</v>
      </c>
      <c r="AB53" s="42">
        <f t="shared" si="29"/>
        <v>426.92099999999999</v>
      </c>
      <c r="AC53" s="42">
        <f t="shared" si="29"/>
        <v>374.29599999999999</v>
      </c>
      <c r="AD53" s="42">
        <f t="shared" si="29"/>
        <v>785.62</v>
      </c>
      <c r="AE53" s="42">
        <f t="shared" si="29"/>
        <v>313.68799999999999</v>
      </c>
      <c r="AF53" s="42">
        <f t="shared" si="29"/>
        <v>602.28700000000003</v>
      </c>
      <c r="AG53" s="42">
        <f t="shared" si="29"/>
        <v>992.01200000000006</v>
      </c>
      <c r="AH53" s="42">
        <f t="shared" si="29"/>
        <v>1220.682</v>
      </c>
      <c r="AI53" s="42">
        <f t="shared" si="29"/>
        <v>615.74200000000008</v>
      </c>
      <c r="AJ53" s="42">
        <f t="shared" si="29"/>
        <v>1152.6189999999999</v>
      </c>
      <c r="AK53" s="42">
        <f t="shared" si="29"/>
        <v>378.80200000000002</v>
      </c>
      <c r="AL53" s="42">
        <f t="shared" si="29"/>
        <v>790.97800000000007</v>
      </c>
      <c r="AM53" s="42">
        <f t="shared" si="29"/>
        <v>771.26799999999992</v>
      </c>
      <c r="AN53" s="42">
        <f t="shared" si="29"/>
        <v>886.20200000000011</v>
      </c>
      <c r="AO53" s="42">
        <f t="shared" si="29"/>
        <v>788.51700000000005</v>
      </c>
      <c r="AP53" s="42">
        <f t="shared" si="29"/>
        <v>330.39100000000002</v>
      </c>
      <c r="AQ53" s="42">
        <f t="shared" si="29"/>
        <v>3423.3240000000005</v>
      </c>
      <c r="AR53" s="42">
        <f t="shared" si="29"/>
        <v>854.07899999999995</v>
      </c>
      <c r="AS53" s="42">
        <f t="shared" si="29"/>
        <v>915.07199999999989</v>
      </c>
      <c r="AT53" s="42">
        <f t="shared" si="29"/>
        <v>1658.713</v>
      </c>
      <c r="AU53" s="42">
        <f t="shared" si="29"/>
        <v>1655.8199999999997</v>
      </c>
      <c r="AV53" s="42">
        <f t="shared" si="29"/>
        <v>2847.703</v>
      </c>
      <c r="AW53" s="42">
        <f t="shared" si="29"/>
        <v>2596.319</v>
      </c>
      <c r="AX53" s="42">
        <f>AX8*1000</f>
        <v>1300</v>
      </c>
      <c r="AY53" s="107">
        <f>AY8*1000</f>
        <v>1500</v>
      </c>
      <c r="AZ53" s="107">
        <v>1650</v>
      </c>
      <c r="BA53" s="107">
        <v>1500</v>
      </c>
    </row>
    <row r="54" spans="1:53" ht="15.75">
      <c r="A54" s="98" t="s">
        <v>164</v>
      </c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137">
        <f>SUM(X48:X52,Y41:Y47)/1000</f>
        <v>1.2460279999999999</v>
      </c>
      <c r="Y54" s="137">
        <f t="shared" ref="Y54:BA54" si="30">SUM(Y48:Y52,Z41:Z47)/1000</f>
        <v>1.1366460000000005</v>
      </c>
      <c r="Z54" s="137">
        <f t="shared" si="30"/>
        <v>1.6988529999999999</v>
      </c>
      <c r="AA54" s="137">
        <f t="shared" si="30"/>
        <v>0.86830300000000005</v>
      </c>
      <c r="AB54" s="137">
        <f t="shared" si="30"/>
        <v>0.29153499999999999</v>
      </c>
      <c r="AC54" s="137">
        <f t="shared" si="30"/>
        <v>0.52000800000000003</v>
      </c>
      <c r="AD54" s="137">
        <f t="shared" si="30"/>
        <v>0.67714599999999991</v>
      </c>
      <c r="AE54" s="137">
        <f t="shared" si="30"/>
        <v>0.54162200000000005</v>
      </c>
      <c r="AF54" s="137">
        <f t="shared" si="30"/>
        <v>0.60184500000000007</v>
      </c>
      <c r="AG54" s="137">
        <f t="shared" si="30"/>
        <v>1.0866889999999998</v>
      </c>
      <c r="AH54" s="137">
        <f t="shared" si="30"/>
        <v>1.0146229999999998</v>
      </c>
      <c r="AI54" s="137">
        <f t="shared" si="30"/>
        <v>0.98910600000000026</v>
      </c>
      <c r="AJ54" s="137">
        <f t="shared" si="30"/>
        <v>0.6775159999999999</v>
      </c>
      <c r="AK54" s="137">
        <f t="shared" si="30"/>
        <v>0.41063699999999997</v>
      </c>
      <c r="AL54" s="137">
        <f t="shared" si="30"/>
        <v>0.93670700000000007</v>
      </c>
      <c r="AM54" s="137">
        <f t="shared" si="30"/>
        <v>0.869421</v>
      </c>
      <c r="AN54" s="137">
        <f t="shared" si="30"/>
        <v>0.8448389999999999</v>
      </c>
      <c r="AO54" s="137">
        <f t="shared" si="30"/>
        <v>0.53400800000000015</v>
      </c>
      <c r="AP54" s="137">
        <f t="shared" si="30"/>
        <v>1.5649219999999997</v>
      </c>
      <c r="AQ54" s="137">
        <f t="shared" si="30"/>
        <v>2.4396609999999996</v>
      </c>
      <c r="AR54" s="137">
        <f t="shared" si="30"/>
        <v>0.94282100000000002</v>
      </c>
      <c r="AS54" s="137">
        <f t="shared" si="30"/>
        <v>1.1891420000000001</v>
      </c>
      <c r="AT54" s="137">
        <f t="shared" si="30"/>
        <v>1.3459169999999998</v>
      </c>
      <c r="AU54" s="137">
        <f t="shared" si="30"/>
        <v>2.2814589999999999</v>
      </c>
      <c r="AV54" s="137">
        <f t="shared" si="30"/>
        <v>3.3155619999999999</v>
      </c>
      <c r="AW54" s="137">
        <f t="shared" si="30"/>
        <v>1.6075240187707256</v>
      </c>
      <c r="AX54" s="137">
        <f t="shared" si="30"/>
        <v>1.4015746857291838</v>
      </c>
      <c r="AY54" s="137">
        <f t="shared" si="30"/>
        <v>1.5584708572497175</v>
      </c>
      <c r="AZ54" s="137">
        <f t="shared" si="30"/>
        <v>1.6262933799665322</v>
      </c>
      <c r="BA54" s="137">
        <f t="shared" si="30"/>
        <v>0.81726405828384119</v>
      </c>
    </row>
    <row r="55" spans="1:53" ht="15.75">
      <c r="A55" s="93" t="s">
        <v>165</v>
      </c>
    </row>
    <row r="56" spans="1:53" ht="15.75">
      <c r="A56" s="93"/>
    </row>
    <row r="57" spans="1:53" ht="15.75">
      <c r="A57" s="93"/>
    </row>
    <row r="58" spans="1:53" ht="15.75">
      <c r="A58" s="93" t="s">
        <v>17</v>
      </c>
    </row>
    <row r="59" spans="1:53" ht="15.75">
      <c r="A59" s="93" t="s">
        <v>144</v>
      </c>
    </row>
    <row r="60" spans="1:53" ht="15.75">
      <c r="A60" s="93"/>
    </row>
    <row r="61" spans="1:53" ht="16.5" thickBot="1">
      <c r="A61" s="93" t="s">
        <v>166</v>
      </c>
    </row>
    <row r="62" spans="1:53" ht="16.5" thickBot="1">
      <c r="A62" s="93"/>
      <c r="B62" s="95" t="str">
        <f t="shared" ref="B62:BA62" si="31">B2</f>
        <v>74/75</v>
      </c>
      <c r="C62" s="95" t="str">
        <f t="shared" si="31"/>
        <v xml:space="preserve">75/76 </v>
      </c>
      <c r="D62" s="95" t="str">
        <f t="shared" si="31"/>
        <v xml:space="preserve">76/77 </v>
      </c>
      <c r="E62" s="95" t="str">
        <f t="shared" si="31"/>
        <v xml:space="preserve">77/78 </v>
      </c>
      <c r="F62" s="95" t="str">
        <f t="shared" si="31"/>
        <v xml:space="preserve">78/79 </v>
      </c>
      <c r="G62" s="95" t="str">
        <f t="shared" si="31"/>
        <v xml:space="preserve">79/80 </v>
      </c>
      <c r="H62" s="95" t="str">
        <f t="shared" si="31"/>
        <v xml:space="preserve">80/81 </v>
      </c>
      <c r="I62" s="95" t="str">
        <f t="shared" si="31"/>
        <v xml:space="preserve">81/82 </v>
      </c>
      <c r="J62" s="95" t="str">
        <f t="shared" si="31"/>
        <v xml:space="preserve">82/83 </v>
      </c>
      <c r="K62" s="95" t="str">
        <f t="shared" si="31"/>
        <v xml:space="preserve">83/84 </v>
      </c>
      <c r="L62" s="95" t="str">
        <f t="shared" si="31"/>
        <v xml:space="preserve">84/85 </v>
      </c>
      <c r="M62" s="95" t="str">
        <f t="shared" si="31"/>
        <v xml:space="preserve">85/86 </v>
      </c>
      <c r="N62" s="95" t="str">
        <f t="shared" si="31"/>
        <v xml:space="preserve">86/87 </v>
      </c>
      <c r="O62" s="95" t="str">
        <f t="shared" si="31"/>
        <v xml:space="preserve">87/88 </v>
      </c>
      <c r="P62" s="95" t="str">
        <f t="shared" si="31"/>
        <v xml:space="preserve">88/89 </v>
      </c>
      <c r="Q62" s="95" t="str">
        <f t="shared" si="31"/>
        <v xml:space="preserve">89/90 </v>
      </c>
      <c r="R62" s="95" t="str">
        <f t="shared" si="31"/>
        <v xml:space="preserve">90/91 </v>
      </c>
      <c r="S62" s="95" t="str">
        <f t="shared" si="31"/>
        <v xml:space="preserve">91/92 </v>
      </c>
      <c r="T62" s="95" t="str">
        <f t="shared" si="31"/>
        <v xml:space="preserve">92/93 </v>
      </c>
      <c r="U62" s="95" t="str">
        <f t="shared" si="31"/>
        <v xml:space="preserve">93/94 </v>
      </c>
      <c r="V62" s="95" t="str">
        <f t="shared" si="31"/>
        <v xml:space="preserve">94/95 </v>
      </c>
      <c r="W62" s="95" t="str">
        <f t="shared" si="31"/>
        <v xml:space="preserve">95/96 </v>
      </c>
      <c r="X62" s="95" t="str">
        <f t="shared" si="31"/>
        <v xml:space="preserve">96/97 </v>
      </c>
      <c r="Y62" s="95" t="str">
        <f t="shared" si="31"/>
        <v xml:space="preserve">97/98 </v>
      </c>
      <c r="Z62" s="95" t="str">
        <f t="shared" si="31"/>
        <v xml:space="preserve">98/99 </v>
      </c>
      <c r="AA62" s="95" t="str">
        <f t="shared" si="31"/>
        <v xml:space="preserve">99/00 </v>
      </c>
      <c r="AB62" s="95" t="str">
        <f t="shared" si="31"/>
        <v xml:space="preserve">00/01 </v>
      </c>
      <c r="AC62" s="95" t="str">
        <f t="shared" si="31"/>
        <v xml:space="preserve">01/02 </v>
      </c>
      <c r="AD62" s="95" t="str">
        <f t="shared" si="31"/>
        <v xml:space="preserve">02/03 </v>
      </c>
      <c r="AE62" s="95" t="str">
        <f t="shared" si="31"/>
        <v xml:space="preserve">03/04 </v>
      </c>
      <c r="AF62" s="95" t="str">
        <f t="shared" si="31"/>
        <v xml:space="preserve">04/05 </v>
      </c>
      <c r="AG62" s="95" t="str">
        <f t="shared" si="31"/>
        <v xml:space="preserve">05/06 </v>
      </c>
      <c r="AH62" s="95" t="str">
        <f t="shared" si="31"/>
        <v xml:space="preserve">06/07 </v>
      </c>
      <c r="AI62" s="95" t="str">
        <f t="shared" si="31"/>
        <v xml:space="preserve">07/08 </v>
      </c>
      <c r="AJ62" s="95" t="str">
        <f t="shared" si="31"/>
        <v xml:space="preserve">08/09 </v>
      </c>
      <c r="AK62" s="95" t="str">
        <f t="shared" si="31"/>
        <v xml:space="preserve">09/10 </v>
      </c>
      <c r="AL62" s="95" t="str">
        <f t="shared" si="31"/>
        <v xml:space="preserve">10/11 </v>
      </c>
      <c r="AM62" s="95" t="str">
        <f t="shared" si="31"/>
        <v xml:space="preserve">11/12 </v>
      </c>
      <c r="AN62" s="95" t="str">
        <f t="shared" si="31"/>
        <v xml:space="preserve">12/13 </v>
      </c>
      <c r="AO62" s="95" t="str">
        <f t="shared" si="31"/>
        <v xml:space="preserve">13/14 </v>
      </c>
      <c r="AP62" s="95" t="str">
        <f t="shared" si="31"/>
        <v xml:space="preserve">14/15 </v>
      </c>
      <c r="AQ62" s="95" t="str">
        <f t="shared" si="31"/>
        <v xml:space="preserve">15/16 </v>
      </c>
      <c r="AR62" s="95" t="str">
        <f t="shared" si="31"/>
        <v xml:space="preserve">16/17 </v>
      </c>
      <c r="AS62" s="95" t="str">
        <f t="shared" si="31"/>
        <v xml:space="preserve">17/18 </v>
      </c>
      <c r="AT62" s="95" t="str">
        <f t="shared" si="31"/>
        <v xml:space="preserve">18/19 </v>
      </c>
      <c r="AU62" s="95" t="str">
        <f t="shared" si="31"/>
        <v>19/20</v>
      </c>
      <c r="AV62" s="95" t="str">
        <f t="shared" si="31"/>
        <v>20/21</v>
      </c>
      <c r="AW62" s="95" t="str">
        <f t="shared" si="31"/>
        <v>21/22</v>
      </c>
      <c r="AX62" s="95" t="str">
        <f t="shared" si="31"/>
        <v>22/23</v>
      </c>
      <c r="AY62" s="95" t="str">
        <f t="shared" si="31"/>
        <v>23/24</v>
      </c>
      <c r="AZ62" s="95" t="str">
        <f t="shared" si="31"/>
        <v>24/25</v>
      </c>
      <c r="BA62" s="95" t="str">
        <f t="shared" si="31"/>
        <v>25/26</v>
      </c>
    </row>
    <row r="63" spans="1:53" ht="15.75">
      <c r="A63" s="93" t="s">
        <v>79</v>
      </c>
      <c r="AE63" s="78">
        <v>7.9414690369444013E-2</v>
      </c>
      <c r="AF63" s="78">
        <v>7.9414690369444013E-2</v>
      </c>
      <c r="AG63" s="78">
        <v>7.9414690369444013E-2</v>
      </c>
      <c r="AH63" s="78">
        <v>7.9414690369444013E-2</v>
      </c>
      <c r="AI63" s="78">
        <v>7.9414690369444013E-2</v>
      </c>
      <c r="AJ63" s="78">
        <v>7.9414690369444013E-2</v>
      </c>
      <c r="AK63" s="78">
        <v>7.9414690369444013E-2</v>
      </c>
      <c r="AL63" s="78">
        <v>7.9414690369444013E-2</v>
      </c>
      <c r="AM63" s="78">
        <v>6.9414690369444004E-2</v>
      </c>
      <c r="AN63" s="78">
        <v>6.9414690369444004E-2</v>
      </c>
      <c r="AO63" s="78">
        <v>6.9414690369444004E-2</v>
      </c>
      <c r="AP63" s="78">
        <v>6.9410714285714284E-2</v>
      </c>
      <c r="AQ63" s="78">
        <v>8.2928571428571435E-2</v>
      </c>
      <c r="AR63" s="78">
        <v>8.6696428571428577E-2</v>
      </c>
      <c r="AS63" s="78">
        <v>8.6696428571428577E-2</v>
      </c>
      <c r="AT63" s="78">
        <f>(SUM(AO63:AS63)-MAX(AO63:AS63)-MIN(AO63:AS63))/3</f>
        <v>7.9679896789814686E-2</v>
      </c>
      <c r="AU63" s="78">
        <f t="shared" ref="AU63:AX74" si="32">(SUM(AP63:AT63)-MAX(AP63:AT63)-MIN(AP63:AT63))/3</f>
        <v>8.3101632263271566E-2</v>
      </c>
      <c r="AV63" s="78">
        <f t="shared" si="32"/>
        <v>8.4242210754423855E-2</v>
      </c>
      <c r="AW63" s="78">
        <f t="shared" si="32"/>
        <v>8.4680090529707985E-2</v>
      </c>
      <c r="AX63" s="78">
        <f t="shared" si="32"/>
        <v>8.4007977849134455E-2</v>
      </c>
      <c r="AY63" s="78">
        <f t="shared" ref="AY63:AY74" si="33">(SUM(AT63:AX63)-MAX(AT63:AX63)-MIN(AT63:AX63))/3</f>
        <v>8.3783940288943273E-2</v>
      </c>
      <c r="AZ63" s="78">
        <f t="shared" ref="AZ63:BA74" si="34">(SUM(AU63:AY63)-MAX(AU63:AY63)-MIN(AU63:AY63))/3</f>
        <v>8.4011376297500509E-2</v>
      </c>
      <c r="BA63" s="78">
        <f t="shared" si="34"/>
        <v>8.408718830035293E-2</v>
      </c>
    </row>
    <row r="64" spans="1:53" ht="15.75">
      <c r="A64" s="93" t="s">
        <v>80</v>
      </c>
      <c r="AE64" s="78">
        <v>7.9458099567926432E-2</v>
      </c>
      <c r="AF64" s="78">
        <v>7.9458099567926432E-2</v>
      </c>
      <c r="AG64" s="78">
        <v>7.9458099567926432E-2</v>
      </c>
      <c r="AH64" s="78">
        <v>7.9458099567926432E-2</v>
      </c>
      <c r="AI64" s="78">
        <v>7.9458099567926432E-2</v>
      </c>
      <c r="AJ64" s="78">
        <v>7.9458099567926432E-2</v>
      </c>
      <c r="AK64" s="78">
        <v>7.9458099567926432E-2</v>
      </c>
      <c r="AL64" s="78">
        <v>7.9458099567926432E-2</v>
      </c>
      <c r="AM64" s="78">
        <v>7.9458099567926405E-2</v>
      </c>
      <c r="AN64" s="78">
        <v>7.9458099567926405E-2</v>
      </c>
      <c r="AO64" s="78">
        <v>7.9458099567926405E-2</v>
      </c>
      <c r="AP64" s="78">
        <v>7.9464285714285723E-2</v>
      </c>
      <c r="AQ64" s="78">
        <v>8.3964285714285714E-2</v>
      </c>
      <c r="AR64" s="78">
        <v>8.7785714285714286E-2</v>
      </c>
      <c r="AS64" s="78">
        <v>8.7785714285714286E-2</v>
      </c>
      <c r="AT64" s="78">
        <f t="shared" ref="AT64:AT74" si="35">(SUM(AO64:AS64)-MAX(AO64:AS64)-MIN(AO64:AS64))/3</f>
        <v>8.3738095238095236E-2</v>
      </c>
      <c r="AU64" s="78">
        <f t="shared" si="32"/>
        <v>8.5162698412698412E-2</v>
      </c>
      <c r="AV64" s="78">
        <f t="shared" si="32"/>
        <v>8.5637566137566137E-2</v>
      </c>
      <c r="AW64" s="78">
        <f t="shared" si="32"/>
        <v>8.6195326278659612E-2</v>
      </c>
      <c r="AX64" s="78">
        <f t="shared" si="32"/>
        <v>8.5665196942974711E-2</v>
      </c>
      <c r="AY64" s="78">
        <f t="shared" si="33"/>
        <v>8.5488487164413082E-2</v>
      </c>
      <c r="AZ64" s="78">
        <f t="shared" si="34"/>
        <v>8.5597083414984634E-2</v>
      </c>
      <c r="BA64" s="78">
        <f t="shared" si="34"/>
        <v>8.5633282165175142E-2</v>
      </c>
    </row>
    <row r="65" spans="1:53" ht="15.75">
      <c r="A65" s="93" t="s">
        <v>81</v>
      </c>
      <c r="AE65" s="78">
        <v>8.3345068642279294E-2</v>
      </c>
      <c r="AF65" s="78">
        <v>8.3345068642279294E-2</v>
      </c>
      <c r="AG65" s="78">
        <v>8.3345068642279294E-2</v>
      </c>
      <c r="AH65" s="78">
        <v>8.3345068642279294E-2</v>
      </c>
      <c r="AI65" s="78">
        <v>8.3345068642279294E-2</v>
      </c>
      <c r="AJ65" s="78">
        <v>8.3345068642279294E-2</v>
      </c>
      <c r="AK65" s="78">
        <v>8.3345068642279294E-2</v>
      </c>
      <c r="AL65" s="78">
        <v>8.3345068642279294E-2</v>
      </c>
      <c r="AM65" s="78">
        <v>8.3345068642279294E-2</v>
      </c>
      <c r="AN65" s="78">
        <v>8.3345068642279294E-2</v>
      </c>
      <c r="AO65" s="78">
        <v>8.3345068642279294E-2</v>
      </c>
      <c r="AP65" s="78">
        <v>8.3339285714285713E-2</v>
      </c>
      <c r="AQ65" s="78">
        <v>8.3785714285714283E-2</v>
      </c>
      <c r="AR65" s="78">
        <v>8.7589285714285717E-2</v>
      </c>
      <c r="AS65" s="78">
        <v>8.7589285714285717E-2</v>
      </c>
      <c r="AT65" s="78">
        <f t="shared" si="35"/>
        <v>8.4906689547426417E-2</v>
      </c>
      <c r="AU65" s="78">
        <f t="shared" si="32"/>
        <v>8.5427229849142139E-2</v>
      </c>
      <c r="AV65" s="78">
        <f t="shared" si="32"/>
        <v>8.5974401703618086E-2</v>
      </c>
      <c r="AW65" s="78">
        <f t="shared" si="32"/>
        <v>8.6330305755681971E-2</v>
      </c>
      <c r="AX65" s="78">
        <f t="shared" si="32"/>
        <v>8.5910645769480723E-2</v>
      </c>
      <c r="AY65" s="78">
        <f t="shared" si="33"/>
        <v>8.5770759107413649E-2</v>
      </c>
      <c r="AZ65" s="78">
        <f t="shared" si="34"/>
        <v>8.5885268860170824E-2</v>
      </c>
      <c r="BA65" s="78">
        <f t="shared" si="34"/>
        <v>8.5923438777756544E-2</v>
      </c>
    </row>
    <row r="66" spans="1:53" ht="15.75">
      <c r="A66" s="93" t="s">
        <v>82</v>
      </c>
      <c r="AE66" s="78">
        <v>8.2216327615098367E-2</v>
      </c>
      <c r="AF66" s="78">
        <v>8.2216327615098367E-2</v>
      </c>
      <c r="AG66" s="78">
        <v>8.2216327615098367E-2</v>
      </c>
      <c r="AH66" s="78">
        <v>8.2216327615098367E-2</v>
      </c>
      <c r="AI66" s="78">
        <v>8.2216327615098367E-2</v>
      </c>
      <c r="AJ66" s="78">
        <v>8.2216327615098367E-2</v>
      </c>
      <c r="AK66" s="78">
        <v>8.2216327615098367E-2</v>
      </c>
      <c r="AL66" s="78">
        <v>8.2216327615098367E-2</v>
      </c>
      <c r="AM66" s="78">
        <v>8.2216327615098395E-2</v>
      </c>
      <c r="AN66" s="78">
        <v>8.2216327615098395E-2</v>
      </c>
      <c r="AO66" s="78">
        <v>8.2216327615098395E-2</v>
      </c>
      <c r="AP66" s="78">
        <v>8.2214285714285712E-2</v>
      </c>
      <c r="AQ66" s="78">
        <v>8.4160714285714283E-2</v>
      </c>
      <c r="AR66" s="78">
        <v>8.7982142857142856E-2</v>
      </c>
      <c r="AS66" s="78">
        <v>8.7982142857142856E-2</v>
      </c>
      <c r="AT66" s="78">
        <f t="shared" si="35"/>
        <v>8.4786394919318497E-2</v>
      </c>
      <c r="AU66" s="78">
        <f>(SUM(AP66:AT66)-MAX(AP66:AT66)-MIN(AP66:AT66))/3</f>
        <v>8.5643084020725221E-2</v>
      </c>
      <c r="AV66" s="78">
        <f t="shared" si="32"/>
        <v>8.6137207265728863E-2</v>
      </c>
      <c r="AW66" s="78">
        <f t="shared" si="32"/>
        <v>8.6587478047865651E-2</v>
      </c>
      <c r="AX66" s="78">
        <f>(SUM(AS66:AW66)-MAX(AS66:AW66)-MIN(AS66:AW66))/3</f>
        <v>8.6122589778106592E-2</v>
      </c>
      <c r="AY66" s="78">
        <f t="shared" si="33"/>
        <v>8.5967627021520235E-2</v>
      </c>
      <c r="AZ66" s="78">
        <f>(SUM(AU66:AY66)-MAX(AU66:AY66)-MIN(AU66:AY66))/3</f>
        <v>8.6075808021785216E-2</v>
      </c>
      <c r="BA66" s="78">
        <f t="shared" si="34"/>
        <v>8.61118683552069E-2</v>
      </c>
    </row>
    <row r="67" spans="1:53" ht="15.75">
      <c r="A67" s="93" t="s">
        <v>83</v>
      </c>
      <c r="AE67" s="78">
        <v>8.5793891625755139E-2</v>
      </c>
      <c r="AF67" s="78">
        <v>8.5793891625755139E-2</v>
      </c>
      <c r="AG67" s="78">
        <v>8.5793891625755139E-2</v>
      </c>
      <c r="AH67" s="78">
        <v>8.5793891625755139E-2</v>
      </c>
      <c r="AI67" s="78">
        <v>8.5793891625755139E-2</v>
      </c>
      <c r="AJ67" s="78">
        <v>8.5793891625755139E-2</v>
      </c>
      <c r="AK67" s="78">
        <v>8.5793891625755139E-2</v>
      </c>
      <c r="AL67" s="78">
        <v>8.5793891625755139E-2</v>
      </c>
      <c r="AM67" s="78">
        <v>8.5793891625755112E-2</v>
      </c>
      <c r="AN67" s="78">
        <v>8.5793891625755125E-2</v>
      </c>
      <c r="AO67" s="78">
        <v>8.5793891625755125E-2</v>
      </c>
      <c r="AP67" s="78">
        <v>8.5785714285714285E-2</v>
      </c>
      <c r="AQ67" s="78">
        <v>8.4892857142857131E-2</v>
      </c>
      <c r="AR67" s="78">
        <v>8.8749999999999996E-2</v>
      </c>
      <c r="AS67" s="78">
        <v>8.8749999999999996E-2</v>
      </c>
      <c r="AT67" s="78">
        <f t="shared" si="35"/>
        <v>8.6776535303823163E-2</v>
      </c>
      <c r="AU67" s="78">
        <f t="shared" si="32"/>
        <v>8.7104083196512486E-2</v>
      </c>
      <c r="AV67" s="78">
        <f t="shared" si="32"/>
        <v>8.7543539500111886E-2</v>
      </c>
      <c r="AW67" s="78">
        <f t="shared" si="32"/>
        <v>8.7799207565541451E-2</v>
      </c>
      <c r="AX67" s="78">
        <f t="shared" si="32"/>
        <v>8.7482276754055274E-2</v>
      </c>
      <c r="AY67" s="78">
        <f t="shared" si="33"/>
        <v>8.7376633150226549E-2</v>
      </c>
      <c r="AZ67" s="78">
        <f t="shared" si="34"/>
        <v>8.7467483134797908E-2</v>
      </c>
      <c r="BA67" s="78">
        <f t="shared" si="34"/>
        <v>8.7497766462988361E-2</v>
      </c>
    </row>
    <row r="68" spans="1:53" ht="15.75">
      <c r="A68" s="93" t="s">
        <v>84</v>
      </c>
      <c r="AE68" s="78">
        <v>8.6444659299435914E-2</v>
      </c>
      <c r="AF68" s="78">
        <v>8.6444659299435914E-2</v>
      </c>
      <c r="AG68" s="78">
        <v>8.6444659299435914E-2</v>
      </c>
      <c r="AH68" s="78">
        <v>8.6444659299435914E-2</v>
      </c>
      <c r="AI68" s="78">
        <v>8.6444659299435914E-2</v>
      </c>
      <c r="AJ68" s="78">
        <v>8.6444659299435914E-2</v>
      </c>
      <c r="AK68" s="78">
        <v>8.6444659299435914E-2</v>
      </c>
      <c r="AL68" s="78">
        <v>8.64446592994359E-2</v>
      </c>
      <c r="AM68" s="78">
        <v>8.64446592994359E-2</v>
      </c>
      <c r="AN68" s="78">
        <v>8.64446592994359E-2</v>
      </c>
      <c r="AO68" s="78">
        <v>8.64446592994359E-2</v>
      </c>
      <c r="AP68" s="78">
        <v>8.6446428571428577E-2</v>
      </c>
      <c r="AQ68" s="78">
        <v>8.2517857142857157E-2</v>
      </c>
      <c r="AR68" s="78">
        <v>8.6267857142857146E-2</v>
      </c>
      <c r="AS68" s="78">
        <v>8.6267857142857146E-2</v>
      </c>
      <c r="AT68" s="78">
        <f t="shared" si="35"/>
        <v>8.6326791195050059E-2</v>
      </c>
      <c r="AU68" s="78">
        <f t="shared" si="32"/>
        <v>8.6287501826921451E-2</v>
      </c>
      <c r="AV68" s="78">
        <f t="shared" si="32"/>
        <v>8.627440537087859E-2</v>
      </c>
      <c r="AW68" s="78">
        <f t="shared" si="32"/>
        <v>8.6276588113552391E-2</v>
      </c>
      <c r="AX68" s="78">
        <f t="shared" si="32"/>
        <v>8.6279498437117505E-2</v>
      </c>
      <c r="AY68" s="78">
        <f t="shared" si="33"/>
        <v>8.6281196125863782E-2</v>
      </c>
      <c r="AZ68" s="78">
        <f t="shared" si="34"/>
        <v>8.6279094225511221E-2</v>
      </c>
      <c r="BA68" s="78">
        <f t="shared" si="34"/>
        <v>8.6278393592060368E-2</v>
      </c>
    </row>
    <row r="69" spans="1:53" ht="15.75">
      <c r="A69" s="93" t="s">
        <v>73</v>
      </c>
      <c r="AE69" s="78">
        <v>8.4885887310332725E-2</v>
      </c>
      <c r="AF69" s="78">
        <v>8.4885887310332725E-2</v>
      </c>
      <c r="AG69" s="78">
        <v>8.4885887310332725E-2</v>
      </c>
      <c r="AH69" s="78">
        <v>8.4885887310332725E-2</v>
      </c>
      <c r="AI69" s="78">
        <v>8.4885887310332725E-2</v>
      </c>
      <c r="AJ69" s="78">
        <v>8.4885887310332725E-2</v>
      </c>
      <c r="AK69" s="78">
        <v>8.4885887310332725E-2</v>
      </c>
      <c r="AL69" s="78">
        <v>8.4885887310332725E-2</v>
      </c>
      <c r="AM69" s="78">
        <v>9.4885887310332706E-2</v>
      </c>
      <c r="AN69" s="78">
        <v>9.4885887310332706E-2</v>
      </c>
      <c r="AO69" s="78">
        <v>9.4885887310332706E-2</v>
      </c>
      <c r="AP69" s="78">
        <v>9.489285714285714E-2</v>
      </c>
      <c r="AQ69" s="78">
        <v>8.1982142857142865E-2</v>
      </c>
      <c r="AR69" s="78">
        <v>8.5696428571428576E-2</v>
      </c>
      <c r="AS69" s="78">
        <v>8.5696428571428576E-2</v>
      </c>
      <c r="AT69" s="78">
        <f t="shared" si="35"/>
        <v>8.8759581484396596E-2</v>
      </c>
      <c r="AU69" s="78">
        <f t="shared" si="32"/>
        <v>8.6717479542417888E-2</v>
      </c>
      <c r="AV69" s="78">
        <f t="shared" si="32"/>
        <v>8.603677889509169E-2</v>
      </c>
      <c r="AW69" s="78">
        <f t="shared" si="32"/>
        <v>8.6150229002979375E-2</v>
      </c>
      <c r="AX69" s="78">
        <f t="shared" si="32"/>
        <v>8.6301495813496318E-2</v>
      </c>
      <c r="AY69" s="78">
        <f t="shared" si="33"/>
        <v>8.6389734786297856E-2</v>
      </c>
      <c r="AZ69" s="78">
        <f t="shared" si="34"/>
        <v>8.628048653425785E-2</v>
      </c>
      <c r="BA69" s="78">
        <f t="shared" si="34"/>
        <v>8.6244070450244514E-2</v>
      </c>
    </row>
    <row r="70" spans="1:53" ht="15.75">
      <c r="A70" s="93" t="s">
        <v>74</v>
      </c>
      <c r="AE70" s="78">
        <v>8.9194050498365929E-2</v>
      </c>
      <c r="AF70" s="78">
        <v>8.9194050498365929E-2</v>
      </c>
      <c r="AG70" s="78">
        <v>8.9194050498365929E-2</v>
      </c>
      <c r="AH70" s="78">
        <v>8.9194050498365929E-2</v>
      </c>
      <c r="AI70" s="78">
        <v>8.9194050498365929E-2</v>
      </c>
      <c r="AJ70" s="78">
        <v>8.9194050498365929E-2</v>
      </c>
      <c r="AK70" s="78">
        <v>8.9194050498365929E-2</v>
      </c>
      <c r="AL70" s="78">
        <v>8.9194050498365929E-2</v>
      </c>
      <c r="AM70" s="78">
        <v>9.9194050498365896E-2</v>
      </c>
      <c r="AN70" s="78">
        <v>9.9194050498365896E-2</v>
      </c>
      <c r="AO70" s="78">
        <v>9.9194050498365896E-2</v>
      </c>
      <c r="AP70" s="78">
        <v>9.919642857142856E-2</v>
      </c>
      <c r="AQ70" s="78">
        <v>8.1232142857142864E-2</v>
      </c>
      <c r="AR70" s="78">
        <v>8.4928571428571437E-2</v>
      </c>
      <c r="AS70" s="78">
        <v>8.4928571428571437E-2</v>
      </c>
      <c r="AT70" s="78">
        <f t="shared" si="35"/>
        <v>8.9683731118502932E-2</v>
      </c>
      <c r="AU70" s="78">
        <f t="shared" si="32"/>
        <v>8.6513624658548602E-2</v>
      </c>
      <c r="AV70" s="78">
        <f t="shared" si="32"/>
        <v>8.5456922505230501E-2</v>
      </c>
      <c r="AW70" s="78">
        <f t="shared" si="32"/>
        <v>8.5633039530783536E-2</v>
      </c>
      <c r="AX70" s="78">
        <f t="shared" si="32"/>
        <v>8.5867862231520917E-2</v>
      </c>
      <c r="AY70" s="78">
        <f t="shared" si="33"/>
        <v>8.6004842140284365E-2</v>
      </c>
      <c r="AZ70" s="78">
        <f t="shared" si="34"/>
        <v>8.5835247967529602E-2</v>
      </c>
      <c r="BA70" s="78">
        <f t="shared" si="34"/>
        <v>8.5778716576611347E-2</v>
      </c>
    </row>
    <row r="71" spans="1:53" ht="15.75">
      <c r="A71" s="93" t="s">
        <v>75</v>
      </c>
      <c r="AE71" s="78">
        <v>8.4427936596476183E-2</v>
      </c>
      <c r="AF71" s="78">
        <v>8.4427936596476183E-2</v>
      </c>
      <c r="AG71" s="78">
        <v>8.4427936596476183E-2</v>
      </c>
      <c r="AH71" s="78">
        <v>8.4427936596476183E-2</v>
      </c>
      <c r="AI71" s="78">
        <v>8.4427936596476183E-2</v>
      </c>
      <c r="AJ71" s="78">
        <v>8.4427936596476183E-2</v>
      </c>
      <c r="AK71" s="78">
        <v>8.4427936596476183E-2</v>
      </c>
      <c r="AL71" s="78">
        <v>8.4427936596476183E-2</v>
      </c>
      <c r="AM71" s="78">
        <v>9.4427936596476192E-2</v>
      </c>
      <c r="AN71" s="78">
        <v>9.4427936596476206E-2</v>
      </c>
      <c r="AO71" s="78">
        <v>9.4427936596476206E-2</v>
      </c>
      <c r="AP71" s="78">
        <v>9.4428571428571431E-2</v>
      </c>
      <c r="AQ71" s="78">
        <v>8.142857142857142E-2</v>
      </c>
      <c r="AR71" s="78">
        <v>8.5125000000000006E-2</v>
      </c>
      <c r="AS71" s="78">
        <v>8.5125000000000006E-2</v>
      </c>
      <c r="AT71" s="78">
        <f t="shared" si="35"/>
        <v>8.8225978865492091E-2</v>
      </c>
      <c r="AU71" s="78">
        <f t="shared" si="32"/>
        <v>8.615865962183071E-2</v>
      </c>
      <c r="AV71" s="78">
        <f t="shared" si="32"/>
        <v>8.5469553207276908E-2</v>
      </c>
      <c r="AW71" s="78">
        <f t="shared" si="32"/>
        <v>8.5584404276369208E-2</v>
      </c>
      <c r="AX71" s="78">
        <f t="shared" si="32"/>
        <v>8.5737539035158947E-2</v>
      </c>
      <c r="AY71" s="78">
        <f t="shared" si="33"/>
        <v>8.5826867644452964E-2</v>
      </c>
      <c r="AZ71" s="78">
        <f t="shared" si="34"/>
        <v>8.5716270318660373E-2</v>
      </c>
      <c r="BA71" s="78">
        <f t="shared" si="34"/>
        <v>8.5679404543396176E-2</v>
      </c>
    </row>
    <row r="72" spans="1:53" ht="15.75">
      <c r="A72" s="93" t="s">
        <v>76</v>
      </c>
      <c r="AE72" s="78">
        <v>8.7738656880967617E-2</v>
      </c>
      <c r="AF72" s="78">
        <v>8.7738656880967617E-2</v>
      </c>
      <c r="AG72" s="78">
        <v>8.7738656880967617E-2</v>
      </c>
      <c r="AH72" s="78">
        <v>8.7738656880967617E-2</v>
      </c>
      <c r="AI72" s="78">
        <v>8.7738656880967617E-2</v>
      </c>
      <c r="AJ72" s="78">
        <v>8.7738656880967617E-2</v>
      </c>
      <c r="AK72" s="78">
        <v>8.7738656880967617E-2</v>
      </c>
      <c r="AL72" s="78">
        <v>8.7738656880967617E-2</v>
      </c>
      <c r="AM72" s="78">
        <v>8.7738656880967714E-2</v>
      </c>
      <c r="AN72" s="78">
        <v>8.7738656880967714E-2</v>
      </c>
      <c r="AO72" s="78">
        <v>8.7738656880967714E-2</v>
      </c>
      <c r="AP72" s="78">
        <v>8.7732142857142856E-2</v>
      </c>
      <c r="AQ72" s="78">
        <v>8.3053571428571421E-2</v>
      </c>
      <c r="AR72" s="78">
        <v>8.6839285714285716E-2</v>
      </c>
      <c r="AS72" s="78">
        <v>8.6839285714285716E-2</v>
      </c>
      <c r="AT72" s="78">
        <f t="shared" si="35"/>
        <v>8.713690476190479E-2</v>
      </c>
      <c r="AU72" s="78">
        <f t="shared" si="32"/>
        <v>8.6938492063492065E-2</v>
      </c>
      <c r="AV72" s="78">
        <f t="shared" si="32"/>
        <v>8.687235449735449E-2</v>
      </c>
      <c r="AW72" s="78">
        <f t="shared" si="32"/>
        <v>8.6883377425044095E-2</v>
      </c>
      <c r="AX72" s="78">
        <f t="shared" si="32"/>
        <v>8.6898074661963545E-2</v>
      </c>
      <c r="AY72" s="78">
        <f t="shared" si="33"/>
        <v>8.6906648050166568E-2</v>
      </c>
      <c r="AZ72" s="78">
        <f t="shared" si="34"/>
        <v>8.689603337905806E-2</v>
      </c>
      <c r="BA72" s="78">
        <f t="shared" si="34"/>
        <v>8.6892495155355229E-2</v>
      </c>
    </row>
    <row r="73" spans="1:53" ht="15.75">
      <c r="A73" s="93" t="s">
        <v>77</v>
      </c>
      <c r="AE73" s="78">
        <v>8.1546134029283512E-2</v>
      </c>
      <c r="AF73" s="78">
        <v>8.1546134029283512E-2</v>
      </c>
      <c r="AG73" s="78">
        <v>8.1546134029283512E-2</v>
      </c>
      <c r="AH73" s="78">
        <v>8.1546134029283512E-2</v>
      </c>
      <c r="AI73" s="78">
        <v>8.1546134029283512E-2</v>
      </c>
      <c r="AJ73" s="78">
        <v>8.1546134029283512E-2</v>
      </c>
      <c r="AK73" s="78">
        <v>8.1546134029283512E-2</v>
      </c>
      <c r="AL73" s="78">
        <v>9.1546134029283466E-2</v>
      </c>
      <c r="AM73" s="78">
        <v>7.1546134029283504E-2</v>
      </c>
      <c r="AN73" s="78">
        <v>7.1546134029283504E-2</v>
      </c>
      <c r="AO73" s="78">
        <v>7.1546134029283504E-2</v>
      </c>
      <c r="AP73" s="78">
        <v>7.1553571428571425E-2</v>
      </c>
      <c r="AQ73" s="78">
        <v>7.5928571428571429E-2</v>
      </c>
      <c r="AR73" s="78">
        <v>7.939285714285714E-2</v>
      </c>
      <c r="AS73" s="78">
        <v>7.939285714285714E-2</v>
      </c>
      <c r="AT73" s="78">
        <f t="shared" si="35"/>
        <v>7.5624999999999998E-2</v>
      </c>
      <c r="AU73" s="78">
        <f t="shared" si="32"/>
        <v>7.6982142857142846E-2</v>
      </c>
      <c r="AV73" s="78">
        <f t="shared" si="32"/>
        <v>7.74345238095238E-2</v>
      </c>
      <c r="AW73" s="78">
        <f t="shared" si="32"/>
        <v>7.7936507936507929E-2</v>
      </c>
      <c r="AX73" s="78">
        <f t="shared" si="32"/>
        <v>7.7451058201058187E-2</v>
      </c>
      <c r="AY73" s="78">
        <f t="shared" si="33"/>
        <v>7.7289241622574945E-2</v>
      </c>
      <c r="AZ73" s="78">
        <f t="shared" si="34"/>
        <v>7.7391607877718982E-2</v>
      </c>
      <c r="BA73" s="78">
        <f t="shared" si="34"/>
        <v>7.742572996276699E-2</v>
      </c>
    </row>
    <row r="74" spans="1:53" ht="16.5" thickBot="1">
      <c r="A74" s="93" t="s">
        <v>78</v>
      </c>
      <c r="AE74" s="78">
        <v>7.5534597564634931E-2</v>
      </c>
      <c r="AF74" s="78">
        <v>7.5534597564634931E-2</v>
      </c>
      <c r="AG74" s="78">
        <v>7.5534597564634931E-2</v>
      </c>
      <c r="AH74" s="78">
        <v>7.5534597564634931E-2</v>
      </c>
      <c r="AI74" s="78">
        <v>7.5534597564634931E-2</v>
      </c>
      <c r="AJ74" s="78">
        <v>7.5534597564634931E-2</v>
      </c>
      <c r="AK74" s="78">
        <v>7.5534597564634931E-2</v>
      </c>
      <c r="AL74" s="78">
        <v>6.5534597564634894E-2</v>
      </c>
      <c r="AM74" s="78">
        <v>6.5534597564634894E-2</v>
      </c>
      <c r="AN74" s="78">
        <v>6.5534597564634894E-2</v>
      </c>
      <c r="AO74" s="78">
        <v>6.553571428571428E-2</v>
      </c>
      <c r="AP74" s="78">
        <v>7.6267857142857137E-2</v>
      </c>
      <c r="AQ74" s="78">
        <v>7.9732142857142849E-2</v>
      </c>
      <c r="AR74" s="78">
        <v>7.9732142857142849E-2</v>
      </c>
      <c r="AS74" s="78">
        <v>7.9732142857142849E-2</v>
      </c>
      <c r="AT74" s="78">
        <f t="shared" si="35"/>
        <v>7.8577380952380954E-2</v>
      </c>
      <c r="AU74" s="78">
        <f t="shared" si="32"/>
        <v>7.9347222222222208E-2</v>
      </c>
      <c r="AV74" s="78">
        <f t="shared" si="32"/>
        <v>7.9603835978835982E-2</v>
      </c>
      <c r="AW74" s="78">
        <f t="shared" si="32"/>
        <v>7.9561067019400328E-2</v>
      </c>
      <c r="AX74" s="78">
        <f t="shared" si="32"/>
        <v>7.9504041740152825E-2</v>
      </c>
      <c r="AY74" s="78">
        <f t="shared" si="33"/>
        <v>7.9470776993925116E-2</v>
      </c>
      <c r="AZ74" s="78">
        <f t="shared" si="34"/>
        <v>7.9511961917826099E-2</v>
      </c>
      <c r="BA74" s="78">
        <f t="shared" si="34"/>
        <v>7.9525690225793089E-2</v>
      </c>
    </row>
    <row r="75" spans="1:53" ht="15.75">
      <c r="A75" s="9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  <c r="AY75" s="138"/>
      <c r="AZ75" s="138"/>
      <c r="BA75" s="138"/>
    </row>
    <row r="76" spans="1:53" ht="16.5" thickBot="1">
      <c r="A76" s="93" t="s">
        <v>167</v>
      </c>
    </row>
    <row r="77" spans="1:53" ht="13.5" thickBot="1">
      <c r="A77" s="95"/>
      <c r="B77" s="95" t="str">
        <f t="shared" ref="B77:BA77" si="36">B2</f>
        <v>74/75</v>
      </c>
      <c r="C77" s="95" t="str">
        <f t="shared" si="36"/>
        <v xml:space="preserve">75/76 </v>
      </c>
      <c r="D77" s="95" t="str">
        <f t="shared" si="36"/>
        <v xml:space="preserve">76/77 </v>
      </c>
      <c r="E77" s="95" t="str">
        <f t="shared" si="36"/>
        <v xml:space="preserve">77/78 </v>
      </c>
      <c r="F77" s="95" t="str">
        <f t="shared" si="36"/>
        <v xml:space="preserve">78/79 </v>
      </c>
      <c r="G77" s="95" t="str">
        <f t="shared" si="36"/>
        <v xml:space="preserve">79/80 </v>
      </c>
      <c r="H77" s="95" t="str">
        <f t="shared" si="36"/>
        <v xml:space="preserve">80/81 </v>
      </c>
      <c r="I77" s="95" t="str">
        <f t="shared" si="36"/>
        <v xml:space="preserve">81/82 </v>
      </c>
      <c r="J77" s="95" t="str">
        <f t="shared" si="36"/>
        <v xml:space="preserve">82/83 </v>
      </c>
      <c r="K77" s="95" t="str">
        <f t="shared" si="36"/>
        <v xml:space="preserve">83/84 </v>
      </c>
      <c r="L77" s="95" t="str">
        <f t="shared" si="36"/>
        <v xml:space="preserve">84/85 </v>
      </c>
      <c r="M77" s="95" t="str">
        <f t="shared" si="36"/>
        <v xml:space="preserve">85/86 </v>
      </c>
      <c r="N77" s="95" t="str">
        <f t="shared" si="36"/>
        <v xml:space="preserve">86/87 </v>
      </c>
      <c r="O77" s="95" t="str">
        <f t="shared" si="36"/>
        <v xml:space="preserve">87/88 </v>
      </c>
      <c r="P77" s="95" t="str">
        <f t="shared" si="36"/>
        <v xml:space="preserve">88/89 </v>
      </c>
      <c r="Q77" s="95" t="str">
        <f t="shared" si="36"/>
        <v xml:space="preserve">89/90 </v>
      </c>
      <c r="R77" s="95" t="str">
        <f t="shared" si="36"/>
        <v xml:space="preserve">90/91 </v>
      </c>
      <c r="S77" s="95" t="str">
        <f t="shared" si="36"/>
        <v xml:space="preserve">91/92 </v>
      </c>
      <c r="T77" s="95" t="str">
        <f t="shared" si="36"/>
        <v xml:space="preserve">92/93 </v>
      </c>
      <c r="U77" s="95" t="str">
        <f t="shared" si="36"/>
        <v xml:space="preserve">93/94 </v>
      </c>
      <c r="V77" s="95" t="str">
        <f t="shared" si="36"/>
        <v xml:space="preserve">94/95 </v>
      </c>
      <c r="W77" s="95" t="str">
        <f t="shared" si="36"/>
        <v xml:space="preserve">95/96 </v>
      </c>
      <c r="X77" s="95" t="str">
        <f t="shared" si="36"/>
        <v xml:space="preserve">96/97 </v>
      </c>
      <c r="Y77" s="95" t="str">
        <f t="shared" si="36"/>
        <v xml:space="preserve">97/98 </v>
      </c>
      <c r="Z77" s="95" t="str">
        <f t="shared" si="36"/>
        <v xml:space="preserve">98/99 </v>
      </c>
      <c r="AA77" s="95" t="str">
        <f t="shared" si="36"/>
        <v xml:space="preserve">99/00 </v>
      </c>
      <c r="AB77" s="95" t="str">
        <f t="shared" si="36"/>
        <v xml:space="preserve">00/01 </v>
      </c>
      <c r="AC77" s="95" t="str">
        <f t="shared" si="36"/>
        <v xml:space="preserve">01/02 </v>
      </c>
      <c r="AD77" s="95" t="str">
        <f t="shared" si="36"/>
        <v xml:space="preserve">02/03 </v>
      </c>
      <c r="AE77" s="95" t="str">
        <f t="shared" si="36"/>
        <v xml:space="preserve">03/04 </v>
      </c>
      <c r="AF77" s="95" t="str">
        <f t="shared" si="36"/>
        <v xml:space="preserve">04/05 </v>
      </c>
      <c r="AG77" s="95" t="str">
        <f t="shared" si="36"/>
        <v xml:space="preserve">05/06 </v>
      </c>
      <c r="AH77" s="95" t="str">
        <f t="shared" si="36"/>
        <v xml:space="preserve">06/07 </v>
      </c>
      <c r="AI77" s="95" t="str">
        <f t="shared" si="36"/>
        <v xml:space="preserve">07/08 </v>
      </c>
      <c r="AJ77" s="95" t="str">
        <f t="shared" si="36"/>
        <v xml:space="preserve">08/09 </v>
      </c>
      <c r="AK77" s="95" t="str">
        <f t="shared" si="36"/>
        <v xml:space="preserve">09/10 </v>
      </c>
      <c r="AL77" s="95" t="str">
        <f t="shared" si="36"/>
        <v xml:space="preserve">10/11 </v>
      </c>
      <c r="AM77" s="95" t="str">
        <f t="shared" si="36"/>
        <v xml:space="preserve">11/12 </v>
      </c>
      <c r="AN77" s="95" t="str">
        <f t="shared" si="36"/>
        <v xml:space="preserve">12/13 </v>
      </c>
      <c r="AO77" s="95" t="str">
        <f t="shared" si="36"/>
        <v xml:space="preserve">13/14 </v>
      </c>
      <c r="AP77" s="95" t="str">
        <f t="shared" si="36"/>
        <v xml:space="preserve">14/15 </v>
      </c>
      <c r="AQ77" s="95" t="str">
        <f t="shared" si="36"/>
        <v xml:space="preserve">15/16 </v>
      </c>
      <c r="AR77" s="95" t="str">
        <f t="shared" si="36"/>
        <v xml:space="preserve">16/17 </v>
      </c>
      <c r="AS77" s="95" t="str">
        <f t="shared" si="36"/>
        <v xml:space="preserve">17/18 </v>
      </c>
      <c r="AT77" s="95" t="str">
        <f t="shared" si="36"/>
        <v xml:space="preserve">18/19 </v>
      </c>
      <c r="AU77" s="95" t="str">
        <f t="shared" si="36"/>
        <v>19/20</v>
      </c>
      <c r="AV77" s="95" t="str">
        <f t="shared" si="36"/>
        <v>20/21</v>
      </c>
      <c r="AW77" s="95" t="str">
        <f t="shared" si="36"/>
        <v>21/22</v>
      </c>
      <c r="AX77" s="95" t="str">
        <f t="shared" si="36"/>
        <v>22/23</v>
      </c>
      <c r="AY77" s="95" t="str">
        <f t="shared" si="36"/>
        <v>23/24</v>
      </c>
      <c r="AZ77" s="95" t="str">
        <f t="shared" si="36"/>
        <v>24/25</v>
      </c>
      <c r="BA77" s="95" t="str">
        <f t="shared" si="36"/>
        <v>25/26</v>
      </c>
    </row>
    <row r="78" spans="1:53" ht="15.75">
      <c r="A78" s="93" t="s">
        <v>79</v>
      </c>
      <c r="AE78" s="32">
        <f>AE63*AE$12</f>
        <v>3.2418814202232333</v>
      </c>
      <c r="AF78" s="32">
        <f t="shared" ref="AF78:BA89" si="37">AF63*AF$12</f>
        <v>3.1181527098576374</v>
      </c>
      <c r="AG78" s="32">
        <f t="shared" si="37"/>
        <v>3.5484794725413993</v>
      </c>
      <c r="AH78" s="32">
        <f t="shared" si="37"/>
        <v>4.1703092474479524</v>
      </c>
      <c r="AI78" s="32">
        <f t="shared" si="37"/>
        <v>4.111690509352413</v>
      </c>
      <c r="AJ78" s="32">
        <f t="shared" si="37"/>
        <v>4.1690209646313034</v>
      </c>
      <c r="AK78" s="32">
        <f t="shared" si="37"/>
        <v>3.8430770297985188</v>
      </c>
      <c r="AL78" s="32">
        <f t="shared" si="37"/>
        <v>3.9716389055136485</v>
      </c>
      <c r="AM78" s="32">
        <f t="shared" si="37"/>
        <v>3.5735060738715565</v>
      </c>
      <c r="AN78" s="32">
        <f t="shared" si="37"/>
        <v>3.6447133568321459</v>
      </c>
      <c r="AO78" s="32">
        <f t="shared" si="37"/>
        <v>3.8214052223432455</v>
      </c>
      <c r="AP78" s="32">
        <f t="shared" si="37"/>
        <v>3.3775024180817677</v>
      </c>
      <c r="AQ78" s="32">
        <f t="shared" si="37"/>
        <v>5.5232481374505005</v>
      </c>
      <c r="AR78" s="32">
        <f t="shared" si="37"/>
        <v>4.8938400782001779</v>
      </c>
      <c r="AS78" s="32">
        <f t="shared" si="37"/>
        <v>5.0976722803797321</v>
      </c>
      <c r="AT78" s="32">
        <f t="shared" si="37"/>
        <v>5.0477488174166067</v>
      </c>
      <c r="AU78" s="32">
        <f t="shared" si="37"/>
        <v>5.5669622298325248</v>
      </c>
      <c r="AV78" s="32">
        <f t="shared" si="37"/>
        <v>5.9756361176255721</v>
      </c>
      <c r="AW78" s="108">
        <f t="shared" si="37"/>
        <v>6.1836730857134663</v>
      </c>
      <c r="AX78" s="108">
        <f t="shared" si="37"/>
        <v>6.7196088644008611</v>
      </c>
      <c r="AY78" s="108">
        <f t="shared" si="37"/>
        <v>7.0487923005470279</v>
      </c>
      <c r="AZ78" s="108">
        <f t="shared" si="37"/>
        <v>7.584547052138344</v>
      </c>
      <c r="BA78" s="108">
        <f t="shared" si="37"/>
        <v>7.7279237273991468</v>
      </c>
    </row>
    <row r="79" spans="1:53" ht="15.75">
      <c r="A79" s="93" t="s">
        <v>80</v>
      </c>
      <c r="AE79" s="32">
        <f t="shared" ref="AE79:AT89" si="38">AE64*AE$12</f>
        <v>3.2436534786846121</v>
      </c>
      <c r="AF79" s="32">
        <f t="shared" si="38"/>
        <v>3.1198571364473655</v>
      </c>
      <c r="AG79" s="32">
        <f t="shared" si="38"/>
        <v>3.5504191218558745</v>
      </c>
      <c r="AH79" s="32">
        <f t="shared" si="38"/>
        <v>4.172588797755501</v>
      </c>
      <c r="AI79" s="32">
        <f t="shared" si="38"/>
        <v>4.1139380178245659</v>
      </c>
      <c r="AJ79" s="32">
        <f t="shared" si="38"/>
        <v>4.171299810745154</v>
      </c>
      <c r="AK79" s="32">
        <f t="shared" si="38"/>
        <v>3.8451777103249261</v>
      </c>
      <c r="AL79" s="32">
        <f t="shared" si="38"/>
        <v>3.9738098597885805</v>
      </c>
      <c r="AM79" s="32">
        <f t="shared" si="38"/>
        <v>4.0905462505565913</v>
      </c>
      <c r="AN79" s="32">
        <f t="shared" si="38"/>
        <v>4.1720563077120811</v>
      </c>
      <c r="AO79" s="32">
        <f t="shared" si="38"/>
        <v>4.3743132041687396</v>
      </c>
      <c r="AP79" s="32">
        <f t="shared" si="38"/>
        <v>3.8667058812616073</v>
      </c>
      <c r="AQ79" s="32">
        <f t="shared" si="38"/>
        <v>5.5922292726727498</v>
      </c>
      <c r="AR79" s="32">
        <f t="shared" si="38"/>
        <v>4.9553280791827135</v>
      </c>
      <c r="AS79" s="32">
        <f t="shared" si="38"/>
        <v>5.1617213038819285</v>
      </c>
      <c r="AT79" s="32">
        <f t="shared" si="38"/>
        <v>5.3048370823799287</v>
      </c>
      <c r="AU79" s="32">
        <f t="shared" ref="AU79:AV79" si="39">AU64*AU$12</f>
        <v>5.7050326514903764</v>
      </c>
      <c r="AV79" s="32">
        <f t="shared" si="39"/>
        <v>6.0746142421282041</v>
      </c>
      <c r="AW79" s="108">
        <f t="shared" si="37"/>
        <v>6.2943215564542472</v>
      </c>
      <c r="AX79" s="108">
        <f t="shared" si="37"/>
        <v>6.8521660857307412</v>
      </c>
      <c r="AY79" s="108">
        <f t="shared" si="37"/>
        <v>7.1921968342834139</v>
      </c>
      <c r="AZ79" s="108">
        <f t="shared" si="37"/>
        <v>7.7277046907048108</v>
      </c>
      <c r="BA79" s="108">
        <f t="shared" si="37"/>
        <v>7.8700154741236084</v>
      </c>
    </row>
    <row r="80" spans="1:53" ht="15.75">
      <c r="A80" s="93" t="s">
        <v>81</v>
      </c>
      <c r="AE80" s="32">
        <f t="shared" si="38"/>
        <v>3.4023280609880304</v>
      </c>
      <c r="AF80" s="32">
        <f t="shared" si="37"/>
        <v>3.2724757904513306</v>
      </c>
      <c r="AG80" s="32">
        <f t="shared" si="37"/>
        <v>3.7241002116716118</v>
      </c>
      <c r="AH80" s="32">
        <f t="shared" si="37"/>
        <v>4.3767054794413234</v>
      </c>
      <c r="AI80" s="32">
        <f t="shared" si="37"/>
        <v>4.3151855927859906</v>
      </c>
      <c r="AJ80" s="32">
        <f t="shared" si="37"/>
        <v>4.3753534371518583</v>
      </c>
      <c r="AK80" s="32">
        <f t="shared" si="37"/>
        <v>4.0332779408451254</v>
      </c>
      <c r="AL80" s="32">
        <f t="shared" si="37"/>
        <v>4.1682025789241832</v>
      </c>
      <c r="AM80" s="32">
        <f t="shared" si="37"/>
        <v>4.2906495359306813</v>
      </c>
      <c r="AN80" s="32">
        <f t="shared" si="37"/>
        <v>4.3761469407969136</v>
      </c>
      <c r="AO80" s="32">
        <f t="shared" si="37"/>
        <v>4.5882979362299707</v>
      </c>
      <c r="AP80" s="32">
        <f t="shared" si="37"/>
        <v>4.0552621006399816</v>
      </c>
      <c r="AQ80" s="32">
        <f t="shared" si="37"/>
        <v>5.5803359734964992</v>
      </c>
      <c r="AR80" s="32">
        <f t="shared" si="37"/>
        <v>4.9442400790055352</v>
      </c>
      <c r="AS80" s="32">
        <f t="shared" si="37"/>
        <v>5.1501714799716964</v>
      </c>
      <c r="AT80" s="32">
        <f t="shared" si="37"/>
        <v>5.3788679330790261</v>
      </c>
      <c r="AU80" s="32">
        <f t="shared" ref="AU80:AV80" si="40">AU65*AU$12</f>
        <v>5.7227535611184823</v>
      </c>
      <c r="AV80" s="32">
        <f t="shared" si="40"/>
        <v>6.0985073327317787</v>
      </c>
      <c r="AW80" s="108">
        <f t="shared" si="37"/>
        <v>6.3041782884672344</v>
      </c>
      <c r="AX80" s="108">
        <f t="shared" si="37"/>
        <v>6.8717989843264968</v>
      </c>
      <c r="AY80" s="108">
        <f t="shared" si="37"/>
        <v>7.2159445392925257</v>
      </c>
      <c r="AZ80" s="108">
        <f t="shared" si="37"/>
        <v>7.7537220726962195</v>
      </c>
      <c r="BA80" s="108">
        <f t="shared" si="37"/>
        <v>7.8966819403993052</v>
      </c>
    </row>
    <row r="81" spans="1:53" ht="15.75">
      <c r="A81" s="93" t="s">
        <v>82</v>
      </c>
      <c r="AE81" s="32">
        <f t="shared" si="38"/>
        <v>3.3562503825731373</v>
      </c>
      <c r="AF81" s="32">
        <f t="shared" si="37"/>
        <v>3.2281566994083728</v>
      </c>
      <c r="AG81" s="32">
        <f t="shared" si="37"/>
        <v>3.6736647777974287</v>
      </c>
      <c r="AH81" s="32">
        <f t="shared" si="37"/>
        <v>4.3174318221151005</v>
      </c>
      <c r="AI81" s="32">
        <f t="shared" si="37"/>
        <v>4.2567450983713426</v>
      </c>
      <c r="AJ81" s="32">
        <f t="shared" si="37"/>
        <v>4.3160980905142878</v>
      </c>
      <c r="AK81" s="32">
        <f t="shared" si="37"/>
        <v>3.9786553175751713</v>
      </c>
      <c r="AL81" s="32">
        <f t="shared" si="37"/>
        <v>4.1117526732839789</v>
      </c>
      <c r="AM81" s="32">
        <f t="shared" si="37"/>
        <v>4.2325413329697339</v>
      </c>
      <c r="AN81" s="32">
        <f t="shared" si="37"/>
        <v>4.3168808477512606</v>
      </c>
      <c r="AO81" s="32">
        <f t="shared" si="37"/>
        <v>4.5261586854030176</v>
      </c>
      <c r="AP81" s="32">
        <f t="shared" si="37"/>
        <v>4.0005199724333567</v>
      </c>
      <c r="AQ81" s="32">
        <f t="shared" si="37"/>
        <v>5.6053119017666244</v>
      </c>
      <c r="AR81" s="32">
        <f t="shared" si="37"/>
        <v>4.9664160793598917</v>
      </c>
      <c r="AS81" s="32">
        <f t="shared" si="37"/>
        <v>5.1732711277921597</v>
      </c>
      <c r="AT81" s="32">
        <f t="shared" si="37"/>
        <v>5.371247227088717</v>
      </c>
      <c r="AU81" s="32">
        <f t="shared" ref="AU81:AV81" si="41">AU66*AU$12</f>
        <v>5.7372135902133126</v>
      </c>
      <c r="AV81" s="32">
        <f t="shared" si="41"/>
        <v>6.1100557808124627</v>
      </c>
      <c r="AW81" s="108">
        <f t="shared" si="37"/>
        <v>6.3229580201800815</v>
      </c>
      <c r="AX81" s="108">
        <f t="shared" si="37"/>
        <v>6.8887519080318702</v>
      </c>
      <c r="AY81" s="108">
        <f>AY66*AY$12</f>
        <v>7.2325071529914471</v>
      </c>
      <c r="AZ81" s="108">
        <f t="shared" si="37"/>
        <v>7.7709239482067671</v>
      </c>
      <c r="BA81" s="108">
        <f>BA66*BA$12</f>
        <v>7.9139993157564295</v>
      </c>
    </row>
    <row r="82" spans="1:53" ht="15.75">
      <c r="A82" s="93" t="s">
        <v>83</v>
      </c>
      <c r="AE82" s="32">
        <f t="shared" si="38"/>
        <v>3.5022943731982021</v>
      </c>
      <c r="AF82" s="32">
        <f t="shared" si="37"/>
        <v>3.3686268172495777</v>
      </c>
      <c r="AG82" s="32">
        <f t="shared" si="37"/>
        <v>3.8335207489591947</v>
      </c>
      <c r="AH82" s="32">
        <f t="shared" si="37"/>
        <v>4.5053006938260127</v>
      </c>
      <c r="AI82" s="32">
        <f t="shared" si="37"/>
        <v>4.4419732459695611</v>
      </c>
      <c r="AJ82" s="32">
        <f t="shared" si="37"/>
        <v>4.5039089261840228</v>
      </c>
      <c r="AK82" s="32">
        <f t="shared" si="37"/>
        <v>4.1517826572150804</v>
      </c>
      <c r="AL82" s="32">
        <f t="shared" si="37"/>
        <v>4.2906716156810258</v>
      </c>
      <c r="AM82" s="32">
        <f t="shared" si="37"/>
        <v>4.4167162771163371</v>
      </c>
      <c r="AN82" s="32">
        <f t="shared" si="37"/>
        <v>4.5047257443454027</v>
      </c>
      <c r="AO82" s="32">
        <f t="shared" si="37"/>
        <v>4.7231101047758965</v>
      </c>
      <c r="AP82" s="32">
        <f t="shared" si="37"/>
        <v>4.1743045064226427</v>
      </c>
      <c r="AQ82" s="32">
        <f t="shared" si="37"/>
        <v>5.654074428389249</v>
      </c>
      <c r="AR82" s="32">
        <f t="shared" si="37"/>
        <v>5.0097600800524988</v>
      </c>
      <c r="AS82" s="32">
        <f t="shared" si="37"/>
        <v>5.2184204394412488</v>
      </c>
      <c r="AT82" s="32">
        <f t="shared" si="37"/>
        <v>5.497323303704075</v>
      </c>
      <c r="AU82" s="32">
        <f t="shared" ref="AU82:AV82" si="42">AU67*AU$12</f>
        <v>5.835085641675037</v>
      </c>
      <c r="AV82" s="32">
        <f t="shared" si="42"/>
        <v>6.2098125371689417</v>
      </c>
      <c r="AW82" s="108">
        <f t="shared" si="37"/>
        <v>6.4114432728379969</v>
      </c>
      <c r="AX82" s="108">
        <f t="shared" si="37"/>
        <v>6.9975102056402596</v>
      </c>
      <c r="AY82" s="108">
        <f>AY67*AY$12</f>
        <v>7.3510476694340632</v>
      </c>
      <c r="AZ82" s="108">
        <f t="shared" si="37"/>
        <v>7.8965643774095531</v>
      </c>
      <c r="BA82" s="108">
        <f t="shared" si="37"/>
        <v>8.0413684796845448</v>
      </c>
    </row>
    <row r="83" spans="1:53" ht="15.75">
      <c r="A83" s="93" t="s">
        <v>84</v>
      </c>
      <c r="AE83" s="32">
        <f t="shared" si="38"/>
        <v>3.5288601335175214</v>
      </c>
      <c r="AF83" s="32">
        <f t="shared" si="37"/>
        <v>3.3941786764299819</v>
      </c>
      <c r="AG83" s="32">
        <f t="shared" si="37"/>
        <v>3.8625989424358296</v>
      </c>
      <c r="AH83" s="32">
        <f t="shared" si="37"/>
        <v>4.5394745026624612</v>
      </c>
      <c r="AI83" s="32">
        <f t="shared" si="37"/>
        <v>4.4756667006089828</v>
      </c>
      <c r="AJ83" s="32">
        <f t="shared" si="37"/>
        <v>4.5380721781221478</v>
      </c>
      <c r="AK83" s="32">
        <f t="shared" si="37"/>
        <v>4.1832749451887956</v>
      </c>
      <c r="AL83" s="32">
        <f t="shared" si="37"/>
        <v>4.3232174104101526</v>
      </c>
      <c r="AM83" s="32">
        <f t="shared" si="37"/>
        <v>4.4502181514631145</v>
      </c>
      <c r="AN83" s="32">
        <f t="shared" si="37"/>
        <v>4.5388951920492699</v>
      </c>
      <c r="AO83" s="32">
        <f t="shared" si="37"/>
        <v>4.7589360513226602</v>
      </c>
      <c r="AP83" s="32">
        <f t="shared" si="37"/>
        <v>4.2064546452106608</v>
      </c>
      <c r="AQ83" s="32">
        <f t="shared" si="37"/>
        <v>5.4958935493451255</v>
      </c>
      <c r="AR83" s="32">
        <f t="shared" si="37"/>
        <v>4.8696480778136069</v>
      </c>
      <c r="AS83" s="32">
        <f t="shared" si="37"/>
        <v>5.0724726645755887</v>
      </c>
      <c r="AT83" s="32">
        <f t="shared" si="37"/>
        <v>5.4688318600067012</v>
      </c>
      <c r="AU83" s="32">
        <f t="shared" ref="AU83:AV83" si="43">AU68*AU$12</f>
        <v>5.780383014081675</v>
      </c>
      <c r="AV83" s="32">
        <f t="shared" si="43"/>
        <v>6.1197877898024977</v>
      </c>
      <c r="AW83" s="108">
        <f t="shared" si="37"/>
        <v>6.3002556150762778</v>
      </c>
      <c r="AX83" s="108">
        <f t="shared" si="37"/>
        <v>6.9013026781252114</v>
      </c>
      <c r="AY83" s="108">
        <f t="shared" si="37"/>
        <v>7.2588879066390275</v>
      </c>
      <c r="AZ83" s="108">
        <f t="shared" si="37"/>
        <v>7.7892766266791504</v>
      </c>
      <c r="BA83" s="108">
        <f t="shared" si="37"/>
        <v>7.92930360116664</v>
      </c>
    </row>
    <row r="84" spans="1:53" ht="15.75">
      <c r="A84" s="93" t="s">
        <v>73</v>
      </c>
      <c r="AE84" s="32">
        <f t="shared" si="38"/>
        <v>3.4652276503292172</v>
      </c>
      <c r="AF84" s="32">
        <f t="shared" si="37"/>
        <v>3.3329747722245902</v>
      </c>
      <c r="AG84" s="32">
        <f t="shared" si="37"/>
        <v>3.7929484737382468</v>
      </c>
      <c r="AH84" s="32">
        <f t="shared" si="37"/>
        <v>4.4576185990433865</v>
      </c>
      <c r="AI84" s="32">
        <f t="shared" si="37"/>
        <v>4.3949613806735419</v>
      </c>
      <c r="AJ84" s="32">
        <f t="shared" si="37"/>
        <v>4.456241561249886</v>
      </c>
      <c r="AK84" s="32">
        <f t="shared" si="37"/>
        <v>4.1078420397887045</v>
      </c>
      <c r="AL84" s="32">
        <f t="shared" si="37"/>
        <v>4.2452610594132958</v>
      </c>
      <c r="AM84" s="32">
        <f t="shared" si="37"/>
        <v>4.8847771678230405</v>
      </c>
      <c r="AN84" s="32">
        <f t="shared" si="37"/>
        <v>4.982113426051856</v>
      </c>
      <c r="AO84" s="32">
        <f t="shared" si="37"/>
        <v>5.2236410385832626</v>
      </c>
      <c r="AP84" s="32">
        <f t="shared" si="37"/>
        <v>4.617455068095321</v>
      </c>
      <c r="AQ84" s="32">
        <f t="shared" si="37"/>
        <v>5.4602136518163755</v>
      </c>
      <c r="AR84" s="32">
        <f t="shared" si="37"/>
        <v>4.837392077298178</v>
      </c>
      <c r="AS84" s="32">
        <f t="shared" si="37"/>
        <v>5.0388731768367316</v>
      </c>
      <c r="AT84" s="32">
        <f t="shared" si="37"/>
        <v>5.6229499600647994</v>
      </c>
      <c r="AU84" s="32">
        <f t="shared" ref="AU84:AV84" si="44">AU69*AU$12</f>
        <v>5.8091871378593529</v>
      </c>
      <c r="AV84" s="32">
        <f t="shared" si="44"/>
        <v>6.1029319957949584</v>
      </c>
      <c r="AW84" s="108">
        <f t="shared" si="37"/>
        <v>6.2910283761078585</v>
      </c>
      <c r="AX84" s="108">
        <f t="shared" si="37"/>
        <v>6.9030621986980565</v>
      </c>
      <c r="AY84" s="108">
        <f t="shared" si="37"/>
        <v>7.2680193281422527</v>
      </c>
      <c r="AZ84" s="108">
        <f t="shared" si="37"/>
        <v>7.7894023243127961</v>
      </c>
      <c r="BA84" s="108">
        <f t="shared" si="37"/>
        <v>7.9261491774381376</v>
      </c>
    </row>
    <row r="85" spans="1:53" ht="15.75">
      <c r="A85" s="93" t="s">
        <v>74</v>
      </c>
      <c r="AE85" s="32">
        <f t="shared" si="38"/>
        <v>3.6410962979257881</v>
      </c>
      <c r="AF85" s="32">
        <f t="shared" si="37"/>
        <v>3.5021312677895895</v>
      </c>
      <c r="AG85" s="32">
        <f t="shared" si="37"/>
        <v>3.9854497422815842</v>
      </c>
      <c r="AH85" s="32">
        <f t="shared" si="37"/>
        <v>4.68385347698585</v>
      </c>
      <c r="AI85" s="32">
        <f t="shared" si="37"/>
        <v>4.6180162539038125</v>
      </c>
      <c r="AJ85" s="32">
        <f t="shared" si="37"/>
        <v>4.682406551208393</v>
      </c>
      <c r="AK85" s="32">
        <f t="shared" si="37"/>
        <v>4.3163249150795506</v>
      </c>
      <c r="AL85" s="32">
        <f t="shared" si="37"/>
        <v>4.460718280858031</v>
      </c>
      <c r="AM85" s="32">
        <f t="shared" si="37"/>
        <v>5.1065637556148857</v>
      </c>
      <c r="AN85" s="32">
        <f t="shared" si="37"/>
        <v>5.2083194327525506</v>
      </c>
      <c r="AO85" s="32">
        <f t="shared" si="37"/>
        <v>5.4608132742848863</v>
      </c>
      <c r="AP85" s="32">
        <f t="shared" si="37"/>
        <v>4.8268654315524095</v>
      </c>
      <c r="AQ85" s="32">
        <f t="shared" si="37"/>
        <v>5.4102617952761252</v>
      </c>
      <c r="AR85" s="32">
        <f t="shared" si="37"/>
        <v>4.7940480766055709</v>
      </c>
      <c r="AS85" s="32">
        <f t="shared" si="37"/>
        <v>4.9937238651876426</v>
      </c>
      <c r="AT85" s="32">
        <f t="shared" si="37"/>
        <v>5.6814951566654122</v>
      </c>
      <c r="AU85" s="32">
        <f t="shared" ref="AU85:AV85" si="45">AU70*AU$12</f>
        <v>5.7955309387215079</v>
      </c>
      <c r="AV85" s="32">
        <f t="shared" si="45"/>
        <v>6.0618004685562985</v>
      </c>
      <c r="AW85" s="108">
        <f t="shared" si="37"/>
        <v>6.2532611677897503</v>
      </c>
      <c r="AX85" s="108">
        <f t="shared" si="37"/>
        <v>6.8683768255234199</v>
      </c>
      <c r="AY85" s="108">
        <f t="shared" si="37"/>
        <v>7.2356380828773403</v>
      </c>
      <c r="AZ85" s="108">
        <f t="shared" si="37"/>
        <v>7.7492061865085704</v>
      </c>
      <c r="BA85" s="108">
        <f t="shared" si="37"/>
        <v>7.8833814346419171</v>
      </c>
    </row>
    <row r="86" spans="1:53" ht="15.75">
      <c r="A86" s="93" t="s">
        <v>75</v>
      </c>
      <c r="AE86" s="32">
        <f t="shared" si="38"/>
        <v>3.4465331001934314</v>
      </c>
      <c r="AF86" s="32">
        <f t="shared" si="37"/>
        <v>3.3149937128922424</v>
      </c>
      <c r="AG86" s="32">
        <f t="shared" si="37"/>
        <v>3.7724859031483997</v>
      </c>
      <c r="AH86" s="32">
        <f t="shared" si="37"/>
        <v>4.4335702008441773</v>
      </c>
      <c r="AI86" s="32">
        <f t="shared" si="37"/>
        <v>4.3712510117839134</v>
      </c>
      <c r="AJ86" s="32">
        <f t="shared" si="37"/>
        <v>4.4322005920292797</v>
      </c>
      <c r="AK86" s="32">
        <f t="shared" si="37"/>
        <v>4.0856806504914029</v>
      </c>
      <c r="AL86" s="32">
        <f t="shared" si="37"/>
        <v>4.2223583085053837</v>
      </c>
      <c r="AM86" s="32">
        <f t="shared" si="37"/>
        <v>4.8612016156050561</v>
      </c>
      <c r="AN86" s="32">
        <f t="shared" si="37"/>
        <v>4.9580680968185158</v>
      </c>
      <c r="AO86" s="32">
        <f t="shared" si="37"/>
        <v>5.1984300171093789</v>
      </c>
      <c r="AP86" s="32">
        <f t="shared" si="37"/>
        <v>4.5948630786767142</v>
      </c>
      <c r="AQ86" s="32">
        <f t="shared" si="37"/>
        <v>5.4233444243699989</v>
      </c>
      <c r="AR86" s="32">
        <f t="shared" si="37"/>
        <v>4.8051360767827491</v>
      </c>
      <c r="AS86" s="32">
        <f t="shared" si="37"/>
        <v>5.0052736890978746</v>
      </c>
      <c r="AT86" s="32">
        <f t="shared" si="37"/>
        <v>5.5891460509602142</v>
      </c>
      <c r="AU86" s="32">
        <f t="shared" ref="AU86:AV86" si="46">AU71*AU$12</f>
        <v>5.771751899748371</v>
      </c>
      <c r="AV86" s="32">
        <f t="shared" si="46"/>
        <v>6.0626964146463118</v>
      </c>
      <c r="AW86" s="108">
        <f t="shared" si="37"/>
        <v>6.2497096303284954</v>
      </c>
      <c r="AX86" s="108">
        <f t="shared" si="37"/>
        <v>6.8579525666859604</v>
      </c>
      <c r="AY86" s="108">
        <f t="shared" si="37"/>
        <v>7.2206649835986028</v>
      </c>
      <c r="AZ86" s="108">
        <f t="shared" si="37"/>
        <v>7.7384648843686561</v>
      </c>
      <c r="BA86" s="108">
        <f t="shared" si="37"/>
        <v>7.8742542913349203</v>
      </c>
    </row>
    <row r="87" spans="1:53" ht="15.75">
      <c r="A87" s="93" t="s">
        <v>76</v>
      </c>
      <c r="AE87" s="32">
        <f t="shared" si="38"/>
        <v>3.5816839460623542</v>
      </c>
      <c r="AF87" s="32">
        <f t="shared" si="37"/>
        <v>3.4449864305952591</v>
      </c>
      <c r="AG87" s="32">
        <f t="shared" si="37"/>
        <v>3.920418520075966</v>
      </c>
      <c r="AH87" s="32">
        <f t="shared" si="37"/>
        <v>4.607426289105657</v>
      </c>
      <c r="AI87" s="32">
        <f t="shared" si="37"/>
        <v>4.542663342544591</v>
      </c>
      <c r="AJ87" s="32">
        <f t="shared" si="37"/>
        <v>4.6060029730480139</v>
      </c>
      <c r="AK87" s="32">
        <f t="shared" si="37"/>
        <v>4.2458947496489632</v>
      </c>
      <c r="AL87" s="32">
        <f t="shared" si="37"/>
        <v>4.3879320257356484</v>
      </c>
      <c r="AM87" s="32">
        <f t="shared" si="37"/>
        <v>4.5168338518655542</v>
      </c>
      <c r="AN87" s="32">
        <f t="shared" si="37"/>
        <v>4.6068383067417988</v>
      </c>
      <c r="AO87" s="32">
        <f t="shared" si="37"/>
        <v>4.8301729766686812</v>
      </c>
      <c r="AP87" s="32">
        <f t="shared" si="37"/>
        <v>4.2690170774468035</v>
      </c>
      <c r="AQ87" s="32">
        <f t="shared" si="37"/>
        <v>5.5315734468738746</v>
      </c>
      <c r="AR87" s="32">
        <f t="shared" si="37"/>
        <v>4.9019040783290349</v>
      </c>
      <c r="AS87" s="32">
        <f t="shared" si="37"/>
        <v>5.1060721523144457</v>
      </c>
      <c r="AT87" s="32">
        <f t="shared" si="37"/>
        <v>5.520152832595949</v>
      </c>
      <c r="AU87" s="32">
        <f t="shared" ref="AU87:AV87" si="47">AU72*AU$12</f>
        <v>5.823992723786259</v>
      </c>
      <c r="AV87" s="32">
        <f t="shared" si="47"/>
        <v>6.1622027070354761</v>
      </c>
      <c r="AW87" s="108">
        <f t="shared" si="37"/>
        <v>6.3445657558744095</v>
      </c>
      <c r="AX87" s="108">
        <f t="shared" si="37"/>
        <v>6.9507811965969655</v>
      </c>
      <c r="AY87" s="108">
        <f t="shared" si="37"/>
        <v>7.3115075458346022</v>
      </c>
      <c r="AZ87" s="108">
        <f t="shared" si="37"/>
        <v>7.8449738934613595</v>
      </c>
      <c r="BA87" s="108">
        <f t="shared" si="37"/>
        <v>7.9857418070092212</v>
      </c>
    </row>
    <row r="88" spans="1:53" ht="15.75">
      <c r="A88" s="93" t="s">
        <v>77</v>
      </c>
      <c r="AE88" s="32">
        <f t="shared" si="38"/>
        <v>3.3288916140166096</v>
      </c>
      <c r="AF88" s="32">
        <f t="shared" si="37"/>
        <v>3.2018420977142026</v>
      </c>
      <c r="AG88" s="32">
        <f t="shared" si="37"/>
        <v>3.6437185780347714</v>
      </c>
      <c r="AH88" s="32">
        <f t="shared" si="37"/>
        <v>4.2822378989819647</v>
      </c>
      <c r="AI88" s="32">
        <f t="shared" si="37"/>
        <v>4.2220458683749227</v>
      </c>
      <c r="AJ88" s="32">
        <f t="shared" si="37"/>
        <v>4.2809150394109539</v>
      </c>
      <c r="AK88" s="32">
        <f t="shared" si="37"/>
        <v>3.9462229607507422</v>
      </c>
      <c r="AL88" s="32">
        <f t="shared" si="37"/>
        <v>4.5783492433027879</v>
      </c>
      <c r="AM88" s="32">
        <f t="shared" si="37"/>
        <v>3.6832339545840278</v>
      </c>
      <c r="AN88" s="32">
        <f t="shared" si="37"/>
        <v>3.7566277244538426</v>
      </c>
      <c r="AO88" s="32">
        <f t="shared" si="37"/>
        <v>3.9387450806569619</v>
      </c>
      <c r="AP88" s="32">
        <f t="shared" si="37"/>
        <v>3.4817731384753388</v>
      </c>
      <c r="AQ88" s="32">
        <f t="shared" si="37"/>
        <v>5.0570308097414998</v>
      </c>
      <c r="AR88" s="32">
        <f t="shared" si="37"/>
        <v>4.4815680716123563</v>
      </c>
      <c r="AS88" s="32">
        <f t="shared" si="37"/>
        <v>4.6682288277174635</v>
      </c>
      <c r="AT88" s="32">
        <f t="shared" si="37"/>
        <v>4.7908697136506255</v>
      </c>
      <c r="AU88" s="32">
        <f t="shared" ref="AU88:AV88" si="48">AU73*AU$12</f>
        <v>5.1570188212379451</v>
      </c>
      <c r="AV88" s="32">
        <f t="shared" si="48"/>
        <v>5.4927397213757079</v>
      </c>
      <c r="AW88" s="108">
        <f t="shared" si="37"/>
        <v>5.6912301759101576</v>
      </c>
      <c r="AX88" s="108">
        <f t="shared" si="37"/>
        <v>6.195135635566543</v>
      </c>
      <c r="AY88" s="108">
        <f t="shared" si="37"/>
        <v>6.502389472081445</v>
      </c>
      <c r="AZ88" s="108">
        <f t="shared" si="37"/>
        <v>6.9869143592004672</v>
      </c>
      <c r="BA88" s="108">
        <f t="shared" si="37"/>
        <v>7.1157110587791497</v>
      </c>
    </row>
    <row r="89" spans="1:53" ht="15.75">
      <c r="A89" s="93" t="s">
        <v>78</v>
      </c>
      <c r="AE89" s="32">
        <f t="shared" si="38"/>
        <v>3.0834875422878696</v>
      </c>
      <c r="AF89" s="32">
        <f t="shared" si="37"/>
        <v>2.9658040469398541</v>
      </c>
      <c r="AG89" s="32">
        <f t="shared" si="37"/>
        <v>3.3751056344596955</v>
      </c>
      <c r="AH89" s="32">
        <f t="shared" si="37"/>
        <v>3.9665536597906148</v>
      </c>
      <c r="AI89" s="32">
        <f t="shared" si="37"/>
        <v>3.9107989528063642</v>
      </c>
      <c r="AJ89" s="32">
        <f t="shared" si="37"/>
        <v>3.9653283207047063</v>
      </c>
      <c r="AK89" s="32">
        <f t="shared" si="37"/>
        <v>3.6553095592930154</v>
      </c>
      <c r="AL89" s="32">
        <f t="shared" si="37"/>
        <v>3.2774761965832768</v>
      </c>
      <c r="AM89" s="32">
        <f t="shared" si="37"/>
        <v>3.3737567825994281</v>
      </c>
      <c r="AN89" s="32">
        <f t="shared" si="37"/>
        <v>3.4409837716943401</v>
      </c>
      <c r="AO89" s="32">
        <f t="shared" si="37"/>
        <v>3.6078605189841078</v>
      </c>
      <c r="AP89" s="32">
        <f t="shared" si="37"/>
        <v>3.7111687233411961</v>
      </c>
      <c r="AQ89" s="32">
        <f t="shared" si="37"/>
        <v>5.3103580821956244</v>
      </c>
      <c r="AR89" s="32">
        <f t="shared" si="37"/>
        <v>4.5007200719183915</v>
      </c>
      <c r="AS89" s="32">
        <f t="shared" si="37"/>
        <v>4.68817852356241</v>
      </c>
      <c r="AT89" s="32">
        <f t="shared" si="37"/>
        <v>4.9779040605983393</v>
      </c>
      <c r="AU89" s="32">
        <f t="shared" ref="AU89:AV89" si="49">AU74*AU$12</f>
        <v>5.3154550292565954</v>
      </c>
      <c r="AV89" s="32">
        <f t="shared" si="49"/>
        <v>5.6466176886471899</v>
      </c>
      <c r="AW89" s="108">
        <f t="shared" si="37"/>
        <v>5.8098618662424775</v>
      </c>
      <c r="AX89" s="108">
        <f t="shared" si="37"/>
        <v>6.35934916315012</v>
      </c>
      <c r="AY89" s="108">
        <f t="shared" si="37"/>
        <v>6.6859233292372817</v>
      </c>
      <c r="AZ89" s="108">
        <f t="shared" si="37"/>
        <v>7.1783399219413377</v>
      </c>
      <c r="BA89" s="108">
        <f t="shared" si="37"/>
        <v>7.3087051768042217</v>
      </c>
    </row>
    <row r="90" spans="1:53" ht="16.5" thickBot="1">
      <c r="A90" s="93" t="s">
        <v>85</v>
      </c>
      <c r="AE90" s="32">
        <f>SUM(AE78:AE89)</f>
        <v>40.822188000000011</v>
      </c>
      <c r="AF90" s="32">
        <f t="shared" ref="AF90:BA90" si="50">SUM(AF78:AF89)</f>
        <v>39.264180158000002</v>
      </c>
      <c r="AG90" s="32">
        <f t="shared" si="50"/>
        <v>44.682910127</v>
      </c>
      <c r="AH90" s="32">
        <f t="shared" si="50"/>
        <v>52.513070668000005</v>
      </c>
      <c r="AI90" s="32">
        <f t="shared" si="50"/>
        <v>51.774935975000005</v>
      </c>
      <c r="AJ90" s="32">
        <f t="shared" si="50"/>
        <v>52.496848445000012</v>
      </c>
      <c r="AK90" s="32">
        <f t="shared" si="50"/>
        <v>48.392520476000001</v>
      </c>
      <c r="AL90" s="32">
        <f t="shared" si="50"/>
        <v>50.011388158000003</v>
      </c>
      <c r="AM90" s="32">
        <f t="shared" si="50"/>
        <v>51.480544750000007</v>
      </c>
      <c r="AN90" s="32">
        <f t="shared" si="50"/>
        <v>52.506369147999983</v>
      </c>
      <c r="AO90" s="32">
        <f t="shared" si="50"/>
        <v>55.051884110530807</v>
      </c>
      <c r="AP90" s="32">
        <f t="shared" si="50"/>
        <v>49.181892041637802</v>
      </c>
      <c r="AQ90" s="32">
        <f t="shared" si="50"/>
        <v>65.64387547339426</v>
      </c>
      <c r="AR90" s="32">
        <f t="shared" si="50"/>
        <v>57.96000092616071</v>
      </c>
      <c r="AS90" s="32">
        <f t="shared" si="50"/>
        <v>60.37407953075892</v>
      </c>
      <c r="AT90" s="32">
        <f t="shared" si="50"/>
        <v>64.251373998210397</v>
      </c>
      <c r="AU90" s="32">
        <f t="shared" si="50"/>
        <v>68.020367239021439</v>
      </c>
      <c r="AV90" s="108">
        <f t="shared" si="50"/>
        <v>72.117402796325393</v>
      </c>
      <c r="AW90" s="108">
        <f t="shared" si="50"/>
        <v>74.456486810982454</v>
      </c>
      <c r="AX90" s="108">
        <f t="shared" si="50"/>
        <v>81.365796312476505</v>
      </c>
      <c r="AY90" s="108">
        <f t="shared" si="50"/>
        <v>85.523519144959039</v>
      </c>
      <c r="AZ90" s="108">
        <f t="shared" si="50"/>
        <v>91.810040337628052</v>
      </c>
      <c r="BA90" s="108">
        <f t="shared" si="50"/>
        <v>93.473235484537241</v>
      </c>
    </row>
    <row r="91" spans="1:53" ht="15.75">
      <c r="A91" s="9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  <c r="AE91" s="138"/>
      <c r="AF91" s="138"/>
      <c r="AG91" s="138"/>
      <c r="AH91" s="138"/>
      <c r="AI91" s="138"/>
      <c r="AJ91" s="138"/>
      <c r="AK91" s="138"/>
      <c r="AL91" s="138"/>
      <c r="AM91" s="138"/>
      <c r="AN91" s="138"/>
      <c r="AO91" s="138"/>
      <c r="AP91" s="138"/>
      <c r="AQ91" s="138"/>
      <c r="AR91" s="138"/>
      <c r="AS91" s="138"/>
      <c r="AT91" s="138"/>
      <c r="AU91" s="138"/>
      <c r="AV91" s="138"/>
      <c r="AW91" s="138"/>
      <c r="AX91" s="138"/>
      <c r="AY91" s="138"/>
      <c r="AZ91" s="138"/>
      <c r="BA91" s="138"/>
    </row>
    <row r="92" spans="1:53" ht="15.75">
      <c r="A92" s="93"/>
      <c r="D92" s="3">
        <v>1977</v>
      </c>
      <c r="E92" s="3">
        <v>1978</v>
      </c>
      <c r="F92" s="3">
        <v>1979</v>
      </c>
      <c r="G92" s="3">
        <v>1980</v>
      </c>
      <c r="H92" s="3">
        <v>1981</v>
      </c>
      <c r="I92" s="3">
        <v>1982</v>
      </c>
      <c r="J92" s="3">
        <v>1983</v>
      </c>
      <c r="K92" s="3">
        <v>1984</v>
      </c>
      <c r="L92" s="3">
        <v>1985</v>
      </c>
      <c r="M92" s="3">
        <v>1986</v>
      </c>
      <c r="N92" s="3">
        <v>1987</v>
      </c>
      <c r="O92" s="3">
        <v>1988</v>
      </c>
      <c r="P92" s="3">
        <v>1989</v>
      </c>
      <c r="Q92" s="3">
        <v>1990</v>
      </c>
      <c r="R92" s="3">
        <v>1991</v>
      </c>
      <c r="S92" s="3">
        <v>1992</v>
      </c>
      <c r="T92" s="3">
        <v>1993</v>
      </c>
      <c r="U92" s="3">
        <v>1994</v>
      </c>
      <c r="V92" s="3">
        <v>1995</v>
      </c>
      <c r="W92" s="3">
        <v>1996</v>
      </c>
      <c r="X92" s="3">
        <v>1997</v>
      </c>
      <c r="Y92" s="3">
        <v>1998</v>
      </c>
      <c r="Z92" s="3">
        <v>1999</v>
      </c>
      <c r="AA92" s="3">
        <v>2000</v>
      </c>
      <c r="AB92" s="3">
        <v>2001</v>
      </c>
      <c r="AC92" s="3">
        <v>2002</v>
      </c>
      <c r="AD92" s="3">
        <v>2003</v>
      </c>
      <c r="AE92" s="3">
        <v>2004</v>
      </c>
      <c r="AF92" s="3">
        <v>2005</v>
      </c>
      <c r="AG92" s="3">
        <v>2006</v>
      </c>
      <c r="AH92" s="3">
        <v>2007</v>
      </c>
      <c r="AI92" s="3">
        <v>2008</v>
      </c>
      <c r="AJ92" s="3">
        <v>2009</v>
      </c>
      <c r="AK92" s="3">
        <v>2010</v>
      </c>
      <c r="AL92" s="3">
        <v>2011</v>
      </c>
      <c r="AM92" s="3">
        <v>2012</v>
      </c>
      <c r="AN92" s="3">
        <v>2013</v>
      </c>
      <c r="AO92" s="3">
        <v>2014</v>
      </c>
      <c r="AP92" s="3">
        <v>2015</v>
      </c>
      <c r="AQ92" s="3">
        <v>2016</v>
      </c>
      <c r="AR92" s="3">
        <v>2017</v>
      </c>
      <c r="AS92" s="3">
        <v>2018</v>
      </c>
      <c r="AT92" s="3">
        <v>2019</v>
      </c>
      <c r="AU92" s="3">
        <v>2020</v>
      </c>
      <c r="AV92" s="3">
        <v>2021</v>
      </c>
      <c r="AW92" s="3">
        <v>2022</v>
      </c>
      <c r="AX92" s="3">
        <v>2023</v>
      </c>
      <c r="AY92" s="3">
        <v>2024</v>
      </c>
      <c r="AZ92" s="3">
        <v>2025</v>
      </c>
      <c r="BA92" s="3">
        <v>2026</v>
      </c>
    </row>
    <row r="93" spans="1:53" ht="15.75">
      <c r="A93" s="93" t="s">
        <v>168</v>
      </c>
      <c r="D93" s="3">
        <v>11797.335999999999</v>
      </c>
      <c r="E93" s="3">
        <v>10985.06</v>
      </c>
      <c r="F93" s="3">
        <v>11304.813</v>
      </c>
      <c r="G93" s="3">
        <v>11523.883000000002</v>
      </c>
      <c r="H93" s="3">
        <v>11904.144</v>
      </c>
      <c r="I93" s="3">
        <v>12543.052000000001</v>
      </c>
      <c r="J93" s="3">
        <v>11554.285</v>
      </c>
      <c r="K93" s="3">
        <v>11880.628999999999</v>
      </c>
      <c r="L93" s="3">
        <v>11567.163</v>
      </c>
      <c r="M93" s="3">
        <v>12623.451000000001</v>
      </c>
      <c r="N93" s="3">
        <v>14061.353000000001</v>
      </c>
      <c r="O93" s="3">
        <v>12885.096000000001</v>
      </c>
      <c r="P93" s="3">
        <v>12308.434999999999</v>
      </c>
      <c r="Q93" s="3">
        <v>11574.295</v>
      </c>
      <c r="R93" s="3">
        <v>12651.8</v>
      </c>
      <c r="S93" s="3">
        <v>13036.8</v>
      </c>
      <c r="T93" s="3">
        <v>11152.6</v>
      </c>
      <c r="U93" s="3">
        <v>12397.8</v>
      </c>
      <c r="V93" s="3">
        <v>12614.4</v>
      </c>
      <c r="W93" s="3">
        <v>12035.6</v>
      </c>
      <c r="X93" s="3">
        <v>11600.3</v>
      </c>
      <c r="Y93" s="3">
        <v>9070.1</v>
      </c>
      <c r="Z93" s="3">
        <v>9822.4</v>
      </c>
      <c r="AA93" s="3">
        <v>9849.7999999999993</v>
      </c>
      <c r="AB93" s="3">
        <v>10546.1</v>
      </c>
      <c r="AC93" s="3">
        <v>9412.7999999999993</v>
      </c>
      <c r="AD93" s="3">
        <v>9663.5</v>
      </c>
      <c r="AE93" s="3">
        <v>9465.2999999999993</v>
      </c>
      <c r="AF93" s="3">
        <v>9021.7999999999993</v>
      </c>
      <c r="AG93" s="3">
        <v>9652.7999999999993</v>
      </c>
      <c r="AH93" s="3">
        <v>9493.9</v>
      </c>
      <c r="AI93" s="3">
        <v>9635.6</v>
      </c>
      <c r="AJ93" s="3">
        <v>9270.5</v>
      </c>
      <c r="AK93" s="3">
        <v>7724</v>
      </c>
      <c r="AL93" s="3">
        <v>7637.7</v>
      </c>
      <c r="AM93" s="3">
        <v>7558.5</v>
      </c>
      <c r="AN93" s="3">
        <v>6783.1</v>
      </c>
      <c r="AO93" s="3">
        <v>6617.7</v>
      </c>
      <c r="AP93" s="3">
        <v>6142.3</v>
      </c>
      <c r="AQ93" s="3">
        <v>5289.4</v>
      </c>
      <c r="AR93" s="3">
        <v>5482.5</v>
      </c>
      <c r="AS93" s="3">
        <v>5082.1000000000004</v>
      </c>
      <c r="AT93" s="3">
        <v>4103.8999999999996</v>
      </c>
      <c r="AU93" s="3">
        <v>4235.7999999999993</v>
      </c>
      <c r="AV93" s="3">
        <v>4348.3999999999996</v>
      </c>
      <c r="AW93" s="3">
        <v>4549.2</v>
      </c>
      <c r="AX93" s="3">
        <v>4444</v>
      </c>
      <c r="AY93" s="3">
        <v>3970.1</v>
      </c>
      <c r="AZ93" s="3">
        <v>3736.6</v>
      </c>
      <c r="BA93" s="3">
        <f>FORECAST(BA92,AS93:AZ93,AS92:AZ92)</f>
        <v>3812.5785714285739</v>
      </c>
    </row>
    <row r="94" spans="1:53" ht="15.75">
      <c r="A94" s="93" t="s">
        <v>169</v>
      </c>
      <c r="G94" s="3">
        <v>146</v>
      </c>
      <c r="H94" s="3">
        <v>243</v>
      </c>
      <c r="I94" s="3">
        <v>228</v>
      </c>
      <c r="J94" s="3">
        <v>103.9</v>
      </c>
      <c r="K94" s="3">
        <v>325</v>
      </c>
      <c r="L94" s="3">
        <v>373</v>
      </c>
      <c r="M94" s="3">
        <v>460</v>
      </c>
      <c r="N94" s="3">
        <v>549</v>
      </c>
      <c r="O94" s="3">
        <v>526</v>
      </c>
      <c r="P94" s="3">
        <v>665.8</v>
      </c>
      <c r="Q94" s="3">
        <v>518.4</v>
      </c>
      <c r="R94" s="3">
        <v>799.6</v>
      </c>
      <c r="S94" s="3">
        <v>990.3</v>
      </c>
      <c r="T94" s="3">
        <v>1283.7</v>
      </c>
      <c r="U94" s="3">
        <v>1753.9</v>
      </c>
      <c r="V94" s="3">
        <v>1667.8</v>
      </c>
      <c r="W94" s="3">
        <v>1721.1</v>
      </c>
      <c r="X94" s="3">
        <v>2198.5</v>
      </c>
      <c r="Y94" s="3">
        <v>2321</v>
      </c>
      <c r="Z94" s="3">
        <v>2690.6</v>
      </c>
      <c r="AA94" s="3">
        <v>2908.1</v>
      </c>
      <c r="AB94" s="3">
        <v>2426.4</v>
      </c>
      <c r="AC94" s="3">
        <v>2885</v>
      </c>
      <c r="AD94" s="3">
        <v>3562.7</v>
      </c>
      <c r="AE94" s="3">
        <v>3317.7</v>
      </c>
      <c r="AF94" s="3">
        <v>3186.4</v>
      </c>
      <c r="AG94" s="3">
        <v>3311.1</v>
      </c>
      <c r="AH94" s="3">
        <v>4561</v>
      </c>
      <c r="AI94" s="3">
        <v>5130.1000000000004</v>
      </c>
      <c r="AJ94" s="3">
        <v>4901.3</v>
      </c>
      <c r="AK94" s="3">
        <v>5269.9</v>
      </c>
      <c r="AL94" s="3">
        <v>6168.4</v>
      </c>
      <c r="AM94" s="3">
        <v>7619.6</v>
      </c>
      <c r="AN94" s="3">
        <v>9046.2000000000007</v>
      </c>
      <c r="AO94" s="3">
        <v>9211.2000000000007</v>
      </c>
      <c r="AP94" s="3">
        <v>9550.6</v>
      </c>
      <c r="AQ94" s="3">
        <v>10565.9</v>
      </c>
      <c r="AR94" s="3">
        <v>12109.2</v>
      </c>
      <c r="AS94" s="3">
        <v>11534.3</v>
      </c>
      <c r="AT94" s="3">
        <v>12878</v>
      </c>
      <c r="AU94" s="3">
        <v>13755.9</v>
      </c>
      <c r="AV94" s="3">
        <v>14999.599999999999</v>
      </c>
      <c r="AW94" s="3">
        <v>16369.3</v>
      </c>
      <c r="AX94" s="3">
        <v>17192.7</v>
      </c>
      <c r="AY94" s="3">
        <v>16437.399999999998</v>
      </c>
      <c r="AZ94" s="81">
        <v>17738.099999999999</v>
      </c>
      <c r="BA94" s="3">
        <f>FORECAST(BA92,AS94:AZ94,AS92:AZ92)</f>
        <v>19018.71785714291</v>
      </c>
    </row>
    <row r="95" spans="1:53" ht="15.75">
      <c r="A95" s="93" t="s">
        <v>170</v>
      </c>
      <c r="AT95" s="3">
        <v>511</v>
      </c>
      <c r="AU95" s="3">
        <v>535.6</v>
      </c>
      <c r="AV95" s="3">
        <v>595.59999999999991</v>
      </c>
      <c r="AW95" s="3">
        <v>662.09999999999991</v>
      </c>
      <c r="AX95" s="3">
        <v>632.5</v>
      </c>
      <c r="AY95" s="3">
        <v>643.29999999999995</v>
      </c>
      <c r="AZ95" s="3">
        <v>649.4</v>
      </c>
      <c r="BA95" s="3">
        <f>FORECAST(BA92,AT95:AZ95,AT92:AZ92)</f>
        <v>699.57142857142753</v>
      </c>
    </row>
    <row r="96" spans="1:53" ht="15.75">
      <c r="A96" s="93" t="s">
        <v>171</v>
      </c>
      <c r="AU96" s="3">
        <f>SUM(AU93:AU95)</f>
        <v>18527.299999999996</v>
      </c>
      <c r="AV96" s="3">
        <f t="shared" ref="AV96:AZ96" si="51">SUM(AV93:AV95)</f>
        <v>19943.599999999999</v>
      </c>
      <c r="AW96" s="3">
        <f t="shared" si="51"/>
        <v>21580.6</v>
      </c>
      <c r="AX96" s="3">
        <f t="shared" si="51"/>
        <v>22269.200000000001</v>
      </c>
      <c r="AY96" s="3">
        <f t="shared" si="51"/>
        <v>21050.799999999996</v>
      </c>
      <c r="AZ96" s="3">
        <f t="shared" si="51"/>
        <v>22124.1</v>
      </c>
      <c r="BA96" s="3">
        <f>SUM(BA93:BA95)</f>
        <v>23530.867857142912</v>
      </c>
    </row>
    <row r="97" spans="1:51" ht="15.75">
      <c r="A97" s="93"/>
    </row>
    <row r="98" spans="1:51" ht="15.75">
      <c r="A98" s="93"/>
    </row>
    <row r="99" spans="1:51" ht="15.75">
      <c r="A99" s="93" t="s">
        <v>172</v>
      </c>
    </row>
    <row r="100" spans="1:51" ht="15.75">
      <c r="A100" s="93"/>
    </row>
    <row r="101" spans="1:51" ht="15.75">
      <c r="A101" s="93" t="s">
        <v>168</v>
      </c>
      <c r="D101" s="42">
        <v>19255.727999999999</v>
      </c>
      <c r="E101" s="42">
        <v>14017.063</v>
      </c>
      <c r="F101" s="42">
        <v>16513.828000000001</v>
      </c>
      <c r="G101" s="42">
        <v>19356.522000000001</v>
      </c>
      <c r="H101" s="42">
        <v>21156.81</v>
      </c>
      <c r="I101" s="42">
        <v>21490.808000000001</v>
      </c>
      <c r="J101" s="42">
        <v>18981.763999999999</v>
      </c>
      <c r="K101" s="42">
        <v>20796.701000000001</v>
      </c>
      <c r="L101" s="42">
        <v>20690.899000000001</v>
      </c>
      <c r="M101" s="42">
        <v>19754.773999999998</v>
      </c>
      <c r="N101" s="42">
        <v>26179.361000000001</v>
      </c>
      <c r="O101" s="42">
        <v>24777.972999999998</v>
      </c>
      <c r="P101" s="42">
        <v>25646.99</v>
      </c>
      <c r="Q101" s="42">
        <v>21757.03</v>
      </c>
      <c r="R101" s="42">
        <v>23040.6</v>
      </c>
      <c r="S101" s="42">
        <v>29241.8</v>
      </c>
      <c r="T101" s="42">
        <v>26806.2</v>
      </c>
      <c r="U101" s="42">
        <v>30923.9</v>
      </c>
      <c r="V101" s="42">
        <v>33990.699999999997</v>
      </c>
      <c r="W101" s="42">
        <v>28895.1</v>
      </c>
      <c r="X101" s="42">
        <v>31704.400000000001</v>
      </c>
      <c r="Y101" s="42">
        <v>24605.1</v>
      </c>
      <c r="Z101" s="42">
        <v>26742</v>
      </c>
      <c r="AA101" s="42">
        <v>27715.3</v>
      </c>
      <c r="AB101" s="42">
        <v>35833</v>
      </c>
      <c r="AC101" s="42">
        <v>29100.2</v>
      </c>
      <c r="AD101" s="42">
        <v>34613.599999999999</v>
      </c>
      <c r="AE101" s="42">
        <v>31554.2</v>
      </c>
      <c r="AF101" s="42">
        <v>27272.400000000001</v>
      </c>
      <c r="AG101" s="42">
        <v>31809</v>
      </c>
      <c r="AH101" s="42">
        <v>36596.699999999997</v>
      </c>
      <c r="AI101" s="42">
        <v>39964.1</v>
      </c>
      <c r="AJ101" s="42">
        <v>33654.9</v>
      </c>
      <c r="AK101" s="42">
        <v>34079.199999999997</v>
      </c>
      <c r="AL101" s="42">
        <v>34946.699999999997</v>
      </c>
      <c r="AM101" s="42">
        <v>33867.1</v>
      </c>
      <c r="AN101" s="42">
        <v>34576.708100000003</v>
      </c>
      <c r="AO101" s="42">
        <v>31652.91</v>
      </c>
      <c r="AP101" s="42">
        <v>30082.011599999998</v>
      </c>
      <c r="AQ101" s="42">
        <v>25758.103199999998</v>
      </c>
      <c r="AR101" s="42">
        <v>30462.014999999999</v>
      </c>
      <c r="AS101" s="42">
        <v>26810.695999999996</v>
      </c>
      <c r="AT101" s="42">
        <v>25646.700700000001</v>
      </c>
      <c r="AU101" s="42">
        <v>25689.599999999999</v>
      </c>
      <c r="AV101" s="42">
        <v>24726.5</v>
      </c>
      <c r="AW101" s="42">
        <v>25026.799999999999</v>
      </c>
      <c r="AX101" s="107">
        <v>27226.200000000004</v>
      </c>
      <c r="AY101" s="139">
        <f>AX101/SUM($AX$101:$AX$103)</f>
        <v>0.21637718304822082</v>
      </c>
    </row>
    <row r="102" spans="1:51" ht="15.75">
      <c r="A102" s="93" t="s">
        <v>169</v>
      </c>
      <c r="D102" s="42">
        <v>0</v>
      </c>
      <c r="E102" s="42">
        <v>0</v>
      </c>
      <c r="F102" s="42">
        <v>0</v>
      </c>
      <c r="G102" s="42">
        <v>78.8</v>
      </c>
      <c r="H102" s="42">
        <v>127</v>
      </c>
      <c r="I102" s="42">
        <v>114</v>
      </c>
      <c r="J102" s="42">
        <v>33.200000000000003</v>
      </c>
      <c r="K102" s="42">
        <v>381.5</v>
      </c>
      <c r="L102" s="42">
        <v>483.8</v>
      </c>
      <c r="M102" s="42">
        <v>510</v>
      </c>
      <c r="N102" s="42">
        <v>579.6</v>
      </c>
      <c r="O102" s="42">
        <v>446.3</v>
      </c>
      <c r="P102" s="42">
        <v>620.6</v>
      </c>
      <c r="Q102" s="42">
        <v>500.8</v>
      </c>
      <c r="R102" s="42">
        <v>1055.5</v>
      </c>
      <c r="S102" s="42">
        <v>1529.4</v>
      </c>
      <c r="T102" s="42">
        <v>2401.5</v>
      </c>
      <c r="U102" s="42">
        <v>2249.8000000000002</v>
      </c>
      <c r="V102" s="42">
        <v>3451.2</v>
      </c>
      <c r="W102" s="42">
        <v>3509.6</v>
      </c>
      <c r="X102" s="42">
        <v>4011.2</v>
      </c>
      <c r="Y102" s="42">
        <v>5582.7</v>
      </c>
      <c r="Z102" s="42">
        <v>5651.4</v>
      </c>
      <c r="AA102" s="42">
        <v>3925.2</v>
      </c>
      <c r="AB102" s="42">
        <v>6456.7</v>
      </c>
      <c r="AC102" s="42">
        <v>6180.5</v>
      </c>
      <c r="AD102" s="42">
        <v>12797.3</v>
      </c>
      <c r="AE102" s="42">
        <v>10574.3</v>
      </c>
      <c r="AF102" s="42">
        <v>7704.5</v>
      </c>
      <c r="AG102" s="42">
        <v>10705.9</v>
      </c>
      <c r="AH102" s="42">
        <v>14773</v>
      </c>
      <c r="AI102" s="42">
        <v>18688.099999999999</v>
      </c>
      <c r="AJ102" s="42">
        <v>17349</v>
      </c>
      <c r="AK102" s="42">
        <v>21938.799999999999</v>
      </c>
      <c r="AL102" s="42">
        <v>22460.3</v>
      </c>
      <c r="AM102" s="42">
        <v>39112.699999999997</v>
      </c>
      <c r="AN102" s="42">
        <v>46928.9</v>
      </c>
      <c r="AO102" s="42">
        <v>48399.1</v>
      </c>
      <c r="AP102" s="42">
        <v>54590.5</v>
      </c>
      <c r="AQ102" s="42">
        <v>40772.699999999997</v>
      </c>
      <c r="AR102" s="42">
        <v>67380.899999999994</v>
      </c>
      <c r="AS102" s="42">
        <v>53898.9</v>
      </c>
      <c r="AT102" s="42">
        <v>73177.7</v>
      </c>
      <c r="AU102" s="42">
        <v>75053.2</v>
      </c>
      <c r="AV102" s="42">
        <v>60741.599999999999</v>
      </c>
      <c r="AW102" s="42">
        <v>85622.399999999994</v>
      </c>
      <c r="AX102" s="107">
        <v>96271.2</v>
      </c>
      <c r="AY102" s="139">
        <f t="shared" ref="AY102:AY103" si="52">AX102/SUM($AX$101:$AX$103)</f>
        <v>0.76510460749836084</v>
      </c>
    </row>
    <row r="103" spans="1:51" ht="15.75">
      <c r="A103" s="93" t="s">
        <v>170</v>
      </c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>
        <v>1218.7</v>
      </c>
      <c r="AU103" s="42">
        <v>1843.6</v>
      </c>
      <c r="AV103" s="42">
        <v>1628.5</v>
      </c>
      <c r="AW103" s="42">
        <v>2156</v>
      </c>
      <c r="AX103" s="107">
        <v>2330.1</v>
      </c>
      <c r="AY103" s="139">
        <f t="shared" si="52"/>
        <v>1.851820945341837E-2</v>
      </c>
    </row>
    <row r="104" spans="1:51" ht="15.75">
      <c r="A104" s="93" t="s">
        <v>171</v>
      </c>
      <c r="B104" s="32"/>
      <c r="C104" s="32"/>
      <c r="D104" s="32">
        <f t="shared" ref="D104:AX104" si="53">SUM(D101:D103)-(D7*1000)</f>
        <v>0</v>
      </c>
      <c r="E104" s="32">
        <f t="shared" si="53"/>
        <v>0</v>
      </c>
      <c r="F104" s="32">
        <f t="shared" si="53"/>
        <v>0</v>
      </c>
      <c r="G104" s="32">
        <f t="shared" si="53"/>
        <v>0</v>
      </c>
      <c r="H104" s="32">
        <f t="shared" si="53"/>
        <v>0</v>
      </c>
      <c r="I104" s="32">
        <f t="shared" si="53"/>
        <v>0</v>
      </c>
      <c r="J104" s="32">
        <f t="shared" si="53"/>
        <v>0</v>
      </c>
      <c r="K104" s="32">
        <f t="shared" si="53"/>
        <v>0</v>
      </c>
      <c r="L104" s="32">
        <f t="shared" si="53"/>
        <v>0</v>
      </c>
      <c r="M104" s="32">
        <f t="shared" si="53"/>
        <v>0</v>
      </c>
      <c r="N104" s="32">
        <f t="shared" si="53"/>
        <v>0</v>
      </c>
      <c r="O104" s="32">
        <f t="shared" si="53"/>
        <v>0</v>
      </c>
      <c r="P104" s="32">
        <f t="shared" si="53"/>
        <v>0</v>
      </c>
      <c r="Q104" s="32">
        <f t="shared" si="53"/>
        <v>0</v>
      </c>
      <c r="R104" s="32">
        <f t="shared" si="53"/>
        <v>0</v>
      </c>
      <c r="S104" s="32">
        <f t="shared" si="53"/>
        <v>0</v>
      </c>
      <c r="T104" s="32">
        <f t="shared" si="53"/>
        <v>0</v>
      </c>
      <c r="U104" s="32">
        <f t="shared" si="53"/>
        <v>0</v>
      </c>
      <c r="V104" s="32">
        <f t="shared" si="53"/>
        <v>0</v>
      </c>
      <c r="W104" s="32">
        <f t="shared" si="53"/>
        <v>0</v>
      </c>
      <c r="X104" s="32">
        <f t="shared" si="53"/>
        <v>0</v>
      </c>
      <c r="Y104" s="32">
        <f t="shared" si="53"/>
        <v>0</v>
      </c>
      <c r="Z104" s="32">
        <f t="shared" si="53"/>
        <v>0</v>
      </c>
      <c r="AA104" s="32">
        <f t="shared" si="53"/>
        <v>0</v>
      </c>
      <c r="AB104" s="32">
        <f t="shared" si="53"/>
        <v>0</v>
      </c>
      <c r="AC104" s="32">
        <f t="shared" si="53"/>
        <v>0</v>
      </c>
      <c r="AD104" s="32">
        <f t="shared" si="53"/>
        <v>0</v>
      </c>
      <c r="AE104" s="32">
        <f t="shared" si="53"/>
        <v>0</v>
      </c>
      <c r="AF104" s="32">
        <f t="shared" si="53"/>
        <v>0</v>
      </c>
      <c r="AG104" s="32">
        <f t="shared" si="53"/>
        <v>0</v>
      </c>
      <c r="AH104" s="32">
        <f t="shared" si="53"/>
        <v>0</v>
      </c>
      <c r="AI104" s="32">
        <f t="shared" si="53"/>
        <v>0</v>
      </c>
      <c r="AJ104" s="32">
        <f t="shared" si="53"/>
        <v>0</v>
      </c>
      <c r="AK104" s="32">
        <f t="shared" si="53"/>
        <v>0</v>
      </c>
      <c r="AL104" s="32">
        <f t="shared" si="53"/>
        <v>0</v>
      </c>
      <c r="AM104" s="32">
        <f t="shared" si="53"/>
        <v>0</v>
      </c>
      <c r="AN104" s="32">
        <f t="shared" si="53"/>
        <v>-9.1899999984889291E-2</v>
      </c>
      <c r="AO104" s="32">
        <f t="shared" si="53"/>
        <v>9.9999999947613105E-3</v>
      </c>
      <c r="AP104" s="32">
        <f t="shared" si="53"/>
        <v>0.11160000000381842</v>
      </c>
      <c r="AQ104" s="32">
        <f t="shared" si="53"/>
        <v>0.20319999998901039</v>
      </c>
      <c r="AR104" s="32">
        <f t="shared" si="53"/>
        <v>0.11499999999068677</v>
      </c>
      <c r="AS104" s="32">
        <f t="shared" si="53"/>
        <v>9.5999999990453944E-2</v>
      </c>
      <c r="AT104" s="32">
        <f t="shared" si="53"/>
        <v>0.40069999999832362</v>
      </c>
      <c r="AU104" s="32">
        <f t="shared" si="53"/>
        <v>0</v>
      </c>
      <c r="AV104" s="32">
        <f t="shared" si="53"/>
        <v>-0.19999999999708962</v>
      </c>
      <c r="AW104" s="108">
        <f t="shared" si="53"/>
        <v>-305.99999999998545</v>
      </c>
      <c r="AX104" s="108">
        <f t="shared" si="53"/>
        <v>-6038.5999999999767</v>
      </c>
    </row>
    <row r="105" spans="1:51" ht="15.75">
      <c r="A105" s="93"/>
    </row>
    <row r="106" spans="1:51" ht="15.75">
      <c r="A106" s="93"/>
    </row>
    <row r="107" spans="1:51" ht="15.75">
      <c r="A107" s="93" t="s">
        <v>173</v>
      </c>
    </row>
    <row r="108" spans="1:51" ht="15.75">
      <c r="A108" s="93"/>
    </row>
    <row r="109" spans="1:51" ht="15.75">
      <c r="A109" s="93"/>
    </row>
    <row r="110" spans="1:51" ht="15.75">
      <c r="A110" s="93" t="s">
        <v>174</v>
      </c>
    </row>
    <row r="111" spans="1:51" ht="15.75">
      <c r="A111" s="93" t="s">
        <v>175</v>
      </c>
    </row>
    <row r="112" spans="1:51" ht="15.75">
      <c r="A112" s="93" t="s">
        <v>176</v>
      </c>
    </row>
    <row r="113" spans="1:1" ht="15.75">
      <c r="A113" s="93" t="s">
        <v>177</v>
      </c>
    </row>
    <row r="114" spans="1:1" ht="15.75">
      <c r="A114" s="93" t="s">
        <v>178</v>
      </c>
    </row>
    <row r="115" spans="1:1" ht="15.75">
      <c r="A115" s="93" t="s">
        <v>179</v>
      </c>
    </row>
    <row r="116" spans="1:1" ht="15.75">
      <c r="A116" s="93" t="s">
        <v>180</v>
      </c>
    </row>
    <row r="117" spans="1:1" ht="15.75">
      <c r="A117" s="93" t="s">
        <v>181</v>
      </c>
    </row>
    <row r="118" spans="1:1" ht="15.75">
      <c r="A118" s="93" t="s">
        <v>182</v>
      </c>
    </row>
    <row r="119" spans="1:1" ht="15.75">
      <c r="A119" s="93"/>
    </row>
    <row r="120" spans="1:1" ht="15.75">
      <c r="A120" s="93"/>
    </row>
    <row r="121" spans="1:1" ht="15.75">
      <c r="A121" s="93"/>
    </row>
    <row r="122" spans="1:1" ht="15.75">
      <c r="A122" s="93"/>
    </row>
    <row r="123" spans="1:1" ht="15.75">
      <c r="A123" s="93"/>
    </row>
    <row r="124" spans="1:1" ht="15.75">
      <c r="A124" s="93" t="s">
        <v>183</v>
      </c>
    </row>
    <row r="125" spans="1:1" ht="15.75">
      <c r="A125" s="93" t="s">
        <v>184</v>
      </c>
    </row>
    <row r="126" spans="1:1" ht="15.75">
      <c r="A126" s="93" t="s">
        <v>178</v>
      </c>
    </row>
    <row r="127" spans="1:1" ht="15.75">
      <c r="A127" s="93" t="s">
        <v>185</v>
      </c>
    </row>
    <row r="128" spans="1:1" ht="15.75">
      <c r="A128" s="93" t="s">
        <v>186</v>
      </c>
    </row>
    <row r="129" spans="1:1" ht="15.75">
      <c r="A129" s="93" t="s">
        <v>19</v>
      </c>
    </row>
    <row r="130" spans="1:1" ht="15.75">
      <c r="A130" s="93"/>
    </row>
    <row r="131" spans="1:1" ht="15.75">
      <c r="A131" s="93"/>
    </row>
    <row r="132" spans="1:1" ht="15.75">
      <c r="A132" s="93"/>
    </row>
    <row r="133" spans="1:1" ht="15.75">
      <c r="A133" s="93" t="s">
        <v>187</v>
      </c>
    </row>
    <row r="134" spans="1:1" ht="15.75">
      <c r="A134" s="93" t="s">
        <v>188</v>
      </c>
    </row>
    <row r="135" spans="1:1" ht="15.75">
      <c r="A135" s="93" t="s">
        <v>13</v>
      </c>
    </row>
    <row r="136" spans="1:1" ht="15.75">
      <c r="A136" s="93" t="s">
        <v>14</v>
      </c>
    </row>
    <row r="137" spans="1:1" ht="15.75">
      <c r="A137" s="93" t="s">
        <v>189</v>
      </c>
    </row>
    <row r="138" spans="1:1" ht="15.75">
      <c r="A138" s="93" t="s">
        <v>190</v>
      </c>
    </row>
    <row r="139" spans="1:1" ht="15.75">
      <c r="A139" s="93" t="s">
        <v>19</v>
      </c>
    </row>
    <row r="140" spans="1:1" ht="15.75">
      <c r="A140" s="93" t="s">
        <v>191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E713-EED5-4A5A-B925-E57B131AE52F}">
  <dimension ref="A1:BK999"/>
  <sheetViews>
    <sheetView tabSelected="1" zoomScale="87" zoomScaleNormal="87" workbookViewId="0">
      <pane xSplit="1" ySplit="3" topLeftCell="B124" activePane="bottomRight" state="frozen"/>
      <selection pane="topRight" activeCell="B1" sqref="B1"/>
      <selection pane="bottomLeft" activeCell="A4" sqref="A4"/>
      <selection pane="bottomRight" activeCell="AY2" sqref="AY2:BA2"/>
    </sheetView>
  </sheetViews>
  <sheetFormatPr defaultColWidth="8.85546875" defaultRowHeight="15" customHeight="1"/>
  <cols>
    <col min="1" max="1" width="34.42578125" style="309" bestFit="1" customWidth="1"/>
    <col min="2" max="2" width="12.85546875" style="309" customWidth="1"/>
    <col min="3" max="32" width="12.85546875" style="309" hidden="1" customWidth="1"/>
    <col min="33" max="45" width="13" style="309" hidden="1" customWidth="1"/>
    <col min="46" max="48" width="13.140625" style="309" bestFit="1" customWidth="1"/>
    <col min="49" max="50" width="12.85546875" style="309" customWidth="1"/>
    <col min="51" max="53" width="13.42578125" style="309" customWidth="1"/>
    <col min="54" max="56" width="14.140625" style="309" customWidth="1"/>
    <col min="57" max="57" width="8.85546875" style="309"/>
    <col min="59" max="59" width="71.42578125" style="308" customWidth="1"/>
    <col min="60" max="60" width="14.85546875" style="309" bestFit="1" customWidth="1"/>
    <col min="61" max="61" width="9" style="309" bestFit="1" customWidth="1"/>
    <col min="62" max="16384" width="8.85546875" style="309"/>
  </cols>
  <sheetData>
    <row r="1" spans="1:63" ht="26.1" customHeight="1">
      <c r="A1" s="307" t="s">
        <v>305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  <c r="AN1" s="349"/>
      <c r="AO1" s="349"/>
      <c r="AP1" s="349"/>
      <c r="AQ1" s="349"/>
      <c r="AR1" s="349"/>
      <c r="AS1" s="349"/>
      <c r="AT1" s="349"/>
      <c r="AU1" s="349"/>
      <c r="AV1" s="349"/>
      <c r="AW1" s="349"/>
      <c r="AX1" s="349"/>
      <c r="AY1" s="349"/>
      <c r="AZ1" s="349"/>
      <c r="BA1" s="349"/>
      <c r="BB1" s="390" t="s">
        <v>306</v>
      </c>
      <c r="BC1" s="390" t="s">
        <v>307</v>
      </c>
      <c r="BD1" s="391" t="s">
        <v>308</v>
      </c>
      <c r="BE1" s="392" t="s">
        <v>309</v>
      </c>
      <c r="BF1" s="393" t="s">
        <v>310</v>
      </c>
    </row>
    <row r="2" spans="1:63" ht="16.5" customHeight="1" thickBot="1">
      <c r="A2" s="310" t="s">
        <v>311</v>
      </c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  <c r="AE2" s="349"/>
      <c r="AF2" s="349"/>
      <c r="AG2" s="349"/>
      <c r="AH2" s="349"/>
      <c r="AI2" s="349"/>
      <c r="AJ2" s="349"/>
      <c r="AK2" s="349"/>
      <c r="AL2" s="349"/>
      <c r="AM2" s="349"/>
      <c r="AN2" s="349"/>
      <c r="AO2" s="349"/>
      <c r="AP2" s="349"/>
      <c r="AQ2" s="349"/>
      <c r="AR2" s="349"/>
      <c r="AS2" s="349"/>
      <c r="AT2" s="349"/>
      <c r="AU2" s="349"/>
      <c r="AV2" s="349"/>
      <c r="AW2" s="349"/>
      <c r="AX2" s="349"/>
      <c r="AY2" s="389" t="s">
        <v>312</v>
      </c>
      <c r="AZ2" s="389"/>
      <c r="BA2" s="389"/>
      <c r="BB2" s="390"/>
      <c r="BC2" s="390"/>
      <c r="BD2" s="391"/>
      <c r="BE2" s="392"/>
      <c r="BF2" s="393"/>
      <c r="BH2" s="311"/>
      <c r="BI2" s="311"/>
      <c r="BJ2" s="311"/>
      <c r="BK2" s="311"/>
    </row>
    <row r="3" spans="1:63" ht="15.75" thickBot="1">
      <c r="A3" s="312" t="s">
        <v>313</v>
      </c>
      <c r="B3" s="313" t="s">
        <v>314</v>
      </c>
      <c r="C3" s="313" t="s">
        <v>315</v>
      </c>
      <c r="D3" s="313" t="s">
        <v>316</v>
      </c>
      <c r="E3" s="313" t="s">
        <v>317</v>
      </c>
      <c r="F3" s="313" t="s">
        <v>318</v>
      </c>
      <c r="G3" s="313" t="s">
        <v>319</v>
      </c>
      <c r="H3" s="313" t="s">
        <v>320</v>
      </c>
      <c r="I3" s="313" t="s">
        <v>321</v>
      </c>
      <c r="J3" s="313" t="s">
        <v>322</v>
      </c>
      <c r="K3" s="313" t="s">
        <v>323</v>
      </c>
      <c r="L3" s="313" t="s">
        <v>324</v>
      </c>
      <c r="M3" s="313" t="s">
        <v>325</v>
      </c>
      <c r="N3" s="313" t="s">
        <v>326</v>
      </c>
      <c r="O3" s="313" t="s">
        <v>327</v>
      </c>
      <c r="P3" s="313" t="s">
        <v>328</v>
      </c>
      <c r="Q3" s="313" t="s">
        <v>329</v>
      </c>
      <c r="R3" s="313" t="s">
        <v>330</v>
      </c>
      <c r="S3" s="313" t="s">
        <v>331</v>
      </c>
      <c r="T3" s="313" t="s">
        <v>332</v>
      </c>
      <c r="U3" s="313" t="s">
        <v>333</v>
      </c>
      <c r="V3" s="313" t="s">
        <v>334</v>
      </c>
      <c r="W3" s="313" t="s">
        <v>335</v>
      </c>
      <c r="X3" s="313" t="s">
        <v>336</v>
      </c>
      <c r="Y3" s="313" t="s">
        <v>337</v>
      </c>
      <c r="Z3" s="313" t="s">
        <v>338</v>
      </c>
      <c r="AA3" s="313" t="s">
        <v>339</v>
      </c>
      <c r="AB3" s="313" t="s">
        <v>340</v>
      </c>
      <c r="AC3" s="313" t="s">
        <v>341</v>
      </c>
      <c r="AD3" s="313" t="s">
        <v>342</v>
      </c>
      <c r="AE3" s="314" t="s">
        <v>343</v>
      </c>
      <c r="AF3" s="314" t="s">
        <v>344</v>
      </c>
      <c r="AG3" s="314" t="s">
        <v>345</v>
      </c>
      <c r="AH3" s="314" t="s">
        <v>346</v>
      </c>
      <c r="AI3" s="314" t="s">
        <v>347</v>
      </c>
      <c r="AJ3" s="314" t="s">
        <v>146</v>
      </c>
      <c r="AK3" s="314" t="s">
        <v>147</v>
      </c>
      <c r="AL3" s="314" t="s">
        <v>148</v>
      </c>
      <c r="AM3" s="314" t="s">
        <v>149</v>
      </c>
      <c r="AN3" s="314" t="s">
        <v>150</v>
      </c>
      <c r="AO3" s="314" t="s">
        <v>151</v>
      </c>
      <c r="AP3" s="314" t="s">
        <v>152</v>
      </c>
      <c r="AQ3" s="314" t="s">
        <v>153</v>
      </c>
      <c r="AR3" s="314" t="s">
        <v>154</v>
      </c>
      <c r="AS3" s="314" t="s">
        <v>155</v>
      </c>
      <c r="AT3" s="314" t="s">
        <v>156</v>
      </c>
      <c r="AU3" s="314" t="s">
        <v>157</v>
      </c>
      <c r="AV3" s="314" t="s">
        <v>158</v>
      </c>
      <c r="AW3" s="314" t="s">
        <v>159</v>
      </c>
      <c r="AX3" s="314" t="s">
        <v>160</v>
      </c>
      <c r="AY3" s="315" t="s">
        <v>348</v>
      </c>
      <c r="AZ3" s="316" t="s">
        <v>349</v>
      </c>
      <c r="BA3" s="348" t="s">
        <v>350</v>
      </c>
      <c r="BB3" s="390"/>
      <c r="BC3" s="390"/>
      <c r="BD3" s="391"/>
      <c r="BE3" s="392"/>
      <c r="BF3" s="393"/>
      <c r="BG3" s="317" t="s">
        <v>351</v>
      </c>
    </row>
    <row r="4" spans="1:63" ht="15" customHeight="1">
      <c r="A4" s="318" t="s">
        <v>352</v>
      </c>
      <c r="B4" s="344">
        <f>'BZ by State 1st Crop'!B4+'BZ by State 2nd Crop'!B4+'BZ by State 3rd Crop'!B4</f>
        <v>117.136</v>
      </c>
      <c r="C4" s="344">
        <f>'BZ by State 1st Crop'!C4+'BZ by State 2nd Crop'!C4+'BZ by State 3rd Crop'!C4</f>
        <v>128.16</v>
      </c>
      <c r="D4" s="344">
        <f>'BZ by State 1st Crop'!D4+'BZ by State 2nd Crop'!D4+'BZ by State 3rd Crop'!D4</f>
        <v>108.813</v>
      </c>
      <c r="E4" s="344">
        <f>'BZ by State 1st Crop'!E4+'BZ by State 2nd Crop'!E4+'BZ by State 3rd Crop'!E4</f>
        <v>178.68299999999999</v>
      </c>
      <c r="F4" s="344">
        <f>'BZ by State 1st Crop'!F4+'BZ by State 2nd Crop'!F4+'BZ by State 3rd Crop'!F4</f>
        <v>192.34399999999999</v>
      </c>
      <c r="G4" s="344">
        <f>'BZ by State 1st Crop'!G4+'BZ by State 2nd Crop'!G4+'BZ by State 3rd Crop'!G4</f>
        <v>235.65199999999999</v>
      </c>
      <c r="H4" s="344">
        <f>'BZ by State 1st Crop'!H4+'BZ by State 2nd Crop'!H4+'BZ by State 3rd Crop'!H4</f>
        <v>175.685</v>
      </c>
      <c r="I4" s="344">
        <f>'BZ by State 1st Crop'!I4+'BZ by State 2nd Crop'!I4+'BZ by State 3rd Crop'!I4</f>
        <v>254.92899999999997</v>
      </c>
      <c r="J4" s="344">
        <f>'BZ by State 1st Crop'!J4+'BZ by State 2nd Crop'!J4+'BZ by State 3rd Crop'!J4</f>
        <v>236.46299999999999</v>
      </c>
      <c r="K4" s="344">
        <f>'BZ by State 1st Crop'!K4+'BZ by State 2nd Crop'!K4+'BZ by State 3rd Crop'!K4</f>
        <v>283.25099999999998</v>
      </c>
      <c r="L4" s="344">
        <f>'BZ by State 1st Crop'!L4+'BZ by State 2nd Crop'!L4+'BZ by State 3rd Crop'!L4</f>
        <v>318.85299999999995</v>
      </c>
      <c r="M4" s="344">
        <f>'BZ by State 1st Crop'!M4+'BZ by State 2nd Crop'!M4+'BZ by State 3rd Crop'!M4</f>
        <v>500.89599999999996</v>
      </c>
      <c r="N4" s="344">
        <f>'BZ by State 1st Crop'!N4+'BZ by State 2nd Crop'!N4+'BZ by State 3rd Crop'!N4</f>
        <v>520.73500000000001</v>
      </c>
      <c r="O4" s="344">
        <f>'BZ by State 1st Crop'!O4+'BZ by State 2nd Crop'!O4+'BZ by State 3rd Crop'!O4</f>
        <v>394.79499999999996</v>
      </c>
      <c r="P4" s="344">
        <f>'BZ by State 1st Crop'!P4+'BZ by State 2nd Crop'!P4+'BZ by State 3rd Crop'!P4</f>
        <v>425.4</v>
      </c>
      <c r="Q4" s="344">
        <f>'BZ by State 1st Crop'!Q4+'BZ by State 2nd Crop'!Q4+'BZ by State 3rd Crop'!Q4</f>
        <v>439.2</v>
      </c>
      <c r="R4" s="344">
        <f>'BZ by State 1st Crop'!R4+'BZ by State 2nd Crop'!R4+'BZ by State 3rd Crop'!R4</f>
        <v>459.5</v>
      </c>
      <c r="S4" s="344">
        <f>'BZ by State 1st Crop'!S4+'BZ by State 2nd Crop'!S4+'BZ by State 3rd Crop'!S4</f>
        <v>513.5</v>
      </c>
      <c r="T4" s="344">
        <f>'BZ by State 1st Crop'!T4+'BZ by State 2nd Crop'!T4+'BZ by State 3rd Crop'!T4</f>
        <v>619.29999999999995</v>
      </c>
      <c r="U4" s="344">
        <f>'BZ by State 1st Crop'!U4+'BZ by State 2nd Crop'!U4+'BZ by State 3rd Crop'!U4</f>
        <v>595.59999999999991</v>
      </c>
      <c r="V4" s="344">
        <f>'BZ by State 1st Crop'!V4+'BZ by State 2nd Crop'!V4+'BZ by State 3rd Crop'!V4</f>
        <v>564</v>
      </c>
      <c r="W4" s="344">
        <f>'BZ by State 1st Crop'!W4+'BZ by State 2nd Crop'!W4+'BZ by State 3rd Crop'!W4</f>
        <v>607</v>
      </c>
      <c r="X4" s="344">
        <f>'BZ by State 1st Crop'!X4+'BZ by State 2nd Crop'!X4+'BZ by State 3rd Crop'!X4</f>
        <v>666</v>
      </c>
      <c r="Y4" s="344">
        <f>'BZ by State 1st Crop'!Y4+'BZ by State 2nd Crop'!Y4+'BZ by State 3rd Crop'!Y4</f>
        <v>667.5</v>
      </c>
      <c r="Z4" s="344">
        <f>'BZ by State 1st Crop'!Z4+'BZ by State 2nd Crop'!Z4+'BZ by State 3rd Crop'!Z4</f>
        <v>558.6</v>
      </c>
      <c r="AA4" s="344">
        <f>'BZ by State 1st Crop'!AA4+'BZ by State 2nd Crop'!AA4+'BZ by State 3rd Crop'!AA4</f>
        <v>491.3</v>
      </c>
      <c r="AB4" s="344">
        <f>'BZ by State 1st Crop'!AB4+'BZ by State 2nd Crop'!AB4+'BZ by State 3rd Crop'!AB4</f>
        <v>517.70000000000005</v>
      </c>
      <c r="AC4" s="344">
        <f>'BZ by State 1st Crop'!AC4+'BZ by State 2nd Crop'!AC4+'BZ by State 3rd Crop'!AC4</f>
        <v>563.6</v>
      </c>
      <c r="AD4" s="344">
        <f>'BZ by State 1st Crop'!AD4+'BZ by State 2nd Crop'!AD4+'BZ by State 3rd Crop'!AD4</f>
        <v>567.30000000000007</v>
      </c>
      <c r="AE4" s="344">
        <f>'BZ by State 1st Crop'!AE4+'BZ by State 2nd Crop'!AE4+'BZ by State 3rd Crop'!AE4</f>
        <v>556.6</v>
      </c>
      <c r="AF4" s="344">
        <f>'BZ by State 1st Crop'!AF4+'BZ by State 2nd Crop'!AF4+'BZ by State 3rd Crop'!AF4</f>
        <v>564.5</v>
      </c>
      <c r="AG4" s="344">
        <f>'BZ by State 1st Crop'!AG4+'BZ by State 2nd Crop'!AG4+'BZ by State 3rd Crop'!AG4</f>
        <v>572.29999999999995</v>
      </c>
      <c r="AH4" s="344">
        <f>'BZ by State 1st Crop'!AH4+'BZ by State 2nd Crop'!AH4+'BZ by State 3rd Crop'!AH4</f>
        <v>521.4</v>
      </c>
      <c r="AI4" s="344">
        <f>'BZ by State 1st Crop'!AI4+'BZ by State 2nd Crop'!AI4+'BZ by State 3rd Crop'!AI4</f>
        <v>514</v>
      </c>
      <c r="AJ4" s="344">
        <f>'BZ by State 1st Crop'!AJ4+'BZ by State 2nd Crop'!AJ4+'BZ by State 3rd Crop'!AJ4</f>
        <v>521.70000000000005</v>
      </c>
      <c r="AK4" s="344">
        <f>'BZ by State 1st Crop'!AK4+'BZ by State 2nd Crop'!AK4+'BZ by State 3rd Crop'!AK4</f>
        <v>569.5</v>
      </c>
      <c r="AL4" s="344">
        <f>'BZ by State 1st Crop'!AL4+'BZ by State 2nd Crop'!AL4+'BZ by State 3rd Crop'!AL4</f>
        <v>528.29999999999995</v>
      </c>
      <c r="AM4" s="344">
        <f>'BZ by State 1st Crop'!AM4+'BZ by State 2nd Crop'!AM4+'BZ by State 3rd Crop'!AM4</f>
        <v>551.20000000000005</v>
      </c>
      <c r="AN4" s="344">
        <f>'BZ by State 1st Crop'!AN4+'BZ by State 2nd Crop'!AN4+'BZ by State 3rd Crop'!AN4</f>
        <v>667.3</v>
      </c>
      <c r="AO4" s="344">
        <f>'BZ by State 1st Crop'!AO4+'BZ by State 2nd Crop'!AO4+'BZ by State 3rd Crop'!AO4</f>
        <v>573.20000000000005</v>
      </c>
      <c r="AP4" s="344">
        <f>'BZ by State 1st Crop'!AP4+'BZ by State 2nd Crop'!AP4+'BZ by State 3rd Crop'!AP4</f>
        <v>713</v>
      </c>
      <c r="AQ4" s="344">
        <f>'BZ by State 1st Crop'!AQ4+'BZ by State 2nd Crop'!AQ4+'BZ by State 3rd Crop'!AQ4</f>
        <v>676.5</v>
      </c>
      <c r="AR4" s="344">
        <f>'BZ by State 1st Crop'!AR4+'BZ by State 2nd Crop'!AR4+'BZ by State 3rd Crop'!AR4</f>
        <v>739.3</v>
      </c>
      <c r="AS4" s="344">
        <f>'BZ by State 1st Crop'!AS4+'BZ by State 2nd Crop'!AS4+'BZ by State 3rd Crop'!AS4</f>
        <v>804.8</v>
      </c>
      <c r="AT4" s="344">
        <f>'BZ by State 1st Crop'!AT4+'BZ by State 2nd Crop'!AT4+'BZ by State 3rd Crop'!AT4</f>
        <v>895.59999999999991</v>
      </c>
      <c r="AU4" s="344">
        <f>'BZ by State 1st Crop'!AU4+'BZ by State 2nd Crop'!AU4+'BZ by State 3rd Crop'!AU4</f>
        <v>1089.5999999999999</v>
      </c>
      <c r="AV4" s="344">
        <f>'BZ by State 1st Crop'!AV4+'BZ by State 2nd Crop'!AV4+'BZ by State 3rd Crop'!AV4</f>
        <v>1229.8999999999999</v>
      </c>
      <c r="AW4" s="344">
        <f>'BZ by State 1st Crop'!AW4+'BZ by State 2nd Crop'!AW4+'BZ by State 3rd Crop'!AW4</f>
        <v>1279.4999999999998</v>
      </c>
      <c r="AX4" s="344">
        <f>'BZ by State 1st Crop'!AX4+'BZ by State 2nd Crop'!AX4+'BZ by State 3rd Crop'!AX4</f>
        <v>1549.8</v>
      </c>
      <c r="AY4" s="369">
        <f>'BZ by State 1st Crop'!AY4+'BZ by State 2nd Crop'!AY4+'BZ by State 3rd Crop'!AY4</f>
        <v>1646.6999999999998</v>
      </c>
      <c r="AZ4" s="366">
        <f>AZ8+AZ12+AZ16+AZ20+AZ24+AZ28+AZ32</f>
        <v>1646.6999999999998</v>
      </c>
      <c r="BA4" s="373">
        <f>AZ4-AY4</f>
        <v>0</v>
      </c>
      <c r="BB4" s="374">
        <f>AY4-AX4</f>
        <v>96.899999999999864</v>
      </c>
      <c r="BC4" s="375">
        <f>AZ4-AX4</f>
        <v>96.899999999999864</v>
      </c>
      <c r="BD4" s="350">
        <f>(AX4/AS4)^(1/5)-1</f>
        <v>0.14003330169953232</v>
      </c>
      <c r="BF4" s="319" t="b">
        <v>0</v>
      </c>
      <c r="BH4" s="311"/>
      <c r="BI4" s="311"/>
      <c r="BJ4" s="311"/>
      <c r="BK4" s="311"/>
    </row>
    <row r="5" spans="1:63" ht="15" customHeight="1">
      <c r="A5" s="318" t="s">
        <v>353</v>
      </c>
      <c r="B5" s="345">
        <f>B6/B4*1000</f>
        <v>1010.1762054364158</v>
      </c>
      <c r="C5" s="345">
        <f t="shared" ref="C5:AY5" si="0">C6/C4*1000</f>
        <v>7654.4943820224717</v>
      </c>
      <c r="D5" s="345">
        <f t="shared" si="0"/>
        <v>8850.0454908880383</v>
      </c>
      <c r="E5" s="345">
        <f t="shared" si="0"/>
        <v>10980.339483890466</v>
      </c>
      <c r="F5" s="345">
        <f t="shared" si="0"/>
        <v>10715.176974587199</v>
      </c>
      <c r="G5" s="345">
        <f t="shared" si="0"/>
        <v>10439.12209529306</v>
      </c>
      <c r="H5" s="345">
        <f t="shared" si="0"/>
        <v>9989.4697896803937</v>
      </c>
      <c r="I5" s="345">
        <f t="shared" si="0"/>
        <v>11626.766668366487</v>
      </c>
      <c r="J5" s="345">
        <f t="shared" si="0"/>
        <v>11189.911318049759</v>
      </c>
      <c r="K5" s="345">
        <f t="shared" si="0"/>
        <v>12137.644703813934</v>
      </c>
      <c r="L5" s="345">
        <f t="shared" si="0"/>
        <v>10161.422348229436</v>
      </c>
      <c r="M5" s="345">
        <f t="shared" si="0"/>
        <v>7342.8416278029772</v>
      </c>
      <c r="N5" s="345">
        <f t="shared" si="0"/>
        <v>7529.7416152169526</v>
      </c>
      <c r="O5" s="345">
        <f t="shared" si="0"/>
        <v>9369.4195721830329</v>
      </c>
      <c r="P5" s="345">
        <f t="shared" si="0"/>
        <v>8687.5881523272201</v>
      </c>
      <c r="Q5" s="345">
        <f t="shared" si="0"/>
        <v>10857.923497267759</v>
      </c>
      <c r="R5" s="345">
        <f t="shared" si="0"/>
        <v>11737.540805223069</v>
      </c>
      <c r="S5" s="345">
        <f t="shared" si="0"/>
        <v>13633.495618305744</v>
      </c>
      <c r="T5" s="345">
        <f t="shared" si="0"/>
        <v>11165.832391409656</v>
      </c>
      <c r="U5" s="345">
        <f t="shared" si="0"/>
        <v>11764.271323035595</v>
      </c>
      <c r="V5" s="345">
        <f t="shared" si="0"/>
        <v>12417.021276595746</v>
      </c>
      <c r="W5" s="345">
        <f t="shared" si="0"/>
        <v>7917.6276771004923</v>
      </c>
      <c r="X5" s="345">
        <f t="shared" si="0"/>
        <v>5958.1081081081084</v>
      </c>
      <c r="Y5" s="345">
        <f t="shared" si="0"/>
        <v>6138.8764044943837</v>
      </c>
      <c r="Z5" s="345">
        <f t="shared" si="0"/>
        <v>6736.3050483351226</v>
      </c>
      <c r="AA5" s="345">
        <f t="shared" si="0"/>
        <v>6744.9623447995109</v>
      </c>
      <c r="AB5" s="345">
        <f t="shared" si="0"/>
        <v>6644.9681282596093</v>
      </c>
      <c r="AC5" s="345">
        <f t="shared" si="0"/>
        <v>9026.0823278921216</v>
      </c>
      <c r="AD5" s="345">
        <f t="shared" si="0"/>
        <v>8634.5848757271269</v>
      </c>
      <c r="AE5" s="345">
        <f t="shared" si="0"/>
        <v>9386.9924541861292</v>
      </c>
      <c r="AF5" s="345">
        <f t="shared" si="0"/>
        <v>9772.1877767936239</v>
      </c>
      <c r="AG5" s="345">
        <f t="shared" si="0"/>
        <v>12141.534160405383</v>
      </c>
      <c r="AH5" s="345">
        <f t="shared" si="0"/>
        <v>11376.294591484464</v>
      </c>
      <c r="AI5" s="345">
        <f t="shared" si="0"/>
        <v>13178.988326848248</v>
      </c>
      <c r="AJ5" s="345">
        <f t="shared" si="0"/>
        <v>12181.713628522139</v>
      </c>
      <c r="AK5" s="345">
        <f t="shared" si="0"/>
        <v>14408.428446005266</v>
      </c>
      <c r="AL5" s="345">
        <f t="shared" si="0"/>
        <v>17164.111300397501</v>
      </c>
      <c r="AM5" s="345">
        <f t="shared" si="0"/>
        <v>14905.84179970972</v>
      </c>
      <c r="AN5" s="345">
        <f t="shared" si="0"/>
        <v>17637.644237973924</v>
      </c>
      <c r="AO5" s="345">
        <f t="shared" si="0"/>
        <v>20604.326587578507</v>
      </c>
      <c r="AP5" s="345">
        <f t="shared" si="0"/>
        <v>20261.991584852738</v>
      </c>
      <c r="AQ5" s="345">
        <f t="shared" si="0"/>
        <v>19960.088691796009</v>
      </c>
      <c r="AR5" s="345">
        <f t="shared" si="0"/>
        <v>22915.731096983633</v>
      </c>
      <c r="AS5" s="345">
        <f t="shared" si="0"/>
        <v>22792.99204771372</v>
      </c>
      <c r="AT5" s="345">
        <f t="shared" si="0"/>
        <v>3926.6870254577939</v>
      </c>
      <c r="AU5" s="345">
        <f t="shared" si="0"/>
        <v>4277.149082232012</v>
      </c>
      <c r="AV5" s="345">
        <f t="shared" si="0"/>
        <v>4331.5832181478172</v>
      </c>
      <c r="AW5" s="345">
        <f t="shared" si="0"/>
        <v>4524.5087924970694</v>
      </c>
      <c r="AX5" s="345">
        <f t="shared" si="0"/>
        <v>4971.8918570138076</v>
      </c>
      <c r="AY5" s="346">
        <f t="shared" si="0"/>
        <v>4655.6485091394907</v>
      </c>
      <c r="AZ5" s="347">
        <f>AZ6/AZ4*1000</f>
        <v>4701.4422784963872</v>
      </c>
      <c r="BA5" s="347">
        <f>AZ5-AY5</f>
        <v>45.793769356896519</v>
      </c>
      <c r="BB5" s="351">
        <f t="shared" ref="BB5:BB6" si="1">AY5-AX5</f>
        <v>-316.2433478743169</v>
      </c>
      <c r="BC5" s="352">
        <f t="shared" ref="BC5:BC6" si="2">AZ5-AX5</f>
        <v>-270.44957851742038</v>
      </c>
      <c r="BD5" s="353">
        <f t="shared" ref="BD5:BD6" si="3">(AX5/AS5)^(1/5)-1</f>
        <v>-0.26253049433552089</v>
      </c>
    </row>
    <row r="6" spans="1:63" ht="15" customHeight="1">
      <c r="A6" s="318" t="s">
        <v>354</v>
      </c>
      <c r="B6" s="344">
        <f>'BZ by State 1st Crop'!B6+'BZ by State 2nd Crop'!B6+'BZ by State 3rd Crop'!B6</f>
        <v>118.328</v>
      </c>
      <c r="C6" s="344">
        <f>'BZ by State 1st Crop'!C6+'BZ by State 2nd Crop'!C6+'BZ by State 3rd Crop'!C6</f>
        <v>981</v>
      </c>
      <c r="D6" s="344">
        <f>'BZ by State 1st Crop'!D6+'BZ by State 2nd Crop'!D6+'BZ by State 3rd Crop'!D6</f>
        <v>963</v>
      </c>
      <c r="E6" s="344">
        <f>'BZ by State 1st Crop'!E6+'BZ by State 2nd Crop'!E6+'BZ by State 3rd Crop'!E6</f>
        <v>1962</v>
      </c>
      <c r="F6" s="344">
        <f>'BZ by State 1st Crop'!F6+'BZ by State 2nd Crop'!F6+'BZ by State 3rd Crop'!F6</f>
        <v>2061</v>
      </c>
      <c r="G6" s="344">
        <f>'BZ by State 1st Crop'!G6+'BZ by State 2nd Crop'!G6+'BZ by State 3rd Crop'!G6</f>
        <v>2460</v>
      </c>
      <c r="H6" s="344">
        <f>'BZ by State 1st Crop'!H6+'BZ by State 2nd Crop'!H6+'BZ by State 3rd Crop'!H6</f>
        <v>1755</v>
      </c>
      <c r="I6" s="344">
        <f>'BZ by State 1st Crop'!I6+'BZ by State 2nd Crop'!I6+'BZ by State 3rd Crop'!I6</f>
        <v>2964</v>
      </c>
      <c r="J6" s="344">
        <f>'BZ by State 1st Crop'!J6+'BZ by State 2nd Crop'!J6+'BZ by State 3rd Crop'!J6</f>
        <v>2646</v>
      </c>
      <c r="K6" s="344">
        <f>'BZ by State 1st Crop'!K6+'BZ by State 2nd Crop'!K6+'BZ by State 3rd Crop'!K6</f>
        <v>3438</v>
      </c>
      <c r="L6" s="344">
        <f>'BZ by State 1st Crop'!L6+'BZ by State 2nd Crop'!L6+'BZ by State 3rd Crop'!L6</f>
        <v>3240</v>
      </c>
      <c r="M6" s="344">
        <f>'BZ by State 1st Crop'!M6+'BZ by State 2nd Crop'!M6+'BZ by State 3rd Crop'!M6</f>
        <v>3678</v>
      </c>
      <c r="N6" s="344">
        <f>'BZ by State 1st Crop'!N6+'BZ by State 2nd Crop'!N6+'BZ by State 3rd Crop'!N6</f>
        <v>3921</v>
      </c>
      <c r="O6" s="344">
        <f>'BZ by State 1st Crop'!O6+'BZ by State 2nd Crop'!O6+'BZ by State 3rd Crop'!O6</f>
        <v>3699</v>
      </c>
      <c r="P6" s="344">
        <f>'BZ by State 1st Crop'!P6+'BZ by State 2nd Crop'!P6+'BZ by State 3rd Crop'!P6</f>
        <v>3695.7</v>
      </c>
      <c r="Q6" s="344">
        <f>'BZ by State 1st Crop'!Q6+'BZ by State 2nd Crop'!Q6+'BZ by State 3rd Crop'!Q6</f>
        <v>4768.7999999999993</v>
      </c>
      <c r="R6" s="344">
        <f>'BZ by State 1st Crop'!R6+'BZ by State 2nd Crop'!R6+'BZ by State 3rd Crop'!R6</f>
        <v>5393.4</v>
      </c>
      <c r="S6" s="344">
        <f>'BZ by State 1st Crop'!S6+'BZ by State 2nd Crop'!S6+'BZ by State 3rd Crop'!S6</f>
        <v>7000.7999999999993</v>
      </c>
      <c r="T6" s="344">
        <f>'BZ by State 1st Crop'!T6+'BZ by State 2nd Crop'!T6+'BZ by State 3rd Crop'!T6</f>
        <v>6915</v>
      </c>
      <c r="U6" s="344">
        <f>'BZ by State 1st Crop'!U6+'BZ by State 2nd Crop'!U6+'BZ by State 3rd Crop'!U6</f>
        <v>7006.7999999999993</v>
      </c>
      <c r="V6" s="344">
        <f>'BZ by State 1st Crop'!V6+'BZ by State 2nd Crop'!V6+'BZ by State 3rd Crop'!V6</f>
        <v>7003.2000000000007</v>
      </c>
      <c r="W6" s="344">
        <f>'BZ by State 1st Crop'!W6+'BZ by State 2nd Crop'!W6+'BZ by State 3rd Crop'!W6</f>
        <v>4805.9999999999991</v>
      </c>
      <c r="X6" s="344">
        <f>'BZ by State 1st Crop'!X6+'BZ by State 2nd Crop'!X6+'BZ by State 3rd Crop'!X6</f>
        <v>3968.1000000000004</v>
      </c>
      <c r="Y6" s="344">
        <f>'BZ by State 1st Crop'!Y6+'BZ by State 2nd Crop'!Y6+'BZ by State 3rd Crop'!Y6</f>
        <v>4097.7000000000007</v>
      </c>
      <c r="Z6" s="344">
        <f>'BZ by State 1st Crop'!Z6+'BZ by State 2nd Crop'!Z6+'BZ by State 3rd Crop'!Z6</f>
        <v>3762.8999999999996</v>
      </c>
      <c r="AA6" s="344">
        <f>'BZ by State 1st Crop'!AA6+'BZ by State 2nd Crop'!AA6+'BZ by State 3rd Crop'!AA6</f>
        <v>3313.7999999999997</v>
      </c>
      <c r="AB6" s="344">
        <f>'BZ by State 1st Crop'!AB6+'BZ by State 2nd Crop'!AB6+'BZ by State 3rd Crop'!AB6</f>
        <v>3440.1000000000004</v>
      </c>
      <c r="AC6" s="344">
        <f>'BZ by State 1st Crop'!AC6+'BZ by State 2nd Crop'!AC6+'BZ by State 3rd Crop'!AC6</f>
        <v>5087.0999999999995</v>
      </c>
      <c r="AD6" s="344">
        <f>'BZ by State 1st Crop'!AD6+'BZ by State 2nd Crop'!AD6+'BZ by State 3rd Crop'!AD6</f>
        <v>4898.3999999999996</v>
      </c>
      <c r="AE6" s="344">
        <f>'BZ by State 1st Crop'!AE6+'BZ by State 2nd Crop'!AE6+'BZ by State 3rd Crop'!AE6</f>
        <v>5224.8</v>
      </c>
      <c r="AF6" s="344">
        <f>'BZ by State 1st Crop'!AF6+'BZ by State 2nd Crop'!AF6+'BZ by State 3rd Crop'!AF6</f>
        <v>5516.4000000000005</v>
      </c>
      <c r="AG6" s="344">
        <f>'BZ by State 1st Crop'!AG6+'BZ by State 2nd Crop'!AG6+'BZ by State 3rd Crop'!AG6</f>
        <v>6948.6</v>
      </c>
      <c r="AH6" s="344">
        <f>'BZ by State 1st Crop'!AH6+'BZ by State 2nd Crop'!AH6+'BZ by State 3rd Crop'!AH6</f>
        <v>5931.5999999999995</v>
      </c>
      <c r="AI6" s="344">
        <f>'BZ by State 1st Crop'!AI6+'BZ by State 2nd Crop'!AI6+'BZ by State 3rd Crop'!AI6</f>
        <v>6774</v>
      </c>
      <c r="AJ6" s="344">
        <f>'BZ by State 1st Crop'!AJ6+'BZ by State 2nd Crop'!AJ6+'BZ by State 3rd Crop'!AJ6</f>
        <v>6355.2000000000007</v>
      </c>
      <c r="AK6" s="344">
        <f>'BZ by State 1st Crop'!AK6+'BZ by State 2nd Crop'!AK6+'BZ by State 3rd Crop'!AK6</f>
        <v>8205.5999999999985</v>
      </c>
      <c r="AL6" s="344">
        <f>'BZ by State 1st Crop'!AL6+'BZ by State 2nd Crop'!AL6+'BZ by State 3rd Crop'!AL6</f>
        <v>9067.7999999999993</v>
      </c>
      <c r="AM6" s="344">
        <f>'BZ by State 1st Crop'!AM6+'BZ by State 2nd Crop'!AM6+'BZ by State 3rd Crop'!AM6</f>
        <v>8216.0999999999985</v>
      </c>
      <c r="AN6" s="344">
        <f>'BZ by State 1st Crop'!AN6+'BZ by State 2nd Crop'!AN6+'BZ by State 3rd Crop'!AN6</f>
        <v>11769.599999999999</v>
      </c>
      <c r="AO6" s="344">
        <f>'BZ by State 1st Crop'!AO6+'BZ by State 2nd Crop'!AO6+'BZ by State 3rd Crop'!AO6</f>
        <v>11810.400000000001</v>
      </c>
      <c r="AP6" s="344">
        <f>'BZ by State 1st Crop'!AP6+'BZ by State 2nd Crop'!AP6+'BZ by State 3rd Crop'!AP6</f>
        <v>14446.800000000001</v>
      </c>
      <c r="AQ6" s="344">
        <f>'BZ by State 1st Crop'!AQ6+'BZ by State 2nd Crop'!AQ6+'BZ by State 3rd Crop'!AQ6</f>
        <v>13503</v>
      </c>
      <c r="AR6" s="344">
        <f>'BZ by State 1st Crop'!AR6+'BZ by State 2nd Crop'!AR6+'BZ by State 3rd Crop'!AR6</f>
        <v>16941.599999999999</v>
      </c>
      <c r="AS6" s="344">
        <f>'BZ by State 1st Crop'!AS6+'BZ by State 2nd Crop'!AS6+'BZ by State 3rd Crop'!AS6</f>
        <v>18343.800000000003</v>
      </c>
      <c r="AT6" s="344">
        <f>'BZ by State 1st Crop'!AT6+'BZ by State 2nd Crop'!AT6+'BZ by State 3rd Crop'!AT6</f>
        <v>3516.7408999999998</v>
      </c>
      <c r="AU6" s="344">
        <f>'BZ by State 1st Crop'!AU6+'BZ by State 2nd Crop'!AU6+'BZ by State 3rd Crop'!AU6</f>
        <v>4660.3816399999996</v>
      </c>
      <c r="AV6" s="344">
        <f>'BZ by State 1st Crop'!AV6+'BZ by State 2nd Crop'!AV6+'BZ by State 3rd Crop'!AV6</f>
        <v>5327.4142000000002</v>
      </c>
      <c r="AW6" s="344">
        <f>'BZ by State 1st Crop'!AW6+'BZ by State 2nd Crop'!AW6+'BZ by State 3rd Crop'!AW6</f>
        <v>5789.1089999999995</v>
      </c>
      <c r="AX6" s="344">
        <f>'BZ by State 1st Crop'!AX6+'BZ by State 2nd Crop'!AX6+'BZ by State 3rd Crop'!AX6</f>
        <v>7705.4379999999992</v>
      </c>
      <c r="AY6" s="365">
        <f>'BZ by State 1st Crop'!AY6+'BZ by State 2nd Crop'!AY6+'BZ by State 3rd Crop'!AY6</f>
        <v>7666.4563999999991</v>
      </c>
      <c r="AZ6" s="366">
        <f>AZ10+AZ14+AZ18+AZ22+AZ26+AZ30+AZ34</f>
        <v>7741.8649999999998</v>
      </c>
      <c r="BA6" s="366">
        <f>AZ6-AY6</f>
        <v>75.408600000000661</v>
      </c>
      <c r="BB6" s="367">
        <f t="shared" si="1"/>
        <v>-38.981600000000071</v>
      </c>
      <c r="BC6" s="368">
        <f t="shared" si="2"/>
        <v>36.427000000000589</v>
      </c>
      <c r="BD6" s="353">
        <f t="shared" si="3"/>
        <v>-0.15926020455460199</v>
      </c>
      <c r="BH6" s="311"/>
      <c r="BI6" s="311"/>
      <c r="BJ6" s="311"/>
      <c r="BK6" s="311"/>
    </row>
    <row r="7" spans="1:63" s="311" customFormat="1" ht="15" customHeight="1">
      <c r="A7" s="320" t="s">
        <v>355</v>
      </c>
      <c r="B7" s="354"/>
      <c r="C7" s="354"/>
      <c r="D7" s="354"/>
      <c r="E7" s="354"/>
      <c r="F7" s="354"/>
      <c r="G7" s="354"/>
      <c r="H7" s="354"/>
      <c r="I7" s="354"/>
      <c r="J7" s="354"/>
      <c r="K7" s="354"/>
      <c r="L7" s="354"/>
      <c r="M7" s="354"/>
      <c r="N7" s="354"/>
      <c r="O7" s="354"/>
      <c r="P7" s="354"/>
      <c r="Q7" s="354"/>
      <c r="R7" s="354"/>
      <c r="S7" s="354"/>
      <c r="T7" s="354"/>
      <c r="U7" s="354"/>
      <c r="V7" s="354"/>
      <c r="W7" s="354"/>
      <c r="X7" s="354"/>
      <c r="Y7" s="354"/>
      <c r="Z7" s="354"/>
      <c r="AA7" s="354"/>
      <c r="AB7" s="354"/>
      <c r="AC7" s="354"/>
      <c r="AD7" s="354"/>
      <c r="AE7" s="354"/>
      <c r="AF7" s="354"/>
      <c r="AG7" s="354"/>
      <c r="AH7" s="354"/>
      <c r="AI7" s="354"/>
      <c r="AJ7" s="354"/>
      <c r="AK7" s="354"/>
      <c r="AL7" s="354"/>
      <c r="AM7" s="354"/>
      <c r="AN7" s="354"/>
      <c r="AO7" s="354"/>
      <c r="AP7" s="354"/>
      <c r="AQ7" s="354"/>
      <c r="AR7" s="354"/>
      <c r="AS7" s="354"/>
      <c r="AT7" s="322"/>
      <c r="AU7" s="322"/>
      <c r="AV7" s="322"/>
      <c r="AW7" s="322"/>
      <c r="AX7" s="328"/>
      <c r="AY7" s="321"/>
      <c r="AZ7" s="322"/>
      <c r="BA7" s="323"/>
      <c r="BB7" s="321"/>
      <c r="BC7" s="328"/>
      <c r="BD7" s="329"/>
      <c r="BE7" s="309"/>
      <c r="BF7"/>
      <c r="BG7" s="308"/>
      <c r="BH7" s="309"/>
      <c r="BI7" s="309"/>
      <c r="BJ7" s="309"/>
      <c r="BK7" s="309"/>
    </row>
    <row r="8" spans="1:63" ht="15" customHeight="1">
      <c r="A8" s="324" t="s">
        <v>352</v>
      </c>
      <c r="B8" s="344">
        <f>'BZ by State 1st Crop'!B8+'BZ by State 2nd Crop'!B8+'BZ by State 3rd Crop'!B8</f>
        <v>4.8</v>
      </c>
      <c r="C8" s="344">
        <f>'BZ by State 1st Crop'!C8+'BZ by State 2nd Crop'!C8+'BZ by State 3rd Crop'!C8</f>
        <v>3.2</v>
      </c>
      <c r="D8" s="344">
        <f>'BZ by State 1st Crop'!D8+'BZ by State 2nd Crop'!D8+'BZ by State 3rd Crop'!D8</f>
        <v>3.2</v>
      </c>
      <c r="E8" s="344">
        <f>'BZ by State 1st Crop'!E8+'BZ by State 2nd Crop'!E8+'BZ by State 3rd Crop'!E8</f>
        <v>6</v>
      </c>
      <c r="F8" s="344">
        <f>'BZ by State 1st Crop'!F8+'BZ by State 2nd Crop'!F8+'BZ by State 3rd Crop'!F8</f>
        <v>16</v>
      </c>
      <c r="G8" s="344">
        <f>'BZ by State 1st Crop'!G8+'BZ by State 2nd Crop'!G8+'BZ by State 3rd Crop'!G8</f>
        <v>4.5999999999999996</v>
      </c>
      <c r="H8" s="344">
        <f>'BZ by State 1st Crop'!H8+'BZ by State 2nd Crop'!H8+'BZ by State 3rd Crop'!H8</f>
        <v>7</v>
      </c>
      <c r="I8" s="344">
        <f>'BZ by State 1st Crop'!I8+'BZ by State 2nd Crop'!I8+'BZ by State 3rd Crop'!I8</f>
        <v>5</v>
      </c>
      <c r="J8" s="344">
        <f>'BZ by State 1st Crop'!J8+'BZ by State 2nd Crop'!J8+'BZ by State 3rd Crop'!J8</f>
        <v>6.7</v>
      </c>
      <c r="K8" s="344">
        <f>'BZ by State 1st Crop'!K8+'BZ by State 2nd Crop'!K8+'BZ by State 3rd Crop'!K8</f>
        <v>6.7</v>
      </c>
      <c r="L8" s="344">
        <f>'BZ by State 1st Crop'!L8+'BZ by State 2nd Crop'!L8+'BZ by State 3rd Crop'!L8</f>
        <v>9.4</v>
      </c>
      <c r="M8" s="344">
        <f>'BZ by State 1st Crop'!M8+'BZ by State 2nd Crop'!M8+'BZ by State 3rd Crop'!M8</f>
        <v>3.3</v>
      </c>
      <c r="N8" s="344">
        <f>'BZ by State 1st Crop'!N8+'BZ by State 2nd Crop'!N8+'BZ by State 3rd Crop'!N8</f>
        <v>5.0999999999999996</v>
      </c>
      <c r="O8" s="344">
        <f>'BZ by State 1st Crop'!O8+'BZ by State 2nd Crop'!O8+'BZ by State 3rd Crop'!O8</f>
        <v>3.2</v>
      </c>
      <c r="P8" s="344">
        <f>'BZ by State 1st Crop'!P8+'BZ by State 2nd Crop'!P8+'BZ by State 3rd Crop'!P8</f>
        <v>3.2</v>
      </c>
      <c r="Q8" s="344">
        <f>'BZ by State 1st Crop'!Q8+'BZ by State 2nd Crop'!Q8+'BZ by State 3rd Crop'!Q8</f>
        <v>5</v>
      </c>
      <c r="R8" s="344">
        <f>'BZ by State 1st Crop'!R8+'BZ by State 2nd Crop'!R8+'BZ by State 3rd Crop'!R8</f>
        <v>5</v>
      </c>
      <c r="S8" s="344">
        <f>'BZ by State 1st Crop'!S8+'BZ by State 2nd Crop'!S8+'BZ by State 3rd Crop'!S8</f>
        <v>5</v>
      </c>
      <c r="T8" s="344">
        <f>'BZ by State 1st Crop'!T8+'BZ by State 2nd Crop'!T8+'BZ by State 3rd Crop'!T8</f>
        <v>12.8</v>
      </c>
      <c r="U8" s="344">
        <f>'BZ by State 1st Crop'!U8+'BZ by State 2nd Crop'!U8+'BZ by State 3rd Crop'!U8</f>
        <v>12.8</v>
      </c>
      <c r="V8" s="344">
        <f>'BZ by State 1st Crop'!V8+'BZ by State 2nd Crop'!V8+'BZ by State 3rd Crop'!V8</f>
        <v>12.8</v>
      </c>
      <c r="W8" s="344">
        <f>'BZ by State 1st Crop'!W8+'BZ by State 2nd Crop'!W8+'BZ by State 3rd Crop'!W8</f>
        <v>13.5</v>
      </c>
      <c r="X8" s="344">
        <f>'BZ by State 1st Crop'!X8+'BZ by State 2nd Crop'!X8+'BZ by State 3rd Crop'!X8</f>
        <v>15</v>
      </c>
      <c r="Y8" s="344">
        <f>'BZ by State 1st Crop'!Y8+'BZ by State 2nd Crop'!Y8+'BZ by State 3rd Crop'!Y8</f>
        <v>15</v>
      </c>
      <c r="Z8" s="344">
        <f>'BZ by State 1st Crop'!Z8+'BZ by State 2nd Crop'!Z8+'BZ by State 3rd Crop'!Z8</f>
        <v>11</v>
      </c>
      <c r="AA8" s="344">
        <f>'BZ by State 1st Crop'!AA8+'BZ by State 2nd Crop'!AA8+'BZ by State 3rd Crop'!AA8</f>
        <v>9.5</v>
      </c>
      <c r="AB8" s="344">
        <f>'BZ by State 1st Crop'!AB8+'BZ by State 2nd Crop'!AB8+'BZ by State 3rd Crop'!AB8</f>
        <v>8.9</v>
      </c>
      <c r="AC8" s="344">
        <f>'BZ by State 1st Crop'!AC8+'BZ by State 2nd Crop'!AC8+'BZ by State 3rd Crop'!AC8</f>
        <v>17.3</v>
      </c>
      <c r="AD8" s="344">
        <f>'BZ by State 1st Crop'!AD8+'BZ by State 2nd Crop'!AD8+'BZ by State 3rd Crop'!AD8</f>
        <v>13</v>
      </c>
      <c r="AE8" s="344">
        <f>'BZ by State 1st Crop'!AE8+'BZ by State 2nd Crop'!AE8+'BZ by State 3rd Crop'!AE8</f>
        <v>12.2</v>
      </c>
      <c r="AF8" s="344">
        <f>'BZ by State 1st Crop'!AF8+'BZ by State 2nd Crop'!AF8+'BZ by State 3rd Crop'!AF8</f>
        <v>12.2</v>
      </c>
      <c r="AG8" s="344">
        <f>'BZ by State 1st Crop'!AG8+'BZ by State 2nd Crop'!AG8+'BZ by State 3rd Crop'!AG8</f>
        <v>6.4</v>
      </c>
      <c r="AH8" s="344">
        <f>'BZ by State 1st Crop'!AH8+'BZ by State 2nd Crop'!AH8+'BZ by State 3rd Crop'!AH8</f>
        <v>6.5</v>
      </c>
      <c r="AI8" s="344">
        <f>'BZ by State 1st Crop'!AI8+'BZ by State 2nd Crop'!AI8+'BZ by State 3rd Crop'!AI8</f>
        <v>6.5</v>
      </c>
      <c r="AJ8" s="344">
        <f>'BZ by State 1st Crop'!AJ8+'BZ by State 2nd Crop'!AJ8+'BZ by State 3rd Crop'!AJ8</f>
        <v>6.5</v>
      </c>
      <c r="AK8" s="344">
        <f>'BZ by State 1st Crop'!AK8+'BZ by State 2nd Crop'!AK8+'BZ by State 3rd Crop'!AK8</f>
        <v>6.5</v>
      </c>
      <c r="AL8" s="344">
        <f>'BZ by State 1st Crop'!AL8+'BZ by State 2nd Crop'!AL8+'BZ by State 3rd Crop'!AL8</f>
        <v>6.5</v>
      </c>
      <c r="AM8" s="344">
        <f>'BZ by State 1st Crop'!AM8+'BZ by State 2nd Crop'!AM8+'BZ by State 3rd Crop'!AM8</f>
        <v>6.2</v>
      </c>
      <c r="AN8" s="344">
        <f>'BZ by State 1st Crop'!AN8+'BZ by State 2nd Crop'!AN8+'BZ by State 3rd Crop'!AN8</f>
        <v>6.2</v>
      </c>
      <c r="AO8" s="344">
        <f>'BZ by State 1st Crop'!AO8+'BZ by State 2nd Crop'!AO8+'BZ by State 3rd Crop'!AO8</f>
        <v>4.5999999999999996</v>
      </c>
      <c r="AP8" s="344">
        <f>'BZ by State 1st Crop'!AP8+'BZ by State 2nd Crop'!AP8+'BZ by State 3rd Crop'!AP8</f>
        <v>7.6</v>
      </c>
      <c r="AQ8" s="344">
        <f>'BZ by State 1st Crop'!AQ8+'BZ by State 2nd Crop'!AQ8+'BZ by State 3rd Crop'!AQ8</f>
        <v>9.6</v>
      </c>
      <c r="AR8" s="344">
        <f>'BZ by State 1st Crop'!AR8+'BZ by State 2nd Crop'!AR8+'BZ by State 3rd Crop'!AR8</f>
        <v>13</v>
      </c>
      <c r="AS8" s="344">
        <f>'BZ by State 1st Crop'!AS8+'BZ by State 2nd Crop'!AS8+'BZ by State 3rd Crop'!AS8</f>
        <v>15</v>
      </c>
      <c r="AT8" s="344">
        <f>'BZ by State 1st Crop'!AT8+'BZ by State 2nd Crop'!AT8+'BZ by State 3rd Crop'!AT8</f>
        <v>15</v>
      </c>
      <c r="AU8" s="344">
        <f>'BZ by State 1st Crop'!AU8+'BZ by State 2nd Crop'!AU8+'BZ by State 3rd Crop'!AU8</f>
        <v>15</v>
      </c>
      <c r="AV8" s="344">
        <f>'BZ by State 1st Crop'!AV8+'BZ by State 2nd Crop'!AV8+'BZ by State 3rd Crop'!AV8</f>
        <v>9</v>
      </c>
      <c r="AW8" s="344">
        <f>'BZ by State 1st Crop'!AW8+'BZ by State 2nd Crop'!AW8+'BZ by State 3rd Crop'!AW8</f>
        <v>9</v>
      </c>
      <c r="AX8" s="344">
        <f>'BZ by State 1st Crop'!AX8+'BZ by State 2nd Crop'!AX8+'BZ by State 3rd Crop'!AX8</f>
        <v>20</v>
      </c>
      <c r="AY8" s="369">
        <f>'BZ by State 1st Crop'!AY8+'BZ by State 2nd Crop'!AY8+'BZ by State 3rd Crop'!AY8</f>
        <v>20</v>
      </c>
      <c r="AZ8" s="366">
        <f>'BZ by State 1st Crop'!AZ8+'BZ by State 2nd Crop'!AZ8+'BZ by State 3rd Crop'!AZ8</f>
        <v>20</v>
      </c>
      <c r="BA8" s="366">
        <f>AZ8-AY8</f>
        <v>0</v>
      </c>
      <c r="BB8" s="367">
        <f>AY8-AX8</f>
        <v>0</v>
      </c>
      <c r="BC8" s="368">
        <f>AZ8-AX8</f>
        <v>0</v>
      </c>
      <c r="BD8" s="353">
        <f>(AX8/AS8)^(1/5)-1</f>
        <v>5.9223841048812176E-2</v>
      </c>
      <c r="BF8" s="319" t="b">
        <v>0</v>
      </c>
      <c r="BH8" s="311"/>
      <c r="BI8" s="311"/>
      <c r="BJ8" s="311"/>
      <c r="BK8" s="311"/>
    </row>
    <row r="9" spans="1:63" ht="15" customHeight="1">
      <c r="A9" s="324" t="s">
        <v>353</v>
      </c>
      <c r="B9" s="345">
        <f>B10/B8*1000</f>
        <v>1020.8333333333337</v>
      </c>
      <c r="C9" s="345">
        <f t="shared" ref="C9:AZ9" si="4">C10/C8*1000</f>
        <v>2812.5</v>
      </c>
      <c r="D9" s="345">
        <f t="shared" si="4"/>
        <v>2812.5</v>
      </c>
      <c r="E9" s="345">
        <f t="shared" si="4"/>
        <v>3000</v>
      </c>
      <c r="F9" s="345">
        <f t="shared" si="4"/>
        <v>2812.5</v>
      </c>
      <c r="G9" s="345">
        <f t="shared" si="4"/>
        <v>2608.695652173913</v>
      </c>
      <c r="H9" s="345">
        <f t="shared" si="4"/>
        <v>1285.7142857142858</v>
      </c>
      <c r="I9" s="345">
        <f t="shared" si="4"/>
        <v>2400</v>
      </c>
      <c r="J9" s="345">
        <f t="shared" si="4"/>
        <v>2686.5671641791041</v>
      </c>
      <c r="K9" s="345">
        <f t="shared" si="4"/>
        <v>2686.5671641791041</v>
      </c>
      <c r="L9" s="345">
        <f t="shared" si="4"/>
        <v>1914.8936170212764</v>
      </c>
      <c r="M9" s="345">
        <f t="shared" si="4"/>
        <v>1818.1818181818182</v>
      </c>
      <c r="N9" s="345">
        <f t="shared" si="4"/>
        <v>2941.1764705882356</v>
      </c>
      <c r="O9" s="345">
        <f t="shared" si="4"/>
        <v>2812.5</v>
      </c>
      <c r="P9" s="345">
        <f t="shared" si="4"/>
        <v>2906.25</v>
      </c>
      <c r="Q9" s="345">
        <f t="shared" si="4"/>
        <v>3000</v>
      </c>
      <c r="R9" s="345">
        <f t="shared" si="4"/>
        <v>3000</v>
      </c>
      <c r="S9" s="345">
        <f t="shared" si="4"/>
        <v>3000</v>
      </c>
      <c r="T9" s="345">
        <f t="shared" si="4"/>
        <v>3609.375</v>
      </c>
      <c r="U9" s="345">
        <f t="shared" si="4"/>
        <v>3609.375</v>
      </c>
      <c r="V9" s="345">
        <f t="shared" si="4"/>
        <v>3609.375</v>
      </c>
      <c r="W9" s="345">
        <f t="shared" si="4"/>
        <v>3599.9999999999995</v>
      </c>
      <c r="X9" s="345">
        <f t="shared" si="4"/>
        <v>3900</v>
      </c>
      <c r="Y9" s="345">
        <f t="shared" si="4"/>
        <v>3900</v>
      </c>
      <c r="Z9" s="345">
        <f t="shared" si="4"/>
        <v>4500</v>
      </c>
      <c r="AA9" s="345">
        <f t="shared" si="4"/>
        <v>10800</v>
      </c>
      <c r="AB9" s="345">
        <f t="shared" si="4"/>
        <v>14393.258426966295</v>
      </c>
      <c r="AC9" s="345">
        <f t="shared" si="4"/>
        <v>7508.6705202312123</v>
      </c>
      <c r="AD9" s="345">
        <f t="shared" si="4"/>
        <v>6000</v>
      </c>
      <c r="AE9" s="345">
        <f t="shared" si="4"/>
        <v>5999.9999999999991</v>
      </c>
      <c r="AF9" s="345">
        <f t="shared" si="4"/>
        <v>5999.9999999999991</v>
      </c>
      <c r="AG9" s="345">
        <f t="shared" si="4"/>
        <v>6000.0000000000009</v>
      </c>
      <c r="AH9" s="345">
        <f t="shared" si="4"/>
        <v>5907.6923076923085</v>
      </c>
      <c r="AI9" s="345">
        <f t="shared" si="4"/>
        <v>5907.6923076923085</v>
      </c>
      <c r="AJ9" s="345">
        <f t="shared" si="4"/>
        <v>6000</v>
      </c>
      <c r="AK9" s="345">
        <f t="shared" si="4"/>
        <v>6000</v>
      </c>
      <c r="AL9" s="345">
        <f t="shared" si="4"/>
        <v>6000</v>
      </c>
      <c r="AM9" s="345">
        <f t="shared" si="4"/>
        <v>2758.0645161290327</v>
      </c>
      <c r="AN9" s="345">
        <f t="shared" si="4"/>
        <v>7451.6129032258068</v>
      </c>
      <c r="AO9" s="345">
        <f t="shared" si="4"/>
        <v>9130.4347826086978</v>
      </c>
      <c r="AP9" s="345">
        <f t="shared" si="4"/>
        <v>18000.000000000004</v>
      </c>
      <c r="AQ9" s="345">
        <f t="shared" si="4"/>
        <v>14562.500000000002</v>
      </c>
      <c r="AR9" s="345">
        <f t="shared" si="4"/>
        <v>18000</v>
      </c>
      <c r="AS9" s="345">
        <f t="shared" si="4"/>
        <v>18000</v>
      </c>
      <c r="AT9" s="345">
        <f t="shared" si="4"/>
        <v>6000</v>
      </c>
      <c r="AU9" s="345">
        <f t="shared" si="4"/>
        <v>6000</v>
      </c>
      <c r="AV9" s="345">
        <f t="shared" si="4"/>
        <v>6720</v>
      </c>
      <c r="AW9" s="345">
        <f t="shared" si="4"/>
        <v>6000</v>
      </c>
      <c r="AX9" s="345">
        <f t="shared" si="4"/>
        <v>6000</v>
      </c>
      <c r="AY9" s="346">
        <f t="shared" si="4"/>
        <v>6000</v>
      </c>
      <c r="AZ9" s="347">
        <f t="shared" si="4"/>
        <v>6000</v>
      </c>
      <c r="BA9" s="347">
        <f>AZ9-AY9</f>
        <v>0</v>
      </c>
      <c r="BB9" s="351">
        <f>AY9-AX9</f>
        <v>0</v>
      </c>
      <c r="BC9" s="352">
        <f>AZ9-AX9</f>
        <v>0</v>
      </c>
      <c r="BD9" s="353">
        <f t="shared" ref="BD9:BD10" si="5">(AX9/AS9)^(1/5)-1</f>
        <v>-0.1972584382397693</v>
      </c>
    </row>
    <row r="10" spans="1:63" s="311" customFormat="1" ht="15" customHeight="1">
      <c r="A10" s="324" t="s">
        <v>354</v>
      </c>
      <c r="B10" s="344">
        <f>'BZ by State 1st Crop'!B10+'BZ by State 2nd Crop'!B10+'BZ by State 3rd Crop'!B10</f>
        <v>4.9000000000000012</v>
      </c>
      <c r="C10" s="344">
        <f>'BZ by State 1st Crop'!C10+'BZ by State 2nd Crop'!C10+'BZ by State 3rd Crop'!C10</f>
        <v>9</v>
      </c>
      <c r="D10" s="344">
        <f>'BZ by State 1st Crop'!D10+'BZ by State 2nd Crop'!D10+'BZ by State 3rd Crop'!D10</f>
        <v>9</v>
      </c>
      <c r="E10" s="344">
        <f>'BZ by State 1st Crop'!E10+'BZ by State 2nd Crop'!E10+'BZ by State 3rd Crop'!E10</f>
        <v>18</v>
      </c>
      <c r="F10" s="344">
        <f>'BZ by State 1st Crop'!F10+'BZ by State 2nd Crop'!F10+'BZ by State 3rd Crop'!F10</f>
        <v>45</v>
      </c>
      <c r="G10" s="344">
        <f>'BZ by State 1st Crop'!G10+'BZ by State 2nd Crop'!G10+'BZ by State 3rd Crop'!G10</f>
        <v>12</v>
      </c>
      <c r="H10" s="344">
        <f>'BZ by State 1st Crop'!H10+'BZ by State 2nd Crop'!H10+'BZ by State 3rd Crop'!H10</f>
        <v>9</v>
      </c>
      <c r="I10" s="344">
        <f>'BZ by State 1st Crop'!I10+'BZ by State 2nd Crop'!I10+'BZ by State 3rd Crop'!I10</f>
        <v>12</v>
      </c>
      <c r="J10" s="344">
        <f>'BZ by State 1st Crop'!J10+'BZ by State 2nd Crop'!J10+'BZ by State 3rd Crop'!J10</f>
        <v>18</v>
      </c>
      <c r="K10" s="344">
        <f>'BZ by State 1st Crop'!K10+'BZ by State 2nd Crop'!K10+'BZ by State 3rd Crop'!K10</f>
        <v>18</v>
      </c>
      <c r="L10" s="344">
        <f>'BZ by State 1st Crop'!L10+'BZ by State 2nd Crop'!L10+'BZ by State 3rd Crop'!L10</f>
        <v>18</v>
      </c>
      <c r="M10" s="344">
        <f>'BZ by State 1st Crop'!M10+'BZ by State 2nd Crop'!M10+'BZ by State 3rd Crop'!M10</f>
        <v>6</v>
      </c>
      <c r="N10" s="344">
        <f>'BZ by State 1st Crop'!N10+'BZ by State 2nd Crop'!N10+'BZ by State 3rd Crop'!N10</f>
        <v>15</v>
      </c>
      <c r="O10" s="344">
        <f>'BZ by State 1st Crop'!O10+'BZ by State 2nd Crop'!O10+'BZ by State 3rd Crop'!O10</f>
        <v>9</v>
      </c>
      <c r="P10" s="344">
        <f>'BZ by State 1st Crop'!P10+'BZ by State 2nd Crop'!P10+'BZ by State 3rd Crop'!P10</f>
        <v>9.3000000000000007</v>
      </c>
      <c r="Q10" s="344">
        <f>'BZ by State 1st Crop'!Q10+'BZ by State 2nd Crop'!Q10+'BZ by State 3rd Crop'!Q10</f>
        <v>15</v>
      </c>
      <c r="R10" s="344">
        <f>'BZ by State 1st Crop'!R10+'BZ by State 2nd Crop'!R10+'BZ by State 3rd Crop'!R10</f>
        <v>15</v>
      </c>
      <c r="S10" s="344">
        <f>'BZ by State 1st Crop'!S10+'BZ by State 2nd Crop'!S10+'BZ by State 3rd Crop'!S10</f>
        <v>15</v>
      </c>
      <c r="T10" s="344">
        <f>'BZ by State 1st Crop'!T10+'BZ by State 2nd Crop'!T10+'BZ by State 3rd Crop'!T10</f>
        <v>46.2</v>
      </c>
      <c r="U10" s="344">
        <f>'BZ by State 1st Crop'!U10+'BZ by State 2nd Crop'!U10+'BZ by State 3rd Crop'!U10</f>
        <v>46.2</v>
      </c>
      <c r="V10" s="344">
        <f>'BZ by State 1st Crop'!V10+'BZ by State 2nd Crop'!V10+'BZ by State 3rd Crop'!V10</f>
        <v>46.2</v>
      </c>
      <c r="W10" s="344">
        <f>'BZ by State 1st Crop'!W10+'BZ by State 2nd Crop'!W10+'BZ by State 3rd Crop'!W10</f>
        <v>48.599999999999994</v>
      </c>
      <c r="X10" s="344">
        <f>'BZ by State 1st Crop'!X10+'BZ by State 2nd Crop'!X10+'BZ by State 3rd Crop'!X10</f>
        <v>58.5</v>
      </c>
      <c r="Y10" s="344">
        <f>'BZ by State 1st Crop'!Y10+'BZ by State 2nd Crop'!Y10+'BZ by State 3rd Crop'!Y10</f>
        <v>58.5</v>
      </c>
      <c r="Z10" s="344">
        <f>'BZ by State 1st Crop'!Z10+'BZ by State 2nd Crop'!Z10+'BZ by State 3rd Crop'!Z10</f>
        <v>49.5</v>
      </c>
      <c r="AA10" s="344">
        <f>'BZ by State 1st Crop'!AA10+'BZ by State 2nd Crop'!AA10+'BZ by State 3rd Crop'!AA10</f>
        <v>102.60000000000001</v>
      </c>
      <c r="AB10" s="344">
        <f>'BZ by State 1st Crop'!AB10+'BZ by State 2nd Crop'!AB10+'BZ by State 3rd Crop'!AB10</f>
        <v>128.10000000000002</v>
      </c>
      <c r="AC10" s="344">
        <f>'BZ by State 1st Crop'!AC10+'BZ by State 2nd Crop'!AC10+'BZ by State 3rd Crop'!AC10</f>
        <v>129.89999999999998</v>
      </c>
      <c r="AD10" s="344">
        <f>'BZ by State 1st Crop'!AD10+'BZ by State 2nd Crop'!AD10+'BZ by State 3rd Crop'!AD10</f>
        <v>78</v>
      </c>
      <c r="AE10" s="344">
        <f>'BZ by State 1st Crop'!AE10+'BZ by State 2nd Crop'!AE10+'BZ by State 3rd Crop'!AE10</f>
        <v>73.199999999999989</v>
      </c>
      <c r="AF10" s="344">
        <f>'BZ by State 1st Crop'!AF10+'BZ by State 2nd Crop'!AF10+'BZ by State 3rd Crop'!AF10</f>
        <v>73.199999999999989</v>
      </c>
      <c r="AG10" s="344">
        <f>'BZ by State 1st Crop'!AG10+'BZ by State 2nd Crop'!AG10+'BZ by State 3rd Crop'!AG10</f>
        <v>38.400000000000006</v>
      </c>
      <c r="AH10" s="344">
        <f>'BZ by State 1st Crop'!AH10+'BZ by State 2nd Crop'!AH10+'BZ by State 3rd Crop'!AH10</f>
        <v>38.400000000000006</v>
      </c>
      <c r="AI10" s="344">
        <f>'BZ by State 1st Crop'!AI10+'BZ by State 2nd Crop'!AI10+'BZ by State 3rd Crop'!AI10</f>
        <v>38.400000000000006</v>
      </c>
      <c r="AJ10" s="344">
        <f>'BZ by State 1st Crop'!AJ10+'BZ by State 2nd Crop'!AJ10+'BZ by State 3rd Crop'!AJ10</f>
        <v>39</v>
      </c>
      <c r="AK10" s="344">
        <f>'BZ by State 1st Crop'!AK10+'BZ by State 2nd Crop'!AK10+'BZ by State 3rd Crop'!AK10</f>
        <v>39</v>
      </c>
      <c r="AL10" s="344">
        <f>'BZ by State 1st Crop'!AL10+'BZ by State 2nd Crop'!AL10+'BZ by State 3rd Crop'!AL10</f>
        <v>39</v>
      </c>
      <c r="AM10" s="344">
        <f>'BZ by State 1st Crop'!AM10+'BZ by State 2nd Crop'!AM10+'BZ by State 3rd Crop'!AM10</f>
        <v>17.100000000000001</v>
      </c>
      <c r="AN10" s="344">
        <f>'BZ by State 1st Crop'!AN10+'BZ by State 2nd Crop'!AN10+'BZ by State 3rd Crop'!AN10</f>
        <v>46.2</v>
      </c>
      <c r="AO10" s="344">
        <f>'BZ by State 1st Crop'!AO10+'BZ by State 2nd Crop'!AO10+'BZ by State 3rd Crop'!AO10</f>
        <v>42</v>
      </c>
      <c r="AP10" s="344">
        <f>'BZ by State 1st Crop'!AP10+'BZ by State 2nd Crop'!AP10+'BZ by State 3rd Crop'!AP10</f>
        <v>136.80000000000001</v>
      </c>
      <c r="AQ10" s="344">
        <f>'BZ by State 1st Crop'!AQ10+'BZ by State 2nd Crop'!AQ10+'BZ by State 3rd Crop'!AQ10</f>
        <v>139.80000000000001</v>
      </c>
      <c r="AR10" s="344">
        <f>'BZ by State 1st Crop'!AR10+'BZ by State 2nd Crop'!AR10+'BZ by State 3rd Crop'!AR10</f>
        <v>234</v>
      </c>
      <c r="AS10" s="344">
        <f>'BZ by State 1st Crop'!AS10+'BZ by State 2nd Crop'!AS10+'BZ by State 3rd Crop'!AS10</f>
        <v>270</v>
      </c>
      <c r="AT10" s="344">
        <f>'BZ by State 1st Crop'!AT10+'BZ by State 2nd Crop'!AT10+'BZ by State 3rd Crop'!AT10</f>
        <v>90</v>
      </c>
      <c r="AU10" s="344">
        <f>'BZ by State 1st Crop'!AU10+'BZ by State 2nd Crop'!AU10+'BZ by State 3rd Crop'!AU10</f>
        <v>90</v>
      </c>
      <c r="AV10" s="344">
        <f>'BZ by State 1st Crop'!AV10+'BZ by State 2nd Crop'!AV10+'BZ by State 3rd Crop'!AV10</f>
        <v>60.48</v>
      </c>
      <c r="AW10" s="344">
        <f>'BZ by State 1st Crop'!AW10+'BZ by State 2nd Crop'!AW10+'BZ by State 3rd Crop'!AW10</f>
        <v>54</v>
      </c>
      <c r="AX10" s="344">
        <f>'BZ by State 1st Crop'!AX10+'BZ by State 2nd Crop'!AX10+'BZ by State 3rd Crop'!AX10</f>
        <v>120</v>
      </c>
      <c r="AY10" s="365">
        <f>'BZ by State 1st Crop'!AY10+'BZ by State 2nd Crop'!AY10+'BZ by State 3rd Crop'!AY10</f>
        <v>120</v>
      </c>
      <c r="AZ10" s="366">
        <f>'BZ by State 1st Crop'!AZ10+'BZ by State 2nd Crop'!AZ10+'BZ by State 3rd Crop'!AZ10</f>
        <v>120</v>
      </c>
      <c r="BA10" s="366">
        <f>AZ10-AY10</f>
        <v>0</v>
      </c>
      <c r="BB10" s="367">
        <f>AY10-AX10</f>
        <v>0</v>
      </c>
      <c r="BC10" s="368">
        <f>AZ10-AX10</f>
        <v>0</v>
      </c>
      <c r="BD10" s="353">
        <f t="shared" si="5"/>
        <v>-0.14971699958280615</v>
      </c>
      <c r="BE10" s="309"/>
      <c r="BF10"/>
      <c r="BG10" s="308"/>
    </row>
    <row r="11" spans="1:63" ht="15" customHeight="1">
      <c r="A11" s="320" t="s">
        <v>356</v>
      </c>
      <c r="B11" s="355"/>
      <c r="C11" s="355"/>
      <c r="D11" s="355"/>
      <c r="E11" s="355"/>
      <c r="F11" s="355"/>
      <c r="G11" s="355"/>
      <c r="H11" s="355"/>
      <c r="I11" s="355"/>
      <c r="J11" s="355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/>
      <c r="AA11" s="355"/>
      <c r="AB11" s="355"/>
      <c r="AC11" s="355"/>
      <c r="AD11" s="355"/>
      <c r="AE11" s="355"/>
      <c r="AF11" s="355"/>
      <c r="AG11" s="355"/>
      <c r="AH11" s="355"/>
      <c r="AI11" s="355"/>
      <c r="AJ11" s="355"/>
      <c r="AK11" s="355"/>
      <c r="AL11" s="355"/>
      <c r="AM11" s="355"/>
      <c r="AN11" s="355"/>
      <c r="AO11" s="355"/>
      <c r="AP11" s="355"/>
      <c r="AQ11" s="355"/>
      <c r="AR11" s="355"/>
      <c r="AS11" s="355"/>
      <c r="AT11" s="326"/>
      <c r="AU11" s="326"/>
      <c r="AV11" s="326"/>
      <c r="AW11" s="326"/>
      <c r="AX11" s="328"/>
      <c r="AY11" s="325"/>
      <c r="AZ11" s="326"/>
      <c r="BA11" s="327"/>
      <c r="BB11" s="325"/>
      <c r="BC11" s="326"/>
      <c r="BD11" s="327"/>
    </row>
    <row r="12" spans="1:63" ht="15" customHeight="1">
      <c r="A12" s="324" t="s">
        <v>352</v>
      </c>
      <c r="B12" s="344">
        <f>'BZ by State 1st Crop'!B12+'BZ by State 2nd Crop'!B12+'BZ by State 3rd Crop'!B12</f>
        <v>22.7</v>
      </c>
      <c r="C12" s="344">
        <f>'BZ by State 1st Crop'!C12+'BZ by State 2nd Crop'!C12+'BZ by State 3rd Crop'!C12</f>
        <v>35.299999999999997</v>
      </c>
      <c r="D12" s="344">
        <f>'BZ by State 1st Crop'!D12+'BZ by State 2nd Crop'!D12+'BZ by State 3rd Crop'!D12</f>
        <v>35.799999999999997</v>
      </c>
      <c r="E12" s="344">
        <f>'BZ by State 1st Crop'!E12+'BZ by State 2nd Crop'!E12+'BZ by State 3rd Crop'!E12</f>
        <v>63</v>
      </c>
      <c r="F12" s="344">
        <f>'BZ by State 1st Crop'!F12+'BZ by State 2nd Crop'!F12+'BZ by State 3rd Crop'!F12</f>
        <v>70</v>
      </c>
      <c r="G12" s="344">
        <f>'BZ by State 1st Crop'!G12+'BZ by State 2nd Crop'!G12+'BZ by State 3rd Crop'!G12</f>
        <v>81</v>
      </c>
      <c r="H12" s="344">
        <f>'BZ by State 1st Crop'!H12+'BZ by State 2nd Crop'!H12+'BZ by State 3rd Crop'!H12</f>
        <v>66.7</v>
      </c>
      <c r="I12" s="344">
        <f>'BZ by State 1st Crop'!I12+'BZ by State 2nd Crop'!I12+'BZ by State 3rd Crop'!I12</f>
        <v>113</v>
      </c>
      <c r="J12" s="344">
        <f>'BZ by State 1st Crop'!J12+'BZ by State 2nd Crop'!J12+'BZ by State 3rd Crop'!J12</f>
        <v>91</v>
      </c>
      <c r="K12" s="344">
        <f>'BZ by State 1st Crop'!K12+'BZ by State 2nd Crop'!K12+'BZ by State 3rd Crop'!K12</f>
        <v>105.6</v>
      </c>
      <c r="L12" s="344">
        <f>'BZ by State 1st Crop'!L12+'BZ by State 2nd Crop'!L12+'BZ by State 3rd Crop'!L12</f>
        <v>107.3</v>
      </c>
      <c r="M12" s="344">
        <f>'BZ by State 1st Crop'!M12+'BZ by State 2nd Crop'!M12+'BZ by State 3rd Crop'!M12</f>
        <v>122.2</v>
      </c>
      <c r="N12" s="344">
        <f>'BZ by State 1st Crop'!N12+'BZ by State 2nd Crop'!N12+'BZ by State 3rd Crop'!N12</f>
        <v>130</v>
      </c>
      <c r="O12" s="344">
        <f>'BZ by State 1st Crop'!O12+'BZ by State 2nd Crop'!O12+'BZ by State 3rd Crop'!O12</f>
        <v>117</v>
      </c>
      <c r="P12" s="344">
        <f>'BZ by State 1st Crop'!P12+'BZ by State 2nd Crop'!P12+'BZ by State 3rd Crop'!P12</f>
        <v>117</v>
      </c>
      <c r="Q12" s="344">
        <f>'BZ by State 1st Crop'!Q12+'BZ by State 2nd Crop'!Q12+'BZ by State 3rd Crop'!Q12</f>
        <v>146.69999999999999</v>
      </c>
      <c r="R12" s="344">
        <f>'BZ by State 1st Crop'!R12+'BZ by State 2nd Crop'!R12+'BZ by State 3rd Crop'!R12</f>
        <v>154</v>
      </c>
      <c r="S12" s="344">
        <f>'BZ by State 1st Crop'!S12+'BZ by State 2nd Crop'!S12+'BZ by State 3rd Crop'!S12</f>
        <v>196</v>
      </c>
      <c r="T12" s="344">
        <f>'BZ by State 1st Crop'!T12+'BZ by State 2nd Crop'!T12+'BZ by State 3rd Crop'!T12</f>
        <v>201.9</v>
      </c>
      <c r="U12" s="344">
        <f>'BZ by State 1st Crop'!U12+'BZ by State 2nd Crop'!U12+'BZ by State 3rd Crop'!U12</f>
        <v>208</v>
      </c>
      <c r="V12" s="344">
        <f>'BZ by State 1st Crop'!V12+'BZ by State 2nd Crop'!V12+'BZ by State 3rd Crop'!V12</f>
        <v>203.4</v>
      </c>
      <c r="W12" s="344">
        <f>'BZ by State 1st Crop'!W12+'BZ by State 2nd Crop'!W12+'BZ by State 3rd Crop'!W12</f>
        <v>144.4</v>
      </c>
      <c r="X12" s="344">
        <f>'BZ by State 1st Crop'!X12+'BZ by State 2nd Crop'!X12+'BZ by State 3rd Crop'!X12</f>
        <v>140.1</v>
      </c>
      <c r="Y12" s="344">
        <f>'BZ by State 1st Crop'!Y12+'BZ by State 2nd Crop'!Y12+'BZ by State 3rd Crop'!Y12</f>
        <v>128.19999999999999</v>
      </c>
      <c r="Z12" s="344">
        <f>'BZ by State 1st Crop'!Z12+'BZ by State 2nd Crop'!Z12+'BZ by State 3rd Crop'!Z12</f>
        <v>125</v>
      </c>
      <c r="AA12" s="344">
        <f>'BZ by State 1st Crop'!AA12+'BZ by State 2nd Crop'!AA12+'BZ by State 3rd Crop'!AA12</f>
        <v>98</v>
      </c>
      <c r="AB12" s="344">
        <f>'BZ by State 1st Crop'!AB12+'BZ by State 2nd Crop'!AB12+'BZ by State 3rd Crop'!AB12</f>
        <v>100</v>
      </c>
      <c r="AC12" s="344">
        <f>'BZ by State 1st Crop'!AC12+'BZ by State 2nd Crop'!AC12+'BZ by State 3rd Crop'!AC12</f>
        <v>131.5</v>
      </c>
      <c r="AD12" s="344">
        <f>'BZ by State 1st Crop'!AD12+'BZ by State 2nd Crop'!AD12+'BZ by State 3rd Crop'!AD12</f>
        <v>137.29999999999998</v>
      </c>
      <c r="AE12" s="344">
        <f>'BZ by State 1st Crop'!AE12+'BZ by State 2nd Crop'!AE12+'BZ by State 3rd Crop'!AE12</f>
        <v>142.30000000000001</v>
      </c>
      <c r="AF12" s="344">
        <f>'BZ by State 1st Crop'!AF12+'BZ by State 2nd Crop'!AF12+'BZ by State 3rd Crop'!AF12</f>
        <v>137.4</v>
      </c>
      <c r="AG12" s="344">
        <f>'BZ by State 1st Crop'!AG12+'BZ by State 2nd Crop'!AG12+'BZ by State 3rd Crop'!AG12</f>
        <v>160.29999999999998</v>
      </c>
      <c r="AH12" s="344">
        <f>'BZ by State 1st Crop'!AH12+'BZ by State 2nd Crop'!AH12+'BZ by State 3rd Crop'!AH12</f>
        <v>145.6</v>
      </c>
      <c r="AI12" s="344">
        <f>'BZ by State 1st Crop'!AI12+'BZ by State 2nd Crop'!AI12+'BZ by State 3rd Crop'!AI12</f>
        <v>166.6</v>
      </c>
      <c r="AJ12" s="344">
        <f>'BZ by State 1st Crop'!AJ12+'BZ by State 2nd Crop'!AJ12+'BZ by State 3rd Crop'!AJ12</f>
        <v>149.69999999999999</v>
      </c>
      <c r="AK12" s="344">
        <f>'BZ by State 1st Crop'!AK12+'BZ by State 2nd Crop'!AK12+'BZ by State 3rd Crop'!AK12</f>
        <v>162.30000000000001</v>
      </c>
      <c r="AL12" s="344">
        <f>'BZ by State 1st Crop'!AL12+'BZ by State 2nd Crop'!AL12+'BZ by State 3rd Crop'!AL12</f>
        <v>166.2</v>
      </c>
      <c r="AM12" s="344">
        <f>'BZ by State 1st Crop'!AM12+'BZ by State 2nd Crop'!AM12+'BZ by State 3rd Crop'!AM12</f>
        <v>149.30000000000001</v>
      </c>
      <c r="AN12" s="344">
        <f>'BZ by State 1st Crop'!AN12+'BZ by State 2nd Crop'!AN12+'BZ by State 3rd Crop'!AN12</f>
        <v>165.5</v>
      </c>
      <c r="AO12" s="344">
        <f>'BZ by State 1st Crop'!AO12+'BZ by State 2nd Crop'!AO12+'BZ by State 3rd Crop'!AO12</f>
        <v>158.1</v>
      </c>
      <c r="AP12" s="344">
        <f>'BZ by State 1st Crop'!AP12+'BZ by State 2nd Crop'!AP12+'BZ by State 3rd Crop'!AP12</f>
        <v>197.10000000000002</v>
      </c>
      <c r="AQ12" s="344">
        <f>'BZ by State 1st Crop'!AQ12+'BZ by State 2nd Crop'!AQ12+'BZ by State 3rd Crop'!AQ12</f>
        <v>178.2</v>
      </c>
      <c r="AR12" s="344">
        <f>'BZ by State 1st Crop'!AR12+'BZ by State 2nd Crop'!AR12+'BZ by State 3rd Crop'!AR12</f>
        <v>190.10000000000002</v>
      </c>
      <c r="AS12" s="344">
        <f>'BZ by State 1st Crop'!AS12+'BZ by State 2nd Crop'!AS12+'BZ by State 3rd Crop'!AS12</f>
        <v>197.9</v>
      </c>
      <c r="AT12" s="344">
        <f>'BZ by State 1st Crop'!AT12+'BZ by State 2nd Crop'!AT12+'BZ by State 3rd Crop'!AT12</f>
        <v>212.6</v>
      </c>
      <c r="AU12" s="344">
        <f>'BZ by State 1st Crop'!AU12+'BZ by State 2nd Crop'!AU12+'BZ by State 3rd Crop'!AU12</f>
        <v>254.5</v>
      </c>
      <c r="AV12" s="344">
        <f>'BZ by State 1st Crop'!AV12+'BZ by State 2nd Crop'!AV12+'BZ by State 3rd Crop'!AV12</f>
        <v>303.39999999999998</v>
      </c>
      <c r="AW12" s="344">
        <f>'BZ by State 1st Crop'!AW12+'BZ by State 2nd Crop'!AW12+'BZ by State 3rd Crop'!AW12</f>
        <v>333.9</v>
      </c>
      <c r="AX12" s="344">
        <f>'BZ by State 1st Crop'!AX12+'BZ by State 2nd Crop'!AX12+'BZ by State 3rd Crop'!AX12</f>
        <v>493.3</v>
      </c>
      <c r="AY12" s="369">
        <f>'BZ by State 1st Crop'!AY12+'BZ by State 2nd Crop'!AY12+'BZ by State 3rd Crop'!AY12</f>
        <v>488.5</v>
      </c>
      <c r="AZ12" s="366">
        <f>'BZ by State 1st Crop'!AZ12+'BZ by State 2nd Crop'!AZ12+'BZ by State 3rd Crop'!AZ12</f>
        <v>488.5</v>
      </c>
      <c r="BA12" s="366">
        <f>AZ12-AY12</f>
        <v>0</v>
      </c>
      <c r="BB12" s="367">
        <f>AY12-AX12</f>
        <v>-4.8000000000000114</v>
      </c>
      <c r="BC12" s="368">
        <f>AZ12-AX12</f>
        <v>-4.8000000000000114</v>
      </c>
      <c r="BD12" s="353">
        <f>(AX12/AS12)^(1/5)-1</f>
        <v>0.20041956252860871</v>
      </c>
      <c r="BF12" s="319" t="b">
        <v>0</v>
      </c>
      <c r="BH12" s="311"/>
      <c r="BI12" s="311"/>
      <c r="BJ12" s="311"/>
      <c r="BK12" s="311"/>
    </row>
    <row r="13" spans="1:63" ht="15" customHeight="1">
      <c r="A13" s="324" t="s">
        <v>353</v>
      </c>
      <c r="B13" s="345">
        <f t="shared" ref="B13:AZ13" si="6">B14/B12*1000</f>
        <v>1502.2026431718064</v>
      </c>
      <c r="C13" s="345">
        <f t="shared" si="6"/>
        <v>4589.2351274787543</v>
      </c>
      <c r="D13" s="345">
        <f t="shared" si="6"/>
        <v>4441.3407821229057</v>
      </c>
      <c r="E13" s="345">
        <f t="shared" si="6"/>
        <v>5142.8571428571431</v>
      </c>
      <c r="F13" s="345">
        <f t="shared" si="6"/>
        <v>4800</v>
      </c>
      <c r="G13" s="345">
        <f t="shared" si="6"/>
        <v>5037.0370370370374</v>
      </c>
      <c r="H13" s="345">
        <f t="shared" si="6"/>
        <v>4362.8185907046482</v>
      </c>
      <c r="I13" s="345">
        <f t="shared" si="6"/>
        <v>4353.9823008849553</v>
      </c>
      <c r="J13" s="345">
        <f t="shared" si="6"/>
        <v>4813.1868131868132</v>
      </c>
      <c r="K13" s="345">
        <f t="shared" si="6"/>
        <v>5397.727272727273</v>
      </c>
      <c r="L13" s="345">
        <f t="shared" si="6"/>
        <v>5004.6598322460395</v>
      </c>
      <c r="M13" s="345">
        <f t="shared" si="6"/>
        <v>5008.1833060556464</v>
      </c>
      <c r="N13" s="345">
        <f t="shared" si="6"/>
        <v>5007.6923076923076</v>
      </c>
      <c r="O13" s="345">
        <f t="shared" si="6"/>
        <v>5256.4102564102568</v>
      </c>
      <c r="P13" s="345">
        <f t="shared" si="6"/>
        <v>5251.2820512820517</v>
      </c>
      <c r="Q13" s="345">
        <f t="shared" si="6"/>
        <v>5400.8179959100207</v>
      </c>
      <c r="R13" s="345">
        <f t="shared" si="6"/>
        <v>5820.7792207792218</v>
      </c>
      <c r="S13" s="345">
        <f t="shared" si="6"/>
        <v>5940.3061224489802</v>
      </c>
      <c r="T13" s="345">
        <f t="shared" si="6"/>
        <v>5670.1337295690946</v>
      </c>
      <c r="U13" s="345">
        <f t="shared" si="6"/>
        <v>5577.4038461538457</v>
      </c>
      <c r="V13" s="345">
        <f t="shared" si="6"/>
        <v>5700.5899705014745</v>
      </c>
      <c r="W13" s="345">
        <f t="shared" si="6"/>
        <v>5490.9972299168985</v>
      </c>
      <c r="X13" s="345">
        <f t="shared" si="6"/>
        <v>4650.9635974304065</v>
      </c>
      <c r="Y13" s="345">
        <f t="shared" si="6"/>
        <v>5251.1700468018726</v>
      </c>
      <c r="Z13" s="345">
        <f t="shared" si="6"/>
        <v>4951.2000000000007</v>
      </c>
      <c r="AA13" s="345">
        <f t="shared" si="6"/>
        <v>5461.224489795919</v>
      </c>
      <c r="AB13" s="345">
        <f t="shared" si="6"/>
        <v>5520</v>
      </c>
      <c r="AC13" s="345">
        <f t="shared" si="6"/>
        <v>6282.889733840304</v>
      </c>
      <c r="AD13" s="345">
        <f t="shared" si="6"/>
        <v>5851.4202476329219</v>
      </c>
      <c r="AE13" s="345">
        <f t="shared" si="6"/>
        <v>6033.7315530569203</v>
      </c>
      <c r="AF13" s="345">
        <f t="shared" si="6"/>
        <v>6602.6200873362441</v>
      </c>
      <c r="AG13" s="345">
        <f t="shared" si="6"/>
        <v>7184.6537741734246</v>
      </c>
      <c r="AH13" s="345">
        <f t="shared" si="6"/>
        <v>6745.8791208791208</v>
      </c>
      <c r="AI13" s="345">
        <f t="shared" si="6"/>
        <v>6738.2953181272505</v>
      </c>
      <c r="AJ13" s="345">
        <f t="shared" si="6"/>
        <v>7032.064128256512</v>
      </c>
      <c r="AK13" s="345">
        <f t="shared" si="6"/>
        <v>8386.3216266173731</v>
      </c>
      <c r="AL13" s="345">
        <f t="shared" si="6"/>
        <v>9054.1516245487383</v>
      </c>
      <c r="AM13" s="345">
        <f t="shared" si="6"/>
        <v>9152.7126590756852</v>
      </c>
      <c r="AN13" s="345">
        <f t="shared" si="6"/>
        <v>11806.042296072506</v>
      </c>
      <c r="AO13" s="345">
        <f t="shared" si="6"/>
        <v>12406.07210626186</v>
      </c>
      <c r="AP13" s="345">
        <f t="shared" si="6"/>
        <v>12100.456621004565</v>
      </c>
      <c r="AQ13" s="345">
        <f t="shared" si="6"/>
        <v>12498.316498316499</v>
      </c>
      <c r="AR13" s="345">
        <f t="shared" si="6"/>
        <v>14648.079957916887</v>
      </c>
      <c r="AS13" s="345">
        <f t="shared" si="6"/>
        <v>15221.323900960082</v>
      </c>
      <c r="AT13" s="345">
        <f t="shared" si="6"/>
        <v>5075.8532455315153</v>
      </c>
      <c r="AU13" s="345">
        <f t="shared" si="6"/>
        <v>5206.0744204322209</v>
      </c>
      <c r="AV13" s="345">
        <f t="shared" si="6"/>
        <v>5182.7415952537904</v>
      </c>
      <c r="AW13" s="345">
        <f t="shared" si="6"/>
        <v>5124.0128781072181</v>
      </c>
      <c r="AX13" s="345">
        <f t="shared" si="6"/>
        <v>5273.4486113926614</v>
      </c>
      <c r="AY13" s="346">
        <f t="shared" si="6"/>
        <v>5230.9303991811657</v>
      </c>
      <c r="AZ13" s="347">
        <f t="shared" si="6"/>
        <v>5283.2712384851575</v>
      </c>
      <c r="BA13" s="347">
        <f>AZ13-AY13</f>
        <v>52.340839303991743</v>
      </c>
      <c r="BB13" s="351">
        <f>AY13-AX13</f>
        <v>-42.518212211495666</v>
      </c>
      <c r="BC13" s="352">
        <f>AZ13-AX13</f>
        <v>9.8226270924960772</v>
      </c>
      <c r="BD13" s="353">
        <f t="shared" ref="BD13:BD14" si="7">(AX13/AS13)^(1/5)-1</f>
        <v>-0.19103737320978598</v>
      </c>
    </row>
    <row r="14" spans="1:63" s="311" customFormat="1" ht="15" customHeight="1">
      <c r="A14" s="324" t="s">
        <v>354</v>
      </c>
      <c r="B14" s="344">
        <f>'BZ by State 1st Crop'!B14+'BZ by State 2nd Crop'!B14+'BZ by State 3rd Crop'!B14</f>
        <v>34.1</v>
      </c>
      <c r="C14" s="344">
        <f>'BZ by State 1st Crop'!C14+'BZ by State 2nd Crop'!C14+'BZ by State 3rd Crop'!C14</f>
        <v>162</v>
      </c>
      <c r="D14" s="344">
        <f>'BZ by State 1st Crop'!D14+'BZ by State 2nd Crop'!D14+'BZ by State 3rd Crop'!D14</f>
        <v>159</v>
      </c>
      <c r="E14" s="344">
        <f>'BZ by State 1st Crop'!E14+'BZ by State 2nd Crop'!E14+'BZ by State 3rd Crop'!E14</f>
        <v>324</v>
      </c>
      <c r="F14" s="344">
        <f>'BZ by State 1st Crop'!F14+'BZ by State 2nd Crop'!F14+'BZ by State 3rd Crop'!F14</f>
        <v>336</v>
      </c>
      <c r="G14" s="344">
        <f>'BZ by State 1st Crop'!G14+'BZ by State 2nd Crop'!G14+'BZ by State 3rd Crop'!G14</f>
        <v>408</v>
      </c>
      <c r="H14" s="344">
        <f>'BZ by State 1st Crop'!H14+'BZ by State 2nd Crop'!H14+'BZ by State 3rd Crop'!H14</f>
        <v>291</v>
      </c>
      <c r="I14" s="344">
        <f>'BZ by State 1st Crop'!I14+'BZ by State 2nd Crop'!I14+'BZ by State 3rd Crop'!I14</f>
        <v>492</v>
      </c>
      <c r="J14" s="344">
        <f>'BZ by State 1st Crop'!J14+'BZ by State 2nd Crop'!J14+'BZ by State 3rd Crop'!J14</f>
        <v>438</v>
      </c>
      <c r="K14" s="344">
        <f>'BZ by State 1st Crop'!K14+'BZ by State 2nd Crop'!K14+'BZ by State 3rd Crop'!K14</f>
        <v>570</v>
      </c>
      <c r="L14" s="344">
        <f>'BZ by State 1st Crop'!L14+'BZ by State 2nd Crop'!L14+'BZ by State 3rd Crop'!L14</f>
        <v>537</v>
      </c>
      <c r="M14" s="344">
        <f>'BZ by State 1st Crop'!M14+'BZ by State 2nd Crop'!M14+'BZ by State 3rd Crop'!M14</f>
        <v>612</v>
      </c>
      <c r="N14" s="344">
        <f>'BZ by State 1st Crop'!N14+'BZ by State 2nd Crop'!N14+'BZ by State 3rd Crop'!N14</f>
        <v>651</v>
      </c>
      <c r="O14" s="344">
        <f>'BZ by State 1st Crop'!O14+'BZ by State 2nd Crop'!O14+'BZ by State 3rd Crop'!O14</f>
        <v>615</v>
      </c>
      <c r="P14" s="344">
        <f>'BZ by State 1st Crop'!P14+'BZ by State 2nd Crop'!P14+'BZ by State 3rd Crop'!P14</f>
        <v>614.40000000000009</v>
      </c>
      <c r="Q14" s="344">
        <f>'BZ by State 1st Crop'!Q14+'BZ by State 2nd Crop'!Q14+'BZ by State 3rd Crop'!Q14</f>
        <v>792.30000000000007</v>
      </c>
      <c r="R14" s="344">
        <f>'BZ by State 1st Crop'!R14+'BZ by State 2nd Crop'!R14+'BZ by State 3rd Crop'!R14</f>
        <v>896.40000000000009</v>
      </c>
      <c r="S14" s="344">
        <f>'BZ by State 1st Crop'!S14+'BZ by State 2nd Crop'!S14+'BZ by State 3rd Crop'!S14</f>
        <v>1164.3000000000002</v>
      </c>
      <c r="T14" s="344">
        <f>'BZ by State 1st Crop'!T14+'BZ by State 2nd Crop'!T14+'BZ by State 3rd Crop'!T14</f>
        <v>1144.8000000000002</v>
      </c>
      <c r="U14" s="344">
        <f>'BZ by State 1st Crop'!U14+'BZ by State 2nd Crop'!U14+'BZ by State 3rd Crop'!U14</f>
        <v>1160.0999999999999</v>
      </c>
      <c r="V14" s="344">
        <f>'BZ by State 1st Crop'!V14+'BZ by State 2nd Crop'!V14+'BZ by State 3rd Crop'!V14</f>
        <v>1159.5</v>
      </c>
      <c r="W14" s="344">
        <f>'BZ by State 1st Crop'!W14+'BZ by State 2nd Crop'!W14+'BZ by State 3rd Crop'!W14</f>
        <v>792.90000000000009</v>
      </c>
      <c r="X14" s="344">
        <f>'BZ by State 1st Crop'!X14+'BZ by State 2nd Crop'!X14+'BZ by State 3rd Crop'!X14</f>
        <v>651.59999999999991</v>
      </c>
      <c r="Y14" s="344">
        <f>'BZ by State 1st Crop'!Y14+'BZ by State 2nd Crop'!Y14+'BZ by State 3rd Crop'!Y14</f>
        <v>673.2</v>
      </c>
      <c r="Z14" s="344">
        <f>'BZ by State 1st Crop'!Z14+'BZ by State 2nd Crop'!Z14+'BZ by State 3rd Crop'!Z14</f>
        <v>618.90000000000009</v>
      </c>
      <c r="AA14" s="344">
        <f>'BZ by State 1st Crop'!AA14+'BZ by State 2nd Crop'!AA14+'BZ by State 3rd Crop'!AA14</f>
        <v>535.20000000000005</v>
      </c>
      <c r="AB14" s="344">
        <f>'BZ by State 1st Crop'!AB14+'BZ by State 2nd Crop'!AB14+'BZ by State 3rd Crop'!AB14</f>
        <v>552</v>
      </c>
      <c r="AC14" s="344">
        <f>'BZ by State 1st Crop'!AC14+'BZ by State 2nd Crop'!AC14+'BZ by State 3rd Crop'!AC14</f>
        <v>826.19999999999993</v>
      </c>
      <c r="AD14" s="344">
        <f>'BZ by State 1st Crop'!AD14+'BZ by State 2nd Crop'!AD14+'BZ by State 3rd Crop'!AD14</f>
        <v>803.40000000000009</v>
      </c>
      <c r="AE14" s="344">
        <f>'BZ by State 1st Crop'!AE14+'BZ by State 2nd Crop'!AE14+'BZ by State 3rd Crop'!AE14</f>
        <v>858.59999999999991</v>
      </c>
      <c r="AF14" s="344">
        <f>'BZ by State 1st Crop'!AF14+'BZ by State 2nd Crop'!AF14+'BZ by State 3rd Crop'!AF14</f>
        <v>907.19999999999993</v>
      </c>
      <c r="AG14" s="344">
        <f>'BZ by State 1st Crop'!AG14+'BZ by State 2nd Crop'!AG14+'BZ by State 3rd Crop'!AG14</f>
        <v>1151.6999999999998</v>
      </c>
      <c r="AH14" s="344">
        <f>'BZ by State 1st Crop'!AH14+'BZ by State 2nd Crop'!AH14+'BZ by State 3rd Crop'!AH14</f>
        <v>982.19999999999993</v>
      </c>
      <c r="AI14" s="344">
        <f>'BZ by State 1st Crop'!AI14+'BZ by State 2nd Crop'!AI14+'BZ by State 3rd Crop'!AI14</f>
        <v>1122.5999999999999</v>
      </c>
      <c r="AJ14" s="344">
        <f>'BZ by State 1st Crop'!AJ14+'BZ by State 2nd Crop'!AJ14+'BZ by State 3rd Crop'!AJ14</f>
        <v>1052.6999999999998</v>
      </c>
      <c r="AK14" s="344">
        <f>'BZ by State 1st Crop'!AK14+'BZ by State 2nd Crop'!AK14+'BZ by State 3rd Crop'!AK14</f>
        <v>1361.1</v>
      </c>
      <c r="AL14" s="344">
        <f>'BZ by State 1st Crop'!AL14+'BZ by State 2nd Crop'!AL14+'BZ by State 3rd Crop'!AL14</f>
        <v>1504.8000000000002</v>
      </c>
      <c r="AM14" s="344">
        <f>'BZ by State 1st Crop'!AM14+'BZ by State 2nd Crop'!AM14+'BZ by State 3rd Crop'!AM14</f>
        <v>1366.5</v>
      </c>
      <c r="AN14" s="344">
        <f>'BZ by State 1st Crop'!AN14+'BZ by State 2nd Crop'!AN14+'BZ by State 3rd Crop'!AN14</f>
        <v>1953.8999999999999</v>
      </c>
      <c r="AO14" s="344">
        <f>'BZ by State 1st Crop'!AO14+'BZ by State 2nd Crop'!AO14+'BZ by State 3rd Crop'!AO14</f>
        <v>1961.3999999999999</v>
      </c>
      <c r="AP14" s="344">
        <f>'BZ by State 1st Crop'!AP14+'BZ by State 2nd Crop'!AP14+'BZ by State 3rd Crop'!AP14</f>
        <v>2385</v>
      </c>
      <c r="AQ14" s="344">
        <f>'BZ by State 1st Crop'!AQ14+'BZ by State 2nd Crop'!AQ14+'BZ by State 3rd Crop'!AQ14</f>
        <v>2227.1999999999998</v>
      </c>
      <c r="AR14" s="344">
        <f>'BZ by State 1st Crop'!AR14+'BZ by State 2nd Crop'!AR14+'BZ by State 3rd Crop'!AR14</f>
        <v>2784.6000000000004</v>
      </c>
      <c r="AS14" s="344">
        <f>'BZ by State 1st Crop'!AS14+'BZ by State 2nd Crop'!AS14+'BZ by State 3rd Crop'!AS14</f>
        <v>3012.3</v>
      </c>
      <c r="AT14" s="344">
        <f>'BZ by State 1st Crop'!AT14+'BZ by State 2nd Crop'!AT14+'BZ by State 3rd Crop'!AT14</f>
        <v>1079.1264000000001</v>
      </c>
      <c r="AU14" s="344">
        <f>'BZ by State 1st Crop'!AU14+'BZ by State 2nd Crop'!AU14+'BZ by State 3rd Crop'!AU14</f>
        <v>1324.9459400000001</v>
      </c>
      <c r="AV14" s="344">
        <f>'BZ by State 1st Crop'!AV14+'BZ by State 2nd Crop'!AV14+'BZ by State 3rd Crop'!AV14</f>
        <v>1572.4437999999998</v>
      </c>
      <c r="AW14" s="344">
        <f>'BZ by State 1st Crop'!AW14+'BZ by State 2nd Crop'!AW14+'BZ by State 3rd Crop'!AW14</f>
        <v>1710.9078999999999</v>
      </c>
      <c r="AX14" s="344">
        <f>'BZ by State 1st Crop'!AX14+'BZ by State 2nd Crop'!AX14+'BZ by State 3rd Crop'!AX14</f>
        <v>2601.3921999999998</v>
      </c>
      <c r="AY14" s="365">
        <f>'BZ by State 1st Crop'!AY14+'BZ by State 2nd Crop'!AY14+'BZ by State 3rd Crop'!AY14</f>
        <v>2555.3094999999994</v>
      </c>
      <c r="AZ14" s="366">
        <f>'BZ by State 1st Crop'!AZ14+'BZ by State 2nd Crop'!AZ14+'BZ by State 3rd Crop'!AZ14</f>
        <v>2580.8779999999997</v>
      </c>
      <c r="BA14" s="366">
        <f>AZ14-AY14</f>
        <v>25.568500000000313</v>
      </c>
      <c r="BB14" s="367">
        <f>AY14-AX14</f>
        <v>-46.082700000000386</v>
      </c>
      <c r="BC14" s="368">
        <f>AZ14-AX14</f>
        <v>-20.514200000000073</v>
      </c>
      <c r="BD14" s="353">
        <f t="shared" si="7"/>
        <v>-2.8905437446497206E-2</v>
      </c>
      <c r="BE14" s="309"/>
      <c r="BF14"/>
      <c r="BG14" s="308"/>
    </row>
    <row r="15" spans="1:63" ht="15" customHeight="1">
      <c r="A15" s="320" t="s">
        <v>357</v>
      </c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6"/>
      <c r="N15" s="356"/>
      <c r="O15" s="356"/>
      <c r="P15" s="356"/>
      <c r="Q15" s="356"/>
      <c r="R15" s="356"/>
      <c r="S15" s="356"/>
      <c r="T15" s="356"/>
      <c r="U15" s="356"/>
      <c r="V15" s="356"/>
      <c r="W15" s="356"/>
      <c r="X15" s="356"/>
      <c r="Y15" s="356"/>
      <c r="Z15" s="356"/>
      <c r="AA15" s="356"/>
      <c r="AB15" s="356"/>
      <c r="AC15" s="356"/>
      <c r="AD15" s="356"/>
      <c r="AE15" s="356"/>
      <c r="AF15" s="356"/>
      <c r="AG15" s="356"/>
      <c r="AH15" s="356"/>
      <c r="AI15" s="356"/>
      <c r="AJ15" s="356"/>
      <c r="AK15" s="356"/>
      <c r="AL15" s="356"/>
      <c r="AM15" s="356"/>
      <c r="AN15" s="356"/>
      <c r="AO15" s="356"/>
      <c r="AP15" s="356"/>
      <c r="AQ15" s="356"/>
      <c r="AR15" s="356"/>
      <c r="AS15" s="356"/>
      <c r="AT15" s="328"/>
      <c r="AU15" s="328"/>
      <c r="AV15" s="328"/>
      <c r="AW15" s="328"/>
      <c r="AX15" s="328"/>
      <c r="AY15" s="321"/>
      <c r="AZ15" s="328"/>
      <c r="BA15" s="329"/>
      <c r="BB15" s="321"/>
      <c r="BC15" s="328"/>
      <c r="BD15" s="329"/>
    </row>
    <row r="16" spans="1:63" ht="15" customHeight="1">
      <c r="A16" s="324" t="s">
        <v>352</v>
      </c>
      <c r="B16" s="344">
        <f>'BZ by State 1st Crop'!B16+'BZ by State 2nd Crop'!B16+'BZ by State 3rd Crop'!B16</f>
        <v>17</v>
      </c>
      <c r="C16" s="344">
        <f>'BZ by State 1st Crop'!C16+'BZ by State 2nd Crop'!C16+'BZ by State 3rd Crop'!C16</f>
        <v>17.5</v>
      </c>
      <c r="D16" s="344">
        <f>'BZ by State 1st Crop'!D16+'BZ by State 2nd Crop'!D16+'BZ by State 3rd Crop'!D16</f>
        <v>13</v>
      </c>
      <c r="E16" s="344">
        <f>'BZ by State 1st Crop'!E16+'BZ by State 2nd Crop'!E16+'BZ by State 3rd Crop'!E16</f>
        <v>17</v>
      </c>
      <c r="F16" s="344">
        <f>'BZ by State 1st Crop'!F16+'BZ by State 2nd Crop'!F16+'BZ by State 3rd Crop'!F16</f>
        <v>18</v>
      </c>
      <c r="G16" s="344">
        <f>'BZ by State 1st Crop'!G16+'BZ by State 2nd Crop'!G16+'BZ by State 3rd Crop'!G16</f>
        <v>20</v>
      </c>
      <c r="H16" s="344">
        <f>'BZ by State 1st Crop'!H16+'BZ by State 2nd Crop'!H16+'BZ by State 3rd Crop'!H16</f>
        <v>25</v>
      </c>
      <c r="I16" s="344">
        <f>'BZ by State 1st Crop'!I16+'BZ by State 2nd Crop'!I16+'BZ by State 3rd Crop'!I16</f>
        <v>21.4</v>
      </c>
      <c r="J16" s="344">
        <f>'BZ by State 1st Crop'!J16+'BZ by State 2nd Crop'!J16+'BZ by State 3rd Crop'!J16</f>
        <v>23</v>
      </c>
      <c r="K16" s="344">
        <f>'BZ by State 1st Crop'!K16+'BZ by State 2nd Crop'!K16+'BZ by State 3rd Crop'!K16</f>
        <v>23.9</v>
      </c>
      <c r="L16" s="344">
        <f>'BZ by State 1st Crop'!L16+'BZ by State 2nd Crop'!L16+'BZ by State 3rd Crop'!L16</f>
        <v>27</v>
      </c>
      <c r="M16" s="344">
        <f>'BZ by State 1st Crop'!M16+'BZ by State 2nd Crop'!M16+'BZ by State 3rd Crop'!M16</f>
        <v>27.6</v>
      </c>
      <c r="N16" s="344">
        <f>'BZ by State 1st Crop'!N16+'BZ by State 2nd Crop'!N16+'BZ by State 3rd Crop'!N16</f>
        <v>31.2</v>
      </c>
      <c r="O16" s="344">
        <f>'BZ by State 1st Crop'!O16+'BZ by State 2nd Crop'!O16+'BZ by State 3rd Crop'!O16</f>
        <v>30.5</v>
      </c>
      <c r="P16" s="344">
        <f>'BZ by State 1st Crop'!P16+'BZ by State 2nd Crop'!P16+'BZ by State 3rd Crop'!P16</f>
        <v>30.5</v>
      </c>
      <c r="Q16" s="344">
        <f>'BZ by State 1st Crop'!Q16+'BZ by State 2nd Crop'!Q16+'BZ by State 3rd Crop'!Q16</f>
        <v>35</v>
      </c>
      <c r="R16" s="344">
        <f>'BZ by State 1st Crop'!R16+'BZ by State 2nd Crop'!R16+'BZ by State 3rd Crop'!R16</f>
        <v>35</v>
      </c>
      <c r="S16" s="344">
        <f>'BZ by State 1st Crop'!S16+'BZ by State 2nd Crop'!S16+'BZ by State 3rd Crop'!S16</f>
        <v>36.299999999999997</v>
      </c>
      <c r="T16" s="344">
        <f>'BZ by State 1st Crop'!T16+'BZ by State 2nd Crop'!T16+'BZ by State 3rd Crop'!T16</f>
        <v>37.6</v>
      </c>
      <c r="U16" s="344">
        <f>'BZ by State 1st Crop'!U16+'BZ by State 2nd Crop'!U16+'BZ by State 3rd Crop'!U16</f>
        <v>37.9</v>
      </c>
      <c r="V16" s="344">
        <f>'BZ by State 1st Crop'!V16+'BZ by State 2nd Crop'!V16+'BZ by State 3rd Crop'!V16</f>
        <v>21</v>
      </c>
      <c r="W16" s="344">
        <f>'BZ by State 1st Crop'!W16+'BZ by State 2nd Crop'!W16+'BZ by State 3rd Crop'!W16</f>
        <v>24.7</v>
      </c>
      <c r="X16" s="344">
        <f>'BZ by State 1st Crop'!X16+'BZ by State 2nd Crop'!X16+'BZ by State 3rd Crop'!X16</f>
        <v>28.6</v>
      </c>
      <c r="Y16" s="344">
        <f>'BZ by State 1st Crop'!Y16+'BZ by State 2nd Crop'!Y16+'BZ by State 3rd Crop'!Y16</f>
        <v>34.9</v>
      </c>
      <c r="Z16" s="344">
        <f>'BZ by State 1st Crop'!Z16+'BZ by State 2nd Crop'!Z16+'BZ by State 3rd Crop'!Z16</f>
        <v>30</v>
      </c>
      <c r="AA16" s="344">
        <f>'BZ by State 1st Crop'!AA16+'BZ by State 2nd Crop'!AA16+'BZ by State 3rd Crop'!AA16</f>
        <v>33</v>
      </c>
      <c r="AB16" s="344">
        <f>'BZ by State 1st Crop'!AB16+'BZ by State 2nd Crop'!AB16+'BZ by State 3rd Crop'!AB16</f>
        <v>34</v>
      </c>
      <c r="AC16" s="344">
        <f>'BZ by State 1st Crop'!AC16+'BZ by State 2nd Crop'!AC16+'BZ by State 3rd Crop'!AC16</f>
        <v>38</v>
      </c>
      <c r="AD16" s="344">
        <f>'BZ by State 1st Crop'!AD16+'BZ by State 2nd Crop'!AD16+'BZ by State 3rd Crop'!AD16</f>
        <v>42.5</v>
      </c>
      <c r="AE16" s="344">
        <f>'BZ by State 1st Crop'!AE16+'BZ by State 2nd Crop'!AE16+'BZ by State 3rd Crop'!AE16</f>
        <v>36.6</v>
      </c>
      <c r="AF16" s="344">
        <f>'BZ by State 1st Crop'!AF16+'BZ by State 2nd Crop'!AF16+'BZ by State 3rd Crop'!AF16</f>
        <v>37</v>
      </c>
      <c r="AG16" s="344">
        <f>'BZ by State 1st Crop'!AG16+'BZ by State 2nd Crop'!AG16+'BZ by State 3rd Crop'!AG16</f>
        <v>24.3</v>
      </c>
      <c r="AH16" s="344">
        <f>'BZ by State 1st Crop'!AH16+'BZ by State 2nd Crop'!AH16+'BZ by State 3rd Crop'!AH16</f>
        <v>24.5</v>
      </c>
      <c r="AI16" s="344">
        <f>'BZ by State 1st Crop'!AI16+'BZ by State 2nd Crop'!AI16+'BZ by State 3rd Crop'!AI16</f>
        <v>29</v>
      </c>
      <c r="AJ16" s="344">
        <f>'BZ by State 1st Crop'!AJ16+'BZ by State 2nd Crop'!AJ16+'BZ by State 3rd Crop'!AJ16</f>
        <v>37.700000000000003</v>
      </c>
      <c r="AK16" s="344">
        <f>'BZ by State 1st Crop'!AK16+'BZ by State 2nd Crop'!AK16+'BZ by State 3rd Crop'!AK16</f>
        <v>43.8</v>
      </c>
      <c r="AL16" s="344">
        <f>'BZ by State 1st Crop'!AL16+'BZ by State 2nd Crop'!AL16+'BZ by State 3rd Crop'!AL16</f>
        <v>46.1</v>
      </c>
      <c r="AM16" s="344">
        <f>'BZ by State 1st Crop'!AM16+'BZ by State 2nd Crop'!AM16+'BZ by State 3rd Crop'!AM16</f>
        <v>46.5</v>
      </c>
      <c r="AN16" s="344">
        <f>'BZ by State 1st Crop'!AN16+'BZ by State 2nd Crop'!AN16+'BZ by State 3rd Crop'!AN16</f>
        <v>41.3</v>
      </c>
      <c r="AO16" s="344">
        <f>'BZ by State 1st Crop'!AO16+'BZ by State 2nd Crop'!AO16+'BZ by State 3rd Crop'!AO16</f>
        <v>39.6</v>
      </c>
      <c r="AP16" s="344">
        <f>'BZ by State 1st Crop'!AP16+'BZ by State 2nd Crop'!AP16+'BZ by State 3rd Crop'!AP16</f>
        <v>34.9</v>
      </c>
      <c r="AQ16" s="344">
        <f>'BZ by State 1st Crop'!AQ16+'BZ by State 2nd Crop'!AQ16+'BZ by State 3rd Crop'!AQ16</f>
        <v>31</v>
      </c>
      <c r="AR16" s="344">
        <f>'BZ by State 1st Crop'!AR16+'BZ by State 2nd Crop'!AR16+'BZ by State 3rd Crop'!AR16</f>
        <v>34.9</v>
      </c>
      <c r="AS16" s="344">
        <f>'BZ by State 1st Crop'!AS16+'BZ by State 2nd Crop'!AS16+'BZ by State 3rd Crop'!AS16</f>
        <v>32.4</v>
      </c>
      <c r="AT16" s="344">
        <f>'BZ by State 1st Crop'!AT16+'BZ by State 2nd Crop'!AT16+'BZ by State 3rd Crop'!AT16</f>
        <v>33.6</v>
      </c>
      <c r="AU16" s="344">
        <f>'BZ by State 1st Crop'!AU16+'BZ by State 2nd Crop'!AU16+'BZ by State 3rd Crop'!AU16</f>
        <v>47.4</v>
      </c>
      <c r="AV16" s="344">
        <f>'BZ by State 1st Crop'!AV16+'BZ by State 2nd Crop'!AV16+'BZ by State 3rd Crop'!AV16</f>
        <v>43</v>
      </c>
      <c r="AW16" s="344">
        <f>'BZ by State 1st Crop'!AW16+'BZ by State 2nd Crop'!AW16+'BZ by State 3rd Crop'!AW16</f>
        <v>38.700000000000003</v>
      </c>
      <c r="AX16" s="344">
        <f>'BZ by State 1st Crop'!AX16+'BZ by State 2nd Crop'!AX16+'BZ by State 3rd Crop'!AX16</f>
        <v>41</v>
      </c>
      <c r="AY16" s="369">
        <f>'BZ by State 1st Crop'!AY16+'BZ by State 2nd Crop'!AY16+'BZ by State 3rd Crop'!AY16</f>
        <v>42.400000000000006</v>
      </c>
      <c r="AZ16" s="366">
        <f>'BZ by State 1st Crop'!AZ16+'BZ by State 2nd Crop'!AZ16+'BZ by State 3rd Crop'!AZ16</f>
        <v>42.400000000000006</v>
      </c>
      <c r="BA16" s="366">
        <f>AZ16-AY16</f>
        <v>0</v>
      </c>
      <c r="BB16" s="367">
        <f>AY16-AX16</f>
        <v>1.4000000000000057</v>
      </c>
      <c r="BC16" s="368">
        <f>AZ16-AX16</f>
        <v>1.4000000000000057</v>
      </c>
      <c r="BD16" s="353">
        <f>(AX16/AS16)^(1/5)-1</f>
        <v>4.8208722522820047E-2</v>
      </c>
      <c r="BF16" s="319" t="b">
        <v>0</v>
      </c>
      <c r="BH16" s="311"/>
      <c r="BI16" s="311"/>
      <c r="BJ16" s="311"/>
      <c r="BK16" s="311"/>
    </row>
    <row r="17" spans="1:63" ht="15" customHeight="1">
      <c r="A17" s="324" t="s">
        <v>353</v>
      </c>
      <c r="B17" s="345">
        <f t="shared" ref="B17" si="8">B18/B16*1000</f>
        <v>1176.4705882352941</v>
      </c>
      <c r="C17" s="345">
        <f t="shared" ref="C17" si="9">C18/C16*1000</f>
        <v>9257.1428571428587</v>
      </c>
      <c r="D17" s="345">
        <f t="shared" ref="D17" si="10">D18/D16*1000</f>
        <v>12230.76923076923</v>
      </c>
      <c r="E17" s="345">
        <f t="shared" ref="E17" si="11">E18/E16*1000</f>
        <v>19058.823529411766</v>
      </c>
      <c r="F17" s="345">
        <f t="shared" ref="F17" si="12">F18/F16*1000</f>
        <v>18666.666666666668</v>
      </c>
      <c r="G17" s="345">
        <f t="shared" ref="G17" si="13">G18/G16*1000</f>
        <v>20400</v>
      </c>
      <c r="H17" s="345">
        <f t="shared" ref="H17" si="14">H18/H16*1000</f>
        <v>11640</v>
      </c>
      <c r="I17" s="345">
        <f t="shared" ref="I17" si="15">I18/I16*1000</f>
        <v>22990.654205607476</v>
      </c>
      <c r="J17" s="345">
        <f t="shared" ref="J17" si="16">J18/J16*1000</f>
        <v>19043.478260869568</v>
      </c>
      <c r="K17" s="345">
        <f t="shared" ref="K17" si="17">K18/K16*1000</f>
        <v>23849.37238493724</v>
      </c>
      <c r="L17" s="345">
        <f t="shared" ref="L17" si="18">L18/L16*1000</f>
        <v>19888.888888888891</v>
      </c>
      <c r="M17" s="345">
        <f t="shared" ref="M17" si="19">M18/M16*1000</f>
        <v>22173.913043478256</v>
      </c>
      <c r="N17" s="345">
        <f t="shared" ref="N17" si="20">N18/N16*1000</f>
        <v>20865.384615384617</v>
      </c>
      <c r="O17" s="345">
        <f t="shared" ref="O17" si="21">O18/O16*1000</f>
        <v>20163.934426229509</v>
      </c>
      <c r="P17" s="345">
        <f t="shared" ref="P17" si="22">P18/P16*1000</f>
        <v>20144.262295081968</v>
      </c>
      <c r="Q17" s="345">
        <f t="shared" ref="Q17" si="23">Q18/Q16*1000</f>
        <v>22637.142857142859</v>
      </c>
      <c r="R17" s="345">
        <f t="shared" ref="R17" si="24">R18/R16*1000</f>
        <v>25611.428571428576</v>
      </c>
      <c r="S17" s="345">
        <f t="shared" ref="S17" si="25">S18/S16*1000</f>
        <v>32074.380165289262</v>
      </c>
      <c r="T17" s="345">
        <f t="shared" ref="T17" si="26">T18/T16*1000</f>
        <v>30446.808510638301</v>
      </c>
      <c r="U17" s="345">
        <f t="shared" ref="U17" si="27">U18/U16*1000</f>
        <v>30609.498680738783</v>
      </c>
      <c r="V17" s="345">
        <f t="shared" ref="V17" si="28">V18/V16*1000</f>
        <v>55214.285714285717</v>
      </c>
      <c r="W17" s="345">
        <f t="shared" ref="W17" si="29">W18/W16*1000</f>
        <v>32101.21457489879</v>
      </c>
      <c r="X17" s="345">
        <f t="shared" ref="X17" si="30">X18/X16*1000</f>
        <v>22783.21678321678</v>
      </c>
      <c r="Y17" s="345">
        <f t="shared" ref="Y17" si="31">Y18/Y16*1000</f>
        <v>19289.398280802296</v>
      </c>
      <c r="Z17" s="345">
        <f t="shared" ref="Z17" si="32">Z18/Z16*1000</f>
        <v>20630.000000000004</v>
      </c>
      <c r="AA17" s="345">
        <f t="shared" ref="AA17" si="33">AA18/AA16*1000</f>
        <v>16218.181818181818</v>
      </c>
      <c r="AB17" s="345">
        <f t="shared" ref="AB17" si="34">AB18/AB16*1000</f>
        <v>16235.294117647058</v>
      </c>
      <c r="AC17" s="345">
        <f t="shared" ref="AC17" si="35">AC18/AC16*1000</f>
        <v>21742.105263157893</v>
      </c>
      <c r="AD17" s="345">
        <f t="shared" ref="AD17" si="36">AD18/AD16*1000</f>
        <v>18903.52941176471</v>
      </c>
      <c r="AE17" s="345">
        <f t="shared" ref="AE17" si="37">AE18/AE16*1000</f>
        <v>23459.01639344262</v>
      </c>
      <c r="AF17" s="345">
        <f t="shared" ref="AF17" si="38">AF18/AF16*1000</f>
        <v>24518.918918918916</v>
      </c>
      <c r="AG17" s="345">
        <f t="shared" ref="AG17" si="39">AG18/AG16*1000</f>
        <v>47395.061728395056</v>
      </c>
      <c r="AH17" s="345">
        <f t="shared" ref="AH17" si="40">AH18/AH16*1000</f>
        <v>40089.795918367345</v>
      </c>
      <c r="AI17" s="345">
        <f t="shared" ref="AI17" si="41">AI18/AI16*1000</f>
        <v>38710.344827586203</v>
      </c>
      <c r="AJ17" s="345">
        <f t="shared" ref="AJ17" si="42">AJ18/AJ16*1000</f>
        <v>27923.076923076915</v>
      </c>
      <c r="AK17" s="345">
        <f t="shared" ref="AK17" si="43">AK18/AK16*1000</f>
        <v>31075.342465753427</v>
      </c>
      <c r="AL17" s="345">
        <f t="shared" ref="AL17" si="44">AL18/AL16*1000</f>
        <v>32642.082429501086</v>
      </c>
      <c r="AM17" s="345">
        <f t="shared" ref="AM17" si="45">AM18/AM16*1000</f>
        <v>29387.096774193549</v>
      </c>
      <c r="AN17" s="345">
        <f t="shared" ref="AN17" si="46">AN18/AN16*1000</f>
        <v>47309.927360774818</v>
      </c>
      <c r="AO17" s="345">
        <f t="shared" ref="AO17" si="47">AO18/AO16*1000</f>
        <v>49530.303030303025</v>
      </c>
      <c r="AP17" s="345">
        <f t="shared" ref="AP17" si="48">AP18/AP16*1000</f>
        <v>68338.108882521497</v>
      </c>
      <c r="AQ17" s="345">
        <f t="shared" ref="AQ17" si="49">AQ18/AQ16*1000</f>
        <v>71845.161290322576</v>
      </c>
      <c r="AR17" s="345">
        <f t="shared" ref="AR17" si="50">AR18/AR16*1000</f>
        <v>79787.965616045854</v>
      </c>
      <c r="AS17" s="345">
        <f t="shared" ref="AS17" si="51">AS18/AS16*1000</f>
        <v>92972.222222222234</v>
      </c>
      <c r="AT17" s="345">
        <f t="shared" ref="AT17" si="52">AT18/AT16*1000</f>
        <v>2766.425595238095</v>
      </c>
      <c r="AU17" s="345">
        <f t="shared" ref="AU17" si="53">AU18/AU16*1000</f>
        <v>3337.1265822784812</v>
      </c>
      <c r="AV17" s="345">
        <f t="shared" ref="AV17" si="54">AV18/AV16*1000</f>
        <v>3231.4697674418608</v>
      </c>
      <c r="AW17" s="345">
        <f t="shared" ref="AW17" si="55">AW18/AW16*1000</f>
        <v>3263.1731266149868</v>
      </c>
      <c r="AX17" s="345">
        <f t="shared" ref="AX17" si="56">AX18/AX16*1000</f>
        <v>3406.636585365854</v>
      </c>
      <c r="AY17" s="346">
        <f t="shared" ref="AY17:AZ17" si="57">AY18/AY16*1000</f>
        <v>3468.6084905660377</v>
      </c>
      <c r="AZ17" s="347">
        <f t="shared" si="57"/>
        <v>3503.0731132075471</v>
      </c>
      <c r="BA17" s="347">
        <f>AZ17-AY17</f>
        <v>34.464622641509322</v>
      </c>
      <c r="BB17" s="351">
        <f>AY17-AX17</f>
        <v>61.971905200183755</v>
      </c>
      <c r="BC17" s="352">
        <f>AZ17-AX17</f>
        <v>96.436527841693078</v>
      </c>
      <c r="BD17" s="353">
        <f t="shared" ref="BD17:BD18" si="58">(AX17/AS17)^(1/5)-1</f>
        <v>-0.48382790897429084</v>
      </c>
    </row>
    <row r="18" spans="1:63" s="311" customFormat="1" ht="15" customHeight="1">
      <c r="A18" s="324" t="s">
        <v>354</v>
      </c>
      <c r="B18" s="344">
        <f>'BZ by State 1st Crop'!B18+'BZ by State 2nd Crop'!B18+'BZ by State 3rd Crop'!B18</f>
        <v>20</v>
      </c>
      <c r="C18" s="344">
        <f>'BZ by State 1st Crop'!C18+'BZ by State 2nd Crop'!C18+'BZ by State 3rd Crop'!C18</f>
        <v>162</v>
      </c>
      <c r="D18" s="344">
        <f>'BZ by State 1st Crop'!D18+'BZ by State 2nd Crop'!D18+'BZ by State 3rd Crop'!D18</f>
        <v>159</v>
      </c>
      <c r="E18" s="344">
        <f>'BZ by State 1st Crop'!E18+'BZ by State 2nd Crop'!E18+'BZ by State 3rd Crop'!E18</f>
        <v>324</v>
      </c>
      <c r="F18" s="344">
        <f>'BZ by State 1st Crop'!F18+'BZ by State 2nd Crop'!F18+'BZ by State 3rd Crop'!F18</f>
        <v>336</v>
      </c>
      <c r="G18" s="344">
        <f>'BZ by State 1st Crop'!G18+'BZ by State 2nd Crop'!G18+'BZ by State 3rd Crop'!G18</f>
        <v>408</v>
      </c>
      <c r="H18" s="344">
        <f>'BZ by State 1st Crop'!H18+'BZ by State 2nd Crop'!H18+'BZ by State 3rd Crop'!H18</f>
        <v>291</v>
      </c>
      <c r="I18" s="344">
        <f>'BZ by State 1st Crop'!I18+'BZ by State 2nd Crop'!I18+'BZ by State 3rd Crop'!I18</f>
        <v>492</v>
      </c>
      <c r="J18" s="344">
        <f>'BZ by State 1st Crop'!J18+'BZ by State 2nd Crop'!J18+'BZ by State 3rd Crop'!J18</f>
        <v>438</v>
      </c>
      <c r="K18" s="344">
        <f>'BZ by State 1st Crop'!K18+'BZ by State 2nd Crop'!K18+'BZ by State 3rd Crop'!K18</f>
        <v>570</v>
      </c>
      <c r="L18" s="344">
        <f>'BZ by State 1st Crop'!L18+'BZ by State 2nd Crop'!L18+'BZ by State 3rd Crop'!L18</f>
        <v>537</v>
      </c>
      <c r="M18" s="344">
        <f>'BZ by State 1st Crop'!M18+'BZ by State 2nd Crop'!M18+'BZ by State 3rd Crop'!M18</f>
        <v>612</v>
      </c>
      <c r="N18" s="344">
        <f>'BZ by State 1st Crop'!N18+'BZ by State 2nd Crop'!N18+'BZ by State 3rd Crop'!N18</f>
        <v>651</v>
      </c>
      <c r="O18" s="344">
        <f>'BZ by State 1st Crop'!O18+'BZ by State 2nd Crop'!O18+'BZ by State 3rd Crop'!O18</f>
        <v>615</v>
      </c>
      <c r="P18" s="344">
        <f>'BZ by State 1st Crop'!P18+'BZ by State 2nd Crop'!P18+'BZ by State 3rd Crop'!P18</f>
        <v>614.40000000000009</v>
      </c>
      <c r="Q18" s="344">
        <f>'BZ by State 1st Crop'!Q18+'BZ by State 2nd Crop'!Q18+'BZ by State 3rd Crop'!Q18</f>
        <v>792.30000000000007</v>
      </c>
      <c r="R18" s="344">
        <f>'BZ by State 1st Crop'!R18+'BZ by State 2nd Crop'!R18+'BZ by State 3rd Crop'!R18</f>
        <v>896.40000000000009</v>
      </c>
      <c r="S18" s="344">
        <f>'BZ by State 1st Crop'!S18+'BZ by State 2nd Crop'!S18+'BZ by State 3rd Crop'!S18</f>
        <v>1164.3000000000002</v>
      </c>
      <c r="T18" s="344">
        <f>'BZ by State 1st Crop'!T18+'BZ by State 2nd Crop'!T18+'BZ by State 3rd Crop'!T18</f>
        <v>1144.8000000000002</v>
      </c>
      <c r="U18" s="344">
        <f>'BZ by State 1st Crop'!U18+'BZ by State 2nd Crop'!U18+'BZ by State 3rd Crop'!U18</f>
        <v>1160.0999999999999</v>
      </c>
      <c r="V18" s="344">
        <f>'BZ by State 1st Crop'!V18+'BZ by State 2nd Crop'!V18+'BZ by State 3rd Crop'!V18</f>
        <v>1159.5</v>
      </c>
      <c r="W18" s="344">
        <f>'BZ by State 1st Crop'!W18+'BZ by State 2nd Crop'!W18+'BZ by State 3rd Crop'!W18</f>
        <v>792.90000000000009</v>
      </c>
      <c r="X18" s="344">
        <f>'BZ by State 1st Crop'!X18+'BZ by State 2nd Crop'!X18+'BZ by State 3rd Crop'!X18</f>
        <v>651.59999999999991</v>
      </c>
      <c r="Y18" s="344">
        <f>'BZ by State 1st Crop'!Y18+'BZ by State 2nd Crop'!Y18+'BZ by State 3rd Crop'!Y18</f>
        <v>673.2</v>
      </c>
      <c r="Z18" s="344">
        <f>'BZ by State 1st Crop'!Z18+'BZ by State 2nd Crop'!Z18+'BZ by State 3rd Crop'!Z18</f>
        <v>618.90000000000009</v>
      </c>
      <c r="AA18" s="344">
        <f>'BZ by State 1st Crop'!AA18+'BZ by State 2nd Crop'!AA18+'BZ by State 3rd Crop'!AA18</f>
        <v>535.20000000000005</v>
      </c>
      <c r="AB18" s="344">
        <f>'BZ by State 1st Crop'!AB18+'BZ by State 2nd Crop'!AB18+'BZ by State 3rd Crop'!AB18</f>
        <v>552</v>
      </c>
      <c r="AC18" s="344">
        <f>'BZ by State 1st Crop'!AC18+'BZ by State 2nd Crop'!AC18+'BZ by State 3rd Crop'!AC18</f>
        <v>826.19999999999993</v>
      </c>
      <c r="AD18" s="344">
        <f>'BZ by State 1st Crop'!AD18+'BZ by State 2nd Crop'!AD18+'BZ by State 3rd Crop'!AD18</f>
        <v>803.40000000000009</v>
      </c>
      <c r="AE18" s="344">
        <f>'BZ by State 1st Crop'!AE18+'BZ by State 2nd Crop'!AE18+'BZ by State 3rd Crop'!AE18</f>
        <v>858.59999999999991</v>
      </c>
      <c r="AF18" s="344">
        <f>'BZ by State 1st Crop'!AF18+'BZ by State 2nd Crop'!AF18+'BZ by State 3rd Crop'!AF18</f>
        <v>907.19999999999993</v>
      </c>
      <c r="AG18" s="344">
        <f>'BZ by State 1st Crop'!AG18+'BZ by State 2nd Crop'!AG18+'BZ by State 3rd Crop'!AG18</f>
        <v>1151.6999999999998</v>
      </c>
      <c r="AH18" s="344">
        <f>'BZ by State 1st Crop'!AH18+'BZ by State 2nd Crop'!AH18+'BZ by State 3rd Crop'!AH18</f>
        <v>982.19999999999993</v>
      </c>
      <c r="AI18" s="344">
        <f>'BZ by State 1st Crop'!AI18+'BZ by State 2nd Crop'!AI18+'BZ by State 3rd Crop'!AI18</f>
        <v>1122.5999999999999</v>
      </c>
      <c r="AJ18" s="344">
        <f>'BZ by State 1st Crop'!AJ18+'BZ by State 2nd Crop'!AJ18+'BZ by State 3rd Crop'!AJ18</f>
        <v>1052.6999999999998</v>
      </c>
      <c r="AK18" s="344">
        <f>'BZ by State 1st Crop'!AK18+'BZ by State 2nd Crop'!AK18+'BZ by State 3rd Crop'!AK18</f>
        <v>1361.1</v>
      </c>
      <c r="AL18" s="344">
        <f>'BZ by State 1st Crop'!AL18+'BZ by State 2nd Crop'!AL18+'BZ by State 3rd Crop'!AL18</f>
        <v>1504.8000000000002</v>
      </c>
      <c r="AM18" s="344">
        <f>'BZ by State 1st Crop'!AM18+'BZ by State 2nd Crop'!AM18+'BZ by State 3rd Crop'!AM18</f>
        <v>1366.5</v>
      </c>
      <c r="AN18" s="344">
        <f>'BZ by State 1st Crop'!AN18+'BZ by State 2nd Crop'!AN18+'BZ by State 3rd Crop'!AN18</f>
        <v>1953.8999999999999</v>
      </c>
      <c r="AO18" s="344">
        <f>'BZ by State 1st Crop'!AO18+'BZ by State 2nd Crop'!AO18+'BZ by State 3rd Crop'!AO18</f>
        <v>1961.3999999999999</v>
      </c>
      <c r="AP18" s="344">
        <f>'BZ by State 1st Crop'!AP18+'BZ by State 2nd Crop'!AP18+'BZ by State 3rd Crop'!AP18</f>
        <v>2385</v>
      </c>
      <c r="AQ18" s="344">
        <f>'BZ by State 1st Crop'!AQ18+'BZ by State 2nd Crop'!AQ18+'BZ by State 3rd Crop'!AQ18</f>
        <v>2227.1999999999998</v>
      </c>
      <c r="AR18" s="344">
        <f>'BZ by State 1st Crop'!AR18+'BZ by State 2nd Crop'!AR18+'BZ by State 3rd Crop'!AR18</f>
        <v>2784.6000000000004</v>
      </c>
      <c r="AS18" s="344">
        <f>'BZ by State 1st Crop'!AS18+'BZ by State 2nd Crop'!AS18+'BZ by State 3rd Crop'!AS18</f>
        <v>3012.3</v>
      </c>
      <c r="AT18" s="344">
        <f>'BZ by State 1st Crop'!AT18+'BZ by State 2nd Crop'!AT18+'BZ by State 3rd Crop'!AT18</f>
        <v>92.951900000000009</v>
      </c>
      <c r="AU18" s="344">
        <f>'BZ by State 1st Crop'!AU18+'BZ by State 2nd Crop'!AU18+'BZ by State 3rd Crop'!AU18</f>
        <v>158.1798</v>
      </c>
      <c r="AV18" s="344">
        <f>'BZ by State 1st Crop'!AV18+'BZ by State 2nd Crop'!AV18+'BZ by State 3rd Crop'!AV18</f>
        <v>138.95320000000001</v>
      </c>
      <c r="AW18" s="344">
        <f>'BZ by State 1st Crop'!AW18+'BZ by State 2nd Crop'!AW18+'BZ by State 3rd Crop'!AW18</f>
        <v>126.28479999999999</v>
      </c>
      <c r="AX18" s="344">
        <f>'BZ by State 1st Crop'!AX18+'BZ by State 2nd Crop'!AX18+'BZ by State 3rd Crop'!AX18</f>
        <v>139.6721</v>
      </c>
      <c r="AY18" s="365">
        <f>'BZ by State 1st Crop'!AY18+'BZ by State 2nd Crop'!AY18+'BZ by State 3rd Crop'!AY18</f>
        <v>147.06900000000002</v>
      </c>
      <c r="AZ18" s="366">
        <f>'BZ by State 1st Crop'!AZ18+'BZ by State 2nd Crop'!AZ18+'BZ by State 3rd Crop'!AZ18</f>
        <v>148.53030000000001</v>
      </c>
      <c r="BA18" s="366">
        <f>AZ18-AY18</f>
        <v>1.4612999999999943</v>
      </c>
      <c r="BB18" s="367">
        <f>AY18-AX18</f>
        <v>7.3969000000000165</v>
      </c>
      <c r="BC18" s="368">
        <f>AZ18-AX18</f>
        <v>8.8582000000000107</v>
      </c>
      <c r="BD18" s="353">
        <f t="shared" si="58"/>
        <v>-0.45894391186400851</v>
      </c>
      <c r="BE18" s="309"/>
      <c r="BF18"/>
      <c r="BG18" s="308"/>
    </row>
    <row r="19" spans="1:63" ht="15" customHeight="1">
      <c r="A19" s="320" t="s">
        <v>358</v>
      </c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356"/>
      <c r="AB19" s="356"/>
      <c r="AC19" s="356"/>
      <c r="AD19" s="356"/>
      <c r="AE19" s="356"/>
      <c r="AF19" s="356"/>
      <c r="AG19" s="356"/>
      <c r="AH19" s="356"/>
      <c r="AI19" s="356"/>
      <c r="AJ19" s="356"/>
      <c r="AK19" s="356"/>
      <c r="AL19" s="356"/>
      <c r="AM19" s="356"/>
      <c r="AN19" s="356"/>
      <c r="AO19" s="356"/>
      <c r="AP19" s="356"/>
      <c r="AQ19" s="356"/>
      <c r="AR19" s="356"/>
      <c r="AS19" s="356"/>
      <c r="AT19" s="328"/>
      <c r="AU19" s="328"/>
      <c r="AV19" s="328"/>
      <c r="AW19" s="328"/>
      <c r="AX19" s="328"/>
      <c r="AY19" s="321"/>
      <c r="AZ19" s="328"/>
      <c r="BA19" s="329"/>
      <c r="BB19" s="321"/>
      <c r="BC19" s="328"/>
      <c r="BD19" s="329"/>
    </row>
    <row r="20" spans="1:63" ht="15" customHeight="1">
      <c r="A20" s="324" t="s">
        <v>352</v>
      </c>
      <c r="B20" s="344">
        <f>'BZ by State 1st Crop'!B20+'BZ by State 2nd Crop'!B20+'BZ by State 3rd Crop'!B20</f>
        <v>5.5</v>
      </c>
      <c r="C20" s="344">
        <f>'BZ by State 1st Crop'!C20+'BZ by State 2nd Crop'!C20+'BZ by State 3rd Crop'!C20</f>
        <v>5.5</v>
      </c>
      <c r="D20" s="344">
        <f>'BZ by State 1st Crop'!D20+'BZ by State 2nd Crop'!D20+'BZ by State 3rd Crop'!D20</f>
        <v>6</v>
      </c>
      <c r="E20" s="344">
        <f>'BZ by State 1st Crop'!E20+'BZ by State 2nd Crop'!E20+'BZ by State 3rd Crop'!E20</f>
        <v>9</v>
      </c>
      <c r="F20" s="344">
        <f>'BZ by State 1st Crop'!F20+'BZ by State 2nd Crop'!F20+'BZ by State 3rd Crop'!F20</f>
        <v>4</v>
      </c>
      <c r="G20" s="344">
        <f>'BZ by State 1st Crop'!G20+'BZ by State 2nd Crop'!G20+'BZ by State 3rd Crop'!G20</f>
        <v>4.8</v>
      </c>
      <c r="H20" s="344">
        <f>'BZ by State 1st Crop'!H20+'BZ by State 2nd Crop'!H20+'BZ by State 3rd Crop'!H20</f>
        <v>1.6</v>
      </c>
      <c r="I20" s="344">
        <f>'BZ by State 1st Crop'!I20+'BZ by State 2nd Crop'!I20+'BZ by State 3rd Crop'!I20</f>
        <v>1.1000000000000001</v>
      </c>
      <c r="J20" s="344">
        <f>'BZ by State 1st Crop'!J20+'BZ by State 2nd Crop'!J20+'BZ by State 3rd Crop'!J20</f>
        <v>1.6</v>
      </c>
      <c r="K20" s="344">
        <f>'BZ by State 1st Crop'!K20+'BZ by State 2nd Crop'!K20+'BZ by State 3rd Crop'!K20</f>
        <v>1.9</v>
      </c>
      <c r="L20" s="344">
        <f>'BZ by State 1st Crop'!L20+'BZ by State 2nd Crop'!L20+'BZ by State 3rd Crop'!L20</f>
        <v>2.7</v>
      </c>
      <c r="M20" s="344">
        <f>'BZ by State 1st Crop'!M20+'BZ by State 2nd Crop'!M20+'BZ by State 3rd Crop'!M20</f>
        <v>2.5</v>
      </c>
      <c r="N20" s="344">
        <f>'BZ by State 1st Crop'!N20+'BZ by State 2nd Crop'!N20+'BZ by State 3rd Crop'!N20</f>
        <v>3</v>
      </c>
      <c r="O20" s="344">
        <f>'BZ by State 1st Crop'!O20+'BZ by State 2nd Crop'!O20+'BZ by State 3rd Crop'!O20</f>
        <v>3.1</v>
      </c>
      <c r="P20" s="344">
        <f>'BZ by State 1st Crop'!P20+'BZ by State 2nd Crop'!P20+'BZ by State 3rd Crop'!P20</f>
        <v>4.5</v>
      </c>
      <c r="Q20" s="344">
        <f>'BZ by State 1st Crop'!Q20+'BZ by State 2nd Crop'!Q20+'BZ by State 3rd Crop'!Q20</f>
        <v>4.5</v>
      </c>
      <c r="R20" s="344">
        <f>'BZ by State 1st Crop'!R20+'BZ by State 2nd Crop'!R20+'BZ by State 3rd Crop'!R20</f>
        <v>4.5</v>
      </c>
      <c r="S20" s="344">
        <f>'BZ by State 1st Crop'!S20+'BZ by State 2nd Crop'!S20+'BZ by State 3rd Crop'!S20</f>
        <v>3.8</v>
      </c>
      <c r="T20" s="344">
        <f>'BZ by State 1st Crop'!T20+'BZ by State 2nd Crop'!T20+'BZ by State 3rd Crop'!T20</f>
        <v>6</v>
      </c>
      <c r="U20" s="344">
        <f>'BZ by State 1st Crop'!U20+'BZ by State 2nd Crop'!U20+'BZ by State 3rd Crop'!U20</f>
        <v>4.2</v>
      </c>
      <c r="V20" s="344">
        <f>'BZ by State 1st Crop'!V20+'BZ by State 2nd Crop'!V20+'BZ by State 3rd Crop'!V20</f>
        <v>6.1</v>
      </c>
      <c r="W20" s="344">
        <f>'BZ by State 1st Crop'!W20+'BZ by State 2nd Crop'!W20+'BZ by State 3rd Crop'!W20</f>
        <v>10.3</v>
      </c>
      <c r="X20" s="344">
        <f>'BZ by State 1st Crop'!X20+'BZ by State 2nd Crop'!X20+'BZ by State 3rd Crop'!X20</f>
        <v>11.8</v>
      </c>
      <c r="Y20" s="344">
        <f>'BZ by State 1st Crop'!Y20+'BZ by State 2nd Crop'!Y20+'BZ by State 3rd Crop'!Y20</f>
        <v>11.8</v>
      </c>
      <c r="Z20" s="344">
        <f>'BZ by State 1st Crop'!Z20+'BZ by State 2nd Crop'!Z20+'BZ by State 3rd Crop'!Z20</f>
        <v>10.5</v>
      </c>
      <c r="AA20" s="344">
        <f>'BZ by State 1st Crop'!AA20+'BZ by State 2nd Crop'!AA20+'BZ by State 3rd Crop'!AA20</f>
        <v>10.5</v>
      </c>
      <c r="AB20" s="344">
        <f>'BZ by State 1st Crop'!AB20+'BZ by State 2nd Crop'!AB20+'BZ by State 3rd Crop'!AB20</f>
        <v>10.9</v>
      </c>
      <c r="AC20" s="344">
        <f>'BZ by State 1st Crop'!AC20+'BZ by State 2nd Crop'!AC20+'BZ by State 3rd Crop'!AC20</f>
        <v>10.9</v>
      </c>
      <c r="AD20" s="344">
        <f>'BZ by State 1st Crop'!AD20+'BZ by State 2nd Crop'!AD20+'BZ by State 3rd Crop'!AD20</f>
        <v>12.9</v>
      </c>
      <c r="AE20" s="344">
        <f>'BZ by State 1st Crop'!AE20+'BZ by State 2nd Crop'!AE20+'BZ by State 3rd Crop'!AE20</f>
        <v>12.9</v>
      </c>
      <c r="AF20" s="344">
        <f>'BZ by State 1st Crop'!AF20+'BZ by State 2nd Crop'!AF20+'BZ by State 3rd Crop'!AF20</f>
        <v>19.7</v>
      </c>
      <c r="AG20" s="344">
        <f>'BZ by State 1st Crop'!AG20+'BZ by State 2nd Crop'!AG20+'BZ by State 3rd Crop'!AG20</f>
        <v>13.8</v>
      </c>
      <c r="AH20" s="344">
        <f>'BZ by State 1st Crop'!AH20+'BZ by State 2nd Crop'!AH20+'BZ by State 3rd Crop'!AH20</f>
        <v>12.2</v>
      </c>
      <c r="AI20" s="344">
        <f>'BZ by State 1st Crop'!AI20+'BZ by State 2nd Crop'!AI20+'BZ by State 3rd Crop'!AI20</f>
        <v>12.8</v>
      </c>
      <c r="AJ20" s="344">
        <f>'BZ by State 1st Crop'!AJ20+'BZ by State 2nd Crop'!AJ20+'BZ by State 3rd Crop'!AJ20</f>
        <v>14</v>
      </c>
      <c r="AK20" s="344">
        <f>'BZ by State 1st Crop'!AK20+'BZ by State 2nd Crop'!AK20+'BZ by State 3rd Crop'!AK20</f>
        <v>14.4</v>
      </c>
      <c r="AL20" s="344">
        <f>'BZ by State 1st Crop'!AL20+'BZ by State 2nd Crop'!AL20+'BZ by State 3rd Crop'!AL20</f>
        <v>12.9</v>
      </c>
      <c r="AM20" s="344">
        <f>'BZ by State 1st Crop'!AM20+'BZ by State 2nd Crop'!AM20+'BZ by State 3rd Crop'!AM20</f>
        <v>11</v>
      </c>
      <c r="AN20" s="344">
        <f>'BZ by State 1st Crop'!AN20+'BZ by State 2nd Crop'!AN20+'BZ by State 3rd Crop'!AN20</f>
        <v>15.5</v>
      </c>
      <c r="AO20" s="344">
        <f>'BZ by State 1st Crop'!AO20+'BZ by State 2nd Crop'!AO20+'BZ by State 3rd Crop'!AO20</f>
        <v>5.4</v>
      </c>
      <c r="AP20" s="344">
        <f>'BZ by State 1st Crop'!AP20+'BZ by State 2nd Crop'!AP20+'BZ by State 3rd Crop'!AP20</f>
        <v>12.2</v>
      </c>
      <c r="AQ20" s="344">
        <f>'BZ by State 1st Crop'!AQ20+'BZ by State 2nd Crop'!AQ20+'BZ by State 3rd Crop'!AQ20</f>
        <v>8.1</v>
      </c>
      <c r="AR20" s="344">
        <f>'BZ by State 1st Crop'!AR20+'BZ by State 2nd Crop'!AR20+'BZ by State 3rd Crop'!AR20</f>
        <v>11</v>
      </c>
      <c r="AS20" s="344">
        <f>'BZ by State 1st Crop'!AS20+'BZ by State 2nd Crop'!AS20+'BZ by State 3rd Crop'!AS20</f>
        <v>11.2</v>
      </c>
      <c r="AT20" s="344">
        <f>'BZ by State 1st Crop'!AT20+'BZ by State 2nd Crop'!AT20+'BZ by State 3rd Crop'!AT20</f>
        <v>8.9</v>
      </c>
      <c r="AU20" s="344">
        <f>'BZ by State 1st Crop'!AU20+'BZ by State 2nd Crop'!AU20+'BZ by State 3rd Crop'!AU20</f>
        <v>9.5</v>
      </c>
      <c r="AV20" s="344">
        <f>'BZ by State 1st Crop'!AV20+'BZ by State 2nd Crop'!AV20+'BZ by State 3rd Crop'!AV20</f>
        <v>5.6</v>
      </c>
      <c r="AW20" s="344">
        <f>'BZ by State 1st Crop'!AW20+'BZ by State 2nd Crop'!AW20+'BZ by State 3rd Crop'!AW20</f>
        <v>8.5</v>
      </c>
      <c r="AX20" s="344">
        <f>'BZ by State 1st Crop'!AX20+'BZ by State 2nd Crop'!AX20+'BZ by State 3rd Crop'!AX20</f>
        <v>8.3000000000000007</v>
      </c>
      <c r="AY20" s="369">
        <f>'BZ by State 1st Crop'!AY20+'BZ by State 2nd Crop'!AY20+'BZ by State 3rd Crop'!AY20</f>
        <v>8.3000000000000007</v>
      </c>
      <c r="AZ20" s="366">
        <f>'BZ by State 1st Crop'!AZ20+'BZ by State 2nd Crop'!AZ20+'BZ by State 3rd Crop'!AZ20</f>
        <v>8.3000000000000007</v>
      </c>
      <c r="BA20" s="366">
        <f>AZ20-AY20</f>
        <v>0</v>
      </c>
      <c r="BB20" s="367">
        <f>AY20-AX20</f>
        <v>0</v>
      </c>
      <c r="BC20" s="368">
        <f>AZ20-AX20</f>
        <v>0</v>
      </c>
      <c r="BD20" s="353">
        <f>(AX20/AS20)^(1/5)-1</f>
        <v>-5.8171097152654228E-2</v>
      </c>
      <c r="BF20" s="319" t="b">
        <v>0</v>
      </c>
      <c r="BH20" s="311"/>
      <c r="BI20" s="311"/>
      <c r="BJ20" s="311"/>
      <c r="BK20" s="311"/>
    </row>
    <row r="21" spans="1:63" ht="15" customHeight="1">
      <c r="A21" s="324" t="s">
        <v>353</v>
      </c>
      <c r="B21" s="345">
        <f t="shared" ref="B21" si="59">B22/B20*1000</f>
        <v>1000</v>
      </c>
      <c r="C21" s="345">
        <f t="shared" ref="C21" si="60">C22/C20*1000</f>
        <v>29454.545454545452</v>
      </c>
      <c r="D21" s="345">
        <f t="shared" ref="D21" si="61">D22/D20*1000</f>
        <v>26500</v>
      </c>
      <c r="E21" s="345">
        <f t="shared" ref="E21" si="62">E22/E20*1000</f>
        <v>36000</v>
      </c>
      <c r="F21" s="345">
        <f t="shared" ref="F21" si="63">F22/F20*1000</f>
        <v>84000</v>
      </c>
      <c r="G21" s="345">
        <f t="shared" ref="G21" si="64">G22/G20*1000</f>
        <v>85000</v>
      </c>
      <c r="H21" s="345">
        <f t="shared" ref="H21" si="65">H22/H20*1000</f>
        <v>181875</v>
      </c>
      <c r="I21" s="345">
        <f t="shared" ref="I21" si="66">I22/I20*1000</f>
        <v>447272.72727272724</v>
      </c>
      <c r="J21" s="345">
        <f t="shared" ref="J21" si="67">J22/J20*1000</f>
        <v>273750</v>
      </c>
      <c r="K21" s="345">
        <f t="shared" ref="K21" si="68">K22/K20*1000</f>
        <v>300000</v>
      </c>
      <c r="L21" s="345">
        <f t="shared" ref="L21" si="69">L22/L20*1000</f>
        <v>198888.88888888888</v>
      </c>
      <c r="M21" s="345">
        <f t="shared" ref="M21" si="70">M22/M20*1000</f>
        <v>244800</v>
      </c>
      <c r="N21" s="345">
        <f t="shared" ref="N21" si="71">N22/N20*1000</f>
        <v>217000</v>
      </c>
      <c r="O21" s="345">
        <f t="shared" ref="O21" si="72">O22/O20*1000</f>
        <v>198387.09677419355</v>
      </c>
      <c r="P21" s="345">
        <f t="shared" ref="P21" si="73">P22/P20*1000</f>
        <v>136533.33333333337</v>
      </c>
      <c r="Q21" s="345">
        <f t="shared" ref="Q21" si="74">Q22/Q20*1000</f>
        <v>176066.66666666669</v>
      </c>
      <c r="R21" s="345">
        <f t="shared" ref="R21" si="75">R22/R20*1000</f>
        <v>199200.00000000003</v>
      </c>
      <c r="S21" s="345">
        <f t="shared" ref="S21" si="76">S22/S20*1000</f>
        <v>306394.73684210534</v>
      </c>
      <c r="T21" s="345">
        <f t="shared" ref="T21" si="77">T22/T20*1000</f>
        <v>190800.00000000003</v>
      </c>
      <c r="U21" s="345">
        <f t="shared" ref="U21" si="78">U22/U20*1000</f>
        <v>276214.28571428568</v>
      </c>
      <c r="V21" s="345">
        <f t="shared" ref="V21" si="79">V22/V20*1000</f>
        <v>190081.96721311475</v>
      </c>
      <c r="W21" s="345">
        <f t="shared" ref="W21" si="80">W22/W20*1000</f>
        <v>76980.582524271857</v>
      </c>
      <c r="X21" s="345">
        <f t="shared" ref="X21" si="81">X22/X20*1000</f>
        <v>55220.338983050839</v>
      </c>
      <c r="Y21" s="345">
        <f t="shared" ref="Y21" si="82">Y22/Y20*1000</f>
        <v>57050.847457627118</v>
      </c>
      <c r="Z21" s="345">
        <f t="shared" ref="Z21" si="83">Z22/Z20*1000</f>
        <v>58942.857142857152</v>
      </c>
      <c r="AA21" s="345">
        <f t="shared" ref="AA21" si="84">AA22/AA20*1000</f>
        <v>50971.428571428572</v>
      </c>
      <c r="AB21" s="345">
        <f t="shared" ref="AB21" si="85">AB22/AB20*1000</f>
        <v>50642.201834862382</v>
      </c>
      <c r="AC21" s="345">
        <f t="shared" ref="AC21" si="86">AC22/AC20*1000</f>
        <v>75798.165137614676</v>
      </c>
      <c r="AD21" s="345">
        <f t="shared" ref="AD21" si="87">AD22/AD20*1000</f>
        <v>62279.06976744187</v>
      </c>
      <c r="AE21" s="345">
        <f t="shared" ref="AE21" si="88">AE22/AE20*1000</f>
        <v>66558.13953488371</v>
      </c>
      <c r="AF21" s="345">
        <f t="shared" ref="AF21" si="89">AF22/AF20*1000</f>
        <v>46050.761421319796</v>
      </c>
      <c r="AG21" s="345">
        <f t="shared" ref="AG21" si="90">AG22/AG20*1000</f>
        <v>83456.521739130418</v>
      </c>
      <c r="AH21" s="345">
        <f t="shared" ref="AH21" si="91">AH22/AH20*1000</f>
        <v>80508.196721311484</v>
      </c>
      <c r="AI21" s="345">
        <f t="shared" ref="AI21" si="92">AI22/AI20*1000</f>
        <v>87703.124999999985</v>
      </c>
      <c r="AJ21" s="345">
        <f t="shared" ref="AJ21" si="93">AJ22/AJ20*1000</f>
        <v>75192.85714285713</v>
      </c>
      <c r="AK21" s="345">
        <f t="shared" ref="AK21" si="94">AK22/AK20*1000</f>
        <v>94520.833333333328</v>
      </c>
      <c r="AL21" s="345">
        <f t="shared" ref="AL21" si="95">AL22/AL20*1000</f>
        <v>116651.16279069768</v>
      </c>
      <c r="AM21" s="345">
        <f t="shared" ref="AM21" si="96">AM22/AM20*1000</f>
        <v>124227.27272727274</v>
      </c>
      <c r="AN21" s="345">
        <f t="shared" ref="AN21" si="97">AN22/AN20*1000</f>
        <v>126058.06451612902</v>
      </c>
      <c r="AO21" s="345">
        <f t="shared" ref="AO21" si="98">AO22/AO20*1000</f>
        <v>363222.22222222219</v>
      </c>
      <c r="AP21" s="345">
        <f t="shared" ref="AP21" si="99">AP22/AP20*1000</f>
        <v>195491.80327868855</v>
      </c>
      <c r="AQ21" s="345">
        <f t="shared" ref="AQ21" si="100">AQ22/AQ20*1000</f>
        <v>274962.96296296292</v>
      </c>
      <c r="AR21" s="345">
        <f t="shared" ref="AR21" si="101">AR22/AR20*1000</f>
        <v>253145.45454545459</v>
      </c>
      <c r="AS21" s="345">
        <f t="shared" ref="AS21" si="102">AS22/AS20*1000</f>
        <v>268955.35714285716</v>
      </c>
      <c r="AT21" s="345">
        <f t="shared" ref="AT21" si="103">AT22/AT20*1000</f>
        <v>2600</v>
      </c>
      <c r="AU21" s="345">
        <f t="shared" ref="AU21" si="104">AU22/AU20*1000</f>
        <v>2500</v>
      </c>
      <c r="AV21" s="345">
        <f t="shared" ref="AV21" si="105">AV22/AV20*1000</f>
        <v>2953.0000000000005</v>
      </c>
      <c r="AW21" s="345">
        <f t="shared" ref="AW21" si="106">AW22/AW20*1000</f>
        <v>3262</v>
      </c>
      <c r="AX21" s="345">
        <f t="shared" ref="AX21" si="107">AX22/AX20*1000</f>
        <v>3005.0000000000005</v>
      </c>
      <c r="AY21" s="346">
        <f t="shared" ref="AY21:AZ21" si="108">AY22/AY20*1000</f>
        <v>3041</v>
      </c>
      <c r="AZ21" s="347">
        <f t="shared" si="108"/>
        <v>3071</v>
      </c>
      <c r="BA21" s="347">
        <f>AZ21-AY21</f>
        <v>30</v>
      </c>
      <c r="BB21" s="351">
        <f>AY21-AX21</f>
        <v>35.999999999999545</v>
      </c>
      <c r="BC21" s="352">
        <f>AZ21-AX21</f>
        <v>65.999999999999545</v>
      </c>
      <c r="BD21" s="353">
        <f t="shared" ref="BD21:BD22" si="109">(AX21/AS21)^(1/5)-1</f>
        <v>-0.59296396845076482</v>
      </c>
    </row>
    <row r="22" spans="1:63" s="311" customFormat="1" ht="15" customHeight="1">
      <c r="A22" s="324" t="s">
        <v>354</v>
      </c>
      <c r="B22" s="344">
        <f>'BZ by State 1st Crop'!B22+'BZ by State 2nd Crop'!B22+'BZ by State 3rd Crop'!B22</f>
        <v>5.5</v>
      </c>
      <c r="C22" s="344">
        <f>'BZ by State 1st Crop'!C22+'BZ by State 2nd Crop'!C22+'BZ by State 3rd Crop'!C22</f>
        <v>162</v>
      </c>
      <c r="D22" s="344">
        <f>'BZ by State 1st Crop'!D22+'BZ by State 2nd Crop'!D22+'BZ by State 3rd Crop'!D22</f>
        <v>159</v>
      </c>
      <c r="E22" s="344">
        <f>'BZ by State 1st Crop'!E22+'BZ by State 2nd Crop'!E22+'BZ by State 3rd Crop'!E22</f>
        <v>324</v>
      </c>
      <c r="F22" s="344">
        <f>'BZ by State 1st Crop'!F22+'BZ by State 2nd Crop'!F22+'BZ by State 3rd Crop'!F22</f>
        <v>336</v>
      </c>
      <c r="G22" s="344">
        <f>'BZ by State 1st Crop'!G22+'BZ by State 2nd Crop'!G22+'BZ by State 3rd Crop'!G22</f>
        <v>408</v>
      </c>
      <c r="H22" s="344">
        <f>'BZ by State 1st Crop'!H22+'BZ by State 2nd Crop'!H22+'BZ by State 3rd Crop'!H22</f>
        <v>291</v>
      </c>
      <c r="I22" s="344">
        <f>'BZ by State 1st Crop'!I22+'BZ by State 2nd Crop'!I22+'BZ by State 3rd Crop'!I22</f>
        <v>492</v>
      </c>
      <c r="J22" s="344">
        <f>'BZ by State 1st Crop'!J22+'BZ by State 2nd Crop'!J22+'BZ by State 3rd Crop'!J22</f>
        <v>438</v>
      </c>
      <c r="K22" s="344">
        <f>'BZ by State 1st Crop'!K22+'BZ by State 2nd Crop'!K22+'BZ by State 3rd Crop'!K22</f>
        <v>570</v>
      </c>
      <c r="L22" s="344">
        <f>'BZ by State 1st Crop'!L22+'BZ by State 2nd Crop'!L22+'BZ by State 3rd Crop'!L22</f>
        <v>537</v>
      </c>
      <c r="M22" s="344">
        <f>'BZ by State 1st Crop'!M22+'BZ by State 2nd Crop'!M22+'BZ by State 3rd Crop'!M22</f>
        <v>612</v>
      </c>
      <c r="N22" s="344">
        <f>'BZ by State 1st Crop'!N22+'BZ by State 2nd Crop'!N22+'BZ by State 3rd Crop'!N22</f>
        <v>651</v>
      </c>
      <c r="O22" s="344">
        <f>'BZ by State 1st Crop'!O22+'BZ by State 2nd Crop'!O22+'BZ by State 3rd Crop'!O22</f>
        <v>615</v>
      </c>
      <c r="P22" s="344">
        <f>'BZ by State 1st Crop'!P22+'BZ by State 2nd Crop'!P22+'BZ by State 3rd Crop'!P22</f>
        <v>614.40000000000009</v>
      </c>
      <c r="Q22" s="344">
        <f>'BZ by State 1st Crop'!Q22+'BZ by State 2nd Crop'!Q22+'BZ by State 3rd Crop'!Q22</f>
        <v>792.30000000000007</v>
      </c>
      <c r="R22" s="344">
        <f>'BZ by State 1st Crop'!R22+'BZ by State 2nd Crop'!R22+'BZ by State 3rd Crop'!R22</f>
        <v>896.40000000000009</v>
      </c>
      <c r="S22" s="344">
        <f>'BZ by State 1st Crop'!S22+'BZ by State 2nd Crop'!S22+'BZ by State 3rd Crop'!S22</f>
        <v>1164.3000000000002</v>
      </c>
      <c r="T22" s="344">
        <f>'BZ by State 1st Crop'!T22+'BZ by State 2nd Crop'!T22+'BZ by State 3rd Crop'!T22</f>
        <v>1144.8000000000002</v>
      </c>
      <c r="U22" s="344">
        <f>'BZ by State 1st Crop'!U22+'BZ by State 2nd Crop'!U22+'BZ by State 3rd Crop'!U22</f>
        <v>1160.0999999999999</v>
      </c>
      <c r="V22" s="344">
        <f>'BZ by State 1st Crop'!V22+'BZ by State 2nd Crop'!V22+'BZ by State 3rd Crop'!V22</f>
        <v>1159.5</v>
      </c>
      <c r="W22" s="344">
        <f>'BZ by State 1st Crop'!W22+'BZ by State 2nd Crop'!W22+'BZ by State 3rd Crop'!W22</f>
        <v>792.90000000000009</v>
      </c>
      <c r="X22" s="344">
        <f>'BZ by State 1st Crop'!X22+'BZ by State 2nd Crop'!X22+'BZ by State 3rd Crop'!X22</f>
        <v>651.59999999999991</v>
      </c>
      <c r="Y22" s="344">
        <f>'BZ by State 1st Crop'!Y22+'BZ by State 2nd Crop'!Y22+'BZ by State 3rd Crop'!Y22</f>
        <v>673.2</v>
      </c>
      <c r="Z22" s="344">
        <f>'BZ by State 1st Crop'!Z22+'BZ by State 2nd Crop'!Z22+'BZ by State 3rd Crop'!Z22</f>
        <v>618.90000000000009</v>
      </c>
      <c r="AA22" s="344">
        <f>'BZ by State 1st Crop'!AA22+'BZ by State 2nd Crop'!AA22+'BZ by State 3rd Crop'!AA22</f>
        <v>535.20000000000005</v>
      </c>
      <c r="AB22" s="344">
        <f>'BZ by State 1st Crop'!AB22+'BZ by State 2nd Crop'!AB22+'BZ by State 3rd Crop'!AB22</f>
        <v>552</v>
      </c>
      <c r="AC22" s="344">
        <f>'BZ by State 1st Crop'!AC22+'BZ by State 2nd Crop'!AC22+'BZ by State 3rd Crop'!AC22</f>
        <v>826.19999999999993</v>
      </c>
      <c r="AD22" s="344">
        <f>'BZ by State 1st Crop'!AD22+'BZ by State 2nd Crop'!AD22+'BZ by State 3rd Crop'!AD22</f>
        <v>803.40000000000009</v>
      </c>
      <c r="AE22" s="344">
        <f>'BZ by State 1st Crop'!AE22+'BZ by State 2nd Crop'!AE22+'BZ by State 3rd Crop'!AE22</f>
        <v>858.59999999999991</v>
      </c>
      <c r="AF22" s="344">
        <f>'BZ by State 1st Crop'!AF22+'BZ by State 2nd Crop'!AF22+'BZ by State 3rd Crop'!AF22</f>
        <v>907.19999999999993</v>
      </c>
      <c r="AG22" s="344">
        <f>'BZ by State 1st Crop'!AG22+'BZ by State 2nd Crop'!AG22+'BZ by State 3rd Crop'!AG22</f>
        <v>1151.6999999999998</v>
      </c>
      <c r="AH22" s="344">
        <f>'BZ by State 1st Crop'!AH22+'BZ by State 2nd Crop'!AH22+'BZ by State 3rd Crop'!AH22</f>
        <v>982.19999999999993</v>
      </c>
      <c r="AI22" s="344">
        <f>'BZ by State 1st Crop'!AI22+'BZ by State 2nd Crop'!AI22+'BZ by State 3rd Crop'!AI22</f>
        <v>1122.5999999999999</v>
      </c>
      <c r="AJ22" s="344">
        <f>'BZ by State 1st Crop'!AJ22+'BZ by State 2nd Crop'!AJ22+'BZ by State 3rd Crop'!AJ22</f>
        <v>1052.6999999999998</v>
      </c>
      <c r="AK22" s="344">
        <f>'BZ by State 1st Crop'!AK22+'BZ by State 2nd Crop'!AK22+'BZ by State 3rd Crop'!AK22</f>
        <v>1361.1</v>
      </c>
      <c r="AL22" s="344">
        <f>'BZ by State 1st Crop'!AL22+'BZ by State 2nd Crop'!AL22+'BZ by State 3rd Crop'!AL22</f>
        <v>1504.8000000000002</v>
      </c>
      <c r="AM22" s="344">
        <f>'BZ by State 1st Crop'!AM22+'BZ by State 2nd Crop'!AM22+'BZ by State 3rd Crop'!AM22</f>
        <v>1366.5</v>
      </c>
      <c r="AN22" s="344">
        <f>'BZ by State 1st Crop'!AN22+'BZ by State 2nd Crop'!AN22+'BZ by State 3rd Crop'!AN22</f>
        <v>1953.8999999999999</v>
      </c>
      <c r="AO22" s="344">
        <f>'BZ by State 1st Crop'!AO22+'BZ by State 2nd Crop'!AO22+'BZ by State 3rd Crop'!AO22</f>
        <v>1961.3999999999999</v>
      </c>
      <c r="AP22" s="344">
        <f>'BZ by State 1st Crop'!AP22+'BZ by State 2nd Crop'!AP22+'BZ by State 3rd Crop'!AP22</f>
        <v>2385</v>
      </c>
      <c r="AQ22" s="344">
        <f>'BZ by State 1st Crop'!AQ22+'BZ by State 2nd Crop'!AQ22+'BZ by State 3rd Crop'!AQ22</f>
        <v>2227.1999999999998</v>
      </c>
      <c r="AR22" s="344">
        <f>'BZ by State 1st Crop'!AR22+'BZ by State 2nd Crop'!AR22+'BZ by State 3rd Crop'!AR22</f>
        <v>2784.6000000000004</v>
      </c>
      <c r="AS22" s="344">
        <f>'BZ by State 1st Crop'!AS22+'BZ by State 2nd Crop'!AS22+'BZ by State 3rd Crop'!AS22</f>
        <v>3012.3</v>
      </c>
      <c r="AT22" s="344">
        <f>'BZ by State 1st Crop'!AT22+'BZ by State 2nd Crop'!AT22+'BZ by State 3rd Crop'!AT22</f>
        <v>23.14</v>
      </c>
      <c r="AU22" s="344">
        <f>'BZ by State 1st Crop'!AU22+'BZ by State 2nd Crop'!AU22+'BZ by State 3rd Crop'!AU22</f>
        <v>23.75</v>
      </c>
      <c r="AV22" s="344">
        <f>'BZ by State 1st Crop'!AV22+'BZ by State 2nd Crop'!AV22+'BZ by State 3rd Crop'!AV22</f>
        <v>16.536799999999999</v>
      </c>
      <c r="AW22" s="344">
        <f>'BZ by State 1st Crop'!AW22+'BZ by State 2nd Crop'!AW22+'BZ by State 3rd Crop'!AW22</f>
        <v>27.727</v>
      </c>
      <c r="AX22" s="344">
        <f>'BZ by State 1st Crop'!AX22+'BZ by State 2nd Crop'!AX22+'BZ by State 3rd Crop'!AX22</f>
        <v>24.941500000000005</v>
      </c>
      <c r="AY22" s="365">
        <f>'BZ by State 1st Crop'!AY22+'BZ by State 2nd Crop'!AY22+'BZ by State 3rd Crop'!AY22</f>
        <v>25.240300000000001</v>
      </c>
      <c r="AZ22" s="366">
        <f>'BZ by State 1st Crop'!AZ22+'BZ by State 2nd Crop'!AZ22+'BZ by State 3rd Crop'!AZ22</f>
        <v>25.489300000000004</v>
      </c>
      <c r="BA22" s="366">
        <f>AZ22-AY22</f>
        <v>0.24900000000000233</v>
      </c>
      <c r="BB22" s="367">
        <f>AY22-AX22</f>
        <v>0.2987999999999964</v>
      </c>
      <c r="BC22" s="368">
        <f>AZ22-AX22</f>
        <v>0.54779999999999873</v>
      </c>
      <c r="BD22" s="353">
        <f t="shared" si="109"/>
        <v>-0.61664170098664628</v>
      </c>
      <c r="BE22" s="309"/>
      <c r="BF22"/>
      <c r="BG22" s="308"/>
    </row>
    <row r="23" spans="1:63" ht="15" customHeight="1">
      <c r="A23" s="320" t="s">
        <v>359</v>
      </c>
      <c r="B23" s="356"/>
      <c r="C23" s="356"/>
      <c r="D23" s="356"/>
      <c r="E23" s="356"/>
      <c r="F23" s="356"/>
      <c r="G23" s="356"/>
      <c r="H23" s="356"/>
      <c r="I23" s="356"/>
      <c r="J23" s="356"/>
      <c r="K23" s="356"/>
      <c r="L23" s="356"/>
      <c r="M23" s="356"/>
      <c r="N23" s="356"/>
      <c r="O23" s="356"/>
      <c r="P23" s="356"/>
      <c r="Q23" s="356"/>
      <c r="R23" s="356"/>
      <c r="S23" s="356"/>
      <c r="T23" s="356"/>
      <c r="U23" s="356"/>
      <c r="V23" s="356"/>
      <c r="W23" s="356"/>
      <c r="X23" s="356"/>
      <c r="Y23" s="356"/>
      <c r="Z23" s="356"/>
      <c r="AA23" s="356"/>
      <c r="AB23" s="356"/>
      <c r="AC23" s="356"/>
      <c r="AD23" s="356"/>
      <c r="AE23" s="356"/>
      <c r="AF23" s="356"/>
      <c r="AG23" s="356"/>
      <c r="AH23" s="356"/>
      <c r="AI23" s="356"/>
      <c r="AJ23" s="356"/>
      <c r="AK23" s="356"/>
      <c r="AL23" s="356"/>
      <c r="AM23" s="356"/>
      <c r="AN23" s="356"/>
      <c r="AO23" s="356"/>
      <c r="AP23" s="356"/>
      <c r="AQ23" s="356"/>
      <c r="AR23" s="356"/>
      <c r="AS23" s="356"/>
      <c r="AT23" s="328"/>
      <c r="AU23" s="328"/>
      <c r="AV23" s="328"/>
      <c r="AW23" s="328"/>
      <c r="AX23" s="328"/>
      <c r="AY23" s="321"/>
      <c r="AZ23" s="328"/>
      <c r="BA23" s="329"/>
      <c r="BB23" s="321"/>
      <c r="BC23" s="328"/>
      <c r="BD23" s="329"/>
    </row>
    <row r="24" spans="1:63" ht="15" customHeight="1">
      <c r="A24" s="324" t="s">
        <v>352</v>
      </c>
      <c r="B24" s="344">
        <f>'BZ by State 1st Crop'!B24+'BZ by State 2nd Crop'!B24+'BZ by State 3rd Crop'!B24</f>
        <v>0.53600000000000003</v>
      </c>
      <c r="C24" s="344">
        <f>'BZ by State 1st Crop'!C24+'BZ by State 2nd Crop'!C24+'BZ by State 3rd Crop'!C24</f>
        <v>0.46</v>
      </c>
      <c r="D24" s="344">
        <f>'BZ by State 1st Crop'!D24+'BZ by State 2nd Crop'!D24+'BZ by State 3rd Crop'!D24</f>
        <v>0.81299999999999994</v>
      </c>
      <c r="E24" s="344">
        <f>'BZ by State 1st Crop'!E24+'BZ by State 2nd Crop'!E24+'BZ by State 3rd Crop'!E24</f>
        <v>0.68300000000000005</v>
      </c>
      <c r="F24" s="344">
        <f>'BZ by State 1st Crop'!F24+'BZ by State 2nd Crop'!F24+'BZ by State 3rd Crop'!F24</f>
        <v>2.3439999999999999</v>
      </c>
      <c r="G24" s="344">
        <f>'BZ by State 1st Crop'!G24+'BZ by State 2nd Crop'!G24+'BZ by State 3rd Crop'!G24</f>
        <v>1.552</v>
      </c>
      <c r="H24" s="344">
        <f>'BZ by State 1st Crop'!H24+'BZ by State 2nd Crop'!H24+'BZ by State 3rd Crop'!H24</f>
        <v>1.2849999999999999</v>
      </c>
      <c r="I24" s="344">
        <f>'BZ by State 1st Crop'!I24+'BZ by State 2nd Crop'!I24+'BZ by State 3rd Crop'!I24</f>
        <v>1.129</v>
      </c>
      <c r="J24" s="344">
        <f>'BZ by State 1st Crop'!J24+'BZ by State 2nd Crop'!J24+'BZ by State 3rd Crop'!J24</f>
        <v>1.163</v>
      </c>
      <c r="K24" s="344">
        <f>'BZ by State 1st Crop'!K24+'BZ by State 2nd Crop'!K24+'BZ by State 3rd Crop'!K24</f>
        <v>0.85099999999999998</v>
      </c>
      <c r="L24" s="344">
        <f>'BZ by State 1st Crop'!L24+'BZ by State 2nd Crop'!L24+'BZ by State 3rd Crop'!L24</f>
        <v>0.45300000000000001</v>
      </c>
      <c r="M24" s="344">
        <f>'BZ by State 1st Crop'!M24+'BZ by State 2nd Crop'!M24+'BZ by State 3rd Crop'!M24</f>
        <v>0.69599999999999995</v>
      </c>
      <c r="N24" s="344">
        <f>'BZ by State 1st Crop'!N24+'BZ by State 2nd Crop'!N24+'BZ by State 3rd Crop'!N24</f>
        <v>0.83499999999999996</v>
      </c>
      <c r="O24" s="344">
        <f>'BZ by State 1st Crop'!O24+'BZ by State 2nd Crop'!O24+'BZ by State 3rd Crop'!O24</f>
        <v>0.39500000000000002</v>
      </c>
      <c r="P24" s="344">
        <f>'BZ by State 1st Crop'!P24+'BZ by State 2nd Crop'!P24+'BZ by State 3rd Crop'!P24</f>
        <v>0</v>
      </c>
      <c r="Q24" s="344">
        <f>'BZ by State 1st Crop'!Q24+'BZ by State 2nd Crop'!Q24+'BZ by State 3rd Crop'!Q24</f>
        <v>0</v>
      </c>
      <c r="R24" s="344">
        <f>'BZ by State 1st Crop'!R24+'BZ by State 2nd Crop'!R24+'BZ by State 3rd Crop'!R24</f>
        <v>0</v>
      </c>
      <c r="S24" s="344">
        <f>'BZ by State 1st Crop'!S24+'BZ by State 2nd Crop'!S24+'BZ by State 3rd Crop'!S24</f>
        <v>0</v>
      </c>
      <c r="T24" s="344">
        <f>'BZ by State 1st Crop'!T24+'BZ by State 2nd Crop'!T24+'BZ by State 3rd Crop'!T24</f>
        <v>0</v>
      </c>
      <c r="U24" s="344">
        <f>'BZ by State 1st Crop'!U24+'BZ by State 2nd Crop'!U24+'BZ by State 3rd Crop'!U24</f>
        <v>0</v>
      </c>
      <c r="V24" s="344">
        <f>'BZ by State 1st Crop'!V24+'BZ by State 2nd Crop'!V24+'BZ by State 3rd Crop'!V24</f>
        <v>0</v>
      </c>
      <c r="W24" s="344">
        <f>'BZ by State 1st Crop'!W24+'BZ by State 2nd Crop'!W24+'BZ by State 3rd Crop'!W24</f>
        <v>0</v>
      </c>
      <c r="X24" s="344">
        <f>'BZ by State 1st Crop'!X24+'BZ by State 2nd Crop'!X24+'BZ by State 3rd Crop'!X24</f>
        <v>1.2</v>
      </c>
      <c r="Y24" s="344">
        <f>'BZ by State 1st Crop'!Y24+'BZ by State 2nd Crop'!Y24+'BZ by State 3rd Crop'!Y24</f>
        <v>1.2</v>
      </c>
      <c r="Z24" s="344">
        <f>'BZ by State 1st Crop'!Z24+'BZ by State 2nd Crop'!Z24+'BZ by State 3rd Crop'!Z24</f>
        <v>1.8</v>
      </c>
      <c r="AA24" s="344">
        <f>'BZ by State 1st Crop'!AA24+'BZ by State 2nd Crop'!AA24+'BZ by State 3rd Crop'!AA24</f>
        <v>2</v>
      </c>
      <c r="AB24" s="344">
        <f>'BZ by State 1st Crop'!AB24+'BZ by State 2nd Crop'!AB24+'BZ by State 3rd Crop'!AB24</f>
        <v>1.5</v>
      </c>
      <c r="AC24" s="344">
        <f>'BZ by State 1st Crop'!AC24+'BZ by State 2nd Crop'!AC24+'BZ by State 3rd Crop'!AC24</f>
        <v>1.5</v>
      </c>
      <c r="AD24" s="344">
        <f>'BZ by State 1st Crop'!AD24+'BZ by State 2nd Crop'!AD24+'BZ by State 3rd Crop'!AD24</f>
        <v>1.5</v>
      </c>
      <c r="AE24" s="344">
        <f>'BZ by State 1st Crop'!AE24+'BZ by State 2nd Crop'!AE24+'BZ by State 3rd Crop'!AE24</f>
        <v>1.5</v>
      </c>
      <c r="AF24" s="344">
        <f>'BZ by State 1st Crop'!AF24+'BZ by State 2nd Crop'!AF24+'BZ by State 3rd Crop'!AF24</f>
        <v>2.1</v>
      </c>
      <c r="AG24" s="344">
        <f>'BZ by State 1st Crop'!AG24+'BZ by State 2nd Crop'!AG24+'BZ by State 3rd Crop'!AG24</f>
        <v>3.2</v>
      </c>
      <c r="AH24" s="344">
        <f>'BZ by State 1st Crop'!AH24+'BZ by State 2nd Crop'!AH24+'BZ by State 3rd Crop'!AH24</f>
        <v>3.5</v>
      </c>
      <c r="AI24" s="344">
        <f>'BZ by State 1st Crop'!AI24+'BZ by State 2nd Crop'!AI24+'BZ by State 3rd Crop'!AI24</f>
        <v>3.6</v>
      </c>
      <c r="AJ24" s="344">
        <f>'BZ by State 1st Crop'!AJ24+'BZ by State 2nd Crop'!AJ24+'BZ by State 3rd Crop'!AJ24</f>
        <v>3.6</v>
      </c>
      <c r="AK24" s="344">
        <f>'BZ by State 1st Crop'!AK24+'BZ by State 2nd Crop'!AK24+'BZ by State 3rd Crop'!AK24</f>
        <v>2.6</v>
      </c>
      <c r="AL24" s="344">
        <f>'BZ by State 1st Crop'!AL24+'BZ by State 2nd Crop'!AL24+'BZ by State 3rd Crop'!AL24</f>
        <v>2.2999999999999998</v>
      </c>
      <c r="AM24" s="344">
        <f>'BZ by State 1st Crop'!AM24+'BZ by State 2nd Crop'!AM24+'BZ by State 3rd Crop'!AM24</f>
        <v>2.2000000000000002</v>
      </c>
      <c r="AN24" s="344">
        <f>'BZ by State 1st Crop'!AN24+'BZ by State 2nd Crop'!AN24+'BZ by State 3rd Crop'!AN24</f>
        <v>1.8</v>
      </c>
      <c r="AO24" s="344">
        <f>'BZ by State 1st Crop'!AO24+'BZ by State 2nd Crop'!AO24+'BZ by State 3rd Crop'!AO24</f>
        <v>1.8</v>
      </c>
      <c r="AP24" s="344">
        <f>'BZ by State 1st Crop'!AP24+'BZ by State 2nd Crop'!AP24+'BZ by State 3rd Crop'!AP24</f>
        <v>1.7</v>
      </c>
      <c r="AQ24" s="344">
        <f>'BZ by State 1st Crop'!AQ24+'BZ by State 2nd Crop'!AQ24+'BZ by State 3rd Crop'!AQ24</f>
        <v>1.6</v>
      </c>
      <c r="AR24" s="344">
        <f>'BZ by State 1st Crop'!AR24+'BZ by State 2nd Crop'!AR24+'BZ by State 3rd Crop'!AR24</f>
        <v>1.4</v>
      </c>
      <c r="AS24" s="344">
        <f>'BZ by State 1st Crop'!AS24+'BZ by State 2nd Crop'!AS24+'BZ by State 3rd Crop'!AS24</f>
        <v>1.4</v>
      </c>
      <c r="AT24" s="344">
        <f>'BZ by State 1st Crop'!AT24+'BZ by State 2nd Crop'!AT24+'BZ by State 3rd Crop'!AT24</f>
        <v>1.3</v>
      </c>
      <c r="AU24" s="344">
        <f>'BZ by State 1st Crop'!AU24+'BZ by State 2nd Crop'!AU24+'BZ by State 3rd Crop'!AU24</f>
        <v>2.5</v>
      </c>
      <c r="AV24" s="344">
        <f>'BZ by State 1st Crop'!AV24+'BZ by State 2nd Crop'!AV24+'BZ by State 3rd Crop'!AV24</f>
        <v>2.8</v>
      </c>
      <c r="AW24" s="344">
        <f>'BZ by State 1st Crop'!AW24+'BZ by State 2nd Crop'!AW24+'BZ by State 3rd Crop'!AW24</f>
        <v>2.2999999999999998</v>
      </c>
      <c r="AX24" s="344">
        <f>'BZ by State 1st Crop'!AX24+'BZ by State 2nd Crop'!AX24+'BZ by State 3rd Crop'!AX24</f>
        <v>2</v>
      </c>
      <c r="AY24" s="369">
        <f>'BZ by State 1st Crop'!AY24+'BZ by State 2nd Crop'!AY24+'BZ by State 3rd Crop'!AY24</f>
        <v>2</v>
      </c>
      <c r="AZ24" s="366">
        <f>'BZ by State 1st Crop'!AZ24+'BZ by State 2nd Crop'!AZ24+'BZ by State 3rd Crop'!AZ24</f>
        <v>2</v>
      </c>
      <c r="BA24" s="366">
        <f>AZ24-AY24</f>
        <v>0</v>
      </c>
      <c r="BB24" s="367">
        <f>AY24-AX24</f>
        <v>0</v>
      </c>
      <c r="BC24" s="368">
        <f>AZ24-AX24</f>
        <v>0</v>
      </c>
      <c r="BD24" s="353">
        <f>(AX24/AS24)^(1/5)-1</f>
        <v>7.3940923785779322E-2</v>
      </c>
      <c r="BF24" s="319" t="b">
        <v>0</v>
      </c>
      <c r="BH24" s="311"/>
      <c r="BI24" s="311"/>
      <c r="BJ24" s="311"/>
      <c r="BK24" s="311"/>
    </row>
    <row r="25" spans="1:63" ht="15" customHeight="1">
      <c r="A25" s="324" t="s">
        <v>353</v>
      </c>
      <c r="B25" s="345">
        <f t="shared" ref="B25" si="110">B26/B24*1000</f>
        <v>798.50746268656712</v>
      </c>
      <c r="C25" s="345">
        <f t="shared" ref="C25" si="111">C26/C24*1000</f>
        <v>352173.91304347827</v>
      </c>
      <c r="D25" s="345">
        <f t="shared" ref="D25" si="112">D26/D24*1000</f>
        <v>195571.95571955718</v>
      </c>
      <c r="E25" s="345">
        <f t="shared" ref="E25" si="113">E26/E24*1000</f>
        <v>474377.74524158123</v>
      </c>
      <c r="F25" s="345">
        <f t="shared" ref="F25" si="114">F26/F24*1000</f>
        <v>143344.70989761091</v>
      </c>
      <c r="G25" s="345">
        <f t="shared" ref="G25" si="115">G26/G24*1000</f>
        <v>262886.59793814435</v>
      </c>
      <c r="H25" s="345">
        <f t="shared" ref="H25" si="116">H26/H24*1000</f>
        <v>226459.14396887162</v>
      </c>
      <c r="I25" s="345">
        <f t="shared" ref="I25" si="117">I26/I24*1000</f>
        <v>435783.87953941541</v>
      </c>
      <c r="J25" s="345">
        <f t="shared" ref="J25" si="118">J26/J24*1000</f>
        <v>376612.20980223559</v>
      </c>
      <c r="K25" s="345">
        <f t="shared" ref="K25" si="119">K26/K24*1000</f>
        <v>669800.23501762643</v>
      </c>
      <c r="L25" s="345">
        <f t="shared" ref="L25" si="120">L26/L24*1000</f>
        <v>1185430.463576159</v>
      </c>
      <c r="M25" s="345">
        <f t="shared" ref="M25" si="121">M26/M24*1000</f>
        <v>879310.34482758632</v>
      </c>
      <c r="N25" s="345">
        <f t="shared" ref="N25" si="122">N26/N24*1000</f>
        <v>779640.71856287436</v>
      </c>
      <c r="O25" s="345">
        <f t="shared" ref="O25" si="123">O26/O24*1000</f>
        <v>1556962.0253164556</v>
      </c>
      <c r="P25" s="345" t="e">
        <f t="shared" ref="P25" si="124">P26/P24*1000</f>
        <v>#DIV/0!</v>
      </c>
      <c r="Q25" s="345" t="e">
        <f t="shared" ref="Q25" si="125">Q26/Q24*1000</f>
        <v>#DIV/0!</v>
      </c>
      <c r="R25" s="345" t="e">
        <f t="shared" ref="R25" si="126">R26/R24*1000</f>
        <v>#DIV/0!</v>
      </c>
      <c r="S25" s="345" t="e">
        <f t="shared" ref="S25" si="127">S26/S24*1000</f>
        <v>#DIV/0!</v>
      </c>
      <c r="T25" s="345" t="e">
        <f t="shared" ref="T25" si="128">T26/T24*1000</f>
        <v>#DIV/0!</v>
      </c>
      <c r="U25" s="345" t="e">
        <f t="shared" ref="U25" si="129">U26/U24*1000</f>
        <v>#DIV/0!</v>
      </c>
      <c r="V25" s="345" t="e">
        <f t="shared" ref="V25" si="130">V26/V24*1000</f>
        <v>#DIV/0!</v>
      </c>
      <c r="W25" s="345" t="e">
        <f t="shared" ref="W25" si="131">W26/W24*1000</f>
        <v>#DIV/0!</v>
      </c>
      <c r="X25" s="345">
        <f t="shared" ref="X25" si="132">X26/X24*1000</f>
        <v>543000</v>
      </c>
      <c r="Y25" s="345">
        <f t="shared" ref="Y25" si="133">Y26/Y24*1000</f>
        <v>561000.00000000012</v>
      </c>
      <c r="Z25" s="345">
        <f t="shared" ref="Z25" si="134">Z26/Z24*1000</f>
        <v>343833.33333333337</v>
      </c>
      <c r="AA25" s="345">
        <f t="shared" ref="AA25" si="135">AA26/AA24*1000</f>
        <v>267600</v>
      </c>
      <c r="AB25" s="345">
        <f t="shared" ref="AB25" si="136">AB26/AB24*1000</f>
        <v>368000</v>
      </c>
      <c r="AC25" s="345">
        <f t="shared" ref="AC25" si="137">AC26/AC24*1000</f>
        <v>550800</v>
      </c>
      <c r="AD25" s="345">
        <f t="shared" ref="AD25" si="138">AD26/AD24*1000</f>
        <v>535600</v>
      </c>
      <c r="AE25" s="345">
        <f t="shared" ref="AE25" si="139">AE26/AE24*1000</f>
        <v>572400</v>
      </c>
      <c r="AF25" s="345">
        <f t="shared" ref="AF25" si="140">AF26/AF24*1000</f>
        <v>431999.99999999994</v>
      </c>
      <c r="AG25" s="345">
        <f t="shared" ref="AG25" si="141">AG26/AG24*1000</f>
        <v>359906.24999999994</v>
      </c>
      <c r="AH25" s="345">
        <f t="shared" ref="AH25" si="142">AH26/AH24*1000</f>
        <v>280628.57142857142</v>
      </c>
      <c r="AI25" s="345">
        <f t="shared" ref="AI25" si="143">AI26/AI24*1000</f>
        <v>311833.33333333331</v>
      </c>
      <c r="AJ25" s="345">
        <f t="shared" ref="AJ25" si="144">AJ26/AJ24*1000</f>
        <v>292416.66666666663</v>
      </c>
      <c r="AK25" s="345">
        <f t="shared" ref="AK25" si="145">AK26/AK24*1000</f>
        <v>523500</v>
      </c>
      <c r="AL25" s="345">
        <f t="shared" ref="AL25" si="146">AL26/AL24*1000</f>
        <v>654260.86956521752</v>
      </c>
      <c r="AM25" s="345">
        <f t="shared" ref="AM25" si="147">AM26/AM24*1000</f>
        <v>621136.36363636365</v>
      </c>
      <c r="AN25" s="345">
        <f t="shared" ref="AN25" si="148">AN26/AN24*1000</f>
        <v>1085500</v>
      </c>
      <c r="AO25" s="345">
        <f t="shared" ref="AO25" si="149">AO26/AO24*1000</f>
        <v>1089666.6666666665</v>
      </c>
      <c r="AP25" s="345">
        <f t="shared" ref="AP25" si="150">AP26/AP24*1000</f>
        <v>1402941.1764705882</v>
      </c>
      <c r="AQ25" s="345">
        <f t="shared" ref="AQ25" si="151">AQ26/AQ24*1000</f>
        <v>1391999.9999999998</v>
      </c>
      <c r="AR25" s="345">
        <f t="shared" ref="AR25" si="152">AR26/AR24*1000</f>
        <v>1989000.0000000005</v>
      </c>
      <c r="AS25" s="345">
        <f t="shared" ref="AS25" si="153">AS26/AS24*1000</f>
        <v>2151642.8571428573</v>
      </c>
      <c r="AT25" s="345">
        <f t="shared" ref="AT25" si="154">AT26/AT24*1000</f>
        <v>905</v>
      </c>
      <c r="AU25" s="345">
        <f t="shared" ref="AU25" si="155">AU26/AU24*1000</f>
        <v>944</v>
      </c>
      <c r="AV25" s="345">
        <f t="shared" ref="AV25" si="156">AV26/AV24*1000</f>
        <v>940.00000000000011</v>
      </c>
      <c r="AW25" s="345">
        <f t="shared" ref="AW25" si="157">AW26/AW24*1000</f>
        <v>977.00000000000011</v>
      </c>
      <c r="AX25" s="345">
        <f t="shared" ref="AX25" si="158">AX26/AX24*1000</f>
        <v>969</v>
      </c>
      <c r="AY25" s="346">
        <f t="shared" ref="AY25:AZ25" si="159">AY26/AY24*1000</f>
        <v>977</v>
      </c>
      <c r="AZ25" s="347">
        <f t="shared" si="159"/>
        <v>977</v>
      </c>
      <c r="BA25" s="347">
        <f>AZ25-AY25</f>
        <v>0</v>
      </c>
      <c r="BB25" s="351">
        <f>AY25-AX25</f>
        <v>8</v>
      </c>
      <c r="BC25" s="352">
        <f>AZ25-AX25</f>
        <v>8</v>
      </c>
      <c r="BD25" s="353">
        <f t="shared" ref="BD25:BD26" si="160">(AX25/AS25)^(1/5)-1</f>
        <v>-0.78585362944425663</v>
      </c>
    </row>
    <row r="26" spans="1:63" s="311" customFormat="1" ht="15" customHeight="1">
      <c r="A26" s="330" t="s">
        <v>354</v>
      </c>
      <c r="B26" s="344">
        <f>'BZ by State 1st Crop'!B26+'BZ by State 2nd Crop'!B26+'BZ by State 3rd Crop'!B26</f>
        <v>0.42799999999999999</v>
      </c>
      <c r="C26" s="344">
        <f>'BZ by State 1st Crop'!C26+'BZ by State 2nd Crop'!C26+'BZ by State 3rd Crop'!C26</f>
        <v>162</v>
      </c>
      <c r="D26" s="344">
        <f>'BZ by State 1st Crop'!D26+'BZ by State 2nd Crop'!D26+'BZ by State 3rd Crop'!D26</f>
        <v>159</v>
      </c>
      <c r="E26" s="344">
        <f>'BZ by State 1st Crop'!E26+'BZ by State 2nd Crop'!E26+'BZ by State 3rd Crop'!E26</f>
        <v>324</v>
      </c>
      <c r="F26" s="344">
        <f>'BZ by State 1st Crop'!F26+'BZ by State 2nd Crop'!F26+'BZ by State 3rd Crop'!F26</f>
        <v>336</v>
      </c>
      <c r="G26" s="344">
        <f>'BZ by State 1st Crop'!G26+'BZ by State 2nd Crop'!G26+'BZ by State 3rd Crop'!G26</f>
        <v>408</v>
      </c>
      <c r="H26" s="344">
        <f>'BZ by State 1st Crop'!H26+'BZ by State 2nd Crop'!H26+'BZ by State 3rd Crop'!H26</f>
        <v>291</v>
      </c>
      <c r="I26" s="344">
        <f>'BZ by State 1st Crop'!I26+'BZ by State 2nd Crop'!I26+'BZ by State 3rd Crop'!I26</f>
        <v>492</v>
      </c>
      <c r="J26" s="344">
        <f>'BZ by State 1st Crop'!J26+'BZ by State 2nd Crop'!J26+'BZ by State 3rd Crop'!J26</f>
        <v>438</v>
      </c>
      <c r="K26" s="344">
        <f>'BZ by State 1st Crop'!K26+'BZ by State 2nd Crop'!K26+'BZ by State 3rd Crop'!K26</f>
        <v>570</v>
      </c>
      <c r="L26" s="344">
        <f>'BZ by State 1st Crop'!L26+'BZ by State 2nd Crop'!L26+'BZ by State 3rd Crop'!L26</f>
        <v>537</v>
      </c>
      <c r="M26" s="344">
        <f>'BZ by State 1st Crop'!M26+'BZ by State 2nd Crop'!M26+'BZ by State 3rd Crop'!M26</f>
        <v>612</v>
      </c>
      <c r="N26" s="344">
        <f>'BZ by State 1st Crop'!N26+'BZ by State 2nd Crop'!N26+'BZ by State 3rd Crop'!N26</f>
        <v>651</v>
      </c>
      <c r="O26" s="344">
        <f>'BZ by State 1st Crop'!O26+'BZ by State 2nd Crop'!O26+'BZ by State 3rd Crop'!O26</f>
        <v>615</v>
      </c>
      <c r="P26" s="344">
        <f>'BZ by State 1st Crop'!P26+'BZ by State 2nd Crop'!P26+'BZ by State 3rd Crop'!P26</f>
        <v>614.40000000000009</v>
      </c>
      <c r="Q26" s="344">
        <f>'BZ by State 1st Crop'!Q26+'BZ by State 2nd Crop'!Q26+'BZ by State 3rd Crop'!Q26</f>
        <v>792.30000000000007</v>
      </c>
      <c r="R26" s="344">
        <f>'BZ by State 1st Crop'!R26+'BZ by State 2nd Crop'!R26+'BZ by State 3rd Crop'!R26</f>
        <v>896.40000000000009</v>
      </c>
      <c r="S26" s="344">
        <f>'BZ by State 1st Crop'!S26+'BZ by State 2nd Crop'!S26+'BZ by State 3rd Crop'!S26</f>
        <v>1164.3000000000002</v>
      </c>
      <c r="T26" s="344">
        <f>'BZ by State 1st Crop'!T26+'BZ by State 2nd Crop'!T26+'BZ by State 3rd Crop'!T26</f>
        <v>1144.8000000000002</v>
      </c>
      <c r="U26" s="344">
        <f>'BZ by State 1st Crop'!U26+'BZ by State 2nd Crop'!U26+'BZ by State 3rd Crop'!U26</f>
        <v>1160.0999999999999</v>
      </c>
      <c r="V26" s="344">
        <f>'BZ by State 1st Crop'!V26+'BZ by State 2nd Crop'!V26+'BZ by State 3rd Crop'!V26</f>
        <v>1159.5</v>
      </c>
      <c r="W26" s="344">
        <f>'BZ by State 1st Crop'!W26+'BZ by State 2nd Crop'!W26+'BZ by State 3rd Crop'!W26</f>
        <v>792.90000000000009</v>
      </c>
      <c r="X26" s="344">
        <f>'BZ by State 1st Crop'!X26+'BZ by State 2nd Crop'!X26+'BZ by State 3rd Crop'!X26</f>
        <v>651.59999999999991</v>
      </c>
      <c r="Y26" s="344">
        <f>'BZ by State 1st Crop'!Y26+'BZ by State 2nd Crop'!Y26+'BZ by State 3rd Crop'!Y26</f>
        <v>673.2</v>
      </c>
      <c r="Z26" s="344">
        <f>'BZ by State 1st Crop'!Z26+'BZ by State 2nd Crop'!Z26+'BZ by State 3rd Crop'!Z26</f>
        <v>618.90000000000009</v>
      </c>
      <c r="AA26" s="344">
        <f>'BZ by State 1st Crop'!AA26+'BZ by State 2nd Crop'!AA26+'BZ by State 3rd Crop'!AA26</f>
        <v>535.20000000000005</v>
      </c>
      <c r="AB26" s="344">
        <f>'BZ by State 1st Crop'!AB26+'BZ by State 2nd Crop'!AB26+'BZ by State 3rd Crop'!AB26</f>
        <v>552</v>
      </c>
      <c r="AC26" s="344">
        <f>'BZ by State 1st Crop'!AC26+'BZ by State 2nd Crop'!AC26+'BZ by State 3rd Crop'!AC26</f>
        <v>826.19999999999993</v>
      </c>
      <c r="AD26" s="344">
        <f>'BZ by State 1st Crop'!AD26+'BZ by State 2nd Crop'!AD26+'BZ by State 3rd Crop'!AD26</f>
        <v>803.40000000000009</v>
      </c>
      <c r="AE26" s="344">
        <f>'BZ by State 1st Crop'!AE26+'BZ by State 2nd Crop'!AE26+'BZ by State 3rd Crop'!AE26</f>
        <v>858.59999999999991</v>
      </c>
      <c r="AF26" s="344">
        <f>'BZ by State 1st Crop'!AF26+'BZ by State 2nd Crop'!AF26+'BZ by State 3rd Crop'!AF26</f>
        <v>907.19999999999993</v>
      </c>
      <c r="AG26" s="344">
        <f>'BZ by State 1st Crop'!AG26+'BZ by State 2nd Crop'!AG26+'BZ by State 3rd Crop'!AG26</f>
        <v>1151.6999999999998</v>
      </c>
      <c r="AH26" s="344">
        <f>'BZ by State 1st Crop'!AH26+'BZ by State 2nd Crop'!AH26+'BZ by State 3rd Crop'!AH26</f>
        <v>982.19999999999993</v>
      </c>
      <c r="AI26" s="344">
        <f>'BZ by State 1st Crop'!AI26+'BZ by State 2nd Crop'!AI26+'BZ by State 3rd Crop'!AI26</f>
        <v>1122.5999999999999</v>
      </c>
      <c r="AJ26" s="344">
        <f>'BZ by State 1st Crop'!AJ26+'BZ by State 2nd Crop'!AJ26+'BZ by State 3rd Crop'!AJ26</f>
        <v>1052.6999999999998</v>
      </c>
      <c r="AK26" s="344">
        <f>'BZ by State 1st Crop'!AK26+'BZ by State 2nd Crop'!AK26+'BZ by State 3rd Crop'!AK26</f>
        <v>1361.1</v>
      </c>
      <c r="AL26" s="344">
        <f>'BZ by State 1st Crop'!AL26+'BZ by State 2nd Crop'!AL26+'BZ by State 3rd Crop'!AL26</f>
        <v>1504.8000000000002</v>
      </c>
      <c r="AM26" s="344">
        <f>'BZ by State 1st Crop'!AM26+'BZ by State 2nd Crop'!AM26+'BZ by State 3rd Crop'!AM26</f>
        <v>1366.5</v>
      </c>
      <c r="AN26" s="344">
        <f>'BZ by State 1st Crop'!AN26+'BZ by State 2nd Crop'!AN26+'BZ by State 3rd Crop'!AN26</f>
        <v>1953.8999999999999</v>
      </c>
      <c r="AO26" s="344">
        <f>'BZ by State 1st Crop'!AO26+'BZ by State 2nd Crop'!AO26+'BZ by State 3rd Crop'!AO26</f>
        <v>1961.3999999999999</v>
      </c>
      <c r="AP26" s="344">
        <f>'BZ by State 1st Crop'!AP26+'BZ by State 2nd Crop'!AP26+'BZ by State 3rd Crop'!AP26</f>
        <v>2385</v>
      </c>
      <c r="AQ26" s="344">
        <f>'BZ by State 1st Crop'!AQ26+'BZ by State 2nd Crop'!AQ26+'BZ by State 3rd Crop'!AQ26</f>
        <v>2227.1999999999998</v>
      </c>
      <c r="AR26" s="344">
        <f>'BZ by State 1st Crop'!AR26+'BZ by State 2nd Crop'!AR26+'BZ by State 3rd Crop'!AR26</f>
        <v>2784.6000000000004</v>
      </c>
      <c r="AS26" s="344">
        <f>'BZ by State 1st Crop'!AS26+'BZ by State 2nd Crop'!AS26+'BZ by State 3rd Crop'!AS26</f>
        <v>3012.3</v>
      </c>
      <c r="AT26" s="344">
        <f>'BZ by State 1st Crop'!AT26+'BZ by State 2nd Crop'!AT26+'BZ by State 3rd Crop'!AT26</f>
        <v>1.1765000000000001</v>
      </c>
      <c r="AU26" s="344">
        <f>'BZ by State 1st Crop'!AU26+'BZ by State 2nd Crop'!AU26+'BZ by State 3rd Crop'!AU26</f>
        <v>2.36</v>
      </c>
      <c r="AV26" s="344">
        <f>'BZ by State 1st Crop'!AV26+'BZ by State 2nd Crop'!AV26+'BZ by State 3rd Crop'!AV26</f>
        <v>2.6320000000000001</v>
      </c>
      <c r="AW26" s="344">
        <f>'BZ by State 1st Crop'!AW26+'BZ by State 2nd Crop'!AW26+'BZ by State 3rd Crop'!AW26</f>
        <v>2.2471000000000001</v>
      </c>
      <c r="AX26" s="344">
        <f>'BZ by State 1st Crop'!AX26+'BZ by State 2nd Crop'!AX26+'BZ by State 3rd Crop'!AX26</f>
        <v>1.9379999999999999</v>
      </c>
      <c r="AY26" s="365">
        <f>'BZ by State 1st Crop'!AY26+'BZ by State 2nd Crop'!AY26+'BZ by State 3rd Crop'!AY26</f>
        <v>1.954</v>
      </c>
      <c r="AZ26" s="366">
        <f>'BZ by State 1st Crop'!AZ26+'BZ by State 2nd Crop'!AZ26+'BZ by State 3rd Crop'!AZ26</f>
        <v>1.954</v>
      </c>
      <c r="BA26" s="366">
        <f>AZ26-AY26</f>
        <v>0</v>
      </c>
      <c r="BB26" s="367">
        <f>AY26-AX26</f>
        <v>1.6000000000000014E-2</v>
      </c>
      <c r="BC26" s="368">
        <f>AZ26-AX26</f>
        <v>1.6000000000000014E-2</v>
      </c>
      <c r="BD26" s="353">
        <f t="shared" si="160"/>
        <v>-0.77001944897999319</v>
      </c>
      <c r="BE26" s="309"/>
      <c r="BF26"/>
      <c r="BG26" s="308"/>
    </row>
    <row r="27" spans="1:63" ht="15" customHeight="1">
      <c r="A27" s="320" t="s">
        <v>360</v>
      </c>
      <c r="B27" s="356"/>
      <c r="C27" s="356"/>
      <c r="D27" s="356"/>
      <c r="E27" s="356"/>
      <c r="F27" s="356"/>
      <c r="G27" s="356"/>
      <c r="H27" s="356"/>
      <c r="I27" s="356"/>
      <c r="J27" s="356"/>
      <c r="K27" s="356"/>
      <c r="L27" s="356"/>
      <c r="M27" s="356"/>
      <c r="N27" s="356"/>
      <c r="O27" s="356"/>
      <c r="P27" s="356"/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28"/>
      <c r="AU27" s="328"/>
      <c r="AV27" s="328"/>
      <c r="AW27" s="328"/>
      <c r="AX27" s="328"/>
      <c r="AY27" s="321"/>
      <c r="AZ27" s="328"/>
      <c r="BA27" s="329"/>
      <c r="BB27" s="321"/>
      <c r="BC27" s="328"/>
      <c r="BD27" s="329"/>
    </row>
    <row r="28" spans="1:63" ht="15" customHeight="1">
      <c r="A28" s="324" t="s">
        <v>352</v>
      </c>
      <c r="B28" s="344">
        <f>'BZ by State 1st Crop'!B28+'BZ by State 2nd Crop'!B28+'BZ by State 3rd Crop'!B28</f>
        <v>66.599999999999994</v>
      </c>
      <c r="C28" s="344">
        <f>'BZ by State 1st Crop'!C28+'BZ by State 2nd Crop'!C28+'BZ by State 3rd Crop'!C28</f>
        <v>66.2</v>
      </c>
      <c r="D28" s="344">
        <f>'BZ by State 1st Crop'!D28+'BZ by State 2nd Crop'!D28+'BZ by State 3rd Crop'!D28</f>
        <v>50</v>
      </c>
      <c r="E28" s="344">
        <f>'BZ by State 1st Crop'!E28+'BZ by State 2nd Crop'!E28+'BZ by State 3rd Crop'!E28</f>
        <v>83</v>
      </c>
      <c r="F28" s="344">
        <f>'BZ by State 1st Crop'!F28+'BZ by State 2nd Crop'!F28+'BZ by State 3rd Crop'!F28</f>
        <v>82</v>
      </c>
      <c r="G28" s="344">
        <f>'BZ by State 1st Crop'!G28+'BZ by State 2nd Crop'!G28+'BZ by State 3rd Crop'!G28</f>
        <v>123.7</v>
      </c>
      <c r="H28" s="344">
        <f>'BZ by State 1st Crop'!H28+'BZ by State 2nd Crop'!H28+'BZ by State 3rd Crop'!H28</f>
        <v>74.099999999999994</v>
      </c>
      <c r="I28" s="344">
        <f>'BZ by State 1st Crop'!I28+'BZ by State 2nd Crop'!I28+'BZ by State 3rd Crop'!I28</f>
        <v>113.3</v>
      </c>
      <c r="J28" s="344">
        <f>'BZ by State 1st Crop'!J28+'BZ by State 2nd Crop'!J28+'BZ by State 3rd Crop'!J28</f>
        <v>113</v>
      </c>
      <c r="K28" s="344">
        <f>'BZ by State 1st Crop'!K28+'BZ by State 2nd Crop'!K28+'BZ by State 3rd Crop'!K28</f>
        <v>144.30000000000001</v>
      </c>
      <c r="L28" s="344">
        <f>'BZ by State 1st Crop'!L28+'BZ by State 2nd Crop'!L28+'BZ by State 3rd Crop'!L28</f>
        <v>172</v>
      </c>
      <c r="M28" s="344">
        <f>'BZ by State 1st Crop'!M28+'BZ by State 2nd Crop'!M28+'BZ by State 3rd Crop'!M28</f>
        <v>247.2</v>
      </c>
      <c r="N28" s="344">
        <f>'BZ by State 1st Crop'!N28+'BZ by State 2nd Crop'!N28+'BZ by State 3rd Crop'!N28</f>
        <v>246.2</v>
      </c>
      <c r="O28" s="344">
        <f>'BZ by State 1st Crop'!O28+'BZ by State 2nd Crop'!O28+'BZ by State 3rd Crop'!O28</f>
        <v>163.6</v>
      </c>
      <c r="P28" s="344">
        <f>'BZ by State 1st Crop'!P28+'BZ by State 2nd Crop'!P28+'BZ by State 3rd Crop'!P28</f>
        <v>202.2</v>
      </c>
      <c r="Q28" s="344">
        <f>'BZ by State 1st Crop'!Q28+'BZ by State 2nd Crop'!Q28+'BZ by State 3rd Crop'!Q28</f>
        <v>177</v>
      </c>
      <c r="R28" s="344">
        <f>'BZ by State 1st Crop'!R28+'BZ by State 2nd Crop'!R28+'BZ by State 3rd Crop'!R28</f>
        <v>196</v>
      </c>
      <c r="S28" s="344">
        <f>'BZ by State 1st Crop'!S28+'BZ by State 2nd Crop'!S28+'BZ by State 3rd Crop'!S28</f>
        <v>207.1</v>
      </c>
      <c r="T28" s="344">
        <f>'BZ by State 1st Crop'!T28+'BZ by State 2nd Crop'!T28+'BZ by State 3rd Crop'!T28</f>
        <v>287</v>
      </c>
      <c r="U28" s="344">
        <f>'BZ by State 1st Crop'!U28+'BZ by State 2nd Crop'!U28+'BZ by State 3rd Crop'!U28</f>
        <v>260.7</v>
      </c>
      <c r="V28" s="344">
        <f>'BZ by State 1st Crop'!V28+'BZ by State 2nd Crop'!V28+'BZ by State 3rd Crop'!V28</f>
        <v>260.7</v>
      </c>
      <c r="W28" s="344">
        <f>'BZ by State 1st Crop'!W28+'BZ by State 2nd Crop'!W28+'BZ by State 3rd Crop'!W28</f>
        <v>358.9</v>
      </c>
      <c r="X28" s="344">
        <f>'BZ by State 1st Crop'!X28+'BZ by State 2nd Crop'!X28+'BZ by State 3rd Crop'!X28</f>
        <v>416.3</v>
      </c>
      <c r="Y28" s="344">
        <f>'BZ by State 1st Crop'!Y28+'BZ by State 2nd Crop'!Y28+'BZ by State 3rd Crop'!Y28</f>
        <v>418.9</v>
      </c>
      <c r="Z28" s="344">
        <f>'BZ by State 1st Crop'!Z28+'BZ by State 2nd Crop'!Z28+'BZ by State 3rd Crop'!Z28</f>
        <v>318.8</v>
      </c>
      <c r="AA28" s="344">
        <f>'BZ by State 1st Crop'!AA28+'BZ by State 2nd Crop'!AA28+'BZ by State 3rd Crop'!AA28</f>
        <v>275</v>
      </c>
      <c r="AB28" s="344">
        <f>'BZ by State 1st Crop'!AB28+'BZ by State 2nd Crop'!AB28+'BZ by State 3rd Crop'!AB28</f>
        <v>293.39999999999998</v>
      </c>
      <c r="AC28" s="344">
        <f>'BZ by State 1st Crop'!AC28+'BZ by State 2nd Crop'!AC28+'BZ by State 3rd Crop'!AC28</f>
        <v>286.5</v>
      </c>
      <c r="AD28" s="344">
        <f>'BZ by State 1st Crop'!AD28+'BZ by State 2nd Crop'!AD28+'BZ by State 3rd Crop'!AD28</f>
        <v>281.60000000000002</v>
      </c>
      <c r="AE28" s="344">
        <f>'BZ by State 1st Crop'!AE28+'BZ by State 2nd Crop'!AE28+'BZ by State 3rd Crop'!AE28</f>
        <v>275.7</v>
      </c>
      <c r="AF28" s="344">
        <f>'BZ by State 1st Crop'!AF28+'BZ by State 2nd Crop'!AF28+'BZ by State 3rd Crop'!AF28</f>
        <v>270.2</v>
      </c>
      <c r="AG28" s="344">
        <f>'BZ by State 1st Crop'!AG28+'BZ by State 2nd Crop'!AG28+'BZ by State 3rd Crop'!AG28</f>
        <v>268</v>
      </c>
      <c r="AH28" s="344">
        <f>'BZ by State 1st Crop'!AH28+'BZ by State 2nd Crop'!AH28+'BZ by State 3rd Crop'!AH28</f>
        <v>245.2</v>
      </c>
      <c r="AI28" s="344">
        <f>'BZ by State 1st Crop'!AI28+'BZ by State 2nd Crop'!AI28+'BZ by State 3rd Crop'!AI28</f>
        <v>217.8</v>
      </c>
      <c r="AJ28" s="344">
        <f>'BZ by State 1st Crop'!AJ28+'BZ by State 2nd Crop'!AJ28+'BZ by State 3rd Crop'!AJ28</f>
        <v>213.1</v>
      </c>
      <c r="AK28" s="344">
        <f>'BZ by State 1st Crop'!AK28+'BZ by State 2nd Crop'!AK28+'BZ by State 3rd Crop'!AK28</f>
        <v>236.3</v>
      </c>
      <c r="AL28" s="344">
        <f>'BZ by State 1st Crop'!AL28+'BZ by State 2nd Crop'!AL28+'BZ by State 3rd Crop'!AL28</f>
        <v>199.1</v>
      </c>
      <c r="AM28" s="344">
        <f>'BZ by State 1st Crop'!AM28+'BZ by State 2nd Crop'!AM28+'BZ by State 3rd Crop'!AM28</f>
        <v>184.1</v>
      </c>
      <c r="AN28" s="344">
        <f>'BZ by State 1st Crop'!AN28+'BZ by State 2nd Crop'!AN28+'BZ by State 3rd Crop'!AN28</f>
        <v>218.7</v>
      </c>
      <c r="AO28" s="344">
        <f>'BZ by State 1st Crop'!AO28+'BZ by State 2nd Crop'!AO28+'BZ by State 3rd Crop'!AO28</f>
        <v>196.1</v>
      </c>
      <c r="AP28" s="344">
        <f>'BZ by State 1st Crop'!AP28+'BZ by State 2nd Crop'!AP28+'BZ by State 3rd Crop'!AP28</f>
        <v>258.3</v>
      </c>
      <c r="AQ28" s="344">
        <f>'BZ by State 1st Crop'!AQ28+'BZ by State 2nd Crop'!AQ28+'BZ by State 3rd Crop'!AQ28</f>
        <v>236.9</v>
      </c>
      <c r="AR28" s="344">
        <f>'BZ by State 1st Crop'!AR28+'BZ by State 2nd Crop'!AR28+'BZ by State 3rd Crop'!AR28</f>
        <v>249.5</v>
      </c>
      <c r="AS28" s="344">
        <f>'BZ by State 1st Crop'!AS28+'BZ by State 2nd Crop'!AS28+'BZ by State 3rd Crop'!AS28</f>
        <v>264.60000000000002</v>
      </c>
      <c r="AT28" s="344">
        <f>'BZ by State 1st Crop'!AT28+'BZ by State 2nd Crop'!AT28+'BZ by State 3rd Crop'!AT28</f>
        <v>358</v>
      </c>
      <c r="AU28" s="344">
        <f>'BZ by State 1st Crop'!AU28+'BZ by State 2nd Crop'!AU28+'BZ by State 3rd Crop'!AU28</f>
        <v>390.6</v>
      </c>
      <c r="AV28" s="344">
        <f>'BZ by State 1st Crop'!AV28+'BZ by State 2nd Crop'!AV28+'BZ by State 3rd Crop'!AV28</f>
        <v>435.29999999999995</v>
      </c>
      <c r="AW28" s="344">
        <f>'BZ by State 1st Crop'!AW28+'BZ by State 2nd Crop'!AW28+'BZ by State 3rd Crop'!AW28</f>
        <v>491.9</v>
      </c>
      <c r="AX28" s="344">
        <f>'BZ by State 1st Crop'!AX28+'BZ by State 2nd Crop'!AX28+'BZ by State 3rd Crop'!AX28</f>
        <v>512.20000000000005</v>
      </c>
      <c r="AY28" s="369">
        <f>'BZ by State 1st Crop'!AY28+'BZ by State 2nd Crop'!AY28+'BZ by State 3rd Crop'!AY28</f>
        <v>571.40000000000009</v>
      </c>
      <c r="AZ28" s="366">
        <f>'BZ by State 1st Crop'!AZ28+'BZ by State 2nd Crop'!AZ28+'BZ by State 3rd Crop'!AZ28</f>
        <v>571.40000000000009</v>
      </c>
      <c r="BA28" s="366">
        <f>AZ28-AY28</f>
        <v>0</v>
      </c>
      <c r="BB28" s="367">
        <f>AY28-AX28</f>
        <v>59.200000000000045</v>
      </c>
      <c r="BC28" s="368">
        <f>AZ28-AX28</f>
        <v>59.200000000000045</v>
      </c>
      <c r="BD28" s="353">
        <f>(AX28/AS28)^(1/5)-1</f>
        <v>0.14122150504355702</v>
      </c>
      <c r="BF28" s="319" t="b">
        <v>0</v>
      </c>
      <c r="BH28" s="311"/>
      <c r="BI28" s="311"/>
      <c r="BJ28" s="311"/>
      <c r="BK28" s="311"/>
    </row>
    <row r="29" spans="1:63" ht="15" customHeight="1">
      <c r="A29" s="324" t="s">
        <v>353</v>
      </c>
      <c r="B29" s="345">
        <f t="shared" ref="B29" si="161">B30/B28*1000</f>
        <v>801.80180180180184</v>
      </c>
      <c r="C29" s="345">
        <f t="shared" ref="C29" si="162">C30/C28*1000</f>
        <v>2447.1299093655589</v>
      </c>
      <c r="D29" s="345">
        <f t="shared" ref="D29" si="163">D30/D28*1000</f>
        <v>3180</v>
      </c>
      <c r="E29" s="345">
        <f t="shared" ref="E29" si="164">E30/E28*1000</f>
        <v>3903.6144578313256</v>
      </c>
      <c r="F29" s="345">
        <f t="shared" ref="F29" si="165">F30/F28*1000</f>
        <v>4097.5609756097565</v>
      </c>
      <c r="G29" s="345">
        <f t="shared" ref="G29" si="166">G30/G28*1000</f>
        <v>3298.3023443815682</v>
      </c>
      <c r="H29" s="345">
        <f t="shared" ref="H29" si="167">H30/H28*1000</f>
        <v>3927.1255060728749</v>
      </c>
      <c r="I29" s="345">
        <f t="shared" ref="I29" si="168">I30/I28*1000</f>
        <v>4342.4536628420119</v>
      </c>
      <c r="J29" s="345">
        <f t="shared" ref="J29" si="169">J30/J28*1000</f>
        <v>3876.1061946902655</v>
      </c>
      <c r="K29" s="345">
        <f t="shared" ref="K29" si="170">K30/K28*1000</f>
        <v>3950.1039501039495</v>
      </c>
      <c r="L29" s="345">
        <f t="shared" ref="L29" si="171">L30/L28*1000</f>
        <v>3122.0930232558144</v>
      </c>
      <c r="M29" s="345">
        <f t="shared" ref="M29" si="172">M30/M28*1000</f>
        <v>2475.7281553398061</v>
      </c>
      <c r="N29" s="345">
        <f t="shared" ref="N29" si="173">N30/N28*1000</f>
        <v>2644.1917140536152</v>
      </c>
      <c r="O29" s="345">
        <f t="shared" ref="O29" si="174">O30/O28*1000</f>
        <v>3759.1687041564792</v>
      </c>
      <c r="P29" s="345">
        <f t="shared" ref="P29" si="175">P30/P28*1000</f>
        <v>3038.5756676557871</v>
      </c>
      <c r="Q29" s="345">
        <f t="shared" ref="Q29" si="176">Q30/Q28*1000</f>
        <v>4476.2711864406783</v>
      </c>
      <c r="R29" s="345">
        <f t="shared" ref="R29" si="177">R30/R28*1000</f>
        <v>4573.4693877551026</v>
      </c>
      <c r="S29" s="345">
        <f t="shared" ref="S29" si="178">S30/S28*1000</f>
        <v>5621.9217769193638</v>
      </c>
      <c r="T29" s="345">
        <f t="shared" ref="T29" si="179">T30/T28*1000</f>
        <v>3988.8501742160283</v>
      </c>
      <c r="U29" s="345">
        <f t="shared" ref="U29" si="180">U30/U28*1000</f>
        <v>4449.9424626006903</v>
      </c>
      <c r="V29" s="345">
        <f t="shared" ref="V29" si="181">V30/V28*1000</f>
        <v>4447.6409666283089</v>
      </c>
      <c r="W29" s="345">
        <f t="shared" ref="W29" si="182">W30/W28*1000</f>
        <v>2209.2504876010034</v>
      </c>
      <c r="X29" s="345">
        <f t="shared" ref="X29" si="183">X30/X28*1000</f>
        <v>1565.2173913043478</v>
      </c>
      <c r="Y29" s="345">
        <f t="shared" ref="Y29" si="184">Y30/Y28*1000</f>
        <v>1607.0661255669613</v>
      </c>
      <c r="Z29" s="345">
        <f t="shared" ref="Z29" si="185">Z30/Z28*1000</f>
        <v>1941.3425345043918</v>
      </c>
      <c r="AA29" s="345">
        <f t="shared" ref="AA29" si="186">AA30/AA28*1000</f>
        <v>1946.1818181818185</v>
      </c>
      <c r="AB29" s="345">
        <f t="shared" ref="AB29" si="187">AB30/AB28*1000</f>
        <v>1881.3905930470348</v>
      </c>
      <c r="AC29" s="345">
        <f t="shared" ref="AC29" si="188">AC30/AC28*1000</f>
        <v>2883.7696335078535</v>
      </c>
      <c r="AD29" s="345">
        <f t="shared" ref="AD29" si="189">AD30/AD28*1000</f>
        <v>2852.9829545454545</v>
      </c>
      <c r="AE29" s="345">
        <f t="shared" ref="AE29" si="190">AE30/AE28*1000</f>
        <v>3114.2546245919475</v>
      </c>
      <c r="AF29" s="345">
        <f t="shared" ref="AF29" si="191">AF30/AF28*1000</f>
        <v>3357.5129533678755</v>
      </c>
      <c r="AG29" s="345">
        <f t="shared" ref="AG29" si="192">AG30/AG28*1000</f>
        <v>4297.3880597014913</v>
      </c>
      <c r="AH29" s="345">
        <f t="shared" ref="AH29" si="193">AH30/AH28*1000</f>
        <v>4005.7096247960844</v>
      </c>
      <c r="AI29" s="345">
        <f t="shared" ref="AI29" si="194">AI30/AI28*1000</f>
        <v>5154.2699724517897</v>
      </c>
      <c r="AJ29" s="345">
        <f t="shared" ref="AJ29" si="195">AJ30/AJ28*1000</f>
        <v>4939.9343031440631</v>
      </c>
      <c r="AK29" s="345">
        <f t="shared" ref="AK29" si="196">AK30/AK28*1000</f>
        <v>5760.0507829030885</v>
      </c>
      <c r="AL29" s="345">
        <f t="shared" ref="AL29" si="197">AL30/AL28*1000</f>
        <v>7558.0110497237583</v>
      </c>
      <c r="AM29" s="345">
        <f t="shared" ref="AM29" si="198">AM30/AM28*1000</f>
        <v>7422.5964149918527</v>
      </c>
      <c r="AN29" s="345">
        <f t="shared" ref="AN29" si="199">AN30/AN28*1000</f>
        <v>8934.1563786008228</v>
      </c>
      <c r="AO29" s="345">
        <f t="shared" ref="AO29" si="200">AO30/AO28*1000</f>
        <v>10002.03977562468</v>
      </c>
      <c r="AP29" s="345">
        <f t="shared" ref="AP29" si="201">AP30/AP28*1000</f>
        <v>9233.4494773519164</v>
      </c>
      <c r="AQ29" s="345">
        <f t="shared" ref="AQ29" si="202">AQ30/AQ28*1000</f>
        <v>9401.4352047277334</v>
      </c>
      <c r="AR29" s="345">
        <f t="shared" ref="AR29" si="203">AR30/AR28*1000</f>
        <v>11160.721442885773</v>
      </c>
      <c r="AS29" s="345">
        <f t="shared" ref="AS29" si="204">AS30/AS28*1000</f>
        <v>11384.353741496598</v>
      </c>
      <c r="AT29" s="345">
        <f t="shared" ref="AT29" si="205">AT30/AT28*1000</f>
        <v>3113.7765363128487</v>
      </c>
      <c r="AU29" s="345">
        <f t="shared" ref="AU29" si="206">AU30/AU28*1000</f>
        <v>3024.7345110087044</v>
      </c>
      <c r="AV29" s="345">
        <f t="shared" ref="AV29" si="207">AV30/AV28*1000</f>
        <v>3414.5380197564896</v>
      </c>
      <c r="AW29" s="345">
        <f t="shared" ref="AW29" si="208">AW30/AW28*1000</f>
        <v>3577.006505387274</v>
      </c>
      <c r="AX29" s="345">
        <f t="shared" ref="AX29" si="209">AX30/AX28*1000</f>
        <v>4206.4482623975009</v>
      </c>
      <c r="AY29" s="346">
        <f t="shared" ref="AY29:AZ29" si="210">AY30/AY28*1000</f>
        <v>3588.3335666783332</v>
      </c>
      <c r="AZ29" s="347">
        <f t="shared" si="210"/>
        <v>3624.1060553027646</v>
      </c>
      <c r="BA29" s="347">
        <f>AZ29-AY29</f>
        <v>35.772488624431389</v>
      </c>
      <c r="BB29" s="351">
        <f>AY29-AX29</f>
        <v>-618.11469571916768</v>
      </c>
      <c r="BC29" s="352">
        <f>AZ29-AX29</f>
        <v>-582.3422070947363</v>
      </c>
      <c r="BD29" s="353">
        <f t="shared" ref="BD29:BD30" si="211">(AX29/AS29)^(1/5)-1</f>
        <v>-0.18055193521411006</v>
      </c>
    </row>
    <row r="30" spans="1:63" s="311" customFormat="1" ht="15" customHeight="1">
      <c r="A30" s="324" t="s">
        <v>354</v>
      </c>
      <c r="B30" s="344">
        <f>'BZ by State 1st Crop'!B30+'BZ by State 2nd Crop'!B30+'BZ by State 3rd Crop'!B30</f>
        <v>53.4</v>
      </c>
      <c r="C30" s="344">
        <f>'BZ by State 1st Crop'!C30+'BZ by State 2nd Crop'!C30+'BZ by State 3rd Crop'!C30</f>
        <v>162</v>
      </c>
      <c r="D30" s="344">
        <f>'BZ by State 1st Crop'!D30+'BZ by State 2nd Crop'!D30+'BZ by State 3rd Crop'!D30</f>
        <v>159</v>
      </c>
      <c r="E30" s="344">
        <f>'BZ by State 1st Crop'!E30+'BZ by State 2nd Crop'!E30+'BZ by State 3rd Crop'!E30</f>
        <v>324</v>
      </c>
      <c r="F30" s="344">
        <f>'BZ by State 1st Crop'!F30+'BZ by State 2nd Crop'!F30+'BZ by State 3rd Crop'!F30</f>
        <v>336</v>
      </c>
      <c r="G30" s="344">
        <f>'BZ by State 1st Crop'!G30+'BZ by State 2nd Crop'!G30+'BZ by State 3rd Crop'!G30</f>
        <v>408</v>
      </c>
      <c r="H30" s="344">
        <f>'BZ by State 1st Crop'!H30+'BZ by State 2nd Crop'!H30+'BZ by State 3rd Crop'!H30</f>
        <v>291</v>
      </c>
      <c r="I30" s="344">
        <f>'BZ by State 1st Crop'!I30+'BZ by State 2nd Crop'!I30+'BZ by State 3rd Crop'!I30</f>
        <v>492</v>
      </c>
      <c r="J30" s="344">
        <f>'BZ by State 1st Crop'!J30+'BZ by State 2nd Crop'!J30+'BZ by State 3rd Crop'!J30</f>
        <v>438</v>
      </c>
      <c r="K30" s="344">
        <f>'BZ by State 1st Crop'!K30+'BZ by State 2nd Crop'!K30+'BZ by State 3rd Crop'!K30</f>
        <v>570</v>
      </c>
      <c r="L30" s="344">
        <f>'BZ by State 1st Crop'!L30+'BZ by State 2nd Crop'!L30+'BZ by State 3rd Crop'!L30</f>
        <v>537</v>
      </c>
      <c r="M30" s="344">
        <f>'BZ by State 1st Crop'!M30+'BZ by State 2nd Crop'!M30+'BZ by State 3rd Crop'!M30</f>
        <v>612</v>
      </c>
      <c r="N30" s="344">
        <f>'BZ by State 1st Crop'!N30+'BZ by State 2nd Crop'!N30+'BZ by State 3rd Crop'!N30</f>
        <v>651</v>
      </c>
      <c r="O30" s="344">
        <f>'BZ by State 1st Crop'!O30+'BZ by State 2nd Crop'!O30+'BZ by State 3rd Crop'!O30</f>
        <v>615</v>
      </c>
      <c r="P30" s="344">
        <f>'BZ by State 1st Crop'!P30+'BZ by State 2nd Crop'!P30+'BZ by State 3rd Crop'!P30</f>
        <v>614.40000000000009</v>
      </c>
      <c r="Q30" s="344">
        <f>'BZ by State 1st Crop'!Q30+'BZ by State 2nd Crop'!Q30+'BZ by State 3rd Crop'!Q30</f>
        <v>792.30000000000007</v>
      </c>
      <c r="R30" s="344">
        <f>'BZ by State 1st Crop'!R30+'BZ by State 2nd Crop'!R30+'BZ by State 3rd Crop'!R30</f>
        <v>896.40000000000009</v>
      </c>
      <c r="S30" s="344">
        <f>'BZ by State 1st Crop'!S30+'BZ by State 2nd Crop'!S30+'BZ by State 3rd Crop'!S30</f>
        <v>1164.3000000000002</v>
      </c>
      <c r="T30" s="344">
        <f>'BZ by State 1st Crop'!T30+'BZ by State 2nd Crop'!T30+'BZ by State 3rd Crop'!T30</f>
        <v>1144.8000000000002</v>
      </c>
      <c r="U30" s="344">
        <f>'BZ by State 1st Crop'!U30+'BZ by State 2nd Crop'!U30+'BZ by State 3rd Crop'!U30</f>
        <v>1160.0999999999999</v>
      </c>
      <c r="V30" s="344">
        <f>'BZ by State 1st Crop'!V30+'BZ by State 2nd Crop'!V30+'BZ by State 3rd Crop'!V30</f>
        <v>1159.5</v>
      </c>
      <c r="W30" s="344">
        <f>'BZ by State 1st Crop'!W30+'BZ by State 2nd Crop'!W30+'BZ by State 3rd Crop'!W30</f>
        <v>792.90000000000009</v>
      </c>
      <c r="X30" s="344">
        <f>'BZ by State 1st Crop'!X30+'BZ by State 2nd Crop'!X30+'BZ by State 3rd Crop'!X30</f>
        <v>651.59999999999991</v>
      </c>
      <c r="Y30" s="344">
        <f>'BZ by State 1st Crop'!Y30+'BZ by State 2nd Crop'!Y30+'BZ by State 3rd Crop'!Y30</f>
        <v>673.2</v>
      </c>
      <c r="Z30" s="344">
        <f>'BZ by State 1st Crop'!Z30+'BZ by State 2nd Crop'!Z30+'BZ by State 3rd Crop'!Z30</f>
        <v>618.90000000000009</v>
      </c>
      <c r="AA30" s="344">
        <f>'BZ by State 1st Crop'!AA30+'BZ by State 2nd Crop'!AA30+'BZ by State 3rd Crop'!AA30</f>
        <v>535.20000000000005</v>
      </c>
      <c r="AB30" s="344">
        <f>'BZ by State 1st Crop'!AB30+'BZ by State 2nd Crop'!AB30+'BZ by State 3rd Crop'!AB30</f>
        <v>552</v>
      </c>
      <c r="AC30" s="344">
        <f>'BZ by State 1st Crop'!AC30+'BZ by State 2nd Crop'!AC30+'BZ by State 3rd Crop'!AC30</f>
        <v>826.19999999999993</v>
      </c>
      <c r="AD30" s="344">
        <f>'BZ by State 1st Crop'!AD30+'BZ by State 2nd Crop'!AD30+'BZ by State 3rd Crop'!AD30</f>
        <v>803.40000000000009</v>
      </c>
      <c r="AE30" s="344">
        <f>'BZ by State 1st Crop'!AE30+'BZ by State 2nd Crop'!AE30+'BZ by State 3rd Crop'!AE30</f>
        <v>858.59999999999991</v>
      </c>
      <c r="AF30" s="344">
        <f>'BZ by State 1st Crop'!AF30+'BZ by State 2nd Crop'!AF30+'BZ by State 3rd Crop'!AF30</f>
        <v>907.19999999999993</v>
      </c>
      <c r="AG30" s="344">
        <f>'BZ by State 1st Crop'!AG30+'BZ by State 2nd Crop'!AG30+'BZ by State 3rd Crop'!AG30</f>
        <v>1151.6999999999998</v>
      </c>
      <c r="AH30" s="344">
        <f>'BZ by State 1st Crop'!AH30+'BZ by State 2nd Crop'!AH30+'BZ by State 3rd Crop'!AH30</f>
        <v>982.19999999999993</v>
      </c>
      <c r="AI30" s="344">
        <f>'BZ by State 1st Crop'!AI30+'BZ by State 2nd Crop'!AI30+'BZ by State 3rd Crop'!AI30</f>
        <v>1122.5999999999999</v>
      </c>
      <c r="AJ30" s="344">
        <f>'BZ by State 1st Crop'!AJ30+'BZ by State 2nd Crop'!AJ30+'BZ by State 3rd Crop'!AJ30</f>
        <v>1052.6999999999998</v>
      </c>
      <c r="AK30" s="344">
        <f>'BZ by State 1st Crop'!AK30+'BZ by State 2nd Crop'!AK30+'BZ by State 3rd Crop'!AK30</f>
        <v>1361.1</v>
      </c>
      <c r="AL30" s="344">
        <f>'BZ by State 1st Crop'!AL30+'BZ by State 2nd Crop'!AL30+'BZ by State 3rd Crop'!AL30</f>
        <v>1504.8000000000002</v>
      </c>
      <c r="AM30" s="344">
        <f>'BZ by State 1st Crop'!AM30+'BZ by State 2nd Crop'!AM30+'BZ by State 3rd Crop'!AM30</f>
        <v>1366.5</v>
      </c>
      <c r="AN30" s="344">
        <f>'BZ by State 1st Crop'!AN30+'BZ by State 2nd Crop'!AN30+'BZ by State 3rd Crop'!AN30</f>
        <v>1953.8999999999999</v>
      </c>
      <c r="AO30" s="344">
        <f>'BZ by State 1st Crop'!AO30+'BZ by State 2nd Crop'!AO30+'BZ by State 3rd Crop'!AO30</f>
        <v>1961.3999999999999</v>
      </c>
      <c r="AP30" s="344">
        <f>'BZ by State 1st Crop'!AP30+'BZ by State 2nd Crop'!AP30+'BZ by State 3rd Crop'!AP30</f>
        <v>2385</v>
      </c>
      <c r="AQ30" s="344">
        <f>'BZ by State 1st Crop'!AQ30+'BZ by State 2nd Crop'!AQ30+'BZ by State 3rd Crop'!AQ30</f>
        <v>2227.1999999999998</v>
      </c>
      <c r="AR30" s="344">
        <f>'BZ by State 1st Crop'!AR30+'BZ by State 2nd Crop'!AR30+'BZ by State 3rd Crop'!AR30</f>
        <v>2784.6000000000004</v>
      </c>
      <c r="AS30" s="344">
        <f>'BZ by State 1st Crop'!AS30+'BZ by State 2nd Crop'!AS30+'BZ by State 3rd Crop'!AS30</f>
        <v>3012.3</v>
      </c>
      <c r="AT30" s="344">
        <f>'BZ by State 1st Crop'!AT30+'BZ by State 2nd Crop'!AT30+'BZ by State 3rd Crop'!AT30</f>
        <v>1114.732</v>
      </c>
      <c r="AU30" s="344">
        <f>'BZ by State 1st Crop'!AU30+'BZ by State 2nd Crop'!AU30+'BZ by State 3rd Crop'!AU30</f>
        <v>1181.4612999999999</v>
      </c>
      <c r="AV30" s="344">
        <f>'BZ by State 1st Crop'!AV30+'BZ by State 2nd Crop'!AV30+'BZ by State 3rd Crop'!AV30</f>
        <v>1486.3483999999999</v>
      </c>
      <c r="AW30" s="344">
        <f>'BZ by State 1st Crop'!AW30+'BZ by State 2nd Crop'!AW30+'BZ by State 3rd Crop'!AW30</f>
        <v>1759.5295000000001</v>
      </c>
      <c r="AX30" s="344">
        <f>'BZ by State 1st Crop'!AX30+'BZ by State 2nd Crop'!AX30+'BZ by State 3rd Crop'!AX30</f>
        <v>2154.5428000000002</v>
      </c>
      <c r="AY30" s="365">
        <f>'BZ by State 1st Crop'!AY30+'BZ by State 2nd Crop'!AY30+'BZ by State 3rd Crop'!AY30</f>
        <v>2050.3737999999998</v>
      </c>
      <c r="AZ30" s="366">
        <f>'BZ by State 1st Crop'!AZ30+'BZ by State 2nd Crop'!AZ30+'BZ by State 3rd Crop'!AZ30</f>
        <v>2070.8141999999998</v>
      </c>
      <c r="BA30" s="366">
        <f>AZ30-AY30</f>
        <v>20.440399999999954</v>
      </c>
      <c r="BB30" s="367">
        <f>AY30-AX30</f>
        <v>-104.16900000000032</v>
      </c>
      <c r="BC30" s="368">
        <f>AZ30-AX30</f>
        <v>-83.72860000000037</v>
      </c>
      <c r="BD30" s="353">
        <f t="shared" si="211"/>
        <v>-6.4828246200016371E-2</v>
      </c>
      <c r="BE30" s="309"/>
      <c r="BF30"/>
      <c r="BG30" s="308"/>
    </row>
    <row r="31" spans="1:63" ht="15" customHeight="1">
      <c r="A31" s="320" t="s">
        <v>361</v>
      </c>
      <c r="B31" s="356"/>
      <c r="C31" s="356"/>
      <c r="D31" s="356"/>
      <c r="E31" s="356"/>
      <c r="F31" s="356"/>
      <c r="G31" s="356"/>
      <c r="H31" s="356"/>
      <c r="I31" s="356"/>
      <c r="J31" s="356"/>
      <c r="K31" s="356"/>
      <c r="L31" s="356"/>
      <c r="M31" s="356"/>
      <c r="N31" s="356"/>
      <c r="O31" s="356"/>
      <c r="P31" s="356"/>
      <c r="Q31" s="356"/>
      <c r="R31" s="356"/>
      <c r="S31" s="356"/>
      <c r="T31" s="356"/>
      <c r="U31" s="356"/>
      <c r="V31" s="356"/>
      <c r="W31" s="356"/>
      <c r="X31" s="356"/>
      <c r="Y31" s="356"/>
      <c r="Z31" s="356"/>
      <c r="AA31" s="356"/>
      <c r="AB31" s="356"/>
      <c r="AC31" s="356"/>
      <c r="AD31" s="356"/>
      <c r="AE31" s="356"/>
      <c r="AF31" s="356"/>
      <c r="AG31" s="356"/>
      <c r="AH31" s="356"/>
      <c r="AI31" s="356"/>
      <c r="AJ31" s="356"/>
      <c r="AK31" s="356"/>
      <c r="AL31" s="356"/>
      <c r="AM31" s="356"/>
      <c r="AN31" s="356"/>
      <c r="AO31" s="356"/>
      <c r="AP31" s="356"/>
      <c r="AQ31" s="356"/>
      <c r="AR31" s="356"/>
      <c r="AS31" s="356"/>
      <c r="AT31" s="328"/>
      <c r="AU31" s="328"/>
      <c r="AV31" s="328"/>
      <c r="AW31" s="328"/>
      <c r="AX31" s="328"/>
      <c r="AY31" s="321"/>
      <c r="AZ31" s="328"/>
      <c r="BA31" s="329"/>
      <c r="BB31" s="321"/>
      <c r="BC31" s="328"/>
      <c r="BD31" s="329"/>
    </row>
    <row r="32" spans="1:63" ht="15" customHeight="1">
      <c r="A32" s="324" t="s">
        <v>352</v>
      </c>
      <c r="B32" s="344">
        <f>'BZ by State 1st Crop'!B32+'BZ by State 2nd Crop'!B32+'BZ by State 3rd Crop'!B32</f>
        <v>0</v>
      </c>
      <c r="C32" s="344">
        <f>'BZ by State 1st Crop'!C32+'BZ by State 2nd Crop'!C32+'BZ by State 3rd Crop'!C32</f>
        <v>0</v>
      </c>
      <c r="D32" s="344">
        <f>'BZ by State 1st Crop'!D32+'BZ by State 2nd Crop'!D32+'BZ by State 3rd Crop'!D32</f>
        <v>0</v>
      </c>
      <c r="E32" s="344">
        <f>'BZ by State 1st Crop'!E32+'BZ by State 2nd Crop'!E32+'BZ by State 3rd Crop'!E32</f>
        <v>0</v>
      </c>
      <c r="F32" s="344">
        <f>'BZ by State 1st Crop'!F32+'BZ by State 2nd Crop'!F32+'BZ by State 3rd Crop'!F32</f>
        <v>0</v>
      </c>
      <c r="G32" s="344">
        <f>'BZ by State 1st Crop'!G32+'BZ by State 2nd Crop'!G32+'BZ by State 3rd Crop'!G32</f>
        <v>0</v>
      </c>
      <c r="H32" s="344">
        <f>'BZ by State 1st Crop'!H32+'BZ by State 2nd Crop'!H32+'BZ by State 3rd Crop'!H32</f>
        <v>0</v>
      </c>
      <c r="I32" s="344">
        <f>'BZ by State 1st Crop'!I32+'BZ by State 2nd Crop'!I32+'BZ by State 3rd Crop'!I32</f>
        <v>0</v>
      </c>
      <c r="J32" s="344">
        <f>'BZ by State 1st Crop'!J32+'BZ by State 2nd Crop'!J32+'BZ by State 3rd Crop'!J32</f>
        <v>0</v>
      </c>
      <c r="K32" s="344">
        <f>'BZ by State 1st Crop'!K32+'BZ by State 2nd Crop'!K32+'BZ by State 3rd Crop'!K32</f>
        <v>0</v>
      </c>
      <c r="L32" s="344">
        <f>'BZ by State 1st Crop'!L32+'BZ by State 2nd Crop'!L32+'BZ by State 3rd Crop'!L32</f>
        <v>0</v>
      </c>
      <c r="M32" s="344">
        <f>'BZ by State 1st Crop'!M32+'BZ by State 2nd Crop'!M32+'BZ by State 3rd Crop'!M32</f>
        <v>97.4</v>
      </c>
      <c r="N32" s="344">
        <f>'BZ by State 1st Crop'!N32+'BZ by State 2nd Crop'!N32+'BZ by State 3rd Crop'!N32</f>
        <v>104.4</v>
      </c>
      <c r="O32" s="344">
        <f>'BZ by State 1st Crop'!O32+'BZ by State 2nd Crop'!O32+'BZ by State 3rd Crop'!O32</f>
        <v>77</v>
      </c>
      <c r="P32" s="344">
        <f>'BZ by State 1st Crop'!P32+'BZ by State 2nd Crop'!P32+'BZ by State 3rd Crop'!P32</f>
        <v>68</v>
      </c>
      <c r="Q32" s="344">
        <f>'BZ by State 1st Crop'!Q32+'BZ by State 2nd Crop'!Q32+'BZ by State 3rd Crop'!Q32</f>
        <v>71</v>
      </c>
      <c r="R32" s="344">
        <f>'BZ by State 1st Crop'!R32+'BZ by State 2nd Crop'!R32+'BZ by State 3rd Crop'!R32</f>
        <v>65</v>
      </c>
      <c r="S32" s="344">
        <f>'BZ by State 1st Crop'!S32+'BZ by State 2nd Crop'!S32+'BZ by State 3rd Crop'!S32</f>
        <v>65.3</v>
      </c>
      <c r="T32" s="344">
        <f>'BZ by State 1st Crop'!T32+'BZ by State 2nd Crop'!T32+'BZ by State 3rd Crop'!T32</f>
        <v>74</v>
      </c>
      <c r="U32" s="344">
        <f>'BZ by State 1st Crop'!U32+'BZ by State 2nd Crop'!U32+'BZ by State 3rd Crop'!U32</f>
        <v>72</v>
      </c>
      <c r="V32" s="344">
        <f>'BZ by State 1st Crop'!V32+'BZ by State 2nd Crop'!V32+'BZ by State 3rd Crop'!V32</f>
        <v>60</v>
      </c>
      <c r="W32" s="344">
        <f>'BZ by State 1st Crop'!W32+'BZ by State 2nd Crop'!W32+'BZ by State 3rd Crop'!W32</f>
        <v>55.2</v>
      </c>
      <c r="X32" s="344">
        <f>'BZ by State 1st Crop'!X32+'BZ by State 2nd Crop'!X32+'BZ by State 3rd Crop'!X32</f>
        <v>53</v>
      </c>
      <c r="Y32" s="344">
        <f>'BZ by State 1st Crop'!Y32+'BZ by State 2nd Crop'!Y32+'BZ by State 3rd Crop'!Y32</f>
        <v>57.5</v>
      </c>
      <c r="Z32" s="344">
        <f>'BZ by State 1st Crop'!Z32+'BZ by State 2nd Crop'!Z32+'BZ by State 3rd Crop'!Z32</f>
        <v>61.5</v>
      </c>
      <c r="AA32" s="344">
        <f>'BZ by State 1st Crop'!AA32+'BZ by State 2nd Crop'!AA32+'BZ by State 3rd Crop'!AA32</f>
        <v>63.3</v>
      </c>
      <c r="AB32" s="344">
        <f>'BZ by State 1st Crop'!AB32+'BZ by State 2nd Crop'!AB32+'BZ by State 3rd Crop'!AB32</f>
        <v>69</v>
      </c>
      <c r="AC32" s="344">
        <f>'BZ by State 1st Crop'!AC32+'BZ by State 2nd Crop'!AC32+'BZ by State 3rd Crop'!AC32</f>
        <v>77.900000000000006</v>
      </c>
      <c r="AD32" s="344">
        <f>'BZ by State 1st Crop'!AD32+'BZ by State 2nd Crop'!AD32+'BZ by State 3rd Crop'!AD32</f>
        <v>78.5</v>
      </c>
      <c r="AE32" s="344">
        <f>'BZ by State 1st Crop'!AE32+'BZ by State 2nd Crop'!AE32+'BZ by State 3rd Crop'!AE32</f>
        <v>75.400000000000006</v>
      </c>
      <c r="AF32" s="344">
        <f>'BZ by State 1st Crop'!AF32+'BZ by State 2nd Crop'!AF32+'BZ by State 3rd Crop'!AF32</f>
        <v>85.9</v>
      </c>
      <c r="AG32" s="344">
        <f>'BZ by State 1st Crop'!AG32+'BZ by State 2nd Crop'!AG32+'BZ by State 3rd Crop'!AG32</f>
        <v>96.3</v>
      </c>
      <c r="AH32" s="344">
        <f>'BZ by State 1st Crop'!AH32+'BZ by State 2nd Crop'!AH32+'BZ by State 3rd Crop'!AH32</f>
        <v>83.9</v>
      </c>
      <c r="AI32" s="344">
        <f>'BZ by State 1st Crop'!AI32+'BZ by State 2nd Crop'!AI32+'BZ by State 3rd Crop'!AI32</f>
        <v>77.7</v>
      </c>
      <c r="AJ32" s="344">
        <f>'BZ by State 1st Crop'!AJ32+'BZ by State 2nd Crop'!AJ32+'BZ by State 3rd Crop'!AJ32</f>
        <v>97.100000000000009</v>
      </c>
      <c r="AK32" s="344">
        <f>'BZ by State 1st Crop'!AK32+'BZ by State 2nd Crop'!AK32+'BZ by State 3rd Crop'!AK32</f>
        <v>103.6</v>
      </c>
      <c r="AL32" s="344">
        <f>'BZ by State 1st Crop'!AL32+'BZ by State 2nd Crop'!AL32+'BZ by State 3rd Crop'!AL32</f>
        <v>95.199999999999989</v>
      </c>
      <c r="AM32" s="344">
        <f>'BZ by State 1st Crop'!AM32+'BZ by State 2nd Crop'!AM32+'BZ by State 3rd Crop'!AM32</f>
        <v>151.9</v>
      </c>
      <c r="AN32" s="344">
        <f>'BZ by State 1st Crop'!AN32+'BZ by State 2nd Crop'!AN32+'BZ by State 3rd Crop'!AN32</f>
        <v>218.3</v>
      </c>
      <c r="AO32" s="344">
        <f>'BZ by State 1st Crop'!AO32+'BZ by State 2nd Crop'!AO32+'BZ by State 3rd Crop'!AO32</f>
        <v>167.6</v>
      </c>
      <c r="AP32" s="344">
        <f>'BZ by State 1st Crop'!AP32+'BZ by State 2nd Crop'!AP32+'BZ by State 3rd Crop'!AP32</f>
        <v>201.20000000000002</v>
      </c>
      <c r="AQ32" s="344">
        <f>'BZ by State 1st Crop'!AQ32+'BZ by State 2nd Crop'!AQ32+'BZ by State 3rd Crop'!AQ32</f>
        <v>211.10000000000002</v>
      </c>
      <c r="AR32" s="344">
        <f>'BZ by State 1st Crop'!AR32+'BZ by State 2nd Crop'!AR32+'BZ by State 3rd Crop'!AR32</f>
        <v>239.4</v>
      </c>
      <c r="AS32" s="344">
        <f>'BZ by State 1st Crop'!AS32+'BZ by State 2nd Crop'!AS32+'BZ by State 3rd Crop'!AS32</f>
        <v>282.3</v>
      </c>
      <c r="AT32" s="344">
        <f>'BZ by State 1st Crop'!AT32+'BZ by State 2nd Crop'!AT32+'BZ by State 3rd Crop'!AT32</f>
        <v>266.2</v>
      </c>
      <c r="AU32" s="344">
        <f>'BZ by State 1st Crop'!AU32+'BZ by State 2nd Crop'!AU32+'BZ by State 3rd Crop'!AU32</f>
        <v>370.09999999999997</v>
      </c>
      <c r="AV32" s="344">
        <f>'BZ by State 1st Crop'!AV32+'BZ by State 2nd Crop'!AV32+'BZ by State 3rd Crop'!AV32</f>
        <v>430.79999999999995</v>
      </c>
      <c r="AW32" s="344">
        <f>'BZ by State 1st Crop'!AW32+'BZ by State 2nd Crop'!AW32+'BZ by State 3rd Crop'!AW32</f>
        <v>395.2</v>
      </c>
      <c r="AX32" s="344">
        <f>'BZ by State 1st Crop'!AX32+'BZ by State 2nd Crop'!AX32+'BZ by State 3rd Crop'!AX32</f>
        <v>473</v>
      </c>
      <c r="AY32" s="369">
        <f>'BZ by State 1st Crop'!AY32+'BZ by State 2nd Crop'!AY32+'BZ by State 3rd Crop'!AY32</f>
        <v>514.1</v>
      </c>
      <c r="AZ32" s="366">
        <f>'BZ by State 1st Crop'!AZ32+'BZ by State 2nd Crop'!AZ32+'BZ by State 3rd Crop'!AZ32</f>
        <v>514.1</v>
      </c>
      <c r="BA32" s="366">
        <f>AZ32-AY32</f>
        <v>0</v>
      </c>
      <c r="BB32" s="367">
        <f>AY32-AX32</f>
        <v>41.100000000000023</v>
      </c>
      <c r="BC32" s="368">
        <f>AZ32-AX32</f>
        <v>41.100000000000023</v>
      </c>
      <c r="BD32" s="353">
        <f>(AX32/AS32)^(1/5)-1</f>
        <v>0.10874085950804968</v>
      </c>
      <c r="BF32" s="319" t="b">
        <v>0</v>
      </c>
      <c r="BH32" s="311"/>
      <c r="BI32" s="311"/>
      <c r="BJ32" s="311"/>
      <c r="BK32" s="311"/>
    </row>
    <row r="33" spans="1:63" ht="15" customHeight="1">
      <c r="A33" s="324" t="s">
        <v>353</v>
      </c>
      <c r="B33" s="345" t="e">
        <f t="shared" ref="B33" si="212">B34/B32*1000</f>
        <v>#DIV/0!</v>
      </c>
      <c r="C33" s="345" t="e">
        <f t="shared" ref="C33" si="213">C34/C32*1000</f>
        <v>#DIV/0!</v>
      </c>
      <c r="D33" s="345" t="e">
        <f t="shared" ref="D33" si="214">D34/D32*1000</f>
        <v>#DIV/0!</v>
      </c>
      <c r="E33" s="345" t="e">
        <f t="shared" ref="E33" si="215">E34/E32*1000</f>
        <v>#DIV/0!</v>
      </c>
      <c r="F33" s="345" t="e">
        <f t="shared" ref="F33" si="216">F34/F32*1000</f>
        <v>#DIV/0!</v>
      </c>
      <c r="G33" s="345" t="e">
        <f t="shared" ref="G33" si="217">G34/G32*1000</f>
        <v>#DIV/0!</v>
      </c>
      <c r="H33" s="345" t="e">
        <f t="shared" ref="H33" si="218">H34/H32*1000</f>
        <v>#DIV/0!</v>
      </c>
      <c r="I33" s="345" t="e">
        <f t="shared" ref="I33" si="219">I34/I32*1000</f>
        <v>#DIV/0!</v>
      </c>
      <c r="J33" s="345" t="e">
        <f t="shared" ref="J33" si="220">J34/J32*1000</f>
        <v>#DIV/0!</v>
      </c>
      <c r="K33" s="345" t="e">
        <f t="shared" ref="K33" si="221">K34/K32*1000</f>
        <v>#DIV/0!</v>
      </c>
      <c r="L33" s="345" t="e">
        <f t="shared" ref="L33" si="222">L34/L32*1000</f>
        <v>#DIV/0!</v>
      </c>
      <c r="M33" s="345">
        <f t="shared" ref="M33" si="223">M34/M32*1000</f>
        <v>6283.3675564681726</v>
      </c>
      <c r="N33" s="345">
        <f t="shared" ref="N33" si="224">N34/N32*1000</f>
        <v>6235.6321839080456</v>
      </c>
      <c r="O33" s="345">
        <f t="shared" ref="O33" si="225">O34/O32*1000</f>
        <v>7987.0129870129867</v>
      </c>
      <c r="P33" s="345">
        <f t="shared" ref="P33" si="226">P34/P32*1000</f>
        <v>9035.2941176470613</v>
      </c>
      <c r="Q33" s="345">
        <f t="shared" ref="Q33" si="227">Q34/Q32*1000</f>
        <v>11159.154929577466</v>
      </c>
      <c r="R33" s="345">
        <f t="shared" ref="R33" si="228">R34/R32*1000</f>
        <v>13790.769230769232</v>
      </c>
      <c r="S33" s="345">
        <f t="shared" ref="S33" si="229">S34/S32*1000</f>
        <v>17830.015313935684</v>
      </c>
      <c r="T33" s="345">
        <f t="shared" ref="T33" si="230">T34/T32*1000</f>
        <v>15470.270270270274</v>
      </c>
      <c r="U33" s="345">
        <f t="shared" ref="U33" si="231">U34/U32*1000</f>
        <v>16112.499999999996</v>
      </c>
      <c r="V33" s="345">
        <f t="shared" ref="V33" si="232">V34/V32*1000</f>
        <v>19325</v>
      </c>
      <c r="W33" s="345">
        <f t="shared" ref="W33" si="233">W34/W32*1000</f>
        <v>14364.13043478261</v>
      </c>
      <c r="X33" s="345">
        <f t="shared" ref="X33" si="234">X34/X32*1000</f>
        <v>12294.339622641508</v>
      </c>
      <c r="Y33" s="345">
        <f t="shared" ref="Y33" si="235">Y34/Y32*1000</f>
        <v>11707.826086956522</v>
      </c>
      <c r="Z33" s="345">
        <f t="shared" ref="Z33" si="236">Z34/Z32*1000</f>
        <v>10063.414634146342</v>
      </c>
      <c r="AA33" s="345">
        <f t="shared" ref="AA33" si="237">AA34/AA32*1000</f>
        <v>8454.9763033175368</v>
      </c>
      <c r="AB33" s="345">
        <f t="shared" ref="AB33" si="238">AB34/AB32*1000</f>
        <v>8000</v>
      </c>
      <c r="AC33" s="345">
        <f t="shared" ref="AC33" si="239">AC34/AC32*1000</f>
        <v>10605.905006418483</v>
      </c>
      <c r="AD33" s="345">
        <f t="shared" ref="AD33" si="240">AD34/AD32*1000</f>
        <v>10234.394904458601</v>
      </c>
      <c r="AE33" s="345">
        <f t="shared" ref="AE33" si="241">AE34/AE32*1000</f>
        <v>11387.267904509281</v>
      </c>
      <c r="AF33" s="345">
        <f t="shared" ref="AF33" si="242">AF34/AF32*1000</f>
        <v>10561.117578579742</v>
      </c>
      <c r="AG33" s="345">
        <f t="shared" ref="AG33" si="243">AG34/AG32*1000</f>
        <v>11959.501557632397</v>
      </c>
      <c r="AH33" s="345">
        <f t="shared" ref="AH33" si="244">AH34/AH32*1000</f>
        <v>11706.793802145408</v>
      </c>
      <c r="AI33" s="345">
        <f t="shared" ref="AI33" si="245">AI34/AI32*1000</f>
        <v>14447.876447876446</v>
      </c>
      <c r="AJ33" s="345">
        <f t="shared" ref="AJ33" si="246">AJ34/AJ32*1000</f>
        <v>10841.400617919668</v>
      </c>
      <c r="AK33" s="345">
        <f t="shared" ref="AK33" si="247">AK34/AK32*1000</f>
        <v>13138.030888030888</v>
      </c>
      <c r="AL33" s="345">
        <f t="shared" ref="AL33" si="248">AL34/AL32*1000</f>
        <v>15806.722689075634</v>
      </c>
      <c r="AM33" s="345">
        <f t="shared" ref="AM33" si="249">AM34/AM32*1000</f>
        <v>8996.0500329163915</v>
      </c>
      <c r="AN33" s="345">
        <f t="shared" ref="AN33" si="250">AN34/AN32*1000</f>
        <v>8950.526797984423</v>
      </c>
      <c r="AO33" s="345">
        <f t="shared" ref="AO33" si="251">AO34/AO32*1000</f>
        <v>11702.863961813842</v>
      </c>
      <c r="AP33" s="345">
        <f t="shared" ref="AP33" si="252">AP34/AP32*1000</f>
        <v>11853.876739562624</v>
      </c>
      <c r="AQ33" s="345">
        <f t="shared" ref="AQ33" si="253">AQ34/AQ32*1000</f>
        <v>10550.450023685455</v>
      </c>
      <c r="AR33" s="345">
        <f t="shared" ref="AR33" si="254">AR34/AR32*1000</f>
        <v>11631.578947368424</v>
      </c>
      <c r="AS33" s="345">
        <f t="shared" ref="AS33" si="255">AS34/AS32*1000</f>
        <v>10670.563230605738</v>
      </c>
      <c r="AT33" s="345">
        <f t="shared" ref="AT33" si="256">AT34/AT32*1000</f>
        <v>4190.8869271224648</v>
      </c>
      <c r="AU33" s="345">
        <f t="shared" ref="AU33" si="257">AU34/AU32*1000</f>
        <v>5078.8559848689556</v>
      </c>
      <c r="AV33" s="345">
        <f t="shared" ref="AV33" si="258">AV34/AV32*1000</f>
        <v>4758.6350974930365</v>
      </c>
      <c r="AW33" s="345">
        <f t="shared" ref="AW33" si="259">AW34/AW32*1000</f>
        <v>5335.0523785425103</v>
      </c>
      <c r="AX33" s="345">
        <f t="shared" ref="AX33" si="260">AX34/AX32*1000</f>
        <v>5629.9183932346732</v>
      </c>
      <c r="AY33" s="346">
        <f t="shared" ref="AY33:AZ33" si="261">AY34/AY32*1000</f>
        <v>5381.2678467224268</v>
      </c>
      <c r="AZ33" s="347">
        <f t="shared" si="261"/>
        <v>5435.1277961486094</v>
      </c>
      <c r="BA33" s="347">
        <f>AZ33-AY33</f>
        <v>53.859949426182538</v>
      </c>
      <c r="BB33" s="351">
        <f>AY33-AX33</f>
        <v>-248.65054651224636</v>
      </c>
      <c r="BC33" s="352">
        <f>AZ33-AX33</f>
        <v>-194.79059708606383</v>
      </c>
      <c r="BD33" s="353">
        <f t="shared" ref="BD33:BD34" si="262">(AX33/AS33)^(1/5)-1</f>
        <v>-0.12003995913295451</v>
      </c>
    </row>
    <row r="34" spans="1:63" ht="15" customHeight="1" thickBot="1">
      <c r="A34" s="324" t="s">
        <v>354</v>
      </c>
      <c r="B34" s="344">
        <f>'BZ by State 1st Crop'!B34+'BZ by State 2nd Crop'!B34+'BZ by State 3rd Crop'!B34</f>
        <v>0</v>
      </c>
      <c r="C34" s="344">
        <f>'BZ by State 1st Crop'!C34+'BZ by State 2nd Crop'!C34+'BZ by State 3rd Crop'!C34</f>
        <v>162</v>
      </c>
      <c r="D34" s="344">
        <f>'BZ by State 1st Crop'!D34+'BZ by State 2nd Crop'!D34+'BZ by State 3rd Crop'!D34</f>
        <v>159</v>
      </c>
      <c r="E34" s="344">
        <f>'BZ by State 1st Crop'!E34+'BZ by State 2nd Crop'!E34+'BZ by State 3rd Crop'!E34</f>
        <v>324</v>
      </c>
      <c r="F34" s="344">
        <f>'BZ by State 1st Crop'!F34+'BZ by State 2nd Crop'!F34+'BZ by State 3rd Crop'!F34</f>
        <v>336</v>
      </c>
      <c r="G34" s="344">
        <f>'BZ by State 1st Crop'!G34+'BZ by State 2nd Crop'!G34+'BZ by State 3rd Crop'!G34</f>
        <v>408</v>
      </c>
      <c r="H34" s="344">
        <f>'BZ by State 1st Crop'!H34+'BZ by State 2nd Crop'!H34+'BZ by State 3rd Crop'!H34</f>
        <v>291</v>
      </c>
      <c r="I34" s="344">
        <f>'BZ by State 1st Crop'!I34+'BZ by State 2nd Crop'!I34+'BZ by State 3rd Crop'!I34</f>
        <v>492</v>
      </c>
      <c r="J34" s="344">
        <f>'BZ by State 1st Crop'!J34+'BZ by State 2nd Crop'!J34+'BZ by State 3rd Crop'!J34</f>
        <v>438</v>
      </c>
      <c r="K34" s="344">
        <f>'BZ by State 1st Crop'!K34+'BZ by State 2nd Crop'!K34+'BZ by State 3rd Crop'!K34</f>
        <v>570</v>
      </c>
      <c r="L34" s="344">
        <f>'BZ by State 1st Crop'!L34+'BZ by State 2nd Crop'!L34+'BZ by State 3rd Crop'!L34</f>
        <v>537</v>
      </c>
      <c r="M34" s="344">
        <f>'BZ by State 1st Crop'!M34+'BZ by State 2nd Crop'!M34+'BZ by State 3rd Crop'!M34</f>
        <v>612</v>
      </c>
      <c r="N34" s="344">
        <f>'BZ by State 1st Crop'!N34+'BZ by State 2nd Crop'!N34+'BZ by State 3rd Crop'!N34</f>
        <v>651</v>
      </c>
      <c r="O34" s="344">
        <f>'BZ by State 1st Crop'!O34+'BZ by State 2nd Crop'!O34+'BZ by State 3rd Crop'!O34</f>
        <v>615</v>
      </c>
      <c r="P34" s="344">
        <f>'BZ by State 1st Crop'!P34+'BZ by State 2nd Crop'!P34+'BZ by State 3rd Crop'!P34</f>
        <v>614.40000000000009</v>
      </c>
      <c r="Q34" s="344">
        <f>'BZ by State 1st Crop'!Q34+'BZ by State 2nd Crop'!Q34+'BZ by State 3rd Crop'!Q34</f>
        <v>792.30000000000007</v>
      </c>
      <c r="R34" s="344">
        <f>'BZ by State 1st Crop'!R34+'BZ by State 2nd Crop'!R34+'BZ by State 3rd Crop'!R34</f>
        <v>896.40000000000009</v>
      </c>
      <c r="S34" s="344">
        <f>'BZ by State 1st Crop'!S34+'BZ by State 2nd Crop'!S34+'BZ by State 3rd Crop'!S34</f>
        <v>1164.3000000000002</v>
      </c>
      <c r="T34" s="344">
        <f>'BZ by State 1st Crop'!T34+'BZ by State 2nd Crop'!T34+'BZ by State 3rd Crop'!T34</f>
        <v>1144.8000000000002</v>
      </c>
      <c r="U34" s="344">
        <f>'BZ by State 1st Crop'!U34+'BZ by State 2nd Crop'!U34+'BZ by State 3rd Crop'!U34</f>
        <v>1160.0999999999999</v>
      </c>
      <c r="V34" s="344">
        <f>'BZ by State 1st Crop'!V34+'BZ by State 2nd Crop'!V34+'BZ by State 3rd Crop'!V34</f>
        <v>1159.5</v>
      </c>
      <c r="W34" s="344">
        <f>'BZ by State 1st Crop'!W34+'BZ by State 2nd Crop'!W34+'BZ by State 3rd Crop'!W34</f>
        <v>792.90000000000009</v>
      </c>
      <c r="X34" s="344">
        <f>'BZ by State 1st Crop'!X34+'BZ by State 2nd Crop'!X34+'BZ by State 3rd Crop'!X34</f>
        <v>651.59999999999991</v>
      </c>
      <c r="Y34" s="344">
        <f>'BZ by State 1st Crop'!Y34+'BZ by State 2nd Crop'!Y34+'BZ by State 3rd Crop'!Y34</f>
        <v>673.2</v>
      </c>
      <c r="Z34" s="344">
        <f>'BZ by State 1st Crop'!Z34+'BZ by State 2nd Crop'!Z34+'BZ by State 3rd Crop'!Z34</f>
        <v>618.90000000000009</v>
      </c>
      <c r="AA34" s="344">
        <f>'BZ by State 1st Crop'!AA34+'BZ by State 2nd Crop'!AA34+'BZ by State 3rd Crop'!AA34</f>
        <v>535.20000000000005</v>
      </c>
      <c r="AB34" s="344">
        <f>'BZ by State 1st Crop'!AB34+'BZ by State 2nd Crop'!AB34+'BZ by State 3rd Crop'!AB34</f>
        <v>552</v>
      </c>
      <c r="AC34" s="344">
        <f>'BZ by State 1st Crop'!AC34+'BZ by State 2nd Crop'!AC34+'BZ by State 3rd Crop'!AC34</f>
        <v>826.19999999999993</v>
      </c>
      <c r="AD34" s="344">
        <f>'BZ by State 1st Crop'!AD34+'BZ by State 2nd Crop'!AD34+'BZ by State 3rd Crop'!AD34</f>
        <v>803.40000000000009</v>
      </c>
      <c r="AE34" s="344">
        <f>'BZ by State 1st Crop'!AE34+'BZ by State 2nd Crop'!AE34+'BZ by State 3rd Crop'!AE34</f>
        <v>858.59999999999991</v>
      </c>
      <c r="AF34" s="344">
        <f>'BZ by State 1st Crop'!AF34+'BZ by State 2nd Crop'!AF34+'BZ by State 3rd Crop'!AF34</f>
        <v>907.19999999999993</v>
      </c>
      <c r="AG34" s="344">
        <f>'BZ by State 1st Crop'!AG34+'BZ by State 2nd Crop'!AG34+'BZ by State 3rd Crop'!AG34</f>
        <v>1151.6999999999998</v>
      </c>
      <c r="AH34" s="344">
        <f>'BZ by State 1st Crop'!AH34+'BZ by State 2nd Crop'!AH34+'BZ by State 3rd Crop'!AH34</f>
        <v>982.19999999999993</v>
      </c>
      <c r="AI34" s="344">
        <f>'BZ by State 1st Crop'!AI34+'BZ by State 2nd Crop'!AI34+'BZ by State 3rd Crop'!AI34</f>
        <v>1122.5999999999999</v>
      </c>
      <c r="AJ34" s="344">
        <f>'BZ by State 1st Crop'!AJ34+'BZ by State 2nd Crop'!AJ34+'BZ by State 3rd Crop'!AJ34</f>
        <v>1052.6999999999998</v>
      </c>
      <c r="AK34" s="344">
        <f>'BZ by State 1st Crop'!AK34+'BZ by State 2nd Crop'!AK34+'BZ by State 3rd Crop'!AK34</f>
        <v>1361.1</v>
      </c>
      <c r="AL34" s="344">
        <f>'BZ by State 1st Crop'!AL34+'BZ by State 2nd Crop'!AL34+'BZ by State 3rd Crop'!AL34</f>
        <v>1504.8000000000002</v>
      </c>
      <c r="AM34" s="344">
        <f>'BZ by State 1st Crop'!AM34+'BZ by State 2nd Crop'!AM34+'BZ by State 3rd Crop'!AM34</f>
        <v>1366.5</v>
      </c>
      <c r="AN34" s="344">
        <f>'BZ by State 1st Crop'!AN34+'BZ by State 2nd Crop'!AN34+'BZ by State 3rd Crop'!AN34</f>
        <v>1953.8999999999999</v>
      </c>
      <c r="AO34" s="344">
        <f>'BZ by State 1st Crop'!AO34+'BZ by State 2nd Crop'!AO34+'BZ by State 3rd Crop'!AO34</f>
        <v>1961.3999999999999</v>
      </c>
      <c r="AP34" s="344">
        <f>'BZ by State 1st Crop'!AP34+'BZ by State 2nd Crop'!AP34+'BZ by State 3rd Crop'!AP34</f>
        <v>2385</v>
      </c>
      <c r="AQ34" s="344">
        <f>'BZ by State 1st Crop'!AQ34+'BZ by State 2nd Crop'!AQ34+'BZ by State 3rd Crop'!AQ34</f>
        <v>2227.1999999999998</v>
      </c>
      <c r="AR34" s="344">
        <f>'BZ by State 1st Crop'!AR34+'BZ by State 2nd Crop'!AR34+'BZ by State 3rd Crop'!AR34</f>
        <v>2784.6000000000004</v>
      </c>
      <c r="AS34" s="344">
        <f>'BZ by State 1st Crop'!AS34+'BZ by State 2nd Crop'!AS34+'BZ by State 3rd Crop'!AS34</f>
        <v>3012.3</v>
      </c>
      <c r="AT34" s="344">
        <f>'BZ by State 1st Crop'!AT34+'BZ by State 2nd Crop'!AT34+'BZ by State 3rd Crop'!AT34</f>
        <v>1115.6141</v>
      </c>
      <c r="AU34" s="344">
        <f>'BZ by State 1st Crop'!AU34+'BZ by State 2nd Crop'!AU34+'BZ by State 3rd Crop'!AU34</f>
        <v>1879.6846</v>
      </c>
      <c r="AV34" s="344">
        <f>'BZ by State 1st Crop'!AV34+'BZ by State 2nd Crop'!AV34+'BZ by State 3rd Crop'!AV34</f>
        <v>2050.02</v>
      </c>
      <c r="AW34" s="344">
        <f>'BZ by State 1st Crop'!AW34+'BZ by State 2nd Crop'!AW34+'BZ by State 3rd Crop'!AW34</f>
        <v>2108.4126999999999</v>
      </c>
      <c r="AX34" s="344">
        <f>'BZ by State 1st Crop'!AX34+'BZ by State 2nd Crop'!AX34+'BZ by State 3rd Crop'!AX34</f>
        <v>2662.9514000000004</v>
      </c>
      <c r="AY34" s="365">
        <f>'BZ by State 1st Crop'!AY34+'BZ by State 2nd Crop'!AY34+'BZ by State 3rd Crop'!AY34</f>
        <v>2766.5097999999998</v>
      </c>
      <c r="AZ34" s="366">
        <f>'BZ by State 1st Crop'!AZ34+'BZ by State 2nd Crop'!AZ34+'BZ by State 3rd Crop'!AZ34</f>
        <v>2794.1992000000005</v>
      </c>
      <c r="BA34" s="366">
        <f>AZ34-AY34</f>
        <v>27.68940000000066</v>
      </c>
      <c r="BB34" s="367">
        <f>AY34-AX34</f>
        <v>103.55839999999944</v>
      </c>
      <c r="BC34" s="368">
        <f>AZ34-AX34</f>
        <v>131.2478000000001</v>
      </c>
      <c r="BD34" s="353">
        <f t="shared" si="262"/>
        <v>-2.4352347956333342E-2</v>
      </c>
      <c r="BH34" s="311"/>
      <c r="BI34" s="311"/>
      <c r="BJ34" s="311"/>
      <c r="BK34" s="311"/>
    </row>
    <row r="35" spans="1:63" s="311" customFormat="1" ht="15" customHeight="1" thickBot="1">
      <c r="A35" s="331" t="s">
        <v>362</v>
      </c>
      <c r="B35" s="357"/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357"/>
      <c r="N35" s="357"/>
      <c r="O35" s="357"/>
      <c r="P35" s="357"/>
      <c r="Q35" s="357"/>
      <c r="R35" s="357"/>
      <c r="S35" s="357"/>
      <c r="T35" s="357"/>
      <c r="U35" s="357"/>
      <c r="V35" s="357"/>
      <c r="W35" s="357"/>
      <c r="X35" s="357"/>
      <c r="Y35" s="357"/>
      <c r="Z35" s="357"/>
      <c r="AA35" s="357"/>
      <c r="AB35" s="357"/>
      <c r="AC35" s="357"/>
      <c r="AD35" s="357"/>
      <c r="AE35" s="357"/>
      <c r="AF35" s="358"/>
      <c r="AG35" s="358"/>
      <c r="AH35" s="358"/>
      <c r="AI35" s="358"/>
      <c r="AJ35" s="358"/>
      <c r="AK35" s="358"/>
      <c r="AL35" s="358"/>
      <c r="AM35" s="358"/>
      <c r="AN35" s="358"/>
      <c r="AO35" s="358"/>
      <c r="AP35" s="358"/>
      <c r="AQ35" s="358"/>
      <c r="AR35" s="358"/>
      <c r="AS35" s="358"/>
      <c r="AT35" s="333"/>
      <c r="AU35" s="333"/>
      <c r="AV35" s="333"/>
      <c r="AW35" s="333"/>
      <c r="AX35" s="333"/>
      <c r="AY35" s="332"/>
      <c r="AZ35" s="333"/>
      <c r="BA35" s="334"/>
      <c r="BB35" s="332"/>
      <c r="BC35" s="333"/>
      <c r="BD35" s="334"/>
      <c r="BE35" s="309"/>
      <c r="BF35"/>
      <c r="BG35" s="308"/>
      <c r="BH35" s="309"/>
      <c r="BI35" s="309"/>
      <c r="BJ35" s="309"/>
      <c r="BK35" s="309"/>
    </row>
    <row r="36" spans="1:63" s="311" customFormat="1" ht="15" customHeight="1">
      <c r="A36" s="324" t="s">
        <v>352</v>
      </c>
      <c r="B36" s="344">
        <f>'BZ by State 1st Crop'!B36+'BZ by State 2nd Crop'!B36+'BZ by State 3rd Crop'!B36</f>
        <v>2486.1</v>
      </c>
      <c r="C36" s="344">
        <f>'BZ by State 1st Crop'!C36+'BZ by State 2nd Crop'!C36+'BZ by State 3rd Crop'!C36</f>
        <v>2324.9</v>
      </c>
      <c r="D36" s="344">
        <f>'BZ by State 1st Crop'!D36+'BZ by State 2nd Crop'!D36+'BZ by State 3rd Crop'!D36</f>
        <v>2076</v>
      </c>
      <c r="E36" s="344">
        <f>'BZ by State 1st Crop'!E36+'BZ by State 2nd Crop'!E36+'BZ by State 3rd Crop'!E36</f>
        <v>2778</v>
      </c>
      <c r="F36" s="344">
        <f>'BZ by State 1st Crop'!F36+'BZ by State 2nd Crop'!F36+'BZ by State 3rd Crop'!F36</f>
        <v>2995</v>
      </c>
      <c r="G36" s="344">
        <f>'BZ by State 1st Crop'!G36+'BZ by State 2nd Crop'!G36+'BZ by State 3rd Crop'!G36</f>
        <v>3023.2000000000003</v>
      </c>
      <c r="H36" s="344">
        <f>'BZ by State 1st Crop'!H36+'BZ by State 2nd Crop'!H36+'BZ by State 3rd Crop'!H36</f>
        <v>2548.1000000000004</v>
      </c>
      <c r="I36" s="344">
        <f>'BZ by State 1st Crop'!I36+'BZ by State 2nd Crop'!I36+'BZ by State 3rd Crop'!I36</f>
        <v>2501.4</v>
      </c>
      <c r="J36" s="344">
        <f>'BZ by State 1st Crop'!J36+'BZ by State 2nd Crop'!J36+'BZ by State 3rd Crop'!J36</f>
        <v>2705.2</v>
      </c>
      <c r="K36" s="344">
        <f>'BZ by State 1st Crop'!K36+'BZ by State 2nd Crop'!K36+'BZ by State 3rd Crop'!K36</f>
        <v>3156.6</v>
      </c>
      <c r="L36" s="344">
        <f>'BZ by State 1st Crop'!L36+'BZ by State 2nd Crop'!L36+'BZ by State 3rd Crop'!L36</f>
        <v>3399.2999999999997</v>
      </c>
      <c r="M36" s="344">
        <f>'BZ by State 1st Crop'!M36+'BZ by State 2nd Crop'!M36+'BZ by State 3rd Crop'!M36</f>
        <v>3398</v>
      </c>
      <c r="N36" s="344">
        <f>'BZ by State 1st Crop'!N36+'BZ by State 2nd Crop'!N36+'BZ by State 3rd Crop'!N36</f>
        <v>3122</v>
      </c>
      <c r="O36" s="344">
        <f>'BZ by State 1st Crop'!O36+'BZ by State 2nd Crop'!O36+'BZ by State 3rd Crop'!O36</f>
        <v>2615.4</v>
      </c>
      <c r="P36" s="344">
        <f>'BZ by State 1st Crop'!P36+'BZ by State 2nd Crop'!P36+'BZ by State 3rd Crop'!P36</f>
        <v>3002.5</v>
      </c>
      <c r="Q36" s="344">
        <f>'BZ by State 1st Crop'!Q36+'BZ by State 2nd Crop'!Q36+'BZ by State 3rd Crop'!Q36</f>
        <v>3095.2</v>
      </c>
      <c r="R36" s="344">
        <f>'BZ by State 1st Crop'!R36+'BZ by State 2nd Crop'!R36+'BZ by State 3rd Crop'!R36</f>
        <v>2156.1</v>
      </c>
      <c r="S36" s="344">
        <f>'BZ by State 1st Crop'!S36+'BZ by State 2nd Crop'!S36+'BZ by State 3rd Crop'!S36</f>
        <v>3185.9</v>
      </c>
      <c r="T36" s="344">
        <f>'BZ by State 1st Crop'!T36+'BZ by State 2nd Crop'!T36+'BZ by State 3rd Crop'!T36</f>
        <v>3221.0000000000005</v>
      </c>
      <c r="U36" s="344">
        <f>'BZ by State 1st Crop'!U36+'BZ by State 2nd Crop'!U36+'BZ by State 3rd Crop'!U36</f>
        <v>3330.6999999999994</v>
      </c>
      <c r="V36" s="344">
        <f>'BZ by State 1st Crop'!V36+'BZ by State 2nd Crop'!V36+'BZ by State 3rd Crop'!V36</f>
        <v>3163.2000000000003</v>
      </c>
      <c r="W36" s="344">
        <f>'BZ by State 1st Crop'!W36+'BZ by State 2nd Crop'!W36+'BZ by State 3rd Crop'!W36</f>
        <v>2050.3000000000002</v>
      </c>
      <c r="X36" s="344">
        <f>'BZ by State 1st Crop'!X36+'BZ by State 2nd Crop'!X36+'BZ by State 3rd Crop'!X36</f>
        <v>2487.4</v>
      </c>
      <c r="Y36" s="344">
        <f>'BZ by State 1st Crop'!Y36+'BZ by State 2nd Crop'!Y36+'BZ by State 3rd Crop'!Y36</f>
        <v>2587.4</v>
      </c>
      <c r="Z36" s="344">
        <f>'BZ by State 1st Crop'!Z36+'BZ by State 2nd Crop'!Z36+'BZ by State 3rd Crop'!Z36</f>
        <v>2580.1999999999998</v>
      </c>
      <c r="AA36" s="344">
        <f>'BZ by State 1st Crop'!AA36+'BZ by State 2nd Crop'!AA36+'BZ by State 3rd Crop'!AA36</f>
        <v>2680.6</v>
      </c>
      <c r="AB36" s="344">
        <f>'BZ by State 1st Crop'!AB36+'BZ by State 2nd Crop'!AB36+'BZ by State 3rd Crop'!AB36</f>
        <v>2894.9</v>
      </c>
      <c r="AC36" s="344">
        <f>'BZ by State 1st Crop'!AC36+'BZ by State 2nd Crop'!AC36+'BZ by State 3rd Crop'!AC36</f>
        <v>2887</v>
      </c>
      <c r="AD36" s="344">
        <f>'BZ by State 1st Crop'!AD36+'BZ by State 2nd Crop'!AD36+'BZ by State 3rd Crop'!AD36</f>
        <v>2749.6</v>
      </c>
      <c r="AE36" s="344">
        <f>'BZ by State 1st Crop'!AE36+'BZ by State 2nd Crop'!AE36+'BZ by State 3rd Crop'!AE36</f>
        <v>2850.9</v>
      </c>
      <c r="AF36" s="344">
        <f>'BZ by State 1st Crop'!AF36+'BZ by State 2nd Crop'!AF36+'BZ by State 3rd Crop'!AF36</f>
        <v>2961.6</v>
      </c>
      <c r="AG36" s="344">
        <f>'BZ by State 1st Crop'!AG36+'BZ by State 2nd Crop'!AG36+'BZ by State 3rd Crop'!AG36</f>
        <v>2981.6</v>
      </c>
      <c r="AH36" s="344">
        <f>'BZ by State 1st Crop'!AH36+'BZ by State 2nd Crop'!AH36+'BZ by State 3rd Crop'!AH36</f>
        <v>3030</v>
      </c>
      <c r="AI36" s="344">
        <f>'BZ by State 1st Crop'!AI36+'BZ by State 2nd Crop'!AI36+'BZ by State 3rd Crop'!AI36</f>
        <v>2648.7</v>
      </c>
      <c r="AJ36" s="344">
        <f>'BZ by State 1st Crop'!AJ36+'BZ by State 2nd Crop'!AJ36+'BZ by State 3rd Crop'!AJ36</f>
        <v>3147.7000000000003</v>
      </c>
      <c r="AK36" s="344">
        <f>'BZ by State 1st Crop'!AK36+'BZ by State 2nd Crop'!AK36+'BZ by State 3rd Crop'!AK36</f>
        <v>2421.5</v>
      </c>
      <c r="AL36" s="344">
        <f>'BZ by State 1st Crop'!AL36+'BZ by State 2nd Crop'!AL36+'BZ by State 3rd Crop'!AL36</f>
        <v>2325.5</v>
      </c>
      <c r="AM36" s="344">
        <f>'BZ by State 1st Crop'!AM36+'BZ by State 2nd Crop'!AM36+'BZ by State 3rd Crop'!AM36</f>
        <v>2899.7000000000003</v>
      </c>
      <c r="AN36" s="344">
        <f>'BZ by State 1st Crop'!AN36+'BZ by State 2nd Crop'!AN36+'BZ by State 3rd Crop'!AN36</f>
        <v>2675.4000000000005</v>
      </c>
      <c r="AO36" s="344">
        <f>'BZ by State 1st Crop'!AO36+'BZ by State 2nd Crop'!AO36+'BZ by State 3rd Crop'!AO36</f>
        <v>2358</v>
      </c>
      <c r="AP36" s="344">
        <f>'BZ by State 1st Crop'!AP36+'BZ by State 2nd Crop'!AP36+'BZ by State 3rd Crop'!AP36</f>
        <v>2602.9</v>
      </c>
      <c r="AQ36" s="344">
        <f>'BZ by State 1st Crop'!AQ36+'BZ by State 2nd Crop'!AQ36+'BZ by State 3rd Crop'!AQ36</f>
        <v>2652.6</v>
      </c>
      <c r="AR36" s="344">
        <f>'BZ by State 1st Crop'!AR36+'BZ by State 2nd Crop'!AR36+'BZ by State 3rd Crop'!AR36</f>
        <v>2506.5</v>
      </c>
      <c r="AS36" s="344">
        <f>'BZ by State 1st Crop'!AS36+'BZ by State 2nd Crop'!AS36+'BZ by State 3rd Crop'!AS36</f>
        <v>2627.3</v>
      </c>
      <c r="AT36" s="344">
        <f>'BZ by State 1st Crop'!AT36+'BZ by State 2nd Crop'!AT36+'BZ by State 3rd Crop'!AT36</f>
        <v>2899.8999999999996</v>
      </c>
      <c r="AU36" s="344">
        <f>'BZ by State 1st Crop'!AU36+'BZ by State 2nd Crop'!AU36+'BZ by State 3rd Crop'!AU36</f>
        <v>3167.2</v>
      </c>
      <c r="AV36" s="344">
        <f>'BZ by State 1st Crop'!AV36+'BZ by State 2nd Crop'!AV36+'BZ by State 3rd Crop'!AV36</f>
        <v>3300.7</v>
      </c>
      <c r="AW36" s="344">
        <f>'BZ by State 1st Crop'!AW36+'BZ by State 2nd Crop'!AW36+'BZ by State 3rd Crop'!AW36</f>
        <v>2955</v>
      </c>
      <c r="AX36" s="344">
        <f>'BZ by State 1st Crop'!AX36+'BZ by State 2nd Crop'!AX36+'BZ by State 3rd Crop'!AX36</f>
        <v>2985.9000000000005</v>
      </c>
      <c r="AY36" s="369">
        <f>'BZ by State 1st Crop'!AY36+'BZ by State 2nd Crop'!AY36+'BZ by State 3rd Crop'!AY36</f>
        <v>2972.9</v>
      </c>
      <c r="AZ36" s="366">
        <f>AZ40+AZ44+AZ48+AZ52+AZ56+AZ60+AZ64+AZ68+AZ72</f>
        <v>2972.9</v>
      </c>
      <c r="BA36" s="366">
        <f>AZ36-AY36</f>
        <v>0</v>
      </c>
      <c r="BB36" s="367">
        <f>AY36-AX36</f>
        <v>-13.000000000000455</v>
      </c>
      <c r="BC36" s="368">
        <f>AZ36-AX36</f>
        <v>-13.000000000000455</v>
      </c>
      <c r="BD36" s="353">
        <f>(AX36/AS36)^(1/5)-1</f>
        <v>2.5919107666258823E-2</v>
      </c>
      <c r="BE36" s="309"/>
      <c r="BF36" s="319" t="b">
        <v>0</v>
      </c>
      <c r="BG36" s="308"/>
    </row>
    <row r="37" spans="1:63" s="311" customFormat="1" ht="15" customHeight="1">
      <c r="A37" s="318" t="s">
        <v>353</v>
      </c>
      <c r="B37" s="345">
        <f t="shared" ref="B37" si="263">B38/B36*1000</f>
        <v>661.83982945175171</v>
      </c>
      <c r="C37" s="345">
        <f t="shared" ref="C37" si="264">C38/C36*1000</f>
        <v>2961.4176953847477</v>
      </c>
      <c r="D37" s="345">
        <f t="shared" ref="D37" si="265">D38/D36*1000</f>
        <v>2913.2947976878613</v>
      </c>
      <c r="E37" s="345">
        <f t="shared" ref="E37" si="266">E38/E36*1000</f>
        <v>2585.313174946004</v>
      </c>
      <c r="F37" s="345">
        <f t="shared" ref="F37" si="267">F38/F36*1000</f>
        <v>1595.6594323873121</v>
      </c>
      <c r="G37" s="345">
        <f t="shared" ref="G37" si="268">G38/G36*1000</f>
        <v>2706.0730351944958</v>
      </c>
      <c r="H37" s="345">
        <f t="shared" ref="H37" si="269">H38/H36*1000</f>
        <v>1006.6323927632352</v>
      </c>
      <c r="I37" s="345">
        <f t="shared" ref="I37" si="270">I38/I36*1000</f>
        <v>3540.4173662748863</v>
      </c>
      <c r="J37" s="345">
        <f t="shared" ref="J37" si="271">J38/J36*1000</f>
        <v>1257.577997929913</v>
      </c>
      <c r="K37" s="345">
        <f t="shared" ref="K37" si="272">K38/K36*1000</f>
        <v>2480.51701197491</v>
      </c>
      <c r="L37" s="345">
        <f t="shared" ref="L37" si="273">L38/L36*1000</f>
        <v>921.36616362192228</v>
      </c>
      <c r="M37" s="345">
        <f t="shared" ref="M37" si="274">M38/M36*1000</f>
        <v>2741.3184226015305</v>
      </c>
      <c r="N37" s="345">
        <f t="shared" ref="N37" si="275">N38/N36*1000</f>
        <v>2957.719410634209</v>
      </c>
      <c r="O37" s="345">
        <f t="shared" ref="O37" si="276">O38/O36*1000</f>
        <v>1785.9600825877494</v>
      </c>
      <c r="P37" s="345">
        <f t="shared" ref="P37" si="277">P38/P36*1000</f>
        <v>3189.6419650291414</v>
      </c>
      <c r="Q37" s="345">
        <f t="shared" ref="Q37" si="278">Q38/Q36*1000</f>
        <v>2069.139312483846</v>
      </c>
      <c r="R37" s="345">
        <f t="shared" ref="R37" si="279">R38/R36*1000</f>
        <v>2471.9632670098795</v>
      </c>
      <c r="S37" s="345">
        <f t="shared" ref="S37" si="280">S38/S36*1000</f>
        <v>3500.9573432938882</v>
      </c>
      <c r="T37" s="345">
        <f t="shared" ref="T37" si="281">T38/T36*1000</f>
        <v>3541.6019869605707</v>
      </c>
      <c r="U37" s="345">
        <f t="shared" ref="U37" si="282">U38/U36*1000</f>
        <v>3688.4138469390828</v>
      </c>
      <c r="V37" s="345">
        <f t="shared" ref="V37" si="283">V38/V36*1000</f>
        <v>3095.8839150227609</v>
      </c>
      <c r="W37" s="345">
        <f t="shared" ref="W37" si="284">W38/W36*1000</f>
        <v>2764.1320782324538</v>
      </c>
      <c r="X37" s="345">
        <f t="shared" ref="X37" si="285">X38/X36*1000</f>
        <v>3192.3695424941702</v>
      </c>
      <c r="Y37" s="345">
        <f t="shared" ref="Y37" si="286">Y38/Y36*1000</f>
        <v>3272.4742985236139</v>
      </c>
      <c r="Z37" s="345">
        <f t="shared" ref="Z37" si="287">Z38/Z36*1000</f>
        <v>3243.9345787148286</v>
      </c>
      <c r="AA37" s="345">
        <f t="shared" ref="AA37" si="288">AA38/AA36*1000</f>
        <v>3268.484667611729</v>
      </c>
      <c r="AB37" s="345">
        <f t="shared" ref="AB37" si="289">AB38/AB36*1000</f>
        <v>3863.1386230957883</v>
      </c>
      <c r="AC37" s="345">
        <f t="shared" ref="AC37" si="290">AC38/AC36*1000</f>
        <v>4025.2164877034984</v>
      </c>
      <c r="AD37" s="345">
        <f t="shared" ref="AD37" si="291">AD38/AD36*1000</f>
        <v>3977.9240616816992</v>
      </c>
      <c r="AE37" s="345">
        <f t="shared" ref="AE37" si="292">AE38/AE36*1000</f>
        <v>4019.3623066400087</v>
      </c>
      <c r="AF37" s="345">
        <f t="shared" ref="AF37" si="293">AF38/AF36*1000</f>
        <v>4076.0737439222039</v>
      </c>
      <c r="AG37" s="345">
        <f t="shared" ref="AG37" si="294">AG38/AG36*1000</f>
        <v>4440.8371344244706</v>
      </c>
      <c r="AH37" s="345">
        <f t="shared" ref="AH37" si="295">AH38/AH36*1000</f>
        <v>4491.9801980198017</v>
      </c>
      <c r="AI37" s="345">
        <f t="shared" ref="AI37" si="296">AI38/AI36*1000</f>
        <v>5729.8674821610612</v>
      </c>
      <c r="AJ37" s="345">
        <f t="shared" ref="AJ37" si="297">AJ38/AJ36*1000</f>
        <v>7545.795342631126</v>
      </c>
      <c r="AK37" s="345">
        <f t="shared" ref="AK37" si="298">AK38/AK36*1000</f>
        <v>8157.4230848647549</v>
      </c>
      <c r="AL37" s="345">
        <f t="shared" ref="AL37" si="299">AL38/AL36*1000</f>
        <v>15202.666093313264</v>
      </c>
      <c r="AM37" s="345">
        <f t="shared" ref="AM37" si="300">AM38/AM36*1000</f>
        <v>16070.386591716382</v>
      </c>
      <c r="AN37" s="345">
        <f t="shared" ref="AN37" si="301">AN38/AN36*1000</f>
        <v>14827.091276070869</v>
      </c>
      <c r="AO37" s="345">
        <f t="shared" ref="AO37" si="302">AO38/AO36*1000</f>
        <v>10012.213740458013</v>
      </c>
      <c r="AP37" s="345">
        <f t="shared" ref="AP37" si="303">AP38/AP36*1000</f>
        <v>20247.147412501439</v>
      </c>
      <c r="AQ37" s="345">
        <f t="shared" ref="AQ37" si="304">AQ38/AQ36*1000</f>
        <v>19176.656864962679</v>
      </c>
      <c r="AR37" s="345">
        <f t="shared" ref="AR37" si="305">AR38/AR36*1000</f>
        <v>19308.797127468584</v>
      </c>
      <c r="AS37" s="345">
        <f t="shared" ref="AS37" si="306">AS38/AS36*1000</f>
        <v>22570.738020020548</v>
      </c>
      <c r="AT37" s="345">
        <f t="shared" ref="AT37" si="307">AT38/AT36*1000</f>
        <v>3030.7003689782414</v>
      </c>
      <c r="AU37" s="345">
        <f t="shared" ref="AU37" si="308">AU38/AU36*1000</f>
        <v>3390.0501704976009</v>
      </c>
      <c r="AV37" s="345">
        <f t="shared" ref="AV37" si="309">AV38/AV36*1000</f>
        <v>3542.1257006089613</v>
      </c>
      <c r="AW37" s="345">
        <f t="shared" ref="AW37" si="310">AW38/AW36*1000</f>
        <v>3095.9695769881555</v>
      </c>
      <c r="AX37" s="345">
        <f t="shared" ref="AX37" si="311">AX38/AX36*1000</f>
        <v>3372.7540774975714</v>
      </c>
      <c r="AY37" s="346">
        <f t="shared" ref="AY37" si="312">AY38/AY36*1000</f>
        <v>3421.8024487873786</v>
      </c>
      <c r="AZ37" s="347">
        <f>AZ38/AZ36*1000</f>
        <v>3413.6984762353254</v>
      </c>
      <c r="BA37" s="347">
        <f>AZ37-AY37</f>
        <v>-8.1039725520531647</v>
      </c>
      <c r="BB37" s="351">
        <f>AY37-AX37</f>
        <v>49.048371289807164</v>
      </c>
      <c r="BC37" s="352">
        <f>AZ37-AX37</f>
        <v>40.944398737754</v>
      </c>
      <c r="BD37" s="353">
        <f t="shared" ref="BD37:BD38" si="313">(AX37/AS37)^(1/5)-1</f>
        <v>-0.31626504492380203</v>
      </c>
      <c r="BE37" s="309"/>
      <c r="BF37"/>
      <c r="BG37" s="308"/>
      <c r="BH37" s="309"/>
      <c r="BI37" s="309"/>
      <c r="BJ37" s="309"/>
      <c r="BK37" s="309"/>
    </row>
    <row r="38" spans="1:63" s="311" customFormat="1" ht="15" customHeight="1">
      <c r="A38" s="318" t="s">
        <v>354</v>
      </c>
      <c r="B38" s="344">
        <f>'BZ by State 1st Crop'!B38+'BZ by State 2nd Crop'!B38+'BZ by State 3rd Crop'!B38</f>
        <v>1645.3999999999999</v>
      </c>
      <c r="C38" s="344">
        <f>'BZ by State 1st Crop'!C38+'BZ by State 2nd Crop'!C38+'BZ by State 3rd Crop'!C38</f>
        <v>6885</v>
      </c>
      <c r="D38" s="344">
        <f>'BZ by State 1st Crop'!D38+'BZ by State 2nd Crop'!D38+'BZ by State 3rd Crop'!D38</f>
        <v>6048</v>
      </c>
      <c r="E38" s="344">
        <f>'BZ by State 1st Crop'!E38+'BZ by State 2nd Crop'!E38+'BZ by State 3rd Crop'!E38</f>
        <v>7182</v>
      </c>
      <c r="F38" s="344">
        <f>'BZ by State 1st Crop'!F38+'BZ by State 2nd Crop'!F38+'BZ by State 3rd Crop'!F38</f>
        <v>4779</v>
      </c>
      <c r="G38" s="344">
        <f>'BZ by State 1st Crop'!G38+'BZ by State 2nd Crop'!G38+'BZ by State 3rd Crop'!G38</f>
        <v>8181</v>
      </c>
      <c r="H38" s="344">
        <f>'BZ by State 1st Crop'!H38+'BZ by State 2nd Crop'!H38+'BZ by State 3rd Crop'!H38</f>
        <v>2565</v>
      </c>
      <c r="I38" s="344">
        <f>'BZ by State 1st Crop'!I38+'BZ by State 2nd Crop'!I38+'BZ by State 3rd Crop'!I38</f>
        <v>8856</v>
      </c>
      <c r="J38" s="344">
        <f>'BZ by State 1st Crop'!J38+'BZ by State 2nd Crop'!J38+'BZ by State 3rd Crop'!J38</f>
        <v>3402</v>
      </c>
      <c r="K38" s="344">
        <f>'BZ by State 1st Crop'!K38+'BZ by State 2nd Crop'!K38+'BZ by State 3rd Crop'!K38</f>
        <v>7830</v>
      </c>
      <c r="L38" s="344">
        <f>'BZ by State 1st Crop'!L38+'BZ by State 2nd Crop'!L38+'BZ by State 3rd Crop'!L38</f>
        <v>3132</v>
      </c>
      <c r="M38" s="344">
        <f>'BZ by State 1st Crop'!M38+'BZ by State 2nd Crop'!M38+'BZ by State 3rd Crop'!M38</f>
        <v>9315</v>
      </c>
      <c r="N38" s="344">
        <f>'BZ by State 1st Crop'!N38+'BZ by State 2nd Crop'!N38+'BZ by State 3rd Crop'!N38</f>
        <v>9234</v>
      </c>
      <c r="O38" s="344">
        <f>'BZ by State 1st Crop'!O38+'BZ by State 2nd Crop'!O38+'BZ by State 3rd Crop'!O38</f>
        <v>4671</v>
      </c>
      <c r="P38" s="344">
        <f>'BZ by State 1st Crop'!P38+'BZ by State 2nd Crop'!P38+'BZ by State 3rd Crop'!P38</f>
        <v>9576.8999999999978</v>
      </c>
      <c r="Q38" s="344">
        <f>'BZ by State 1st Crop'!Q38+'BZ by State 2nd Crop'!Q38+'BZ by State 3rd Crop'!Q38</f>
        <v>6404.4000000000005</v>
      </c>
      <c r="R38" s="344">
        <f>'BZ by State 1st Crop'!R38+'BZ by State 2nd Crop'!R38+'BZ by State 3rd Crop'!R38</f>
        <v>5329.8000000000011</v>
      </c>
      <c r="S38" s="344">
        <f>'BZ by State 1st Crop'!S38+'BZ by State 2nd Crop'!S38+'BZ by State 3rd Crop'!S38</f>
        <v>11153.699999999999</v>
      </c>
      <c r="T38" s="344">
        <f>'BZ by State 1st Crop'!T38+'BZ by State 2nd Crop'!T38+'BZ by State 3rd Crop'!T38</f>
        <v>11407.5</v>
      </c>
      <c r="U38" s="344">
        <f>'BZ by State 1st Crop'!U38+'BZ by State 2nd Crop'!U38+'BZ by State 3rd Crop'!U38</f>
        <v>12285</v>
      </c>
      <c r="V38" s="344">
        <f>'BZ by State 1st Crop'!V38+'BZ by State 2nd Crop'!V38+'BZ by State 3rd Crop'!V38</f>
        <v>9792.8999999999978</v>
      </c>
      <c r="W38" s="344">
        <f>'BZ by State 1st Crop'!W38+'BZ by State 2nd Crop'!W38+'BZ by State 3rd Crop'!W38</f>
        <v>5667.3000000000011</v>
      </c>
      <c r="X38" s="344">
        <f>'BZ by State 1st Crop'!X38+'BZ by State 2nd Crop'!X38+'BZ by State 3rd Crop'!X38</f>
        <v>7940.6999999999989</v>
      </c>
      <c r="Y38" s="344">
        <f>'BZ by State 1st Crop'!Y38+'BZ by State 2nd Crop'!Y38+'BZ by State 3rd Crop'!Y38</f>
        <v>8467.1999999999989</v>
      </c>
      <c r="Z38" s="344">
        <f>'BZ by State 1st Crop'!Z38+'BZ by State 2nd Crop'!Z38+'BZ by State 3rd Crop'!Z38</f>
        <v>8370</v>
      </c>
      <c r="AA38" s="344">
        <f>'BZ by State 1st Crop'!AA38+'BZ by State 2nd Crop'!AA38+'BZ by State 3rd Crop'!AA38</f>
        <v>8761.5</v>
      </c>
      <c r="AB38" s="344">
        <f>'BZ by State 1st Crop'!AB38+'BZ by State 2nd Crop'!AB38+'BZ by State 3rd Crop'!AB38</f>
        <v>11183.399999999998</v>
      </c>
      <c r="AC38" s="344">
        <f>'BZ by State 1st Crop'!AC38+'BZ by State 2nd Crop'!AC38+'BZ by State 3rd Crop'!AC38</f>
        <v>11620.800000000001</v>
      </c>
      <c r="AD38" s="344">
        <f>'BZ by State 1st Crop'!AD38+'BZ by State 2nd Crop'!AD38+'BZ by State 3rd Crop'!AD38</f>
        <v>10937.699999999999</v>
      </c>
      <c r="AE38" s="344">
        <f>'BZ by State 1st Crop'!AE38+'BZ by State 2nd Crop'!AE38+'BZ by State 3rd Crop'!AE38</f>
        <v>11458.800000000001</v>
      </c>
      <c r="AF38" s="344">
        <f>'BZ by State 1st Crop'!AF38+'BZ by State 2nd Crop'!AF38+'BZ by State 3rd Crop'!AF38</f>
        <v>12071.699999999999</v>
      </c>
      <c r="AG38" s="344">
        <f>'BZ by State 1st Crop'!AG38+'BZ by State 2nd Crop'!AG38+'BZ by State 3rd Crop'!AG38</f>
        <v>13240.800000000001</v>
      </c>
      <c r="AH38" s="344">
        <f>'BZ by State 1st Crop'!AH38+'BZ by State 2nd Crop'!AH38+'BZ by State 3rd Crop'!AH38</f>
        <v>13610.699999999999</v>
      </c>
      <c r="AI38" s="344">
        <f>'BZ by State 1st Crop'!AI38+'BZ by State 2nd Crop'!AI38+'BZ by State 3rd Crop'!AI38</f>
        <v>15176.7</v>
      </c>
      <c r="AJ38" s="344">
        <f>'BZ by State 1st Crop'!AJ38+'BZ by State 2nd Crop'!AJ38+'BZ by State 3rd Crop'!AJ38</f>
        <v>23751.899999999998</v>
      </c>
      <c r="AK38" s="344">
        <f>'BZ by State 1st Crop'!AK38+'BZ by State 2nd Crop'!AK38+'BZ by State 3rd Crop'!AK38</f>
        <v>19753.200000000004</v>
      </c>
      <c r="AL38" s="344">
        <f>'BZ by State 1st Crop'!AL38+'BZ by State 2nd Crop'!AL38+'BZ by State 3rd Crop'!AL38</f>
        <v>35353.799999999996</v>
      </c>
      <c r="AM38" s="344">
        <f>'BZ by State 1st Crop'!AM38+'BZ by State 2nd Crop'!AM38+'BZ by State 3rd Crop'!AM38</f>
        <v>46599.299999999996</v>
      </c>
      <c r="AN38" s="344">
        <f>'BZ by State 1st Crop'!AN38+'BZ by State 2nd Crop'!AN38+'BZ by State 3rd Crop'!AN38</f>
        <v>39668.400000000009</v>
      </c>
      <c r="AO38" s="344">
        <f>'BZ by State 1st Crop'!AO38+'BZ by State 2nd Crop'!AO38+'BZ by State 3rd Crop'!AO38</f>
        <v>23608.799999999996</v>
      </c>
      <c r="AP38" s="344">
        <f>'BZ by State 1st Crop'!AP38+'BZ by State 2nd Crop'!AP38+'BZ by State 3rd Crop'!AP38</f>
        <v>52701.299999999996</v>
      </c>
      <c r="AQ38" s="344">
        <f>'BZ by State 1st Crop'!AQ38+'BZ by State 2nd Crop'!AQ38+'BZ by State 3rd Crop'!AQ38</f>
        <v>50868</v>
      </c>
      <c r="AR38" s="344">
        <f>'BZ by State 1st Crop'!AR38+'BZ by State 2nd Crop'!AR38+'BZ by State 3rd Crop'!AR38</f>
        <v>48397.5</v>
      </c>
      <c r="AS38" s="344">
        <f>'BZ by State 1st Crop'!AS38+'BZ by State 2nd Crop'!AS38+'BZ by State 3rd Crop'!AS38</f>
        <v>59300.099999999991</v>
      </c>
      <c r="AT38" s="344">
        <f>'BZ by State 1st Crop'!AT38+'BZ by State 2nd Crop'!AT38+'BZ by State 3rd Crop'!AT38</f>
        <v>8788.728000000001</v>
      </c>
      <c r="AU38" s="344">
        <f>'BZ by State 1st Crop'!AU38+'BZ by State 2nd Crop'!AU38+'BZ by State 3rd Crop'!AU38</f>
        <v>10736.966900000001</v>
      </c>
      <c r="AV38" s="344">
        <f>'BZ by State 1st Crop'!AV38+'BZ by State 2nd Crop'!AV38+'BZ by State 3rd Crop'!AV38</f>
        <v>11691.494299999998</v>
      </c>
      <c r="AW38" s="344">
        <f>'BZ by State 1st Crop'!AW38+'BZ by State 2nd Crop'!AW38+'BZ by State 3rd Crop'!AW38</f>
        <v>9148.5900999999994</v>
      </c>
      <c r="AX38" s="344">
        <f>'BZ by State 1st Crop'!AX38+'BZ by State 2nd Crop'!AX38+'BZ by State 3rd Crop'!AX38</f>
        <v>10070.706400000001</v>
      </c>
      <c r="AY38" s="365">
        <f>'BZ by State 1st Crop'!AY38+'BZ by State 2nd Crop'!AY38+'BZ by State 3rd Crop'!AY38</f>
        <v>10172.676499999998</v>
      </c>
      <c r="AZ38" s="366">
        <f>AZ42+AZ46+AZ50+AZ54+AZ58+AZ62+AZ66+AZ70+AZ74</f>
        <v>10148.584199999999</v>
      </c>
      <c r="BA38" s="366">
        <f>AZ38-AY38</f>
        <v>-24.092299999998431</v>
      </c>
      <c r="BB38" s="367">
        <f>AY38-AX38</f>
        <v>101.97009999999682</v>
      </c>
      <c r="BC38" s="368">
        <f>AZ38-AX38</f>
        <v>77.877799999998388</v>
      </c>
      <c r="BD38" s="353">
        <f t="shared" si="313"/>
        <v>-0.29854324500799734</v>
      </c>
      <c r="BE38" s="309"/>
      <c r="BF38"/>
      <c r="BG38" s="308"/>
    </row>
    <row r="39" spans="1:63" ht="15" customHeight="1">
      <c r="A39" s="320" t="s">
        <v>363</v>
      </c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356"/>
      <c r="AB39" s="356"/>
      <c r="AC39" s="356"/>
      <c r="AD39" s="356"/>
      <c r="AE39" s="356"/>
      <c r="AF39" s="356"/>
      <c r="AG39" s="356"/>
      <c r="AH39" s="356"/>
      <c r="AI39" s="356"/>
      <c r="AJ39" s="356"/>
      <c r="AK39" s="356"/>
      <c r="AL39" s="356"/>
      <c r="AM39" s="356"/>
      <c r="AN39" s="356"/>
      <c r="AO39" s="356"/>
      <c r="AP39" s="356"/>
      <c r="AQ39" s="356"/>
      <c r="AR39" s="356"/>
      <c r="AS39" s="356"/>
      <c r="AT39" s="328"/>
      <c r="AU39" s="328"/>
      <c r="AV39" s="328"/>
      <c r="AW39" s="328"/>
      <c r="AX39" s="328"/>
      <c r="AY39" s="321"/>
      <c r="AZ39" s="328"/>
      <c r="BA39" s="329"/>
      <c r="BB39" s="321"/>
      <c r="BC39" s="328"/>
      <c r="BD39" s="329"/>
    </row>
    <row r="40" spans="1:63" ht="15" customHeight="1">
      <c r="A40" s="324" t="s">
        <v>352</v>
      </c>
      <c r="B40" s="344">
        <f>'BZ by State 1st Crop'!B40+'BZ by State 2nd Crop'!B40+'BZ by State 3rd Crop'!B40</f>
        <v>396.8</v>
      </c>
      <c r="C40" s="344">
        <f>'BZ by State 1st Crop'!C40+'BZ by State 2nd Crop'!C40+'BZ by State 3rd Crop'!C40</f>
        <v>421.8</v>
      </c>
      <c r="D40" s="344">
        <f>'BZ by State 1st Crop'!D40+'BZ by State 2nd Crop'!D40+'BZ by State 3rd Crop'!D40</f>
        <v>380</v>
      </c>
      <c r="E40" s="344">
        <f>'BZ by State 1st Crop'!E40+'BZ by State 2nd Crop'!E40+'BZ by State 3rd Crop'!E40</f>
        <v>503</v>
      </c>
      <c r="F40" s="344">
        <f>'BZ by State 1st Crop'!F40+'BZ by State 2nd Crop'!F40+'BZ by State 3rd Crop'!F40</f>
        <v>507</v>
      </c>
      <c r="G40" s="344">
        <f>'BZ by State 1st Crop'!G40+'BZ by State 2nd Crop'!G40+'BZ by State 3rd Crop'!G40</f>
        <v>556</v>
      </c>
      <c r="H40" s="344">
        <f>'BZ by State 1st Crop'!H40+'BZ by State 2nd Crop'!H40+'BZ by State 3rd Crop'!H40</f>
        <v>473</v>
      </c>
      <c r="I40" s="344">
        <f>'BZ by State 1st Crop'!I40+'BZ by State 2nd Crop'!I40+'BZ by State 3rd Crop'!I40</f>
        <v>468</v>
      </c>
      <c r="J40" s="344">
        <f>'BZ by State 1st Crop'!J40+'BZ by State 2nd Crop'!J40+'BZ by State 3rd Crop'!J40</f>
        <v>421</v>
      </c>
      <c r="K40" s="344">
        <f>'BZ by State 1st Crop'!K40+'BZ by State 2nd Crop'!K40+'BZ by State 3rd Crop'!K40</f>
        <v>530</v>
      </c>
      <c r="L40" s="344">
        <f>'BZ by State 1st Crop'!L40+'BZ by State 2nd Crop'!L40+'BZ by State 3rd Crop'!L40</f>
        <v>551.79999999999995</v>
      </c>
      <c r="M40" s="344">
        <f>'BZ by State 1st Crop'!M40+'BZ by State 2nd Crop'!M40+'BZ by State 3rd Crop'!M40</f>
        <v>551.79999999999995</v>
      </c>
      <c r="N40" s="344">
        <f>'BZ by State 1st Crop'!N40+'BZ by State 2nd Crop'!N40+'BZ by State 3rd Crop'!N40</f>
        <v>570</v>
      </c>
      <c r="O40" s="344">
        <f>'BZ by State 1st Crop'!O40+'BZ by State 2nd Crop'!O40+'BZ by State 3rd Crop'!O40</f>
        <v>524</v>
      </c>
      <c r="P40" s="344">
        <f>'BZ by State 1st Crop'!P40+'BZ by State 2nd Crop'!P40+'BZ by State 3rd Crop'!P40</f>
        <v>563</v>
      </c>
      <c r="Q40" s="344">
        <f>'BZ by State 1st Crop'!Q40+'BZ by State 2nd Crop'!Q40+'BZ by State 3rd Crop'!Q40</f>
        <v>580</v>
      </c>
      <c r="R40" s="344">
        <f>'BZ by State 1st Crop'!R40+'BZ by State 2nd Crop'!R40+'BZ by State 3rd Crop'!R40</f>
        <v>533.6</v>
      </c>
      <c r="S40" s="344">
        <f>'BZ by State 1st Crop'!S40+'BZ by State 2nd Crop'!S40+'BZ by State 3rd Crop'!S40</f>
        <v>590.20000000000005</v>
      </c>
      <c r="T40" s="344">
        <f>'BZ by State 1st Crop'!T40+'BZ by State 2nd Crop'!T40+'BZ by State 3rd Crop'!T40</f>
        <v>650</v>
      </c>
      <c r="U40" s="344">
        <f>'BZ by State 1st Crop'!U40+'BZ by State 2nd Crop'!U40+'BZ by State 3rd Crop'!U40</f>
        <v>650</v>
      </c>
      <c r="V40" s="344">
        <f>'BZ by State 1st Crop'!V40+'BZ by State 2nd Crop'!V40+'BZ by State 3rd Crop'!V40</f>
        <v>585</v>
      </c>
      <c r="W40" s="344">
        <f>'BZ by State 1st Crop'!W40+'BZ by State 2nd Crop'!W40+'BZ by State 3rd Crop'!W40</f>
        <v>304.2</v>
      </c>
      <c r="X40" s="344">
        <f>'BZ by State 1st Crop'!X40+'BZ by State 2nd Crop'!X40+'BZ by State 3rd Crop'!X40</f>
        <v>317.89999999999998</v>
      </c>
      <c r="Y40" s="344">
        <f>'BZ by State 1st Crop'!Y40+'BZ by State 2nd Crop'!Y40+'BZ by State 3rd Crop'!Y40</f>
        <v>320</v>
      </c>
      <c r="Z40" s="344">
        <f>'BZ by State 1st Crop'!Z40+'BZ by State 2nd Crop'!Z40+'BZ by State 3rd Crop'!Z40</f>
        <v>322.89999999999998</v>
      </c>
      <c r="AA40" s="344">
        <f>'BZ by State 1st Crop'!AA40+'BZ by State 2nd Crop'!AA40+'BZ by State 3rd Crop'!AA40</f>
        <v>324.5</v>
      </c>
      <c r="AB40" s="344">
        <f>'BZ by State 1st Crop'!AB40+'BZ by State 2nd Crop'!AB40+'BZ by State 3rd Crop'!AB40</f>
        <v>360.2</v>
      </c>
      <c r="AC40" s="344">
        <f>'BZ by State 1st Crop'!AC40+'BZ by State 2nd Crop'!AC40+'BZ by State 3rd Crop'!AC40</f>
        <v>371</v>
      </c>
      <c r="AD40" s="344">
        <f>'BZ by State 1st Crop'!AD40+'BZ by State 2nd Crop'!AD40+'BZ by State 3rd Crop'!AD40</f>
        <v>385.8</v>
      </c>
      <c r="AE40" s="344">
        <f>'BZ by State 1st Crop'!AE40+'BZ by State 2nd Crop'!AE40+'BZ by State 3rd Crop'!AE40</f>
        <v>362.7</v>
      </c>
      <c r="AF40" s="344">
        <f>'BZ by State 1st Crop'!AF40+'BZ by State 2nd Crop'!AF40+'BZ by State 3rd Crop'!AF40</f>
        <v>367.1</v>
      </c>
      <c r="AG40" s="344">
        <f>'BZ by State 1st Crop'!AG40+'BZ by State 2nd Crop'!AG40+'BZ by State 3rd Crop'!AG40</f>
        <v>353.3</v>
      </c>
      <c r="AH40" s="344">
        <f>'BZ by State 1st Crop'!AH40+'BZ by State 2nd Crop'!AH40+'BZ by State 3rd Crop'!AH40</f>
        <v>373.4</v>
      </c>
      <c r="AI40" s="344">
        <f>'BZ by State 1st Crop'!AI40+'BZ by State 2nd Crop'!AI40+'BZ by State 3rd Crop'!AI40</f>
        <v>382.4</v>
      </c>
      <c r="AJ40" s="344">
        <f>'BZ by State 1st Crop'!AJ40+'BZ by State 2nd Crop'!AJ40+'BZ by State 3rd Crop'!AJ40</f>
        <v>477.6</v>
      </c>
      <c r="AK40" s="344">
        <f>'BZ by State 1st Crop'!AK40+'BZ by State 2nd Crop'!AK40+'BZ by State 3rd Crop'!AK40</f>
        <v>454.6</v>
      </c>
      <c r="AL40" s="344">
        <f>'BZ by State 1st Crop'!AL40+'BZ by State 2nd Crop'!AL40+'BZ by State 3rd Crop'!AL40</f>
        <v>506.7</v>
      </c>
      <c r="AM40" s="344">
        <f>'BZ by State 1st Crop'!AM40+'BZ by State 2nd Crop'!AM40+'BZ by State 3rd Crop'!AM40</f>
        <v>606.4</v>
      </c>
      <c r="AN40" s="344">
        <f>'BZ by State 1st Crop'!AN40+'BZ by State 2nd Crop'!AN40+'BZ by State 3rd Crop'!AN40</f>
        <v>514.29999999999995</v>
      </c>
      <c r="AO40" s="344">
        <f>'BZ by State 1st Crop'!AO40+'BZ by State 2nd Crop'!AO40+'BZ by State 3rd Crop'!AO40</f>
        <v>354.29999999999995</v>
      </c>
      <c r="AP40" s="344">
        <f>'BZ by State 1st Crop'!AP40+'BZ by State 2nd Crop'!AP40+'BZ by State 3rd Crop'!AP40</f>
        <v>491.70000000000005</v>
      </c>
      <c r="AQ40" s="344">
        <f>'BZ by State 1st Crop'!AQ40+'BZ by State 2nd Crop'!AQ40+'BZ by State 3rd Crop'!AQ40</f>
        <v>483.4</v>
      </c>
      <c r="AR40" s="344">
        <f>'BZ by State 1st Crop'!AR40+'BZ by State 2nd Crop'!AR40+'BZ by State 3rd Crop'!AR40</f>
        <v>410.79999999999995</v>
      </c>
      <c r="AS40" s="344">
        <f>'BZ by State 1st Crop'!AS40+'BZ by State 2nd Crop'!AS40+'BZ by State 3rd Crop'!AS40</f>
        <v>452.4</v>
      </c>
      <c r="AT40" s="344">
        <f>'BZ by State 1st Crop'!AT40+'BZ by State 2nd Crop'!AT40+'BZ by State 3rd Crop'!AT40</f>
        <v>471.90000000000003</v>
      </c>
      <c r="AU40" s="344">
        <f>'BZ by State 1st Crop'!AU40+'BZ by State 2nd Crop'!AU40+'BZ by State 3rd Crop'!AU40</f>
        <v>566.79999999999995</v>
      </c>
      <c r="AV40" s="344">
        <f>'BZ by State 1st Crop'!AV40+'BZ by State 2nd Crop'!AV40+'BZ by State 3rd Crop'!AV40</f>
        <v>609.09999999999991</v>
      </c>
      <c r="AW40" s="344">
        <f>'BZ by State 1st Crop'!AW40+'BZ by State 2nd Crop'!AW40+'BZ by State 3rd Crop'!AW40</f>
        <v>551</v>
      </c>
      <c r="AX40" s="344">
        <f>'BZ by State 1st Crop'!AX40+'BZ by State 2nd Crop'!AX40+'BZ by State 3rd Crop'!AX40</f>
        <v>597.1</v>
      </c>
      <c r="AY40" s="369">
        <f>'BZ by State 1st Crop'!AY40+'BZ by State 2nd Crop'!AY40+'BZ by State 3rd Crop'!AY40</f>
        <v>613.5</v>
      </c>
      <c r="AZ40" s="366">
        <f>'BZ by State 1st Crop'!AZ40+'BZ by State 2nd Crop'!AZ40+'BZ by State 3rd Crop'!AZ40</f>
        <v>613.5</v>
      </c>
      <c r="BA40" s="366">
        <f>AZ40-AY40</f>
        <v>0</v>
      </c>
      <c r="BB40" s="367">
        <f>AY40-AX40</f>
        <v>16.399999999999977</v>
      </c>
      <c r="BC40" s="368">
        <f>AZ40-AX40</f>
        <v>16.399999999999977</v>
      </c>
      <c r="BD40" s="353">
        <f>(AX40/AS40)^(1/5)-1</f>
        <v>5.7072792784026882E-2</v>
      </c>
      <c r="BF40" s="319" t="b">
        <v>0</v>
      </c>
      <c r="BH40" s="311"/>
      <c r="BI40" s="311"/>
      <c r="BJ40" s="311"/>
      <c r="BK40" s="311"/>
    </row>
    <row r="41" spans="1:63" ht="15" customHeight="1">
      <c r="A41" s="324" t="s">
        <v>353</v>
      </c>
      <c r="B41" s="345">
        <f t="shared" ref="B41" si="314">B42/B40*1000</f>
        <v>596.27016129032256</v>
      </c>
      <c r="C41" s="345">
        <f t="shared" ref="C41" si="315">C42/C40*1000</f>
        <v>1813.6557610241821</v>
      </c>
      <c r="D41" s="345">
        <f t="shared" ref="D41" si="316">D42/D40*1000</f>
        <v>1768.421052631579</v>
      </c>
      <c r="E41" s="345">
        <f t="shared" ref="E41" si="317">E42/E40*1000</f>
        <v>1586.4811133200797</v>
      </c>
      <c r="F41" s="345">
        <f t="shared" ref="F41" si="318">F42/F40*1000</f>
        <v>1047.3372781065088</v>
      </c>
      <c r="G41" s="345">
        <f t="shared" ref="G41" si="319">G42/G40*1000</f>
        <v>1634.8920863309354</v>
      </c>
      <c r="H41" s="345">
        <f t="shared" ref="H41" si="320">H42/H40*1000</f>
        <v>602.53699788583515</v>
      </c>
      <c r="I41" s="345">
        <f t="shared" ref="I41" si="321">I42/I40*1000</f>
        <v>2102.5641025641025</v>
      </c>
      <c r="J41" s="345">
        <f t="shared" ref="J41" si="322">J42/J40*1000</f>
        <v>897.86223277909733</v>
      </c>
      <c r="K41" s="345">
        <f t="shared" ref="K41" si="323">K42/K40*1000</f>
        <v>1641.5094339622642</v>
      </c>
      <c r="L41" s="345">
        <f t="shared" ref="L41" si="324">L42/L40*1000</f>
        <v>630.66328379847778</v>
      </c>
      <c r="M41" s="345">
        <f t="shared" ref="M41" si="325">M42/M40*1000</f>
        <v>1875.6795940558175</v>
      </c>
      <c r="N41" s="345">
        <f t="shared" ref="N41" si="326">N42/N40*1000</f>
        <v>1800</v>
      </c>
      <c r="O41" s="345">
        <f t="shared" ref="O41" si="327">O42/O40*1000</f>
        <v>990.4580152671756</v>
      </c>
      <c r="P41" s="345">
        <f t="shared" ref="P41" si="328">P42/P40*1000</f>
        <v>1890.0532859680284</v>
      </c>
      <c r="Q41" s="345">
        <f t="shared" ref="Q41" si="329">Q42/Q40*1000</f>
        <v>1226.8965517241377</v>
      </c>
      <c r="R41" s="345">
        <f t="shared" ref="R41" si="330">R42/R40*1000</f>
        <v>1109.8200899550225</v>
      </c>
      <c r="S41" s="345">
        <f t="shared" ref="S41" si="331">S42/S40*1000</f>
        <v>2099.7966790918335</v>
      </c>
      <c r="T41" s="345">
        <f t="shared" ref="T41" si="332">T42/T40*1000</f>
        <v>1950</v>
      </c>
      <c r="U41" s="345">
        <f t="shared" ref="U41" si="333">U42/U40*1000</f>
        <v>2100</v>
      </c>
      <c r="V41" s="345">
        <f t="shared" ref="V41" si="334">V42/V40*1000</f>
        <v>1859.9999999999998</v>
      </c>
      <c r="W41" s="345">
        <f t="shared" ref="W41" si="335">W42/W40*1000</f>
        <v>2070.0197238658779</v>
      </c>
      <c r="X41" s="345">
        <f t="shared" ref="X41" si="336">X42/X40*1000</f>
        <v>2775.4010695187171</v>
      </c>
      <c r="Y41" s="345">
        <f t="shared" ref="Y41" si="337">Y42/Y40*1000</f>
        <v>2940.0000000000005</v>
      </c>
      <c r="Z41" s="345">
        <f t="shared" ref="Z41" si="338">Z42/Z40*1000</f>
        <v>2880.148652833695</v>
      </c>
      <c r="AA41" s="345">
        <f t="shared" ref="AA41" si="339">AA42/AA40*1000</f>
        <v>3000</v>
      </c>
      <c r="AB41" s="345">
        <f t="shared" ref="AB41" si="340">AB42/AB40*1000</f>
        <v>3449.7501388117712</v>
      </c>
      <c r="AC41" s="345">
        <f t="shared" ref="AC41" si="341">AC42/AC40*1000</f>
        <v>3480.3234501347702</v>
      </c>
      <c r="AD41" s="345">
        <f t="shared" ref="AD41" si="342">AD42/AD40*1000</f>
        <v>3150.0777604976674</v>
      </c>
      <c r="AE41" s="345">
        <f t="shared" ref="AE41" si="343">AE42/AE40*1000</f>
        <v>3510.3391232423487</v>
      </c>
      <c r="AF41" s="345">
        <f t="shared" ref="AF41" si="344">AF42/AF40*1000</f>
        <v>3653.7728139471537</v>
      </c>
      <c r="AG41" s="345">
        <f t="shared" ref="AG41" si="345">AG42/AG40*1000</f>
        <v>4164.166430795357</v>
      </c>
      <c r="AH41" s="345">
        <f t="shared" ref="AH41" si="346">AH42/AH40*1000</f>
        <v>4050.0803427959299</v>
      </c>
      <c r="AI41" s="345">
        <f t="shared" ref="AI41" si="347">AI42/AI40*1000</f>
        <v>4409.7803347280342</v>
      </c>
      <c r="AJ41" s="345">
        <f t="shared" ref="AJ41" si="348">AJ42/AJ40*1000</f>
        <v>5525.7537688442217</v>
      </c>
      <c r="AK41" s="345">
        <f t="shared" ref="AK41" si="349">AK42/AK40*1000</f>
        <v>4827.9806423229211</v>
      </c>
      <c r="AL41" s="345">
        <f t="shared" ref="AL41" si="350">AL42/AL40*1000</f>
        <v>7752.5162818235649</v>
      </c>
      <c r="AM41" s="345">
        <f t="shared" ref="AM41" si="351">AM42/AM40*1000</f>
        <v>8538.4234828496046</v>
      </c>
      <c r="AN41" s="345">
        <f t="shared" ref="AN41" si="352">AN42/AN40*1000</f>
        <v>8570.095275131247</v>
      </c>
      <c r="AO41" s="345">
        <f t="shared" ref="AO41" si="353">AO42/AO40*1000</f>
        <v>7403.895004233701</v>
      </c>
      <c r="AP41" s="345">
        <f t="shared" ref="AP41" si="354">AP42/AP40*1000</f>
        <v>11909.09090909091</v>
      </c>
      <c r="AQ41" s="345">
        <f t="shared" ref="AQ41" si="355">AQ42/AQ40*1000</f>
        <v>11692.180388911876</v>
      </c>
      <c r="AR41" s="345">
        <f t="shared" ref="AR41" si="356">AR42/AR40*1000</f>
        <v>13090.311587147031</v>
      </c>
      <c r="AS41" s="345">
        <f t="shared" ref="AS41" si="357">AS42/AS40*1000</f>
        <v>14564.323607427057</v>
      </c>
      <c r="AT41" s="345">
        <f t="shared" ref="AT41" si="358">AT42/AT40*1000</f>
        <v>5094.8853570671754</v>
      </c>
      <c r="AU41" s="345">
        <f t="shared" ref="AU41" si="359">AU42/AU40*1000</f>
        <v>5127.7704657727591</v>
      </c>
      <c r="AV41" s="345">
        <f t="shared" ref="AV41" si="360">AV42/AV40*1000</f>
        <v>5161.4580528648821</v>
      </c>
      <c r="AW41" s="345">
        <f t="shared" ref="AW41" si="361">AW42/AW40*1000</f>
        <v>4993.1177858439196</v>
      </c>
      <c r="AX41" s="345">
        <f t="shared" ref="AX41" si="362">AX42/AX40*1000</f>
        <v>5714.8832691341486</v>
      </c>
      <c r="AY41" s="346">
        <f t="shared" ref="AY41:AZ41" si="363">AY42/AY40*1000</f>
        <v>5088.9714751426236</v>
      </c>
      <c r="AZ41" s="347">
        <f t="shared" si="363"/>
        <v>5088.9714751426236</v>
      </c>
      <c r="BA41" s="347">
        <f>AZ41-AY41</f>
        <v>0</v>
      </c>
      <c r="BB41" s="351">
        <f>AY41-AX41</f>
        <v>-625.91179399152497</v>
      </c>
      <c r="BC41" s="352">
        <f>AZ41-AX41</f>
        <v>-625.91179399152497</v>
      </c>
      <c r="BD41" s="353">
        <f t="shared" ref="BD41:BD42" si="364">(AX41/AS41)^(1/5)-1</f>
        <v>-0.17063938266078271</v>
      </c>
    </row>
    <row r="42" spans="1:63" s="311" customFormat="1" ht="15" customHeight="1">
      <c r="A42" s="324" t="s">
        <v>354</v>
      </c>
      <c r="B42" s="344">
        <f>'BZ by State 1st Crop'!B42+'BZ by State 2nd Crop'!B42+'BZ by State 3rd Crop'!B42</f>
        <v>236.6</v>
      </c>
      <c r="C42" s="344">
        <f>'BZ by State 1st Crop'!C42+'BZ by State 2nd Crop'!C42+'BZ by State 3rd Crop'!C42</f>
        <v>765</v>
      </c>
      <c r="D42" s="344">
        <f>'BZ by State 1st Crop'!D42+'BZ by State 2nd Crop'!D42+'BZ by State 3rd Crop'!D42</f>
        <v>672</v>
      </c>
      <c r="E42" s="344">
        <f>'BZ by State 1st Crop'!E42+'BZ by State 2nd Crop'!E42+'BZ by State 3rd Crop'!E42</f>
        <v>798</v>
      </c>
      <c r="F42" s="344">
        <f>'BZ by State 1st Crop'!F42+'BZ by State 2nd Crop'!F42+'BZ by State 3rd Crop'!F42</f>
        <v>531</v>
      </c>
      <c r="G42" s="344">
        <f>'BZ by State 1st Crop'!G42+'BZ by State 2nd Crop'!G42+'BZ by State 3rd Crop'!G42</f>
        <v>909</v>
      </c>
      <c r="H42" s="344">
        <f>'BZ by State 1st Crop'!H42+'BZ by State 2nd Crop'!H42+'BZ by State 3rd Crop'!H42</f>
        <v>285</v>
      </c>
      <c r="I42" s="344">
        <f>'BZ by State 1st Crop'!I42+'BZ by State 2nd Crop'!I42+'BZ by State 3rd Crop'!I42</f>
        <v>984</v>
      </c>
      <c r="J42" s="344">
        <f>'BZ by State 1st Crop'!J42+'BZ by State 2nd Crop'!J42+'BZ by State 3rd Crop'!J42</f>
        <v>378</v>
      </c>
      <c r="K42" s="344">
        <f>'BZ by State 1st Crop'!K42+'BZ by State 2nd Crop'!K42+'BZ by State 3rd Crop'!K42</f>
        <v>870</v>
      </c>
      <c r="L42" s="344">
        <f>'BZ by State 1st Crop'!L42+'BZ by State 2nd Crop'!L42+'BZ by State 3rd Crop'!L42</f>
        <v>348</v>
      </c>
      <c r="M42" s="344">
        <f>'BZ by State 1st Crop'!M42+'BZ by State 2nd Crop'!M42+'BZ by State 3rd Crop'!M42</f>
        <v>1035</v>
      </c>
      <c r="N42" s="344">
        <f>'BZ by State 1st Crop'!N42+'BZ by State 2nd Crop'!N42+'BZ by State 3rd Crop'!N42</f>
        <v>1026</v>
      </c>
      <c r="O42" s="344">
        <f>'BZ by State 1st Crop'!O42+'BZ by State 2nd Crop'!O42+'BZ by State 3rd Crop'!O42</f>
        <v>519</v>
      </c>
      <c r="P42" s="344">
        <f>'BZ by State 1st Crop'!P42+'BZ by State 2nd Crop'!P42+'BZ by State 3rd Crop'!P42</f>
        <v>1064.0999999999999</v>
      </c>
      <c r="Q42" s="344">
        <f>'BZ by State 1st Crop'!Q42+'BZ by State 2nd Crop'!Q42+'BZ by State 3rd Crop'!Q42</f>
        <v>711.59999999999991</v>
      </c>
      <c r="R42" s="344">
        <f>'BZ by State 1st Crop'!R42+'BZ by State 2nd Crop'!R42+'BZ by State 3rd Crop'!R42</f>
        <v>592.20000000000005</v>
      </c>
      <c r="S42" s="344">
        <f>'BZ by State 1st Crop'!S42+'BZ by State 2nd Crop'!S42+'BZ by State 3rd Crop'!S42</f>
        <v>1239.3000000000002</v>
      </c>
      <c r="T42" s="344">
        <f>'BZ by State 1st Crop'!T42+'BZ by State 2nd Crop'!T42+'BZ by State 3rd Crop'!T42</f>
        <v>1267.5</v>
      </c>
      <c r="U42" s="344">
        <f>'BZ by State 1st Crop'!U42+'BZ by State 2nd Crop'!U42+'BZ by State 3rd Crop'!U42</f>
        <v>1365</v>
      </c>
      <c r="V42" s="344">
        <f>'BZ by State 1st Crop'!V42+'BZ by State 2nd Crop'!V42+'BZ by State 3rd Crop'!V42</f>
        <v>1088.0999999999999</v>
      </c>
      <c r="W42" s="344">
        <f>'BZ by State 1st Crop'!W42+'BZ by State 2nd Crop'!W42+'BZ by State 3rd Crop'!W42</f>
        <v>629.70000000000005</v>
      </c>
      <c r="X42" s="344">
        <f>'BZ by State 1st Crop'!X42+'BZ by State 2nd Crop'!X42+'BZ by State 3rd Crop'!X42</f>
        <v>882.30000000000007</v>
      </c>
      <c r="Y42" s="344">
        <f>'BZ by State 1st Crop'!Y42+'BZ by State 2nd Crop'!Y42+'BZ by State 3rd Crop'!Y42</f>
        <v>940.80000000000007</v>
      </c>
      <c r="Z42" s="344">
        <f>'BZ by State 1st Crop'!Z42+'BZ by State 2nd Crop'!Z42+'BZ by State 3rd Crop'!Z42</f>
        <v>930</v>
      </c>
      <c r="AA42" s="344">
        <f>'BZ by State 1st Crop'!AA42+'BZ by State 2nd Crop'!AA42+'BZ by State 3rd Crop'!AA42</f>
        <v>973.5</v>
      </c>
      <c r="AB42" s="344">
        <f>'BZ by State 1st Crop'!AB42+'BZ by State 2nd Crop'!AB42+'BZ by State 3rd Crop'!AB42</f>
        <v>1242.5999999999999</v>
      </c>
      <c r="AC42" s="344">
        <f>'BZ by State 1st Crop'!AC42+'BZ by State 2nd Crop'!AC42+'BZ by State 3rd Crop'!AC42</f>
        <v>1291.1999999999998</v>
      </c>
      <c r="AD42" s="344">
        <f>'BZ by State 1st Crop'!AD42+'BZ by State 2nd Crop'!AD42+'BZ by State 3rd Crop'!AD42</f>
        <v>1215.3000000000002</v>
      </c>
      <c r="AE42" s="344">
        <f>'BZ by State 1st Crop'!AE42+'BZ by State 2nd Crop'!AE42+'BZ by State 3rd Crop'!AE42</f>
        <v>1273.1999999999998</v>
      </c>
      <c r="AF42" s="344">
        <f>'BZ by State 1st Crop'!AF42+'BZ by State 2nd Crop'!AF42+'BZ by State 3rd Crop'!AF42</f>
        <v>1341.3000000000002</v>
      </c>
      <c r="AG42" s="344">
        <f>'BZ by State 1st Crop'!AG42+'BZ by State 2nd Crop'!AG42+'BZ by State 3rd Crop'!AG42</f>
        <v>1471.1999999999998</v>
      </c>
      <c r="AH42" s="344">
        <f>'BZ by State 1st Crop'!AH42+'BZ by State 2nd Crop'!AH42+'BZ by State 3rd Crop'!AH42</f>
        <v>1512.3000000000002</v>
      </c>
      <c r="AI42" s="344">
        <f>'BZ by State 1st Crop'!AI42+'BZ by State 2nd Crop'!AI42+'BZ by State 3rd Crop'!AI42</f>
        <v>1686.3000000000002</v>
      </c>
      <c r="AJ42" s="344">
        <f>'BZ by State 1st Crop'!AJ42+'BZ by State 2nd Crop'!AJ42+'BZ by State 3rd Crop'!AJ42</f>
        <v>2639.1000000000004</v>
      </c>
      <c r="AK42" s="344">
        <f>'BZ by State 1st Crop'!AK42+'BZ by State 2nd Crop'!AK42+'BZ by State 3rd Crop'!AK42</f>
        <v>2194.8000000000002</v>
      </c>
      <c r="AL42" s="344">
        <f>'BZ by State 1st Crop'!AL42+'BZ by State 2nd Crop'!AL42+'BZ by State 3rd Crop'!AL42</f>
        <v>3928.2000000000003</v>
      </c>
      <c r="AM42" s="344">
        <f>'BZ by State 1st Crop'!AM42+'BZ by State 2nd Crop'!AM42+'BZ by State 3rd Crop'!AM42</f>
        <v>5177.7000000000007</v>
      </c>
      <c r="AN42" s="344">
        <f>'BZ by State 1st Crop'!AN42+'BZ by State 2nd Crop'!AN42+'BZ by State 3rd Crop'!AN42</f>
        <v>4407.6000000000004</v>
      </c>
      <c r="AO42" s="344">
        <f>'BZ by State 1st Crop'!AO42+'BZ by State 2nd Crop'!AO42+'BZ by State 3rd Crop'!AO42</f>
        <v>2623.2</v>
      </c>
      <c r="AP42" s="344">
        <f>'BZ by State 1st Crop'!AP42+'BZ by State 2nd Crop'!AP42+'BZ by State 3rd Crop'!AP42</f>
        <v>5855.7000000000007</v>
      </c>
      <c r="AQ42" s="344">
        <f>'BZ by State 1st Crop'!AQ42+'BZ by State 2nd Crop'!AQ42+'BZ by State 3rd Crop'!AQ42</f>
        <v>5652</v>
      </c>
      <c r="AR42" s="344">
        <f>'BZ by State 1st Crop'!AR42+'BZ by State 2nd Crop'!AR42+'BZ by State 3rd Crop'!AR42</f>
        <v>5377.5</v>
      </c>
      <c r="AS42" s="344">
        <f>'BZ by State 1st Crop'!AS42+'BZ by State 2nd Crop'!AS42+'BZ by State 3rd Crop'!AS42</f>
        <v>6588.9000000000005</v>
      </c>
      <c r="AT42" s="344">
        <f>'BZ by State 1st Crop'!AT42+'BZ by State 2nd Crop'!AT42+'BZ by State 3rd Crop'!AT42</f>
        <v>2404.2764000000002</v>
      </c>
      <c r="AU42" s="344">
        <f>'BZ by State 1st Crop'!AU42+'BZ by State 2nd Crop'!AU42+'BZ by State 3rd Crop'!AU42</f>
        <v>2906.4202999999998</v>
      </c>
      <c r="AV42" s="344">
        <f>'BZ by State 1st Crop'!AV42+'BZ by State 2nd Crop'!AV42+'BZ by State 3rd Crop'!AV42</f>
        <v>3143.8440999999993</v>
      </c>
      <c r="AW42" s="344">
        <f>'BZ by State 1st Crop'!AW42+'BZ by State 2nd Crop'!AW42+'BZ by State 3rd Crop'!AW42</f>
        <v>2751.2078999999999</v>
      </c>
      <c r="AX42" s="344">
        <f>'BZ by State 1st Crop'!AX42+'BZ by State 2nd Crop'!AX42+'BZ by State 3rd Crop'!AX42</f>
        <v>3412.3568</v>
      </c>
      <c r="AY42" s="365">
        <f>'BZ by State 1st Crop'!AY42+'BZ by State 2nd Crop'!AY42+'BZ by State 3rd Crop'!AY42</f>
        <v>3122.0839999999998</v>
      </c>
      <c r="AZ42" s="366">
        <f>'BZ by State 1st Crop'!AZ42+'BZ by State 2nd Crop'!AZ42+'BZ by State 3rd Crop'!AZ42</f>
        <v>3122.0839999999998</v>
      </c>
      <c r="BA42" s="366">
        <f>AZ42-AY42</f>
        <v>0</v>
      </c>
      <c r="BB42" s="367">
        <f>AY42-AX42</f>
        <v>-290.27280000000019</v>
      </c>
      <c r="BC42" s="368">
        <f>AZ42-AX42</f>
        <v>-290.27280000000019</v>
      </c>
      <c r="BD42" s="353">
        <f t="shared" si="364"/>
        <v>-0.12330545600414888</v>
      </c>
      <c r="BE42" s="309"/>
      <c r="BF42"/>
      <c r="BG42" s="308"/>
    </row>
    <row r="43" spans="1:63" ht="15" customHeight="1">
      <c r="A43" s="320" t="s">
        <v>364</v>
      </c>
      <c r="B43" s="356"/>
      <c r="C43" s="356"/>
      <c r="D43" s="356"/>
      <c r="E43" s="356"/>
      <c r="F43" s="356"/>
      <c r="G43" s="356"/>
      <c r="H43" s="356"/>
      <c r="I43" s="356"/>
      <c r="J43" s="356"/>
      <c r="K43" s="356"/>
      <c r="L43" s="356"/>
      <c r="M43" s="356"/>
      <c r="N43" s="356"/>
      <c r="O43" s="356"/>
      <c r="P43" s="356"/>
      <c r="Q43" s="356"/>
      <c r="R43" s="356"/>
      <c r="S43" s="356"/>
      <c r="T43" s="356"/>
      <c r="U43" s="356"/>
      <c r="V43" s="356"/>
      <c r="W43" s="356"/>
      <c r="X43" s="356"/>
      <c r="Y43" s="356"/>
      <c r="Z43" s="356"/>
      <c r="AA43" s="356"/>
      <c r="AB43" s="356"/>
      <c r="AC43" s="356"/>
      <c r="AD43" s="356"/>
      <c r="AE43" s="356"/>
      <c r="AF43" s="356"/>
      <c r="AG43" s="356"/>
      <c r="AH43" s="356"/>
      <c r="AI43" s="356"/>
      <c r="AJ43" s="356"/>
      <c r="AK43" s="356"/>
      <c r="AL43" s="356"/>
      <c r="AM43" s="356"/>
      <c r="AN43" s="356"/>
      <c r="AO43" s="356"/>
      <c r="AP43" s="356"/>
      <c r="AQ43" s="356"/>
      <c r="AR43" s="356"/>
      <c r="AS43" s="356"/>
      <c r="AT43" s="328"/>
      <c r="AU43" s="328"/>
      <c r="AV43" s="328"/>
      <c r="AW43" s="328"/>
      <c r="AX43" s="328"/>
      <c r="AY43" s="321"/>
      <c r="AZ43" s="328"/>
      <c r="BA43" s="329"/>
      <c r="BB43" s="321"/>
      <c r="BC43" s="328"/>
      <c r="BD43" s="329"/>
    </row>
    <row r="44" spans="1:63" ht="15" customHeight="1">
      <c r="A44" s="324" t="s">
        <v>352</v>
      </c>
      <c r="B44" s="344">
        <f>'BZ by State 1st Crop'!B44+'BZ by State 2nd Crop'!B44+'BZ by State 3rd Crop'!B44</f>
        <v>198.2</v>
      </c>
      <c r="C44" s="344">
        <f>'BZ by State 1st Crop'!C44+'BZ by State 2nd Crop'!C44+'BZ by State 3rd Crop'!C44</f>
        <v>208.1</v>
      </c>
      <c r="D44" s="344">
        <f>'BZ by State 1st Crop'!D44+'BZ by State 2nd Crop'!D44+'BZ by State 3rd Crop'!D44</f>
        <v>170</v>
      </c>
      <c r="E44" s="344">
        <f>'BZ by State 1st Crop'!E44+'BZ by State 2nd Crop'!E44+'BZ by State 3rd Crop'!E44</f>
        <v>308</v>
      </c>
      <c r="F44" s="344">
        <f>'BZ by State 1st Crop'!F44+'BZ by State 2nd Crop'!F44+'BZ by State 3rd Crop'!F44</f>
        <v>283</v>
      </c>
      <c r="G44" s="344">
        <f>'BZ by State 1st Crop'!G44+'BZ by State 2nd Crop'!G44+'BZ by State 3rd Crop'!G44</f>
        <v>389.5</v>
      </c>
      <c r="H44" s="344">
        <f>'BZ by State 1st Crop'!H44+'BZ by State 2nd Crop'!H44+'BZ by State 3rd Crop'!H44</f>
        <v>266.5</v>
      </c>
      <c r="I44" s="344">
        <f>'BZ by State 1st Crop'!I44+'BZ by State 2nd Crop'!I44+'BZ by State 3rd Crop'!I44</f>
        <v>262</v>
      </c>
      <c r="J44" s="344">
        <f>'BZ by State 1st Crop'!J44+'BZ by State 2nd Crop'!J44+'BZ by State 3rd Crop'!J44</f>
        <v>340</v>
      </c>
      <c r="K44" s="344">
        <f>'BZ by State 1st Crop'!K44+'BZ by State 2nd Crop'!K44+'BZ by State 3rd Crop'!K44</f>
        <v>475.6</v>
      </c>
      <c r="L44" s="344">
        <f>'BZ by State 1st Crop'!L44+'BZ by State 2nd Crop'!L44+'BZ by State 3rd Crop'!L44</f>
        <v>443.5</v>
      </c>
      <c r="M44" s="344">
        <f>'BZ by State 1st Crop'!M44+'BZ by State 2nd Crop'!M44+'BZ by State 3rd Crop'!M44</f>
        <v>456</v>
      </c>
      <c r="N44" s="344">
        <f>'BZ by State 1st Crop'!N44+'BZ by State 2nd Crop'!N44+'BZ by State 3rd Crop'!N44</f>
        <v>428</v>
      </c>
      <c r="O44" s="344">
        <f>'BZ by State 1st Crop'!O44+'BZ by State 2nd Crop'!O44+'BZ by State 3rd Crop'!O44</f>
        <v>320</v>
      </c>
      <c r="P44" s="344">
        <f>'BZ by State 1st Crop'!P44+'BZ by State 2nd Crop'!P44+'BZ by State 3rd Crop'!P44</f>
        <v>325</v>
      </c>
      <c r="Q44" s="344">
        <f>'BZ by State 1st Crop'!Q44+'BZ by State 2nd Crop'!Q44+'BZ by State 3rd Crop'!Q44</f>
        <v>386.3</v>
      </c>
      <c r="R44" s="344">
        <f>'BZ by State 1st Crop'!R44+'BZ by State 2nd Crop'!R44+'BZ by State 3rd Crop'!R44</f>
        <v>397.9</v>
      </c>
      <c r="S44" s="344">
        <f>'BZ by State 1st Crop'!S44+'BZ by State 2nd Crop'!S44+'BZ by State 3rd Crop'!S44</f>
        <v>463.7</v>
      </c>
      <c r="T44" s="344">
        <f>'BZ by State 1st Crop'!T44+'BZ by State 2nd Crop'!T44+'BZ by State 3rd Crop'!T44</f>
        <v>460</v>
      </c>
      <c r="U44" s="344">
        <f>'BZ by State 1st Crop'!U44+'BZ by State 2nd Crop'!U44+'BZ by State 3rd Crop'!U44</f>
        <v>440</v>
      </c>
      <c r="V44" s="344">
        <f>'BZ by State 1st Crop'!V44+'BZ by State 2nd Crop'!V44+'BZ by State 3rd Crop'!V44</f>
        <v>436</v>
      </c>
      <c r="W44" s="344">
        <f>'BZ by State 1st Crop'!W44+'BZ by State 2nd Crop'!W44+'BZ by State 3rd Crop'!W44</f>
        <v>257.2</v>
      </c>
      <c r="X44" s="344">
        <f>'BZ by State 1st Crop'!X44+'BZ by State 2nd Crop'!X44+'BZ by State 3rd Crop'!X44</f>
        <v>277.7</v>
      </c>
      <c r="Y44" s="344">
        <f>'BZ by State 1st Crop'!Y44+'BZ by State 2nd Crop'!Y44+'BZ by State 3rd Crop'!Y44</f>
        <v>283</v>
      </c>
      <c r="Z44" s="344">
        <f>'BZ by State 1st Crop'!Z44+'BZ by State 2nd Crop'!Z44+'BZ by State 3rd Crop'!Z44</f>
        <v>278</v>
      </c>
      <c r="AA44" s="344">
        <f>'BZ by State 1st Crop'!AA44+'BZ by State 2nd Crop'!AA44+'BZ by State 3rd Crop'!AA44</f>
        <v>280</v>
      </c>
      <c r="AB44" s="344">
        <f>'BZ by State 1st Crop'!AB44+'BZ by State 2nd Crop'!AB44+'BZ by State 3rd Crop'!AB44</f>
        <v>282.8</v>
      </c>
      <c r="AC44" s="344">
        <f>'BZ by State 1st Crop'!AC44+'BZ by State 2nd Crop'!AC44+'BZ by State 3rd Crop'!AC44</f>
        <v>297.8</v>
      </c>
      <c r="AD44" s="344">
        <f>'BZ by State 1st Crop'!AD44+'BZ by State 2nd Crop'!AD44+'BZ by State 3rd Crop'!AD44</f>
        <v>294.8</v>
      </c>
      <c r="AE44" s="344">
        <f>'BZ by State 1st Crop'!AE44+'BZ by State 2nd Crop'!AE44+'BZ by State 3rd Crop'!AE44</f>
        <v>290.10000000000002</v>
      </c>
      <c r="AF44" s="344">
        <f>'BZ by State 1st Crop'!AF44+'BZ by State 2nd Crop'!AF44+'BZ by State 3rd Crop'!AF44</f>
        <v>295.3</v>
      </c>
      <c r="AG44" s="344">
        <f>'BZ by State 1st Crop'!AG44+'BZ by State 2nd Crop'!AG44+'BZ by State 3rd Crop'!AG44</f>
        <v>290.89999999999998</v>
      </c>
      <c r="AH44" s="344">
        <f>'BZ by State 1st Crop'!AH44+'BZ by State 2nd Crop'!AH44+'BZ by State 3rd Crop'!AH44</f>
        <v>329.6</v>
      </c>
      <c r="AI44" s="344">
        <f>'BZ by State 1st Crop'!AI44+'BZ by State 2nd Crop'!AI44+'BZ by State 3rd Crop'!AI44</f>
        <v>309.89999999999998</v>
      </c>
      <c r="AJ44" s="344">
        <f>'BZ by State 1st Crop'!AJ44+'BZ by State 2nd Crop'!AJ44+'BZ by State 3rd Crop'!AJ44</f>
        <v>349.6</v>
      </c>
      <c r="AK44" s="344">
        <f>'BZ by State 1st Crop'!AK44+'BZ by State 2nd Crop'!AK44+'BZ by State 3rd Crop'!AK44</f>
        <v>351.59999999999997</v>
      </c>
      <c r="AL44" s="344">
        <f>'BZ by State 1st Crop'!AL44+'BZ by State 2nd Crop'!AL44+'BZ by State 3rd Crop'!AL44</f>
        <v>379.8</v>
      </c>
      <c r="AM44" s="344">
        <f>'BZ by State 1st Crop'!AM44+'BZ by State 2nd Crop'!AM44+'BZ by State 3rd Crop'!AM44</f>
        <v>405</v>
      </c>
      <c r="AN44" s="344">
        <f>'BZ by State 1st Crop'!AN44+'BZ by State 2nd Crop'!AN44+'BZ by State 3rd Crop'!AN44</f>
        <v>406.4</v>
      </c>
      <c r="AO44" s="344">
        <f>'BZ by State 1st Crop'!AO44+'BZ by State 2nd Crop'!AO44+'BZ by State 3rd Crop'!AO44</f>
        <v>492.5</v>
      </c>
      <c r="AP44" s="344">
        <f>'BZ by State 1st Crop'!AP44+'BZ by State 2nd Crop'!AP44+'BZ by State 3rd Crop'!AP44</f>
        <v>467.4</v>
      </c>
      <c r="AQ44" s="344">
        <f>'BZ by State 1st Crop'!AQ44+'BZ by State 2nd Crop'!AQ44+'BZ by State 3rd Crop'!AQ44</f>
        <v>488.5</v>
      </c>
      <c r="AR44" s="344">
        <f>'BZ by State 1st Crop'!AR44+'BZ by State 2nd Crop'!AR44+'BZ by State 3rd Crop'!AR44</f>
        <v>451.6</v>
      </c>
      <c r="AS44" s="344">
        <f>'BZ by State 1st Crop'!AS44+'BZ by State 2nd Crop'!AS44+'BZ by State 3rd Crop'!AS44</f>
        <v>467.6</v>
      </c>
      <c r="AT44" s="344">
        <f>'BZ by State 1st Crop'!AT44+'BZ by State 2nd Crop'!AT44+'BZ by State 3rd Crop'!AT44</f>
        <v>523.4</v>
      </c>
      <c r="AU44" s="344">
        <f>'BZ by State 1st Crop'!AU44+'BZ by State 2nd Crop'!AU44+'BZ by State 3rd Crop'!AU44</f>
        <v>581.6</v>
      </c>
      <c r="AV44" s="344">
        <f>'BZ by State 1st Crop'!AV44+'BZ by State 2nd Crop'!AV44+'BZ by State 3rd Crop'!AV44</f>
        <v>639.4</v>
      </c>
      <c r="AW44" s="344">
        <f>'BZ by State 1st Crop'!AW44+'BZ by State 2nd Crop'!AW44+'BZ by State 3rd Crop'!AW44</f>
        <v>418.1</v>
      </c>
      <c r="AX44" s="344">
        <f>'BZ by State 1st Crop'!AX44+'BZ by State 2nd Crop'!AX44+'BZ by State 3rd Crop'!AX44</f>
        <v>468.90000000000003</v>
      </c>
      <c r="AY44" s="369">
        <f>'BZ by State 1st Crop'!AY44+'BZ by State 2nd Crop'!AY44+'BZ by State 3rd Crop'!AY44</f>
        <v>487.1</v>
      </c>
      <c r="AZ44" s="366">
        <f>'BZ by State 1st Crop'!AZ44+'BZ by State 2nd Crop'!AZ44+'BZ by State 3rd Crop'!AZ44</f>
        <v>487.1</v>
      </c>
      <c r="BA44" s="366">
        <f>AZ44-AY44</f>
        <v>0</v>
      </c>
      <c r="BB44" s="367">
        <f>AY44-AX44</f>
        <v>18.199999999999989</v>
      </c>
      <c r="BC44" s="368">
        <f>AZ44-AX44</f>
        <v>18.199999999999989</v>
      </c>
      <c r="BD44" s="353">
        <f>(AX44/AS44)^(1/5)-1</f>
        <v>5.5541348450649508E-4</v>
      </c>
      <c r="BF44" s="319" t="b">
        <v>0</v>
      </c>
      <c r="BH44" s="311"/>
      <c r="BI44" s="311"/>
      <c r="BJ44" s="311"/>
      <c r="BK44" s="311"/>
    </row>
    <row r="45" spans="1:63" ht="15" customHeight="1">
      <c r="A45" s="324" t="s">
        <v>353</v>
      </c>
      <c r="B45" s="345">
        <f t="shared" ref="B45" si="365">B46/B44*1000</f>
        <v>659.93945509586285</v>
      </c>
      <c r="C45" s="345">
        <f t="shared" ref="C45" si="366">C46/C44*1000</f>
        <v>3676.1172513214801</v>
      </c>
      <c r="D45" s="345">
        <f t="shared" ref="D45" si="367">D46/D44*1000</f>
        <v>3952.9411764705883</v>
      </c>
      <c r="E45" s="345">
        <f t="shared" ref="E45" si="368">E46/E44*1000</f>
        <v>2590.909090909091</v>
      </c>
      <c r="F45" s="345">
        <f t="shared" ref="F45" si="369">F46/F44*1000</f>
        <v>1876.3250883392227</v>
      </c>
      <c r="G45" s="345">
        <f t="shared" ref="G45" si="370">G46/G44*1000</f>
        <v>2333.7612323491658</v>
      </c>
      <c r="H45" s="345">
        <f t="shared" ref="H45" si="371">H46/H44*1000</f>
        <v>1069.4183864915572</v>
      </c>
      <c r="I45" s="345">
        <f t="shared" ref="I45" si="372">I46/I44*1000</f>
        <v>3755.7251908396947</v>
      </c>
      <c r="J45" s="345">
        <f t="shared" ref="J45" si="373">J46/J44*1000</f>
        <v>1111.7647058823529</v>
      </c>
      <c r="K45" s="345">
        <f t="shared" ref="K45" si="374">K46/K44*1000</f>
        <v>1829.2682926829266</v>
      </c>
      <c r="L45" s="345">
        <f t="shared" ref="L45" si="375">L46/L44*1000</f>
        <v>784.66741826381065</v>
      </c>
      <c r="M45" s="345">
        <f t="shared" ref="M45" si="376">M46/M44*1000</f>
        <v>2269.7368421052633</v>
      </c>
      <c r="N45" s="345">
        <f t="shared" ref="N45" si="377">N46/N44*1000</f>
        <v>2397.1962616822429</v>
      </c>
      <c r="O45" s="345">
        <f t="shared" ref="O45" si="378">O46/O44*1000</f>
        <v>1621.875</v>
      </c>
      <c r="P45" s="345">
        <f t="shared" ref="P45" si="379">P46/P44*1000</f>
        <v>3274.1538461538457</v>
      </c>
      <c r="Q45" s="345">
        <f t="shared" ref="Q45" si="380">Q46/Q44*1000</f>
        <v>1842.0916386228316</v>
      </c>
      <c r="R45" s="345">
        <f t="shared" ref="R45" si="381">R46/R44*1000</f>
        <v>1488.3136466448859</v>
      </c>
      <c r="S45" s="345">
        <f t="shared" ref="S45" si="382">S46/S44*1000</f>
        <v>2672.6331679965497</v>
      </c>
      <c r="T45" s="345">
        <f t="shared" ref="T45" si="383">T46/T44*1000</f>
        <v>2755.434782608696</v>
      </c>
      <c r="U45" s="345">
        <f t="shared" ref="U45" si="384">U46/U44*1000</f>
        <v>3102.272727272727</v>
      </c>
      <c r="V45" s="345">
        <f t="shared" ref="V45" si="385">V46/V44*1000</f>
        <v>2495.6422018348621</v>
      </c>
      <c r="W45" s="345">
        <f t="shared" ref="W45" si="386">W46/W44*1000</f>
        <v>2448.2892690513222</v>
      </c>
      <c r="X45" s="345">
        <f t="shared" ref="X45" si="387">X46/X44*1000</f>
        <v>3177.1696074900974</v>
      </c>
      <c r="Y45" s="345">
        <f t="shared" ref="Y45" si="388">Y46/Y44*1000</f>
        <v>3324.3816254416965</v>
      </c>
      <c r="Z45" s="345">
        <f t="shared" ref="Z45" si="389">Z46/Z44*1000</f>
        <v>3345.3237410071943</v>
      </c>
      <c r="AA45" s="345">
        <f t="shared" ref="AA45" si="390">AA46/AA44*1000</f>
        <v>3476.7857142857142</v>
      </c>
      <c r="AB45" s="345">
        <f t="shared" ref="AB45" si="391">AB46/AB44*1000</f>
        <v>4393.9179632248934</v>
      </c>
      <c r="AC45" s="345">
        <f t="shared" ref="AC45" si="392">AC46/AC44*1000</f>
        <v>4335.7958361316314</v>
      </c>
      <c r="AD45" s="345">
        <f t="shared" ref="AD45" si="393">AD46/AD44*1000</f>
        <v>4122.4559023066495</v>
      </c>
      <c r="AE45" s="345">
        <f t="shared" ref="AE45" si="394">AE46/AE44*1000</f>
        <v>4388.8314374353658</v>
      </c>
      <c r="AF45" s="345">
        <f t="shared" ref="AF45" si="395">AF46/AF44*1000</f>
        <v>4542.1605147307828</v>
      </c>
      <c r="AG45" s="345">
        <f t="shared" ref="AG45" si="396">AG46/AG44*1000</f>
        <v>5057.4080440013749</v>
      </c>
      <c r="AH45" s="345">
        <f t="shared" ref="AH45" si="397">AH46/AH44*1000</f>
        <v>4588.2888349514569</v>
      </c>
      <c r="AI45" s="345">
        <f t="shared" ref="AI45" si="398">AI46/AI44*1000</f>
        <v>5441.4327202323338</v>
      </c>
      <c r="AJ45" s="345">
        <f t="shared" ref="AJ45" si="399">AJ46/AJ44*1000</f>
        <v>7548.9130434782619</v>
      </c>
      <c r="AK45" s="345">
        <f t="shared" ref="AK45" si="400">AK46/AK44*1000</f>
        <v>6242.3208191126287</v>
      </c>
      <c r="AL45" s="345">
        <f t="shared" ref="AL45" si="401">AL46/AL44*1000</f>
        <v>10342.812006319116</v>
      </c>
      <c r="AM45" s="345">
        <f t="shared" ref="AM45" si="402">AM46/AM44*1000</f>
        <v>12784.444444444447</v>
      </c>
      <c r="AN45" s="345">
        <f t="shared" ref="AN45" si="403">AN46/AN44*1000</f>
        <v>10845.472440944883</v>
      </c>
      <c r="AO45" s="345">
        <f t="shared" ref="AO45" si="404">AO46/AO44*1000</f>
        <v>5326.2944162436543</v>
      </c>
      <c r="AP45" s="345">
        <f t="shared" ref="AP45" si="405">AP46/AP44*1000</f>
        <v>12528.241335044931</v>
      </c>
      <c r="AQ45" s="345">
        <f t="shared" ref="AQ45" si="406">AQ46/AQ44*1000</f>
        <v>11570.112589559876</v>
      </c>
      <c r="AR45" s="345">
        <f t="shared" ref="AR45" si="407">AR46/AR44*1000</f>
        <v>11907.661647475643</v>
      </c>
      <c r="AS45" s="345">
        <f t="shared" ref="AS45" si="408">AS46/AS44*1000</f>
        <v>14090.889649272884</v>
      </c>
      <c r="AT45" s="345">
        <f t="shared" ref="AT45" si="409">AT46/AT44*1000</f>
        <v>4004.5215896064192</v>
      </c>
      <c r="AU45" s="345">
        <f t="shared" ref="AU45" si="410">AU46/AU44*1000</f>
        <v>4728.4092159559841</v>
      </c>
      <c r="AV45" s="345">
        <f t="shared" ref="AV45" si="411">AV46/AV44*1000</f>
        <v>4523.0556771973725</v>
      </c>
      <c r="AW45" s="345">
        <f t="shared" ref="AW45" si="412">AW46/AW44*1000</f>
        <v>3696.1370485529778</v>
      </c>
      <c r="AX45" s="345">
        <f t="shared" ref="AX45" si="413">AX46/AX44*1000</f>
        <v>4095.9443378119004</v>
      </c>
      <c r="AY45" s="346">
        <f t="shared" ref="AY45:AZ45" si="414">AY46/AY44*1000</f>
        <v>4349.4126462738659</v>
      </c>
      <c r="AZ45" s="347">
        <f t="shared" si="414"/>
        <v>4349.4126462738659</v>
      </c>
      <c r="BA45" s="347">
        <f>AZ45-AY45</f>
        <v>0</v>
      </c>
      <c r="BB45" s="351">
        <f>AY45-AX45</f>
        <v>253.46830846196553</v>
      </c>
      <c r="BC45" s="352">
        <f>AZ45-AX45</f>
        <v>253.46830846196553</v>
      </c>
      <c r="BD45" s="353">
        <f t="shared" ref="BD45:BD46" si="415">(AX45/AS45)^(1/5)-1</f>
        <v>-0.21894228515955438</v>
      </c>
    </row>
    <row r="46" spans="1:63" s="311" customFormat="1" ht="15" customHeight="1">
      <c r="A46" s="324" t="s">
        <v>354</v>
      </c>
      <c r="B46" s="344">
        <f>'BZ by State 1st Crop'!B46+'BZ by State 2nd Crop'!B46+'BZ by State 3rd Crop'!B46</f>
        <v>130.80000000000001</v>
      </c>
      <c r="C46" s="344">
        <f>'BZ by State 1st Crop'!C46+'BZ by State 2nd Crop'!C46+'BZ by State 3rd Crop'!C46</f>
        <v>765</v>
      </c>
      <c r="D46" s="344">
        <f>'BZ by State 1st Crop'!D46+'BZ by State 2nd Crop'!D46+'BZ by State 3rd Crop'!D46</f>
        <v>672</v>
      </c>
      <c r="E46" s="344">
        <f>'BZ by State 1st Crop'!E46+'BZ by State 2nd Crop'!E46+'BZ by State 3rd Crop'!E46</f>
        <v>798</v>
      </c>
      <c r="F46" s="344">
        <f>'BZ by State 1st Crop'!F46+'BZ by State 2nd Crop'!F46+'BZ by State 3rd Crop'!F46</f>
        <v>531</v>
      </c>
      <c r="G46" s="344">
        <f>'BZ by State 1st Crop'!G46+'BZ by State 2nd Crop'!G46+'BZ by State 3rd Crop'!G46</f>
        <v>909</v>
      </c>
      <c r="H46" s="344">
        <f>'BZ by State 1st Crop'!H46+'BZ by State 2nd Crop'!H46+'BZ by State 3rd Crop'!H46</f>
        <v>285</v>
      </c>
      <c r="I46" s="344">
        <f>'BZ by State 1st Crop'!I46+'BZ by State 2nd Crop'!I46+'BZ by State 3rd Crop'!I46</f>
        <v>984</v>
      </c>
      <c r="J46" s="344">
        <f>'BZ by State 1st Crop'!J46+'BZ by State 2nd Crop'!J46+'BZ by State 3rd Crop'!J46</f>
        <v>378</v>
      </c>
      <c r="K46" s="344">
        <f>'BZ by State 1st Crop'!K46+'BZ by State 2nd Crop'!K46+'BZ by State 3rd Crop'!K46</f>
        <v>870</v>
      </c>
      <c r="L46" s="344">
        <f>'BZ by State 1st Crop'!L46+'BZ by State 2nd Crop'!L46+'BZ by State 3rd Crop'!L46</f>
        <v>348</v>
      </c>
      <c r="M46" s="344">
        <f>'BZ by State 1st Crop'!M46+'BZ by State 2nd Crop'!M46+'BZ by State 3rd Crop'!M46</f>
        <v>1035</v>
      </c>
      <c r="N46" s="344">
        <f>'BZ by State 1st Crop'!N46+'BZ by State 2nd Crop'!N46+'BZ by State 3rd Crop'!N46</f>
        <v>1026</v>
      </c>
      <c r="O46" s="344">
        <f>'BZ by State 1st Crop'!O46+'BZ by State 2nd Crop'!O46+'BZ by State 3rd Crop'!O46</f>
        <v>519</v>
      </c>
      <c r="P46" s="344">
        <f>'BZ by State 1st Crop'!P46+'BZ by State 2nd Crop'!P46+'BZ by State 3rd Crop'!P46</f>
        <v>1064.0999999999999</v>
      </c>
      <c r="Q46" s="344">
        <f>'BZ by State 1st Crop'!Q46+'BZ by State 2nd Crop'!Q46+'BZ by State 3rd Crop'!Q46</f>
        <v>711.59999999999991</v>
      </c>
      <c r="R46" s="344">
        <f>'BZ by State 1st Crop'!R46+'BZ by State 2nd Crop'!R46+'BZ by State 3rd Crop'!R46</f>
        <v>592.20000000000005</v>
      </c>
      <c r="S46" s="344">
        <f>'BZ by State 1st Crop'!S46+'BZ by State 2nd Crop'!S46+'BZ by State 3rd Crop'!S46</f>
        <v>1239.3000000000002</v>
      </c>
      <c r="T46" s="344">
        <f>'BZ by State 1st Crop'!T46+'BZ by State 2nd Crop'!T46+'BZ by State 3rd Crop'!T46</f>
        <v>1267.5</v>
      </c>
      <c r="U46" s="344">
        <f>'BZ by State 1st Crop'!U46+'BZ by State 2nd Crop'!U46+'BZ by State 3rd Crop'!U46</f>
        <v>1365</v>
      </c>
      <c r="V46" s="344">
        <f>'BZ by State 1st Crop'!V46+'BZ by State 2nd Crop'!V46+'BZ by State 3rd Crop'!V46</f>
        <v>1088.0999999999999</v>
      </c>
      <c r="W46" s="344">
        <f>'BZ by State 1st Crop'!W46+'BZ by State 2nd Crop'!W46+'BZ by State 3rd Crop'!W46</f>
        <v>629.70000000000005</v>
      </c>
      <c r="X46" s="344">
        <f>'BZ by State 1st Crop'!X46+'BZ by State 2nd Crop'!X46+'BZ by State 3rd Crop'!X46</f>
        <v>882.30000000000007</v>
      </c>
      <c r="Y46" s="344">
        <f>'BZ by State 1st Crop'!Y46+'BZ by State 2nd Crop'!Y46+'BZ by State 3rd Crop'!Y46</f>
        <v>940.80000000000007</v>
      </c>
      <c r="Z46" s="344">
        <f>'BZ by State 1st Crop'!Z46+'BZ by State 2nd Crop'!Z46+'BZ by State 3rd Crop'!Z46</f>
        <v>930</v>
      </c>
      <c r="AA46" s="344">
        <f>'BZ by State 1st Crop'!AA46+'BZ by State 2nd Crop'!AA46+'BZ by State 3rd Crop'!AA46</f>
        <v>973.5</v>
      </c>
      <c r="AB46" s="344">
        <f>'BZ by State 1st Crop'!AB46+'BZ by State 2nd Crop'!AB46+'BZ by State 3rd Crop'!AB46</f>
        <v>1242.5999999999999</v>
      </c>
      <c r="AC46" s="344">
        <f>'BZ by State 1st Crop'!AC46+'BZ by State 2nd Crop'!AC46+'BZ by State 3rd Crop'!AC46</f>
        <v>1291.1999999999998</v>
      </c>
      <c r="AD46" s="344">
        <f>'BZ by State 1st Crop'!AD46+'BZ by State 2nd Crop'!AD46+'BZ by State 3rd Crop'!AD46</f>
        <v>1215.3000000000002</v>
      </c>
      <c r="AE46" s="344">
        <f>'BZ by State 1st Crop'!AE46+'BZ by State 2nd Crop'!AE46+'BZ by State 3rd Crop'!AE46</f>
        <v>1273.1999999999998</v>
      </c>
      <c r="AF46" s="344">
        <f>'BZ by State 1st Crop'!AF46+'BZ by State 2nd Crop'!AF46+'BZ by State 3rd Crop'!AF46</f>
        <v>1341.3000000000002</v>
      </c>
      <c r="AG46" s="344">
        <f>'BZ by State 1st Crop'!AG46+'BZ by State 2nd Crop'!AG46+'BZ by State 3rd Crop'!AG46</f>
        <v>1471.1999999999998</v>
      </c>
      <c r="AH46" s="344">
        <f>'BZ by State 1st Crop'!AH46+'BZ by State 2nd Crop'!AH46+'BZ by State 3rd Crop'!AH46</f>
        <v>1512.3000000000002</v>
      </c>
      <c r="AI46" s="344">
        <f>'BZ by State 1st Crop'!AI46+'BZ by State 2nd Crop'!AI46+'BZ by State 3rd Crop'!AI46</f>
        <v>1686.3000000000002</v>
      </c>
      <c r="AJ46" s="344">
        <f>'BZ by State 1st Crop'!AJ46+'BZ by State 2nd Crop'!AJ46+'BZ by State 3rd Crop'!AJ46</f>
        <v>2639.1000000000004</v>
      </c>
      <c r="AK46" s="344">
        <f>'BZ by State 1st Crop'!AK46+'BZ by State 2nd Crop'!AK46+'BZ by State 3rd Crop'!AK46</f>
        <v>2194.8000000000002</v>
      </c>
      <c r="AL46" s="344">
        <f>'BZ by State 1st Crop'!AL46+'BZ by State 2nd Crop'!AL46+'BZ by State 3rd Crop'!AL46</f>
        <v>3928.2000000000003</v>
      </c>
      <c r="AM46" s="344">
        <f>'BZ by State 1st Crop'!AM46+'BZ by State 2nd Crop'!AM46+'BZ by State 3rd Crop'!AM46</f>
        <v>5177.7000000000007</v>
      </c>
      <c r="AN46" s="344">
        <f>'BZ by State 1st Crop'!AN46+'BZ by State 2nd Crop'!AN46+'BZ by State 3rd Crop'!AN46</f>
        <v>4407.6000000000004</v>
      </c>
      <c r="AO46" s="344">
        <f>'BZ by State 1st Crop'!AO46+'BZ by State 2nd Crop'!AO46+'BZ by State 3rd Crop'!AO46</f>
        <v>2623.2</v>
      </c>
      <c r="AP46" s="344">
        <f>'BZ by State 1st Crop'!AP46+'BZ by State 2nd Crop'!AP46+'BZ by State 3rd Crop'!AP46</f>
        <v>5855.7000000000007</v>
      </c>
      <c r="AQ46" s="344">
        <f>'BZ by State 1st Crop'!AQ46+'BZ by State 2nd Crop'!AQ46+'BZ by State 3rd Crop'!AQ46</f>
        <v>5652</v>
      </c>
      <c r="AR46" s="344">
        <f>'BZ by State 1st Crop'!AR46+'BZ by State 2nd Crop'!AR46+'BZ by State 3rd Crop'!AR46</f>
        <v>5377.5</v>
      </c>
      <c r="AS46" s="344">
        <f>'BZ by State 1st Crop'!AS46+'BZ by State 2nd Crop'!AS46+'BZ by State 3rd Crop'!AS46</f>
        <v>6588.9000000000005</v>
      </c>
      <c r="AT46" s="344">
        <f>'BZ by State 1st Crop'!AT46+'BZ by State 2nd Crop'!AT46+'BZ by State 3rd Crop'!AT46</f>
        <v>2095.9665999999997</v>
      </c>
      <c r="AU46" s="344">
        <f>'BZ by State 1st Crop'!AU46+'BZ by State 2nd Crop'!AU46+'BZ by State 3rd Crop'!AU46</f>
        <v>2750.0428000000002</v>
      </c>
      <c r="AV46" s="344">
        <f>'BZ by State 1st Crop'!AV46+'BZ by State 2nd Crop'!AV46+'BZ by State 3rd Crop'!AV46</f>
        <v>2892.0418</v>
      </c>
      <c r="AW46" s="344">
        <f>'BZ by State 1st Crop'!AW46+'BZ by State 2nd Crop'!AW46+'BZ by State 3rd Crop'!AW46</f>
        <v>1545.3549</v>
      </c>
      <c r="AX46" s="344">
        <f>'BZ by State 1st Crop'!AX46+'BZ by State 2nd Crop'!AX46+'BZ by State 3rd Crop'!AX46</f>
        <v>1920.5883000000003</v>
      </c>
      <c r="AY46" s="365">
        <f>'BZ by State 1st Crop'!AY46+'BZ by State 2nd Crop'!AY46+'BZ by State 3rd Crop'!AY46</f>
        <v>2118.5989</v>
      </c>
      <c r="AZ46" s="366">
        <f>'BZ by State 1st Crop'!AZ46+'BZ by State 2nd Crop'!AZ46+'BZ by State 3rd Crop'!AZ46</f>
        <v>2118.5989</v>
      </c>
      <c r="BA46" s="366">
        <f>AZ46-AY46</f>
        <v>0</v>
      </c>
      <c r="BB46" s="367">
        <f>AY46-AX46</f>
        <v>198.01059999999961</v>
      </c>
      <c r="BC46" s="368">
        <f>AZ46-AX46</f>
        <v>198.01059999999961</v>
      </c>
      <c r="BD46" s="353">
        <f t="shared" si="415"/>
        <v>-0.21850847517255401</v>
      </c>
      <c r="BE46" s="309"/>
      <c r="BF46"/>
      <c r="BG46" s="308"/>
    </row>
    <row r="47" spans="1:63" ht="15" customHeight="1">
      <c r="A47" s="320" t="s">
        <v>365</v>
      </c>
      <c r="B47" s="356"/>
      <c r="C47" s="356"/>
      <c r="D47" s="356"/>
      <c r="E47" s="356"/>
      <c r="F47" s="356"/>
      <c r="G47" s="356"/>
      <c r="H47" s="356"/>
      <c r="I47" s="356"/>
      <c r="J47" s="356"/>
      <c r="K47" s="356"/>
      <c r="L47" s="356"/>
      <c r="M47" s="356"/>
      <c r="N47" s="356"/>
      <c r="O47" s="356"/>
      <c r="P47" s="356"/>
      <c r="Q47" s="356"/>
      <c r="R47" s="356"/>
      <c r="S47" s="356"/>
      <c r="T47" s="356"/>
      <c r="U47" s="356"/>
      <c r="V47" s="356"/>
      <c r="W47" s="356"/>
      <c r="X47" s="356"/>
      <c r="Y47" s="356"/>
      <c r="Z47" s="356"/>
      <c r="AA47" s="356"/>
      <c r="AB47" s="356"/>
      <c r="AC47" s="356"/>
      <c r="AD47" s="356"/>
      <c r="AE47" s="356"/>
      <c r="AF47" s="356"/>
      <c r="AG47" s="356"/>
      <c r="AH47" s="356"/>
      <c r="AI47" s="356"/>
      <c r="AJ47" s="356"/>
      <c r="AK47" s="356"/>
      <c r="AL47" s="356"/>
      <c r="AM47" s="356"/>
      <c r="AN47" s="356"/>
      <c r="AO47" s="356"/>
      <c r="AP47" s="356"/>
      <c r="AQ47" s="356"/>
      <c r="AR47" s="356"/>
      <c r="AS47" s="356"/>
      <c r="AT47" s="328"/>
      <c r="AU47" s="328"/>
      <c r="AV47" s="328"/>
      <c r="AW47" s="328"/>
      <c r="AX47" s="328"/>
      <c r="AY47" s="321"/>
      <c r="AZ47" s="328"/>
      <c r="BA47" s="329"/>
      <c r="BB47" s="321"/>
      <c r="BC47" s="328"/>
      <c r="BD47" s="329"/>
    </row>
    <row r="48" spans="1:63" ht="15" customHeight="1">
      <c r="A48" s="324" t="s">
        <v>352</v>
      </c>
      <c r="B48" s="344">
        <f>'BZ by State 1st Crop'!B48+'BZ by State 2nd Crop'!B48+'BZ by State 3rd Crop'!B48</f>
        <v>530</v>
      </c>
      <c r="C48" s="344">
        <f>'BZ by State 1st Crop'!C48+'BZ by State 2nd Crop'!C48+'BZ by State 3rd Crop'!C48</f>
        <v>496</v>
      </c>
      <c r="D48" s="344">
        <f>'BZ by State 1st Crop'!D48+'BZ by State 2nd Crop'!D48+'BZ by State 3rd Crop'!D48</f>
        <v>426</v>
      </c>
      <c r="E48" s="344">
        <f>'BZ by State 1st Crop'!E48+'BZ by State 2nd Crop'!E48+'BZ by State 3rd Crop'!E48</f>
        <v>520</v>
      </c>
      <c r="F48" s="344">
        <f>'BZ by State 1st Crop'!F48+'BZ by State 2nd Crop'!F48+'BZ by State 3rd Crop'!F48</f>
        <v>520</v>
      </c>
      <c r="G48" s="344">
        <f>'BZ by State 1st Crop'!G48+'BZ by State 2nd Crop'!G48+'BZ by State 3rd Crop'!G48</f>
        <v>505.8</v>
      </c>
      <c r="H48" s="344">
        <f>'BZ by State 1st Crop'!H48+'BZ by State 2nd Crop'!H48+'BZ by State 3rd Crop'!H48</f>
        <v>480</v>
      </c>
      <c r="I48" s="344">
        <f>'BZ by State 1st Crop'!I48+'BZ by State 2nd Crop'!I48+'BZ by State 3rd Crop'!I48</f>
        <v>400</v>
      </c>
      <c r="J48" s="344">
        <f>'BZ by State 1st Crop'!J48+'BZ by State 2nd Crop'!J48+'BZ by State 3rd Crop'!J48</f>
        <v>460</v>
      </c>
      <c r="K48" s="344">
        <f>'BZ by State 1st Crop'!K48+'BZ by State 2nd Crop'!K48+'BZ by State 3rd Crop'!K48</f>
        <v>512</v>
      </c>
      <c r="L48" s="344">
        <f>'BZ by State 1st Crop'!L48+'BZ by State 2nd Crop'!L48+'BZ by State 3rd Crop'!L48</f>
        <v>638</v>
      </c>
      <c r="M48" s="344">
        <f>'BZ by State 1st Crop'!M48+'BZ by State 2nd Crop'!M48+'BZ by State 3rd Crop'!M48</f>
        <v>641</v>
      </c>
      <c r="N48" s="344">
        <f>'BZ by State 1st Crop'!N48+'BZ by State 2nd Crop'!N48+'BZ by State 3rd Crop'!N48</f>
        <v>540</v>
      </c>
      <c r="O48" s="344">
        <f>'BZ by State 1st Crop'!O48+'BZ by State 2nd Crop'!O48+'BZ by State 3rd Crop'!O48</f>
        <v>630</v>
      </c>
      <c r="P48" s="344">
        <f>'BZ by State 1st Crop'!P48+'BZ by State 2nd Crop'!P48+'BZ by State 3rd Crop'!P48</f>
        <v>586</v>
      </c>
      <c r="Q48" s="344">
        <f>'BZ by State 1st Crop'!Q48+'BZ by State 2nd Crop'!Q48+'BZ by State 3rd Crop'!Q48</f>
        <v>610.70000000000005</v>
      </c>
      <c r="R48" s="344">
        <f>'BZ by State 1st Crop'!R48+'BZ by State 2nd Crop'!R48+'BZ by State 3rd Crop'!R48</f>
        <v>486.8</v>
      </c>
      <c r="S48" s="344">
        <f>'BZ by State 1st Crop'!S48+'BZ by State 2nd Crop'!S48+'BZ by State 3rd Crop'!S48</f>
        <v>704.3</v>
      </c>
      <c r="T48" s="344">
        <f>'BZ by State 1st Crop'!T48+'BZ by State 2nd Crop'!T48+'BZ by State 3rd Crop'!T48</f>
        <v>651.20000000000005</v>
      </c>
      <c r="U48" s="344">
        <f>'BZ by State 1st Crop'!U48+'BZ by State 2nd Crop'!U48+'BZ by State 3rd Crop'!U48</f>
        <v>688.3</v>
      </c>
      <c r="V48" s="344">
        <f>'BZ by State 1st Crop'!V48+'BZ by State 2nd Crop'!V48+'BZ by State 3rd Crop'!V48</f>
        <v>522.6</v>
      </c>
      <c r="W48" s="344">
        <f>'BZ by State 1st Crop'!W48+'BZ by State 2nd Crop'!W48+'BZ by State 3rd Crop'!W48</f>
        <v>480.8</v>
      </c>
      <c r="X48" s="344">
        <f>'BZ by State 1st Crop'!X48+'BZ by State 2nd Crop'!X48+'BZ by State 3rd Crop'!X48</f>
        <v>581.79999999999995</v>
      </c>
      <c r="Y48" s="344">
        <f>'BZ by State 1st Crop'!Y48+'BZ by State 2nd Crop'!Y48+'BZ by State 3rd Crop'!Y48</f>
        <v>619</v>
      </c>
      <c r="Z48" s="344">
        <f>'BZ by State 1st Crop'!Z48+'BZ by State 2nd Crop'!Z48+'BZ by State 3rd Crop'!Z48</f>
        <v>612.79999999999995</v>
      </c>
      <c r="AA48" s="344">
        <f>'BZ by State 1st Crop'!AA48+'BZ by State 2nd Crop'!AA48+'BZ by State 3rd Crop'!AA48</f>
        <v>695.6</v>
      </c>
      <c r="AB48" s="344">
        <f>'BZ by State 1st Crop'!AB48+'BZ by State 2nd Crop'!AB48+'BZ by State 3rd Crop'!AB48</f>
        <v>713.7</v>
      </c>
      <c r="AC48" s="344">
        <f>'BZ by State 1st Crop'!AC48+'BZ by State 2nd Crop'!AC48+'BZ by State 3rd Crop'!AC48</f>
        <v>681.6</v>
      </c>
      <c r="AD48" s="344">
        <f>'BZ by State 1st Crop'!AD48+'BZ by State 2nd Crop'!AD48+'BZ by State 3rd Crop'!AD48</f>
        <v>558.9</v>
      </c>
      <c r="AE48" s="344">
        <f>'BZ by State 1st Crop'!AE48+'BZ by State 2nd Crop'!AE48+'BZ by State 3rd Crop'!AE48</f>
        <v>638.79999999999995</v>
      </c>
      <c r="AF48" s="344">
        <f>'BZ by State 1st Crop'!AF48+'BZ by State 2nd Crop'!AF48+'BZ by State 3rd Crop'!AF48</f>
        <v>673.9</v>
      </c>
      <c r="AG48" s="344">
        <f>'BZ by State 1st Crop'!AG48+'BZ by State 2nd Crop'!AG48+'BZ by State 3rd Crop'!AG48</f>
        <v>694.2</v>
      </c>
      <c r="AH48" s="344">
        <f>'BZ by State 1st Crop'!AH48+'BZ by State 2nd Crop'!AH48+'BZ by State 3rd Crop'!AH48</f>
        <v>689.3</v>
      </c>
      <c r="AI48" s="344">
        <f>'BZ by State 1st Crop'!AI48+'BZ by State 2nd Crop'!AI48+'BZ by State 3rd Crop'!AI48</f>
        <v>535.6</v>
      </c>
      <c r="AJ48" s="344">
        <f>'BZ by State 1st Crop'!AJ48+'BZ by State 2nd Crop'!AJ48+'BZ by State 3rd Crop'!AJ48</f>
        <v>723</v>
      </c>
      <c r="AK48" s="344">
        <f>'BZ by State 1st Crop'!AK48+'BZ by State 2nd Crop'!AK48+'BZ by State 3rd Crop'!AK48</f>
        <v>520.6</v>
      </c>
      <c r="AL48" s="344">
        <f>'BZ by State 1st Crop'!AL48+'BZ by State 2nd Crop'!AL48+'BZ by State 3rd Crop'!AL48</f>
        <v>408.7</v>
      </c>
      <c r="AM48" s="344">
        <f>'BZ by State 1st Crop'!AM48+'BZ by State 2nd Crop'!AM48+'BZ by State 3rd Crop'!AM48</f>
        <v>480.6</v>
      </c>
      <c r="AN48" s="344">
        <f>'BZ by State 1st Crop'!AN48+'BZ by State 2nd Crop'!AN48+'BZ by State 3rd Crop'!AN48</f>
        <v>480.6</v>
      </c>
      <c r="AO48" s="344">
        <f>'BZ by State 1st Crop'!AO48+'BZ by State 2nd Crop'!AO48+'BZ by State 3rd Crop'!AO48</f>
        <v>460.2</v>
      </c>
      <c r="AP48" s="344">
        <f>'BZ by State 1st Crop'!AP48+'BZ by State 2nd Crop'!AP48+'BZ by State 3rd Crop'!AP48</f>
        <v>514</v>
      </c>
      <c r="AQ48" s="344">
        <f>'BZ by State 1st Crop'!AQ48+'BZ by State 2nd Crop'!AQ48+'BZ by State 3rd Crop'!AQ48</f>
        <v>535.1</v>
      </c>
      <c r="AR48" s="344">
        <f>'BZ by State 1st Crop'!AR48+'BZ by State 2nd Crop'!AR48+'BZ by State 3rd Crop'!AR48</f>
        <v>501.9</v>
      </c>
      <c r="AS48" s="344">
        <f>'BZ by State 1st Crop'!AS48+'BZ by State 2nd Crop'!AS48+'BZ by State 3rd Crop'!AS48</f>
        <v>519.5</v>
      </c>
      <c r="AT48" s="344">
        <f>'BZ by State 1st Crop'!AT48+'BZ by State 2nd Crop'!AT48+'BZ by State 3rd Crop'!AT48</f>
        <v>543.9</v>
      </c>
      <c r="AU48" s="344">
        <f>'BZ by State 1st Crop'!AU48+'BZ by State 2nd Crop'!AU48+'BZ by State 3rd Crop'!AU48</f>
        <v>560.79999999999995</v>
      </c>
      <c r="AV48" s="344">
        <f>'BZ by State 1st Crop'!AV48+'BZ by State 2nd Crop'!AV48+'BZ by State 3rd Crop'!AV48</f>
        <v>584</v>
      </c>
      <c r="AW48" s="344">
        <f>'BZ by State 1st Crop'!AW48+'BZ by State 2nd Crop'!AW48+'BZ by State 3rd Crop'!AW48</f>
        <v>602.5</v>
      </c>
      <c r="AX48" s="344">
        <f>'BZ by State 1st Crop'!AX48+'BZ by State 2nd Crop'!AX48+'BZ by State 3rd Crop'!AX48</f>
        <v>588.6</v>
      </c>
      <c r="AY48" s="369">
        <f>'BZ by State 1st Crop'!AY48+'BZ by State 2nd Crop'!AY48+'BZ by State 3rd Crop'!AY48</f>
        <v>590.4</v>
      </c>
      <c r="AZ48" s="366">
        <f>'BZ by State 1st Crop'!AZ48+'BZ by State 2nd Crop'!AZ48+'BZ by State 3rd Crop'!AZ48</f>
        <v>590.4</v>
      </c>
      <c r="BA48" s="366">
        <f>AZ48-AY48</f>
        <v>0</v>
      </c>
      <c r="BB48" s="367">
        <f>AY48-AX48</f>
        <v>1.7999999999999545</v>
      </c>
      <c r="BC48" s="368">
        <f>AZ48-AX48</f>
        <v>1.7999999999999545</v>
      </c>
      <c r="BD48" s="370">
        <f>(AX48/AS48)^(1/5)-1</f>
        <v>2.5290518436610787E-2</v>
      </c>
      <c r="BF48" s="319" t="b">
        <v>0</v>
      </c>
      <c r="BH48" s="311"/>
      <c r="BI48" s="311"/>
      <c r="BJ48" s="311"/>
      <c r="BK48" s="311"/>
    </row>
    <row r="49" spans="1:63" ht="15" customHeight="1">
      <c r="A49" s="324" t="s">
        <v>353</v>
      </c>
      <c r="B49" s="345">
        <f t="shared" ref="B49" si="416">B50/B48*1000</f>
        <v>660.37735849056605</v>
      </c>
      <c r="C49" s="345">
        <f t="shared" ref="C49" si="417">C50/C48*1000</f>
        <v>1542.3387096774193</v>
      </c>
      <c r="D49" s="345">
        <f t="shared" ref="D49" si="418">D50/D48*1000</f>
        <v>1577.4647887323943</v>
      </c>
      <c r="E49" s="345">
        <f t="shared" ref="E49" si="419">E50/E48*1000</f>
        <v>1534.6153846153848</v>
      </c>
      <c r="F49" s="345">
        <f t="shared" ref="F49" si="420">F50/F48*1000</f>
        <v>1021.1538461538461</v>
      </c>
      <c r="G49" s="345">
        <f t="shared" ref="G49" si="421">G50/G48*1000</f>
        <v>1797.1530249110319</v>
      </c>
      <c r="H49" s="345">
        <f t="shared" ref="H49" si="422">H50/H48*1000</f>
        <v>593.75</v>
      </c>
      <c r="I49" s="345">
        <f t="shared" ref="I49" si="423">I50/I48*1000</f>
        <v>2460</v>
      </c>
      <c r="J49" s="345">
        <f t="shared" ref="J49" si="424">J50/J48*1000</f>
        <v>821.73913043478262</v>
      </c>
      <c r="K49" s="345">
        <f t="shared" ref="K49" si="425">K50/K48*1000</f>
        <v>1699.21875</v>
      </c>
      <c r="L49" s="345">
        <f t="shared" ref="L49" si="426">L50/L48*1000</f>
        <v>545.45454545454538</v>
      </c>
      <c r="M49" s="345">
        <f t="shared" ref="M49" si="427">M50/M48*1000</f>
        <v>1614.6645865834632</v>
      </c>
      <c r="N49" s="345">
        <f t="shared" ref="N49" si="428">N50/N48*1000</f>
        <v>1900</v>
      </c>
      <c r="O49" s="345">
        <f t="shared" ref="O49" si="429">O50/O48*1000</f>
        <v>823.80952380952374</v>
      </c>
      <c r="P49" s="345">
        <f t="shared" ref="P49" si="430">P50/P48*1000</f>
        <v>1815.8703071672353</v>
      </c>
      <c r="Q49" s="345">
        <f t="shared" ref="Q49" si="431">Q50/Q48*1000</f>
        <v>1165.2202390699197</v>
      </c>
      <c r="R49" s="345">
        <f t="shared" ref="R49" si="432">R50/R48*1000</f>
        <v>1216.5160230073952</v>
      </c>
      <c r="S49" s="345">
        <f t="shared" ref="S49" si="433">S50/S48*1000</f>
        <v>1759.619480335085</v>
      </c>
      <c r="T49" s="345">
        <f t="shared" ref="T49" si="434">T50/T48*1000</f>
        <v>1946.4066339066337</v>
      </c>
      <c r="U49" s="345">
        <f t="shared" ref="U49" si="435">U50/U48*1000</f>
        <v>1983.1468836263259</v>
      </c>
      <c r="V49" s="345">
        <f t="shared" ref="V49" si="436">V50/V48*1000</f>
        <v>2082.0895522388055</v>
      </c>
      <c r="W49" s="345">
        <f t="shared" ref="W49" si="437">W50/W48*1000</f>
        <v>1309.6921797004993</v>
      </c>
      <c r="X49" s="345">
        <f t="shared" ref="X49" si="438">X50/X48*1000</f>
        <v>1516.5005156411139</v>
      </c>
      <c r="Y49" s="345">
        <f t="shared" ref="Y49" si="439">Y50/Y48*1000</f>
        <v>1519.8707592891762</v>
      </c>
      <c r="Z49" s="345">
        <f t="shared" ref="Z49" si="440">Z50/Z48*1000</f>
        <v>1517.6240208877284</v>
      </c>
      <c r="AA49" s="345">
        <f t="shared" ref="AA49" si="441">AA50/AA48*1000</f>
        <v>1399.5112133410005</v>
      </c>
      <c r="AB49" s="345">
        <f t="shared" ref="AB49" si="442">AB50/AB48*1000</f>
        <v>1741.0676754939047</v>
      </c>
      <c r="AC49" s="345">
        <f t="shared" ref="AC49" si="443">AC50/AC48*1000</f>
        <v>1894.3661971830984</v>
      </c>
      <c r="AD49" s="345">
        <f t="shared" ref="AD49" si="444">AD50/AD48*1000</f>
        <v>2174.4498121309721</v>
      </c>
      <c r="AE49" s="345">
        <f t="shared" ref="AE49" si="445">AE50/AE48*1000</f>
        <v>1993.1120851596743</v>
      </c>
      <c r="AF49" s="345">
        <f t="shared" ref="AF49" si="446">AF50/AF48*1000</f>
        <v>1990.3546520255234</v>
      </c>
      <c r="AG49" s="345">
        <f t="shared" ref="AG49" si="447">AG50/AG48*1000</f>
        <v>2119.2739844425232</v>
      </c>
      <c r="AH49" s="345">
        <f t="shared" ref="AH49" si="448">AH50/AH48*1000</f>
        <v>2193.9648919193392</v>
      </c>
      <c r="AI49" s="345">
        <f t="shared" ref="AI49" si="449">AI50/AI48*1000</f>
        <v>3148.431665421957</v>
      </c>
      <c r="AJ49" s="345">
        <f t="shared" ref="AJ49" si="450">AJ50/AJ48*1000</f>
        <v>3650.2074688796683</v>
      </c>
      <c r="AK49" s="345">
        <f t="shared" ref="AK49" si="451">AK50/AK48*1000</f>
        <v>4215.9047253169419</v>
      </c>
      <c r="AL49" s="345">
        <f t="shared" ref="AL49" si="452">AL50/AL48*1000</f>
        <v>9611.4509420112554</v>
      </c>
      <c r="AM49" s="345">
        <f t="shared" ref="AM49" si="453">AM50/AM48*1000</f>
        <v>10773.408239700375</v>
      </c>
      <c r="AN49" s="345">
        <f t="shared" ref="AN49" si="454">AN50/AN48*1000</f>
        <v>9171.0362047440703</v>
      </c>
      <c r="AO49" s="345">
        <f t="shared" ref="AO49" si="455">AO50/AO48*1000</f>
        <v>5700.130378096479</v>
      </c>
      <c r="AP49" s="345">
        <f t="shared" ref="AP49" si="456">AP50/AP48*1000</f>
        <v>11392.412451361868</v>
      </c>
      <c r="AQ49" s="345">
        <f t="shared" ref="AQ49" si="457">AQ50/AQ48*1000</f>
        <v>10562.511680059801</v>
      </c>
      <c r="AR49" s="345">
        <f t="shared" ref="AR49" si="458">AR50/AR48*1000</f>
        <v>10714.285714285716</v>
      </c>
      <c r="AS49" s="345">
        <f t="shared" ref="AS49" si="459">AS50/AS48*1000</f>
        <v>12683.15688161694</v>
      </c>
      <c r="AT49" s="345">
        <f t="shared" ref="AT49" si="460">AT50/AT48*1000</f>
        <v>842</v>
      </c>
      <c r="AU49" s="345">
        <f t="shared" ref="AU49" si="461">AU50/AU48*1000</f>
        <v>928.99999999999989</v>
      </c>
      <c r="AV49" s="345">
        <f t="shared" ref="AV49" si="462">AV50/AV48*1000</f>
        <v>619</v>
      </c>
      <c r="AW49" s="345">
        <f t="shared" ref="AW49" si="463">AW50/AW48*1000</f>
        <v>804</v>
      </c>
      <c r="AX49" s="345">
        <f t="shared" ref="AX49" si="464">AX50/AX48*1000</f>
        <v>541</v>
      </c>
      <c r="AY49" s="346">
        <f t="shared" ref="AY49:AZ49" si="465">AY50/AY48*1000</f>
        <v>842.00000000000011</v>
      </c>
      <c r="AZ49" s="347">
        <f t="shared" si="465"/>
        <v>842.00000000000011</v>
      </c>
      <c r="BA49" s="347">
        <f>AZ49-AY49</f>
        <v>0</v>
      </c>
      <c r="BB49" s="351">
        <f>AY49-AX49</f>
        <v>301.00000000000011</v>
      </c>
      <c r="BC49" s="352">
        <f>AZ49-AX49</f>
        <v>301.00000000000011</v>
      </c>
      <c r="BD49" s="353">
        <f t="shared" ref="BD49:BD50" si="466">(AX49/AS49)^(1/5)-1</f>
        <v>-0.46789911636060344</v>
      </c>
    </row>
    <row r="50" spans="1:63" s="311" customFormat="1" ht="15" customHeight="1">
      <c r="A50" s="324" t="s">
        <v>354</v>
      </c>
      <c r="B50" s="344">
        <f>'BZ by State 1st Crop'!B50+'BZ by State 2nd Crop'!B50+'BZ by State 3rd Crop'!B50</f>
        <v>350</v>
      </c>
      <c r="C50" s="344">
        <f>'BZ by State 1st Crop'!C50+'BZ by State 2nd Crop'!C50+'BZ by State 3rd Crop'!C50</f>
        <v>765</v>
      </c>
      <c r="D50" s="344">
        <f>'BZ by State 1st Crop'!D50+'BZ by State 2nd Crop'!D50+'BZ by State 3rd Crop'!D50</f>
        <v>672</v>
      </c>
      <c r="E50" s="344">
        <f>'BZ by State 1st Crop'!E50+'BZ by State 2nd Crop'!E50+'BZ by State 3rd Crop'!E50</f>
        <v>798</v>
      </c>
      <c r="F50" s="344">
        <f>'BZ by State 1st Crop'!F50+'BZ by State 2nd Crop'!F50+'BZ by State 3rd Crop'!F50</f>
        <v>531</v>
      </c>
      <c r="G50" s="344">
        <f>'BZ by State 1st Crop'!G50+'BZ by State 2nd Crop'!G50+'BZ by State 3rd Crop'!G50</f>
        <v>909</v>
      </c>
      <c r="H50" s="344">
        <f>'BZ by State 1st Crop'!H50+'BZ by State 2nd Crop'!H50+'BZ by State 3rd Crop'!H50</f>
        <v>285</v>
      </c>
      <c r="I50" s="344">
        <f>'BZ by State 1st Crop'!I50+'BZ by State 2nd Crop'!I50+'BZ by State 3rd Crop'!I50</f>
        <v>984</v>
      </c>
      <c r="J50" s="344">
        <f>'BZ by State 1st Crop'!J50+'BZ by State 2nd Crop'!J50+'BZ by State 3rd Crop'!J50</f>
        <v>378</v>
      </c>
      <c r="K50" s="344">
        <f>'BZ by State 1st Crop'!K50+'BZ by State 2nd Crop'!K50+'BZ by State 3rd Crop'!K50</f>
        <v>870</v>
      </c>
      <c r="L50" s="344">
        <f>'BZ by State 1st Crop'!L50+'BZ by State 2nd Crop'!L50+'BZ by State 3rd Crop'!L50</f>
        <v>348</v>
      </c>
      <c r="M50" s="344">
        <f>'BZ by State 1st Crop'!M50+'BZ by State 2nd Crop'!M50+'BZ by State 3rd Crop'!M50</f>
        <v>1035</v>
      </c>
      <c r="N50" s="344">
        <f>'BZ by State 1st Crop'!N50+'BZ by State 2nd Crop'!N50+'BZ by State 3rd Crop'!N50</f>
        <v>1026</v>
      </c>
      <c r="O50" s="344">
        <f>'BZ by State 1st Crop'!O50+'BZ by State 2nd Crop'!O50+'BZ by State 3rd Crop'!O50</f>
        <v>519</v>
      </c>
      <c r="P50" s="344">
        <f>'BZ by State 1st Crop'!P50+'BZ by State 2nd Crop'!P50+'BZ by State 3rd Crop'!P50</f>
        <v>1064.0999999999999</v>
      </c>
      <c r="Q50" s="344">
        <f>'BZ by State 1st Crop'!Q50+'BZ by State 2nd Crop'!Q50+'BZ by State 3rd Crop'!Q50</f>
        <v>711.59999999999991</v>
      </c>
      <c r="R50" s="344">
        <f>'BZ by State 1st Crop'!R50+'BZ by State 2nd Crop'!R50+'BZ by State 3rd Crop'!R50</f>
        <v>592.20000000000005</v>
      </c>
      <c r="S50" s="344">
        <f>'BZ by State 1st Crop'!S50+'BZ by State 2nd Crop'!S50+'BZ by State 3rd Crop'!S50</f>
        <v>1239.3000000000002</v>
      </c>
      <c r="T50" s="344">
        <f>'BZ by State 1st Crop'!T50+'BZ by State 2nd Crop'!T50+'BZ by State 3rd Crop'!T50</f>
        <v>1267.5</v>
      </c>
      <c r="U50" s="344">
        <f>'BZ by State 1st Crop'!U50+'BZ by State 2nd Crop'!U50+'BZ by State 3rd Crop'!U50</f>
        <v>1365</v>
      </c>
      <c r="V50" s="344">
        <f>'BZ by State 1st Crop'!V50+'BZ by State 2nd Crop'!V50+'BZ by State 3rd Crop'!V50</f>
        <v>1088.0999999999999</v>
      </c>
      <c r="W50" s="344">
        <f>'BZ by State 1st Crop'!W50+'BZ by State 2nd Crop'!W50+'BZ by State 3rd Crop'!W50</f>
        <v>629.70000000000005</v>
      </c>
      <c r="X50" s="344">
        <f>'BZ by State 1st Crop'!X50+'BZ by State 2nd Crop'!X50+'BZ by State 3rd Crop'!X50</f>
        <v>882.30000000000007</v>
      </c>
      <c r="Y50" s="344">
        <f>'BZ by State 1st Crop'!Y50+'BZ by State 2nd Crop'!Y50+'BZ by State 3rd Crop'!Y50</f>
        <v>940.80000000000007</v>
      </c>
      <c r="Z50" s="344">
        <f>'BZ by State 1st Crop'!Z50+'BZ by State 2nd Crop'!Z50+'BZ by State 3rd Crop'!Z50</f>
        <v>930</v>
      </c>
      <c r="AA50" s="344">
        <f>'BZ by State 1st Crop'!AA50+'BZ by State 2nd Crop'!AA50+'BZ by State 3rd Crop'!AA50</f>
        <v>973.5</v>
      </c>
      <c r="AB50" s="344">
        <f>'BZ by State 1st Crop'!AB50+'BZ by State 2nd Crop'!AB50+'BZ by State 3rd Crop'!AB50</f>
        <v>1242.5999999999999</v>
      </c>
      <c r="AC50" s="344">
        <f>'BZ by State 1st Crop'!AC50+'BZ by State 2nd Crop'!AC50+'BZ by State 3rd Crop'!AC50</f>
        <v>1291.1999999999998</v>
      </c>
      <c r="AD50" s="344">
        <f>'BZ by State 1st Crop'!AD50+'BZ by State 2nd Crop'!AD50+'BZ by State 3rd Crop'!AD50</f>
        <v>1215.3000000000002</v>
      </c>
      <c r="AE50" s="344">
        <f>'BZ by State 1st Crop'!AE50+'BZ by State 2nd Crop'!AE50+'BZ by State 3rd Crop'!AE50</f>
        <v>1273.1999999999998</v>
      </c>
      <c r="AF50" s="344">
        <f>'BZ by State 1st Crop'!AF50+'BZ by State 2nd Crop'!AF50+'BZ by State 3rd Crop'!AF50</f>
        <v>1341.3000000000002</v>
      </c>
      <c r="AG50" s="344">
        <f>'BZ by State 1st Crop'!AG50+'BZ by State 2nd Crop'!AG50+'BZ by State 3rd Crop'!AG50</f>
        <v>1471.1999999999998</v>
      </c>
      <c r="AH50" s="344">
        <f>'BZ by State 1st Crop'!AH50+'BZ by State 2nd Crop'!AH50+'BZ by State 3rd Crop'!AH50</f>
        <v>1512.3000000000002</v>
      </c>
      <c r="AI50" s="344">
        <f>'BZ by State 1st Crop'!AI50+'BZ by State 2nd Crop'!AI50+'BZ by State 3rd Crop'!AI50</f>
        <v>1686.3000000000002</v>
      </c>
      <c r="AJ50" s="344">
        <f>'BZ by State 1st Crop'!AJ50+'BZ by State 2nd Crop'!AJ50+'BZ by State 3rd Crop'!AJ50</f>
        <v>2639.1000000000004</v>
      </c>
      <c r="AK50" s="344">
        <f>'BZ by State 1st Crop'!AK50+'BZ by State 2nd Crop'!AK50+'BZ by State 3rd Crop'!AK50</f>
        <v>2194.8000000000002</v>
      </c>
      <c r="AL50" s="344">
        <f>'BZ by State 1st Crop'!AL50+'BZ by State 2nd Crop'!AL50+'BZ by State 3rd Crop'!AL50</f>
        <v>3928.2000000000003</v>
      </c>
      <c r="AM50" s="344">
        <f>'BZ by State 1st Crop'!AM50+'BZ by State 2nd Crop'!AM50+'BZ by State 3rd Crop'!AM50</f>
        <v>5177.7000000000007</v>
      </c>
      <c r="AN50" s="344">
        <f>'BZ by State 1st Crop'!AN50+'BZ by State 2nd Crop'!AN50+'BZ by State 3rd Crop'!AN50</f>
        <v>4407.6000000000004</v>
      </c>
      <c r="AO50" s="344">
        <f>'BZ by State 1st Crop'!AO50+'BZ by State 2nd Crop'!AO50+'BZ by State 3rd Crop'!AO50</f>
        <v>2623.2</v>
      </c>
      <c r="AP50" s="344">
        <f>'BZ by State 1st Crop'!AP50+'BZ by State 2nd Crop'!AP50+'BZ by State 3rd Crop'!AP50</f>
        <v>5855.7000000000007</v>
      </c>
      <c r="AQ50" s="344">
        <f>'BZ by State 1st Crop'!AQ50+'BZ by State 2nd Crop'!AQ50+'BZ by State 3rd Crop'!AQ50</f>
        <v>5652</v>
      </c>
      <c r="AR50" s="344">
        <f>'BZ by State 1st Crop'!AR50+'BZ by State 2nd Crop'!AR50+'BZ by State 3rd Crop'!AR50</f>
        <v>5377.5</v>
      </c>
      <c r="AS50" s="344">
        <f>'BZ by State 1st Crop'!AS50+'BZ by State 2nd Crop'!AS50+'BZ by State 3rd Crop'!AS50</f>
        <v>6588.9000000000005</v>
      </c>
      <c r="AT50" s="344">
        <f>'BZ by State 1st Crop'!AT50+'BZ by State 2nd Crop'!AT50+'BZ by State 3rd Crop'!AT50</f>
        <v>457.96379999999999</v>
      </c>
      <c r="AU50" s="344">
        <f>'BZ by State 1st Crop'!AU50+'BZ by State 2nd Crop'!AU50+'BZ by State 3rd Crop'!AU50</f>
        <v>520.9831999999999</v>
      </c>
      <c r="AV50" s="344">
        <f>'BZ by State 1st Crop'!AV50+'BZ by State 2nd Crop'!AV50+'BZ by State 3rd Crop'!AV50</f>
        <v>361.49599999999998</v>
      </c>
      <c r="AW50" s="344">
        <f>'BZ by State 1st Crop'!AW50+'BZ by State 2nd Crop'!AW50+'BZ by State 3rd Crop'!AW50</f>
        <v>484.41</v>
      </c>
      <c r="AX50" s="344">
        <f>'BZ by State 1st Crop'!AX50+'BZ by State 2nd Crop'!AX50+'BZ by State 3rd Crop'!AX50</f>
        <v>318.43260000000004</v>
      </c>
      <c r="AY50" s="365">
        <f>'BZ by State 1st Crop'!AY50+'BZ by State 2nd Crop'!AY50+'BZ by State 3rd Crop'!AY50</f>
        <v>497.11680000000001</v>
      </c>
      <c r="AZ50" s="366">
        <f>'BZ by State 1st Crop'!AZ50+'BZ by State 2nd Crop'!AZ50+'BZ by State 3rd Crop'!AZ50</f>
        <v>497.11680000000001</v>
      </c>
      <c r="BA50" s="366">
        <f>AZ50-AY50</f>
        <v>0</v>
      </c>
      <c r="BB50" s="367">
        <f>AY50-AX50</f>
        <v>178.68419999999998</v>
      </c>
      <c r="BC50" s="368">
        <f>AZ50-AX50</f>
        <v>178.68419999999998</v>
      </c>
      <c r="BD50" s="353">
        <f t="shared" si="466"/>
        <v>-0.45444200915278432</v>
      </c>
      <c r="BE50" s="309"/>
      <c r="BF50"/>
      <c r="BG50" s="308"/>
    </row>
    <row r="51" spans="1:63" ht="15" customHeight="1">
      <c r="A51" s="320" t="s">
        <v>366</v>
      </c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356"/>
      <c r="AB51" s="356"/>
      <c r="AC51" s="356"/>
      <c r="AD51" s="356"/>
      <c r="AE51" s="356"/>
      <c r="AF51" s="356"/>
      <c r="AG51" s="356"/>
      <c r="AH51" s="356"/>
      <c r="AI51" s="356"/>
      <c r="AJ51" s="356"/>
      <c r="AK51" s="356"/>
      <c r="AL51" s="356"/>
      <c r="AM51" s="356"/>
      <c r="AN51" s="356"/>
      <c r="AO51" s="356"/>
      <c r="AP51" s="356"/>
      <c r="AQ51" s="356"/>
      <c r="AR51" s="356"/>
      <c r="AS51" s="356"/>
      <c r="AT51" s="328"/>
      <c r="AU51" s="328"/>
      <c r="AV51" s="328"/>
      <c r="AW51" s="328"/>
      <c r="AX51" s="328"/>
      <c r="AY51" s="321"/>
      <c r="AZ51" s="328"/>
      <c r="BA51" s="329"/>
      <c r="BB51" s="321"/>
      <c r="BC51" s="328"/>
      <c r="BD51" s="329"/>
    </row>
    <row r="52" spans="1:63" ht="15" customHeight="1">
      <c r="A52" s="324" t="s">
        <v>352</v>
      </c>
      <c r="B52" s="344">
        <f>'BZ by State 1st Crop'!B52+'BZ by State 2nd Crop'!B52+'BZ by State 3rd Crop'!B52</f>
        <v>170.7</v>
      </c>
      <c r="C52" s="344">
        <f>'BZ by State 1st Crop'!C52+'BZ by State 2nd Crop'!C52+'BZ by State 3rd Crop'!C52</f>
        <v>155</v>
      </c>
      <c r="D52" s="344">
        <f>'BZ by State 1st Crop'!D52+'BZ by State 2nd Crop'!D52+'BZ by State 3rd Crop'!D52</f>
        <v>118</v>
      </c>
      <c r="E52" s="344">
        <f>'BZ by State 1st Crop'!E52+'BZ by State 2nd Crop'!E52+'BZ by State 3rd Crop'!E52</f>
        <v>159</v>
      </c>
      <c r="F52" s="344">
        <f>'BZ by State 1st Crop'!F52+'BZ by State 2nd Crop'!F52+'BZ by State 3rd Crop'!F52</f>
        <v>190</v>
      </c>
      <c r="G52" s="344">
        <f>'BZ by State 1st Crop'!G52+'BZ by State 2nd Crop'!G52+'BZ by State 3rd Crop'!G52</f>
        <v>148</v>
      </c>
      <c r="H52" s="344">
        <f>'BZ by State 1st Crop'!H52+'BZ by State 2nd Crop'!H52+'BZ by State 3rd Crop'!H52</f>
        <v>358.6</v>
      </c>
      <c r="I52" s="344">
        <f>'BZ by State 1st Crop'!I52+'BZ by State 2nd Crop'!I52+'BZ by State 3rd Crop'!I52</f>
        <v>150</v>
      </c>
      <c r="J52" s="344">
        <f>'BZ by State 1st Crop'!J52+'BZ by State 2nd Crop'!J52+'BZ by State 3rd Crop'!J52</f>
        <v>165</v>
      </c>
      <c r="K52" s="344">
        <f>'BZ by State 1st Crop'!K52+'BZ by State 2nd Crop'!K52+'BZ by State 3rd Crop'!K52</f>
        <v>180</v>
      </c>
      <c r="L52" s="344">
        <f>'BZ by State 1st Crop'!L52+'BZ by State 2nd Crop'!L52+'BZ by State 3rd Crop'!L52</f>
        <v>171.6</v>
      </c>
      <c r="M52" s="344">
        <f>'BZ by State 1st Crop'!M52+'BZ by State 2nd Crop'!M52+'BZ by State 3rd Crop'!M52</f>
        <v>151</v>
      </c>
      <c r="N52" s="344">
        <f>'BZ by State 1st Crop'!N52+'BZ by State 2nd Crop'!N52+'BZ by State 3rd Crop'!N52</f>
        <v>153</v>
      </c>
      <c r="O52" s="344">
        <f>'BZ by State 1st Crop'!O52+'BZ by State 2nd Crop'!O52+'BZ by State 3rd Crop'!O52</f>
        <v>52.6</v>
      </c>
      <c r="P52" s="344">
        <f>'BZ by State 1st Crop'!P52+'BZ by State 2nd Crop'!P52+'BZ by State 3rd Crop'!P52</f>
        <v>142</v>
      </c>
      <c r="Q52" s="344">
        <f>'BZ by State 1st Crop'!Q52+'BZ by State 2nd Crop'!Q52+'BZ by State 3rd Crop'!Q52</f>
        <v>143.1</v>
      </c>
      <c r="R52" s="344">
        <f>'BZ by State 1st Crop'!R52+'BZ by State 2nd Crop'!R52+'BZ by State 3rd Crop'!R52</f>
        <v>32.6</v>
      </c>
      <c r="S52" s="344">
        <f>'BZ by State 1st Crop'!S52+'BZ by State 2nd Crop'!S52+'BZ by State 3rd Crop'!S52</f>
        <v>134</v>
      </c>
      <c r="T52" s="344">
        <f>'BZ by State 1st Crop'!T52+'BZ by State 2nd Crop'!T52+'BZ by State 3rd Crop'!T52</f>
        <v>136.4</v>
      </c>
      <c r="U52" s="344">
        <f>'BZ by State 1st Crop'!U52+'BZ by State 2nd Crop'!U52+'BZ by State 3rd Crop'!U52</f>
        <v>141.6</v>
      </c>
      <c r="V52" s="344">
        <f>'BZ by State 1st Crop'!V52+'BZ by State 2nd Crop'!V52+'BZ by State 3rd Crop'!V52</f>
        <v>126.2</v>
      </c>
      <c r="W52" s="344">
        <f>'BZ by State 1st Crop'!W52+'BZ by State 2nd Crop'!W52+'BZ by State 3rd Crop'!W52</f>
        <v>67.5</v>
      </c>
      <c r="X52" s="344">
        <f>'BZ by State 1st Crop'!X52+'BZ by State 2nd Crop'!X52+'BZ by State 3rd Crop'!X52</f>
        <v>79.099999999999994</v>
      </c>
      <c r="Y52" s="344">
        <f>'BZ by State 1st Crop'!Y52+'BZ by State 2nd Crop'!Y52+'BZ by State 3rd Crop'!Y52</f>
        <v>97.2</v>
      </c>
      <c r="Z52" s="344">
        <f>'BZ by State 1st Crop'!Z52+'BZ by State 2nd Crop'!Z52+'BZ by State 3rd Crop'!Z52</f>
        <v>83</v>
      </c>
      <c r="AA52" s="344">
        <f>'BZ by State 1st Crop'!AA52+'BZ by State 2nd Crop'!AA52+'BZ by State 3rd Crop'!AA52</f>
        <v>103.8</v>
      </c>
      <c r="AB52" s="344">
        <f>'BZ by State 1st Crop'!AB52+'BZ by State 2nd Crop'!AB52+'BZ by State 3rd Crop'!AB52</f>
        <v>109.3</v>
      </c>
      <c r="AC52" s="344">
        <f>'BZ by State 1st Crop'!AC52+'BZ by State 2nd Crop'!AC52+'BZ by State 3rd Crop'!AC52</f>
        <v>124.1</v>
      </c>
      <c r="AD52" s="344">
        <f>'BZ by State 1st Crop'!AD52+'BZ by State 2nd Crop'!AD52+'BZ by State 3rd Crop'!AD52</f>
        <v>65.2</v>
      </c>
      <c r="AE52" s="344">
        <f>'BZ by State 1st Crop'!AE52+'BZ by State 2nd Crop'!AE52+'BZ by State 3rd Crop'!AE52</f>
        <v>84</v>
      </c>
      <c r="AF52" s="344">
        <f>'BZ by State 1st Crop'!AF52+'BZ by State 2nd Crop'!AF52+'BZ by State 3rd Crop'!AF52</f>
        <v>82.6</v>
      </c>
      <c r="AG52" s="344">
        <f>'BZ by State 1st Crop'!AG52+'BZ by State 2nd Crop'!AG52+'BZ by State 3rd Crop'!AG52</f>
        <v>79.5</v>
      </c>
      <c r="AH52" s="344">
        <f>'BZ by State 1st Crop'!AH52+'BZ by State 2nd Crop'!AH52+'BZ by State 3rd Crop'!AH52</f>
        <v>71.2</v>
      </c>
      <c r="AI52" s="344">
        <f>'BZ by State 1st Crop'!AI52+'BZ by State 2nd Crop'!AI52+'BZ by State 3rd Crop'!AI52</f>
        <v>37</v>
      </c>
      <c r="AJ52" s="344">
        <f>'BZ by State 1st Crop'!AJ52+'BZ by State 2nd Crop'!AJ52+'BZ by State 3rd Crop'!AJ52</f>
        <v>73.5</v>
      </c>
      <c r="AK52" s="344">
        <f>'BZ by State 1st Crop'!AK52+'BZ by State 2nd Crop'!AK52+'BZ by State 3rd Crop'!AK52</f>
        <v>7.6</v>
      </c>
      <c r="AL52" s="344">
        <f>'BZ by State 1st Crop'!AL52+'BZ by State 2nd Crop'!AL52+'BZ by State 3rd Crop'!AL52</f>
        <v>13.3</v>
      </c>
      <c r="AM52" s="344">
        <f>'BZ by State 1st Crop'!AM52+'BZ by State 2nd Crop'!AM52+'BZ by State 3rd Crop'!AM52</f>
        <v>32.4</v>
      </c>
      <c r="AN52" s="344">
        <f>'BZ by State 1st Crop'!AN52+'BZ by State 2nd Crop'!AN52+'BZ by State 3rd Crop'!AN52</f>
        <v>25.9</v>
      </c>
      <c r="AO52" s="344">
        <f>'BZ by State 1st Crop'!AO52+'BZ by State 2nd Crop'!AO52+'BZ by State 3rd Crop'!AO52</f>
        <v>25</v>
      </c>
      <c r="AP52" s="344">
        <f>'BZ by State 1st Crop'!AP52+'BZ by State 2nd Crop'!AP52+'BZ by State 3rd Crop'!AP52</f>
        <v>29.2</v>
      </c>
      <c r="AQ52" s="344">
        <f>'BZ by State 1st Crop'!AQ52+'BZ by State 2nd Crop'!AQ52+'BZ by State 3rd Crop'!AQ52</f>
        <v>40.9</v>
      </c>
      <c r="AR52" s="344">
        <f>'BZ by State 1st Crop'!AR52+'BZ by State 2nd Crop'!AR52+'BZ by State 3rd Crop'!AR52</f>
        <v>53.7</v>
      </c>
      <c r="AS52" s="344">
        <f>'BZ by State 1st Crop'!AS52+'BZ by State 2nd Crop'!AS52+'BZ by State 3rd Crop'!AS52</f>
        <v>59.7</v>
      </c>
      <c r="AT52" s="344">
        <f>'BZ by State 1st Crop'!AT52+'BZ by State 2nd Crop'!AT52+'BZ by State 3rd Crop'!AT52</f>
        <v>52.9</v>
      </c>
      <c r="AU52" s="344">
        <f>'BZ by State 1st Crop'!AU52+'BZ by State 2nd Crop'!AU52+'BZ by State 3rd Crop'!AU52</f>
        <v>52.3</v>
      </c>
      <c r="AV52" s="344">
        <f>'BZ by State 1st Crop'!AV52+'BZ by State 2nd Crop'!AV52+'BZ by State 3rd Crop'!AV52</f>
        <v>50.5</v>
      </c>
      <c r="AW52" s="344">
        <f>'BZ by State 1st Crop'!AW52+'BZ by State 2nd Crop'!AW52+'BZ by State 3rd Crop'!AW52</f>
        <v>67.400000000000006</v>
      </c>
      <c r="AX52" s="344">
        <f>'BZ by State 1st Crop'!AX52+'BZ by State 2nd Crop'!AX52+'BZ by State 3rd Crop'!AX52</f>
        <v>64.2</v>
      </c>
      <c r="AY52" s="369">
        <f>'BZ by State 1st Crop'!AY52+'BZ by State 2nd Crop'!AY52+'BZ by State 3rd Crop'!AY52</f>
        <v>61</v>
      </c>
      <c r="AZ52" s="366">
        <f>'BZ by State 1st Crop'!AZ52+'BZ by State 2nd Crop'!AZ52+'BZ by State 3rd Crop'!AZ52</f>
        <v>61</v>
      </c>
      <c r="BA52" s="366">
        <f>AZ52-AY52</f>
        <v>0</v>
      </c>
      <c r="BB52" s="367">
        <f>AY52-AX52</f>
        <v>-3.2000000000000028</v>
      </c>
      <c r="BC52" s="368">
        <f>AZ52-AX52</f>
        <v>-3.2000000000000028</v>
      </c>
      <c r="BD52" s="370">
        <f>(AX52/AS52)^(1/5)-1</f>
        <v>1.4640373674158491E-2</v>
      </c>
      <c r="BH52" s="311"/>
      <c r="BI52" s="311"/>
      <c r="BJ52" s="311"/>
      <c r="BK52" s="311"/>
    </row>
    <row r="53" spans="1:63" ht="15" customHeight="1">
      <c r="A53" s="324" t="s">
        <v>353</v>
      </c>
      <c r="B53" s="345">
        <f t="shared" ref="B53" si="467">B54/B52*1000</f>
        <v>506.7369654364382</v>
      </c>
      <c r="C53" s="345">
        <f t="shared" ref="C53" si="468">C54/C52*1000</f>
        <v>4935.4838709677424</v>
      </c>
      <c r="D53" s="345">
        <f t="shared" ref="D53" si="469">D54/D52*1000</f>
        <v>5694.9152542372876</v>
      </c>
      <c r="E53" s="345">
        <f t="shared" ref="E53" si="470">E54/E52*1000</f>
        <v>5018.867924528302</v>
      </c>
      <c r="F53" s="345">
        <f t="shared" ref="F53" si="471">F54/F52*1000</f>
        <v>2794.7368421052633</v>
      </c>
      <c r="G53" s="345">
        <f t="shared" ref="G53" si="472">G54/G52*1000</f>
        <v>6141.8918918918926</v>
      </c>
      <c r="H53" s="345">
        <f t="shared" ref="H53" si="473">H54/H52*1000</f>
        <v>794.75738984941438</v>
      </c>
      <c r="I53" s="345">
        <f t="shared" ref="I53" si="474">I54/I52*1000</f>
        <v>6560</v>
      </c>
      <c r="J53" s="345">
        <f t="shared" ref="J53" si="475">J54/J52*1000</f>
        <v>2290.909090909091</v>
      </c>
      <c r="K53" s="345">
        <f t="shared" ref="K53" si="476">K54/K52*1000</f>
        <v>4833.333333333333</v>
      </c>
      <c r="L53" s="345">
        <f t="shared" ref="L53" si="477">L54/L52*1000</f>
        <v>2027.9720279720279</v>
      </c>
      <c r="M53" s="345">
        <f t="shared" ref="M53" si="478">M54/M52*1000</f>
        <v>6854.3046357615895</v>
      </c>
      <c r="N53" s="345">
        <f t="shared" ref="N53" si="479">N54/N52*1000</f>
        <v>6705.8823529411766</v>
      </c>
      <c r="O53" s="345">
        <f t="shared" ref="O53" si="480">O54/O52*1000</f>
        <v>9866.9201520912538</v>
      </c>
      <c r="P53" s="345">
        <f t="shared" ref="P53" si="481">P54/P52*1000</f>
        <v>7493.6619718309848</v>
      </c>
      <c r="Q53" s="345">
        <f t="shared" ref="Q53" si="482">Q54/Q52*1000</f>
        <v>4972.7463312368964</v>
      </c>
      <c r="R53" s="345">
        <f t="shared" ref="R53" si="483">R54/R52*1000</f>
        <v>18165.644171779142</v>
      </c>
      <c r="S53" s="345">
        <f t="shared" ref="S53" si="484">S54/S52*1000</f>
        <v>9248.507462686568</v>
      </c>
      <c r="T53" s="345">
        <f t="shared" ref="T53" si="485">T54/T52*1000</f>
        <v>9292.5219941348969</v>
      </c>
      <c r="U53" s="345">
        <f t="shared" ref="U53" si="486">U54/U52*1000</f>
        <v>9639.8305084745753</v>
      </c>
      <c r="V53" s="345">
        <f t="shared" ref="V53" si="487">V54/V52*1000</f>
        <v>8622.028526148968</v>
      </c>
      <c r="W53" s="345">
        <f t="shared" ref="W53" si="488">W54/W52*1000</f>
        <v>9328.8888888888887</v>
      </c>
      <c r="X53" s="345">
        <f t="shared" ref="X53" si="489">X54/X52*1000</f>
        <v>11154.23514538559</v>
      </c>
      <c r="Y53" s="345">
        <f t="shared" ref="Y53" si="490">Y54/Y52*1000</f>
        <v>9679.0123456790134</v>
      </c>
      <c r="Z53" s="345">
        <f t="shared" ref="Z53" si="491">Z54/Z52*1000</f>
        <v>11204.819277108434</v>
      </c>
      <c r="AA53" s="345">
        <f t="shared" ref="AA53" si="492">AA54/AA52*1000</f>
        <v>9378.6127167630075</v>
      </c>
      <c r="AB53" s="345">
        <f t="shared" ref="AB53" si="493">AB54/AB52*1000</f>
        <v>11368.709972552606</v>
      </c>
      <c r="AC53" s="345">
        <f t="shared" ref="AC53" si="494">AC54/AC52*1000</f>
        <v>10404.512489927476</v>
      </c>
      <c r="AD53" s="345">
        <f t="shared" ref="AD53" si="495">AD54/AD52*1000</f>
        <v>18639.570552147241</v>
      </c>
      <c r="AE53" s="345">
        <f t="shared" ref="AE53" si="496">AE54/AE52*1000</f>
        <v>15157.142857142855</v>
      </c>
      <c r="AF53" s="345">
        <f t="shared" ref="AF53" si="497">AF54/AF52*1000</f>
        <v>16238.498789346249</v>
      </c>
      <c r="AG53" s="345">
        <f t="shared" ref="AG53" si="498">AG54/AG52*1000</f>
        <v>18505.660377358487</v>
      </c>
      <c r="AH53" s="345">
        <f t="shared" ref="AH53" si="499">AH54/AH52*1000</f>
        <v>21240.168539325845</v>
      </c>
      <c r="AI53" s="345">
        <f t="shared" ref="AI53" si="500">AI54/AI52*1000</f>
        <v>45575.67567567568</v>
      </c>
      <c r="AJ53" s="345">
        <f t="shared" ref="AJ53" si="501">AJ54/AJ52*1000</f>
        <v>35906.122448979593</v>
      </c>
      <c r="AK53" s="345">
        <f t="shared" ref="AK53" si="502">AK54/AK52*1000</f>
        <v>288789.47368421056</v>
      </c>
      <c r="AL53" s="345">
        <f t="shared" ref="AL53" si="503">AL54/AL52*1000</f>
        <v>295353.38345864665</v>
      </c>
      <c r="AM53" s="345">
        <f t="shared" ref="AM53" si="504">AM54/AM52*1000</f>
        <v>159805.55555555556</v>
      </c>
      <c r="AN53" s="345">
        <f t="shared" ref="AN53" si="505">AN54/AN52*1000</f>
        <v>170177.60617760621</v>
      </c>
      <c r="AO53" s="345">
        <f t="shared" ref="AO53" si="506">AO54/AO52*1000</f>
        <v>104928</v>
      </c>
      <c r="AP53" s="345">
        <f t="shared" ref="AP53" si="507">AP54/AP52*1000</f>
        <v>200537.67123287675</v>
      </c>
      <c r="AQ53" s="345">
        <f t="shared" ref="AQ53" si="508">AQ54/AQ52*1000</f>
        <v>138190.70904645478</v>
      </c>
      <c r="AR53" s="345">
        <f t="shared" ref="AR53" si="509">AR54/AR52*1000</f>
        <v>100139.66480446926</v>
      </c>
      <c r="AS53" s="345">
        <f t="shared" ref="AS53" si="510">AS54/AS52*1000</f>
        <v>110366.83417085427</v>
      </c>
      <c r="AT53" s="345">
        <f t="shared" ref="AT53" si="511">AT54/AT52*1000</f>
        <v>523</v>
      </c>
      <c r="AU53" s="345">
        <f t="shared" ref="AU53" si="512">AU54/AU52*1000</f>
        <v>485.00000000000006</v>
      </c>
      <c r="AV53" s="345">
        <f t="shared" ref="AV53" si="513">AV54/AV52*1000</f>
        <v>549.99999999999989</v>
      </c>
      <c r="AW53" s="345">
        <f t="shared" ref="AW53" si="514">AW54/AW52*1000</f>
        <v>342</v>
      </c>
      <c r="AX53" s="345">
        <f t="shared" ref="AX53" si="515">AX54/AX52*1000</f>
        <v>321</v>
      </c>
      <c r="AY53" s="346">
        <f t="shared" ref="AY53:AZ53" si="516">AY54/AY52*1000</f>
        <v>523</v>
      </c>
      <c r="AZ53" s="347">
        <f t="shared" si="516"/>
        <v>523</v>
      </c>
      <c r="BA53" s="347">
        <f>AZ53-AY53</f>
        <v>0</v>
      </c>
      <c r="BB53" s="351">
        <f>AY53-AX53</f>
        <v>202</v>
      </c>
      <c r="BC53" s="352">
        <f>AZ53-AX53</f>
        <v>202</v>
      </c>
      <c r="BD53" s="353">
        <f t="shared" ref="BD53:BD54" si="517">(AX53/AS53)^(1/5)-1</f>
        <v>-0.68901940551016394</v>
      </c>
    </row>
    <row r="54" spans="1:63" s="311" customFormat="1" ht="15" customHeight="1">
      <c r="A54" s="324" t="s">
        <v>354</v>
      </c>
      <c r="B54" s="344">
        <f>'BZ by State 1st Crop'!B54+'BZ by State 2nd Crop'!B54+'BZ by State 3rd Crop'!B54</f>
        <v>86.5</v>
      </c>
      <c r="C54" s="344">
        <f>'BZ by State 1st Crop'!C54+'BZ by State 2nd Crop'!C54+'BZ by State 3rd Crop'!C54</f>
        <v>765</v>
      </c>
      <c r="D54" s="344">
        <f>'BZ by State 1st Crop'!D54+'BZ by State 2nd Crop'!D54+'BZ by State 3rd Crop'!D54</f>
        <v>672</v>
      </c>
      <c r="E54" s="344">
        <f>'BZ by State 1st Crop'!E54+'BZ by State 2nd Crop'!E54+'BZ by State 3rd Crop'!E54</f>
        <v>798</v>
      </c>
      <c r="F54" s="344">
        <f>'BZ by State 1st Crop'!F54+'BZ by State 2nd Crop'!F54+'BZ by State 3rd Crop'!F54</f>
        <v>531</v>
      </c>
      <c r="G54" s="344">
        <f>'BZ by State 1st Crop'!G54+'BZ by State 2nd Crop'!G54+'BZ by State 3rd Crop'!G54</f>
        <v>909</v>
      </c>
      <c r="H54" s="344">
        <f>'BZ by State 1st Crop'!H54+'BZ by State 2nd Crop'!H54+'BZ by State 3rd Crop'!H54</f>
        <v>285</v>
      </c>
      <c r="I54" s="344">
        <f>'BZ by State 1st Crop'!I54+'BZ by State 2nd Crop'!I54+'BZ by State 3rd Crop'!I54</f>
        <v>984</v>
      </c>
      <c r="J54" s="344">
        <f>'BZ by State 1st Crop'!J54+'BZ by State 2nd Crop'!J54+'BZ by State 3rd Crop'!J54</f>
        <v>378</v>
      </c>
      <c r="K54" s="344">
        <f>'BZ by State 1st Crop'!K54+'BZ by State 2nd Crop'!K54+'BZ by State 3rd Crop'!K54</f>
        <v>870</v>
      </c>
      <c r="L54" s="344">
        <f>'BZ by State 1st Crop'!L54+'BZ by State 2nd Crop'!L54+'BZ by State 3rd Crop'!L54</f>
        <v>348</v>
      </c>
      <c r="M54" s="344">
        <f>'BZ by State 1st Crop'!M54+'BZ by State 2nd Crop'!M54+'BZ by State 3rd Crop'!M54</f>
        <v>1035</v>
      </c>
      <c r="N54" s="344">
        <f>'BZ by State 1st Crop'!N54+'BZ by State 2nd Crop'!N54+'BZ by State 3rd Crop'!N54</f>
        <v>1026</v>
      </c>
      <c r="O54" s="344">
        <f>'BZ by State 1st Crop'!O54+'BZ by State 2nd Crop'!O54+'BZ by State 3rd Crop'!O54</f>
        <v>519</v>
      </c>
      <c r="P54" s="344">
        <f>'BZ by State 1st Crop'!P54+'BZ by State 2nd Crop'!P54+'BZ by State 3rd Crop'!P54</f>
        <v>1064.0999999999999</v>
      </c>
      <c r="Q54" s="344">
        <f>'BZ by State 1st Crop'!Q54+'BZ by State 2nd Crop'!Q54+'BZ by State 3rd Crop'!Q54</f>
        <v>711.59999999999991</v>
      </c>
      <c r="R54" s="344">
        <f>'BZ by State 1st Crop'!R54+'BZ by State 2nd Crop'!R54+'BZ by State 3rd Crop'!R54</f>
        <v>592.20000000000005</v>
      </c>
      <c r="S54" s="344">
        <f>'BZ by State 1st Crop'!S54+'BZ by State 2nd Crop'!S54+'BZ by State 3rd Crop'!S54</f>
        <v>1239.3000000000002</v>
      </c>
      <c r="T54" s="344">
        <f>'BZ by State 1st Crop'!T54+'BZ by State 2nd Crop'!T54+'BZ by State 3rd Crop'!T54</f>
        <v>1267.5</v>
      </c>
      <c r="U54" s="344">
        <f>'BZ by State 1st Crop'!U54+'BZ by State 2nd Crop'!U54+'BZ by State 3rd Crop'!U54</f>
        <v>1365</v>
      </c>
      <c r="V54" s="344">
        <f>'BZ by State 1st Crop'!V54+'BZ by State 2nd Crop'!V54+'BZ by State 3rd Crop'!V54</f>
        <v>1088.0999999999999</v>
      </c>
      <c r="W54" s="344">
        <f>'BZ by State 1st Crop'!W54+'BZ by State 2nd Crop'!W54+'BZ by State 3rd Crop'!W54</f>
        <v>629.70000000000005</v>
      </c>
      <c r="X54" s="344">
        <f>'BZ by State 1st Crop'!X54+'BZ by State 2nd Crop'!X54+'BZ by State 3rd Crop'!X54</f>
        <v>882.30000000000007</v>
      </c>
      <c r="Y54" s="344">
        <f>'BZ by State 1st Crop'!Y54+'BZ by State 2nd Crop'!Y54+'BZ by State 3rd Crop'!Y54</f>
        <v>940.80000000000007</v>
      </c>
      <c r="Z54" s="344">
        <f>'BZ by State 1st Crop'!Z54+'BZ by State 2nd Crop'!Z54+'BZ by State 3rd Crop'!Z54</f>
        <v>930</v>
      </c>
      <c r="AA54" s="344">
        <f>'BZ by State 1st Crop'!AA54+'BZ by State 2nd Crop'!AA54+'BZ by State 3rd Crop'!AA54</f>
        <v>973.5</v>
      </c>
      <c r="AB54" s="344">
        <f>'BZ by State 1st Crop'!AB54+'BZ by State 2nd Crop'!AB54+'BZ by State 3rd Crop'!AB54</f>
        <v>1242.5999999999999</v>
      </c>
      <c r="AC54" s="344">
        <f>'BZ by State 1st Crop'!AC54+'BZ by State 2nd Crop'!AC54+'BZ by State 3rd Crop'!AC54</f>
        <v>1291.1999999999998</v>
      </c>
      <c r="AD54" s="344">
        <f>'BZ by State 1st Crop'!AD54+'BZ by State 2nd Crop'!AD54+'BZ by State 3rd Crop'!AD54</f>
        <v>1215.3000000000002</v>
      </c>
      <c r="AE54" s="344">
        <f>'BZ by State 1st Crop'!AE54+'BZ by State 2nd Crop'!AE54+'BZ by State 3rd Crop'!AE54</f>
        <v>1273.1999999999998</v>
      </c>
      <c r="AF54" s="344">
        <f>'BZ by State 1st Crop'!AF54+'BZ by State 2nd Crop'!AF54+'BZ by State 3rd Crop'!AF54</f>
        <v>1341.3000000000002</v>
      </c>
      <c r="AG54" s="344">
        <f>'BZ by State 1st Crop'!AG54+'BZ by State 2nd Crop'!AG54+'BZ by State 3rd Crop'!AG54</f>
        <v>1471.1999999999998</v>
      </c>
      <c r="AH54" s="344">
        <f>'BZ by State 1st Crop'!AH54+'BZ by State 2nd Crop'!AH54+'BZ by State 3rd Crop'!AH54</f>
        <v>1512.3000000000002</v>
      </c>
      <c r="AI54" s="344">
        <f>'BZ by State 1st Crop'!AI54+'BZ by State 2nd Crop'!AI54+'BZ by State 3rd Crop'!AI54</f>
        <v>1686.3000000000002</v>
      </c>
      <c r="AJ54" s="344">
        <f>'BZ by State 1st Crop'!AJ54+'BZ by State 2nd Crop'!AJ54+'BZ by State 3rd Crop'!AJ54</f>
        <v>2639.1000000000004</v>
      </c>
      <c r="AK54" s="344">
        <f>'BZ by State 1st Crop'!AK54+'BZ by State 2nd Crop'!AK54+'BZ by State 3rd Crop'!AK54</f>
        <v>2194.8000000000002</v>
      </c>
      <c r="AL54" s="344">
        <f>'BZ by State 1st Crop'!AL54+'BZ by State 2nd Crop'!AL54+'BZ by State 3rd Crop'!AL54</f>
        <v>3928.2000000000003</v>
      </c>
      <c r="AM54" s="344">
        <f>'BZ by State 1st Crop'!AM54+'BZ by State 2nd Crop'!AM54+'BZ by State 3rd Crop'!AM54</f>
        <v>5177.7000000000007</v>
      </c>
      <c r="AN54" s="344">
        <f>'BZ by State 1st Crop'!AN54+'BZ by State 2nd Crop'!AN54+'BZ by State 3rd Crop'!AN54</f>
        <v>4407.6000000000004</v>
      </c>
      <c r="AO54" s="344">
        <f>'BZ by State 1st Crop'!AO54+'BZ by State 2nd Crop'!AO54+'BZ by State 3rd Crop'!AO54</f>
        <v>2623.2</v>
      </c>
      <c r="AP54" s="344">
        <f>'BZ by State 1st Crop'!AP54+'BZ by State 2nd Crop'!AP54+'BZ by State 3rd Crop'!AP54</f>
        <v>5855.7000000000007</v>
      </c>
      <c r="AQ54" s="344">
        <f>'BZ by State 1st Crop'!AQ54+'BZ by State 2nd Crop'!AQ54+'BZ by State 3rd Crop'!AQ54</f>
        <v>5652</v>
      </c>
      <c r="AR54" s="344">
        <f>'BZ by State 1st Crop'!AR54+'BZ by State 2nd Crop'!AR54+'BZ by State 3rd Crop'!AR54</f>
        <v>5377.5</v>
      </c>
      <c r="AS54" s="344">
        <f>'BZ by State 1st Crop'!AS54+'BZ by State 2nd Crop'!AS54+'BZ by State 3rd Crop'!AS54</f>
        <v>6588.9000000000005</v>
      </c>
      <c r="AT54" s="344">
        <f>'BZ by State 1st Crop'!AT54+'BZ by State 2nd Crop'!AT54+'BZ by State 3rd Crop'!AT54</f>
        <v>27.666700000000002</v>
      </c>
      <c r="AU54" s="344">
        <f>'BZ by State 1st Crop'!AU54+'BZ by State 2nd Crop'!AU54+'BZ by State 3rd Crop'!AU54</f>
        <v>25.365500000000001</v>
      </c>
      <c r="AV54" s="344">
        <f>'BZ by State 1st Crop'!AV54+'BZ by State 2nd Crop'!AV54+'BZ by State 3rd Crop'!AV54</f>
        <v>27.774999999999999</v>
      </c>
      <c r="AW54" s="344">
        <f>'BZ by State 1st Crop'!AW54+'BZ by State 2nd Crop'!AW54+'BZ by State 3rd Crop'!AW54</f>
        <v>23.050800000000002</v>
      </c>
      <c r="AX54" s="344">
        <f>'BZ by State 1st Crop'!AX54+'BZ by State 2nd Crop'!AX54+'BZ by State 3rd Crop'!AX54</f>
        <v>20.6082</v>
      </c>
      <c r="AY54" s="365">
        <f>'BZ by State 1st Crop'!AY54+'BZ by State 2nd Crop'!AY54+'BZ by State 3rd Crop'!AY54</f>
        <v>31.902999999999999</v>
      </c>
      <c r="AZ54" s="366">
        <f>'BZ by State 1st Crop'!AZ54+'BZ by State 2nd Crop'!AZ54+'BZ by State 3rd Crop'!AZ54</f>
        <v>31.902999999999999</v>
      </c>
      <c r="BA54" s="366">
        <f>AZ54-AY54</f>
        <v>0</v>
      </c>
      <c r="BB54" s="367">
        <f>AY54-AX54</f>
        <v>11.294799999999999</v>
      </c>
      <c r="BC54" s="368">
        <f>AZ54-AX54</f>
        <v>11.294799999999999</v>
      </c>
      <c r="BD54" s="353">
        <f t="shared" si="517"/>
        <v>-0.68446653340142083</v>
      </c>
      <c r="BE54" s="309"/>
      <c r="BF54"/>
      <c r="BG54" s="308"/>
    </row>
    <row r="55" spans="1:63" ht="15" customHeight="1">
      <c r="A55" s="320" t="s">
        <v>367</v>
      </c>
      <c r="B55" s="356"/>
      <c r="C55" s="356"/>
      <c r="D55" s="356"/>
      <c r="E55" s="356"/>
      <c r="F55" s="356"/>
      <c r="G55" s="356"/>
      <c r="H55" s="356"/>
      <c r="I55" s="356"/>
      <c r="J55" s="356"/>
      <c r="K55" s="356"/>
      <c r="L55" s="356"/>
      <c r="M55" s="356"/>
      <c r="N55" s="356"/>
      <c r="O55" s="356"/>
      <c r="P55" s="356"/>
      <c r="Q55" s="356"/>
      <c r="R55" s="356"/>
      <c r="S55" s="356"/>
      <c r="T55" s="356"/>
      <c r="U55" s="356"/>
      <c r="V55" s="356"/>
      <c r="W55" s="356"/>
      <c r="X55" s="356"/>
      <c r="Y55" s="356"/>
      <c r="Z55" s="356"/>
      <c r="AA55" s="356"/>
      <c r="AB55" s="356"/>
      <c r="AC55" s="356"/>
      <c r="AD55" s="356"/>
      <c r="AE55" s="356"/>
      <c r="AF55" s="356"/>
      <c r="AG55" s="356"/>
      <c r="AH55" s="356"/>
      <c r="AI55" s="356"/>
      <c r="AJ55" s="356"/>
      <c r="AK55" s="356"/>
      <c r="AL55" s="356"/>
      <c r="AM55" s="356"/>
      <c r="AN55" s="356"/>
      <c r="AO55" s="356"/>
      <c r="AP55" s="356"/>
      <c r="AQ55" s="356"/>
      <c r="AR55" s="356"/>
      <c r="AS55" s="356"/>
      <c r="AT55" s="328"/>
      <c r="AU55" s="328"/>
      <c r="AV55" s="328"/>
      <c r="AW55" s="328"/>
      <c r="AX55" s="328"/>
      <c r="AY55" s="321"/>
      <c r="AZ55" s="328"/>
      <c r="BA55" s="329"/>
      <c r="BB55" s="321"/>
      <c r="BC55" s="328"/>
      <c r="BD55" s="329"/>
    </row>
    <row r="56" spans="1:63" ht="15" customHeight="1">
      <c r="A56" s="324" t="s">
        <v>352</v>
      </c>
      <c r="B56" s="344">
        <f>'BZ by State 1st Crop'!B56+'BZ by State 2nd Crop'!B56+'BZ by State 3rd Crop'!B56</f>
        <v>297.39999999999998</v>
      </c>
      <c r="C56" s="344">
        <f>'BZ by State 1st Crop'!C56+'BZ by State 2nd Crop'!C56+'BZ by State 3rd Crop'!C56</f>
        <v>252</v>
      </c>
      <c r="D56" s="344">
        <f>'BZ by State 1st Crop'!D56+'BZ by State 2nd Crop'!D56+'BZ by State 3rd Crop'!D56</f>
        <v>216</v>
      </c>
      <c r="E56" s="344">
        <f>'BZ by State 1st Crop'!E56+'BZ by State 2nd Crop'!E56+'BZ by State 3rd Crop'!E56</f>
        <v>290</v>
      </c>
      <c r="F56" s="344">
        <f>'BZ by State 1st Crop'!F56+'BZ by State 2nd Crop'!F56+'BZ by State 3rd Crop'!F56</f>
        <v>303</v>
      </c>
      <c r="G56" s="344">
        <f>'BZ by State 1st Crop'!G56+'BZ by State 2nd Crop'!G56+'BZ by State 3rd Crop'!G56</f>
        <v>230</v>
      </c>
      <c r="H56" s="344">
        <f>'BZ by State 1st Crop'!H56+'BZ by State 2nd Crop'!H56+'BZ by State 3rd Crop'!H56</f>
        <v>255</v>
      </c>
      <c r="I56" s="344">
        <f>'BZ by State 1st Crop'!I56+'BZ by State 2nd Crop'!I56+'BZ by State 3rd Crop'!I56</f>
        <v>300</v>
      </c>
      <c r="J56" s="344">
        <f>'BZ by State 1st Crop'!J56+'BZ by State 2nd Crop'!J56+'BZ by State 3rd Crop'!J56</f>
        <v>330</v>
      </c>
      <c r="K56" s="344">
        <f>'BZ by State 1st Crop'!K56+'BZ by State 2nd Crop'!K56+'BZ by State 3rd Crop'!K56</f>
        <v>353</v>
      </c>
      <c r="L56" s="344">
        <f>'BZ by State 1st Crop'!L56+'BZ by State 2nd Crop'!L56+'BZ by State 3rd Crop'!L56</f>
        <v>304</v>
      </c>
      <c r="M56" s="344">
        <f>'BZ by State 1st Crop'!M56+'BZ by State 2nd Crop'!M56+'BZ by State 3rd Crop'!M56</f>
        <v>316</v>
      </c>
      <c r="N56" s="344">
        <f>'BZ by State 1st Crop'!N56+'BZ by State 2nd Crop'!N56+'BZ by State 3rd Crop'!N56</f>
        <v>315</v>
      </c>
      <c r="O56" s="344">
        <f>'BZ by State 1st Crop'!O56+'BZ by State 2nd Crop'!O56+'BZ by State 3rd Crop'!O56</f>
        <v>230</v>
      </c>
      <c r="P56" s="344">
        <f>'BZ by State 1st Crop'!P56+'BZ by State 2nd Crop'!P56+'BZ by State 3rd Crop'!P56</f>
        <v>256</v>
      </c>
      <c r="Q56" s="344">
        <f>'BZ by State 1st Crop'!Q56+'BZ by State 2nd Crop'!Q56+'BZ by State 3rd Crop'!Q56</f>
        <v>270</v>
      </c>
      <c r="R56" s="344">
        <f>'BZ by State 1st Crop'!R56+'BZ by State 2nd Crop'!R56+'BZ by State 3rd Crop'!R56</f>
        <v>89</v>
      </c>
      <c r="S56" s="344">
        <f>'BZ by State 1st Crop'!S56+'BZ by State 2nd Crop'!S56+'BZ by State 3rd Crop'!S56</f>
        <v>231.7</v>
      </c>
      <c r="T56" s="344">
        <f>'BZ by State 1st Crop'!T56+'BZ by State 2nd Crop'!T56+'BZ by State 3rd Crop'!T56</f>
        <v>261</v>
      </c>
      <c r="U56" s="344">
        <f>'BZ by State 1st Crop'!U56+'BZ by State 2nd Crop'!U56+'BZ by State 3rd Crop'!U56</f>
        <v>266</v>
      </c>
      <c r="V56" s="344">
        <f>'BZ by State 1st Crop'!V56+'BZ by State 2nd Crop'!V56+'BZ by State 3rd Crop'!V56</f>
        <v>255.8</v>
      </c>
      <c r="W56" s="344">
        <f>'BZ by State 1st Crop'!W56+'BZ by State 2nd Crop'!W56+'BZ by State 3rd Crop'!W56</f>
        <v>108.9</v>
      </c>
      <c r="X56" s="344">
        <f>'BZ by State 1st Crop'!X56+'BZ by State 2nd Crop'!X56+'BZ by State 3rd Crop'!X56</f>
        <v>120</v>
      </c>
      <c r="Y56" s="344">
        <f>'BZ by State 1st Crop'!Y56+'BZ by State 2nd Crop'!Y56+'BZ by State 3rd Crop'!Y56</f>
        <v>161</v>
      </c>
      <c r="Z56" s="344">
        <f>'BZ by State 1st Crop'!Z56+'BZ by State 2nd Crop'!Z56+'BZ by State 3rd Crop'!Z56</f>
        <v>140.1</v>
      </c>
      <c r="AA56" s="344">
        <f>'BZ by State 1st Crop'!AA56+'BZ by State 2nd Crop'!AA56+'BZ by State 3rd Crop'!AA56</f>
        <v>165.3</v>
      </c>
      <c r="AB56" s="344">
        <f>'BZ by State 1st Crop'!AB56+'BZ by State 2nd Crop'!AB56+'BZ by State 3rd Crop'!AB56</f>
        <v>178.5</v>
      </c>
      <c r="AC56" s="344">
        <f>'BZ by State 1st Crop'!AC56+'BZ by State 2nd Crop'!AC56+'BZ by State 3rd Crop'!AC56</f>
        <v>192.8</v>
      </c>
      <c r="AD56" s="344">
        <f>'BZ by State 1st Crop'!AD56+'BZ by State 2nd Crop'!AD56+'BZ by State 3rd Crop'!AD56</f>
        <v>189.5</v>
      </c>
      <c r="AE56" s="344">
        <f>'BZ by State 1st Crop'!AE56+'BZ by State 2nd Crop'!AE56+'BZ by State 3rd Crop'!AE56</f>
        <v>187.6</v>
      </c>
      <c r="AF56" s="344">
        <f>'BZ by State 1st Crop'!AF56+'BZ by State 2nd Crop'!AF56+'BZ by State 3rd Crop'!AF56</f>
        <v>195.1</v>
      </c>
      <c r="AG56" s="344">
        <f>'BZ by State 1st Crop'!AG56+'BZ by State 2nd Crop'!AG56+'BZ by State 3rd Crop'!AG56</f>
        <v>193</v>
      </c>
      <c r="AH56" s="344">
        <f>'BZ by State 1st Crop'!AH56+'BZ by State 2nd Crop'!AH56+'BZ by State 3rd Crop'!AH56</f>
        <v>194</v>
      </c>
      <c r="AI56" s="344">
        <f>'BZ by State 1st Crop'!AI56+'BZ by State 2nd Crop'!AI56+'BZ by State 3rd Crop'!AI56</f>
        <v>69.599999999999994</v>
      </c>
      <c r="AJ56" s="344">
        <f>'BZ by State 1st Crop'!AJ56+'BZ by State 2nd Crop'!AJ56+'BZ by State 3rd Crop'!AJ56</f>
        <v>157.19999999999999</v>
      </c>
      <c r="AK56" s="344">
        <f>'BZ by State 1st Crop'!AK56+'BZ by State 2nd Crop'!AK56+'BZ by State 3rd Crop'!AK56</f>
        <v>39.799999999999997</v>
      </c>
      <c r="AL56" s="344">
        <f>'BZ by State 1st Crop'!AL56+'BZ by State 2nd Crop'!AL56+'BZ by State 3rd Crop'!AL56</f>
        <v>53.1</v>
      </c>
      <c r="AM56" s="344">
        <f>'BZ by State 1st Crop'!AM56+'BZ by State 2nd Crop'!AM56+'BZ by State 3rd Crop'!AM56</f>
        <v>76.599999999999994</v>
      </c>
      <c r="AN56" s="344">
        <f>'BZ by State 1st Crop'!AN56+'BZ by State 2nd Crop'!AN56+'BZ by State 3rd Crop'!AN56</f>
        <v>62.9</v>
      </c>
      <c r="AO56" s="344">
        <f>'BZ by State 1st Crop'!AO56+'BZ by State 2nd Crop'!AO56+'BZ by State 3rd Crop'!AO56</f>
        <v>84.6</v>
      </c>
      <c r="AP56" s="344">
        <f>'BZ by State 1st Crop'!AP56+'BZ by State 2nd Crop'!AP56+'BZ by State 3rd Crop'!AP56</f>
        <v>86.5</v>
      </c>
      <c r="AQ56" s="344">
        <f>'BZ by State 1st Crop'!AQ56+'BZ by State 2nd Crop'!AQ56+'BZ by State 3rd Crop'!AQ56</f>
        <v>108.6</v>
      </c>
      <c r="AR56" s="344">
        <f>'BZ by State 1st Crop'!AR56+'BZ by State 2nd Crop'!AR56+'BZ by State 3rd Crop'!AR56</f>
        <v>96.1</v>
      </c>
      <c r="AS56" s="344">
        <f>'BZ by State 1st Crop'!AS56+'BZ by State 2nd Crop'!AS56+'BZ by State 3rd Crop'!AS56</f>
        <v>107.6</v>
      </c>
      <c r="AT56" s="344">
        <f>'BZ by State 1st Crop'!AT56+'BZ by State 2nd Crop'!AT56+'BZ by State 3rd Crop'!AT56</f>
        <v>96.3</v>
      </c>
      <c r="AU56" s="344">
        <f>'BZ by State 1st Crop'!AU56+'BZ by State 2nd Crop'!AU56+'BZ by State 3rd Crop'!AU56</f>
        <v>116.1</v>
      </c>
      <c r="AV56" s="344">
        <f>'BZ by State 1st Crop'!AV56+'BZ by State 2nd Crop'!AV56+'BZ by State 3rd Crop'!AV56</f>
        <v>120.4</v>
      </c>
      <c r="AW56" s="344">
        <f>'BZ by State 1st Crop'!AW56+'BZ by State 2nd Crop'!AW56+'BZ by State 3rd Crop'!AW56</f>
        <v>117</v>
      </c>
      <c r="AX56" s="344">
        <f>'BZ by State 1st Crop'!AX56+'BZ by State 2nd Crop'!AX56+'BZ by State 3rd Crop'!AX56</f>
        <v>117.2</v>
      </c>
      <c r="AY56" s="369">
        <f>'BZ by State 1st Crop'!AY56+'BZ by State 2nd Crop'!AY56+'BZ by State 3rd Crop'!AY56</f>
        <v>117.2</v>
      </c>
      <c r="AZ56" s="366">
        <f>'BZ by State 1st Crop'!AZ56+'BZ by State 2nd Crop'!AZ56+'BZ by State 3rd Crop'!AZ56</f>
        <v>117.2</v>
      </c>
      <c r="BA56" s="366">
        <f>AZ56-AY56</f>
        <v>0</v>
      </c>
      <c r="BB56" s="367">
        <f>AY56-AX56</f>
        <v>0</v>
      </c>
      <c r="BC56" s="368">
        <f>AZ56-AX56</f>
        <v>0</v>
      </c>
      <c r="BD56" s="370">
        <f>(AX56/AS56)^(1/5)-1</f>
        <v>1.72391541214163E-2</v>
      </c>
      <c r="BH56" s="311"/>
      <c r="BI56" s="311"/>
      <c r="BJ56" s="311"/>
      <c r="BK56" s="311"/>
    </row>
    <row r="57" spans="1:63" ht="15" customHeight="1">
      <c r="A57" s="324" t="s">
        <v>353</v>
      </c>
      <c r="B57" s="345">
        <f t="shared" ref="B57" si="518">B58/B56*1000</f>
        <v>657.70006724949565</v>
      </c>
      <c r="C57" s="345">
        <f t="shared" ref="C57" si="519">C58/C56*1000</f>
        <v>3035.7142857142858</v>
      </c>
      <c r="D57" s="345">
        <f t="shared" ref="D57" si="520">D58/D56*1000</f>
        <v>3111.1111111111113</v>
      </c>
      <c r="E57" s="345">
        <f t="shared" ref="E57" si="521">E58/E56*1000</f>
        <v>2751.7241379310344</v>
      </c>
      <c r="F57" s="345">
        <f t="shared" ref="F57" si="522">F58/F56*1000</f>
        <v>1752.4752475247524</v>
      </c>
      <c r="G57" s="345">
        <f t="shared" ref="G57" si="523">G58/G56*1000</f>
        <v>3952.1739130434785</v>
      </c>
      <c r="H57" s="345">
        <f t="shared" ref="H57" si="524">H58/H56*1000</f>
        <v>1117.6470588235295</v>
      </c>
      <c r="I57" s="345">
        <f t="shared" ref="I57" si="525">I58/I56*1000</f>
        <v>3280</v>
      </c>
      <c r="J57" s="345">
        <f t="shared" ref="J57" si="526">J58/J56*1000</f>
        <v>1145.4545454545455</v>
      </c>
      <c r="K57" s="345">
        <f t="shared" ref="K57" si="527">K58/K56*1000</f>
        <v>2464.5892351274788</v>
      </c>
      <c r="L57" s="345">
        <f t="shared" ref="L57" si="528">L58/L56*1000</f>
        <v>1144.7368421052631</v>
      </c>
      <c r="M57" s="345">
        <f t="shared" ref="M57" si="529">M58/M56*1000</f>
        <v>3275.3164556962029</v>
      </c>
      <c r="N57" s="345">
        <f t="shared" ref="N57" si="530">N58/N56*1000</f>
        <v>3257.1428571428573</v>
      </c>
      <c r="O57" s="345">
        <f t="shared" ref="O57" si="531">O58/O56*1000</f>
        <v>2256.521739130435</v>
      </c>
      <c r="P57" s="345">
        <f t="shared" ref="P57" si="532">P58/P56*1000</f>
        <v>4156.640625</v>
      </c>
      <c r="Q57" s="345">
        <f t="shared" ref="Q57" si="533">Q58/Q56*1000</f>
        <v>2635.5555555555557</v>
      </c>
      <c r="R57" s="345">
        <f t="shared" ref="R57" si="534">R58/R56*1000</f>
        <v>6653.9325842696635</v>
      </c>
      <c r="S57" s="345">
        <f t="shared" ref="S57" si="535">S58/S56*1000</f>
        <v>5348.7268018990089</v>
      </c>
      <c r="T57" s="345">
        <f t="shared" ref="T57" si="536">T58/T56*1000</f>
        <v>4856.3218390804595</v>
      </c>
      <c r="U57" s="345">
        <f t="shared" ref="U57" si="537">U58/U56*1000</f>
        <v>5131.5789473684208</v>
      </c>
      <c r="V57" s="345">
        <f t="shared" ref="V57" si="538">V58/V56*1000</f>
        <v>4253.7138389366692</v>
      </c>
      <c r="W57" s="345">
        <f t="shared" ref="W57" si="539">W58/W56*1000</f>
        <v>5782.3691460055097</v>
      </c>
      <c r="X57" s="345">
        <f t="shared" ref="X57" si="540">X58/X56*1000</f>
        <v>7352.5000000000009</v>
      </c>
      <c r="Y57" s="345">
        <f t="shared" ref="Y57" si="541">Y58/Y56*1000</f>
        <v>5843.478260869565</v>
      </c>
      <c r="Z57" s="345">
        <f t="shared" ref="Z57" si="542">Z58/Z56*1000</f>
        <v>6638.1156316916495</v>
      </c>
      <c r="AA57" s="345">
        <f t="shared" ref="AA57" si="543">AA58/AA56*1000</f>
        <v>5889.2921960072599</v>
      </c>
      <c r="AB57" s="345">
        <f t="shared" ref="AB57" si="544">AB58/AB56*1000</f>
        <v>6961.3445378151255</v>
      </c>
      <c r="AC57" s="345">
        <f t="shared" ref="AC57" si="545">AC58/AC56*1000</f>
        <v>6697.095435684646</v>
      </c>
      <c r="AD57" s="345">
        <f t="shared" ref="AD57" si="546">AD58/AD56*1000</f>
        <v>6413.1926121372044</v>
      </c>
      <c r="AE57" s="345">
        <f t="shared" ref="AE57" si="547">AE58/AE56*1000</f>
        <v>6786.7803837953088</v>
      </c>
      <c r="AF57" s="345">
        <f t="shared" ref="AF57" si="548">AF58/AF56*1000</f>
        <v>6874.9359302921584</v>
      </c>
      <c r="AG57" s="345">
        <f t="shared" ref="AG57" si="549">AG58/AG56*1000</f>
        <v>7622.7979274611389</v>
      </c>
      <c r="AH57" s="345">
        <f t="shared" ref="AH57" si="550">AH58/AH56*1000</f>
        <v>7795.360824742269</v>
      </c>
      <c r="AI57" s="345">
        <f t="shared" ref="AI57" si="551">AI58/AI56*1000</f>
        <v>24228.448275862076</v>
      </c>
      <c r="AJ57" s="345">
        <f t="shared" ref="AJ57" si="552">AJ58/AJ56*1000</f>
        <v>16788.167938931303</v>
      </c>
      <c r="AK57" s="345">
        <f t="shared" ref="AK57" si="553">AK58/AK56*1000</f>
        <v>55145.728643216091</v>
      </c>
      <c r="AL57" s="345">
        <f t="shared" ref="AL57" si="554">AL58/AL56*1000</f>
        <v>73977.401129943508</v>
      </c>
      <c r="AM57" s="345">
        <f t="shared" ref="AM57" si="555">AM58/AM56*1000</f>
        <v>67593.994778067892</v>
      </c>
      <c r="AN57" s="345">
        <f t="shared" ref="AN57" si="556">AN58/AN56*1000</f>
        <v>70073.131955484918</v>
      </c>
      <c r="AO57" s="345">
        <f t="shared" ref="AO57" si="557">AO58/AO56*1000</f>
        <v>31007.092198581558</v>
      </c>
      <c r="AP57" s="345">
        <f t="shared" ref="AP57" si="558">AP58/AP56*1000</f>
        <v>67695.953757225434</v>
      </c>
      <c r="AQ57" s="345">
        <f t="shared" ref="AQ57" si="559">AQ58/AQ56*1000</f>
        <v>52044.198895027628</v>
      </c>
      <c r="AR57" s="345">
        <f t="shared" ref="AR57" si="560">AR58/AR56*1000</f>
        <v>55957.33610822061</v>
      </c>
      <c r="AS57" s="345">
        <f t="shared" ref="AS57" si="561">AS58/AS56*1000</f>
        <v>61235.130111524173</v>
      </c>
      <c r="AT57" s="345">
        <f t="shared" ref="AT57" si="562">AT58/AT56*1000</f>
        <v>515</v>
      </c>
      <c r="AU57" s="345">
        <f t="shared" ref="AU57" si="563">AU58/AU56*1000</f>
        <v>640.99999999999989</v>
      </c>
      <c r="AV57" s="345">
        <f t="shared" ref="AV57" si="564">AV58/AV56*1000</f>
        <v>818.00000000000011</v>
      </c>
      <c r="AW57" s="345">
        <f t="shared" ref="AW57" si="565">AW58/AW56*1000</f>
        <v>565.00000000000011</v>
      </c>
      <c r="AX57" s="345">
        <f t="shared" ref="AX57" si="566">AX58/AX56*1000</f>
        <v>449</v>
      </c>
      <c r="AY57" s="346">
        <f t="shared" ref="AY57:AZ57" si="567">AY58/AY56*1000</f>
        <v>644.99999999999989</v>
      </c>
      <c r="AZ57" s="347">
        <f t="shared" si="567"/>
        <v>644.99999999999989</v>
      </c>
      <c r="BA57" s="347">
        <f>AZ57-AY57</f>
        <v>0</v>
      </c>
      <c r="BB57" s="351">
        <f>AY57-AX57</f>
        <v>195.99999999999989</v>
      </c>
      <c r="BC57" s="352">
        <f>AZ57-AX57</f>
        <v>195.99999999999989</v>
      </c>
      <c r="BD57" s="353">
        <f t="shared" ref="BD57:BD58" si="568">(AX57/AS57)^(1/5)-1</f>
        <v>-0.62584707976447862</v>
      </c>
    </row>
    <row r="58" spans="1:63" s="311" customFormat="1" ht="15" customHeight="1">
      <c r="A58" s="324" t="s">
        <v>354</v>
      </c>
      <c r="B58" s="344">
        <f>'BZ by State 1st Crop'!B58+'BZ by State 2nd Crop'!B58+'BZ by State 3rd Crop'!B58</f>
        <v>195.6</v>
      </c>
      <c r="C58" s="344">
        <f>'BZ by State 1st Crop'!C58+'BZ by State 2nd Crop'!C58+'BZ by State 3rd Crop'!C58</f>
        <v>765</v>
      </c>
      <c r="D58" s="344">
        <f>'BZ by State 1st Crop'!D58+'BZ by State 2nd Crop'!D58+'BZ by State 3rd Crop'!D58</f>
        <v>672</v>
      </c>
      <c r="E58" s="344">
        <f>'BZ by State 1st Crop'!E58+'BZ by State 2nd Crop'!E58+'BZ by State 3rd Crop'!E58</f>
        <v>798</v>
      </c>
      <c r="F58" s="344">
        <f>'BZ by State 1st Crop'!F58+'BZ by State 2nd Crop'!F58+'BZ by State 3rd Crop'!F58</f>
        <v>531</v>
      </c>
      <c r="G58" s="344">
        <f>'BZ by State 1st Crop'!G58+'BZ by State 2nd Crop'!G58+'BZ by State 3rd Crop'!G58</f>
        <v>909</v>
      </c>
      <c r="H58" s="344">
        <f>'BZ by State 1st Crop'!H58+'BZ by State 2nd Crop'!H58+'BZ by State 3rd Crop'!H58</f>
        <v>285</v>
      </c>
      <c r="I58" s="344">
        <f>'BZ by State 1st Crop'!I58+'BZ by State 2nd Crop'!I58+'BZ by State 3rd Crop'!I58</f>
        <v>984</v>
      </c>
      <c r="J58" s="344">
        <f>'BZ by State 1st Crop'!J58+'BZ by State 2nd Crop'!J58+'BZ by State 3rd Crop'!J58</f>
        <v>378</v>
      </c>
      <c r="K58" s="344">
        <f>'BZ by State 1st Crop'!K58+'BZ by State 2nd Crop'!K58+'BZ by State 3rd Crop'!K58</f>
        <v>870</v>
      </c>
      <c r="L58" s="344">
        <f>'BZ by State 1st Crop'!L58+'BZ by State 2nd Crop'!L58+'BZ by State 3rd Crop'!L58</f>
        <v>348</v>
      </c>
      <c r="M58" s="344">
        <f>'BZ by State 1st Crop'!M58+'BZ by State 2nd Crop'!M58+'BZ by State 3rd Crop'!M58</f>
        <v>1035</v>
      </c>
      <c r="N58" s="344">
        <f>'BZ by State 1st Crop'!N58+'BZ by State 2nd Crop'!N58+'BZ by State 3rd Crop'!N58</f>
        <v>1026</v>
      </c>
      <c r="O58" s="344">
        <f>'BZ by State 1st Crop'!O58+'BZ by State 2nd Crop'!O58+'BZ by State 3rd Crop'!O58</f>
        <v>519</v>
      </c>
      <c r="P58" s="344">
        <f>'BZ by State 1st Crop'!P58+'BZ by State 2nd Crop'!P58+'BZ by State 3rd Crop'!P58</f>
        <v>1064.0999999999999</v>
      </c>
      <c r="Q58" s="344">
        <f>'BZ by State 1st Crop'!Q58+'BZ by State 2nd Crop'!Q58+'BZ by State 3rd Crop'!Q58</f>
        <v>711.59999999999991</v>
      </c>
      <c r="R58" s="344">
        <f>'BZ by State 1st Crop'!R58+'BZ by State 2nd Crop'!R58+'BZ by State 3rd Crop'!R58</f>
        <v>592.20000000000005</v>
      </c>
      <c r="S58" s="344">
        <f>'BZ by State 1st Crop'!S58+'BZ by State 2nd Crop'!S58+'BZ by State 3rd Crop'!S58</f>
        <v>1239.3000000000002</v>
      </c>
      <c r="T58" s="344">
        <f>'BZ by State 1st Crop'!T58+'BZ by State 2nd Crop'!T58+'BZ by State 3rd Crop'!T58</f>
        <v>1267.5</v>
      </c>
      <c r="U58" s="344">
        <f>'BZ by State 1st Crop'!U58+'BZ by State 2nd Crop'!U58+'BZ by State 3rd Crop'!U58</f>
        <v>1365</v>
      </c>
      <c r="V58" s="344">
        <f>'BZ by State 1st Crop'!V58+'BZ by State 2nd Crop'!V58+'BZ by State 3rd Crop'!V58</f>
        <v>1088.0999999999999</v>
      </c>
      <c r="W58" s="344">
        <f>'BZ by State 1st Crop'!W58+'BZ by State 2nd Crop'!W58+'BZ by State 3rd Crop'!W58</f>
        <v>629.70000000000005</v>
      </c>
      <c r="X58" s="344">
        <f>'BZ by State 1st Crop'!X58+'BZ by State 2nd Crop'!X58+'BZ by State 3rd Crop'!X58</f>
        <v>882.30000000000007</v>
      </c>
      <c r="Y58" s="344">
        <f>'BZ by State 1st Crop'!Y58+'BZ by State 2nd Crop'!Y58+'BZ by State 3rd Crop'!Y58</f>
        <v>940.80000000000007</v>
      </c>
      <c r="Z58" s="344">
        <f>'BZ by State 1st Crop'!Z58+'BZ by State 2nd Crop'!Z58+'BZ by State 3rd Crop'!Z58</f>
        <v>930</v>
      </c>
      <c r="AA58" s="344">
        <f>'BZ by State 1st Crop'!AA58+'BZ by State 2nd Crop'!AA58+'BZ by State 3rd Crop'!AA58</f>
        <v>973.5</v>
      </c>
      <c r="AB58" s="344">
        <f>'BZ by State 1st Crop'!AB58+'BZ by State 2nd Crop'!AB58+'BZ by State 3rd Crop'!AB58</f>
        <v>1242.5999999999999</v>
      </c>
      <c r="AC58" s="344">
        <f>'BZ by State 1st Crop'!AC58+'BZ by State 2nd Crop'!AC58+'BZ by State 3rd Crop'!AC58</f>
        <v>1291.1999999999998</v>
      </c>
      <c r="AD58" s="344">
        <f>'BZ by State 1st Crop'!AD58+'BZ by State 2nd Crop'!AD58+'BZ by State 3rd Crop'!AD58</f>
        <v>1215.3000000000002</v>
      </c>
      <c r="AE58" s="344">
        <f>'BZ by State 1st Crop'!AE58+'BZ by State 2nd Crop'!AE58+'BZ by State 3rd Crop'!AE58</f>
        <v>1273.1999999999998</v>
      </c>
      <c r="AF58" s="344">
        <f>'BZ by State 1st Crop'!AF58+'BZ by State 2nd Crop'!AF58+'BZ by State 3rd Crop'!AF58</f>
        <v>1341.3000000000002</v>
      </c>
      <c r="AG58" s="344">
        <f>'BZ by State 1st Crop'!AG58+'BZ by State 2nd Crop'!AG58+'BZ by State 3rd Crop'!AG58</f>
        <v>1471.1999999999998</v>
      </c>
      <c r="AH58" s="344">
        <f>'BZ by State 1st Crop'!AH58+'BZ by State 2nd Crop'!AH58+'BZ by State 3rd Crop'!AH58</f>
        <v>1512.3000000000002</v>
      </c>
      <c r="AI58" s="344">
        <f>'BZ by State 1st Crop'!AI58+'BZ by State 2nd Crop'!AI58+'BZ by State 3rd Crop'!AI58</f>
        <v>1686.3000000000002</v>
      </c>
      <c r="AJ58" s="344">
        <f>'BZ by State 1st Crop'!AJ58+'BZ by State 2nd Crop'!AJ58+'BZ by State 3rd Crop'!AJ58</f>
        <v>2639.1000000000004</v>
      </c>
      <c r="AK58" s="344">
        <f>'BZ by State 1st Crop'!AK58+'BZ by State 2nd Crop'!AK58+'BZ by State 3rd Crop'!AK58</f>
        <v>2194.8000000000002</v>
      </c>
      <c r="AL58" s="344">
        <f>'BZ by State 1st Crop'!AL58+'BZ by State 2nd Crop'!AL58+'BZ by State 3rd Crop'!AL58</f>
        <v>3928.2000000000003</v>
      </c>
      <c r="AM58" s="344">
        <f>'BZ by State 1st Crop'!AM58+'BZ by State 2nd Crop'!AM58+'BZ by State 3rd Crop'!AM58</f>
        <v>5177.7000000000007</v>
      </c>
      <c r="AN58" s="344">
        <f>'BZ by State 1st Crop'!AN58+'BZ by State 2nd Crop'!AN58+'BZ by State 3rd Crop'!AN58</f>
        <v>4407.6000000000004</v>
      </c>
      <c r="AO58" s="344">
        <f>'BZ by State 1st Crop'!AO58+'BZ by State 2nd Crop'!AO58+'BZ by State 3rd Crop'!AO58</f>
        <v>2623.2</v>
      </c>
      <c r="AP58" s="344">
        <f>'BZ by State 1st Crop'!AP58+'BZ by State 2nd Crop'!AP58+'BZ by State 3rd Crop'!AP58</f>
        <v>5855.7000000000007</v>
      </c>
      <c r="AQ58" s="344">
        <f>'BZ by State 1st Crop'!AQ58+'BZ by State 2nd Crop'!AQ58+'BZ by State 3rd Crop'!AQ58</f>
        <v>5652</v>
      </c>
      <c r="AR58" s="344">
        <f>'BZ by State 1st Crop'!AR58+'BZ by State 2nd Crop'!AR58+'BZ by State 3rd Crop'!AR58</f>
        <v>5377.5</v>
      </c>
      <c r="AS58" s="344">
        <f>'BZ by State 1st Crop'!AS58+'BZ by State 2nd Crop'!AS58+'BZ by State 3rd Crop'!AS58</f>
        <v>6588.9000000000005</v>
      </c>
      <c r="AT58" s="344">
        <f>'BZ by State 1st Crop'!AT58+'BZ by State 2nd Crop'!AT58+'BZ by State 3rd Crop'!AT58</f>
        <v>49.594499999999996</v>
      </c>
      <c r="AU58" s="344">
        <f>'BZ by State 1st Crop'!AU58+'BZ by State 2nd Crop'!AU58+'BZ by State 3rd Crop'!AU58</f>
        <v>74.420099999999991</v>
      </c>
      <c r="AV58" s="344">
        <f>'BZ by State 1st Crop'!AV58+'BZ by State 2nd Crop'!AV58+'BZ by State 3rd Crop'!AV58</f>
        <v>98.487200000000016</v>
      </c>
      <c r="AW58" s="344">
        <f>'BZ by State 1st Crop'!AW58+'BZ by State 2nd Crop'!AW58+'BZ by State 3rd Crop'!AW58</f>
        <v>66.105000000000004</v>
      </c>
      <c r="AX58" s="344">
        <f>'BZ by State 1st Crop'!AX58+'BZ by State 2nd Crop'!AX58+'BZ by State 3rd Crop'!AX58</f>
        <v>52.622800000000005</v>
      </c>
      <c r="AY58" s="365">
        <f>'BZ by State 1st Crop'!AY58+'BZ by State 2nd Crop'!AY58+'BZ by State 3rd Crop'!AY58</f>
        <v>75.593999999999994</v>
      </c>
      <c r="AZ58" s="366">
        <f>'BZ by State 1st Crop'!AZ58+'BZ by State 2nd Crop'!AZ58+'BZ by State 3rd Crop'!AZ58</f>
        <v>75.593999999999994</v>
      </c>
      <c r="BA58" s="366">
        <f>AZ58-AY58</f>
        <v>0</v>
      </c>
      <c r="BB58" s="367">
        <f>AY58-AX58</f>
        <v>22.971199999999989</v>
      </c>
      <c r="BC58" s="368">
        <f>AZ58-AX58</f>
        <v>22.971199999999989</v>
      </c>
      <c r="BD58" s="353">
        <f t="shared" si="568"/>
        <v>-0.61939699990756059</v>
      </c>
      <c r="BE58" s="309"/>
      <c r="BF58"/>
      <c r="BG58" s="308"/>
    </row>
    <row r="59" spans="1:63" ht="15" customHeight="1">
      <c r="A59" s="320" t="s">
        <v>368</v>
      </c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28"/>
      <c r="AU59" s="328"/>
      <c r="AV59" s="328"/>
      <c r="AW59" s="328"/>
      <c r="AX59" s="328"/>
      <c r="AY59" s="321"/>
      <c r="AZ59" s="328"/>
      <c r="BA59" s="329"/>
      <c r="BB59" s="321"/>
      <c r="BC59" s="328"/>
      <c r="BD59" s="329"/>
    </row>
    <row r="60" spans="1:63" ht="15" customHeight="1">
      <c r="A60" s="324" t="s">
        <v>352</v>
      </c>
      <c r="B60" s="344">
        <f>'BZ by State 1st Crop'!B60+'BZ by State 2nd Crop'!B60+'BZ by State 3rd Crop'!B60</f>
        <v>407.2</v>
      </c>
      <c r="C60" s="344">
        <f>'BZ by State 1st Crop'!C60+'BZ by State 2nd Crop'!C60+'BZ by State 3rd Crop'!C60</f>
        <v>330</v>
      </c>
      <c r="D60" s="344">
        <f>'BZ by State 1st Crop'!D60+'BZ by State 2nd Crop'!D60+'BZ by State 3rd Crop'!D60</f>
        <v>295</v>
      </c>
      <c r="E60" s="344">
        <f>'BZ by State 1st Crop'!E60+'BZ by State 2nd Crop'!E60+'BZ by State 3rd Crop'!E60</f>
        <v>370</v>
      </c>
      <c r="F60" s="344">
        <f>'BZ by State 1st Crop'!F60+'BZ by State 2nd Crop'!F60+'BZ by State 3rd Crop'!F60</f>
        <v>370</v>
      </c>
      <c r="G60" s="344">
        <f>'BZ by State 1st Crop'!G60+'BZ by State 2nd Crop'!G60+'BZ by State 3rd Crop'!G60</f>
        <v>300</v>
      </c>
      <c r="H60" s="344">
        <f>'BZ by State 1st Crop'!H60+'BZ by State 2nd Crop'!H60+'BZ by State 3rd Crop'!H60</f>
        <v>180</v>
      </c>
      <c r="I60" s="344">
        <f>'BZ by State 1st Crop'!I60+'BZ by State 2nd Crop'!I60+'BZ by State 3rd Crop'!I60</f>
        <v>340</v>
      </c>
      <c r="J60" s="344">
        <f>'BZ by State 1st Crop'!J60+'BZ by State 2nd Crop'!J60+'BZ by State 3rd Crop'!J60</f>
        <v>365</v>
      </c>
      <c r="K60" s="344">
        <f>'BZ by State 1st Crop'!K60+'BZ by State 2nd Crop'!K60+'BZ by State 3rd Crop'!K60</f>
        <v>375</v>
      </c>
      <c r="L60" s="344">
        <f>'BZ by State 1st Crop'!L60+'BZ by State 2nd Crop'!L60+'BZ by State 3rd Crop'!L60</f>
        <v>400</v>
      </c>
      <c r="M60" s="344">
        <f>'BZ by State 1st Crop'!M60+'BZ by State 2nd Crop'!M60+'BZ by State 3rd Crop'!M60</f>
        <v>350</v>
      </c>
      <c r="N60" s="344">
        <f>'BZ by State 1st Crop'!N60+'BZ by State 2nd Crop'!N60+'BZ by State 3rd Crop'!N60</f>
        <v>350</v>
      </c>
      <c r="O60" s="344">
        <f>'BZ by State 1st Crop'!O60+'BZ by State 2nd Crop'!O60+'BZ by State 3rd Crop'!O60</f>
        <v>240</v>
      </c>
      <c r="P60" s="344">
        <f>'BZ by State 1st Crop'!P60+'BZ by State 2nd Crop'!P60+'BZ by State 3rd Crop'!P60</f>
        <v>387</v>
      </c>
      <c r="Q60" s="344">
        <f>'BZ by State 1st Crop'!Q60+'BZ by State 2nd Crop'!Q60+'BZ by State 3rd Crop'!Q60</f>
        <v>315</v>
      </c>
      <c r="R60" s="344">
        <f>'BZ by State 1st Crop'!R60+'BZ by State 2nd Crop'!R60+'BZ by State 3rd Crop'!R60</f>
        <v>82.6</v>
      </c>
      <c r="S60" s="344">
        <f>'BZ by State 1st Crop'!S60+'BZ by State 2nd Crop'!S60+'BZ by State 3rd Crop'!S60</f>
        <v>363.2</v>
      </c>
      <c r="T60" s="344">
        <f>'BZ by State 1st Crop'!T60+'BZ by State 2nd Crop'!T60+'BZ by State 3rd Crop'!T60</f>
        <v>362.1</v>
      </c>
      <c r="U60" s="344">
        <f>'BZ by State 1st Crop'!U60+'BZ by State 2nd Crop'!U60+'BZ by State 3rd Crop'!U60</f>
        <v>355.9</v>
      </c>
      <c r="V60" s="344">
        <f>'BZ by State 1st Crop'!V60+'BZ by State 2nd Crop'!V60+'BZ by State 3rd Crop'!V60</f>
        <v>335.3</v>
      </c>
      <c r="W60" s="344">
        <f>'BZ by State 1st Crop'!W60+'BZ by State 2nd Crop'!W60+'BZ by State 3rd Crop'!W60</f>
        <v>106</v>
      </c>
      <c r="X60" s="344">
        <f>'BZ by State 1st Crop'!X60+'BZ by State 2nd Crop'!X60+'BZ by State 3rd Crop'!X60</f>
        <v>245.9</v>
      </c>
      <c r="Y60" s="344">
        <f>'BZ by State 1st Crop'!Y60+'BZ by State 2nd Crop'!Y60+'BZ by State 3rd Crop'!Y60</f>
        <v>300</v>
      </c>
      <c r="Z60" s="344">
        <f>'BZ by State 1st Crop'!Z60+'BZ by State 2nd Crop'!Z60+'BZ by State 3rd Crop'!Z60</f>
        <v>270</v>
      </c>
      <c r="AA60" s="344">
        <f>'BZ by State 1st Crop'!AA60+'BZ by State 2nd Crop'!AA60+'BZ by State 3rd Crop'!AA60</f>
        <v>281</v>
      </c>
      <c r="AB60" s="344">
        <f>'BZ by State 1st Crop'!AB60+'BZ by State 2nd Crop'!AB60+'BZ by State 3rd Crop'!AB60</f>
        <v>285.2</v>
      </c>
      <c r="AC60" s="344">
        <f>'BZ by State 1st Crop'!AC60+'BZ by State 2nd Crop'!AC60+'BZ by State 3rd Crop'!AC60</f>
        <v>273.8</v>
      </c>
      <c r="AD60" s="344">
        <f>'BZ by State 1st Crop'!AD60+'BZ by State 2nd Crop'!AD60+'BZ by State 3rd Crop'!AD60</f>
        <v>246.4</v>
      </c>
      <c r="AE60" s="344">
        <f>'BZ by State 1st Crop'!AE60+'BZ by State 2nd Crop'!AE60+'BZ by State 3rd Crop'!AE60</f>
        <v>283.39999999999998</v>
      </c>
      <c r="AF60" s="344">
        <f>'BZ by State 1st Crop'!AF60+'BZ by State 2nd Crop'!AF60+'BZ by State 3rd Crop'!AF60</f>
        <v>286.2</v>
      </c>
      <c r="AG60" s="344">
        <f>'BZ by State 1st Crop'!AG60+'BZ by State 2nd Crop'!AG60+'BZ by State 3rd Crop'!AG60</f>
        <v>304.2</v>
      </c>
      <c r="AH60" s="344">
        <f>'BZ by State 1st Crop'!AH60+'BZ by State 2nd Crop'!AH60+'BZ by State 3rd Crop'!AH60</f>
        <v>309.7</v>
      </c>
      <c r="AI60" s="344">
        <f>'BZ by State 1st Crop'!AI60+'BZ by State 2nd Crop'!AI60+'BZ by State 3rd Crop'!AI60</f>
        <v>272.5</v>
      </c>
      <c r="AJ60" s="344">
        <f>'BZ by State 1st Crop'!AJ60+'BZ by State 2nd Crop'!AJ60+'BZ by State 3rd Crop'!AJ60</f>
        <v>298.3</v>
      </c>
      <c r="AK60" s="344">
        <f>'BZ by State 1st Crop'!AK60+'BZ by State 2nd Crop'!AK60+'BZ by State 3rd Crop'!AK60</f>
        <v>205.8</v>
      </c>
      <c r="AL60" s="344">
        <f>'BZ by State 1st Crop'!AL60+'BZ by State 2nd Crop'!AL60+'BZ by State 3rd Crop'!AL60</f>
        <v>94.5</v>
      </c>
      <c r="AM60" s="344">
        <f>'BZ by State 1st Crop'!AM60+'BZ by State 2nd Crop'!AM60+'BZ by State 3rd Crop'!AM60</f>
        <v>228.6</v>
      </c>
      <c r="AN60" s="344">
        <f>'BZ by State 1st Crop'!AN60+'BZ by State 2nd Crop'!AN60+'BZ by State 3rd Crop'!AN60</f>
        <v>214.7</v>
      </c>
      <c r="AO60" s="344">
        <f>'BZ by State 1st Crop'!AO60+'BZ by State 2nd Crop'!AO60+'BZ by State 3rd Crop'!AO60</f>
        <v>117.4</v>
      </c>
      <c r="AP60" s="344">
        <f>'BZ by State 1st Crop'!AP60+'BZ by State 2nd Crop'!AP60+'BZ by State 3rd Crop'!AP60</f>
        <v>158</v>
      </c>
      <c r="AQ60" s="344">
        <f>'BZ by State 1st Crop'!AQ60+'BZ by State 2nd Crop'!AQ60+'BZ by State 3rd Crop'!AQ60</f>
        <v>215.7</v>
      </c>
      <c r="AR60" s="344">
        <f>'BZ by State 1st Crop'!AR60+'BZ by State 2nd Crop'!AR60+'BZ by State 3rd Crop'!AR60</f>
        <v>218.4</v>
      </c>
      <c r="AS60" s="344">
        <f>'BZ by State 1st Crop'!AS60+'BZ by State 2nd Crop'!AS60+'BZ by State 3rd Crop'!AS60</f>
        <v>235.8</v>
      </c>
      <c r="AT60" s="344">
        <f>'BZ by State 1st Crop'!AT60+'BZ by State 2nd Crop'!AT60+'BZ by State 3rd Crop'!AT60</f>
        <v>238.2</v>
      </c>
      <c r="AU60" s="344">
        <f>'BZ by State 1st Crop'!AU60+'BZ by State 2nd Crop'!AU60+'BZ by State 3rd Crop'!AU60</f>
        <v>253.2</v>
      </c>
      <c r="AV60" s="344">
        <f>'BZ by State 1st Crop'!AV60+'BZ by State 2nd Crop'!AV60+'BZ by State 3rd Crop'!AV60</f>
        <v>202.2</v>
      </c>
      <c r="AW60" s="344">
        <f>'BZ by State 1st Crop'!AW60+'BZ by State 2nd Crop'!AW60+'BZ by State 3rd Crop'!AW60</f>
        <v>194.10000000000002</v>
      </c>
      <c r="AX60" s="344">
        <f>'BZ by State 1st Crop'!AX60+'BZ by State 2nd Crop'!AX60+'BZ by State 3rd Crop'!AX60</f>
        <v>196.2</v>
      </c>
      <c r="AY60" s="369">
        <f>'BZ by State 1st Crop'!AY60+'BZ by State 2nd Crop'!AY60+'BZ by State 3rd Crop'!AY60</f>
        <v>196.2</v>
      </c>
      <c r="AZ60" s="366">
        <f>'BZ by State 1st Crop'!AZ60+'BZ by State 2nd Crop'!AZ60+'BZ by State 3rd Crop'!AZ60</f>
        <v>196.2</v>
      </c>
      <c r="BA60" s="366">
        <f>AZ60-AY60</f>
        <v>0</v>
      </c>
      <c r="BB60" s="367">
        <f>AY60-AX60</f>
        <v>0</v>
      </c>
      <c r="BC60" s="368">
        <f>AZ60-AX60</f>
        <v>0</v>
      </c>
      <c r="BD60" s="353">
        <f>(AX60/AS60)^(1/5)-1</f>
        <v>-3.6102085879451074E-2</v>
      </c>
      <c r="BH60" s="311"/>
      <c r="BI60" s="311"/>
      <c r="BJ60" s="311"/>
      <c r="BK60" s="311"/>
    </row>
    <row r="61" spans="1:63" ht="15" customHeight="1">
      <c r="A61" s="324" t="s">
        <v>353</v>
      </c>
      <c r="B61" s="345">
        <f t="shared" ref="B61" si="569">B62/B60*1000</f>
        <v>796.90569744597246</v>
      </c>
      <c r="C61" s="345">
        <f t="shared" ref="C61" si="570">C62/C60*1000</f>
        <v>2318.1818181818185</v>
      </c>
      <c r="D61" s="345">
        <f t="shared" ref="D61" si="571">D62/D60*1000</f>
        <v>2277.9661016949153</v>
      </c>
      <c r="E61" s="345">
        <f t="shared" ref="E61" si="572">E62/E60*1000</f>
        <v>2156.7567567567571</v>
      </c>
      <c r="F61" s="345">
        <f t="shared" ref="F61" si="573">F62/F60*1000</f>
        <v>1435.1351351351352</v>
      </c>
      <c r="G61" s="345">
        <f t="shared" ref="G61" si="574">G62/G60*1000</f>
        <v>3030</v>
      </c>
      <c r="H61" s="345">
        <f t="shared" ref="H61" si="575">H62/H60*1000</f>
        <v>1583.3333333333333</v>
      </c>
      <c r="I61" s="345">
        <f t="shared" ref="I61" si="576">I62/I60*1000</f>
        <v>2894.1176470588234</v>
      </c>
      <c r="J61" s="345">
        <f t="shared" ref="J61" si="577">J62/J60*1000</f>
        <v>1035.6164383561643</v>
      </c>
      <c r="K61" s="345">
        <f t="shared" ref="K61" si="578">K62/K60*1000</f>
        <v>2320</v>
      </c>
      <c r="L61" s="345">
        <f t="shared" ref="L61" si="579">L62/L60*1000</f>
        <v>870</v>
      </c>
      <c r="M61" s="345">
        <f t="shared" ref="M61" si="580">M62/M60*1000</f>
        <v>2957.1428571428573</v>
      </c>
      <c r="N61" s="345">
        <f t="shared" ref="N61" si="581">N62/N60*1000</f>
        <v>2931.4285714285716</v>
      </c>
      <c r="O61" s="345">
        <f t="shared" ref="O61" si="582">O62/O60*1000</f>
        <v>2162.5</v>
      </c>
      <c r="P61" s="345">
        <f t="shared" ref="P61" si="583">P62/P60*1000</f>
        <v>2749.6124031007748</v>
      </c>
      <c r="Q61" s="345">
        <f t="shared" ref="Q61" si="584">Q62/Q60*1000</f>
        <v>2259.0476190476188</v>
      </c>
      <c r="R61" s="345">
        <f t="shared" ref="R61" si="585">R62/R60*1000</f>
        <v>7169.4915254237303</v>
      </c>
      <c r="S61" s="345">
        <f t="shared" ref="S61" si="586">S62/S60*1000</f>
        <v>3412.1696035242298</v>
      </c>
      <c r="T61" s="345">
        <f t="shared" ref="T61" si="587">T62/T60*1000</f>
        <v>3500.414250207125</v>
      </c>
      <c r="U61" s="345">
        <f t="shared" ref="U61" si="588">U62/U60*1000</f>
        <v>3835.3470075864011</v>
      </c>
      <c r="V61" s="345">
        <f t="shared" ref="V61" si="589">V62/V60*1000</f>
        <v>3245.1535937965996</v>
      </c>
      <c r="W61" s="345">
        <f t="shared" ref="W61" si="590">W62/W60*1000</f>
        <v>5940.5660377358499</v>
      </c>
      <c r="X61" s="345">
        <f t="shared" ref="X61" si="591">X62/X60*1000</f>
        <v>3588.0439202928023</v>
      </c>
      <c r="Y61" s="345">
        <f t="shared" ref="Y61" si="592">Y62/Y60*1000</f>
        <v>3136</v>
      </c>
      <c r="Z61" s="345">
        <f t="shared" ref="Z61" si="593">Z62/Z60*1000</f>
        <v>3444.4444444444448</v>
      </c>
      <c r="AA61" s="345">
        <f t="shared" ref="AA61" si="594">AA62/AA60*1000</f>
        <v>3464.4128113879001</v>
      </c>
      <c r="AB61" s="345">
        <f t="shared" ref="AB61" si="595">AB62/AB60*1000</f>
        <v>4356.9424964936889</v>
      </c>
      <c r="AC61" s="345">
        <f t="shared" ref="AC61" si="596">AC62/AC60*1000</f>
        <v>4715.8509861212551</v>
      </c>
      <c r="AD61" s="345">
        <f t="shared" ref="AD61" si="597">AD62/AD60*1000</f>
        <v>4932.2240259740265</v>
      </c>
      <c r="AE61" s="345">
        <f t="shared" ref="AE61" si="598">AE62/AE60*1000</f>
        <v>4492.5899788285105</v>
      </c>
      <c r="AF61" s="345">
        <f t="shared" ref="AF61" si="599">AF62/AF60*1000</f>
        <v>4686.5828092243191</v>
      </c>
      <c r="AG61" s="345">
        <f t="shared" ref="AG61" si="600">AG62/AG60*1000</f>
        <v>4836.29191321499</v>
      </c>
      <c r="AH61" s="345">
        <f t="shared" ref="AH61" si="601">AH62/AH60*1000</f>
        <v>4883.1126896997102</v>
      </c>
      <c r="AI61" s="345">
        <f t="shared" ref="AI61" si="602">AI62/AI60*1000</f>
        <v>6188.2568807339449</v>
      </c>
      <c r="AJ61" s="345">
        <f t="shared" ref="AJ61" si="603">AJ62/AJ60*1000</f>
        <v>8847.133757961783</v>
      </c>
      <c r="AK61" s="345">
        <f t="shared" ref="AK61" si="604">AK62/AK60*1000</f>
        <v>10664.723032069973</v>
      </c>
      <c r="AL61" s="345">
        <f t="shared" ref="AL61" si="605">AL62/AL60*1000</f>
        <v>41568.253968253972</v>
      </c>
      <c r="AM61" s="345">
        <f t="shared" ref="AM61" si="606">AM62/AM60*1000</f>
        <v>22649.606299212603</v>
      </c>
      <c r="AN61" s="345">
        <f t="shared" ref="AN61" si="607">AN62/AN60*1000</f>
        <v>20529.110386585937</v>
      </c>
      <c r="AO61" s="345">
        <f t="shared" ref="AO61" si="608">AO62/AO60*1000</f>
        <v>22344.12265758092</v>
      </c>
      <c r="AP61" s="345">
        <f t="shared" ref="AP61" si="609">AP62/AP60*1000</f>
        <v>37061.392405063292</v>
      </c>
      <c r="AQ61" s="345">
        <f t="shared" ref="AQ61" si="610">AQ62/AQ60*1000</f>
        <v>26203.059805285116</v>
      </c>
      <c r="AR61" s="345">
        <f t="shared" ref="AR61" si="611">AR62/AR60*1000</f>
        <v>24622.252747252747</v>
      </c>
      <c r="AS61" s="345">
        <f t="shared" ref="AS61" si="612">AS62/AS60*1000</f>
        <v>27942.748091603054</v>
      </c>
      <c r="AT61" s="345">
        <f t="shared" ref="AT61" si="613">AT62/AT60*1000</f>
        <v>591.93954659949623</v>
      </c>
      <c r="AU61" s="345">
        <f t="shared" ref="AU61" si="614">AU62/AU60*1000</f>
        <v>525.82938388625587</v>
      </c>
      <c r="AV61" s="345">
        <f t="shared" ref="AV61" si="615">AV62/AV60*1000</f>
        <v>979.63798219584578</v>
      </c>
      <c r="AW61" s="345">
        <f t="shared" ref="AW61" si="616">AW62/AW60*1000</f>
        <v>1195.8464708912929</v>
      </c>
      <c r="AX61" s="345">
        <f t="shared" ref="AX61" si="617">AX62/AX60*1000</f>
        <v>1150.5005096839959</v>
      </c>
      <c r="AY61" s="346">
        <f t="shared" ref="AY61:AZ61" si="618">AY62/AY60*1000</f>
        <v>1150.5005096839959</v>
      </c>
      <c r="AZ61" s="347">
        <f t="shared" si="618"/>
        <v>1144.1284403669724</v>
      </c>
      <c r="BA61" s="347">
        <f>AZ61-AY61</f>
        <v>-6.3720693170234881</v>
      </c>
      <c r="BB61" s="351">
        <f>AY61-AX61</f>
        <v>0</v>
      </c>
      <c r="BC61" s="352">
        <f>AZ61-AX61</f>
        <v>-6.3720693170234881</v>
      </c>
      <c r="BD61" s="353">
        <f t="shared" ref="BD61:BD62" si="619">(AX61/AS61)^(1/5)-1</f>
        <v>-0.47164777584322692</v>
      </c>
    </row>
    <row r="62" spans="1:63" s="311" customFormat="1" ht="15" customHeight="1">
      <c r="A62" s="324" t="s">
        <v>354</v>
      </c>
      <c r="B62" s="344">
        <f>'BZ by State 1st Crop'!B62+'BZ by State 2nd Crop'!B62+'BZ by State 3rd Crop'!B62</f>
        <v>324.5</v>
      </c>
      <c r="C62" s="344">
        <f>'BZ by State 1st Crop'!C62+'BZ by State 2nd Crop'!C62+'BZ by State 3rd Crop'!C62</f>
        <v>765</v>
      </c>
      <c r="D62" s="344">
        <f>'BZ by State 1st Crop'!D62+'BZ by State 2nd Crop'!D62+'BZ by State 3rd Crop'!D62</f>
        <v>672</v>
      </c>
      <c r="E62" s="344">
        <f>'BZ by State 1st Crop'!E62+'BZ by State 2nd Crop'!E62+'BZ by State 3rd Crop'!E62</f>
        <v>798</v>
      </c>
      <c r="F62" s="344">
        <f>'BZ by State 1st Crop'!F62+'BZ by State 2nd Crop'!F62+'BZ by State 3rd Crop'!F62</f>
        <v>531</v>
      </c>
      <c r="G62" s="344">
        <f>'BZ by State 1st Crop'!G62+'BZ by State 2nd Crop'!G62+'BZ by State 3rd Crop'!G62</f>
        <v>909</v>
      </c>
      <c r="H62" s="344">
        <f>'BZ by State 1st Crop'!H62+'BZ by State 2nd Crop'!H62+'BZ by State 3rd Crop'!H62</f>
        <v>285</v>
      </c>
      <c r="I62" s="344">
        <f>'BZ by State 1st Crop'!I62+'BZ by State 2nd Crop'!I62+'BZ by State 3rd Crop'!I62</f>
        <v>984</v>
      </c>
      <c r="J62" s="344">
        <f>'BZ by State 1st Crop'!J62+'BZ by State 2nd Crop'!J62+'BZ by State 3rd Crop'!J62</f>
        <v>378</v>
      </c>
      <c r="K62" s="344">
        <f>'BZ by State 1st Crop'!K62+'BZ by State 2nd Crop'!K62+'BZ by State 3rd Crop'!K62</f>
        <v>870</v>
      </c>
      <c r="L62" s="344">
        <f>'BZ by State 1st Crop'!L62+'BZ by State 2nd Crop'!L62+'BZ by State 3rd Crop'!L62</f>
        <v>348</v>
      </c>
      <c r="M62" s="344">
        <f>'BZ by State 1st Crop'!M62+'BZ by State 2nd Crop'!M62+'BZ by State 3rd Crop'!M62</f>
        <v>1035</v>
      </c>
      <c r="N62" s="344">
        <f>'BZ by State 1st Crop'!N62+'BZ by State 2nd Crop'!N62+'BZ by State 3rd Crop'!N62</f>
        <v>1026</v>
      </c>
      <c r="O62" s="344">
        <f>'BZ by State 1st Crop'!O62+'BZ by State 2nd Crop'!O62+'BZ by State 3rd Crop'!O62</f>
        <v>519</v>
      </c>
      <c r="P62" s="344">
        <f>'BZ by State 1st Crop'!P62+'BZ by State 2nd Crop'!P62+'BZ by State 3rd Crop'!P62</f>
        <v>1064.0999999999999</v>
      </c>
      <c r="Q62" s="344">
        <f>'BZ by State 1st Crop'!Q62+'BZ by State 2nd Crop'!Q62+'BZ by State 3rd Crop'!Q62</f>
        <v>711.59999999999991</v>
      </c>
      <c r="R62" s="344">
        <f>'BZ by State 1st Crop'!R62+'BZ by State 2nd Crop'!R62+'BZ by State 3rd Crop'!R62</f>
        <v>592.20000000000005</v>
      </c>
      <c r="S62" s="344">
        <f>'BZ by State 1st Crop'!S62+'BZ by State 2nd Crop'!S62+'BZ by State 3rd Crop'!S62</f>
        <v>1239.3000000000002</v>
      </c>
      <c r="T62" s="344">
        <f>'BZ by State 1st Crop'!T62+'BZ by State 2nd Crop'!T62+'BZ by State 3rd Crop'!T62</f>
        <v>1267.5</v>
      </c>
      <c r="U62" s="344">
        <f>'BZ by State 1st Crop'!U62+'BZ by State 2nd Crop'!U62+'BZ by State 3rd Crop'!U62</f>
        <v>1365</v>
      </c>
      <c r="V62" s="344">
        <f>'BZ by State 1st Crop'!V62+'BZ by State 2nd Crop'!V62+'BZ by State 3rd Crop'!V62</f>
        <v>1088.0999999999999</v>
      </c>
      <c r="W62" s="344">
        <f>'BZ by State 1st Crop'!W62+'BZ by State 2nd Crop'!W62+'BZ by State 3rd Crop'!W62</f>
        <v>629.70000000000005</v>
      </c>
      <c r="X62" s="344">
        <f>'BZ by State 1st Crop'!X62+'BZ by State 2nd Crop'!X62+'BZ by State 3rd Crop'!X62</f>
        <v>882.30000000000007</v>
      </c>
      <c r="Y62" s="344">
        <f>'BZ by State 1st Crop'!Y62+'BZ by State 2nd Crop'!Y62+'BZ by State 3rd Crop'!Y62</f>
        <v>940.80000000000007</v>
      </c>
      <c r="Z62" s="344">
        <f>'BZ by State 1st Crop'!Z62+'BZ by State 2nd Crop'!Z62+'BZ by State 3rd Crop'!Z62</f>
        <v>930</v>
      </c>
      <c r="AA62" s="344">
        <f>'BZ by State 1st Crop'!AA62+'BZ by State 2nd Crop'!AA62+'BZ by State 3rd Crop'!AA62</f>
        <v>973.5</v>
      </c>
      <c r="AB62" s="344">
        <f>'BZ by State 1st Crop'!AB62+'BZ by State 2nd Crop'!AB62+'BZ by State 3rd Crop'!AB62</f>
        <v>1242.5999999999999</v>
      </c>
      <c r="AC62" s="344">
        <f>'BZ by State 1st Crop'!AC62+'BZ by State 2nd Crop'!AC62+'BZ by State 3rd Crop'!AC62</f>
        <v>1291.1999999999998</v>
      </c>
      <c r="AD62" s="344">
        <f>'BZ by State 1st Crop'!AD62+'BZ by State 2nd Crop'!AD62+'BZ by State 3rd Crop'!AD62</f>
        <v>1215.3000000000002</v>
      </c>
      <c r="AE62" s="344">
        <f>'BZ by State 1st Crop'!AE62+'BZ by State 2nd Crop'!AE62+'BZ by State 3rd Crop'!AE62</f>
        <v>1273.1999999999998</v>
      </c>
      <c r="AF62" s="344">
        <f>'BZ by State 1st Crop'!AF62+'BZ by State 2nd Crop'!AF62+'BZ by State 3rd Crop'!AF62</f>
        <v>1341.3000000000002</v>
      </c>
      <c r="AG62" s="344">
        <f>'BZ by State 1st Crop'!AG62+'BZ by State 2nd Crop'!AG62+'BZ by State 3rd Crop'!AG62</f>
        <v>1471.1999999999998</v>
      </c>
      <c r="AH62" s="344">
        <f>'BZ by State 1st Crop'!AH62+'BZ by State 2nd Crop'!AH62+'BZ by State 3rd Crop'!AH62</f>
        <v>1512.3000000000002</v>
      </c>
      <c r="AI62" s="344">
        <f>'BZ by State 1st Crop'!AI62+'BZ by State 2nd Crop'!AI62+'BZ by State 3rd Crop'!AI62</f>
        <v>1686.3000000000002</v>
      </c>
      <c r="AJ62" s="344">
        <f>'BZ by State 1st Crop'!AJ62+'BZ by State 2nd Crop'!AJ62+'BZ by State 3rd Crop'!AJ62</f>
        <v>2639.1000000000004</v>
      </c>
      <c r="AK62" s="344">
        <f>'BZ by State 1st Crop'!AK62+'BZ by State 2nd Crop'!AK62+'BZ by State 3rd Crop'!AK62</f>
        <v>2194.8000000000002</v>
      </c>
      <c r="AL62" s="344">
        <f>'BZ by State 1st Crop'!AL62+'BZ by State 2nd Crop'!AL62+'BZ by State 3rd Crop'!AL62</f>
        <v>3928.2000000000003</v>
      </c>
      <c r="AM62" s="344">
        <f>'BZ by State 1st Crop'!AM62+'BZ by State 2nd Crop'!AM62+'BZ by State 3rd Crop'!AM62</f>
        <v>5177.7000000000007</v>
      </c>
      <c r="AN62" s="344">
        <f>'BZ by State 1st Crop'!AN62+'BZ by State 2nd Crop'!AN62+'BZ by State 3rd Crop'!AN62</f>
        <v>4407.6000000000004</v>
      </c>
      <c r="AO62" s="344">
        <f>'BZ by State 1st Crop'!AO62+'BZ by State 2nd Crop'!AO62+'BZ by State 3rd Crop'!AO62</f>
        <v>2623.2</v>
      </c>
      <c r="AP62" s="344">
        <f>'BZ by State 1st Crop'!AP62+'BZ by State 2nd Crop'!AP62+'BZ by State 3rd Crop'!AP62</f>
        <v>5855.7000000000007</v>
      </c>
      <c r="AQ62" s="344">
        <f>'BZ by State 1st Crop'!AQ62+'BZ by State 2nd Crop'!AQ62+'BZ by State 3rd Crop'!AQ62</f>
        <v>5652</v>
      </c>
      <c r="AR62" s="344">
        <f>'BZ by State 1st Crop'!AR62+'BZ by State 2nd Crop'!AR62+'BZ by State 3rd Crop'!AR62</f>
        <v>5377.5</v>
      </c>
      <c r="AS62" s="344">
        <f>'BZ by State 1st Crop'!AS62+'BZ by State 2nd Crop'!AS62+'BZ by State 3rd Crop'!AS62</f>
        <v>6588.9000000000005</v>
      </c>
      <c r="AT62" s="344">
        <f>'BZ by State 1st Crop'!AT62+'BZ by State 2nd Crop'!AT62+'BZ by State 3rd Crop'!AT62</f>
        <v>141</v>
      </c>
      <c r="AU62" s="344">
        <f>'BZ by State 1st Crop'!AU62+'BZ by State 2nd Crop'!AU62+'BZ by State 3rd Crop'!AU62</f>
        <v>133.13999999999999</v>
      </c>
      <c r="AV62" s="344">
        <f>'BZ by State 1st Crop'!AV62+'BZ by State 2nd Crop'!AV62+'BZ by State 3rd Crop'!AV62</f>
        <v>198.08279999999999</v>
      </c>
      <c r="AW62" s="344">
        <f>'BZ by State 1st Crop'!AW62+'BZ by State 2nd Crop'!AW62+'BZ by State 3rd Crop'!AW62</f>
        <v>232.1138</v>
      </c>
      <c r="AX62" s="344">
        <f>'BZ by State 1st Crop'!AX62+'BZ by State 2nd Crop'!AX62+'BZ by State 3rd Crop'!AX62</f>
        <v>225.72820000000002</v>
      </c>
      <c r="AY62" s="365">
        <f>'BZ by State 1st Crop'!AY62+'BZ by State 2nd Crop'!AY62+'BZ by State 3rd Crop'!AY62</f>
        <v>225.72820000000002</v>
      </c>
      <c r="AZ62" s="366">
        <f>'BZ by State 1st Crop'!AZ62+'BZ by State 2nd Crop'!AZ62+'BZ by State 3rd Crop'!AZ62</f>
        <v>224.47800000000001</v>
      </c>
      <c r="BA62" s="366">
        <f>AZ62-AY62</f>
        <v>-1.2502000000000066</v>
      </c>
      <c r="BB62" s="367">
        <f>AY62-AX62</f>
        <v>0</v>
      </c>
      <c r="BC62" s="368">
        <f>AZ62-AX62</f>
        <v>-1.2502000000000066</v>
      </c>
      <c r="BD62" s="353">
        <f t="shared" si="619"/>
        <v>-0.49072239321433375</v>
      </c>
      <c r="BE62" s="309"/>
      <c r="BF62"/>
      <c r="BG62" s="308"/>
    </row>
    <row r="63" spans="1:63" ht="15" customHeight="1">
      <c r="A63" s="320" t="s">
        <v>369</v>
      </c>
      <c r="B63" s="356"/>
      <c r="C63" s="356"/>
      <c r="D63" s="356"/>
      <c r="E63" s="356"/>
      <c r="F63" s="356"/>
      <c r="G63" s="356"/>
      <c r="H63" s="356"/>
      <c r="I63" s="356"/>
      <c r="J63" s="356"/>
      <c r="K63" s="356"/>
      <c r="L63" s="356"/>
      <c r="M63" s="356"/>
      <c r="N63" s="356"/>
      <c r="O63" s="356"/>
      <c r="P63" s="356"/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28"/>
      <c r="AU63" s="328"/>
      <c r="AV63" s="328"/>
      <c r="AW63" s="328"/>
      <c r="AX63" s="328"/>
      <c r="AY63" s="321"/>
      <c r="AZ63" s="328"/>
      <c r="BA63" s="329"/>
      <c r="BB63" s="321"/>
      <c r="BC63" s="328"/>
      <c r="BD63" s="329"/>
    </row>
    <row r="64" spans="1:63" ht="15" customHeight="1">
      <c r="A64" s="324" t="s">
        <v>352</v>
      </c>
      <c r="B64" s="344">
        <f>'BZ by State 1st Crop'!B64+'BZ by State 2nd Crop'!B64+'BZ by State 3rd Crop'!B64</f>
        <v>122.1</v>
      </c>
      <c r="C64" s="344">
        <f>'BZ by State 1st Crop'!C64+'BZ by State 2nd Crop'!C64+'BZ by State 3rd Crop'!C64</f>
        <v>132</v>
      </c>
      <c r="D64" s="344">
        <f>'BZ by State 1st Crop'!D64+'BZ by State 2nd Crop'!D64+'BZ by State 3rd Crop'!D64</f>
        <v>96</v>
      </c>
      <c r="E64" s="344">
        <f>'BZ by State 1st Crop'!E64+'BZ by State 2nd Crop'!E64+'BZ by State 3rd Crop'!E64</f>
        <v>137</v>
      </c>
      <c r="F64" s="344">
        <f>'BZ by State 1st Crop'!F64+'BZ by State 2nd Crop'!F64+'BZ by State 3rd Crop'!F64</f>
        <v>137</v>
      </c>
      <c r="G64" s="344">
        <f>'BZ by State 1st Crop'!G64+'BZ by State 2nd Crop'!G64+'BZ by State 3rd Crop'!G64</f>
        <v>110</v>
      </c>
      <c r="H64" s="344">
        <f>'BZ by State 1st Crop'!H64+'BZ by State 2nd Crop'!H64+'BZ by State 3rd Crop'!H64</f>
        <v>93.5</v>
      </c>
      <c r="I64" s="344">
        <f>'BZ by State 1st Crop'!I64+'BZ by State 2nd Crop'!I64+'BZ by State 3rd Crop'!I64</f>
        <v>90</v>
      </c>
      <c r="J64" s="344">
        <f>'BZ by State 1st Crop'!J64+'BZ by State 2nd Crop'!J64+'BZ by State 3rd Crop'!J64</f>
        <v>109.2</v>
      </c>
      <c r="K64" s="344">
        <f>'BZ by State 1st Crop'!K64+'BZ by State 2nd Crop'!K64+'BZ by State 3rd Crop'!K64</f>
        <v>120.1</v>
      </c>
      <c r="L64" s="344">
        <f>'BZ by State 1st Crop'!L64+'BZ by State 2nd Crop'!L64+'BZ by State 3rd Crop'!L64</f>
        <v>138.4</v>
      </c>
      <c r="M64" s="344">
        <f>'BZ by State 1st Crop'!M64+'BZ by State 2nd Crop'!M64+'BZ by State 3rd Crop'!M64</f>
        <v>128.19999999999999</v>
      </c>
      <c r="N64" s="344">
        <f>'BZ by State 1st Crop'!N64+'BZ by State 2nd Crop'!N64+'BZ by State 3rd Crop'!N64</f>
        <v>128.19999999999999</v>
      </c>
      <c r="O64" s="344">
        <f>'BZ by State 1st Crop'!O64+'BZ by State 2nd Crop'!O64+'BZ by State 3rd Crop'!O64</f>
        <v>105</v>
      </c>
      <c r="P64" s="344">
        <f>'BZ by State 1st Crop'!P64+'BZ by State 2nd Crop'!P64+'BZ by State 3rd Crop'!P64</f>
        <v>106.5</v>
      </c>
      <c r="Q64" s="344">
        <f>'BZ by State 1st Crop'!Q64+'BZ by State 2nd Crop'!Q64+'BZ by State 3rd Crop'!Q64</f>
        <v>88</v>
      </c>
      <c r="R64" s="344">
        <f>'BZ by State 1st Crop'!R64+'BZ by State 2nd Crop'!R64+'BZ by State 3rd Crop'!R64</f>
        <v>26.4</v>
      </c>
      <c r="S64" s="344">
        <f>'BZ by State 1st Crop'!S64+'BZ by State 2nd Crop'!S64+'BZ by State 3rd Crop'!S64</f>
        <v>131</v>
      </c>
      <c r="T64" s="344">
        <f>'BZ by State 1st Crop'!T64+'BZ by State 2nd Crop'!T64+'BZ by State 3rd Crop'!T64</f>
        <v>112.3</v>
      </c>
      <c r="U64" s="344">
        <f>'BZ by State 1st Crop'!U64+'BZ by State 2nd Crop'!U64+'BZ by State 3rd Crop'!U64</f>
        <v>121.1</v>
      </c>
      <c r="V64" s="344">
        <f>'BZ by State 1st Crop'!V64+'BZ by State 2nd Crop'!V64+'BZ by State 3rd Crop'!V64</f>
        <v>118</v>
      </c>
      <c r="W64" s="344">
        <f>'BZ by State 1st Crop'!W64+'BZ by State 2nd Crop'!W64+'BZ by State 3rd Crop'!W64</f>
        <v>118</v>
      </c>
      <c r="X64" s="344">
        <f>'BZ by State 1st Crop'!X64+'BZ by State 2nd Crop'!X64+'BZ by State 3rd Crop'!X64</f>
        <v>118</v>
      </c>
      <c r="Y64" s="344">
        <f>'BZ by State 1st Crop'!Y64+'BZ by State 2nd Crop'!Y64+'BZ by State 3rd Crop'!Y64</f>
        <v>66</v>
      </c>
      <c r="Z64" s="344">
        <f>'BZ by State 1st Crop'!Z64+'BZ by State 2nd Crop'!Z64+'BZ by State 3rd Crop'!Z64</f>
        <v>77.900000000000006</v>
      </c>
      <c r="AA64" s="344">
        <f>'BZ by State 1st Crop'!AA64+'BZ by State 2nd Crop'!AA64+'BZ by State 3rd Crop'!AA64</f>
        <v>57</v>
      </c>
      <c r="AB64" s="344">
        <f>'BZ by State 1st Crop'!AB64+'BZ by State 2nd Crop'!AB64+'BZ by State 3rd Crop'!AB64</f>
        <v>57</v>
      </c>
      <c r="AC64" s="344">
        <f>'BZ by State 1st Crop'!AC64+'BZ by State 2nd Crop'!AC64+'BZ by State 3rd Crop'!AC64</f>
        <v>79</v>
      </c>
      <c r="AD64" s="344">
        <f>'BZ by State 1st Crop'!AD64+'BZ by State 2nd Crop'!AD64+'BZ by State 3rd Crop'!AD64</f>
        <v>79</v>
      </c>
      <c r="AE64" s="344">
        <f>'BZ by State 1st Crop'!AE64+'BZ by State 2nd Crop'!AE64+'BZ by State 3rd Crop'!AE64</f>
        <v>83.7</v>
      </c>
      <c r="AF64" s="344">
        <f>'BZ by State 1st Crop'!AF64+'BZ by State 2nd Crop'!AF64+'BZ by State 3rd Crop'!AF64</f>
        <v>83.7</v>
      </c>
      <c r="AG64" s="344">
        <f>'BZ by State 1st Crop'!AG64+'BZ by State 2nd Crop'!AG64+'BZ by State 3rd Crop'!AG64</f>
        <v>72.599999999999994</v>
      </c>
      <c r="AH64" s="344">
        <f>'BZ by State 1st Crop'!AH64+'BZ by State 2nd Crop'!AH64+'BZ by State 3rd Crop'!AH64</f>
        <v>71.3</v>
      </c>
      <c r="AI64" s="344">
        <f>'BZ by State 1st Crop'!AI64+'BZ by State 2nd Crop'!AI64+'BZ by State 3rd Crop'!AI64</f>
        <v>58</v>
      </c>
      <c r="AJ64" s="344">
        <f>'BZ by State 1st Crop'!AJ64+'BZ by State 2nd Crop'!AJ64+'BZ by State 3rd Crop'!AJ64</f>
        <v>57.2</v>
      </c>
      <c r="AK64" s="344">
        <f>'BZ by State 1st Crop'!AK64+'BZ by State 2nd Crop'!AK64+'BZ by State 3rd Crop'!AK64</f>
        <v>29.7</v>
      </c>
      <c r="AL64" s="344">
        <f>'BZ by State 1st Crop'!AL64+'BZ by State 2nd Crop'!AL64+'BZ by State 3rd Crop'!AL64</f>
        <v>34.4</v>
      </c>
      <c r="AM64" s="344">
        <f>'BZ by State 1st Crop'!AM64+'BZ by State 2nd Crop'!AM64+'BZ by State 3rd Crop'!AM64</f>
        <v>31</v>
      </c>
      <c r="AN64" s="344">
        <f>'BZ by State 1st Crop'!AN64+'BZ by State 2nd Crop'!AN64+'BZ by State 3rd Crop'!AN64</f>
        <v>30.1</v>
      </c>
      <c r="AO64" s="344">
        <f>'BZ by State 1st Crop'!AO64+'BZ by State 2nd Crop'!AO64+'BZ by State 3rd Crop'!AO64</f>
        <v>28.3</v>
      </c>
      <c r="AP64" s="344">
        <f>'BZ by State 1st Crop'!AP64+'BZ by State 2nd Crop'!AP64+'BZ by State 3rd Crop'!AP64</f>
        <v>37.200000000000003</v>
      </c>
      <c r="AQ64" s="344">
        <f>'BZ by State 1st Crop'!AQ64+'BZ by State 2nd Crop'!AQ64+'BZ by State 3rd Crop'!AQ64</f>
        <v>26.2</v>
      </c>
      <c r="AR64" s="344">
        <f>'BZ by State 1st Crop'!AR64+'BZ by State 2nd Crop'!AR64+'BZ by State 3rd Crop'!AR64</f>
        <v>33.9</v>
      </c>
      <c r="AS64" s="344">
        <f>'BZ by State 1st Crop'!AS64+'BZ by State 2nd Crop'!AS64+'BZ by State 3rd Crop'!AS64</f>
        <v>38.4</v>
      </c>
      <c r="AT64" s="344">
        <f>'BZ by State 1st Crop'!AT64+'BZ by State 2nd Crop'!AT64+'BZ by State 3rd Crop'!AT64</f>
        <v>44.7</v>
      </c>
      <c r="AU64" s="344">
        <f>'BZ by State 1st Crop'!AU64+'BZ by State 2nd Crop'!AU64+'BZ by State 3rd Crop'!AU64</f>
        <v>40.200000000000003</v>
      </c>
      <c r="AV64" s="344">
        <f>'BZ by State 1st Crop'!AV64+'BZ by State 2nd Crop'!AV64+'BZ by State 3rd Crop'!AV64</f>
        <v>58.1</v>
      </c>
      <c r="AW64" s="344">
        <f>'BZ by State 1st Crop'!AW64+'BZ by State 2nd Crop'!AW64+'BZ by State 3rd Crop'!AW64</f>
        <v>48</v>
      </c>
      <c r="AX64" s="344">
        <f>'BZ by State 1st Crop'!AX64+'BZ by State 2nd Crop'!AX64+'BZ by State 3rd Crop'!AX64</f>
        <v>31.2</v>
      </c>
      <c r="AY64" s="369">
        <f>'BZ by State 1st Crop'!AY64+'BZ by State 2nd Crop'!AY64+'BZ by State 3rd Crop'!AY64</f>
        <v>32.700000000000003</v>
      </c>
      <c r="AZ64" s="366">
        <f>'BZ by State 1st Crop'!AZ64+'BZ by State 2nd Crop'!AZ64+'BZ by State 3rd Crop'!AZ64</f>
        <v>32.700000000000003</v>
      </c>
      <c r="BA64" s="366">
        <f>AZ64-AY64</f>
        <v>0</v>
      </c>
      <c r="BB64" s="367">
        <f>AY64-AX64</f>
        <v>1.5000000000000036</v>
      </c>
      <c r="BC64" s="368">
        <f>AZ64-AX64</f>
        <v>1.5000000000000036</v>
      </c>
      <c r="BD64" s="353">
        <f>(AX64/AS64)^(1/5)-1</f>
        <v>-4.0677404187346888E-2</v>
      </c>
      <c r="BF64" s="319" t="b">
        <v>0</v>
      </c>
      <c r="BH64" s="311"/>
      <c r="BI64" s="311"/>
      <c r="BJ64" s="311"/>
      <c r="BK64" s="311"/>
    </row>
    <row r="65" spans="1:63" ht="15" customHeight="1">
      <c r="A65" s="324" t="s">
        <v>353</v>
      </c>
      <c r="B65" s="345">
        <f t="shared" ref="B65" si="620">B66/B64*1000</f>
        <v>604.42260442260442</v>
      </c>
      <c r="C65" s="345">
        <f t="shared" ref="C65" si="621">C66/C64*1000</f>
        <v>5795.454545454546</v>
      </c>
      <c r="D65" s="345">
        <f t="shared" ref="D65" si="622">D66/D64*1000</f>
        <v>7000</v>
      </c>
      <c r="E65" s="345">
        <f t="shared" ref="E65" si="623">E66/E64*1000</f>
        <v>5824.8175182481755</v>
      </c>
      <c r="F65" s="345">
        <f t="shared" ref="F65" si="624">F66/F64*1000</f>
        <v>3875.912408759124</v>
      </c>
      <c r="G65" s="345">
        <f t="shared" ref="G65" si="625">G66/G64*1000</f>
        <v>8263.636363636364</v>
      </c>
      <c r="H65" s="345">
        <f t="shared" ref="H65" si="626">H66/H64*1000</f>
        <v>3048.1283422459896</v>
      </c>
      <c r="I65" s="345">
        <f t="shared" ref="I65" si="627">I66/I64*1000</f>
        <v>10933.333333333334</v>
      </c>
      <c r="J65" s="345">
        <f t="shared" ref="J65" si="628">J66/J64*1000</f>
        <v>3461.5384615384614</v>
      </c>
      <c r="K65" s="345">
        <f t="shared" ref="K65" si="629">K66/K64*1000</f>
        <v>7243.9633638634477</v>
      </c>
      <c r="L65" s="345">
        <f t="shared" ref="L65" si="630">L66/L64*1000</f>
        <v>2514.4508670520231</v>
      </c>
      <c r="M65" s="345">
        <f t="shared" ref="M65" si="631">M66/M64*1000</f>
        <v>8073.3229329173173</v>
      </c>
      <c r="N65" s="345">
        <f t="shared" ref="N65" si="632">N66/N64*1000</f>
        <v>8003.120124804992</v>
      </c>
      <c r="O65" s="345">
        <f t="shared" ref="O65" si="633">O66/O64*1000</f>
        <v>4942.8571428571431</v>
      </c>
      <c r="P65" s="345">
        <f t="shared" ref="P65" si="634">P66/P64*1000</f>
        <v>9991.5492957746465</v>
      </c>
      <c r="Q65" s="345">
        <f t="shared" ref="Q65" si="635">Q66/Q64*1000</f>
        <v>8086.363636363636</v>
      </c>
      <c r="R65" s="345">
        <f t="shared" ref="R65" si="636">R66/R64*1000</f>
        <v>22431.818181818184</v>
      </c>
      <c r="S65" s="345">
        <f t="shared" ref="S65" si="637">S66/S64*1000</f>
        <v>9460.3053435114525</v>
      </c>
      <c r="T65" s="345">
        <f t="shared" ref="T65" si="638">T66/T64*1000</f>
        <v>11286.731967943011</v>
      </c>
      <c r="U65" s="345">
        <f t="shared" ref="U65" si="639">U66/U64*1000</f>
        <v>11271.676300578034</v>
      </c>
      <c r="V65" s="345">
        <f t="shared" ref="V65" si="640">V66/V64*1000</f>
        <v>9221.1864406779641</v>
      </c>
      <c r="W65" s="345">
        <f t="shared" ref="W65" si="641">W66/W64*1000</f>
        <v>5336.4406779661022</v>
      </c>
      <c r="X65" s="345">
        <f t="shared" ref="X65" si="642">X66/X64*1000</f>
        <v>7477.1186440677975</v>
      </c>
      <c r="Y65" s="345">
        <f t="shared" ref="Y65" si="643">Y66/Y64*1000</f>
        <v>14254.545454545456</v>
      </c>
      <c r="Z65" s="345">
        <f t="shared" ref="Z65" si="644">Z66/Z64*1000</f>
        <v>11938.382541720153</v>
      </c>
      <c r="AA65" s="345">
        <f t="shared" ref="AA65" si="645">AA66/AA64*1000</f>
        <v>17078.94736842105</v>
      </c>
      <c r="AB65" s="345">
        <f t="shared" ref="AB65" si="646">AB66/AB64*1000</f>
        <v>21799.999999999996</v>
      </c>
      <c r="AC65" s="345">
        <f t="shared" ref="AC65" si="647">AC66/AC64*1000</f>
        <v>16344.303797468352</v>
      </c>
      <c r="AD65" s="345">
        <f t="shared" ref="AD65" si="648">AD66/AD64*1000</f>
        <v>15383.544303797471</v>
      </c>
      <c r="AE65" s="345">
        <f t="shared" ref="AE65" si="649">AE66/AE64*1000</f>
        <v>15211.469534050177</v>
      </c>
      <c r="AF65" s="345">
        <f t="shared" ref="AF65" si="650">AF66/AF64*1000</f>
        <v>16025.089605734771</v>
      </c>
      <c r="AG65" s="345">
        <f t="shared" ref="AG65" si="651">AG66/AG64*1000</f>
        <v>20264.462809917353</v>
      </c>
      <c r="AH65" s="345">
        <f t="shared" ref="AH65" si="652">AH66/AH64*1000</f>
        <v>21210.378681626931</v>
      </c>
      <c r="AI65" s="345">
        <f t="shared" ref="AI65" si="653">AI66/AI64*1000</f>
        <v>29074.137931034486</v>
      </c>
      <c r="AJ65" s="345">
        <f t="shared" ref="AJ65" si="654">AJ66/AJ64*1000</f>
        <v>46138.111888111896</v>
      </c>
      <c r="AK65" s="345">
        <f t="shared" ref="AK65" si="655">AK66/AK64*1000</f>
        <v>73898.989898989908</v>
      </c>
      <c r="AL65" s="345">
        <f t="shared" ref="AL65" si="656">AL66/AL64*1000</f>
        <v>114191.86046511629</v>
      </c>
      <c r="AM65" s="345">
        <f t="shared" ref="AM65" si="657">AM66/AM64*1000</f>
        <v>167022.58064516133</v>
      </c>
      <c r="AN65" s="345">
        <f t="shared" ref="AN65" si="658">AN66/AN64*1000</f>
        <v>146431.89368770766</v>
      </c>
      <c r="AO65" s="345">
        <f t="shared" ref="AO65" si="659">AO66/AO64*1000</f>
        <v>92692.579505300338</v>
      </c>
      <c r="AP65" s="345">
        <f t="shared" ref="AP65" si="660">AP66/AP64*1000</f>
        <v>157411.29032258064</v>
      </c>
      <c r="AQ65" s="345">
        <f t="shared" ref="AQ65" si="661">AQ66/AQ64*1000</f>
        <v>215725.19083969467</v>
      </c>
      <c r="AR65" s="345">
        <f t="shared" ref="AR65" si="662">AR66/AR64*1000</f>
        <v>158628.3185840708</v>
      </c>
      <c r="AS65" s="345">
        <f t="shared" ref="AS65" si="663">AS66/AS64*1000</f>
        <v>171585.93750000003</v>
      </c>
      <c r="AT65" s="345">
        <f t="shared" ref="AT65" si="664">AT66/AT64*1000</f>
        <v>3550</v>
      </c>
      <c r="AU65" s="345">
        <f t="shared" ref="AU65" si="665">AU66/AU64*1000</f>
        <v>1320</v>
      </c>
      <c r="AV65" s="345">
        <f t="shared" ref="AV65" si="666">AV66/AV64*1000</f>
        <v>2500</v>
      </c>
      <c r="AW65" s="345">
        <f t="shared" ref="AW65" si="667">AW66/AW64*1000</f>
        <v>2526.0000000000005</v>
      </c>
      <c r="AX65" s="345">
        <f t="shared" ref="AX65" si="668">AX66/AX64*1000</f>
        <v>5703</v>
      </c>
      <c r="AY65" s="346">
        <f t="shared" ref="AY65:AZ65" si="669">AY66/AY64*1000</f>
        <v>3120</v>
      </c>
      <c r="AZ65" s="347">
        <f t="shared" si="669"/>
        <v>3089</v>
      </c>
      <c r="BA65" s="347">
        <f>AZ65-AY65</f>
        <v>-31</v>
      </c>
      <c r="BB65" s="351">
        <f>AY65-AX65</f>
        <v>-2583</v>
      </c>
      <c r="BC65" s="352">
        <f>AZ65-AX65</f>
        <v>-2614</v>
      </c>
      <c r="BD65" s="353">
        <f t="shared" ref="BD65:BD66" si="670">(AX65/AS65)^(1/5)-1</f>
        <v>-0.49379744144260351</v>
      </c>
    </row>
    <row r="66" spans="1:63" s="311" customFormat="1" ht="15" customHeight="1">
      <c r="A66" s="324" t="s">
        <v>354</v>
      </c>
      <c r="B66" s="344">
        <f>'BZ by State 1st Crop'!B66+'BZ by State 2nd Crop'!B66+'BZ by State 3rd Crop'!B66</f>
        <v>73.8</v>
      </c>
      <c r="C66" s="344">
        <f>'BZ by State 1st Crop'!C66+'BZ by State 2nd Crop'!C66+'BZ by State 3rd Crop'!C66</f>
        <v>765</v>
      </c>
      <c r="D66" s="344">
        <f>'BZ by State 1st Crop'!D66+'BZ by State 2nd Crop'!D66+'BZ by State 3rd Crop'!D66</f>
        <v>672</v>
      </c>
      <c r="E66" s="344">
        <f>'BZ by State 1st Crop'!E66+'BZ by State 2nd Crop'!E66+'BZ by State 3rd Crop'!E66</f>
        <v>798</v>
      </c>
      <c r="F66" s="344">
        <f>'BZ by State 1st Crop'!F66+'BZ by State 2nd Crop'!F66+'BZ by State 3rd Crop'!F66</f>
        <v>531</v>
      </c>
      <c r="G66" s="344">
        <f>'BZ by State 1st Crop'!G66+'BZ by State 2nd Crop'!G66+'BZ by State 3rd Crop'!G66</f>
        <v>909</v>
      </c>
      <c r="H66" s="344">
        <f>'BZ by State 1st Crop'!H66+'BZ by State 2nd Crop'!H66+'BZ by State 3rd Crop'!H66</f>
        <v>285</v>
      </c>
      <c r="I66" s="344">
        <f>'BZ by State 1st Crop'!I66+'BZ by State 2nd Crop'!I66+'BZ by State 3rd Crop'!I66</f>
        <v>984</v>
      </c>
      <c r="J66" s="344">
        <f>'BZ by State 1st Crop'!J66+'BZ by State 2nd Crop'!J66+'BZ by State 3rd Crop'!J66</f>
        <v>378</v>
      </c>
      <c r="K66" s="344">
        <f>'BZ by State 1st Crop'!K66+'BZ by State 2nd Crop'!K66+'BZ by State 3rd Crop'!K66</f>
        <v>870</v>
      </c>
      <c r="L66" s="344">
        <f>'BZ by State 1st Crop'!L66+'BZ by State 2nd Crop'!L66+'BZ by State 3rd Crop'!L66</f>
        <v>348</v>
      </c>
      <c r="M66" s="344">
        <f>'BZ by State 1st Crop'!M66+'BZ by State 2nd Crop'!M66+'BZ by State 3rd Crop'!M66</f>
        <v>1035</v>
      </c>
      <c r="N66" s="344">
        <f>'BZ by State 1st Crop'!N66+'BZ by State 2nd Crop'!N66+'BZ by State 3rd Crop'!N66</f>
        <v>1026</v>
      </c>
      <c r="O66" s="344">
        <f>'BZ by State 1st Crop'!O66+'BZ by State 2nd Crop'!O66+'BZ by State 3rd Crop'!O66</f>
        <v>519</v>
      </c>
      <c r="P66" s="344">
        <f>'BZ by State 1st Crop'!P66+'BZ by State 2nd Crop'!P66+'BZ by State 3rd Crop'!P66</f>
        <v>1064.0999999999999</v>
      </c>
      <c r="Q66" s="344">
        <f>'BZ by State 1st Crop'!Q66+'BZ by State 2nd Crop'!Q66+'BZ by State 3rd Crop'!Q66</f>
        <v>711.59999999999991</v>
      </c>
      <c r="R66" s="344">
        <f>'BZ by State 1st Crop'!R66+'BZ by State 2nd Crop'!R66+'BZ by State 3rd Crop'!R66</f>
        <v>592.20000000000005</v>
      </c>
      <c r="S66" s="344">
        <f>'BZ by State 1st Crop'!S66+'BZ by State 2nd Crop'!S66+'BZ by State 3rd Crop'!S66</f>
        <v>1239.3000000000002</v>
      </c>
      <c r="T66" s="344">
        <f>'BZ by State 1st Crop'!T66+'BZ by State 2nd Crop'!T66+'BZ by State 3rd Crop'!T66</f>
        <v>1267.5</v>
      </c>
      <c r="U66" s="344">
        <f>'BZ by State 1st Crop'!U66+'BZ by State 2nd Crop'!U66+'BZ by State 3rd Crop'!U66</f>
        <v>1365</v>
      </c>
      <c r="V66" s="344">
        <f>'BZ by State 1st Crop'!V66+'BZ by State 2nd Crop'!V66+'BZ by State 3rd Crop'!V66</f>
        <v>1088.0999999999999</v>
      </c>
      <c r="W66" s="344">
        <f>'BZ by State 1st Crop'!W66+'BZ by State 2nd Crop'!W66+'BZ by State 3rd Crop'!W66</f>
        <v>629.70000000000005</v>
      </c>
      <c r="X66" s="344">
        <f>'BZ by State 1st Crop'!X66+'BZ by State 2nd Crop'!X66+'BZ by State 3rd Crop'!X66</f>
        <v>882.30000000000007</v>
      </c>
      <c r="Y66" s="344">
        <f>'BZ by State 1st Crop'!Y66+'BZ by State 2nd Crop'!Y66+'BZ by State 3rd Crop'!Y66</f>
        <v>940.80000000000007</v>
      </c>
      <c r="Z66" s="344">
        <f>'BZ by State 1st Crop'!Z66+'BZ by State 2nd Crop'!Z66+'BZ by State 3rd Crop'!Z66</f>
        <v>930</v>
      </c>
      <c r="AA66" s="344">
        <f>'BZ by State 1st Crop'!AA66+'BZ by State 2nd Crop'!AA66+'BZ by State 3rd Crop'!AA66</f>
        <v>973.5</v>
      </c>
      <c r="AB66" s="344">
        <f>'BZ by State 1st Crop'!AB66+'BZ by State 2nd Crop'!AB66+'BZ by State 3rd Crop'!AB66</f>
        <v>1242.5999999999999</v>
      </c>
      <c r="AC66" s="344">
        <f>'BZ by State 1st Crop'!AC66+'BZ by State 2nd Crop'!AC66+'BZ by State 3rd Crop'!AC66</f>
        <v>1291.1999999999998</v>
      </c>
      <c r="AD66" s="344">
        <f>'BZ by State 1st Crop'!AD66+'BZ by State 2nd Crop'!AD66+'BZ by State 3rd Crop'!AD66</f>
        <v>1215.3000000000002</v>
      </c>
      <c r="AE66" s="344">
        <f>'BZ by State 1st Crop'!AE66+'BZ by State 2nd Crop'!AE66+'BZ by State 3rd Crop'!AE66</f>
        <v>1273.1999999999998</v>
      </c>
      <c r="AF66" s="344">
        <f>'BZ by State 1st Crop'!AF66+'BZ by State 2nd Crop'!AF66+'BZ by State 3rd Crop'!AF66</f>
        <v>1341.3000000000002</v>
      </c>
      <c r="AG66" s="344">
        <f>'BZ by State 1st Crop'!AG66+'BZ by State 2nd Crop'!AG66+'BZ by State 3rd Crop'!AG66</f>
        <v>1471.1999999999998</v>
      </c>
      <c r="AH66" s="344">
        <f>'BZ by State 1st Crop'!AH66+'BZ by State 2nd Crop'!AH66+'BZ by State 3rd Crop'!AH66</f>
        <v>1512.3000000000002</v>
      </c>
      <c r="AI66" s="344">
        <f>'BZ by State 1st Crop'!AI66+'BZ by State 2nd Crop'!AI66+'BZ by State 3rd Crop'!AI66</f>
        <v>1686.3000000000002</v>
      </c>
      <c r="AJ66" s="344">
        <f>'BZ by State 1st Crop'!AJ66+'BZ by State 2nd Crop'!AJ66+'BZ by State 3rd Crop'!AJ66</f>
        <v>2639.1000000000004</v>
      </c>
      <c r="AK66" s="344">
        <f>'BZ by State 1st Crop'!AK66+'BZ by State 2nd Crop'!AK66+'BZ by State 3rd Crop'!AK66</f>
        <v>2194.8000000000002</v>
      </c>
      <c r="AL66" s="344">
        <f>'BZ by State 1st Crop'!AL66+'BZ by State 2nd Crop'!AL66+'BZ by State 3rd Crop'!AL66</f>
        <v>3928.2000000000003</v>
      </c>
      <c r="AM66" s="344">
        <f>'BZ by State 1st Crop'!AM66+'BZ by State 2nd Crop'!AM66+'BZ by State 3rd Crop'!AM66</f>
        <v>5177.7000000000007</v>
      </c>
      <c r="AN66" s="344">
        <f>'BZ by State 1st Crop'!AN66+'BZ by State 2nd Crop'!AN66+'BZ by State 3rd Crop'!AN66</f>
        <v>4407.6000000000004</v>
      </c>
      <c r="AO66" s="344">
        <f>'BZ by State 1st Crop'!AO66+'BZ by State 2nd Crop'!AO66+'BZ by State 3rd Crop'!AO66</f>
        <v>2623.2</v>
      </c>
      <c r="AP66" s="344">
        <f>'BZ by State 1st Crop'!AP66+'BZ by State 2nd Crop'!AP66+'BZ by State 3rd Crop'!AP66</f>
        <v>5855.7000000000007</v>
      </c>
      <c r="AQ66" s="344">
        <f>'BZ by State 1st Crop'!AQ66+'BZ by State 2nd Crop'!AQ66+'BZ by State 3rd Crop'!AQ66</f>
        <v>5652</v>
      </c>
      <c r="AR66" s="344">
        <f>'BZ by State 1st Crop'!AR66+'BZ by State 2nd Crop'!AR66+'BZ by State 3rd Crop'!AR66</f>
        <v>5377.5</v>
      </c>
      <c r="AS66" s="344">
        <f>'BZ by State 1st Crop'!AS66+'BZ by State 2nd Crop'!AS66+'BZ by State 3rd Crop'!AS66</f>
        <v>6588.9000000000005</v>
      </c>
      <c r="AT66" s="344">
        <f>'BZ by State 1st Crop'!AT66+'BZ by State 2nd Crop'!AT66+'BZ by State 3rd Crop'!AT66</f>
        <v>158.685</v>
      </c>
      <c r="AU66" s="344">
        <f>'BZ by State 1st Crop'!AU66+'BZ by State 2nd Crop'!AU66+'BZ by State 3rd Crop'!AU66</f>
        <v>53.064000000000007</v>
      </c>
      <c r="AV66" s="344">
        <f>'BZ by State 1st Crop'!AV66+'BZ by State 2nd Crop'!AV66+'BZ by State 3rd Crop'!AV66</f>
        <v>145.25</v>
      </c>
      <c r="AW66" s="344">
        <f>'BZ by State 1st Crop'!AW66+'BZ by State 2nd Crop'!AW66+'BZ by State 3rd Crop'!AW66</f>
        <v>121.248</v>
      </c>
      <c r="AX66" s="344">
        <f>'BZ by State 1st Crop'!AX66+'BZ by State 2nd Crop'!AX66+'BZ by State 3rd Crop'!AX66</f>
        <v>177.93360000000001</v>
      </c>
      <c r="AY66" s="365">
        <f>'BZ by State 1st Crop'!AY66+'BZ by State 2nd Crop'!AY66+'BZ by State 3rd Crop'!AY66</f>
        <v>102.02400000000002</v>
      </c>
      <c r="AZ66" s="366">
        <f>'BZ by State 1st Crop'!AZ66+'BZ by State 2nd Crop'!AZ66+'BZ by State 3rd Crop'!AZ66</f>
        <v>101.0103</v>
      </c>
      <c r="BA66" s="366">
        <f>AZ66-AY66</f>
        <v>-1.0137000000000143</v>
      </c>
      <c r="BB66" s="367">
        <f>AY66-AX66</f>
        <v>-75.909599999999998</v>
      </c>
      <c r="BC66" s="368">
        <f>AZ66-AX66</f>
        <v>-76.923300000000012</v>
      </c>
      <c r="BD66" s="353">
        <f t="shared" si="670"/>
        <v>-0.51438844751771184</v>
      </c>
      <c r="BE66" s="309"/>
      <c r="BF66"/>
      <c r="BG66" s="308"/>
    </row>
    <row r="67" spans="1:63" ht="15" customHeight="1">
      <c r="A67" s="320" t="s">
        <v>370</v>
      </c>
      <c r="B67" s="356"/>
      <c r="C67" s="356"/>
      <c r="D67" s="356"/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6"/>
      <c r="Q67" s="356"/>
      <c r="R67" s="356"/>
      <c r="S67" s="356"/>
      <c r="T67" s="356"/>
      <c r="U67" s="356"/>
      <c r="V67" s="356"/>
      <c r="W67" s="356"/>
      <c r="X67" s="356"/>
      <c r="Y67" s="356"/>
      <c r="Z67" s="356"/>
      <c r="AA67" s="356"/>
      <c r="AB67" s="356"/>
      <c r="AC67" s="356"/>
      <c r="AD67" s="356"/>
      <c r="AE67" s="356"/>
      <c r="AF67" s="356"/>
      <c r="AG67" s="356"/>
      <c r="AH67" s="356"/>
      <c r="AI67" s="356"/>
      <c r="AJ67" s="356"/>
      <c r="AK67" s="356"/>
      <c r="AL67" s="356"/>
      <c r="AM67" s="356"/>
      <c r="AN67" s="356"/>
      <c r="AO67" s="356"/>
      <c r="AP67" s="356"/>
      <c r="AQ67" s="356"/>
      <c r="AR67" s="356"/>
      <c r="AS67" s="356"/>
      <c r="AT67" s="328"/>
      <c r="AU67" s="328"/>
      <c r="AV67" s="328"/>
      <c r="AW67" s="328"/>
      <c r="AX67" s="328"/>
      <c r="AY67" s="321"/>
      <c r="AZ67" s="328"/>
      <c r="BA67" s="329"/>
      <c r="BB67" s="321"/>
      <c r="BC67" s="328"/>
      <c r="BD67" s="329"/>
    </row>
    <row r="68" spans="1:63" ht="15" customHeight="1">
      <c r="A68" s="324" t="s">
        <v>352</v>
      </c>
      <c r="B68" s="344">
        <f>'BZ by State 1st Crop'!B68+'BZ by State 2nd Crop'!B68+'BZ by State 3rd Crop'!B68</f>
        <v>50.7</v>
      </c>
      <c r="C68" s="344">
        <f>'BZ by State 1st Crop'!C68+'BZ by State 2nd Crop'!C68+'BZ by State 3rd Crop'!C68</f>
        <v>52</v>
      </c>
      <c r="D68" s="344">
        <f>'BZ by State 1st Crop'!D68+'BZ by State 2nd Crop'!D68+'BZ by State 3rd Crop'!D68</f>
        <v>48</v>
      </c>
      <c r="E68" s="344">
        <f>'BZ by State 1st Crop'!E68+'BZ by State 2nd Crop'!E68+'BZ by State 3rd Crop'!E68</f>
        <v>54</v>
      </c>
      <c r="F68" s="344">
        <f>'BZ by State 1st Crop'!F68+'BZ by State 2nd Crop'!F68+'BZ by State 3rd Crop'!F68</f>
        <v>65</v>
      </c>
      <c r="G68" s="344">
        <f>'BZ by State 1st Crop'!G68+'BZ by State 2nd Crop'!G68+'BZ by State 3rd Crop'!G68</f>
        <v>105.9</v>
      </c>
      <c r="H68" s="344">
        <f>'BZ by State 1st Crop'!H68+'BZ by State 2nd Crop'!H68+'BZ by State 3rd Crop'!H68</f>
        <v>17.3</v>
      </c>
      <c r="I68" s="344">
        <f>'BZ by State 1st Crop'!I68+'BZ by State 2nd Crop'!I68+'BZ by State 3rd Crop'!I68</f>
        <v>71</v>
      </c>
      <c r="J68" s="344">
        <f>'BZ by State 1st Crop'!J68+'BZ by State 2nd Crop'!J68+'BZ by State 3rd Crop'!J68</f>
        <v>97</v>
      </c>
      <c r="K68" s="344">
        <f>'BZ by State 1st Crop'!K68+'BZ by State 2nd Crop'!K68+'BZ by State 3rd Crop'!K68</f>
        <v>103</v>
      </c>
      <c r="L68" s="344">
        <f>'BZ by State 1st Crop'!L68+'BZ by State 2nd Crop'!L68+'BZ by State 3rd Crop'!L68</f>
        <v>105</v>
      </c>
      <c r="M68" s="344">
        <f>'BZ by State 1st Crop'!M68+'BZ by State 2nd Crop'!M68+'BZ by State 3rd Crop'!M68</f>
        <v>76</v>
      </c>
      <c r="N68" s="344">
        <f>'BZ by State 1st Crop'!N68+'BZ by State 2nd Crop'!N68+'BZ by State 3rd Crop'!N68</f>
        <v>84</v>
      </c>
      <c r="O68" s="344">
        <f>'BZ by State 1st Crop'!O68+'BZ by State 2nd Crop'!O68+'BZ by State 3rd Crop'!O68</f>
        <v>84.9</v>
      </c>
      <c r="P68" s="344">
        <f>'BZ by State 1st Crop'!P68+'BZ by State 2nd Crop'!P68+'BZ by State 3rd Crop'!P68</f>
        <v>80</v>
      </c>
      <c r="Q68" s="344">
        <f>'BZ by State 1st Crop'!Q68+'BZ by State 2nd Crop'!Q68+'BZ by State 3rd Crop'!Q68</f>
        <v>60</v>
      </c>
      <c r="R68" s="344">
        <f>'BZ by State 1st Crop'!R68+'BZ by State 2nd Crop'!R68+'BZ by State 3rd Crop'!R68</f>
        <v>18</v>
      </c>
      <c r="S68" s="344">
        <f>'BZ by State 1st Crop'!S68+'BZ by State 2nd Crop'!S68+'BZ by State 3rd Crop'!S68</f>
        <v>77.5</v>
      </c>
      <c r="T68" s="344">
        <f>'BZ by State 1st Crop'!T68+'BZ by State 2nd Crop'!T68+'BZ by State 3rd Crop'!T68</f>
        <v>92</v>
      </c>
      <c r="U68" s="344">
        <f>'BZ by State 1st Crop'!U68+'BZ by State 2nd Crop'!U68+'BZ by State 3rd Crop'!U68</f>
        <v>100.2</v>
      </c>
      <c r="V68" s="344">
        <f>'BZ by State 1st Crop'!V68+'BZ by State 2nd Crop'!V68+'BZ by State 3rd Crop'!V68</f>
        <v>103</v>
      </c>
      <c r="W68" s="344">
        <f>'BZ by State 1st Crop'!W68+'BZ by State 2nd Crop'!W68+'BZ by State 3rd Crop'!W68</f>
        <v>103</v>
      </c>
      <c r="X68" s="344">
        <f>'BZ by State 1st Crop'!X68+'BZ by State 2nd Crop'!X68+'BZ by State 3rd Crop'!X68</f>
        <v>87</v>
      </c>
      <c r="Y68" s="344">
        <f>'BZ by State 1st Crop'!Y68+'BZ by State 2nd Crop'!Y68+'BZ by State 3rd Crop'!Y68</f>
        <v>87</v>
      </c>
      <c r="Z68" s="344">
        <f>'BZ by State 1st Crop'!Z68+'BZ by State 2nd Crop'!Z68+'BZ by State 3rd Crop'!Z68</f>
        <v>90</v>
      </c>
      <c r="AA68" s="344">
        <f>'BZ by State 1st Crop'!AA68+'BZ by State 2nd Crop'!AA68+'BZ by State 3rd Crop'!AA68</f>
        <v>100.8</v>
      </c>
      <c r="AB68" s="344">
        <f>'BZ by State 1st Crop'!AB68+'BZ by State 2nd Crop'!AB68+'BZ by State 3rd Crop'!AB68</f>
        <v>110.9</v>
      </c>
      <c r="AC68" s="344">
        <f>'BZ by State 1st Crop'!AC68+'BZ by State 2nd Crop'!AC68+'BZ by State 3rd Crop'!AC68</f>
        <v>132</v>
      </c>
      <c r="AD68" s="344">
        <f>'BZ by State 1st Crop'!AD68+'BZ by State 2nd Crop'!AD68+'BZ by State 3rd Crop'!AD68</f>
        <v>127.4</v>
      </c>
      <c r="AE68" s="344">
        <f>'BZ by State 1st Crop'!AE68+'BZ by State 2nd Crop'!AE68+'BZ by State 3rd Crop'!AE68</f>
        <v>142.69999999999999</v>
      </c>
      <c r="AF68" s="344">
        <f>'BZ by State 1st Crop'!AF68+'BZ by State 2nd Crop'!AF68+'BZ by State 3rd Crop'!AF68</f>
        <v>144.6</v>
      </c>
      <c r="AG68" s="344">
        <f>'BZ by State 1st Crop'!AG68+'BZ by State 2nd Crop'!AG68+'BZ by State 3rd Crop'!AG68</f>
        <v>162.69999999999999</v>
      </c>
      <c r="AH68" s="344">
        <f>'BZ by State 1st Crop'!AH68+'BZ by State 2nd Crop'!AH68+'BZ by State 3rd Crop'!AH68</f>
        <v>172.7</v>
      </c>
      <c r="AI68" s="344">
        <f>'BZ by State 1st Crop'!AI68+'BZ by State 2nd Crop'!AI68+'BZ by State 3rd Crop'!AI68</f>
        <v>176.8</v>
      </c>
      <c r="AJ68" s="344">
        <f>'BZ by State 1st Crop'!AJ68+'BZ by State 2nd Crop'!AJ68+'BZ by State 3rd Crop'!AJ68</f>
        <v>221.4</v>
      </c>
      <c r="AK68" s="344">
        <f>'BZ by State 1st Crop'!AK68+'BZ by State 2nd Crop'!AK68+'BZ by State 3rd Crop'!AK68</f>
        <v>206.8</v>
      </c>
      <c r="AL68" s="344">
        <f>'BZ by State 1st Crop'!AL68+'BZ by State 2nd Crop'!AL68+'BZ by State 3rd Crop'!AL68</f>
        <v>206.6</v>
      </c>
      <c r="AM68" s="344">
        <f>'BZ by State 1st Crop'!AM68+'BZ by State 2nd Crop'!AM68+'BZ by State 3rd Crop'!AM68</f>
        <v>226.6</v>
      </c>
      <c r="AN68" s="344">
        <f>'BZ by State 1st Crop'!AN68+'BZ by State 2nd Crop'!AN68+'BZ by State 3rd Crop'!AN68</f>
        <v>176.2</v>
      </c>
      <c r="AO68" s="344">
        <f>'BZ by State 1st Crop'!AO68+'BZ by State 2nd Crop'!AO68+'BZ by State 3rd Crop'!AO68</f>
        <v>177</v>
      </c>
      <c r="AP68" s="344">
        <f>'BZ by State 1st Crop'!AP68+'BZ by State 2nd Crop'!AP68+'BZ by State 3rd Crop'!AP68</f>
        <v>172</v>
      </c>
      <c r="AQ68" s="344">
        <f>'BZ by State 1st Crop'!AQ68+'BZ by State 2nd Crop'!AQ68+'BZ by State 3rd Crop'!AQ68</f>
        <v>143</v>
      </c>
      <c r="AR68" s="344">
        <f>'BZ by State 1st Crop'!AR68+'BZ by State 2nd Crop'!AR68+'BZ by State 3rd Crop'!AR68</f>
        <v>147.9</v>
      </c>
      <c r="AS68" s="344">
        <f>'BZ by State 1st Crop'!AS68+'BZ by State 2nd Crop'!AS68+'BZ by State 3rd Crop'!AS68</f>
        <v>153.69999999999999</v>
      </c>
      <c r="AT68" s="344">
        <f>'BZ by State 1st Crop'!AT68+'BZ by State 2nd Crop'!AT68+'BZ by State 3rd Crop'!AT68</f>
        <v>174.8</v>
      </c>
      <c r="AU68" s="344">
        <f>'BZ by State 1st Crop'!AU68+'BZ by State 2nd Crop'!AU68+'BZ by State 3rd Crop'!AU68</f>
        <v>182.2</v>
      </c>
      <c r="AV68" s="344">
        <f>'BZ by State 1st Crop'!AV68+'BZ by State 2nd Crop'!AV68+'BZ by State 3rd Crop'!AV68</f>
        <v>183.6</v>
      </c>
      <c r="AW68" s="344">
        <f>'BZ by State 1st Crop'!AW68+'BZ by State 2nd Crop'!AW68+'BZ by State 3rd Crop'!AW68</f>
        <v>190.4</v>
      </c>
      <c r="AX68" s="344">
        <f>'BZ by State 1st Crop'!AX68+'BZ by State 2nd Crop'!AX68+'BZ by State 3rd Crop'!AX68</f>
        <v>190.4</v>
      </c>
      <c r="AY68" s="369">
        <f>'BZ by State 1st Crop'!AY68+'BZ by State 2nd Crop'!AY68+'BZ by State 3rd Crop'!AY68</f>
        <v>190.4</v>
      </c>
      <c r="AZ68" s="366">
        <f>'BZ by State 1st Crop'!AZ68+'BZ by State 2nd Crop'!AZ68+'BZ by State 3rd Crop'!AZ68</f>
        <v>190.4</v>
      </c>
      <c r="BA68" s="366">
        <f>AZ68-AY68</f>
        <v>0</v>
      </c>
      <c r="BB68" s="367">
        <f>AY68-AX68</f>
        <v>0</v>
      </c>
      <c r="BC68" s="368">
        <f>AZ68-AX68</f>
        <v>0</v>
      </c>
      <c r="BD68" s="353">
        <f>(AX68/AS68)^(1/5)-1</f>
        <v>4.375511144373867E-2</v>
      </c>
      <c r="BH68" s="311"/>
      <c r="BI68" s="311"/>
      <c r="BJ68" s="311"/>
      <c r="BK68" s="311"/>
    </row>
    <row r="69" spans="1:63" ht="15" customHeight="1">
      <c r="A69" s="324" t="s">
        <v>353</v>
      </c>
      <c r="B69" s="345">
        <f t="shared" ref="B69" si="671">B70/B68*1000</f>
        <v>719.92110453648911</v>
      </c>
      <c r="C69" s="345">
        <f t="shared" ref="C69" si="672">C70/C68*1000</f>
        <v>14711.538461538461</v>
      </c>
      <c r="D69" s="345">
        <f t="shared" ref="D69" si="673">D70/D68*1000</f>
        <v>14000</v>
      </c>
      <c r="E69" s="345">
        <f t="shared" ref="E69" si="674">E70/E68*1000</f>
        <v>14777.777777777779</v>
      </c>
      <c r="F69" s="345">
        <f t="shared" ref="F69" si="675">F70/F68*1000</f>
        <v>8169.2307692307686</v>
      </c>
      <c r="G69" s="345">
        <f t="shared" ref="G69" si="676">G70/G68*1000</f>
        <v>8583.5694050991497</v>
      </c>
      <c r="H69" s="345">
        <f t="shared" ref="H69" si="677">H70/H68*1000</f>
        <v>16473.988439306358</v>
      </c>
      <c r="I69" s="345">
        <f t="shared" ref="I69" si="678">I70/I68*1000</f>
        <v>13859.154929577464</v>
      </c>
      <c r="J69" s="345">
        <f t="shared" ref="J69" si="679">J70/J68*1000</f>
        <v>3896.9072164948452</v>
      </c>
      <c r="K69" s="345">
        <f t="shared" ref="K69" si="680">K70/K68*1000</f>
        <v>8446.6019417475727</v>
      </c>
      <c r="L69" s="345">
        <f t="shared" ref="L69" si="681">L70/L68*1000</f>
        <v>3314.2857142857147</v>
      </c>
      <c r="M69" s="345">
        <f t="shared" ref="M69" si="682">M70/M68*1000</f>
        <v>13618.421052631578</v>
      </c>
      <c r="N69" s="345">
        <f t="shared" ref="N69" si="683">N70/N68*1000</f>
        <v>12214.285714285714</v>
      </c>
      <c r="O69" s="345">
        <f t="shared" ref="O69" si="684">O70/O68*1000</f>
        <v>6113.0742049469964</v>
      </c>
      <c r="P69" s="345">
        <f t="shared" ref="P69" si="685">P70/P68*1000</f>
        <v>13301.25</v>
      </c>
      <c r="Q69" s="345">
        <f t="shared" ref="Q69" si="686">Q70/Q68*1000</f>
        <v>11859.999999999998</v>
      </c>
      <c r="R69" s="345">
        <f t="shared" ref="R69" si="687">R70/R68*1000</f>
        <v>32900.000000000007</v>
      </c>
      <c r="S69" s="345">
        <f t="shared" ref="S69" si="688">S70/S68*1000</f>
        <v>15990.967741935487</v>
      </c>
      <c r="T69" s="345">
        <f t="shared" ref="T69" si="689">T70/T68*1000</f>
        <v>13777.173913043478</v>
      </c>
      <c r="U69" s="345">
        <f t="shared" ref="U69" si="690">U70/U68*1000</f>
        <v>13622.754491017964</v>
      </c>
      <c r="V69" s="345">
        <f t="shared" ref="V69" si="691">V70/V68*1000</f>
        <v>10564.07766990291</v>
      </c>
      <c r="W69" s="345">
        <f t="shared" ref="W69" si="692">W70/W68*1000</f>
        <v>6113.5922330097092</v>
      </c>
      <c r="X69" s="345">
        <f t="shared" ref="X69" si="693">X70/X68*1000</f>
        <v>10141.379310344828</v>
      </c>
      <c r="Y69" s="345">
        <f t="shared" ref="Y69" si="694">Y70/Y68*1000</f>
        <v>10813.793103448275</v>
      </c>
      <c r="Z69" s="345">
        <f t="shared" ref="Z69" si="695">Z70/Z68*1000</f>
        <v>10333.333333333334</v>
      </c>
      <c r="AA69" s="345">
        <f t="shared" ref="AA69" si="696">AA70/AA68*1000</f>
        <v>9657.7380952380954</v>
      </c>
      <c r="AB69" s="345">
        <f t="shared" ref="AB69" si="697">AB70/AB68*1000</f>
        <v>11204.688908926959</v>
      </c>
      <c r="AC69" s="345">
        <f t="shared" ref="AC69" si="698">AC70/AC68*1000</f>
        <v>9781.818181818182</v>
      </c>
      <c r="AD69" s="345">
        <f t="shared" ref="AD69" si="699">AD70/AD68*1000</f>
        <v>9539.2464678178967</v>
      </c>
      <c r="AE69" s="345">
        <f t="shared" ref="AE69" si="700">AE70/AE68*1000</f>
        <v>8922.2144358794667</v>
      </c>
      <c r="AF69" s="345">
        <f t="shared" ref="AF69" si="701">AF70/AF68*1000</f>
        <v>9275.9336099585071</v>
      </c>
      <c r="AG69" s="345">
        <f t="shared" ref="AG69" si="702">AG70/AG68*1000</f>
        <v>9042.4093423478789</v>
      </c>
      <c r="AH69" s="345">
        <f t="shared" ref="AH69" si="703">AH70/AH68*1000</f>
        <v>8756.8037058482932</v>
      </c>
      <c r="AI69" s="345">
        <f t="shared" ref="AI69" si="704">AI70/AI68*1000</f>
        <v>9537.8959276018104</v>
      </c>
      <c r="AJ69" s="345">
        <f t="shared" ref="AJ69" si="705">AJ70/AJ68*1000</f>
        <v>11920.054200542007</v>
      </c>
      <c r="AK69" s="345">
        <f t="shared" ref="AK69" si="706">AK70/AK68*1000</f>
        <v>10613.152804642168</v>
      </c>
      <c r="AL69" s="345">
        <f t="shared" ref="AL69" si="707">AL70/AL68*1000</f>
        <v>19013.552758954502</v>
      </c>
      <c r="AM69" s="345">
        <f t="shared" ref="AM69" si="708">AM70/AM68*1000</f>
        <v>22849.514563106801</v>
      </c>
      <c r="AN69" s="345">
        <f t="shared" ref="AN69" si="709">AN70/AN68*1000</f>
        <v>25014.755959137347</v>
      </c>
      <c r="AO69" s="345">
        <f t="shared" ref="AO69" si="710">AO70/AO68*1000</f>
        <v>14820.338983050846</v>
      </c>
      <c r="AP69" s="345">
        <f t="shared" ref="AP69" si="711">AP70/AP68*1000</f>
        <v>34044.767441860473</v>
      </c>
      <c r="AQ69" s="345">
        <f t="shared" ref="AQ69" si="712">AQ70/AQ68*1000</f>
        <v>39524.475524475529</v>
      </c>
      <c r="AR69" s="345">
        <f t="shared" ref="AR69" si="713">AR70/AR68*1000</f>
        <v>36359.026369168358</v>
      </c>
      <c r="AS69" s="345">
        <f t="shared" ref="AS69" si="714">AS70/AS68*1000</f>
        <v>42868.575146389077</v>
      </c>
      <c r="AT69" s="345">
        <f t="shared" ref="AT69" si="715">AT70/AT68*1000</f>
        <v>4172</v>
      </c>
      <c r="AU69" s="345">
        <f t="shared" ref="AU69" si="716">AU70/AU68*1000</f>
        <v>4940</v>
      </c>
      <c r="AV69" s="345">
        <f t="shared" ref="AV69" si="717">AV70/AV68*1000</f>
        <v>4879</v>
      </c>
      <c r="AW69" s="345">
        <f t="shared" ref="AW69" si="718">AW70/AW68*1000</f>
        <v>5078</v>
      </c>
      <c r="AX69" s="345">
        <f t="shared" ref="AX69" si="719">AX70/AX68*1000</f>
        <v>5985</v>
      </c>
      <c r="AY69" s="346">
        <f t="shared" ref="AY69:AZ69" si="720">AY70/AY68*1000</f>
        <v>5957.9999999999991</v>
      </c>
      <c r="AZ69" s="347">
        <f t="shared" si="720"/>
        <v>5898</v>
      </c>
      <c r="BA69" s="347">
        <f>AZ69-AY69</f>
        <v>-59.999999999999091</v>
      </c>
      <c r="BB69" s="351">
        <f>AY69-AX69</f>
        <v>-27.000000000000909</v>
      </c>
      <c r="BC69" s="352">
        <f>AZ69-AX69</f>
        <v>-87</v>
      </c>
      <c r="BD69" s="353">
        <f t="shared" ref="BD69:BD70" si="721">(AX69/AS69)^(1/5)-1</f>
        <v>-0.32549523636236644</v>
      </c>
    </row>
    <row r="70" spans="1:63" s="311" customFormat="1" ht="15" customHeight="1">
      <c r="A70" s="324" t="s">
        <v>354</v>
      </c>
      <c r="B70" s="344">
        <f>'BZ by State 1st Crop'!B70+'BZ by State 2nd Crop'!B70+'BZ by State 3rd Crop'!B70</f>
        <v>36.5</v>
      </c>
      <c r="C70" s="344">
        <f>'BZ by State 1st Crop'!C70+'BZ by State 2nd Crop'!C70+'BZ by State 3rd Crop'!C70</f>
        <v>765</v>
      </c>
      <c r="D70" s="344">
        <f>'BZ by State 1st Crop'!D70+'BZ by State 2nd Crop'!D70+'BZ by State 3rd Crop'!D70</f>
        <v>672</v>
      </c>
      <c r="E70" s="344">
        <f>'BZ by State 1st Crop'!E70+'BZ by State 2nd Crop'!E70+'BZ by State 3rd Crop'!E70</f>
        <v>798</v>
      </c>
      <c r="F70" s="344">
        <f>'BZ by State 1st Crop'!F70+'BZ by State 2nd Crop'!F70+'BZ by State 3rd Crop'!F70</f>
        <v>531</v>
      </c>
      <c r="G70" s="344">
        <f>'BZ by State 1st Crop'!G70+'BZ by State 2nd Crop'!G70+'BZ by State 3rd Crop'!G70</f>
        <v>909</v>
      </c>
      <c r="H70" s="344">
        <f>'BZ by State 1st Crop'!H70+'BZ by State 2nd Crop'!H70+'BZ by State 3rd Crop'!H70</f>
        <v>285</v>
      </c>
      <c r="I70" s="344">
        <f>'BZ by State 1st Crop'!I70+'BZ by State 2nd Crop'!I70+'BZ by State 3rd Crop'!I70</f>
        <v>984</v>
      </c>
      <c r="J70" s="344">
        <f>'BZ by State 1st Crop'!J70+'BZ by State 2nd Crop'!J70+'BZ by State 3rd Crop'!J70</f>
        <v>378</v>
      </c>
      <c r="K70" s="344">
        <f>'BZ by State 1st Crop'!K70+'BZ by State 2nd Crop'!K70+'BZ by State 3rd Crop'!K70</f>
        <v>870</v>
      </c>
      <c r="L70" s="344">
        <f>'BZ by State 1st Crop'!L70+'BZ by State 2nd Crop'!L70+'BZ by State 3rd Crop'!L70</f>
        <v>348</v>
      </c>
      <c r="M70" s="344">
        <f>'BZ by State 1st Crop'!M70+'BZ by State 2nd Crop'!M70+'BZ by State 3rd Crop'!M70</f>
        <v>1035</v>
      </c>
      <c r="N70" s="344">
        <f>'BZ by State 1st Crop'!N70+'BZ by State 2nd Crop'!N70+'BZ by State 3rd Crop'!N70</f>
        <v>1026</v>
      </c>
      <c r="O70" s="344">
        <f>'BZ by State 1st Crop'!O70+'BZ by State 2nd Crop'!O70+'BZ by State 3rd Crop'!O70</f>
        <v>519</v>
      </c>
      <c r="P70" s="344">
        <f>'BZ by State 1st Crop'!P70+'BZ by State 2nd Crop'!P70+'BZ by State 3rd Crop'!P70</f>
        <v>1064.0999999999999</v>
      </c>
      <c r="Q70" s="344">
        <f>'BZ by State 1st Crop'!Q70+'BZ by State 2nd Crop'!Q70+'BZ by State 3rd Crop'!Q70</f>
        <v>711.59999999999991</v>
      </c>
      <c r="R70" s="344">
        <f>'BZ by State 1st Crop'!R70+'BZ by State 2nd Crop'!R70+'BZ by State 3rd Crop'!R70</f>
        <v>592.20000000000005</v>
      </c>
      <c r="S70" s="344">
        <f>'BZ by State 1st Crop'!S70+'BZ by State 2nd Crop'!S70+'BZ by State 3rd Crop'!S70</f>
        <v>1239.3000000000002</v>
      </c>
      <c r="T70" s="344">
        <f>'BZ by State 1st Crop'!T70+'BZ by State 2nd Crop'!T70+'BZ by State 3rd Crop'!T70</f>
        <v>1267.5</v>
      </c>
      <c r="U70" s="344">
        <f>'BZ by State 1st Crop'!U70+'BZ by State 2nd Crop'!U70+'BZ by State 3rd Crop'!U70</f>
        <v>1365</v>
      </c>
      <c r="V70" s="344">
        <f>'BZ by State 1st Crop'!V70+'BZ by State 2nd Crop'!V70+'BZ by State 3rd Crop'!V70</f>
        <v>1088.0999999999999</v>
      </c>
      <c r="W70" s="344">
        <f>'BZ by State 1st Crop'!W70+'BZ by State 2nd Crop'!W70+'BZ by State 3rd Crop'!W70</f>
        <v>629.70000000000005</v>
      </c>
      <c r="X70" s="344">
        <f>'BZ by State 1st Crop'!X70+'BZ by State 2nd Crop'!X70+'BZ by State 3rd Crop'!X70</f>
        <v>882.30000000000007</v>
      </c>
      <c r="Y70" s="344">
        <f>'BZ by State 1st Crop'!Y70+'BZ by State 2nd Crop'!Y70+'BZ by State 3rd Crop'!Y70</f>
        <v>940.80000000000007</v>
      </c>
      <c r="Z70" s="344">
        <f>'BZ by State 1st Crop'!Z70+'BZ by State 2nd Crop'!Z70+'BZ by State 3rd Crop'!Z70</f>
        <v>930</v>
      </c>
      <c r="AA70" s="344">
        <f>'BZ by State 1st Crop'!AA70+'BZ by State 2nd Crop'!AA70+'BZ by State 3rd Crop'!AA70</f>
        <v>973.5</v>
      </c>
      <c r="AB70" s="344">
        <f>'BZ by State 1st Crop'!AB70+'BZ by State 2nd Crop'!AB70+'BZ by State 3rd Crop'!AB70</f>
        <v>1242.5999999999999</v>
      </c>
      <c r="AC70" s="344">
        <f>'BZ by State 1st Crop'!AC70+'BZ by State 2nd Crop'!AC70+'BZ by State 3rd Crop'!AC70</f>
        <v>1291.1999999999998</v>
      </c>
      <c r="AD70" s="344">
        <f>'BZ by State 1st Crop'!AD70+'BZ by State 2nd Crop'!AD70+'BZ by State 3rd Crop'!AD70</f>
        <v>1215.3000000000002</v>
      </c>
      <c r="AE70" s="344">
        <f>'BZ by State 1st Crop'!AE70+'BZ by State 2nd Crop'!AE70+'BZ by State 3rd Crop'!AE70</f>
        <v>1273.1999999999998</v>
      </c>
      <c r="AF70" s="344">
        <f>'BZ by State 1st Crop'!AF70+'BZ by State 2nd Crop'!AF70+'BZ by State 3rd Crop'!AF70</f>
        <v>1341.3000000000002</v>
      </c>
      <c r="AG70" s="344">
        <f>'BZ by State 1st Crop'!AG70+'BZ by State 2nd Crop'!AG70+'BZ by State 3rd Crop'!AG70</f>
        <v>1471.1999999999998</v>
      </c>
      <c r="AH70" s="344">
        <f>'BZ by State 1st Crop'!AH70+'BZ by State 2nd Crop'!AH70+'BZ by State 3rd Crop'!AH70</f>
        <v>1512.3000000000002</v>
      </c>
      <c r="AI70" s="344">
        <f>'BZ by State 1st Crop'!AI70+'BZ by State 2nd Crop'!AI70+'BZ by State 3rd Crop'!AI70</f>
        <v>1686.3000000000002</v>
      </c>
      <c r="AJ70" s="344">
        <f>'BZ by State 1st Crop'!AJ70+'BZ by State 2nd Crop'!AJ70+'BZ by State 3rd Crop'!AJ70</f>
        <v>2639.1000000000004</v>
      </c>
      <c r="AK70" s="344">
        <f>'BZ by State 1st Crop'!AK70+'BZ by State 2nd Crop'!AK70+'BZ by State 3rd Crop'!AK70</f>
        <v>2194.8000000000002</v>
      </c>
      <c r="AL70" s="344">
        <f>'BZ by State 1st Crop'!AL70+'BZ by State 2nd Crop'!AL70+'BZ by State 3rd Crop'!AL70</f>
        <v>3928.2000000000003</v>
      </c>
      <c r="AM70" s="344">
        <f>'BZ by State 1st Crop'!AM70+'BZ by State 2nd Crop'!AM70+'BZ by State 3rd Crop'!AM70</f>
        <v>5177.7000000000007</v>
      </c>
      <c r="AN70" s="344">
        <f>'BZ by State 1st Crop'!AN70+'BZ by State 2nd Crop'!AN70+'BZ by State 3rd Crop'!AN70</f>
        <v>4407.6000000000004</v>
      </c>
      <c r="AO70" s="344">
        <f>'BZ by State 1st Crop'!AO70+'BZ by State 2nd Crop'!AO70+'BZ by State 3rd Crop'!AO70</f>
        <v>2623.2</v>
      </c>
      <c r="AP70" s="344">
        <f>'BZ by State 1st Crop'!AP70+'BZ by State 2nd Crop'!AP70+'BZ by State 3rd Crop'!AP70</f>
        <v>5855.7000000000007</v>
      </c>
      <c r="AQ70" s="344">
        <f>'BZ by State 1st Crop'!AQ70+'BZ by State 2nd Crop'!AQ70+'BZ by State 3rd Crop'!AQ70</f>
        <v>5652</v>
      </c>
      <c r="AR70" s="344">
        <f>'BZ by State 1st Crop'!AR70+'BZ by State 2nd Crop'!AR70+'BZ by State 3rd Crop'!AR70</f>
        <v>5377.5</v>
      </c>
      <c r="AS70" s="344">
        <f>'BZ by State 1st Crop'!AS70+'BZ by State 2nd Crop'!AS70+'BZ by State 3rd Crop'!AS70</f>
        <v>6588.9000000000005</v>
      </c>
      <c r="AT70" s="344">
        <f>'BZ by State 1st Crop'!AT70+'BZ by State 2nd Crop'!AT70+'BZ by State 3rd Crop'!AT70</f>
        <v>729.26560000000006</v>
      </c>
      <c r="AU70" s="344">
        <f>'BZ by State 1st Crop'!AU70+'BZ by State 2nd Crop'!AU70+'BZ by State 3rd Crop'!AU70</f>
        <v>900.06799999999998</v>
      </c>
      <c r="AV70" s="344">
        <f>'BZ by State 1st Crop'!AV70+'BZ by State 2nd Crop'!AV70+'BZ by State 3rd Crop'!AV70</f>
        <v>895.78440000000001</v>
      </c>
      <c r="AW70" s="344">
        <f>'BZ by State 1st Crop'!AW70+'BZ by State 2nd Crop'!AW70+'BZ by State 3rd Crop'!AW70</f>
        <v>966.85120000000006</v>
      </c>
      <c r="AX70" s="344">
        <f>'BZ by State 1st Crop'!AX70+'BZ by State 2nd Crop'!AX70+'BZ by State 3rd Crop'!AX70</f>
        <v>1139.5440000000001</v>
      </c>
      <c r="AY70" s="365">
        <f>'BZ by State 1st Crop'!AY70+'BZ by State 2nd Crop'!AY70+'BZ by State 3rd Crop'!AY70</f>
        <v>1134.4032</v>
      </c>
      <c r="AZ70" s="366">
        <f>'BZ by State 1st Crop'!AZ70+'BZ by State 2nd Crop'!AZ70+'BZ by State 3rd Crop'!AZ70</f>
        <v>1122.9792</v>
      </c>
      <c r="BA70" s="366">
        <f>AZ70-AY70</f>
        <v>-11.423999999999978</v>
      </c>
      <c r="BB70" s="367">
        <f>AY70-AX70</f>
        <v>-5.1408000000001266</v>
      </c>
      <c r="BC70" s="368">
        <f>AZ70-AX70</f>
        <v>-16.564800000000105</v>
      </c>
      <c r="BD70" s="353">
        <f t="shared" si="721"/>
        <v>-0.29598220526006913</v>
      </c>
      <c r="BE70" s="309"/>
      <c r="BF70"/>
      <c r="BG70" s="308"/>
    </row>
    <row r="71" spans="1:63" ht="15" customHeight="1">
      <c r="A71" s="320" t="s">
        <v>371</v>
      </c>
      <c r="B71" s="356"/>
      <c r="C71" s="356"/>
      <c r="D71" s="356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6"/>
      <c r="P71" s="356"/>
      <c r="Q71" s="356"/>
      <c r="R71" s="356"/>
      <c r="S71" s="356"/>
      <c r="T71" s="356"/>
      <c r="U71" s="356"/>
      <c r="V71" s="356"/>
      <c r="W71" s="356"/>
      <c r="X71" s="356"/>
      <c r="Y71" s="356"/>
      <c r="Z71" s="356"/>
      <c r="AA71" s="356"/>
      <c r="AB71" s="356"/>
      <c r="AC71" s="356"/>
      <c r="AD71" s="356"/>
      <c r="AE71" s="356"/>
      <c r="AF71" s="356"/>
      <c r="AG71" s="356"/>
      <c r="AH71" s="356"/>
      <c r="AI71" s="356"/>
      <c r="AJ71" s="356"/>
      <c r="AK71" s="356"/>
      <c r="AL71" s="356"/>
      <c r="AM71" s="356"/>
      <c r="AN71" s="356"/>
      <c r="AO71" s="356"/>
      <c r="AP71" s="356"/>
      <c r="AQ71" s="356"/>
      <c r="AR71" s="356"/>
      <c r="AS71" s="356"/>
      <c r="AT71" s="328"/>
      <c r="AU71" s="328"/>
      <c r="AV71" s="328"/>
      <c r="AW71" s="328"/>
      <c r="AX71" s="328"/>
      <c r="AY71" s="321"/>
      <c r="AZ71" s="328"/>
      <c r="BA71" s="329"/>
      <c r="BB71" s="321"/>
      <c r="BC71" s="328"/>
      <c r="BD71" s="329"/>
    </row>
    <row r="72" spans="1:63" ht="15" customHeight="1">
      <c r="A72" s="324" t="s">
        <v>352</v>
      </c>
      <c r="B72" s="344">
        <f>'BZ by State 1st Crop'!B72+'BZ by State 2nd Crop'!B72+'BZ by State 3rd Crop'!B72</f>
        <v>313</v>
      </c>
      <c r="C72" s="344">
        <f>'BZ by State 1st Crop'!C72+'BZ by State 2nd Crop'!C72+'BZ by State 3rd Crop'!C72</f>
        <v>278</v>
      </c>
      <c r="D72" s="344">
        <f>'BZ by State 1st Crop'!D72+'BZ by State 2nd Crop'!D72+'BZ by State 3rd Crop'!D72</f>
        <v>327</v>
      </c>
      <c r="E72" s="344">
        <f>'BZ by State 1st Crop'!E72+'BZ by State 2nd Crop'!E72+'BZ by State 3rd Crop'!E72</f>
        <v>437</v>
      </c>
      <c r="F72" s="344">
        <f>'BZ by State 1st Crop'!F72+'BZ by State 2nd Crop'!F72+'BZ by State 3rd Crop'!F72</f>
        <v>620</v>
      </c>
      <c r="G72" s="344">
        <f>'BZ by State 1st Crop'!G72+'BZ by State 2nd Crop'!G72+'BZ by State 3rd Crop'!G72</f>
        <v>678</v>
      </c>
      <c r="H72" s="344">
        <f>'BZ by State 1st Crop'!H72+'BZ by State 2nd Crop'!H72+'BZ by State 3rd Crop'!H72</f>
        <v>424.20000000000005</v>
      </c>
      <c r="I72" s="344">
        <f>'BZ by State 1st Crop'!I72+'BZ by State 2nd Crop'!I72+'BZ by State 3rd Crop'!I72</f>
        <v>420.4</v>
      </c>
      <c r="J72" s="344">
        <f>'BZ by State 1st Crop'!J72+'BZ by State 2nd Crop'!J72+'BZ by State 3rd Crop'!J72</f>
        <v>418</v>
      </c>
      <c r="K72" s="344">
        <f>'BZ by State 1st Crop'!K72+'BZ by State 2nd Crop'!K72+'BZ by State 3rd Crop'!K72</f>
        <v>507.9</v>
      </c>
      <c r="L72" s="344">
        <f>'BZ by State 1st Crop'!L72+'BZ by State 2nd Crop'!L72+'BZ by State 3rd Crop'!L72</f>
        <v>647</v>
      </c>
      <c r="M72" s="344">
        <f>'BZ by State 1st Crop'!M72+'BZ by State 2nd Crop'!M72+'BZ by State 3rd Crop'!M72</f>
        <v>728</v>
      </c>
      <c r="N72" s="344">
        <f>'BZ by State 1st Crop'!N72+'BZ by State 2nd Crop'!N72+'BZ by State 3rd Crop'!N72</f>
        <v>553.79999999999995</v>
      </c>
      <c r="O72" s="344">
        <f>'BZ by State 1st Crop'!O72+'BZ by State 2nd Crop'!O72+'BZ by State 3rd Crop'!O72</f>
        <v>428.9</v>
      </c>
      <c r="P72" s="344">
        <f>'BZ by State 1st Crop'!P72+'BZ by State 2nd Crop'!P72+'BZ by State 3rd Crop'!P72</f>
        <v>557</v>
      </c>
      <c r="Q72" s="344">
        <f>'BZ by State 1st Crop'!Q72+'BZ by State 2nd Crop'!Q72+'BZ by State 3rd Crop'!Q72</f>
        <v>642.1</v>
      </c>
      <c r="R72" s="344">
        <f>'BZ by State 1st Crop'!R72+'BZ by State 2nd Crop'!R72+'BZ by State 3rd Crop'!R72</f>
        <v>489.2</v>
      </c>
      <c r="S72" s="344">
        <f>'BZ by State 1st Crop'!S72+'BZ by State 2nd Crop'!S72+'BZ by State 3rd Crop'!S72</f>
        <v>490.3</v>
      </c>
      <c r="T72" s="344">
        <f>'BZ by State 1st Crop'!T72+'BZ by State 2nd Crop'!T72+'BZ by State 3rd Crop'!T72</f>
        <v>496</v>
      </c>
      <c r="U72" s="344">
        <f>'BZ by State 1st Crop'!U72+'BZ by State 2nd Crop'!U72+'BZ by State 3rd Crop'!U72</f>
        <v>567.6</v>
      </c>
      <c r="V72" s="344">
        <f>'BZ by State 1st Crop'!V72+'BZ by State 2nd Crop'!V72+'BZ by State 3rd Crop'!V72</f>
        <v>681.3</v>
      </c>
      <c r="W72" s="344">
        <f>'BZ by State 1st Crop'!W72+'BZ by State 2nd Crop'!W72+'BZ by State 3rd Crop'!W72</f>
        <v>504.7</v>
      </c>
      <c r="X72" s="344">
        <f>'BZ by State 1st Crop'!X72+'BZ by State 2nd Crop'!X72+'BZ by State 3rd Crop'!X72</f>
        <v>660</v>
      </c>
      <c r="Y72" s="344">
        <f>'BZ by State 1st Crop'!Y72+'BZ by State 2nd Crop'!Y72+'BZ by State 3rd Crop'!Y72</f>
        <v>654.20000000000005</v>
      </c>
      <c r="Z72" s="344">
        <f>'BZ by State 1st Crop'!Z72+'BZ by State 2nd Crop'!Z72+'BZ by State 3rd Crop'!Z72</f>
        <v>705.5</v>
      </c>
      <c r="AA72" s="344">
        <f>'BZ by State 1st Crop'!AA72+'BZ by State 2nd Crop'!AA72+'BZ by State 3rd Crop'!AA72</f>
        <v>672.6</v>
      </c>
      <c r="AB72" s="344">
        <f>'BZ by State 1st Crop'!AB72+'BZ by State 2nd Crop'!AB72+'BZ by State 3rd Crop'!AB72</f>
        <v>797.3</v>
      </c>
      <c r="AC72" s="344">
        <f>'BZ by State 1st Crop'!AC72+'BZ by State 2nd Crop'!AC72+'BZ by State 3rd Crop'!AC72</f>
        <v>734.90000000000009</v>
      </c>
      <c r="AD72" s="344">
        <f>'BZ by State 1st Crop'!AD72+'BZ by State 2nd Crop'!AD72+'BZ by State 3rd Crop'!AD72</f>
        <v>802.59999999999991</v>
      </c>
      <c r="AE72" s="344">
        <f>'BZ by State 1st Crop'!AE72+'BZ by State 2nd Crop'!AE72+'BZ by State 3rd Crop'!AE72</f>
        <v>777.90000000000009</v>
      </c>
      <c r="AF72" s="344">
        <f>'BZ by State 1st Crop'!AF72+'BZ by State 2nd Crop'!AF72+'BZ by State 3rd Crop'!AF72</f>
        <v>833.1</v>
      </c>
      <c r="AG72" s="344">
        <f>'BZ by State 1st Crop'!AG72+'BZ by State 2nd Crop'!AG72+'BZ by State 3rd Crop'!AG72</f>
        <v>831.2</v>
      </c>
      <c r="AH72" s="344">
        <f>'BZ by State 1st Crop'!AH72+'BZ by State 2nd Crop'!AH72+'BZ by State 3rd Crop'!AH72</f>
        <v>818.8</v>
      </c>
      <c r="AI72" s="344">
        <f>'BZ by State 1st Crop'!AI72+'BZ by State 2nd Crop'!AI72+'BZ by State 3rd Crop'!AI72</f>
        <v>806.9</v>
      </c>
      <c r="AJ72" s="344">
        <f>'BZ by State 1st Crop'!AJ72+'BZ by State 2nd Crop'!AJ72+'BZ by State 3rd Crop'!AJ72</f>
        <v>789.9</v>
      </c>
      <c r="AK72" s="344">
        <f>'BZ by State 1st Crop'!AK72+'BZ by State 2nd Crop'!AK72+'BZ by State 3rd Crop'!AK72</f>
        <v>605</v>
      </c>
      <c r="AL72" s="344">
        <f>'BZ by State 1st Crop'!AL72+'BZ by State 2nd Crop'!AL72+'BZ by State 3rd Crop'!AL72</f>
        <v>628.4</v>
      </c>
      <c r="AM72" s="344">
        <f>'BZ by State 1st Crop'!AM72+'BZ by State 2nd Crop'!AM72+'BZ by State 3rd Crop'!AM72</f>
        <v>812.5</v>
      </c>
      <c r="AN72" s="344">
        <f>'BZ by State 1st Crop'!AN72+'BZ by State 2nd Crop'!AN72+'BZ by State 3rd Crop'!AN72</f>
        <v>764.3</v>
      </c>
      <c r="AO72" s="344">
        <f>'BZ by State 1st Crop'!AO72+'BZ by State 2nd Crop'!AO72+'BZ by State 3rd Crop'!AO72</f>
        <v>618.70000000000005</v>
      </c>
      <c r="AP72" s="344">
        <f>'BZ by State 1st Crop'!AP72+'BZ by State 2nd Crop'!AP72+'BZ by State 3rd Crop'!AP72</f>
        <v>646.90000000000009</v>
      </c>
      <c r="AQ72" s="344">
        <f>'BZ by State 1st Crop'!AQ72+'BZ by State 2nd Crop'!AQ72+'BZ by State 3rd Crop'!AQ72</f>
        <v>611.20000000000005</v>
      </c>
      <c r="AR72" s="344">
        <f>'BZ by State 1st Crop'!AR72+'BZ by State 2nd Crop'!AR72+'BZ by State 3rd Crop'!AR72</f>
        <v>592.20000000000005</v>
      </c>
      <c r="AS72" s="344">
        <f>'BZ by State 1st Crop'!AS72+'BZ by State 2nd Crop'!AS72+'BZ by State 3rd Crop'!AS72</f>
        <v>592.6</v>
      </c>
      <c r="AT72" s="344">
        <f>'BZ by State 1st Crop'!AT72+'BZ by State 2nd Crop'!AT72+'BZ by State 3rd Crop'!AT72</f>
        <v>753.8</v>
      </c>
      <c r="AU72" s="344">
        <f>'BZ by State 1st Crop'!AU72+'BZ by State 2nd Crop'!AU72+'BZ by State 3rd Crop'!AU72</f>
        <v>814</v>
      </c>
      <c r="AV72" s="344">
        <f>'BZ by State 1st Crop'!AV72+'BZ by State 2nd Crop'!AV72+'BZ by State 3rd Crop'!AV72</f>
        <v>853.40000000000009</v>
      </c>
      <c r="AW72" s="344">
        <f>'BZ by State 1st Crop'!AW72+'BZ by State 2nd Crop'!AW72+'BZ by State 3rd Crop'!AW72</f>
        <v>766.5</v>
      </c>
      <c r="AX72" s="344">
        <f>'BZ by State 1st Crop'!AX72+'BZ by State 2nd Crop'!AX72+'BZ by State 3rd Crop'!AX72</f>
        <v>732.1</v>
      </c>
      <c r="AY72" s="369">
        <f>'BZ by State 1st Crop'!AY72+'BZ by State 2nd Crop'!AY72+'BZ by State 3rd Crop'!AY72</f>
        <v>684.4</v>
      </c>
      <c r="AZ72" s="366">
        <f>'BZ by State 1st Crop'!AZ72+'BZ by State 2nd Crop'!AZ72+'BZ by State 3rd Crop'!AZ72</f>
        <v>684.4</v>
      </c>
      <c r="BA72" s="366">
        <f>AZ72-AY72</f>
        <v>0</v>
      </c>
      <c r="BB72" s="367">
        <f>AY72-AX72</f>
        <v>-47.700000000000045</v>
      </c>
      <c r="BC72" s="368">
        <f>AZ72-AX72</f>
        <v>-47.700000000000045</v>
      </c>
      <c r="BD72" s="353">
        <f>(AX72/AS72)^(1/5)-1</f>
        <v>4.3186004639909958E-2</v>
      </c>
      <c r="BF72" s="319" t="b">
        <v>0</v>
      </c>
      <c r="BH72" s="311"/>
      <c r="BI72" s="311"/>
      <c r="BJ72" s="311"/>
      <c r="BK72" s="311"/>
    </row>
    <row r="73" spans="1:63" ht="15" customHeight="1">
      <c r="A73" s="324" t="s">
        <v>353</v>
      </c>
      <c r="B73" s="345">
        <f t="shared" ref="B73" si="722">B74/B72*1000</f>
        <v>674.44089456869006</v>
      </c>
      <c r="C73" s="345">
        <f t="shared" ref="C73" si="723">C74/C72*1000</f>
        <v>2751.7985611510794</v>
      </c>
      <c r="D73" s="345">
        <f t="shared" ref="D73" si="724">D74/D72*1000</f>
        <v>2055.0458715596333</v>
      </c>
      <c r="E73" s="345">
        <f t="shared" ref="E73" si="725">E74/E72*1000</f>
        <v>1826.086956521739</v>
      </c>
      <c r="F73" s="345">
        <f t="shared" ref="F73" si="726">F74/F72*1000</f>
        <v>856.45161290322585</v>
      </c>
      <c r="G73" s="345">
        <f t="shared" ref="G73" si="727">G74/G72*1000</f>
        <v>1340.7079646017698</v>
      </c>
      <c r="H73" s="345">
        <f t="shared" ref="H73" si="728">H74/H72*1000</f>
        <v>671.8528995756717</v>
      </c>
      <c r="I73" s="345">
        <f t="shared" ref="I73" si="729">I74/I72*1000</f>
        <v>2340.6279733587062</v>
      </c>
      <c r="J73" s="345">
        <f t="shared" ref="J73" si="730">J74/J72*1000</f>
        <v>904.30622009569367</v>
      </c>
      <c r="K73" s="345">
        <f t="shared" ref="K73" si="731">K74/K72*1000</f>
        <v>1712.9356172474897</v>
      </c>
      <c r="L73" s="345">
        <f t="shared" ref="L73" si="732">L74/L72*1000</f>
        <v>537.86707882534779</v>
      </c>
      <c r="M73" s="345">
        <f t="shared" ref="M73" si="733">M74/M72*1000</f>
        <v>1421.7032967032967</v>
      </c>
      <c r="N73" s="345">
        <f t="shared" ref="N73" si="734">N74/N72*1000</f>
        <v>1852.6543878656555</v>
      </c>
      <c r="O73" s="345">
        <f t="shared" ref="O73" si="735">O74/O72*1000</f>
        <v>1210.0722779202613</v>
      </c>
      <c r="P73" s="345">
        <f t="shared" ref="P73" si="736">P74/P72*1000</f>
        <v>1910.4129263913824</v>
      </c>
      <c r="Q73" s="345">
        <f t="shared" ref="Q73" si="737">Q74/Q72*1000</f>
        <v>1108.2385921196073</v>
      </c>
      <c r="R73" s="345">
        <f t="shared" ref="R73" si="738">R74/R72*1000</f>
        <v>1210.5478331970564</v>
      </c>
      <c r="S73" s="345">
        <f t="shared" ref="S73" si="739">S74/S72*1000</f>
        <v>2527.6361411380794</v>
      </c>
      <c r="T73" s="345">
        <f t="shared" ref="T73" si="740">T74/T72*1000</f>
        <v>2555.4435483870971</v>
      </c>
      <c r="U73" s="345">
        <f t="shared" ref="U73" si="741">U74/U72*1000</f>
        <v>2404.862579281184</v>
      </c>
      <c r="V73" s="345">
        <f t="shared" ref="V73" si="742">V74/V72*1000</f>
        <v>1597.0937912813738</v>
      </c>
      <c r="W73" s="345">
        <f t="shared" ref="W73" si="743">W74/W72*1000</f>
        <v>1247.6718842876958</v>
      </c>
      <c r="X73" s="345">
        <f t="shared" ref="X73" si="744">X74/X72*1000</f>
        <v>1336.818181818182</v>
      </c>
      <c r="Y73" s="345">
        <f t="shared" ref="Y73" si="745">Y74/Y72*1000</f>
        <v>1438.0923265056558</v>
      </c>
      <c r="Z73" s="345">
        <f t="shared" ref="Z73" si="746">Z74/Z72*1000</f>
        <v>1318.2140326009921</v>
      </c>
      <c r="AA73" s="345">
        <f t="shared" ref="AA73" si="747">AA74/AA72*1000</f>
        <v>1447.3684210526317</v>
      </c>
      <c r="AB73" s="345">
        <f t="shared" ref="AB73" si="748">AB74/AB72*1000</f>
        <v>1558.5099711526402</v>
      </c>
      <c r="AC73" s="345">
        <f t="shared" ref="AC73" si="749">AC74/AC72*1000</f>
        <v>1756.9737379235266</v>
      </c>
      <c r="AD73" s="345">
        <f t="shared" ref="AD73" si="750">AD74/AD72*1000</f>
        <v>1514.2038375280342</v>
      </c>
      <c r="AE73" s="345">
        <f t="shared" ref="AE73" si="751">AE74/AE72*1000</f>
        <v>1636.7142306209018</v>
      </c>
      <c r="AF73" s="345">
        <f t="shared" ref="AF73" si="752">AF74/AF72*1000</f>
        <v>1610.0108030248473</v>
      </c>
      <c r="AG73" s="345">
        <f t="shared" ref="AG73" si="753">AG74/AG72*1000</f>
        <v>1769.9711260827714</v>
      </c>
      <c r="AH73" s="345">
        <f t="shared" ref="AH73" si="754">AH74/AH72*1000</f>
        <v>1846.9711773326821</v>
      </c>
      <c r="AI73" s="345">
        <f t="shared" ref="AI73" si="755">AI74/AI72*1000</f>
        <v>2089.8500433758832</v>
      </c>
      <c r="AJ73" s="345">
        <f t="shared" ref="AJ73" si="756">AJ74/AJ72*1000</f>
        <v>3341.0558298518804</v>
      </c>
      <c r="AK73" s="345">
        <f t="shared" ref="AK73" si="757">AK74/AK72*1000</f>
        <v>3627.7685950413224</v>
      </c>
      <c r="AL73" s="345">
        <f t="shared" ref="AL73" si="758">AL74/AL72*1000</f>
        <v>6251.1139401655</v>
      </c>
      <c r="AM73" s="345">
        <f t="shared" ref="AM73" si="759">AM74/AM72*1000</f>
        <v>6372.5538461538472</v>
      </c>
      <c r="AN73" s="345">
        <f t="shared" ref="AN73" si="760">AN74/AN72*1000</f>
        <v>5766.8454795237476</v>
      </c>
      <c r="AO73" s="345">
        <f t="shared" ref="AO73" si="761">AO74/AO72*1000</f>
        <v>4239.8577662841435</v>
      </c>
      <c r="AP73" s="345">
        <f t="shared" ref="AP73" si="762">AP74/AP72*1000</f>
        <v>9051.9400216416743</v>
      </c>
      <c r="AQ73" s="345">
        <f t="shared" ref="AQ73" si="763">AQ74/AQ72*1000</f>
        <v>9247.3821989528788</v>
      </c>
      <c r="AR73" s="345">
        <f t="shared" ref="AR73" si="764">AR74/AR72*1000</f>
        <v>9080.5471124620053</v>
      </c>
      <c r="AS73" s="345">
        <f t="shared" ref="AS73" si="765">AS74/AS72*1000</f>
        <v>11118.629767127912</v>
      </c>
      <c r="AT73" s="345">
        <f t="shared" ref="AT73" si="766">AT74/AT72*1000</f>
        <v>3614.1010878217039</v>
      </c>
      <c r="AU73" s="345">
        <f t="shared" ref="AU73" si="767">AU74/AU72*1000</f>
        <v>4144.3034398034397</v>
      </c>
      <c r="AV73" s="345">
        <f t="shared" ref="AV73" si="768">AV74/AV72*1000</f>
        <v>4603.6243262245134</v>
      </c>
      <c r="AW73" s="345">
        <f t="shared" ref="AW73" si="769">AW74/AW72*1000</f>
        <v>3859.424005218526</v>
      </c>
      <c r="AX73" s="345">
        <f t="shared" ref="AX73" si="770">AX74/AX72*1000</f>
        <v>3828.564267176615</v>
      </c>
      <c r="AY73" s="346">
        <f t="shared" ref="AY73:AZ73" si="771">AY74/AY72*1000</f>
        <v>4186.4763296317933</v>
      </c>
      <c r="AZ73" s="347">
        <f t="shared" si="771"/>
        <v>4171.2741087083577</v>
      </c>
      <c r="BA73" s="347">
        <f>AZ73-AY73</f>
        <v>-15.202220923435561</v>
      </c>
      <c r="BB73" s="351">
        <f>AY73-AX73</f>
        <v>357.91206245517833</v>
      </c>
      <c r="BC73" s="352">
        <f>AZ73-AX73</f>
        <v>342.70984153174277</v>
      </c>
      <c r="BD73" s="353">
        <f t="shared" ref="BD73:BD74" si="772">(AX73/AS73)^(1/5)-1</f>
        <v>-0.19202683947165577</v>
      </c>
    </row>
    <row r="74" spans="1:63" ht="15" customHeight="1" thickBot="1">
      <c r="A74" s="324" t="s">
        <v>354</v>
      </c>
      <c r="B74" s="344">
        <f>'BZ by State 1st Crop'!B74+'BZ by State 2nd Crop'!B74+'BZ by State 3rd Crop'!B74</f>
        <v>211.1</v>
      </c>
      <c r="C74" s="344">
        <f>'BZ by State 1st Crop'!C74+'BZ by State 2nd Crop'!C74+'BZ by State 3rd Crop'!C74</f>
        <v>765</v>
      </c>
      <c r="D74" s="344">
        <f>'BZ by State 1st Crop'!D74+'BZ by State 2nd Crop'!D74+'BZ by State 3rd Crop'!D74</f>
        <v>672</v>
      </c>
      <c r="E74" s="344">
        <f>'BZ by State 1st Crop'!E74+'BZ by State 2nd Crop'!E74+'BZ by State 3rd Crop'!E74</f>
        <v>798</v>
      </c>
      <c r="F74" s="344">
        <f>'BZ by State 1st Crop'!F74+'BZ by State 2nd Crop'!F74+'BZ by State 3rd Crop'!F74</f>
        <v>531</v>
      </c>
      <c r="G74" s="344">
        <f>'BZ by State 1st Crop'!G74+'BZ by State 2nd Crop'!G74+'BZ by State 3rd Crop'!G74</f>
        <v>909</v>
      </c>
      <c r="H74" s="344">
        <f>'BZ by State 1st Crop'!H74+'BZ by State 2nd Crop'!H74+'BZ by State 3rd Crop'!H74</f>
        <v>285</v>
      </c>
      <c r="I74" s="344">
        <f>'BZ by State 1st Crop'!I74+'BZ by State 2nd Crop'!I74+'BZ by State 3rd Crop'!I74</f>
        <v>984</v>
      </c>
      <c r="J74" s="344">
        <f>'BZ by State 1st Crop'!J74+'BZ by State 2nd Crop'!J74+'BZ by State 3rd Crop'!J74</f>
        <v>378</v>
      </c>
      <c r="K74" s="344">
        <f>'BZ by State 1st Crop'!K74+'BZ by State 2nd Crop'!K74+'BZ by State 3rd Crop'!K74</f>
        <v>870</v>
      </c>
      <c r="L74" s="344">
        <f>'BZ by State 1st Crop'!L74+'BZ by State 2nd Crop'!L74+'BZ by State 3rd Crop'!L74</f>
        <v>348</v>
      </c>
      <c r="M74" s="344">
        <f>'BZ by State 1st Crop'!M74+'BZ by State 2nd Crop'!M74+'BZ by State 3rd Crop'!M74</f>
        <v>1035</v>
      </c>
      <c r="N74" s="344">
        <f>'BZ by State 1st Crop'!N74+'BZ by State 2nd Crop'!N74+'BZ by State 3rd Crop'!N74</f>
        <v>1026</v>
      </c>
      <c r="O74" s="344">
        <f>'BZ by State 1st Crop'!O74+'BZ by State 2nd Crop'!O74+'BZ by State 3rd Crop'!O74</f>
        <v>519</v>
      </c>
      <c r="P74" s="344">
        <f>'BZ by State 1st Crop'!P74+'BZ by State 2nd Crop'!P74+'BZ by State 3rd Crop'!P74</f>
        <v>1064.0999999999999</v>
      </c>
      <c r="Q74" s="344">
        <f>'BZ by State 1st Crop'!Q74+'BZ by State 2nd Crop'!Q74+'BZ by State 3rd Crop'!Q74</f>
        <v>711.59999999999991</v>
      </c>
      <c r="R74" s="344">
        <f>'BZ by State 1st Crop'!R74+'BZ by State 2nd Crop'!R74+'BZ by State 3rd Crop'!R74</f>
        <v>592.20000000000005</v>
      </c>
      <c r="S74" s="344">
        <f>'BZ by State 1st Crop'!S74+'BZ by State 2nd Crop'!S74+'BZ by State 3rd Crop'!S74</f>
        <v>1239.3000000000002</v>
      </c>
      <c r="T74" s="344">
        <f>'BZ by State 1st Crop'!T74+'BZ by State 2nd Crop'!T74+'BZ by State 3rd Crop'!T74</f>
        <v>1267.5</v>
      </c>
      <c r="U74" s="344">
        <f>'BZ by State 1st Crop'!U74+'BZ by State 2nd Crop'!U74+'BZ by State 3rd Crop'!U74</f>
        <v>1365</v>
      </c>
      <c r="V74" s="344">
        <f>'BZ by State 1st Crop'!V74+'BZ by State 2nd Crop'!V74+'BZ by State 3rd Crop'!V74</f>
        <v>1088.0999999999999</v>
      </c>
      <c r="W74" s="344">
        <f>'BZ by State 1st Crop'!W74+'BZ by State 2nd Crop'!W74+'BZ by State 3rd Crop'!W74</f>
        <v>629.70000000000005</v>
      </c>
      <c r="X74" s="344">
        <f>'BZ by State 1st Crop'!X74+'BZ by State 2nd Crop'!X74+'BZ by State 3rd Crop'!X74</f>
        <v>882.30000000000007</v>
      </c>
      <c r="Y74" s="344">
        <f>'BZ by State 1st Crop'!Y74+'BZ by State 2nd Crop'!Y74+'BZ by State 3rd Crop'!Y74</f>
        <v>940.80000000000007</v>
      </c>
      <c r="Z74" s="344">
        <f>'BZ by State 1st Crop'!Z74+'BZ by State 2nd Crop'!Z74+'BZ by State 3rd Crop'!Z74</f>
        <v>930</v>
      </c>
      <c r="AA74" s="344">
        <f>'BZ by State 1st Crop'!AA74+'BZ by State 2nd Crop'!AA74+'BZ by State 3rd Crop'!AA74</f>
        <v>973.5</v>
      </c>
      <c r="AB74" s="344">
        <f>'BZ by State 1st Crop'!AB74+'BZ by State 2nd Crop'!AB74+'BZ by State 3rd Crop'!AB74</f>
        <v>1242.5999999999999</v>
      </c>
      <c r="AC74" s="344">
        <f>'BZ by State 1st Crop'!AC74+'BZ by State 2nd Crop'!AC74+'BZ by State 3rd Crop'!AC74</f>
        <v>1291.1999999999998</v>
      </c>
      <c r="AD74" s="344">
        <f>'BZ by State 1st Crop'!AD74+'BZ by State 2nd Crop'!AD74+'BZ by State 3rd Crop'!AD74</f>
        <v>1215.3000000000002</v>
      </c>
      <c r="AE74" s="344">
        <f>'BZ by State 1st Crop'!AE74+'BZ by State 2nd Crop'!AE74+'BZ by State 3rd Crop'!AE74</f>
        <v>1273.1999999999998</v>
      </c>
      <c r="AF74" s="344">
        <f>'BZ by State 1st Crop'!AF74+'BZ by State 2nd Crop'!AF74+'BZ by State 3rd Crop'!AF74</f>
        <v>1341.3000000000002</v>
      </c>
      <c r="AG74" s="344">
        <f>'BZ by State 1st Crop'!AG74+'BZ by State 2nd Crop'!AG74+'BZ by State 3rd Crop'!AG74</f>
        <v>1471.1999999999998</v>
      </c>
      <c r="AH74" s="344">
        <f>'BZ by State 1st Crop'!AH74+'BZ by State 2nd Crop'!AH74+'BZ by State 3rd Crop'!AH74</f>
        <v>1512.3000000000002</v>
      </c>
      <c r="AI74" s="344">
        <f>'BZ by State 1st Crop'!AI74+'BZ by State 2nd Crop'!AI74+'BZ by State 3rd Crop'!AI74</f>
        <v>1686.3000000000002</v>
      </c>
      <c r="AJ74" s="344">
        <f>'BZ by State 1st Crop'!AJ74+'BZ by State 2nd Crop'!AJ74+'BZ by State 3rd Crop'!AJ74</f>
        <v>2639.1000000000004</v>
      </c>
      <c r="AK74" s="344">
        <f>'BZ by State 1st Crop'!AK74+'BZ by State 2nd Crop'!AK74+'BZ by State 3rd Crop'!AK74</f>
        <v>2194.8000000000002</v>
      </c>
      <c r="AL74" s="344">
        <f>'BZ by State 1st Crop'!AL74+'BZ by State 2nd Crop'!AL74+'BZ by State 3rd Crop'!AL74</f>
        <v>3928.2000000000003</v>
      </c>
      <c r="AM74" s="344">
        <f>'BZ by State 1st Crop'!AM74+'BZ by State 2nd Crop'!AM74+'BZ by State 3rd Crop'!AM74</f>
        <v>5177.7000000000007</v>
      </c>
      <c r="AN74" s="344">
        <f>'BZ by State 1st Crop'!AN74+'BZ by State 2nd Crop'!AN74+'BZ by State 3rd Crop'!AN74</f>
        <v>4407.6000000000004</v>
      </c>
      <c r="AO74" s="344">
        <f>'BZ by State 1st Crop'!AO74+'BZ by State 2nd Crop'!AO74+'BZ by State 3rd Crop'!AO74</f>
        <v>2623.2</v>
      </c>
      <c r="AP74" s="344">
        <f>'BZ by State 1st Crop'!AP74+'BZ by State 2nd Crop'!AP74+'BZ by State 3rd Crop'!AP74</f>
        <v>5855.7000000000007</v>
      </c>
      <c r="AQ74" s="344">
        <f>'BZ by State 1st Crop'!AQ74+'BZ by State 2nd Crop'!AQ74+'BZ by State 3rd Crop'!AQ74</f>
        <v>5652</v>
      </c>
      <c r="AR74" s="344">
        <f>'BZ by State 1st Crop'!AR74+'BZ by State 2nd Crop'!AR74+'BZ by State 3rd Crop'!AR74</f>
        <v>5377.5</v>
      </c>
      <c r="AS74" s="344">
        <f>'BZ by State 1st Crop'!AS74+'BZ by State 2nd Crop'!AS74+'BZ by State 3rd Crop'!AS74</f>
        <v>6588.9000000000005</v>
      </c>
      <c r="AT74" s="344">
        <f>'BZ by State 1st Crop'!AT74+'BZ by State 2nd Crop'!AT74+'BZ by State 3rd Crop'!AT74</f>
        <v>2724.3094000000001</v>
      </c>
      <c r="AU74" s="344">
        <f>'BZ by State 1st Crop'!AU74+'BZ by State 2nd Crop'!AU74+'BZ by State 3rd Crop'!AU74</f>
        <v>3373.4630000000002</v>
      </c>
      <c r="AV74" s="344">
        <f>'BZ by State 1st Crop'!AV74+'BZ by State 2nd Crop'!AV74+'BZ by State 3rd Crop'!AV74</f>
        <v>3928.7330000000002</v>
      </c>
      <c r="AW74" s="344">
        <f>'BZ by State 1st Crop'!AW74+'BZ by State 2nd Crop'!AW74+'BZ by State 3rd Crop'!AW74</f>
        <v>2958.2485000000001</v>
      </c>
      <c r="AX74" s="344">
        <f>'BZ by State 1st Crop'!AX74+'BZ by State 2nd Crop'!AX74+'BZ by State 3rd Crop'!AX74</f>
        <v>2802.8919000000001</v>
      </c>
      <c r="AY74" s="365">
        <f>'BZ by State 1st Crop'!AY74+'BZ by State 2nd Crop'!AY74+'BZ by State 3rd Crop'!AY74</f>
        <v>2865.2243999999996</v>
      </c>
      <c r="AZ74" s="366">
        <f>'BZ by State 1st Crop'!AZ74+'BZ by State 2nd Crop'!AZ74+'BZ by State 3rd Crop'!AZ74</f>
        <v>2854.8199999999997</v>
      </c>
      <c r="BA74" s="366">
        <f>AZ74-AY74</f>
        <v>-10.404399999999896</v>
      </c>
      <c r="BB74" s="367">
        <f>AY74-AX74</f>
        <v>62.332499999999527</v>
      </c>
      <c r="BC74" s="368">
        <f>AZ74-AX74</f>
        <v>51.928099999999631</v>
      </c>
      <c r="BD74" s="353">
        <f t="shared" si="772"/>
        <v>-0.15713370681215599</v>
      </c>
      <c r="BH74" s="311"/>
      <c r="BI74" s="311"/>
      <c r="BJ74" s="311"/>
      <c r="BK74" s="311"/>
    </row>
    <row r="75" spans="1:63" s="311" customFormat="1" ht="15" customHeight="1" thickBot="1">
      <c r="A75" s="335" t="s">
        <v>372</v>
      </c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358"/>
      <c r="AB75" s="358"/>
      <c r="AC75" s="358"/>
      <c r="AD75" s="358"/>
      <c r="AE75" s="358"/>
      <c r="AF75" s="358"/>
      <c r="AG75" s="358"/>
      <c r="AH75" s="358"/>
      <c r="AI75" s="358"/>
      <c r="AJ75" s="358"/>
      <c r="AK75" s="358"/>
      <c r="AL75" s="358"/>
      <c r="AM75" s="358"/>
      <c r="AN75" s="358"/>
      <c r="AO75" s="358"/>
      <c r="AP75" s="358"/>
      <c r="AQ75" s="358"/>
      <c r="AR75" s="358"/>
      <c r="AS75" s="358"/>
      <c r="AT75" s="333"/>
      <c r="AU75" s="333"/>
      <c r="AV75" s="333"/>
      <c r="AW75" s="333"/>
      <c r="AX75" s="333"/>
      <c r="AY75" s="332"/>
      <c r="AZ75" s="333"/>
      <c r="BA75" s="334"/>
      <c r="BB75" s="332"/>
      <c r="BC75" s="333"/>
      <c r="BD75" s="334"/>
      <c r="BE75" s="309"/>
      <c r="BF75"/>
      <c r="BG75" s="308"/>
      <c r="BH75" s="309"/>
      <c r="BI75" s="309"/>
      <c r="BJ75" s="309"/>
      <c r="BK75" s="309"/>
    </row>
    <row r="76" spans="1:63" s="311" customFormat="1" ht="15" customHeight="1">
      <c r="A76" s="324" t="s">
        <v>352</v>
      </c>
      <c r="B76" s="344">
        <f>'BZ by State 1st Crop'!B76+'BZ by State 2nd Crop'!B76+'BZ by State 3rd Crop'!B76</f>
        <v>1112.5999999999999</v>
      </c>
      <c r="C76" s="344">
        <f>'BZ by State 1st Crop'!C76+'BZ by State 2nd Crop'!C76+'BZ by State 3rd Crop'!C76</f>
        <v>1064</v>
      </c>
      <c r="D76" s="344">
        <f>'BZ by State 1st Crop'!D76+'BZ by State 2nd Crop'!D76+'BZ by State 3rd Crop'!D76</f>
        <v>1029</v>
      </c>
      <c r="E76" s="344">
        <f>'BZ by State 1st Crop'!E76+'BZ by State 2nd Crop'!E76+'BZ by State 3rd Crop'!E76</f>
        <v>1004.7</v>
      </c>
      <c r="F76" s="344">
        <f>'BZ by State 1st Crop'!F76+'BZ by State 2nd Crop'!F76+'BZ by State 3rd Crop'!F76</f>
        <v>1097</v>
      </c>
      <c r="G76" s="344">
        <f>'BZ by State 1st Crop'!G76+'BZ by State 2nd Crop'!G76+'BZ by State 3rd Crop'!G76</f>
        <v>1194.2</v>
      </c>
      <c r="H76" s="344">
        <f>'BZ by State 1st Crop'!H76+'BZ by State 2nd Crop'!H76+'BZ by State 3rd Crop'!H76</f>
        <v>1140.5</v>
      </c>
      <c r="I76" s="344">
        <f>'BZ by State 1st Crop'!I76+'BZ by State 2nd Crop'!I76+'BZ by State 3rd Crop'!I76</f>
        <v>1192.8</v>
      </c>
      <c r="J76" s="344">
        <f>'BZ by State 1st Crop'!J76+'BZ by State 2nd Crop'!J76+'BZ by State 3rd Crop'!J76</f>
        <v>1136.5</v>
      </c>
      <c r="K76" s="344">
        <f>'BZ by State 1st Crop'!K76+'BZ by State 2nd Crop'!K76+'BZ by State 3rd Crop'!K76</f>
        <v>1439.8</v>
      </c>
      <c r="L76" s="344">
        <f>'BZ by State 1st Crop'!L76+'BZ by State 2nd Crop'!L76+'BZ by State 3rd Crop'!L76</f>
        <v>1764.6</v>
      </c>
      <c r="M76" s="344">
        <f>'BZ by State 1st Crop'!M76+'BZ by State 2nd Crop'!M76+'BZ by State 3rd Crop'!M76</f>
        <v>1641.1999999999998</v>
      </c>
      <c r="N76" s="344">
        <f>'BZ by State 1st Crop'!N76+'BZ by State 2nd Crop'!N76+'BZ by State 3rd Crop'!N76</f>
        <v>1678.3</v>
      </c>
      <c r="O76" s="344">
        <f>'BZ by State 1st Crop'!O76+'BZ by State 2nd Crop'!O76+'BZ by State 3rd Crop'!O76</f>
        <v>1549.8</v>
      </c>
      <c r="P76" s="344">
        <f>'BZ by State 1st Crop'!P76+'BZ by State 2nd Crop'!P76+'BZ by State 3rd Crop'!P76</f>
        <v>1564</v>
      </c>
      <c r="Q76" s="344">
        <f>'BZ by State 1st Crop'!Q76+'BZ by State 2nd Crop'!Q76+'BZ by State 3rd Crop'!Q76</f>
        <v>1521.3</v>
      </c>
      <c r="R76" s="344">
        <f>'BZ by State 1st Crop'!R76+'BZ by State 2nd Crop'!R76+'BZ by State 3rd Crop'!R76</f>
        <v>1440.7</v>
      </c>
      <c r="S76" s="344">
        <f>'BZ by State 1st Crop'!S76+'BZ by State 2nd Crop'!S76+'BZ by State 3rd Crop'!S76</f>
        <v>1879.9</v>
      </c>
      <c r="T76" s="344">
        <f>'BZ by State 1st Crop'!T76+'BZ by State 2nd Crop'!T76+'BZ by State 3rd Crop'!T76</f>
        <v>1849.1</v>
      </c>
      <c r="U76" s="344">
        <f>'BZ by State 1st Crop'!U76+'BZ by State 2nd Crop'!U76+'BZ by State 3rd Crop'!U76</f>
        <v>1966.7</v>
      </c>
      <c r="V76" s="344">
        <f>'BZ by State 1st Crop'!V76+'BZ by State 2nd Crop'!V76+'BZ by State 3rd Crop'!V76</f>
        <v>2174</v>
      </c>
      <c r="W76" s="344">
        <f>'BZ by State 1st Crop'!W76+'BZ by State 2nd Crop'!W76+'BZ by State 3rd Crop'!W76</f>
        <v>1663.4</v>
      </c>
      <c r="X76" s="344">
        <f>'BZ by State 1st Crop'!X76+'BZ by State 2nd Crop'!X76+'BZ by State 3rd Crop'!X76</f>
        <v>1942</v>
      </c>
      <c r="Y76" s="344">
        <f>'BZ by State 1st Crop'!Y76+'BZ by State 2nd Crop'!Y76+'BZ by State 3rd Crop'!Y76</f>
        <v>1975.6</v>
      </c>
      <c r="Z76" s="344">
        <f>'BZ by State 1st Crop'!Z76+'BZ by State 2nd Crop'!Z76+'BZ by State 3rd Crop'!Z76</f>
        <v>2028.6</v>
      </c>
      <c r="AA76" s="344">
        <f>'BZ by State 1st Crop'!AA76+'BZ by State 2nd Crop'!AA76+'BZ by State 3rd Crop'!AA76</f>
        <v>1994.3000000000002</v>
      </c>
      <c r="AB76" s="344">
        <f>'BZ by State 1st Crop'!AB76+'BZ by State 2nd Crop'!AB76+'BZ by State 3rd Crop'!AB76</f>
        <v>2327.8000000000002</v>
      </c>
      <c r="AC76" s="344">
        <f>'BZ by State 1st Crop'!AC76+'BZ by State 2nd Crop'!AC76+'BZ by State 3rd Crop'!AC76</f>
        <v>2308.8999999999996</v>
      </c>
      <c r="AD76" s="344">
        <f>'BZ by State 1st Crop'!AD76+'BZ by State 2nd Crop'!AD76+'BZ by State 3rd Crop'!AD76</f>
        <v>2264.8000000000002</v>
      </c>
      <c r="AE76" s="344">
        <f>'BZ by State 1st Crop'!AE76+'BZ by State 2nd Crop'!AE76+'BZ by State 3rd Crop'!AE76</f>
        <v>2372.5</v>
      </c>
      <c r="AF76" s="344">
        <f>'BZ by State 1st Crop'!AF76+'BZ by State 2nd Crop'!AF76+'BZ by State 3rd Crop'!AF76</f>
        <v>3259.7</v>
      </c>
      <c r="AG76" s="344">
        <f>'BZ by State 1st Crop'!AG76+'BZ by State 2nd Crop'!AG76+'BZ by State 3rd Crop'!AG76</f>
        <v>3774.7000000000007</v>
      </c>
      <c r="AH76" s="344">
        <f>'BZ by State 1st Crop'!AH76+'BZ by State 2nd Crop'!AH76+'BZ by State 3rd Crop'!AH76</f>
        <v>3528.1000000000004</v>
      </c>
      <c r="AI76" s="344">
        <f>'BZ by State 1st Crop'!AI76+'BZ by State 2nd Crop'!AI76+'BZ by State 3rd Crop'!AI76</f>
        <v>3723.3</v>
      </c>
      <c r="AJ76" s="344">
        <f>'BZ by State 1st Crop'!AJ76+'BZ by State 2nd Crop'!AJ76+'BZ by State 3rd Crop'!AJ76</f>
        <v>3857.5</v>
      </c>
      <c r="AK76" s="344">
        <f>'BZ by State 1st Crop'!AK76+'BZ by State 2nd Crop'!AK76+'BZ by State 3rd Crop'!AK76</f>
        <v>5291.8</v>
      </c>
      <c r="AL76" s="344">
        <f>'BZ by State 1st Crop'!AL76+'BZ by State 2nd Crop'!AL76+'BZ by State 3rd Crop'!AL76</f>
        <v>6202.9000000000005</v>
      </c>
      <c r="AM76" s="344">
        <f>'BZ by State 1st Crop'!AM76+'BZ by State 2nd Crop'!AM76+'BZ by State 3rd Crop'!AM76</f>
        <v>6202.2</v>
      </c>
      <c r="AN76" s="344">
        <f>'BZ by State 1st Crop'!AN76+'BZ by State 2nd Crop'!AN76+'BZ by State 3rd Crop'!AN76</f>
        <v>6480.2</v>
      </c>
      <c r="AO76" s="344">
        <f>'BZ by State 1st Crop'!AO76+'BZ by State 2nd Crop'!AO76+'BZ by State 3rd Crop'!AO76</f>
        <v>7067.4</v>
      </c>
      <c r="AP76" s="344">
        <f>'BZ by State 1st Crop'!AP76+'BZ by State 2nd Crop'!AP76+'BZ by State 3rd Crop'!AP76</f>
        <v>8014.7</v>
      </c>
      <c r="AQ76" s="344">
        <f>'BZ by State 1st Crop'!AQ76+'BZ by State 2nd Crop'!AQ76+'BZ by State 3rd Crop'!AQ76</f>
        <v>7742.1</v>
      </c>
      <c r="AR76" s="344">
        <f>'BZ by State 1st Crop'!AR76+'BZ by State 2nd Crop'!AR76+'BZ by State 3rd Crop'!AR76</f>
        <v>8524.2000000000007</v>
      </c>
      <c r="AS76" s="344">
        <f>'BZ by State 1st Crop'!AS76+'BZ by State 2nd Crop'!AS76+'BZ by State 3rd Crop'!AS76</f>
        <v>9283.5</v>
      </c>
      <c r="AT76" s="344">
        <f>'BZ by State 1st Crop'!AT76+'BZ by State 2nd Crop'!AT76+'BZ by State 3rd Crop'!AT76</f>
        <v>9908.7999999999993</v>
      </c>
      <c r="AU76" s="344">
        <f>'BZ by State 1st Crop'!AU76+'BZ by State 2nd Crop'!AU76+'BZ by State 3rd Crop'!AU76</f>
        <v>10713.4</v>
      </c>
      <c r="AV76" s="344">
        <f>'BZ by State 1st Crop'!AV76+'BZ by State 2nd Crop'!AV76+'BZ by State 3rd Crop'!AV76</f>
        <v>11650.5</v>
      </c>
      <c r="AW76" s="344">
        <f>'BZ by State 1st Crop'!AW76+'BZ by State 2nd Crop'!AW76+'BZ by State 3rd Crop'!AW76</f>
        <v>10983</v>
      </c>
      <c r="AX76" s="344">
        <f>'BZ by State 1st Crop'!AX76+'BZ by State 2nd Crop'!AX76+'BZ by State 3rd Crop'!AX76</f>
        <v>11394.300000000001</v>
      </c>
      <c r="AY76" s="369">
        <f>'BZ by State 1st Crop'!AY76+'BZ by State 2nd Crop'!AY76+'BZ by State 3rd Crop'!AY76</f>
        <v>11878.6</v>
      </c>
      <c r="AZ76" s="366">
        <f>AZ80+AZ84+AZ88+AZ92</f>
        <v>11878.6</v>
      </c>
      <c r="BA76" s="366">
        <f>AZ76-AY76</f>
        <v>0</v>
      </c>
      <c r="BB76" s="367">
        <f>AY76-AX76</f>
        <v>484.29999999999927</v>
      </c>
      <c r="BC76" s="368">
        <f>AZ76-AX76</f>
        <v>484.29999999999927</v>
      </c>
      <c r="BD76" s="353">
        <f>(AX76/AS76)^(1/5)-1</f>
        <v>4.1825976116773411E-2</v>
      </c>
      <c r="BE76" s="309"/>
      <c r="BF76" s="319" t="b">
        <v>0</v>
      </c>
      <c r="BG76" s="308"/>
    </row>
    <row r="77" spans="1:63" s="311" customFormat="1" ht="15" customHeight="1">
      <c r="A77" s="318" t="s">
        <v>353</v>
      </c>
      <c r="B77" s="345">
        <f t="shared" ref="B77" si="773">B78/B76*1000</f>
        <v>1745.0116843429805</v>
      </c>
      <c r="C77" s="345">
        <f t="shared" ref="C77" si="774">C78/C76*1000</f>
        <v>2875.9398496240601</v>
      </c>
      <c r="D77" s="345">
        <f t="shared" ref="D77" si="775">D78/D76*1000</f>
        <v>2612.2448979591836</v>
      </c>
      <c r="E77" s="345">
        <f t="shared" ref="E77" si="776">E78/E76*1000</f>
        <v>3177.0677814272913</v>
      </c>
      <c r="F77" s="345">
        <f t="shared" ref="F77" si="777">F78/F76*1000</f>
        <v>1936.1896080218778</v>
      </c>
      <c r="G77" s="345">
        <f t="shared" ref="G77" si="778">G78/G76*1000</f>
        <v>3044.7161279517668</v>
      </c>
      <c r="H77" s="345">
        <f t="shared" ref="H77" si="779">H78/H76*1000</f>
        <v>999.56159579131963</v>
      </c>
      <c r="I77" s="345">
        <f t="shared" ref="I77" si="780">I78/I76*1000</f>
        <v>3299.7987927565396</v>
      </c>
      <c r="J77" s="345">
        <f t="shared" ref="J77" si="781">J78/J76*1000</f>
        <v>1330.400351957765</v>
      </c>
      <c r="K77" s="345">
        <f t="shared" ref="K77" si="782">K78/K76*1000</f>
        <v>2417.0023614390889</v>
      </c>
      <c r="L77" s="345">
        <f t="shared" ref="L77" si="783">L78/L76*1000</f>
        <v>788.84733083985043</v>
      </c>
      <c r="M77" s="345">
        <f t="shared" ref="M77" si="784">M78/M76*1000</f>
        <v>2522.5444796490378</v>
      </c>
      <c r="N77" s="345">
        <f t="shared" ref="N77" si="785">N78/N76*1000</f>
        <v>2445.3315855329797</v>
      </c>
      <c r="O77" s="345">
        <f t="shared" ref="O77" si="786">O78/O76*1000</f>
        <v>1339.5276809910956</v>
      </c>
      <c r="P77" s="345">
        <f t="shared" ref="P77" si="787">P78/P76*1000</f>
        <v>2721.4833759590792</v>
      </c>
      <c r="Q77" s="345">
        <f t="shared" ref="Q77" si="788">Q78/Q76*1000</f>
        <v>1871.0313547623741</v>
      </c>
      <c r="R77" s="345">
        <f t="shared" ref="R77" si="789">R78/R76*1000</f>
        <v>1644.200735753453</v>
      </c>
      <c r="S77" s="345">
        <f t="shared" ref="S77" si="790">S78/S76*1000</f>
        <v>2636.9487738709508</v>
      </c>
      <c r="T77" s="345">
        <f t="shared" ref="T77" si="791">T78/T76*1000</f>
        <v>2741.874425396139</v>
      </c>
      <c r="U77" s="345">
        <f t="shared" ref="U77" si="792">U78/U76*1000</f>
        <v>2776.2241317943763</v>
      </c>
      <c r="V77" s="345">
        <f t="shared" ref="V77" si="793">V78/V76*1000</f>
        <v>2002.0239190432383</v>
      </c>
      <c r="W77" s="345">
        <f t="shared" ref="W77" si="794">W78/W76*1000</f>
        <v>1514.2479259348322</v>
      </c>
      <c r="X77" s="345">
        <f t="shared" ref="X77" si="795">X78/X76*1000</f>
        <v>1817.3017507723996</v>
      </c>
      <c r="Y77" s="345">
        <f t="shared" ref="Y77" si="796">Y78/Y76*1000</f>
        <v>1904.8390362421546</v>
      </c>
      <c r="Z77" s="345">
        <f t="shared" ref="Z77" si="797">Z78/Z76*1000</f>
        <v>1833.7769890564923</v>
      </c>
      <c r="AA77" s="345">
        <f t="shared" ref="AA77" si="798">AA78/AA76*1000</f>
        <v>1952.5648097076667</v>
      </c>
      <c r="AB77" s="345">
        <f t="shared" ref="AB77" si="799">AB78/AB76*1000</f>
        <v>2135.2349858235243</v>
      </c>
      <c r="AC77" s="345">
        <f t="shared" ref="AC77" si="800">AC78/AC76*1000</f>
        <v>2236.9093507730954</v>
      </c>
      <c r="AD77" s="345">
        <f t="shared" ref="AD77" si="801">AD78/AD76*1000</f>
        <v>2146.4146944542567</v>
      </c>
      <c r="AE77" s="345">
        <f t="shared" ref="AE77" si="802">AE78/AE76*1000</f>
        <v>2146.5964172813483</v>
      </c>
      <c r="AF77" s="345">
        <f t="shared" ref="AF77" si="803">AF78/AF76*1000</f>
        <v>1645.9183360431944</v>
      </c>
      <c r="AG77" s="345">
        <f t="shared" ref="AG77" si="804">AG78/AG76*1000</f>
        <v>1559.0113121572572</v>
      </c>
      <c r="AH77" s="345">
        <f t="shared" ref="AH77" si="805">AH78/AH76*1000</f>
        <v>1714.5772512117003</v>
      </c>
      <c r="AI77" s="345">
        <f t="shared" ref="AI77" si="806">AI78/AI76*1000</f>
        <v>1811.6187253243093</v>
      </c>
      <c r="AJ77" s="345">
        <f t="shared" ref="AJ77" si="807">AJ78/AJ76*1000</f>
        <v>2736.5910563836687</v>
      </c>
      <c r="AK77" s="345">
        <f t="shared" ref="AK77" si="808">AK78/AK76*1000</f>
        <v>1659.019615253789</v>
      </c>
      <c r="AL77" s="345">
        <f t="shared" ref="AL77" si="809">AL78/AL76*1000</f>
        <v>2533.1377259024002</v>
      </c>
      <c r="AM77" s="345">
        <f t="shared" ref="AM77" si="810">AM78/AM76*1000</f>
        <v>3339.266711811938</v>
      </c>
      <c r="AN77" s="345">
        <f t="shared" ref="AN77" si="811">AN78/AN76*1000</f>
        <v>2720.6567698527829</v>
      </c>
      <c r="AO77" s="345">
        <f t="shared" ref="AO77" si="812">AO78/AO76*1000</f>
        <v>1484.676118516003</v>
      </c>
      <c r="AP77" s="345">
        <f t="shared" ref="AP77" si="813">AP78/AP76*1000</f>
        <v>2922.4799431045458</v>
      </c>
      <c r="AQ77" s="345">
        <f t="shared" ref="AQ77" si="814">AQ78/AQ76*1000</f>
        <v>2920.1379470686247</v>
      </c>
      <c r="AR77" s="345">
        <f t="shared" ref="AR77" si="815">AR78/AR76*1000</f>
        <v>2523.4039557964379</v>
      </c>
      <c r="AS77" s="345">
        <f t="shared" ref="AS77" si="816">AS78/AS76*1000</f>
        <v>2838.9723703344644</v>
      </c>
      <c r="AT77" s="345">
        <f t="shared" ref="AT77" si="817">AT78/AT76*1000</f>
        <v>4891.6242027288881</v>
      </c>
      <c r="AU77" s="345">
        <f t="shared" ref="AU77" si="818">AU78/AU76*1000</f>
        <v>5993.44272593201</v>
      </c>
      <c r="AV77" s="345">
        <f t="shared" ref="AV77" si="819">AV78/AV76*1000</f>
        <v>6640.8809750654473</v>
      </c>
      <c r="AW77" s="345">
        <f t="shared" ref="AW77" si="820">AW78/AW76*1000</f>
        <v>6242.3043066557411</v>
      </c>
      <c r="AX77" s="345">
        <f t="shared" ref="AX77" si="821">AX78/AX76*1000</f>
        <v>7329.9696427160943</v>
      </c>
      <c r="AY77" s="346">
        <f t="shared" ref="AY77" si="822">AY78/AY76*1000</f>
        <v>6854.4824979374662</v>
      </c>
      <c r="AZ77" s="347">
        <f>AZ78/AZ76*1000</f>
        <v>6719.5203390972001</v>
      </c>
      <c r="BA77" s="347">
        <f>AZ77-AY77</f>
        <v>-134.96215884026606</v>
      </c>
      <c r="BB77" s="351">
        <f>AY77-AX77</f>
        <v>-475.48714477862814</v>
      </c>
      <c r="BC77" s="352">
        <f>AZ77-AX77</f>
        <v>-610.44930361889419</v>
      </c>
      <c r="BD77" s="353">
        <f t="shared" ref="BD77:BD78" si="823">(AX77/AS77)^(1/5)-1</f>
        <v>0.20889394414851692</v>
      </c>
      <c r="BE77" s="309"/>
      <c r="BF77"/>
      <c r="BG77" s="308"/>
      <c r="BH77" s="309"/>
      <c r="BI77" s="309"/>
      <c r="BJ77" s="309"/>
      <c r="BK77" s="309"/>
    </row>
    <row r="78" spans="1:63" s="311" customFormat="1" ht="15" customHeight="1">
      <c r="A78" s="318" t="s">
        <v>354</v>
      </c>
      <c r="B78" s="344">
        <f>'BZ by State 1st Crop'!B78+'BZ by State 2nd Crop'!B78+'BZ by State 3rd Crop'!B78</f>
        <v>1941.5</v>
      </c>
      <c r="C78" s="344">
        <f>'BZ by State 1st Crop'!C78+'BZ by State 2nd Crop'!C78+'BZ by State 3rd Crop'!C78</f>
        <v>3060</v>
      </c>
      <c r="D78" s="344">
        <f>'BZ by State 1st Crop'!D78+'BZ by State 2nd Crop'!D78+'BZ by State 3rd Crop'!D78</f>
        <v>2688</v>
      </c>
      <c r="E78" s="344">
        <f>'BZ by State 1st Crop'!E78+'BZ by State 2nd Crop'!E78+'BZ by State 3rd Crop'!E78</f>
        <v>3192</v>
      </c>
      <c r="F78" s="344">
        <f>'BZ by State 1st Crop'!F78+'BZ by State 2nd Crop'!F78+'BZ by State 3rd Crop'!F78</f>
        <v>2124</v>
      </c>
      <c r="G78" s="344">
        <f>'BZ by State 1st Crop'!G78+'BZ by State 2nd Crop'!G78+'BZ by State 3rd Crop'!G78</f>
        <v>3636</v>
      </c>
      <c r="H78" s="344">
        <f>'BZ by State 1st Crop'!H78+'BZ by State 2nd Crop'!H78+'BZ by State 3rd Crop'!H78</f>
        <v>1140</v>
      </c>
      <c r="I78" s="344">
        <f>'BZ by State 1st Crop'!I78+'BZ by State 2nd Crop'!I78+'BZ by State 3rd Crop'!I78</f>
        <v>3936</v>
      </c>
      <c r="J78" s="344">
        <f>'BZ by State 1st Crop'!J78+'BZ by State 2nd Crop'!J78+'BZ by State 3rd Crop'!J78</f>
        <v>1512</v>
      </c>
      <c r="K78" s="344">
        <f>'BZ by State 1st Crop'!K78+'BZ by State 2nd Crop'!K78+'BZ by State 3rd Crop'!K78</f>
        <v>3480</v>
      </c>
      <c r="L78" s="344">
        <f>'BZ by State 1st Crop'!L78+'BZ by State 2nd Crop'!L78+'BZ by State 3rd Crop'!L78</f>
        <v>1392</v>
      </c>
      <c r="M78" s="344">
        <f>'BZ by State 1st Crop'!M78+'BZ by State 2nd Crop'!M78+'BZ by State 3rd Crop'!M78</f>
        <v>4140</v>
      </c>
      <c r="N78" s="344">
        <f>'BZ by State 1st Crop'!N78+'BZ by State 2nd Crop'!N78+'BZ by State 3rd Crop'!N78</f>
        <v>4104</v>
      </c>
      <c r="O78" s="344">
        <f>'BZ by State 1st Crop'!O78+'BZ by State 2nd Crop'!O78+'BZ by State 3rd Crop'!O78</f>
        <v>2076</v>
      </c>
      <c r="P78" s="344">
        <f>'BZ by State 1st Crop'!P78+'BZ by State 2nd Crop'!P78+'BZ by State 3rd Crop'!P78</f>
        <v>4256.3999999999996</v>
      </c>
      <c r="Q78" s="344">
        <f>'BZ by State 1st Crop'!Q78+'BZ by State 2nd Crop'!Q78+'BZ by State 3rd Crop'!Q78</f>
        <v>2846.3999999999996</v>
      </c>
      <c r="R78" s="344">
        <f>'BZ by State 1st Crop'!R78+'BZ by State 2nd Crop'!R78+'BZ by State 3rd Crop'!R78</f>
        <v>2368.8000000000002</v>
      </c>
      <c r="S78" s="344">
        <f>'BZ by State 1st Crop'!S78+'BZ by State 2nd Crop'!S78+'BZ by State 3rd Crop'!S78</f>
        <v>4957.2000000000007</v>
      </c>
      <c r="T78" s="344">
        <f>'BZ by State 1st Crop'!T78+'BZ by State 2nd Crop'!T78+'BZ by State 3rd Crop'!T78</f>
        <v>5070</v>
      </c>
      <c r="U78" s="344">
        <f>'BZ by State 1st Crop'!U78+'BZ by State 2nd Crop'!U78+'BZ by State 3rd Crop'!U78</f>
        <v>5460</v>
      </c>
      <c r="V78" s="344">
        <f>'BZ by State 1st Crop'!V78+'BZ by State 2nd Crop'!V78+'BZ by State 3rd Crop'!V78</f>
        <v>4352.3999999999996</v>
      </c>
      <c r="W78" s="344">
        <f>'BZ by State 1st Crop'!W78+'BZ by State 2nd Crop'!W78+'BZ by State 3rd Crop'!W78</f>
        <v>2518.8000000000002</v>
      </c>
      <c r="X78" s="344">
        <f>'BZ by State 1st Crop'!X78+'BZ by State 2nd Crop'!X78+'BZ by State 3rd Crop'!X78</f>
        <v>3529.2000000000003</v>
      </c>
      <c r="Y78" s="344">
        <f>'BZ by State 1st Crop'!Y78+'BZ by State 2nd Crop'!Y78+'BZ by State 3rd Crop'!Y78</f>
        <v>3763.2000000000003</v>
      </c>
      <c r="Z78" s="344">
        <f>'BZ by State 1st Crop'!Z78+'BZ by State 2nd Crop'!Z78+'BZ by State 3rd Crop'!Z78</f>
        <v>3720</v>
      </c>
      <c r="AA78" s="344">
        <f>'BZ by State 1st Crop'!AA78+'BZ by State 2nd Crop'!AA78+'BZ by State 3rd Crop'!AA78</f>
        <v>3894</v>
      </c>
      <c r="AB78" s="344">
        <f>'BZ by State 1st Crop'!AB78+'BZ by State 2nd Crop'!AB78+'BZ by State 3rd Crop'!AB78</f>
        <v>4970.3999999999996</v>
      </c>
      <c r="AC78" s="344">
        <f>'BZ by State 1st Crop'!AC78+'BZ by State 2nd Crop'!AC78+'BZ by State 3rd Crop'!AC78</f>
        <v>5164.7999999999993</v>
      </c>
      <c r="AD78" s="344">
        <f>'BZ by State 1st Crop'!AD78+'BZ by State 2nd Crop'!AD78+'BZ by State 3rd Crop'!AD78</f>
        <v>4861.2000000000007</v>
      </c>
      <c r="AE78" s="344">
        <f>'BZ by State 1st Crop'!AE78+'BZ by State 2nd Crop'!AE78+'BZ by State 3rd Crop'!AE78</f>
        <v>5092.7999999999993</v>
      </c>
      <c r="AF78" s="344">
        <f>'BZ by State 1st Crop'!AF78+'BZ by State 2nd Crop'!AF78+'BZ by State 3rd Crop'!AF78</f>
        <v>5365.2000000000007</v>
      </c>
      <c r="AG78" s="344">
        <f>'BZ by State 1st Crop'!AG78+'BZ by State 2nd Crop'!AG78+'BZ by State 3rd Crop'!AG78</f>
        <v>5884.7999999999993</v>
      </c>
      <c r="AH78" s="344">
        <f>'BZ by State 1st Crop'!AH78+'BZ by State 2nd Crop'!AH78+'BZ by State 3rd Crop'!AH78</f>
        <v>6049.2000000000007</v>
      </c>
      <c r="AI78" s="344">
        <f>'BZ by State 1st Crop'!AI78+'BZ by State 2nd Crop'!AI78+'BZ by State 3rd Crop'!AI78</f>
        <v>6745.2000000000007</v>
      </c>
      <c r="AJ78" s="344">
        <f>'BZ by State 1st Crop'!AJ78+'BZ by State 2nd Crop'!AJ78+'BZ by State 3rd Crop'!AJ78</f>
        <v>10556.400000000001</v>
      </c>
      <c r="AK78" s="344">
        <f>'BZ by State 1st Crop'!AK78+'BZ by State 2nd Crop'!AK78+'BZ by State 3rd Crop'!AK78</f>
        <v>8779.2000000000007</v>
      </c>
      <c r="AL78" s="344">
        <f>'BZ by State 1st Crop'!AL78+'BZ by State 2nd Crop'!AL78+'BZ by State 3rd Crop'!AL78</f>
        <v>15712.800000000001</v>
      </c>
      <c r="AM78" s="344">
        <f>'BZ by State 1st Crop'!AM78+'BZ by State 2nd Crop'!AM78+'BZ by State 3rd Crop'!AM78</f>
        <v>20710.800000000003</v>
      </c>
      <c r="AN78" s="344">
        <f>'BZ by State 1st Crop'!AN78+'BZ by State 2nd Crop'!AN78+'BZ by State 3rd Crop'!AN78</f>
        <v>17630.400000000001</v>
      </c>
      <c r="AO78" s="344">
        <f>'BZ by State 1st Crop'!AO78+'BZ by State 2nd Crop'!AO78+'BZ by State 3rd Crop'!AO78</f>
        <v>10492.8</v>
      </c>
      <c r="AP78" s="344">
        <f>'BZ by State 1st Crop'!AP78+'BZ by State 2nd Crop'!AP78+'BZ by State 3rd Crop'!AP78</f>
        <v>23422.800000000003</v>
      </c>
      <c r="AQ78" s="344">
        <f>'BZ by State 1st Crop'!AQ78+'BZ by State 2nd Crop'!AQ78+'BZ by State 3rd Crop'!AQ78</f>
        <v>22608</v>
      </c>
      <c r="AR78" s="344">
        <f>'BZ by State 1st Crop'!AR78+'BZ by State 2nd Crop'!AR78+'BZ by State 3rd Crop'!AR78</f>
        <v>21510</v>
      </c>
      <c r="AS78" s="344">
        <f>'BZ by State 1st Crop'!AS78+'BZ by State 2nd Crop'!AS78+'BZ by State 3rd Crop'!AS78</f>
        <v>26355.600000000002</v>
      </c>
      <c r="AT78" s="344">
        <f>'BZ by State 1st Crop'!AT78+'BZ by State 2nd Crop'!AT78+'BZ by State 3rd Crop'!AT78</f>
        <v>48470.125899999999</v>
      </c>
      <c r="AU78" s="344">
        <f>'BZ by State 1st Crop'!AU78+'BZ by State 2nd Crop'!AU78+'BZ by State 3rd Crop'!AU78</f>
        <v>64210.149299999997</v>
      </c>
      <c r="AV78" s="344">
        <f>'BZ by State 1st Crop'!AV78+'BZ by State 2nd Crop'!AV78+'BZ by State 3rd Crop'!AV78</f>
        <v>77369.583799999993</v>
      </c>
      <c r="AW78" s="344">
        <f>'BZ by State 1st Crop'!AW78+'BZ by State 2nd Crop'!AW78+'BZ by State 3rd Crop'!AW78</f>
        <v>68559.228200000012</v>
      </c>
      <c r="AX78" s="344">
        <f>'BZ by State 1st Crop'!AX78+'BZ by State 2nd Crop'!AX78+'BZ by State 3rd Crop'!AX78</f>
        <v>83519.873099999997</v>
      </c>
      <c r="AY78" s="365">
        <f>'BZ by State 1st Crop'!AY78+'BZ by State 2nd Crop'!AY78+'BZ by State 3rd Crop'!AY78</f>
        <v>81421.655799999993</v>
      </c>
      <c r="AZ78" s="366">
        <f>AZ82+AZ86+AZ90+AZ94</f>
        <v>79818.494300000006</v>
      </c>
      <c r="BA78" s="366">
        <f>AZ78-AY78</f>
        <v>-1603.1614999999874</v>
      </c>
      <c r="BB78" s="367">
        <f>AY78-AX78</f>
        <v>-2098.2173000000039</v>
      </c>
      <c r="BC78" s="368">
        <f>AZ78-AX78</f>
        <v>-3701.3787999999913</v>
      </c>
      <c r="BD78" s="353">
        <f t="shared" si="823"/>
        <v>0.25945711338418453</v>
      </c>
      <c r="BE78" s="309"/>
      <c r="BF78"/>
      <c r="BG78" s="308"/>
    </row>
    <row r="79" spans="1:63" ht="15" customHeight="1">
      <c r="A79" s="320" t="s">
        <v>373</v>
      </c>
      <c r="B79" s="356"/>
      <c r="C79" s="356"/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356"/>
      <c r="AB79" s="356"/>
      <c r="AC79" s="356"/>
      <c r="AD79" s="356"/>
      <c r="AE79" s="356"/>
      <c r="AF79" s="356"/>
      <c r="AG79" s="356"/>
      <c r="AH79" s="356"/>
      <c r="AI79" s="356"/>
      <c r="AJ79" s="356"/>
      <c r="AK79" s="356"/>
      <c r="AL79" s="356"/>
      <c r="AM79" s="356"/>
      <c r="AN79" s="356"/>
      <c r="AO79" s="356"/>
      <c r="AP79" s="356"/>
      <c r="AQ79" s="356"/>
      <c r="AR79" s="356"/>
      <c r="AS79" s="356"/>
      <c r="AT79" s="328"/>
      <c r="AU79" s="328"/>
      <c r="AV79" s="328"/>
      <c r="AW79" s="328"/>
      <c r="AX79" s="328"/>
      <c r="AY79" s="321"/>
      <c r="AZ79" s="328"/>
      <c r="BA79" s="329"/>
      <c r="BB79" s="321"/>
      <c r="BC79" s="328"/>
      <c r="BD79" s="329"/>
    </row>
    <row r="80" spans="1:63" ht="15" customHeight="1">
      <c r="A80" s="324" t="s">
        <v>352</v>
      </c>
      <c r="B80" s="344">
        <f>'BZ by State 1st Crop'!B80+'BZ by State 2nd Crop'!B80+'BZ by State 3rd Crop'!B80</f>
        <v>247.3</v>
      </c>
      <c r="C80" s="344">
        <f>'BZ by State 1st Crop'!C80+'BZ by State 2nd Crop'!C80+'BZ by State 3rd Crop'!C80</f>
        <v>179</v>
      </c>
      <c r="D80" s="344">
        <f>'BZ by State 1st Crop'!D80+'BZ by State 2nd Crop'!D80+'BZ by State 3rd Crop'!D80</f>
        <v>76</v>
      </c>
      <c r="E80" s="344">
        <f>'BZ by State 1st Crop'!E80+'BZ by State 2nd Crop'!E80+'BZ by State 3rd Crop'!E80</f>
        <v>86</v>
      </c>
      <c r="F80" s="344">
        <f>'BZ by State 1st Crop'!F80+'BZ by State 2nd Crop'!F80+'BZ by State 3rd Crop'!F80</f>
        <v>110</v>
      </c>
      <c r="G80" s="344">
        <f>'BZ by State 1st Crop'!G80+'BZ by State 2nd Crop'!G80+'BZ by State 3rd Crop'!G80</f>
        <v>158</v>
      </c>
      <c r="H80" s="344">
        <f>'BZ by State 1st Crop'!H80+'BZ by State 2nd Crop'!H80+'BZ by State 3rd Crop'!H80</f>
        <v>197.5</v>
      </c>
      <c r="I80" s="344">
        <f>'BZ by State 1st Crop'!I80+'BZ by State 2nd Crop'!I80+'BZ by State 3rd Crop'!I80</f>
        <v>217.3</v>
      </c>
      <c r="J80" s="344">
        <f>'BZ by State 1st Crop'!J80+'BZ by State 2nd Crop'!J80+'BZ by State 3rd Crop'!J80</f>
        <v>236</v>
      </c>
      <c r="K80" s="344">
        <f>'BZ by State 1st Crop'!K80+'BZ by State 2nd Crop'!K80+'BZ by State 3rd Crop'!K80</f>
        <v>275</v>
      </c>
      <c r="L80" s="344">
        <f>'BZ by State 1st Crop'!L80+'BZ by State 2nd Crop'!L80+'BZ by State 3rd Crop'!L80</f>
        <v>310</v>
      </c>
      <c r="M80" s="344">
        <f>'BZ by State 1st Crop'!M80+'BZ by State 2nd Crop'!M80+'BZ by State 3rd Crop'!M80</f>
        <v>353.4</v>
      </c>
      <c r="N80" s="344">
        <f>'BZ by State 1st Crop'!N80+'BZ by State 2nd Crop'!N80+'BZ by State 3rd Crop'!N80</f>
        <v>352</v>
      </c>
      <c r="O80" s="344">
        <f>'BZ by State 1st Crop'!O80+'BZ by State 2nd Crop'!O80+'BZ by State 3rd Crop'!O80</f>
        <v>320</v>
      </c>
      <c r="P80" s="344">
        <f>'BZ by State 1st Crop'!P80+'BZ by State 2nd Crop'!P80+'BZ by State 3rd Crop'!P80</f>
        <v>290</v>
      </c>
      <c r="Q80" s="344">
        <f>'BZ by State 1st Crop'!Q80+'BZ by State 2nd Crop'!Q80+'BZ by State 3rd Crop'!Q80</f>
        <v>305</v>
      </c>
      <c r="R80" s="344">
        <f>'BZ by State 1st Crop'!R80+'BZ by State 2nd Crop'!R80+'BZ by State 3rd Crop'!R80</f>
        <v>363.4</v>
      </c>
      <c r="S80" s="344">
        <f>'BZ by State 1st Crop'!S80+'BZ by State 2nd Crop'!S80+'BZ by State 3rd Crop'!S80</f>
        <v>449.7</v>
      </c>
      <c r="T80" s="344">
        <f>'BZ by State 1st Crop'!T80+'BZ by State 2nd Crop'!T80+'BZ by State 3rd Crop'!T80</f>
        <v>455</v>
      </c>
      <c r="U80" s="344">
        <f>'BZ by State 1st Crop'!U80+'BZ by State 2nd Crop'!U80+'BZ by State 3rd Crop'!U80</f>
        <v>562.1</v>
      </c>
      <c r="V80" s="344">
        <f>'BZ by State 1st Crop'!V80+'BZ by State 2nd Crop'!V80+'BZ by State 3rd Crop'!V80</f>
        <v>631.70000000000005</v>
      </c>
      <c r="W80" s="344">
        <f>'BZ by State 1st Crop'!W80+'BZ by State 2nd Crop'!W80+'BZ by State 3rd Crop'!W80</f>
        <v>528.4</v>
      </c>
      <c r="X80" s="344">
        <f>'BZ by State 1st Crop'!X80+'BZ by State 2nd Crop'!X80+'BZ by State 3rd Crop'!X80</f>
        <v>553.90000000000009</v>
      </c>
      <c r="Y80" s="344">
        <f>'BZ by State 1st Crop'!Y80+'BZ by State 2nd Crop'!Y80+'BZ by State 3rd Crop'!Y80</f>
        <v>557.5</v>
      </c>
      <c r="Z80" s="344">
        <f>'BZ by State 1st Crop'!Z80+'BZ by State 2nd Crop'!Z80+'BZ by State 3rd Crop'!Z80</f>
        <v>542.9</v>
      </c>
      <c r="AA80" s="344">
        <f>'BZ by State 1st Crop'!AA80+'BZ by State 2nd Crop'!AA80+'BZ by State 3rd Crop'!AA80</f>
        <v>738.6</v>
      </c>
      <c r="AB80" s="344">
        <f>'BZ by State 1st Crop'!AB80+'BZ by State 2nd Crop'!AB80+'BZ by State 3rd Crop'!AB80</f>
        <v>879.3</v>
      </c>
      <c r="AC80" s="344">
        <f>'BZ by State 1st Crop'!AC80+'BZ by State 2nd Crop'!AC80+'BZ by State 3rd Crop'!AC80</f>
        <v>970.9</v>
      </c>
      <c r="AD80" s="344">
        <f>'BZ by State 1st Crop'!AD80+'BZ by State 2nd Crop'!AD80+'BZ by State 3rd Crop'!AD80</f>
        <v>1058.7</v>
      </c>
      <c r="AE80" s="344">
        <f>'BZ by State 1st Crop'!AE80+'BZ by State 2nd Crop'!AE80+'BZ by State 3rd Crop'!AE80</f>
        <v>1046.8</v>
      </c>
      <c r="AF80" s="344">
        <f>'BZ by State 1st Crop'!AF80+'BZ by State 2nd Crop'!AF80+'BZ by State 3rd Crop'!AF80</f>
        <v>1592.3</v>
      </c>
      <c r="AG80" s="344">
        <f>'BZ by State 1st Crop'!AG80+'BZ by State 2nd Crop'!AG80+'BZ by State 3rd Crop'!AG80</f>
        <v>1834.6</v>
      </c>
      <c r="AH80" s="344">
        <f>'BZ by State 1st Crop'!AH80+'BZ by State 2nd Crop'!AH80+'BZ by State 3rd Crop'!AH80</f>
        <v>1640.6</v>
      </c>
      <c r="AI80" s="344">
        <f>'BZ by State 1st Crop'!AI80+'BZ by State 2nd Crop'!AI80+'BZ by State 3rd Crop'!AI80</f>
        <v>1990.1000000000001</v>
      </c>
      <c r="AJ80" s="344">
        <f>'BZ by State 1st Crop'!AJ80+'BZ by State 2nd Crop'!AJ80+'BZ by State 3rd Crop'!AJ80</f>
        <v>1898.3999999999999</v>
      </c>
      <c r="AK80" s="344">
        <f>'BZ by State 1st Crop'!AK80+'BZ by State 2nd Crop'!AK80+'BZ by State 3rd Crop'!AK80</f>
        <v>2739.9</v>
      </c>
      <c r="AL80" s="344">
        <f>'BZ by State 1st Crop'!AL80+'BZ by State 2nd Crop'!AL80+'BZ by State 3rd Crop'!AL80</f>
        <v>3424.7</v>
      </c>
      <c r="AM80" s="344">
        <f>'BZ by State 1st Crop'!AM80+'BZ by State 2nd Crop'!AM80+'BZ by State 3rd Crop'!AM80</f>
        <v>3298.2</v>
      </c>
      <c r="AN80" s="344">
        <f>'BZ by State 1st Crop'!AN80+'BZ by State 2nd Crop'!AN80+'BZ by State 3rd Crop'!AN80</f>
        <v>3416.5</v>
      </c>
      <c r="AO80" s="344">
        <f>'BZ by State 1st Crop'!AO80+'BZ by State 2nd Crop'!AO80+'BZ by State 3rd Crop'!AO80</f>
        <v>3800.1</v>
      </c>
      <c r="AP80" s="344">
        <f>'BZ by State 1st Crop'!AP80+'BZ by State 2nd Crop'!AP80+'BZ by State 3rd Crop'!AP80</f>
        <v>4639.0999999999995</v>
      </c>
      <c r="AQ80" s="344">
        <f>'BZ by State 1st Crop'!AQ80+'BZ by State 2nd Crop'!AQ80+'BZ by State 3rd Crop'!AQ80</f>
        <v>4498.3999999999996</v>
      </c>
      <c r="AR80" s="344">
        <f>'BZ by State 1st Crop'!AR80+'BZ by State 2nd Crop'!AR80+'BZ by State 3rd Crop'!AR80</f>
        <v>4906.4000000000005</v>
      </c>
      <c r="AS80" s="344">
        <f>'BZ by State 1st Crop'!AS80+'BZ by State 2nd Crop'!AS80+'BZ by State 3rd Crop'!AS80</f>
        <v>5455.5999999999995</v>
      </c>
      <c r="AT80" s="344">
        <f>'BZ by State 1st Crop'!AT80+'BZ by State 2nd Crop'!AT80+'BZ by State 3rd Crop'!AT80</f>
        <v>5884.3</v>
      </c>
      <c r="AU80" s="344">
        <f>'BZ by State 1st Crop'!AU80+'BZ by State 2nd Crop'!AU80+'BZ by State 3rd Crop'!AU80</f>
        <v>6547.4000000000005</v>
      </c>
      <c r="AV80" s="344">
        <f>'BZ by State 1st Crop'!AV80+'BZ by State 2nd Crop'!AV80+'BZ by State 3rd Crop'!AV80</f>
        <v>7428.1</v>
      </c>
      <c r="AW80" s="344">
        <f>'BZ by State 1st Crop'!AW80+'BZ by State 2nd Crop'!AW80+'BZ by State 3rd Crop'!AW80</f>
        <v>7055</v>
      </c>
      <c r="AX80" s="344">
        <f>'BZ by State 1st Crop'!AX80+'BZ by State 2nd Crop'!AX80+'BZ by State 3rd Crop'!AX80</f>
        <v>7287.4</v>
      </c>
      <c r="AY80" s="369">
        <f>'BZ by State 1st Crop'!AY80+'BZ by State 2nd Crop'!AY80+'BZ by State 3rd Crop'!AY80</f>
        <v>7566</v>
      </c>
      <c r="AZ80" s="366">
        <f>'BZ by State 1st Crop'!AZ80+'BZ by State 2nd Crop'!AZ80+'BZ by State 3rd Crop'!AZ80</f>
        <v>7566</v>
      </c>
      <c r="BA80" s="366">
        <f>AZ80-AY80</f>
        <v>0</v>
      </c>
      <c r="BB80" s="367">
        <f>AY80-AX80</f>
        <v>278.60000000000036</v>
      </c>
      <c r="BC80" s="368">
        <f>AZ80-AX80</f>
        <v>278.60000000000036</v>
      </c>
      <c r="BD80" s="353">
        <f>(AX80/AS80)^(1/5)-1</f>
        <v>5.9609924960702276E-2</v>
      </c>
      <c r="BF80" s="319" t="b">
        <v>0</v>
      </c>
      <c r="BH80" s="311"/>
      <c r="BI80" s="311"/>
      <c r="BJ80" s="311"/>
      <c r="BK80" s="311"/>
    </row>
    <row r="81" spans="1:63" ht="15" customHeight="1">
      <c r="A81" s="324" t="s">
        <v>353</v>
      </c>
      <c r="B81" s="345">
        <f t="shared" ref="B81" si="824">B82/B80*1000</f>
        <v>1558.0266882329154</v>
      </c>
      <c r="C81" s="345">
        <f t="shared" ref="C81" si="825">C82/C80*1000</f>
        <v>4273.7430167597759</v>
      </c>
      <c r="D81" s="345">
        <f t="shared" ref="D81" si="826">D82/D80*1000</f>
        <v>8842.105263157895</v>
      </c>
      <c r="E81" s="345">
        <f t="shared" ref="E81" si="827">E82/E80*1000</f>
        <v>9279.0697674418607</v>
      </c>
      <c r="F81" s="345">
        <f t="shared" ref="F81" si="828">F82/F80*1000</f>
        <v>4827.272727272727</v>
      </c>
      <c r="G81" s="345">
        <f t="shared" ref="G81" si="829">G82/G80*1000</f>
        <v>5753.164556962025</v>
      </c>
      <c r="H81" s="345">
        <f t="shared" ref="H81" si="830">H82/H80*1000</f>
        <v>1443.0379746835442</v>
      </c>
      <c r="I81" s="345">
        <f t="shared" ref="I81" si="831">I82/I80*1000</f>
        <v>4528.3018867924529</v>
      </c>
      <c r="J81" s="345">
        <f t="shared" ref="J81" si="832">J82/J80*1000</f>
        <v>1601.6949152542372</v>
      </c>
      <c r="K81" s="345">
        <f t="shared" ref="K81" si="833">K82/K80*1000</f>
        <v>3163.6363636363635</v>
      </c>
      <c r="L81" s="345">
        <f t="shared" ref="L81" si="834">L82/L80*1000</f>
        <v>1122.5806451612902</v>
      </c>
      <c r="M81" s="345">
        <f t="shared" ref="M81" si="835">M82/M80*1000</f>
        <v>2928.6926994906621</v>
      </c>
      <c r="N81" s="345">
        <f t="shared" ref="N81" si="836">N82/N80*1000</f>
        <v>2914.772727272727</v>
      </c>
      <c r="O81" s="345">
        <f t="shared" ref="O81" si="837">O82/O80*1000</f>
        <v>1621.875</v>
      </c>
      <c r="P81" s="345">
        <f t="shared" ref="P81" si="838">P82/P80*1000</f>
        <v>3669.3103448275861</v>
      </c>
      <c r="Q81" s="345">
        <f t="shared" ref="Q81" si="839">Q82/Q80*1000</f>
        <v>2333.1147540983602</v>
      </c>
      <c r="R81" s="345">
        <f t="shared" ref="R81" si="840">R82/R80*1000</f>
        <v>1629.6092460099067</v>
      </c>
      <c r="S81" s="345">
        <f t="shared" ref="S81" si="841">S82/S80*1000</f>
        <v>2755.8372248165451</v>
      </c>
      <c r="T81" s="345">
        <f t="shared" ref="T81" si="842">T82/T80*1000</f>
        <v>2785.7142857142858</v>
      </c>
      <c r="U81" s="345">
        <f t="shared" ref="U81" si="843">U82/U80*1000</f>
        <v>2428.3935242839352</v>
      </c>
      <c r="V81" s="345">
        <f t="shared" ref="V81" si="844">V82/V80*1000</f>
        <v>1722.4948551527621</v>
      </c>
      <c r="W81" s="345">
        <f t="shared" ref="W81" si="845">W82/W80*1000</f>
        <v>1191.7108251324755</v>
      </c>
      <c r="X81" s="345">
        <f t="shared" ref="X81" si="846">X82/X80*1000</f>
        <v>1592.8868026719622</v>
      </c>
      <c r="Y81" s="345">
        <f t="shared" ref="Y81" si="847">Y82/Y80*1000</f>
        <v>1687.5336322869955</v>
      </c>
      <c r="Z81" s="345">
        <f t="shared" ref="Z81" si="848">Z82/Z80*1000</f>
        <v>1713.022656106097</v>
      </c>
      <c r="AA81" s="345">
        <f t="shared" ref="AA81" si="849">AA82/AA80*1000</f>
        <v>1318.034118602762</v>
      </c>
      <c r="AB81" s="345">
        <f t="shared" ref="AB81" si="850">AB82/AB80*1000</f>
        <v>1413.1695667007846</v>
      </c>
      <c r="AC81" s="345">
        <f t="shared" ref="AC81" si="851">AC82/AC80*1000</f>
        <v>1329.900092697497</v>
      </c>
      <c r="AD81" s="345">
        <f t="shared" ref="AD81" si="852">AD82/AD80*1000</f>
        <v>1147.9172570133182</v>
      </c>
      <c r="AE81" s="345">
        <f t="shared" ref="AE81" si="853">AE82/AE80*1000</f>
        <v>1216.2781811234236</v>
      </c>
      <c r="AF81" s="345">
        <f t="shared" ref="AF81" si="854">AF82/AF80*1000</f>
        <v>842.36638824342162</v>
      </c>
      <c r="AG81" s="345">
        <f t="shared" ref="AG81" si="855">AG82/AG80*1000</f>
        <v>801.91867437043493</v>
      </c>
      <c r="AH81" s="345">
        <f t="shared" ref="AH81" si="856">AH82/AH80*1000</f>
        <v>921.79690357186416</v>
      </c>
      <c r="AI81" s="345">
        <f t="shared" ref="AI81" si="857">AI82/AI80*1000</f>
        <v>847.34435455504752</v>
      </c>
      <c r="AJ81" s="345">
        <f t="shared" ref="AJ81" si="858">AJ82/AJ80*1000</f>
        <v>1390.170670037927</v>
      </c>
      <c r="AK81" s="345">
        <f t="shared" ref="AK81" si="859">AK82/AK80*1000</f>
        <v>801.05113325303842</v>
      </c>
      <c r="AL81" s="345">
        <f t="shared" ref="AL81" si="860">AL82/AL80*1000</f>
        <v>1147.020176949806</v>
      </c>
      <c r="AM81" s="345">
        <f t="shared" ref="AM81" si="861">AM82/AM80*1000</f>
        <v>1569.8562852464984</v>
      </c>
      <c r="AN81" s="345">
        <f t="shared" ref="AN81" si="862">AN82/AN80*1000</f>
        <v>1290.0921996194938</v>
      </c>
      <c r="AO81" s="345">
        <f t="shared" ref="AO81" si="863">AO82/AO80*1000</f>
        <v>690.29762374674351</v>
      </c>
      <c r="AP81" s="345">
        <f t="shared" ref="AP81" si="864">AP82/AP80*1000</f>
        <v>1262.2491431527669</v>
      </c>
      <c r="AQ81" s="345">
        <f t="shared" ref="AQ81" si="865">AQ82/AQ80*1000</f>
        <v>1256.446736617464</v>
      </c>
      <c r="AR81" s="345">
        <f t="shared" ref="AR81" si="866">AR82/AR80*1000</f>
        <v>1096.0174466003584</v>
      </c>
      <c r="AS81" s="345">
        <f t="shared" ref="AS81" si="867">AS82/AS80*1000</f>
        <v>1207.7315052423201</v>
      </c>
      <c r="AT81" s="345">
        <f t="shared" ref="AT81" si="868">AT82/AT80*1000</f>
        <v>5649.5994595788798</v>
      </c>
      <c r="AU81" s="345">
        <f t="shared" ref="AU81" si="869">AU82/AU80*1000</f>
        <v>6356.7417295414971</v>
      </c>
      <c r="AV81" s="345">
        <f t="shared" ref="AV81" si="870">AV82/AV80*1000</f>
        <v>6898.21222116019</v>
      </c>
      <c r="AW81" s="345">
        <f t="shared" ref="AW81" si="871">AW82/AW80*1000</f>
        <v>6916.4108858965274</v>
      </c>
      <c r="AX81" s="345">
        <f t="shared" ref="AX81" si="872">AX82/AX80*1000</f>
        <v>7620.8512089359729</v>
      </c>
      <c r="AY81" s="346">
        <f t="shared" ref="AY81:AZ81" si="873">AY82/AY80*1000</f>
        <v>7166.1061062648687</v>
      </c>
      <c r="AZ81" s="347">
        <f t="shared" si="873"/>
        <v>7023.7175257731951</v>
      </c>
      <c r="BA81" s="347">
        <f>AZ81-AY81</f>
        <v>-142.38858049167357</v>
      </c>
      <c r="BB81" s="351">
        <f>AY81-AX81</f>
        <v>-454.74510267110418</v>
      </c>
      <c r="BC81" s="352">
        <f>AZ81-AX81</f>
        <v>-597.13368316277774</v>
      </c>
      <c r="BD81" s="353">
        <f t="shared" ref="BD81:BD82" si="874">(AX81/AS81)^(1/5)-1</f>
        <v>0.44546179517718532</v>
      </c>
    </row>
    <row r="82" spans="1:63" s="311" customFormat="1" ht="15" customHeight="1">
      <c r="A82" s="324" t="s">
        <v>354</v>
      </c>
      <c r="B82" s="344">
        <f>'BZ by State 1st Crop'!B82+'BZ by State 2nd Crop'!B82+'BZ by State 3rd Crop'!B82</f>
        <v>385.3</v>
      </c>
      <c r="C82" s="344">
        <f>'BZ by State 1st Crop'!C82+'BZ by State 2nd Crop'!C82+'BZ by State 3rd Crop'!C82</f>
        <v>765</v>
      </c>
      <c r="D82" s="344">
        <f>'BZ by State 1st Crop'!D82+'BZ by State 2nd Crop'!D82+'BZ by State 3rd Crop'!D82</f>
        <v>672</v>
      </c>
      <c r="E82" s="344">
        <f>'BZ by State 1st Crop'!E82+'BZ by State 2nd Crop'!E82+'BZ by State 3rd Crop'!E82</f>
        <v>798</v>
      </c>
      <c r="F82" s="344">
        <f>'BZ by State 1st Crop'!F82+'BZ by State 2nd Crop'!F82+'BZ by State 3rd Crop'!F82</f>
        <v>531</v>
      </c>
      <c r="G82" s="344">
        <f>'BZ by State 1st Crop'!G82+'BZ by State 2nd Crop'!G82+'BZ by State 3rd Crop'!G82</f>
        <v>909</v>
      </c>
      <c r="H82" s="344">
        <f>'BZ by State 1st Crop'!H82+'BZ by State 2nd Crop'!H82+'BZ by State 3rd Crop'!H82</f>
        <v>285</v>
      </c>
      <c r="I82" s="344">
        <f>'BZ by State 1st Crop'!I82+'BZ by State 2nd Crop'!I82+'BZ by State 3rd Crop'!I82</f>
        <v>984</v>
      </c>
      <c r="J82" s="344">
        <f>'BZ by State 1st Crop'!J82+'BZ by State 2nd Crop'!J82+'BZ by State 3rd Crop'!J82</f>
        <v>378</v>
      </c>
      <c r="K82" s="344">
        <f>'BZ by State 1st Crop'!K82+'BZ by State 2nd Crop'!K82+'BZ by State 3rd Crop'!K82</f>
        <v>870</v>
      </c>
      <c r="L82" s="344">
        <f>'BZ by State 1st Crop'!L82+'BZ by State 2nd Crop'!L82+'BZ by State 3rd Crop'!L82</f>
        <v>348</v>
      </c>
      <c r="M82" s="344">
        <f>'BZ by State 1st Crop'!M82+'BZ by State 2nd Crop'!M82+'BZ by State 3rd Crop'!M82</f>
        <v>1035</v>
      </c>
      <c r="N82" s="344">
        <f>'BZ by State 1st Crop'!N82+'BZ by State 2nd Crop'!N82+'BZ by State 3rd Crop'!N82</f>
        <v>1026</v>
      </c>
      <c r="O82" s="344">
        <f>'BZ by State 1st Crop'!O82+'BZ by State 2nd Crop'!O82+'BZ by State 3rd Crop'!O82</f>
        <v>519</v>
      </c>
      <c r="P82" s="344">
        <f>'BZ by State 1st Crop'!P82+'BZ by State 2nd Crop'!P82+'BZ by State 3rd Crop'!P82</f>
        <v>1064.0999999999999</v>
      </c>
      <c r="Q82" s="344">
        <f>'BZ by State 1st Crop'!Q82+'BZ by State 2nd Crop'!Q82+'BZ by State 3rd Crop'!Q82</f>
        <v>711.59999999999991</v>
      </c>
      <c r="R82" s="344">
        <f>'BZ by State 1st Crop'!R82+'BZ by State 2nd Crop'!R82+'BZ by State 3rd Crop'!R82</f>
        <v>592.20000000000005</v>
      </c>
      <c r="S82" s="344">
        <f>'BZ by State 1st Crop'!S82+'BZ by State 2nd Crop'!S82+'BZ by State 3rd Crop'!S82</f>
        <v>1239.3000000000002</v>
      </c>
      <c r="T82" s="344">
        <f>'BZ by State 1st Crop'!T82+'BZ by State 2nd Crop'!T82+'BZ by State 3rd Crop'!T82</f>
        <v>1267.5</v>
      </c>
      <c r="U82" s="344">
        <f>'BZ by State 1st Crop'!U82+'BZ by State 2nd Crop'!U82+'BZ by State 3rd Crop'!U82</f>
        <v>1365</v>
      </c>
      <c r="V82" s="344">
        <f>'BZ by State 1st Crop'!V82+'BZ by State 2nd Crop'!V82+'BZ by State 3rd Crop'!V82</f>
        <v>1088.0999999999999</v>
      </c>
      <c r="W82" s="344">
        <f>'BZ by State 1st Crop'!W82+'BZ by State 2nd Crop'!W82+'BZ by State 3rd Crop'!W82</f>
        <v>629.70000000000005</v>
      </c>
      <c r="X82" s="344">
        <f>'BZ by State 1st Crop'!X82+'BZ by State 2nd Crop'!X82+'BZ by State 3rd Crop'!X82</f>
        <v>882.30000000000007</v>
      </c>
      <c r="Y82" s="344">
        <f>'BZ by State 1st Crop'!Y82+'BZ by State 2nd Crop'!Y82+'BZ by State 3rd Crop'!Y82</f>
        <v>940.80000000000007</v>
      </c>
      <c r="Z82" s="344">
        <f>'BZ by State 1st Crop'!Z82+'BZ by State 2nd Crop'!Z82+'BZ by State 3rd Crop'!Z82</f>
        <v>930</v>
      </c>
      <c r="AA82" s="344">
        <f>'BZ by State 1st Crop'!AA82+'BZ by State 2nd Crop'!AA82+'BZ by State 3rd Crop'!AA82</f>
        <v>973.5</v>
      </c>
      <c r="AB82" s="344">
        <f>'BZ by State 1st Crop'!AB82+'BZ by State 2nd Crop'!AB82+'BZ by State 3rd Crop'!AB82</f>
        <v>1242.5999999999999</v>
      </c>
      <c r="AC82" s="344">
        <f>'BZ by State 1st Crop'!AC82+'BZ by State 2nd Crop'!AC82+'BZ by State 3rd Crop'!AC82</f>
        <v>1291.1999999999998</v>
      </c>
      <c r="AD82" s="344">
        <f>'BZ by State 1st Crop'!AD82+'BZ by State 2nd Crop'!AD82+'BZ by State 3rd Crop'!AD82</f>
        <v>1215.3000000000002</v>
      </c>
      <c r="AE82" s="344">
        <f>'BZ by State 1st Crop'!AE82+'BZ by State 2nd Crop'!AE82+'BZ by State 3rd Crop'!AE82</f>
        <v>1273.1999999999998</v>
      </c>
      <c r="AF82" s="344">
        <f>'BZ by State 1st Crop'!AF82+'BZ by State 2nd Crop'!AF82+'BZ by State 3rd Crop'!AF82</f>
        <v>1341.3000000000002</v>
      </c>
      <c r="AG82" s="344">
        <f>'BZ by State 1st Crop'!AG82+'BZ by State 2nd Crop'!AG82+'BZ by State 3rd Crop'!AG82</f>
        <v>1471.1999999999998</v>
      </c>
      <c r="AH82" s="344">
        <f>'BZ by State 1st Crop'!AH82+'BZ by State 2nd Crop'!AH82+'BZ by State 3rd Crop'!AH82</f>
        <v>1512.3000000000002</v>
      </c>
      <c r="AI82" s="344">
        <f>'BZ by State 1st Crop'!AI82+'BZ by State 2nd Crop'!AI82+'BZ by State 3rd Crop'!AI82</f>
        <v>1686.3000000000002</v>
      </c>
      <c r="AJ82" s="344">
        <f>'BZ by State 1st Crop'!AJ82+'BZ by State 2nd Crop'!AJ82+'BZ by State 3rd Crop'!AJ82</f>
        <v>2639.1000000000004</v>
      </c>
      <c r="AK82" s="344">
        <f>'BZ by State 1st Crop'!AK82+'BZ by State 2nd Crop'!AK82+'BZ by State 3rd Crop'!AK82</f>
        <v>2194.8000000000002</v>
      </c>
      <c r="AL82" s="344">
        <f>'BZ by State 1st Crop'!AL82+'BZ by State 2nd Crop'!AL82+'BZ by State 3rd Crop'!AL82</f>
        <v>3928.2000000000003</v>
      </c>
      <c r="AM82" s="344">
        <f>'BZ by State 1st Crop'!AM82+'BZ by State 2nd Crop'!AM82+'BZ by State 3rd Crop'!AM82</f>
        <v>5177.7000000000007</v>
      </c>
      <c r="AN82" s="344">
        <f>'BZ by State 1st Crop'!AN82+'BZ by State 2nd Crop'!AN82+'BZ by State 3rd Crop'!AN82</f>
        <v>4407.6000000000004</v>
      </c>
      <c r="AO82" s="344">
        <f>'BZ by State 1st Crop'!AO82+'BZ by State 2nd Crop'!AO82+'BZ by State 3rd Crop'!AO82</f>
        <v>2623.2</v>
      </c>
      <c r="AP82" s="344">
        <f>'BZ by State 1st Crop'!AP82+'BZ by State 2nd Crop'!AP82+'BZ by State 3rd Crop'!AP82</f>
        <v>5855.7000000000007</v>
      </c>
      <c r="AQ82" s="344">
        <f>'BZ by State 1st Crop'!AQ82+'BZ by State 2nd Crop'!AQ82+'BZ by State 3rd Crop'!AQ82</f>
        <v>5652</v>
      </c>
      <c r="AR82" s="344">
        <f>'BZ by State 1st Crop'!AR82+'BZ by State 2nd Crop'!AR82+'BZ by State 3rd Crop'!AR82</f>
        <v>5377.5</v>
      </c>
      <c r="AS82" s="344">
        <f>'BZ by State 1st Crop'!AS82+'BZ by State 2nd Crop'!AS82+'BZ by State 3rd Crop'!AS82</f>
        <v>6588.9000000000005</v>
      </c>
      <c r="AT82" s="344">
        <f>'BZ by State 1st Crop'!AT82+'BZ by State 2nd Crop'!AT82+'BZ by State 3rd Crop'!AT82</f>
        <v>33243.938100000007</v>
      </c>
      <c r="AU82" s="344">
        <f>'BZ by State 1st Crop'!AU82+'BZ by State 2nd Crop'!AU82+'BZ by State 3rd Crop'!AU82</f>
        <v>41620.130799999999</v>
      </c>
      <c r="AV82" s="344">
        <f>'BZ by State 1st Crop'!AV82+'BZ by State 2nd Crop'!AV82+'BZ by State 3rd Crop'!AV82</f>
        <v>51240.61020000001</v>
      </c>
      <c r="AW82" s="344">
        <f>'BZ by State 1st Crop'!AW82+'BZ by State 2nd Crop'!AW82+'BZ by State 3rd Crop'!AW82</f>
        <v>48795.2788</v>
      </c>
      <c r="AX82" s="344">
        <f>'BZ by State 1st Crop'!AX82+'BZ by State 2nd Crop'!AX82+'BZ by State 3rd Crop'!AX82</f>
        <v>55536.191100000004</v>
      </c>
      <c r="AY82" s="365">
        <f>'BZ by State 1st Crop'!AY82+'BZ by State 2nd Crop'!AY82+'BZ by State 3rd Crop'!AY82</f>
        <v>54218.758799999996</v>
      </c>
      <c r="AZ82" s="366">
        <f>'BZ by State 1st Crop'!AZ82+'BZ by State 2nd Crop'!AZ82+'BZ by State 3rd Crop'!AZ82</f>
        <v>53141.446799999998</v>
      </c>
      <c r="BA82" s="366">
        <f>AZ82-AY82</f>
        <v>-1077.3119999999981</v>
      </c>
      <c r="BB82" s="367">
        <f>AY82-AX82</f>
        <v>-1317.4323000000077</v>
      </c>
      <c r="BC82" s="368">
        <f>AZ82-AX82</f>
        <v>-2394.7443000000058</v>
      </c>
      <c r="BD82" s="353">
        <f t="shared" si="874"/>
        <v>0.53162566432125935</v>
      </c>
      <c r="BE82" s="309"/>
      <c r="BF82"/>
      <c r="BG82" s="308"/>
    </row>
    <row r="83" spans="1:63" ht="15" customHeight="1">
      <c r="A83" s="320" t="s">
        <v>374</v>
      </c>
      <c r="B83" s="356"/>
      <c r="C83" s="356"/>
      <c r="D83" s="356"/>
      <c r="E83" s="356"/>
      <c r="F83" s="356"/>
      <c r="G83" s="356"/>
      <c r="H83" s="356"/>
      <c r="I83" s="356"/>
      <c r="J83" s="356"/>
      <c r="K83" s="356"/>
      <c r="L83" s="356"/>
      <c r="M83" s="356"/>
      <c r="N83" s="356"/>
      <c r="O83" s="356"/>
      <c r="P83" s="356"/>
      <c r="Q83" s="356"/>
      <c r="R83" s="356"/>
      <c r="S83" s="356"/>
      <c r="T83" s="356"/>
      <c r="U83" s="356"/>
      <c r="V83" s="356"/>
      <c r="W83" s="356"/>
      <c r="X83" s="356"/>
      <c r="Y83" s="356"/>
      <c r="Z83" s="356"/>
      <c r="AA83" s="356"/>
      <c r="AB83" s="356"/>
      <c r="AC83" s="356"/>
      <c r="AD83" s="356"/>
      <c r="AE83" s="356"/>
      <c r="AF83" s="356"/>
      <c r="AG83" s="356"/>
      <c r="AH83" s="356"/>
      <c r="AI83" s="356"/>
      <c r="AJ83" s="356"/>
      <c r="AK83" s="356"/>
      <c r="AL83" s="356"/>
      <c r="AM83" s="356"/>
      <c r="AN83" s="356"/>
      <c r="AO83" s="356"/>
      <c r="AP83" s="356"/>
      <c r="AQ83" s="356"/>
      <c r="AR83" s="356"/>
      <c r="AS83" s="356"/>
      <c r="AT83" s="328"/>
      <c r="AU83" s="328"/>
      <c r="AV83" s="328"/>
      <c r="AW83" s="328"/>
      <c r="AX83" s="328"/>
      <c r="AY83" s="321"/>
      <c r="AZ83" s="328"/>
      <c r="BA83" s="329"/>
      <c r="BB83" s="321"/>
      <c r="BC83" s="328"/>
      <c r="BD83" s="329"/>
    </row>
    <row r="84" spans="1:63" ht="15" customHeight="1">
      <c r="A84" s="324" t="s">
        <v>352</v>
      </c>
      <c r="B84" s="344">
        <f>'BZ by State 1st Crop'!B84+'BZ by State 2nd Crop'!B84+'BZ by State 3rd Crop'!B84</f>
        <v>0</v>
      </c>
      <c r="C84" s="344">
        <f>'BZ by State 1st Crop'!C84+'BZ by State 2nd Crop'!C84+'BZ by State 3rd Crop'!C84</f>
        <v>0</v>
      </c>
      <c r="D84" s="344">
        <f>'BZ by State 1st Crop'!D84+'BZ by State 2nd Crop'!D84+'BZ by State 3rd Crop'!D84</f>
        <v>101</v>
      </c>
      <c r="E84" s="344">
        <f>'BZ by State 1st Crop'!E84+'BZ by State 2nd Crop'!E84+'BZ by State 3rd Crop'!E84</f>
        <v>108.6</v>
      </c>
      <c r="F84" s="344">
        <f>'BZ by State 1st Crop'!F84+'BZ by State 2nd Crop'!F84+'BZ by State 3rd Crop'!F84</f>
        <v>132</v>
      </c>
      <c r="G84" s="344">
        <f>'BZ by State 1st Crop'!G84+'BZ by State 2nd Crop'!G84+'BZ by State 3rd Crop'!G84</f>
        <v>145</v>
      </c>
      <c r="H84" s="344">
        <f>'BZ by State 1st Crop'!H84+'BZ by State 2nd Crop'!H84+'BZ by State 3rd Crop'!H84</f>
        <v>127.6</v>
      </c>
      <c r="I84" s="344">
        <f>'BZ by State 1st Crop'!I84+'BZ by State 2nd Crop'!I84+'BZ by State 3rd Crop'!I84</f>
        <v>159.5</v>
      </c>
      <c r="J84" s="344">
        <f>'BZ by State 1st Crop'!J84+'BZ by State 2nd Crop'!J84+'BZ by State 3rd Crop'!J84</f>
        <v>159.5</v>
      </c>
      <c r="K84" s="344">
        <f>'BZ by State 1st Crop'!K84+'BZ by State 2nd Crop'!K84+'BZ by State 3rd Crop'!K84</f>
        <v>215.3</v>
      </c>
      <c r="L84" s="344">
        <f>'BZ by State 1st Crop'!L84+'BZ by State 2nd Crop'!L84+'BZ by State 3rd Crop'!L84</f>
        <v>258</v>
      </c>
      <c r="M84" s="344">
        <f>'BZ by State 1st Crop'!M84+'BZ by State 2nd Crop'!M84+'BZ by State 3rd Crop'!M84</f>
        <v>250</v>
      </c>
      <c r="N84" s="344">
        <f>'BZ by State 1st Crop'!N84+'BZ by State 2nd Crop'!N84+'BZ by State 3rd Crop'!N84</f>
        <v>265</v>
      </c>
      <c r="O84" s="344">
        <f>'BZ by State 1st Crop'!O84+'BZ by State 2nd Crop'!O84+'BZ by State 3rd Crop'!O84</f>
        <v>283</v>
      </c>
      <c r="P84" s="344">
        <f>'BZ by State 1st Crop'!P84+'BZ by State 2nd Crop'!P84+'BZ by State 3rd Crop'!P84</f>
        <v>360</v>
      </c>
      <c r="Q84" s="344">
        <f>'BZ by State 1st Crop'!Q84+'BZ by State 2nd Crop'!Q84+'BZ by State 3rd Crop'!Q84</f>
        <v>369.7</v>
      </c>
      <c r="R84" s="344">
        <f>'BZ by State 1st Crop'!R84+'BZ by State 2nd Crop'!R84+'BZ by State 3rd Crop'!R84</f>
        <v>367.9</v>
      </c>
      <c r="S84" s="344">
        <f>'BZ by State 1st Crop'!S84+'BZ by State 2nd Crop'!S84+'BZ by State 3rd Crop'!S84</f>
        <v>503.2</v>
      </c>
      <c r="T84" s="344">
        <f>'BZ by State 1st Crop'!T84+'BZ by State 2nd Crop'!T84+'BZ by State 3rd Crop'!T84</f>
        <v>497</v>
      </c>
      <c r="U84" s="344">
        <f>'BZ by State 1st Crop'!U84+'BZ by State 2nd Crop'!U84+'BZ by State 3rd Crop'!U84</f>
        <v>452.8</v>
      </c>
      <c r="V84" s="344">
        <f>'BZ by State 1st Crop'!V84+'BZ by State 2nd Crop'!V84+'BZ by State 3rd Crop'!V84</f>
        <v>550.29999999999995</v>
      </c>
      <c r="W84" s="344">
        <f>'BZ by State 1st Crop'!W84+'BZ by State 2nd Crop'!W84+'BZ by State 3rd Crop'!W84</f>
        <v>451.5</v>
      </c>
      <c r="X84" s="344">
        <f>'BZ by State 1st Crop'!X84+'BZ by State 2nd Crop'!X84+'BZ by State 3rd Crop'!X84</f>
        <v>513.70000000000005</v>
      </c>
      <c r="Y84" s="344">
        <f>'BZ by State 1st Crop'!Y84+'BZ by State 2nd Crop'!Y84+'BZ by State 3rd Crop'!Y84</f>
        <v>513.79999999999995</v>
      </c>
      <c r="Z84" s="344">
        <f>'BZ by State 1st Crop'!Z84+'BZ by State 2nd Crop'!Z84+'BZ by State 3rd Crop'!Z84</f>
        <v>545.9</v>
      </c>
      <c r="AA84" s="344">
        <f>'BZ by State 1st Crop'!AA84+'BZ by State 2nd Crop'!AA84+'BZ by State 3rd Crop'!AA84</f>
        <v>481.20000000000005</v>
      </c>
      <c r="AB84" s="344">
        <f>'BZ by State 1st Crop'!AB84+'BZ by State 2nd Crop'!AB84+'BZ by State 3rd Crop'!AB84</f>
        <v>701.9</v>
      </c>
      <c r="AC84" s="344">
        <f>'BZ by State 1st Crop'!AC84+'BZ by State 2nd Crop'!AC84+'BZ by State 3rd Crop'!AC84</f>
        <v>628.29999999999995</v>
      </c>
      <c r="AD84" s="344">
        <f>'BZ by State 1st Crop'!AD84+'BZ by State 2nd Crop'!AD84+'BZ by State 3rd Crop'!AD84</f>
        <v>564.4</v>
      </c>
      <c r="AE84" s="344">
        <f>'BZ by State 1st Crop'!AE84+'BZ by State 2nd Crop'!AE84+'BZ by State 3rd Crop'!AE84</f>
        <v>623.4</v>
      </c>
      <c r="AF84" s="344">
        <f>'BZ by State 1st Crop'!AF84+'BZ by State 2nd Crop'!AF84+'BZ by State 3rd Crop'!AF84</f>
        <v>838.2</v>
      </c>
      <c r="AG84" s="344">
        <f>'BZ by State 1st Crop'!AG84+'BZ by State 2nd Crop'!AG84+'BZ by State 3rd Crop'!AG84</f>
        <v>988.3</v>
      </c>
      <c r="AH84" s="344">
        <f>'BZ by State 1st Crop'!AH84+'BZ by State 2nd Crop'!AH84+'BZ by State 3rd Crop'!AH84</f>
        <v>938.5</v>
      </c>
      <c r="AI84" s="344">
        <f>'BZ by State 1st Crop'!AI84+'BZ by State 2nd Crop'!AI84+'BZ by State 3rd Crop'!AI84</f>
        <v>887.5</v>
      </c>
      <c r="AJ84" s="344">
        <f>'BZ by State 1st Crop'!AJ84+'BZ by State 2nd Crop'!AJ84+'BZ by State 3rd Crop'!AJ84</f>
        <v>992.8</v>
      </c>
      <c r="AK84" s="344">
        <f>'BZ by State 1st Crop'!AK84+'BZ by State 2nd Crop'!AK84+'BZ by State 3rd Crop'!AK84</f>
        <v>1267.7</v>
      </c>
      <c r="AL84" s="344">
        <f>'BZ by State 1st Crop'!AL84+'BZ by State 2nd Crop'!AL84+'BZ by State 3rd Crop'!AL84</f>
        <v>1509</v>
      </c>
      <c r="AM84" s="344">
        <f>'BZ by State 1st Crop'!AM84+'BZ by State 2nd Crop'!AM84+'BZ by State 3rd Crop'!AM84</f>
        <v>1574.5</v>
      </c>
      <c r="AN84" s="344">
        <f>'BZ by State 1st Crop'!AN84+'BZ by State 2nd Crop'!AN84+'BZ by State 3rd Crop'!AN84</f>
        <v>1635.5</v>
      </c>
      <c r="AO84" s="344">
        <f>'BZ by State 1st Crop'!AO84+'BZ by State 2nd Crop'!AO84+'BZ by State 3rd Crop'!AO84</f>
        <v>1681</v>
      </c>
      <c r="AP84" s="344">
        <f>'BZ by State 1st Crop'!AP84+'BZ by State 2nd Crop'!AP84+'BZ by State 3rd Crop'!AP84</f>
        <v>1787.9</v>
      </c>
      <c r="AQ84" s="344">
        <f>'BZ by State 1st Crop'!AQ84+'BZ by State 2nd Crop'!AQ84+'BZ by State 3rd Crop'!AQ84</f>
        <v>1735.5</v>
      </c>
      <c r="AR84" s="344">
        <f>'BZ by State 1st Crop'!AR84+'BZ by State 2nd Crop'!AR84+'BZ by State 3rd Crop'!AR84</f>
        <v>1876</v>
      </c>
      <c r="AS84" s="344">
        <f>'BZ by State 1st Crop'!AS84+'BZ by State 2nd Crop'!AS84+'BZ by State 3rd Crop'!AS84</f>
        <v>1855</v>
      </c>
      <c r="AT84" s="344">
        <f>'BZ by State 1st Crop'!AT84+'BZ by State 2nd Crop'!AT84+'BZ by State 3rd Crop'!AT84</f>
        <v>2125.8999999999996</v>
      </c>
      <c r="AU84" s="344">
        <f>'BZ by State 1st Crop'!AU84+'BZ by State 2nd Crop'!AU84+'BZ by State 3rd Crop'!AU84</f>
        <v>2180.3000000000002</v>
      </c>
      <c r="AV84" s="344">
        <f>'BZ by State 1st Crop'!AV84+'BZ by State 2nd Crop'!AV84+'BZ by State 3rd Crop'!AV84</f>
        <v>2262.6000000000004</v>
      </c>
      <c r="AW84" s="344">
        <f>'BZ by State 1st Crop'!AW84+'BZ by State 2nd Crop'!AW84+'BZ by State 3rd Crop'!AW84</f>
        <v>2136.1000000000004</v>
      </c>
      <c r="AX84" s="344">
        <f>'BZ by State 1st Crop'!AX84+'BZ by State 2nd Crop'!AX84+'BZ by State 3rd Crop'!AX84</f>
        <v>2081.6</v>
      </c>
      <c r="AY84" s="369">
        <f>'BZ by State 1st Crop'!AY84+'BZ by State 2nd Crop'!AY84+'BZ by State 3rd Crop'!AY84</f>
        <v>2194.5</v>
      </c>
      <c r="AZ84" s="366">
        <f>'BZ by State 1st Crop'!AZ84+'BZ by State 2nd Crop'!AZ84+'BZ by State 3rd Crop'!AZ84</f>
        <v>2194.5</v>
      </c>
      <c r="BA84" s="366">
        <f>AZ84-AY84</f>
        <v>0</v>
      </c>
      <c r="BB84" s="367">
        <f>AY84-AX84</f>
        <v>112.90000000000009</v>
      </c>
      <c r="BC84" s="368">
        <f>AZ84-AX84</f>
        <v>112.90000000000009</v>
      </c>
      <c r="BD84" s="353">
        <f>(AX84/AS84)^(1/5)-1</f>
        <v>2.3318140642744956E-2</v>
      </c>
      <c r="BF84" s="319" t="b">
        <v>0</v>
      </c>
      <c r="BH84" s="311"/>
      <c r="BI84" s="311"/>
      <c r="BJ84" s="311"/>
      <c r="BK84" s="311"/>
    </row>
    <row r="85" spans="1:63" ht="15" customHeight="1">
      <c r="A85" s="324" t="s">
        <v>375</v>
      </c>
      <c r="B85" s="345" t="e">
        <f t="shared" ref="B85" si="875">B86/B84*1000</f>
        <v>#DIV/0!</v>
      </c>
      <c r="C85" s="345" t="e">
        <f t="shared" ref="C85" si="876">C86/C84*1000</f>
        <v>#DIV/0!</v>
      </c>
      <c r="D85" s="345">
        <f t="shared" ref="D85" si="877">D86/D84*1000</f>
        <v>6653.4653465346528</v>
      </c>
      <c r="E85" s="345">
        <f t="shared" ref="E85" si="878">E86/E84*1000</f>
        <v>7348.0662983425418</v>
      </c>
      <c r="F85" s="345">
        <f t="shared" ref="F85" si="879">F86/F84*1000</f>
        <v>4022.7272727272725</v>
      </c>
      <c r="G85" s="345">
        <f t="shared" ref="G85" si="880">G86/G84*1000</f>
        <v>6268.9655172413795</v>
      </c>
      <c r="H85" s="345">
        <f t="shared" ref="H85" si="881">H86/H84*1000</f>
        <v>2233.5423197492164</v>
      </c>
      <c r="I85" s="345">
        <f t="shared" ref="I85" si="882">I86/I84*1000</f>
        <v>6169.2789968652041</v>
      </c>
      <c r="J85" s="345">
        <f t="shared" ref="J85" si="883">J86/J84*1000</f>
        <v>2369.9059561128524</v>
      </c>
      <c r="K85" s="345">
        <f t="shared" ref="K85" si="884">K86/K84*1000</f>
        <v>4040.8732001857875</v>
      </c>
      <c r="L85" s="345">
        <f t="shared" ref="L85" si="885">L86/L84*1000</f>
        <v>1348.8372093023256</v>
      </c>
      <c r="M85" s="345">
        <f t="shared" ref="M85" si="886">M86/M84*1000</f>
        <v>4140</v>
      </c>
      <c r="N85" s="345">
        <f t="shared" ref="N85" si="887">N86/N84*1000</f>
        <v>3871.6981132075471</v>
      </c>
      <c r="O85" s="345">
        <f t="shared" ref="O85" si="888">O86/O84*1000</f>
        <v>1833.922261484099</v>
      </c>
      <c r="P85" s="345">
        <f t="shared" ref="P85" si="889">P86/P84*1000</f>
        <v>2955.833333333333</v>
      </c>
      <c r="Q85" s="345">
        <f t="shared" ref="Q85" si="890">Q86/Q84*1000</f>
        <v>1924.8038950500404</v>
      </c>
      <c r="R85" s="345">
        <f t="shared" ref="R85" si="891">R86/R84*1000</f>
        <v>1609.6765425387337</v>
      </c>
      <c r="S85" s="345">
        <f t="shared" ref="S85" si="892">S86/S84*1000</f>
        <v>2462.8378378378384</v>
      </c>
      <c r="T85" s="345">
        <f t="shared" ref="T85" si="893">T86/T84*1000</f>
        <v>2550.3018108651913</v>
      </c>
      <c r="U85" s="345">
        <f t="shared" ref="U85" si="894">U86/U84*1000</f>
        <v>3014.575971731449</v>
      </c>
      <c r="V85" s="345">
        <f t="shared" ref="V85" si="895">V86/V84*1000</f>
        <v>1977.2851172087953</v>
      </c>
      <c r="W85" s="345">
        <f t="shared" ref="W85" si="896">W86/W84*1000</f>
        <v>1394.6843853820599</v>
      </c>
      <c r="X85" s="345">
        <f t="shared" ref="X85" si="897">X86/X84*1000</f>
        <v>1717.5394198948804</v>
      </c>
      <c r="Y85" s="345">
        <f t="shared" ref="Y85" si="898">Y86/Y84*1000</f>
        <v>1831.0626702997279</v>
      </c>
      <c r="Z85" s="345">
        <f t="shared" ref="Z85" si="899">Z86/Z84*1000</f>
        <v>1703.6087195457044</v>
      </c>
      <c r="AA85" s="345">
        <f t="shared" ref="AA85" si="900">AA86/AA84*1000</f>
        <v>2023.0673316708226</v>
      </c>
      <c r="AB85" s="345">
        <f t="shared" ref="AB85" si="901">AB86/AB84*1000</f>
        <v>1770.3376549366005</v>
      </c>
      <c r="AC85" s="345">
        <f t="shared" ref="AC85" si="902">AC86/AC84*1000</f>
        <v>2055.0692344421454</v>
      </c>
      <c r="AD85" s="345">
        <f t="shared" ref="AD85" si="903">AD86/AD84*1000</f>
        <v>2153.2600992204116</v>
      </c>
      <c r="AE85" s="345">
        <f t="shared" ref="AE85" si="904">AE86/AE84*1000</f>
        <v>2042.3484119345524</v>
      </c>
      <c r="AF85" s="345">
        <f t="shared" ref="AF85" si="905">AF86/AF84*1000</f>
        <v>1600.2147458840375</v>
      </c>
      <c r="AG85" s="345">
        <f t="shared" ref="AG85" si="906">AG86/AG84*1000</f>
        <v>1488.6168167560456</v>
      </c>
      <c r="AH85" s="345">
        <f t="shared" ref="AH85" si="907">AH86/AH84*1000</f>
        <v>1611.4011720831115</v>
      </c>
      <c r="AI85" s="345">
        <f t="shared" ref="AI85" si="908">AI86/AI84*1000</f>
        <v>1900.0563380281692</v>
      </c>
      <c r="AJ85" s="345">
        <f t="shared" ref="AJ85" si="909">AJ86/AJ84*1000</f>
        <v>2658.2393231265114</v>
      </c>
      <c r="AK85" s="345">
        <f t="shared" ref="AK85" si="910">AK86/AK84*1000</f>
        <v>1731.3244458468093</v>
      </c>
      <c r="AL85" s="345">
        <f t="shared" ref="AL85" si="911">AL86/AL84*1000</f>
        <v>2603.1809145129228</v>
      </c>
      <c r="AM85" s="345">
        <f t="shared" ref="AM85" si="912">AM86/AM84*1000</f>
        <v>3288.4725309622108</v>
      </c>
      <c r="AN85" s="345">
        <f t="shared" ref="AN85" si="913">AN86/AN84*1000</f>
        <v>2694.9556710486095</v>
      </c>
      <c r="AO85" s="345">
        <f t="shared" ref="AO85" si="914">AO86/AO84*1000</f>
        <v>1560.4997025580012</v>
      </c>
      <c r="AP85" s="345">
        <f t="shared" ref="AP85" si="915">AP86/AP84*1000</f>
        <v>3275.1831757928298</v>
      </c>
      <c r="AQ85" s="345">
        <f t="shared" ref="AQ85" si="916">AQ86/AQ84*1000</f>
        <v>3256.6983578219533</v>
      </c>
      <c r="AR85" s="345">
        <f t="shared" ref="AR85" si="917">AR86/AR84*1000</f>
        <v>2866.4712153518121</v>
      </c>
      <c r="AS85" s="345">
        <f t="shared" ref="AS85" si="918">AS86/AS84*1000</f>
        <v>3551.967654986523</v>
      </c>
      <c r="AT85" s="345">
        <f t="shared" ref="AT85" si="919">AT86/AT84*1000</f>
        <v>3024.1384825250479</v>
      </c>
      <c r="AU85" s="345">
        <f t="shared" ref="AU85" si="920">AU86/AU84*1000</f>
        <v>5714.9674356739888</v>
      </c>
      <c r="AV85" s="345">
        <f t="shared" ref="AV85" si="921">AV86/AV84*1000</f>
        <v>5795.1848316096512</v>
      </c>
      <c r="AW85" s="345">
        <f t="shared" ref="AW85" si="922">AW86/AW84*1000</f>
        <v>3782.849960207855</v>
      </c>
      <c r="AX85" s="345">
        <f t="shared" ref="AX85" si="923">AX86/AX84*1000</f>
        <v>6390.2357801691014</v>
      </c>
      <c r="AY85" s="346">
        <f t="shared" ref="AY85:AZ85" si="924">AY86/AY84*1000</f>
        <v>5734.0274322169062</v>
      </c>
      <c r="AZ85" s="347">
        <f t="shared" si="924"/>
        <v>5620.0988835725684</v>
      </c>
      <c r="BA85" s="347">
        <f>AZ85-AY85</f>
        <v>-113.92854864433775</v>
      </c>
      <c r="BB85" s="351">
        <f>AY85-AX85</f>
        <v>-656.20834795219525</v>
      </c>
      <c r="BC85" s="352">
        <f>AZ85-AX85</f>
        <v>-770.13689659653301</v>
      </c>
      <c r="BD85" s="353">
        <f t="shared" ref="BD85:BD86" si="925">(AX85/AS85)^(1/5)-1</f>
        <v>0.12462977140953946</v>
      </c>
    </row>
    <row r="86" spans="1:63" s="311" customFormat="1" ht="15" customHeight="1">
      <c r="A86" s="324" t="s">
        <v>376</v>
      </c>
      <c r="B86" s="344">
        <f>'BZ by State 1st Crop'!B86+'BZ by State 2nd Crop'!B86+'BZ by State 3rd Crop'!B86</f>
        <v>0</v>
      </c>
      <c r="C86" s="344">
        <f>'BZ by State 1st Crop'!C86+'BZ by State 2nd Crop'!C86+'BZ by State 3rd Crop'!C86</f>
        <v>765</v>
      </c>
      <c r="D86" s="344">
        <f>'BZ by State 1st Crop'!D86+'BZ by State 2nd Crop'!D86+'BZ by State 3rd Crop'!D86</f>
        <v>672</v>
      </c>
      <c r="E86" s="344">
        <f>'BZ by State 1st Crop'!E86+'BZ by State 2nd Crop'!E86+'BZ by State 3rd Crop'!E86</f>
        <v>798</v>
      </c>
      <c r="F86" s="344">
        <f>'BZ by State 1st Crop'!F86+'BZ by State 2nd Crop'!F86+'BZ by State 3rd Crop'!F86</f>
        <v>531</v>
      </c>
      <c r="G86" s="344">
        <f>'BZ by State 1st Crop'!G86+'BZ by State 2nd Crop'!G86+'BZ by State 3rd Crop'!G86</f>
        <v>909</v>
      </c>
      <c r="H86" s="344">
        <f>'BZ by State 1st Crop'!H86+'BZ by State 2nd Crop'!H86+'BZ by State 3rd Crop'!H86</f>
        <v>285</v>
      </c>
      <c r="I86" s="344">
        <f>'BZ by State 1st Crop'!I86+'BZ by State 2nd Crop'!I86+'BZ by State 3rd Crop'!I86</f>
        <v>984</v>
      </c>
      <c r="J86" s="344">
        <f>'BZ by State 1st Crop'!J86+'BZ by State 2nd Crop'!J86+'BZ by State 3rd Crop'!J86</f>
        <v>378</v>
      </c>
      <c r="K86" s="344">
        <f>'BZ by State 1st Crop'!K86+'BZ by State 2nd Crop'!K86+'BZ by State 3rd Crop'!K86</f>
        <v>870</v>
      </c>
      <c r="L86" s="344">
        <f>'BZ by State 1st Crop'!L86+'BZ by State 2nd Crop'!L86+'BZ by State 3rd Crop'!L86</f>
        <v>348</v>
      </c>
      <c r="M86" s="344">
        <f>'BZ by State 1st Crop'!M86+'BZ by State 2nd Crop'!M86+'BZ by State 3rd Crop'!M86</f>
        <v>1035</v>
      </c>
      <c r="N86" s="344">
        <f>'BZ by State 1st Crop'!N86+'BZ by State 2nd Crop'!N86+'BZ by State 3rd Crop'!N86</f>
        <v>1026</v>
      </c>
      <c r="O86" s="344">
        <f>'BZ by State 1st Crop'!O86+'BZ by State 2nd Crop'!O86+'BZ by State 3rd Crop'!O86</f>
        <v>519</v>
      </c>
      <c r="P86" s="344">
        <f>'BZ by State 1st Crop'!P86+'BZ by State 2nd Crop'!P86+'BZ by State 3rd Crop'!P86</f>
        <v>1064.0999999999999</v>
      </c>
      <c r="Q86" s="344">
        <f>'BZ by State 1st Crop'!Q86+'BZ by State 2nd Crop'!Q86+'BZ by State 3rd Crop'!Q86</f>
        <v>711.59999999999991</v>
      </c>
      <c r="R86" s="344">
        <f>'BZ by State 1st Crop'!R86+'BZ by State 2nd Crop'!R86+'BZ by State 3rd Crop'!R86</f>
        <v>592.20000000000005</v>
      </c>
      <c r="S86" s="344">
        <f>'BZ by State 1st Crop'!S86+'BZ by State 2nd Crop'!S86+'BZ by State 3rd Crop'!S86</f>
        <v>1239.3000000000002</v>
      </c>
      <c r="T86" s="344">
        <f>'BZ by State 1st Crop'!T86+'BZ by State 2nd Crop'!T86+'BZ by State 3rd Crop'!T86</f>
        <v>1267.5</v>
      </c>
      <c r="U86" s="344">
        <f>'BZ by State 1st Crop'!U86+'BZ by State 2nd Crop'!U86+'BZ by State 3rd Crop'!U86</f>
        <v>1365</v>
      </c>
      <c r="V86" s="344">
        <f>'BZ by State 1st Crop'!V86+'BZ by State 2nd Crop'!V86+'BZ by State 3rd Crop'!V86</f>
        <v>1088.0999999999999</v>
      </c>
      <c r="W86" s="344">
        <f>'BZ by State 1st Crop'!W86+'BZ by State 2nd Crop'!W86+'BZ by State 3rd Crop'!W86</f>
        <v>629.70000000000005</v>
      </c>
      <c r="X86" s="344">
        <f>'BZ by State 1st Crop'!X86+'BZ by State 2nd Crop'!X86+'BZ by State 3rd Crop'!X86</f>
        <v>882.30000000000007</v>
      </c>
      <c r="Y86" s="344">
        <f>'BZ by State 1st Crop'!Y86+'BZ by State 2nd Crop'!Y86+'BZ by State 3rd Crop'!Y86</f>
        <v>940.80000000000007</v>
      </c>
      <c r="Z86" s="344">
        <f>'BZ by State 1st Crop'!Z86+'BZ by State 2nd Crop'!Z86+'BZ by State 3rd Crop'!Z86</f>
        <v>930</v>
      </c>
      <c r="AA86" s="344">
        <f>'BZ by State 1st Crop'!AA86+'BZ by State 2nd Crop'!AA86+'BZ by State 3rd Crop'!AA86</f>
        <v>973.5</v>
      </c>
      <c r="AB86" s="344">
        <f>'BZ by State 1st Crop'!AB86+'BZ by State 2nd Crop'!AB86+'BZ by State 3rd Crop'!AB86</f>
        <v>1242.5999999999999</v>
      </c>
      <c r="AC86" s="344">
        <f>'BZ by State 1st Crop'!AC86+'BZ by State 2nd Crop'!AC86+'BZ by State 3rd Crop'!AC86</f>
        <v>1291.1999999999998</v>
      </c>
      <c r="AD86" s="344">
        <f>'BZ by State 1st Crop'!AD86+'BZ by State 2nd Crop'!AD86+'BZ by State 3rd Crop'!AD86</f>
        <v>1215.3000000000002</v>
      </c>
      <c r="AE86" s="344">
        <f>'BZ by State 1st Crop'!AE86+'BZ by State 2nd Crop'!AE86+'BZ by State 3rd Crop'!AE86</f>
        <v>1273.1999999999998</v>
      </c>
      <c r="AF86" s="344">
        <f>'BZ by State 1st Crop'!AF86+'BZ by State 2nd Crop'!AF86+'BZ by State 3rd Crop'!AF86</f>
        <v>1341.3000000000002</v>
      </c>
      <c r="AG86" s="344">
        <f>'BZ by State 1st Crop'!AG86+'BZ by State 2nd Crop'!AG86+'BZ by State 3rd Crop'!AG86</f>
        <v>1471.1999999999998</v>
      </c>
      <c r="AH86" s="344">
        <f>'BZ by State 1st Crop'!AH86+'BZ by State 2nd Crop'!AH86+'BZ by State 3rd Crop'!AH86</f>
        <v>1512.3000000000002</v>
      </c>
      <c r="AI86" s="344">
        <f>'BZ by State 1st Crop'!AI86+'BZ by State 2nd Crop'!AI86+'BZ by State 3rd Crop'!AI86</f>
        <v>1686.3000000000002</v>
      </c>
      <c r="AJ86" s="344">
        <f>'BZ by State 1st Crop'!AJ86+'BZ by State 2nd Crop'!AJ86+'BZ by State 3rd Crop'!AJ86</f>
        <v>2639.1000000000004</v>
      </c>
      <c r="AK86" s="344">
        <f>'BZ by State 1st Crop'!AK86+'BZ by State 2nd Crop'!AK86+'BZ by State 3rd Crop'!AK86</f>
        <v>2194.8000000000002</v>
      </c>
      <c r="AL86" s="344">
        <f>'BZ by State 1st Crop'!AL86+'BZ by State 2nd Crop'!AL86+'BZ by State 3rd Crop'!AL86</f>
        <v>3928.2000000000003</v>
      </c>
      <c r="AM86" s="344">
        <f>'BZ by State 1st Crop'!AM86+'BZ by State 2nd Crop'!AM86+'BZ by State 3rd Crop'!AM86</f>
        <v>5177.7000000000007</v>
      </c>
      <c r="AN86" s="344">
        <f>'BZ by State 1st Crop'!AN86+'BZ by State 2nd Crop'!AN86+'BZ by State 3rd Crop'!AN86</f>
        <v>4407.6000000000004</v>
      </c>
      <c r="AO86" s="344">
        <f>'BZ by State 1st Crop'!AO86+'BZ by State 2nd Crop'!AO86+'BZ by State 3rd Crop'!AO86</f>
        <v>2623.2</v>
      </c>
      <c r="AP86" s="344">
        <f>'BZ by State 1st Crop'!AP86+'BZ by State 2nd Crop'!AP86+'BZ by State 3rd Crop'!AP86</f>
        <v>5855.7000000000007</v>
      </c>
      <c r="AQ86" s="344">
        <f>'BZ by State 1st Crop'!AQ86+'BZ by State 2nd Crop'!AQ86+'BZ by State 3rd Crop'!AQ86</f>
        <v>5652</v>
      </c>
      <c r="AR86" s="344">
        <f>'BZ by State 1st Crop'!AR86+'BZ by State 2nd Crop'!AR86+'BZ by State 3rd Crop'!AR86</f>
        <v>5377.5</v>
      </c>
      <c r="AS86" s="344">
        <f>'BZ by State 1st Crop'!AS86+'BZ by State 2nd Crop'!AS86+'BZ by State 3rd Crop'!AS86</f>
        <v>6588.9000000000005</v>
      </c>
      <c r="AT86" s="344">
        <f>'BZ by State 1st Crop'!AT86+'BZ by State 2nd Crop'!AT86+'BZ by State 3rd Crop'!AT86</f>
        <v>6429.0159999999987</v>
      </c>
      <c r="AU86" s="344">
        <f>'BZ by State 1st Crop'!AU86+'BZ by State 2nd Crop'!AU86+'BZ by State 3rd Crop'!AU86</f>
        <v>12460.343499999999</v>
      </c>
      <c r="AV86" s="344">
        <f>'BZ by State 1st Crop'!AV86+'BZ by State 2nd Crop'!AV86+'BZ by State 3rd Crop'!AV86</f>
        <v>13112.1852</v>
      </c>
      <c r="AW86" s="344">
        <f>'BZ by State 1st Crop'!AW86+'BZ by State 2nd Crop'!AW86+'BZ by State 3rd Crop'!AW86</f>
        <v>8080.5458000000008</v>
      </c>
      <c r="AX86" s="344">
        <f>'BZ by State 1st Crop'!AX86+'BZ by State 2nd Crop'!AX86+'BZ by State 3rd Crop'!AX86</f>
        <v>13301.9148</v>
      </c>
      <c r="AY86" s="365">
        <f>'BZ by State 1st Crop'!AY86+'BZ by State 2nd Crop'!AY86+'BZ by State 3rd Crop'!AY86</f>
        <v>12583.323200000001</v>
      </c>
      <c r="AZ86" s="366">
        <f>'BZ by State 1st Crop'!AZ86+'BZ by State 2nd Crop'!AZ86+'BZ by State 3rd Crop'!AZ86</f>
        <v>12333.307000000001</v>
      </c>
      <c r="BA86" s="366">
        <f>AZ86-AY86</f>
        <v>-250.01620000000003</v>
      </c>
      <c r="BB86" s="367">
        <f>AY86-AX86</f>
        <v>-718.59159999999974</v>
      </c>
      <c r="BC86" s="368">
        <f>AZ86-AX86</f>
        <v>-968.60779999999977</v>
      </c>
      <c r="BD86" s="353">
        <f t="shared" si="925"/>
        <v>0.15085404659028523</v>
      </c>
      <c r="BE86" s="309"/>
      <c r="BF86"/>
      <c r="BG86" s="308"/>
    </row>
    <row r="87" spans="1:63" ht="15" customHeight="1">
      <c r="A87" s="320" t="s">
        <v>377</v>
      </c>
      <c r="B87" s="356"/>
      <c r="C87" s="356"/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56"/>
      <c r="Z87" s="356"/>
      <c r="AA87" s="356"/>
      <c r="AB87" s="356"/>
      <c r="AC87" s="356"/>
      <c r="AD87" s="356"/>
      <c r="AE87" s="356"/>
      <c r="AF87" s="356"/>
      <c r="AG87" s="356"/>
      <c r="AH87" s="356"/>
      <c r="AI87" s="356"/>
      <c r="AJ87" s="356"/>
      <c r="AK87" s="356"/>
      <c r="AL87" s="356"/>
      <c r="AM87" s="356"/>
      <c r="AN87" s="356"/>
      <c r="AO87" s="356"/>
      <c r="AP87" s="356"/>
      <c r="AQ87" s="356"/>
      <c r="AR87" s="356"/>
      <c r="AS87" s="356"/>
      <c r="AT87" s="328"/>
      <c r="AU87" s="328"/>
      <c r="AV87" s="328"/>
      <c r="AW87" s="328"/>
      <c r="AX87" s="328"/>
      <c r="AY87" s="321"/>
      <c r="AZ87" s="328"/>
      <c r="BA87" s="329"/>
      <c r="BB87" s="321"/>
      <c r="BC87" s="328"/>
      <c r="BD87" s="329"/>
    </row>
    <row r="88" spans="1:63" ht="15" customHeight="1">
      <c r="A88" s="324" t="s">
        <v>352</v>
      </c>
      <c r="B88" s="344">
        <f>'BZ by State 1st Crop'!B88+'BZ by State 2nd Crop'!B88+'BZ by State 3rd Crop'!B88</f>
        <v>863</v>
      </c>
      <c r="C88" s="344">
        <f>'BZ by State 1st Crop'!C88+'BZ by State 2nd Crop'!C88+'BZ by State 3rd Crop'!C88</f>
        <v>885</v>
      </c>
      <c r="D88" s="344">
        <f>'BZ by State 1st Crop'!D88+'BZ by State 2nd Crop'!D88+'BZ by State 3rd Crop'!D88</f>
        <v>852</v>
      </c>
      <c r="E88" s="344">
        <f>'BZ by State 1st Crop'!E88+'BZ by State 2nd Crop'!E88+'BZ by State 3rd Crop'!E88</f>
        <v>810.1</v>
      </c>
      <c r="F88" s="344">
        <f>'BZ by State 1st Crop'!F88+'BZ by State 2nd Crop'!F88+'BZ by State 3rd Crop'!F88</f>
        <v>855</v>
      </c>
      <c r="G88" s="344">
        <f>'BZ by State 1st Crop'!G88+'BZ by State 2nd Crop'!G88+'BZ by State 3rd Crop'!G88</f>
        <v>888.7</v>
      </c>
      <c r="H88" s="344">
        <f>'BZ by State 1st Crop'!H88+'BZ by State 2nd Crop'!H88+'BZ by State 3rd Crop'!H88</f>
        <v>813</v>
      </c>
      <c r="I88" s="344">
        <f>'BZ by State 1st Crop'!I88+'BZ by State 2nd Crop'!I88+'BZ by State 3rd Crop'!I88</f>
        <v>813</v>
      </c>
      <c r="J88" s="344">
        <f>'BZ by State 1st Crop'!J88+'BZ by State 2nd Crop'!J88+'BZ by State 3rd Crop'!J88</f>
        <v>737</v>
      </c>
      <c r="K88" s="344">
        <f>'BZ by State 1st Crop'!K88+'BZ by State 2nd Crop'!K88+'BZ by State 3rd Crop'!K88</f>
        <v>943.4</v>
      </c>
      <c r="L88" s="344">
        <f>'BZ by State 1st Crop'!L88+'BZ by State 2nd Crop'!L88+'BZ by State 3rd Crop'!L88</f>
        <v>1183</v>
      </c>
      <c r="M88" s="344">
        <f>'BZ by State 1st Crop'!M88+'BZ by State 2nd Crop'!M88+'BZ by State 3rd Crop'!M88</f>
        <v>1019.3</v>
      </c>
      <c r="N88" s="344">
        <f>'BZ by State 1st Crop'!N88+'BZ by State 2nd Crop'!N88+'BZ by State 3rd Crop'!N88</f>
        <v>1045.8</v>
      </c>
      <c r="O88" s="344">
        <f>'BZ by State 1st Crop'!O88+'BZ by State 2nd Crop'!O88+'BZ by State 3rd Crop'!O88</f>
        <v>930</v>
      </c>
      <c r="P88" s="344">
        <f>'BZ by State 1st Crop'!P88+'BZ by State 2nd Crop'!P88+'BZ by State 3rd Crop'!P88</f>
        <v>890</v>
      </c>
      <c r="Q88" s="344">
        <f>'BZ by State 1st Crop'!Q88+'BZ by State 2nd Crop'!Q88+'BZ by State 3rd Crop'!Q88</f>
        <v>822</v>
      </c>
      <c r="R88" s="344">
        <f>'BZ by State 1st Crop'!R88+'BZ by State 2nd Crop'!R88+'BZ by State 3rd Crop'!R88</f>
        <v>692.1</v>
      </c>
      <c r="S88" s="344">
        <f>'BZ by State 1st Crop'!S88+'BZ by State 2nd Crop'!S88+'BZ by State 3rd Crop'!S88</f>
        <v>906.1</v>
      </c>
      <c r="T88" s="344">
        <f>'BZ by State 1st Crop'!T88+'BZ by State 2nd Crop'!T88+'BZ by State 3rd Crop'!T88</f>
        <v>875.3</v>
      </c>
      <c r="U88" s="344">
        <f>'BZ by State 1st Crop'!U88+'BZ by State 2nd Crop'!U88+'BZ by State 3rd Crop'!U88</f>
        <v>926.5</v>
      </c>
      <c r="V88" s="344">
        <f>'BZ by State 1st Crop'!V88+'BZ by State 2nd Crop'!V88+'BZ by State 3rd Crop'!V88</f>
        <v>964.59999999999991</v>
      </c>
      <c r="W88" s="344">
        <f>'BZ by State 1st Crop'!W88+'BZ by State 2nd Crop'!W88+'BZ by State 3rd Crop'!W88</f>
        <v>659.7</v>
      </c>
      <c r="X88" s="344">
        <f>'BZ by State 1st Crop'!X88+'BZ by State 2nd Crop'!X88+'BZ by State 3rd Crop'!X88</f>
        <v>840.4</v>
      </c>
      <c r="Y88" s="344">
        <f>'BZ by State 1st Crop'!Y88+'BZ by State 2nd Crop'!Y88+'BZ by State 3rd Crop'!Y88</f>
        <v>871.8</v>
      </c>
      <c r="Z88" s="344">
        <f>'BZ by State 1st Crop'!Z88+'BZ by State 2nd Crop'!Z88+'BZ by State 3rd Crop'!Z88</f>
        <v>906.1</v>
      </c>
      <c r="AA88" s="344">
        <f>'BZ by State 1st Crop'!AA88+'BZ by State 2nd Crop'!AA88+'BZ by State 3rd Crop'!AA88</f>
        <v>746.3</v>
      </c>
      <c r="AB88" s="344">
        <f>'BZ by State 1st Crop'!AB88+'BZ by State 2nd Crop'!AB88+'BZ by State 3rd Crop'!AB88</f>
        <v>715</v>
      </c>
      <c r="AC88" s="344">
        <f>'BZ by State 1st Crop'!AC88+'BZ by State 2nd Crop'!AC88+'BZ by State 3rd Crop'!AC88</f>
        <v>676.8</v>
      </c>
      <c r="AD88" s="344">
        <f>'BZ by State 1st Crop'!AD88+'BZ by State 2nd Crop'!AD88+'BZ by State 3rd Crop'!AD88</f>
        <v>605</v>
      </c>
      <c r="AE88" s="344">
        <f>'BZ by State 1st Crop'!AE88+'BZ by State 2nd Crop'!AE88+'BZ by State 3rd Crop'!AE88</f>
        <v>662.8</v>
      </c>
      <c r="AF88" s="344">
        <f>'BZ by State 1st Crop'!AF88+'BZ by State 2nd Crop'!AF88+'BZ by State 3rd Crop'!AF88</f>
        <v>785</v>
      </c>
      <c r="AG88" s="344">
        <f>'BZ by State 1st Crop'!AG88+'BZ by State 2nd Crop'!AG88+'BZ by State 3rd Crop'!AG88</f>
        <v>903.5</v>
      </c>
      <c r="AH88" s="344">
        <f>'BZ by State 1st Crop'!AH88+'BZ by State 2nd Crop'!AH88+'BZ by State 3rd Crop'!AH88</f>
        <v>910</v>
      </c>
      <c r="AI88" s="344">
        <f>'BZ by State 1st Crop'!AI88+'BZ by State 2nd Crop'!AI88+'BZ by State 3rd Crop'!AI88</f>
        <v>812.5</v>
      </c>
      <c r="AJ88" s="344">
        <f>'BZ by State 1st Crop'!AJ88+'BZ by State 2nd Crop'!AJ88+'BZ by State 3rd Crop'!AJ88</f>
        <v>933.9</v>
      </c>
      <c r="AK88" s="344">
        <f>'BZ by State 1st Crop'!AK88+'BZ by State 2nd Crop'!AK88+'BZ by State 3rd Crop'!AK88</f>
        <v>1241.9000000000001</v>
      </c>
      <c r="AL88" s="344">
        <f>'BZ by State 1st Crop'!AL88+'BZ by State 2nd Crop'!AL88+'BZ by State 3rd Crop'!AL88</f>
        <v>1215.8</v>
      </c>
      <c r="AM88" s="344">
        <f>'BZ by State 1st Crop'!AM88+'BZ by State 2nd Crop'!AM88+'BZ by State 3rd Crop'!AM88</f>
        <v>1240.5</v>
      </c>
      <c r="AN88" s="344">
        <f>'BZ by State 1st Crop'!AN88+'BZ by State 2nd Crop'!AN88+'BZ by State 3rd Crop'!AN88</f>
        <v>1363</v>
      </c>
      <c r="AO88" s="344">
        <f>'BZ by State 1st Crop'!AO88+'BZ by State 2nd Crop'!AO88+'BZ by State 3rd Crop'!AO88</f>
        <v>1521.1000000000001</v>
      </c>
      <c r="AP88" s="344">
        <f>'BZ by State 1st Crop'!AP88+'BZ by State 2nd Crop'!AP88+'BZ by State 3rd Crop'!AP88</f>
        <v>1520.7</v>
      </c>
      <c r="AQ88" s="344">
        <f>'BZ by State 1st Crop'!AQ88+'BZ by State 2nd Crop'!AQ88+'BZ by State 3rd Crop'!AQ88</f>
        <v>1444.6000000000001</v>
      </c>
      <c r="AR88" s="344">
        <f>'BZ by State 1st Crop'!AR88+'BZ by State 2nd Crop'!AR88+'BZ by State 3rd Crop'!AR88</f>
        <v>1677</v>
      </c>
      <c r="AS88" s="344">
        <f>'BZ by State 1st Crop'!AS88+'BZ by State 2nd Crop'!AS88+'BZ by State 3rd Crop'!AS88</f>
        <v>1911.7</v>
      </c>
      <c r="AT88" s="344">
        <f>'BZ by State 1st Crop'!AT88+'BZ by State 2nd Crop'!AT88+'BZ by State 3rd Crop'!AT88</f>
        <v>1838.6999999999998</v>
      </c>
      <c r="AU88" s="344">
        <f>'BZ by State 1st Crop'!AU88+'BZ by State 2nd Crop'!AU88+'BZ by State 3rd Crop'!AU88</f>
        <v>1919.6</v>
      </c>
      <c r="AV88" s="344">
        <f>'BZ by State 1st Crop'!AV88+'BZ by State 2nd Crop'!AV88+'BZ by State 3rd Crop'!AV88</f>
        <v>1903.7</v>
      </c>
      <c r="AW88" s="344">
        <f>'BZ by State 1st Crop'!AW88+'BZ by State 2nd Crop'!AW88+'BZ by State 3rd Crop'!AW88</f>
        <v>1741.4</v>
      </c>
      <c r="AX88" s="344">
        <f>'BZ by State 1st Crop'!AX88+'BZ by State 2nd Crop'!AX88+'BZ by State 3rd Crop'!AX88</f>
        <v>1969.1</v>
      </c>
      <c r="AY88" s="369">
        <f>'BZ by State 1st Crop'!AY88+'BZ by State 2nd Crop'!AY88+'BZ by State 3rd Crop'!AY88</f>
        <v>2061.9</v>
      </c>
      <c r="AZ88" s="366">
        <f>'BZ by State 1st Crop'!AZ88+'BZ by State 2nd Crop'!AZ88+'BZ by State 3rd Crop'!AZ88</f>
        <v>2061.9</v>
      </c>
      <c r="BA88" s="366">
        <f>AZ88-AY88</f>
        <v>0</v>
      </c>
      <c r="BB88" s="367">
        <f>AY88-AX88</f>
        <v>92.800000000000182</v>
      </c>
      <c r="BC88" s="368">
        <f>AZ88-AX88</f>
        <v>92.800000000000182</v>
      </c>
      <c r="BD88" s="353">
        <f>(AX88/AS88)^(1/5)-1</f>
        <v>5.9342758670797302E-3</v>
      </c>
      <c r="BF88" s="319" t="b">
        <v>0</v>
      </c>
      <c r="BH88" s="311"/>
      <c r="BI88" s="311"/>
      <c r="BJ88" s="311"/>
      <c r="BK88" s="311"/>
    </row>
    <row r="89" spans="1:63" ht="15" customHeight="1">
      <c r="A89" s="324" t="s">
        <v>375</v>
      </c>
      <c r="B89" s="345">
        <f t="shared" ref="B89" si="926">B90/B88*1000</f>
        <v>1800</v>
      </c>
      <c r="C89" s="345">
        <f t="shared" ref="C89" si="927">C90/C88*1000</f>
        <v>864.40677966101703</v>
      </c>
      <c r="D89" s="345">
        <f t="shared" ref="D89" si="928">D90/D88*1000</f>
        <v>788.73239436619713</v>
      </c>
      <c r="E89" s="345">
        <f t="shared" ref="E89" si="929">E90/E88*1000</f>
        <v>985.06357239846932</v>
      </c>
      <c r="F89" s="345">
        <f t="shared" ref="F89" si="930">F90/F88*1000</f>
        <v>621.0526315789474</v>
      </c>
      <c r="G89" s="345">
        <f t="shared" ref="G89" si="931">G90/G88*1000</f>
        <v>1022.842354000225</v>
      </c>
      <c r="H89" s="345">
        <f t="shared" ref="H89" si="932">H90/H88*1000</f>
        <v>350.55350553505536</v>
      </c>
      <c r="I89" s="345">
        <f t="shared" ref="I89" si="933">I90/I88*1000</f>
        <v>1210.3321033210332</v>
      </c>
      <c r="J89" s="345">
        <f t="shared" ref="J89" si="934">J90/J88*1000</f>
        <v>512.89009497964719</v>
      </c>
      <c r="K89" s="345">
        <f t="shared" ref="K89" si="935">K90/K88*1000</f>
        <v>922.19631121475516</v>
      </c>
      <c r="L89" s="345">
        <f t="shared" ref="L89" si="936">L90/L88*1000</f>
        <v>294.167371090448</v>
      </c>
      <c r="M89" s="345">
        <f t="shared" ref="M89" si="937">M90/M88*1000</f>
        <v>1015.402727361915</v>
      </c>
      <c r="N89" s="345">
        <f t="shared" ref="N89" si="938">N90/N88*1000</f>
        <v>981.06712564543898</v>
      </c>
      <c r="O89" s="345">
        <f t="shared" ref="O89" si="939">O90/O88*1000</f>
        <v>558.06451612903231</v>
      </c>
      <c r="P89" s="345">
        <f t="shared" ref="P89" si="940">P90/P88*1000</f>
        <v>1195.6179775280898</v>
      </c>
      <c r="Q89" s="345">
        <f t="shared" ref="Q89" si="941">Q90/Q88*1000</f>
        <v>865.6934306569342</v>
      </c>
      <c r="R89" s="345">
        <f t="shared" ref="R89" si="942">R90/R88*1000</f>
        <v>855.65669700910269</v>
      </c>
      <c r="S89" s="345">
        <f t="shared" ref="S89" si="943">S90/S88*1000</f>
        <v>1367.7298311444654</v>
      </c>
      <c r="T89" s="345">
        <f t="shared" ref="T89" si="944">T90/T88*1000</f>
        <v>1448.0749457328916</v>
      </c>
      <c r="U89" s="345">
        <f t="shared" ref="U89" si="945">U90/U88*1000</f>
        <v>1473.2865623313544</v>
      </c>
      <c r="V89" s="345">
        <f t="shared" ref="V89" si="946">V90/V88*1000</f>
        <v>1128.032345013477</v>
      </c>
      <c r="W89" s="345">
        <f t="shared" ref="W89" si="947">W90/W88*1000</f>
        <v>954.524783992724</v>
      </c>
      <c r="X89" s="345">
        <f t="shared" ref="X89" si="948">X90/X88*1000</f>
        <v>1049.8572108519752</v>
      </c>
      <c r="Y89" s="345">
        <f t="shared" ref="Y89" si="949">Y90/Y88*1000</f>
        <v>1079.146593255334</v>
      </c>
      <c r="Z89" s="345">
        <f t="shared" ref="Z89" si="950">Z90/Z88*1000</f>
        <v>1026.3767796049001</v>
      </c>
      <c r="AA89" s="345">
        <f t="shared" ref="AA89" si="951">AA90/AA88*1000</f>
        <v>1304.4352137210237</v>
      </c>
      <c r="AB89" s="345">
        <f t="shared" ref="AB89" si="952">AB90/AB88*1000</f>
        <v>1737.9020979020979</v>
      </c>
      <c r="AC89" s="345">
        <f t="shared" ref="AC89" si="953">AC90/AC88*1000</f>
        <v>1907.8014184397161</v>
      </c>
      <c r="AD89" s="345">
        <f t="shared" ref="AD89" si="954">AD90/AD88*1000</f>
        <v>2008.7603305785126</v>
      </c>
      <c r="AE89" s="345">
        <f t="shared" ref="AE89" si="955">AE90/AE88*1000</f>
        <v>1920.9414604707299</v>
      </c>
      <c r="AF89" s="345">
        <f t="shared" ref="AF89" si="956">AF90/AF88*1000</f>
        <v>1708.6624203821659</v>
      </c>
      <c r="AG89" s="345">
        <f t="shared" ref="AG89" si="957">AG90/AG88*1000</f>
        <v>1628.3342556723851</v>
      </c>
      <c r="AH89" s="345">
        <f t="shared" ref="AH89" si="958">AH90/AH88*1000</f>
        <v>1661.8681318681322</v>
      </c>
      <c r="AI89" s="345">
        <f t="shared" ref="AI89" si="959">AI90/AI88*1000</f>
        <v>2075.4461538461537</v>
      </c>
      <c r="AJ89" s="345">
        <f t="shared" ref="AJ89" si="960">AJ90/AJ88*1000</f>
        <v>2825.8914230645682</v>
      </c>
      <c r="AK89" s="345">
        <f t="shared" ref="AK89" si="961">AK90/AK88*1000</f>
        <v>1767.2920525002014</v>
      </c>
      <c r="AL89" s="345">
        <f t="shared" ref="AL89" si="962">AL90/AL88*1000</f>
        <v>3230.9590393156773</v>
      </c>
      <c r="AM89" s="345">
        <f t="shared" ref="AM89" si="963">AM90/AM88*1000</f>
        <v>4173.8814993954056</v>
      </c>
      <c r="AN89" s="345">
        <f t="shared" ref="AN89" si="964">AN90/AN88*1000</f>
        <v>3233.7490829053559</v>
      </c>
      <c r="AO89" s="345">
        <f t="shared" ref="AO89" si="965">AO90/AO88*1000</f>
        <v>1724.5414502662543</v>
      </c>
      <c r="AP89" s="345">
        <f t="shared" ref="AP89" si="966">AP90/AP88*1000</f>
        <v>3850.6608798579605</v>
      </c>
      <c r="AQ89" s="345">
        <f t="shared" ref="AQ89" si="967">AQ90/AQ88*1000</f>
        <v>3912.5017305828596</v>
      </c>
      <c r="AR89" s="345">
        <f t="shared" ref="AR89" si="968">AR90/AR88*1000</f>
        <v>3206.6189624329159</v>
      </c>
      <c r="AS89" s="345">
        <f t="shared" ref="AS89" si="969">AS90/AS88*1000</f>
        <v>3446.6181932311561</v>
      </c>
      <c r="AT89" s="345">
        <f t="shared" ref="AT89" si="970">AT90/AT88*1000</f>
        <v>4585.2830804372661</v>
      </c>
      <c r="AU89" s="345">
        <f t="shared" ref="AU89" si="971">AU90/AU88*1000</f>
        <v>5076.36903521567</v>
      </c>
      <c r="AV89" s="345">
        <f t="shared" ref="AV89" si="972">AV90/AV88*1000</f>
        <v>6640.3049850291536</v>
      </c>
      <c r="AW89" s="345">
        <f t="shared" ref="AW89" si="973">AW90/AW88*1000</f>
        <v>6509.3910646606191</v>
      </c>
      <c r="AX89" s="345">
        <f t="shared" ref="AX89" si="974">AX90/AX88*1000</f>
        <v>7245.0315880351436</v>
      </c>
      <c r="AY89" s="346">
        <f t="shared" ref="AY89:AZ89" si="975">AY90/AY88*1000</f>
        <v>6893.4576846597793</v>
      </c>
      <c r="AZ89" s="347">
        <f t="shared" si="975"/>
        <v>6762.9146418352011</v>
      </c>
      <c r="BA89" s="347">
        <f>AZ89-AY89</f>
        <v>-130.54304282457815</v>
      </c>
      <c r="BB89" s="351">
        <f>AY89-AX89</f>
        <v>-351.57390337536435</v>
      </c>
      <c r="BC89" s="352">
        <f>AZ89-AX89</f>
        <v>-482.1169461999425</v>
      </c>
      <c r="BD89" s="353">
        <f t="shared" ref="BD89:BD90" si="976">(AX89/AS89)^(1/5)-1</f>
        <v>0.16019081102902955</v>
      </c>
    </row>
    <row r="90" spans="1:63" s="311" customFormat="1" ht="15" customHeight="1">
      <c r="A90" s="324" t="s">
        <v>376</v>
      </c>
      <c r="B90" s="344">
        <f>'BZ by State 1st Crop'!B90+'BZ by State 2nd Crop'!B90+'BZ by State 3rd Crop'!B90</f>
        <v>1553.4</v>
      </c>
      <c r="C90" s="344">
        <f>'BZ by State 1st Crop'!C90+'BZ by State 2nd Crop'!C90+'BZ by State 3rd Crop'!C90</f>
        <v>765</v>
      </c>
      <c r="D90" s="344">
        <f>'BZ by State 1st Crop'!D90+'BZ by State 2nd Crop'!D90+'BZ by State 3rd Crop'!D90</f>
        <v>672</v>
      </c>
      <c r="E90" s="344">
        <f>'BZ by State 1st Crop'!E90+'BZ by State 2nd Crop'!E90+'BZ by State 3rd Crop'!E90</f>
        <v>798</v>
      </c>
      <c r="F90" s="344">
        <f>'BZ by State 1st Crop'!F90+'BZ by State 2nd Crop'!F90+'BZ by State 3rd Crop'!F90</f>
        <v>531</v>
      </c>
      <c r="G90" s="344">
        <f>'BZ by State 1st Crop'!G90+'BZ by State 2nd Crop'!G90+'BZ by State 3rd Crop'!G90</f>
        <v>909</v>
      </c>
      <c r="H90" s="344">
        <f>'BZ by State 1st Crop'!H90+'BZ by State 2nd Crop'!H90+'BZ by State 3rd Crop'!H90</f>
        <v>285</v>
      </c>
      <c r="I90" s="344">
        <f>'BZ by State 1st Crop'!I90+'BZ by State 2nd Crop'!I90+'BZ by State 3rd Crop'!I90</f>
        <v>984</v>
      </c>
      <c r="J90" s="344">
        <f>'BZ by State 1st Crop'!J90+'BZ by State 2nd Crop'!J90+'BZ by State 3rd Crop'!J90</f>
        <v>378</v>
      </c>
      <c r="K90" s="344">
        <f>'BZ by State 1st Crop'!K90+'BZ by State 2nd Crop'!K90+'BZ by State 3rd Crop'!K90</f>
        <v>870</v>
      </c>
      <c r="L90" s="344">
        <f>'BZ by State 1st Crop'!L90+'BZ by State 2nd Crop'!L90+'BZ by State 3rd Crop'!L90</f>
        <v>348</v>
      </c>
      <c r="M90" s="344">
        <f>'BZ by State 1st Crop'!M90+'BZ by State 2nd Crop'!M90+'BZ by State 3rd Crop'!M90</f>
        <v>1035</v>
      </c>
      <c r="N90" s="344">
        <f>'BZ by State 1st Crop'!N90+'BZ by State 2nd Crop'!N90+'BZ by State 3rd Crop'!N90</f>
        <v>1026</v>
      </c>
      <c r="O90" s="344">
        <f>'BZ by State 1st Crop'!O90+'BZ by State 2nd Crop'!O90+'BZ by State 3rd Crop'!O90</f>
        <v>519</v>
      </c>
      <c r="P90" s="344">
        <f>'BZ by State 1st Crop'!P90+'BZ by State 2nd Crop'!P90+'BZ by State 3rd Crop'!P90</f>
        <v>1064.0999999999999</v>
      </c>
      <c r="Q90" s="344">
        <f>'BZ by State 1st Crop'!Q90+'BZ by State 2nd Crop'!Q90+'BZ by State 3rd Crop'!Q90</f>
        <v>711.59999999999991</v>
      </c>
      <c r="R90" s="344">
        <f>'BZ by State 1st Crop'!R90+'BZ by State 2nd Crop'!R90+'BZ by State 3rd Crop'!R90</f>
        <v>592.20000000000005</v>
      </c>
      <c r="S90" s="344">
        <f>'BZ by State 1st Crop'!S90+'BZ by State 2nd Crop'!S90+'BZ by State 3rd Crop'!S90</f>
        <v>1239.3000000000002</v>
      </c>
      <c r="T90" s="344">
        <f>'BZ by State 1st Crop'!T90+'BZ by State 2nd Crop'!T90+'BZ by State 3rd Crop'!T90</f>
        <v>1267.5</v>
      </c>
      <c r="U90" s="344">
        <f>'BZ by State 1st Crop'!U90+'BZ by State 2nd Crop'!U90+'BZ by State 3rd Crop'!U90</f>
        <v>1365</v>
      </c>
      <c r="V90" s="344">
        <f>'BZ by State 1st Crop'!V90+'BZ by State 2nd Crop'!V90+'BZ by State 3rd Crop'!V90</f>
        <v>1088.0999999999999</v>
      </c>
      <c r="W90" s="344">
        <f>'BZ by State 1st Crop'!W90+'BZ by State 2nd Crop'!W90+'BZ by State 3rd Crop'!W90</f>
        <v>629.70000000000005</v>
      </c>
      <c r="X90" s="344">
        <f>'BZ by State 1st Crop'!X90+'BZ by State 2nd Crop'!X90+'BZ by State 3rd Crop'!X90</f>
        <v>882.30000000000007</v>
      </c>
      <c r="Y90" s="344">
        <f>'BZ by State 1st Crop'!Y90+'BZ by State 2nd Crop'!Y90+'BZ by State 3rd Crop'!Y90</f>
        <v>940.80000000000007</v>
      </c>
      <c r="Z90" s="344">
        <f>'BZ by State 1st Crop'!Z90+'BZ by State 2nd Crop'!Z90+'BZ by State 3rd Crop'!Z90</f>
        <v>930</v>
      </c>
      <c r="AA90" s="344">
        <f>'BZ by State 1st Crop'!AA90+'BZ by State 2nd Crop'!AA90+'BZ by State 3rd Crop'!AA90</f>
        <v>973.5</v>
      </c>
      <c r="AB90" s="344">
        <f>'BZ by State 1st Crop'!AB90+'BZ by State 2nd Crop'!AB90+'BZ by State 3rd Crop'!AB90</f>
        <v>1242.5999999999999</v>
      </c>
      <c r="AC90" s="344">
        <f>'BZ by State 1st Crop'!AC90+'BZ by State 2nd Crop'!AC90+'BZ by State 3rd Crop'!AC90</f>
        <v>1291.1999999999998</v>
      </c>
      <c r="AD90" s="344">
        <f>'BZ by State 1st Crop'!AD90+'BZ by State 2nd Crop'!AD90+'BZ by State 3rd Crop'!AD90</f>
        <v>1215.3000000000002</v>
      </c>
      <c r="AE90" s="344">
        <f>'BZ by State 1st Crop'!AE90+'BZ by State 2nd Crop'!AE90+'BZ by State 3rd Crop'!AE90</f>
        <v>1273.1999999999998</v>
      </c>
      <c r="AF90" s="344">
        <f>'BZ by State 1st Crop'!AF90+'BZ by State 2nd Crop'!AF90+'BZ by State 3rd Crop'!AF90</f>
        <v>1341.3000000000002</v>
      </c>
      <c r="AG90" s="344">
        <f>'BZ by State 1st Crop'!AG90+'BZ by State 2nd Crop'!AG90+'BZ by State 3rd Crop'!AG90</f>
        <v>1471.1999999999998</v>
      </c>
      <c r="AH90" s="344">
        <f>'BZ by State 1st Crop'!AH90+'BZ by State 2nd Crop'!AH90+'BZ by State 3rd Crop'!AH90</f>
        <v>1512.3000000000002</v>
      </c>
      <c r="AI90" s="344">
        <f>'BZ by State 1st Crop'!AI90+'BZ by State 2nd Crop'!AI90+'BZ by State 3rd Crop'!AI90</f>
        <v>1686.3000000000002</v>
      </c>
      <c r="AJ90" s="344">
        <f>'BZ by State 1st Crop'!AJ90+'BZ by State 2nd Crop'!AJ90+'BZ by State 3rd Crop'!AJ90</f>
        <v>2639.1000000000004</v>
      </c>
      <c r="AK90" s="344">
        <f>'BZ by State 1st Crop'!AK90+'BZ by State 2nd Crop'!AK90+'BZ by State 3rd Crop'!AK90</f>
        <v>2194.8000000000002</v>
      </c>
      <c r="AL90" s="344">
        <f>'BZ by State 1st Crop'!AL90+'BZ by State 2nd Crop'!AL90+'BZ by State 3rd Crop'!AL90</f>
        <v>3928.2000000000003</v>
      </c>
      <c r="AM90" s="344">
        <f>'BZ by State 1st Crop'!AM90+'BZ by State 2nd Crop'!AM90+'BZ by State 3rd Crop'!AM90</f>
        <v>5177.7000000000007</v>
      </c>
      <c r="AN90" s="344">
        <f>'BZ by State 1st Crop'!AN90+'BZ by State 2nd Crop'!AN90+'BZ by State 3rd Crop'!AN90</f>
        <v>4407.6000000000004</v>
      </c>
      <c r="AO90" s="344">
        <f>'BZ by State 1st Crop'!AO90+'BZ by State 2nd Crop'!AO90+'BZ by State 3rd Crop'!AO90</f>
        <v>2623.2</v>
      </c>
      <c r="AP90" s="344">
        <f>'BZ by State 1st Crop'!AP90+'BZ by State 2nd Crop'!AP90+'BZ by State 3rd Crop'!AP90</f>
        <v>5855.7000000000007</v>
      </c>
      <c r="AQ90" s="344">
        <f>'BZ by State 1st Crop'!AQ90+'BZ by State 2nd Crop'!AQ90+'BZ by State 3rd Crop'!AQ90</f>
        <v>5652</v>
      </c>
      <c r="AR90" s="344">
        <f>'BZ by State 1st Crop'!AR90+'BZ by State 2nd Crop'!AR90+'BZ by State 3rd Crop'!AR90</f>
        <v>5377.5</v>
      </c>
      <c r="AS90" s="344">
        <f>'BZ by State 1st Crop'!AS90+'BZ by State 2nd Crop'!AS90+'BZ by State 3rd Crop'!AS90</f>
        <v>6588.9000000000005</v>
      </c>
      <c r="AT90" s="344">
        <f>'BZ by State 1st Crop'!AT90+'BZ by State 2nd Crop'!AT90+'BZ by State 3rd Crop'!AT90</f>
        <v>8430.9600000000009</v>
      </c>
      <c r="AU90" s="344">
        <f>'BZ by State 1st Crop'!AU90+'BZ by State 2nd Crop'!AU90+'BZ by State 3rd Crop'!AU90</f>
        <v>9744.598</v>
      </c>
      <c r="AV90" s="344">
        <f>'BZ by State 1st Crop'!AV90+'BZ by State 2nd Crop'!AV90+'BZ by State 3rd Crop'!AV90</f>
        <v>12641.1486</v>
      </c>
      <c r="AW90" s="344">
        <f>'BZ by State 1st Crop'!AW90+'BZ by State 2nd Crop'!AW90+'BZ by State 3rd Crop'!AW90</f>
        <v>11335.453600000003</v>
      </c>
      <c r="AX90" s="344">
        <f>'BZ by State 1st Crop'!AX90+'BZ by State 2nd Crop'!AX90+'BZ by State 3rd Crop'!AX90</f>
        <v>14266.191699999999</v>
      </c>
      <c r="AY90" s="365">
        <f>'BZ by State 1st Crop'!AY90+'BZ by State 2nd Crop'!AY90+'BZ by State 3rd Crop'!AY90</f>
        <v>14213.6204</v>
      </c>
      <c r="AZ90" s="366">
        <f>'BZ by State 1st Crop'!AZ90+'BZ by State 2nd Crop'!AZ90+'BZ by State 3rd Crop'!AZ90</f>
        <v>13944.453700000002</v>
      </c>
      <c r="BA90" s="366">
        <f>AZ90-AY90</f>
        <v>-269.16669999999795</v>
      </c>
      <c r="BB90" s="367">
        <f>AY90-AX90</f>
        <v>-52.57129999999961</v>
      </c>
      <c r="BC90" s="368">
        <f>AZ90-AX90</f>
        <v>-321.73799999999756</v>
      </c>
      <c r="BD90" s="353">
        <f t="shared" si="976"/>
        <v>0.16707570336012667</v>
      </c>
      <c r="BE90" s="309"/>
      <c r="BF90"/>
      <c r="BG90" s="308"/>
    </row>
    <row r="91" spans="1:63" ht="15" customHeight="1">
      <c r="A91" s="320" t="s">
        <v>378</v>
      </c>
      <c r="B91" s="356"/>
      <c r="C91" s="356"/>
      <c r="D91" s="356"/>
      <c r="E91" s="356"/>
      <c r="F91" s="356"/>
      <c r="G91" s="356"/>
      <c r="H91" s="356"/>
      <c r="I91" s="356"/>
      <c r="J91" s="356"/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56"/>
      <c r="Z91" s="356"/>
      <c r="AA91" s="356"/>
      <c r="AB91" s="356"/>
      <c r="AC91" s="356"/>
      <c r="AD91" s="356"/>
      <c r="AE91" s="356"/>
      <c r="AF91" s="356"/>
      <c r="AG91" s="356"/>
      <c r="AH91" s="356"/>
      <c r="AI91" s="356"/>
      <c r="AJ91" s="356"/>
      <c r="AK91" s="356"/>
      <c r="AL91" s="356"/>
      <c r="AM91" s="356"/>
      <c r="AN91" s="356"/>
      <c r="AO91" s="356"/>
      <c r="AP91" s="356"/>
      <c r="AQ91" s="356"/>
      <c r="AR91" s="356"/>
      <c r="AS91" s="356"/>
      <c r="AT91" s="328"/>
      <c r="AU91" s="328"/>
      <c r="AV91" s="328"/>
      <c r="AW91" s="328"/>
      <c r="AX91" s="328"/>
      <c r="AY91" s="321"/>
      <c r="AZ91" s="328"/>
      <c r="BA91" s="329"/>
      <c r="BB91" s="321"/>
      <c r="BC91" s="328"/>
      <c r="BD91" s="329"/>
    </row>
    <row r="92" spans="1:63" ht="15" customHeight="1">
      <c r="A92" s="324" t="s">
        <v>352</v>
      </c>
      <c r="B92" s="344">
        <f>'BZ by State 1st Crop'!B92+'BZ by State 2nd Crop'!B92+'BZ by State 3rd Crop'!B92</f>
        <v>2.2999999999999998</v>
      </c>
      <c r="C92" s="344">
        <f>'BZ by State 1st Crop'!C92+'BZ by State 2nd Crop'!C92+'BZ by State 3rd Crop'!C92</f>
        <v>0</v>
      </c>
      <c r="D92" s="344">
        <f>'BZ by State 1st Crop'!D92+'BZ by State 2nd Crop'!D92+'BZ by State 3rd Crop'!D92</f>
        <v>0</v>
      </c>
      <c r="E92" s="344">
        <f>'BZ by State 1st Crop'!E92+'BZ by State 2nd Crop'!E92+'BZ by State 3rd Crop'!E92</f>
        <v>0</v>
      </c>
      <c r="F92" s="344">
        <f>'BZ by State 1st Crop'!F92+'BZ by State 2nd Crop'!F92+'BZ by State 3rd Crop'!F92</f>
        <v>0</v>
      </c>
      <c r="G92" s="344">
        <f>'BZ by State 1st Crop'!G92+'BZ by State 2nd Crop'!G92+'BZ by State 3rd Crop'!G92</f>
        <v>2.5</v>
      </c>
      <c r="H92" s="344">
        <f>'BZ by State 1st Crop'!H92+'BZ by State 2nd Crop'!H92+'BZ by State 3rd Crop'!H92</f>
        <v>2.4</v>
      </c>
      <c r="I92" s="344">
        <f>'BZ by State 1st Crop'!I92+'BZ by State 2nd Crop'!I92+'BZ by State 3rd Crop'!I92</f>
        <v>3</v>
      </c>
      <c r="J92" s="344">
        <f>'BZ by State 1st Crop'!J92+'BZ by State 2nd Crop'!J92+'BZ by State 3rd Crop'!J92</f>
        <v>4</v>
      </c>
      <c r="K92" s="344">
        <f>'BZ by State 1st Crop'!K92+'BZ by State 2nd Crop'!K92+'BZ by State 3rd Crop'!K92</f>
        <v>6.1</v>
      </c>
      <c r="L92" s="344">
        <f>'BZ by State 1st Crop'!L92+'BZ by State 2nd Crop'!L92+'BZ by State 3rd Crop'!L92</f>
        <v>13.6</v>
      </c>
      <c r="M92" s="344">
        <f>'BZ by State 1st Crop'!M92+'BZ by State 2nd Crop'!M92+'BZ by State 3rd Crop'!M92</f>
        <v>18.5</v>
      </c>
      <c r="N92" s="344">
        <f>'BZ by State 1st Crop'!N92+'BZ by State 2nd Crop'!N92+'BZ by State 3rd Crop'!N92</f>
        <v>15.5</v>
      </c>
      <c r="O92" s="344">
        <f>'BZ by State 1st Crop'!O92+'BZ by State 2nd Crop'!O92+'BZ by State 3rd Crop'!O92</f>
        <v>16.8</v>
      </c>
      <c r="P92" s="344">
        <f>'BZ by State 1st Crop'!P92+'BZ by State 2nd Crop'!P92+'BZ by State 3rd Crop'!P92</f>
        <v>24</v>
      </c>
      <c r="Q92" s="344">
        <f>'BZ by State 1st Crop'!Q92+'BZ by State 2nd Crop'!Q92+'BZ by State 3rd Crop'!Q92</f>
        <v>24.6</v>
      </c>
      <c r="R92" s="344">
        <f>'BZ by State 1st Crop'!R92+'BZ by State 2nd Crop'!R92+'BZ by State 3rd Crop'!R92</f>
        <v>17.3</v>
      </c>
      <c r="S92" s="344">
        <f>'BZ by State 1st Crop'!S92+'BZ by State 2nd Crop'!S92+'BZ by State 3rd Crop'!S92</f>
        <v>20.9</v>
      </c>
      <c r="T92" s="344">
        <f>'BZ by State 1st Crop'!T92+'BZ by State 2nd Crop'!T92+'BZ by State 3rd Crop'!T92</f>
        <v>21.8</v>
      </c>
      <c r="U92" s="344">
        <f>'BZ by State 1st Crop'!U92+'BZ by State 2nd Crop'!U92+'BZ by State 3rd Crop'!U92</f>
        <v>25.3</v>
      </c>
      <c r="V92" s="344">
        <f>'BZ by State 1st Crop'!V92+'BZ by State 2nd Crop'!V92+'BZ by State 3rd Crop'!V92</f>
        <v>27.4</v>
      </c>
      <c r="W92" s="344">
        <f>'BZ by State 1st Crop'!W92+'BZ by State 2nd Crop'!W92+'BZ by State 3rd Crop'!W92</f>
        <v>23.8</v>
      </c>
      <c r="X92" s="344">
        <f>'BZ by State 1st Crop'!X92+'BZ by State 2nd Crop'!X92+'BZ by State 3rd Crop'!X92</f>
        <v>34</v>
      </c>
      <c r="Y92" s="344">
        <f>'BZ by State 1st Crop'!Y92+'BZ by State 2nd Crop'!Y92+'BZ by State 3rd Crop'!Y92</f>
        <v>32.5</v>
      </c>
      <c r="Z92" s="344">
        <f>'BZ by State 1st Crop'!Z92+'BZ by State 2nd Crop'!Z92+'BZ by State 3rd Crop'!Z92</f>
        <v>33.700000000000003</v>
      </c>
      <c r="AA92" s="344">
        <f>'BZ by State 1st Crop'!AA92+'BZ by State 2nd Crop'!AA92+'BZ by State 3rd Crop'!AA92</f>
        <v>28.2</v>
      </c>
      <c r="AB92" s="344">
        <f>'BZ by State 1st Crop'!AB92+'BZ by State 2nd Crop'!AB92+'BZ by State 3rd Crop'!AB92</f>
        <v>31.6</v>
      </c>
      <c r="AC92" s="344">
        <f>'BZ by State 1st Crop'!AC92+'BZ by State 2nd Crop'!AC92+'BZ by State 3rd Crop'!AC92</f>
        <v>32.9</v>
      </c>
      <c r="AD92" s="344">
        <f>'BZ by State 1st Crop'!AD92+'BZ by State 2nd Crop'!AD92+'BZ by State 3rd Crop'!AD92</f>
        <v>36.700000000000003</v>
      </c>
      <c r="AE92" s="344">
        <f>'BZ by State 1st Crop'!AE92+'BZ by State 2nd Crop'!AE92+'BZ by State 3rd Crop'!AE92</f>
        <v>39.5</v>
      </c>
      <c r="AF92" s="344">
        <f>'BZ by State 1st Crop'!AF92+'BZ by State 2nd Crop'!AF92+'BZ by State 3rd Crop'!AF92</f>
        <v>44.2</v>
      </c>
      <c r="AG92" s="344">
        <f>'BZ by State 1st Crop'!AG92+'BZ by State 2nd Crop'!AG92+'BZ by State 3rd Crop'!AG92</f>
        <v>48.3</v>
      </c>
      <c r="AH92" s="344">
        <f>'BZ by State 1st Crop'!AH92+'BZ by State 2nd Crop'!AH92+'BZ by State 3rd Crop'!AH92</f>
        <v>39</v>
      </c>
      <c r="AI92" s="344">
        <f>'BZ by State 1st Crop'!AI92+'BZ by State 2nd Crop'!AI92+'BZ by State 3rd Crop'!AI92</f>
        <v>33.200000000000003</v>
      </c>
      <c r="AJ92" s="344">
        <f>'BZ by State 1st Crop'!AJ92+'BZ by State 2nd Crop'!AJ92+'BZ by State 3rd Crop'!AJ92</f>
        <v>32.4</v>
      </c>
      <c r="AK92" s="344">
        <f>'BZ by State 1st Crop'!AK92+'BZ by State 2nd Crop'!AK92+'BZ by State 3rd Crop'!AK92</f>
        <v>42.3</v>
      </c>
      <c r="AL92" s="344">
        <f>'BZ by State 1st Crop'!AL92+'BZ by State 2nd Crop'!AL92+'BZ by State 3rd Crop'!AL92</f>
        <v>53.4</v>
      </c>
      <c r="AM92" s="344">
        <f>'BZ by State 1st Crop'!AM92+'BZ by State 2nd Crop'!AM92+'BZ by State 3rd Crop'!AM92</f>
        <v>89</v>
      </c>
      <c r="AN92" s="344">
        <f>'BZ by State 1st Crop'!AN92+'BZ by State 2nd Crop'!AN92+'BZ by State 3rd Crop'!AN92</f>
        <v>65.2</v>
      </c>
      <c r="AO92" s="344">
        <f>'BZ by State 1st Crop'!AO92+'BZ by State 2nd Crop'!AO92+'BZ by State 3rd Crop'!AO92</f>
        <v>65.2</v>
      </c>
      <c r="AP92" s="344">
        <f>'BZ by State 1st Crop'!AP92+'BZ by State 2nd Crop'!AP92+'BZ by State 3rd Crop'!AP92</f>
        <v>67</v>
      </c>
      <c r="AQ92" s="344">
        <f>'BZ by State 1st Crop'!AQ92+'BZ by State 2nd Crop'!AQ92+'BZ by State 3rd Crop'!AQ92</f>
        <v>63.599999999999994</v>
      </c>
      <c r="AR92" s="344">
        <f>'BZ by State 1st Crop'!AR92+'BZ by State 2nd Crop'!AR92+'BZ by State 3rd Crop'!AR92</f>
        <v>64.8</v>
      </c>
      <c r="AS92" s="344">
        <f>'BZ by State 1st Crop'!AS92+'BZ by State 2nd Crop'!AS92+'BZ by State 3rd Crop'!AS92</f>
        <v>61.2</v>
      </c>
      <c r="AT92" s="344">
        <f>'BZ by State 1st Crop'!AT92+'BZ by State 2nd Crop'!AT92+'BZ by State 3rd Crop'!AT92</f>
        <v>59.900000000000006</v>
      </c>
      <c r="AU92" s="344">
        <f>'BZ by State 1st Crop'!AU92+'BZ by State 2nd Crop'!AU92+'BZ by State 3rd Crop'!AU92</f>
        <v>66.099999999999994</v>
      </c>
      <c r="AV92" s="344">
        <f>'BZ by State 1st Crop'!AV92+'BZ by State 2nd Crop'!AV92+'BZ by State 3rd Crop'!AV92</f>
        <v>56.1</v>
      </c>
      <c r="AW92" s="344">
        <f>'BZ by State 1st Crop'!AW92+'BZ by State 2nd Crop'!AW92+'BZ by State 3rd Crop'!AW92</f>
        <v>50.5</v>
      </c>
      <c r="AX92" s="344">
        <f>'BZ by State 1st Crop'!AX92+'BZ by State 2nd Crop'!AX92+'BZ by State 3rd Crop'!AX92</f>
        <v>56.2</v>
      </c>
      <c r="AY92" s="369">
        <f>'BZ by State 1st Crop'!AY92+'BZ by State 2nd Crop'!AY92+'BZ by State 3rd Crop'!AY92</f>
        <v>56.2</v>
      </c>
      <c r="AZ92" s="366">
        <f>'BZ by State 1st Crop'!AZ92+'BZ by State 2nd Crop'!AZ92+'BZ by State 3rd Crop'!AZ92</f>
        <v>56.2</v>
      </c>
      <c r="BA92" s="366">
        <f>AZ92-AY92</f>
        <v>0</v>
      </c>
      <c r="BB92" s="367">
        <f>AY92-AX92</f>
        <v>0</v>
      </c>
      <c r="BC92" s="368">
        <f>AZ92-AX92</f>
        <v>0</v>
      </c>
      <c r="BD92" s="353">
        <f>(AX92/AS92)^(1/5)-1</f>
        <v>-1.6901623995772663E-2</v>
      </c>
      <c r="BF92" s="319" t="b">
        <v>0</v>
      </c>
      <c r="BH92" s="311"/>
      <c r="BI92" s="311"/>
      <c r="BJ92" s="311"/>
      <c r="BK92" s="311"/>
    </row>
    <row r="93" spans="1:63" ht="15" customHeight="1">
      <c r="A93" s="324" t="s">
        <v>353</v>
      </c>
      <c r="B93" s="345">
        <f t="shared" ref="B93" si="977">B94/B92*1000</f>
        <v>1217.3913043478262</v>
      </c>
      <c r="C93" s="345" t="e">
        <f t="shared" ref="C93" si="978">C94/C92*1000</f>
        <v>#DIV/0!</v>
      </c>
      <c r="D93" s="345" t="e">
        <f t="shared" ref="D93" si="979">D94/D92*1000</f>
        <v>#DIV/0!</v>
      </c>
      <c r="E93" s="345" t="e">
        <f t="shared" ref="E93" si="980">E94/E92*1000</f>
        <v>#DIV/0!</v>
      </c>
      <c r="F93" s="345" t="e">
        <f t="shared" ref="F93" si="981">F94/F92*1000</f>
        <v>#DIV/0!</v>
      </c>
      <c r="G93" s="345">
        <f t="shared" ref="G93" si="982">G94/G92*1000</f>
        <v>363600</v>
      </c>
      <c r="H93" s="345">
        <f t="shared" ref="H93" si="983">H94/H92*1000</f>
        <v>118750</v>
      </c>
      <c r="I93" s="345">
        <f t="shared" ref="I93" si="984">I94/I92*1000</f>
        <v>328000</v>
      </c>
      <c r="J93" s="345">
        <f t="shared" ref="J93" si="985">J94/J92*1000</f>
        <v>94500</v>
      </c>
      <c r="K93" s="345">
        <f t="shared" ref="K93" si="986">K94/K92*1000</f>
        <v>142622.95081967211</v>
      </c>
      <c r="L93" s="345">
        <f t="shared" ref="L93" si="987">L94/L92*1000</f>
        <v>25588.235294117647</v>
      </c>
      <c r="M93" s="345">
        <f t="shared" ref="M93" si="988">M94/M92*1000</f>
        <v>55945.945945945947</v>
      </c>
      <c r="N93" s="345">
        <f t="shared" ref="N93" si="989">N94/N92*1000</f>
        <v>66193.548387096773</v>
      </c>
      <c r="O93" s="345">
        <f t="shared" ref="O93" si="990">O94/O92*1000</f>
        <v>30892.857142857141</v>
      </c>
      <c r="P93" s="345">
        <f t="shared" ref="P93" si="991">P94/P92*1000</f>
        <v>44337.5</v>
      </c>
      <c r="Q93" s="345">
        <f t="shared" ref="Q93" si="992">Q94/Q92*1000</f>
        <v>28926.829268292677</v>
      </c>
      <c r="R93" s="345">
        <f t="shared" ref="R93" si="993">R94/R92*1000</f>
        <v>34231.21387283237</v>
      </c>
      <c r="S93" s="345">
        <f t="shared" ref="S93" si="994">S94/S92*1000</f>
        <v>59296.650717703364</v>
      </c>
      <c r="T93" s="345">
        <f t="shared" ref="T93" si="995">T94/T92*1000</f>
        <v>58142.201834862382</v>
      </c>
      <c r="U93" s="345">
        <f t="shared" ref="U93" si="996">U94/U92*1000</f>
        <v>53952.569169960472</v>
      </c>
      <c r="V93" s="345">
        <f t="shared" ref="V93" si="997">V94/V92*1000</f>
        <v>39711.678832116791</v>
      </c>
      <c r="W93" s="345">
        <f t="shared" ref="W93" si="998">W94/W92*1000</f>
        <v>26457.983193277312</v>
      </c>
      <c r="X93" s="345">
        <f t="shared" ref="X93" si="999">X94/X92*1000</f>
        <v>25950.000000000004</v>
      </c>
      <c r="Y93" s="345">
        <f t="shared" ref="Y93" si="1000">Y94/Y92*1000</f>
        <v>28947.692307692312</v>
      </c>
      <c r="Z93" s="345">
        <f t="shared" ref="Z93" si="1001">Z94/Z92*1000</f>
        <v>27596.439169139467</v>
      </c>
      <c r="AA93" s="345">
        <f t="shared" ref="AA93" si="1002">AA94/AA92*1000</f>
        <v>34521.276595744683</v>
      </c>
      <c r="AB93" s="345">
        <f t="shared" ref="AB93" si="1003">AB94/AB92*1000</f>
        <v>39322.784810126577</v>
      </c>
      <c r="AC93" s="345">
        <f t="shared" ref="AC93" si="1004">AC94/AC92*1000</f>
        <v>39246.200607902727</v>
      </c>
      <c r="AD93" s="345">
        <f t="shared" ref="AD93" si="1005">AD94/AD92*1000</f>
        <v>33114.441416893736</v>
      </c>
      <c r="AE93" s="345">
        <f t="shared" ref="AE93" si="1006">AE94/AE92*1000</f>
        <v>32232.911392405058</v>
      </c>
      <c r="AF93" s="345">
        <f t="shared" ref="AF93" si="1007">AF94/AF92*1000</f>
        <v>30346.153846153848</v>
      </c>
      <c r="AG93" s="345">
        <f t="shared" ref="AG93" si="1008">AG94/AG92*1000</f>
        <v>30459.627329192546</v>
      </c>
      <c r="AH93" s="345">
        <f t="shared" ref="AH93" si="1009">AH94/AH92*1000</f>
        <v>38776.923076923085</v>
      </c>
      <c r="AI93" s="345">
        <f t="shared" ref="AI93" si="1010">AI94/AI92*1000</f>
        <v>50792.168674698791</v>
      </c>
      <c r="AJ93" s="345">
        <f t="shared" ref="AJ93" si="1011">AJ94/AJ92*1000</f>
        <v>81453.703703703723</v>
      </c>
      <c r="AK93" s="345">
        <f t="shared" ref="AK93" si="1012">AK94/AK92*1000</f>
        <v>51886.524822695043</v>
      </c>
      <c r="AL93" s="345">
        <f t="shared" ref="AL93" si="1013">AL94/AL92*1000</f>
        <v>73561.797752808998</v>
      </c>
      <c r="AM93" s="345">
        <f t="shared" ref="AM93" si="1014">AM94/AM92*1000</f>
        <v>58176.404494382034</v>
      </c>
      <c r="AN93" s="345">
        <f t="shared" ref="AN93" si="1015">AN94/AN92*1000</f>
        <v>67601.226993865028</v>
      </c>
      <c r="AO93" s="345">
        <f t="shared" ref="AO93" si="1016">AO94/AO92*1000</f>
        <v>40233.128834355826</v>
      </c>
      <c r="AP93" s="345">
        <f t="shared" ref="AP93" si="1017">AP94/AP92*1000</f>
        <v>87398.507462686583</v>
      </c>
      <c r="AQ93" s="345">
        <f t="shared" ref="AQ93" si="1018">AQ94/AQ92*1000</f>
        <v>88867.924528301897</v>
      </c>
      <c r="AR93" s="345">
        <f t="shared" ref="AR93" si="1019">AR94/AR92*1000</f>
        <v>82986.111111111109</v>
      </c>
      <c r="AS93" s="345">
        <f t="shared" ref="AS93" si="1020">AS94/AS92*1000</f>
        <v>107661.76470588236</v>
      </c>
      <c r="AT93" s="345">
        <f t="shared" ref="AT93" si="1021">AT94/AT92*1000</f>
        <v>6113.7195325542571</v>
      </c>
      <c r="AU93" s="345">
        <f t="shared" ref="AU93" si="1022">AU94/AU92*1000</f>
        <v>5825.6732223903182</v>
      </c>
      <c r="AV93" s="345">
        <f t="shared" ref="AV93" si="1023">AV94/AV92*1000</f>
        <v>6695.8966131907309</v>
      </c>
      <c r="AW93" s="345">
        <f t="shared" ref="AW93" si="1024">AW94/AW92*1000</f>
        <v>6890.0990099009896</v>
      </c>
      <c r="AX93" s="345">
        <f t="shared" ref="AX93" si="1025">AX94/AX92*1000</f>
        <v>7394.5818505338084</v>
      </c>
      <c r="AY93" s="346">
        <f t="shared" ref="AY93:AZ93" si="1026">AY94/AY92*1000</f>
        <v>7223.3701067615648</v>
      </c>
      <c r="AZ93" s="347">
        <f t="shared" si="1026"/>
        <v>7104.747330960854</v>
      </c>
      <c r="BA93" s="347">
        <f>AZ93-AY93</f>
        <v>-118.62277580071077</v>
      </c>
      <c r="BB93" s="351">
        <f>AY93-AX93</f>
        <v>-171.21174377224361</v>
      </c>
      <c r="BC93" s="352">
        <f>AZ93-AX93</f>
        <v>-289.83451957295438</v>
      </c>
      <c r="BD93" s="353">
        <f t="shared" ref="BD93:BD94" si="1027">(AX93/AS93)^(1/5)-1</f>
        <v>-0.41471091473327226</v>
      </c>
    </row>
    <row r="94" spans="1:63" ht="15" customHeight="1" thickBot="1">
      <c r="A94" s="324" t="s">
        <v>354</v>
      </c>
      <c r="B94" s="344">
        <f>'BZ by State 1st Crop'!B94+'BZ by State 2nd Crop'!B94+'BZ by State 3rd Crop'!B94</f>
        <v>2.8</v>
      </c>
      <c r="C94" s="344">
        <f>'BZ by State 1st Crop'!C94+'BZ by State 2nd Crop'!C94+'BZ by State 3rd Crop'!C94</f>
        <v>765</v>
      </c>
      <c r="D94" s="344">
        <f>'BZ by State 1st Crop'!D94+'BZ by State 2nd Crop'!D94+'BZ by State 3rd Crop'!D94</f>
        <v>672</v>
      </c>
      <c r="E94" s="344">
        <f>'BZ by State 1st Crop'!E94+'BZ by State 2nd Crop'!E94+'BZ by State 3rd Crop'!E94</f>
        <v>798</v>
      </c>
      <c r="F94" s="344">
        <f>'BZ by State 1st Crop'!F94+'BZ by State 2nd Crop'!F94+'BZ by State 3rd Crop'!F94</f>
        <v>531</v>
      </c>
      <c r="G94" s="344">
        <f>'BZ by State 1st Crop'!G94+'BZ by State 2nd Crop'!G94+'BZ by State 3rd Crop'!G94</f>
        <v>909</v>
      </c>
      <c r="H94" s="344">
        <f>'BZ by State 1st Crop'!H94+'BZ by State 2nd Crop'!H94+'BZ by State 3rd Crop'!H94</f>
        <v>285</v>
      </c>
      <c r="I94" s="344">
        <f>'BZ by State 1st Crop'!I94+'BZ by State 2nd Crop'!I94+'BZ by State 3rd Crop'!I94</f>
        <v>984</v>
      </c>
      <c r="J94" s="344">
        <f>'BZ by State 1st Crop'!J94+'BZ by State 2nd Crop'!J94+'BZ by State 3rd Crop'!J94</f>
        <v>378</v>
      </c>
      <c r="K94" s="344">
        <f>'BZ by State 1st Crop'!K94+'BZ by State 2nd Crop'!K94+'BZ by State 3rd Crop'!K94</f>
        <v>870</v>
      </c>
      <c r="L94" s="344">
        <f>'BZ by State 1st Crop'!L94+'BZ by State 2nd Crop'!L94+'BZ by State 3rd Crop'!L94</f>
        <v>348</v>
      </c>
      <c r="M94" s="344">
        <f>'BZ by State 1st Crop'!M94+'BZ by State 2nd Crop'!M94+'BZ by State 3rd Crop'!M94</f>
        <v>1035</v>
      </c>
      <c r="N94" s="344">
        <f>'BZ by State 1st Crop'!N94+'BZ by State 2nd Crop'!N94+'BZ by State 3rd Crop'!N94</f>
        <v>1026</v>
      </c>
      <c r="O94" s="344">
        <f>'BZ by State 1st Crop'!O94+'BZ by State 2nd Crop'!O94+'BZ by State 3rd Crop'!O94</f>
        <v>519</v>
      </c>
      <c r="P94" s="344">
        <f>'BZ by State 1st Crop'!P94+'BZ by State 2nd Crop'!P94+'BZ by State 3rd Crop'!P94</f>
        <v>1064.0999999999999</v>
      </c>
      <c r="Q94" s="344">
        <f>'BZ by State 1st Crop'!Q94+'BZ by State 2nd Crop'!Q94+'BZ by State 3rd Crop'!Q94</f>
        <v>711.59999999999991</v>
      </c>
      <c r="R94" s="344">
        <f>'BZ by State 1st Crop'!R94+'BZ by State 2nd Crop'!R94+'BZ by State 3rd Crop'!R94</f>
        <v>592.20000000000005</v>
      </c>
      <c r="S94" s="344">
        <f>'BZ by State 1st Crop'!S94+'BZ by State 2nd Crop'!S94+'BZ by State 3rd Crop'!S94</f>
        <v>1239.3000000000002</v>
      </c>
      <c r="T94" s="344">
        <f>'BZ by State 1st Crop'!T94+'BZ by State 2nd Crop'!T94+'BZ by State 3rd Crop'!T94</f>
        <v>1267.5</v>
      </c>
      <c r="U94" s="344">
        <f>'BZ by State 1st Crop'!U94+'BZ by State 2nd Crop'!U94+'BZ by State 3rd Crop'!U94</f>
        <v>1365</v>
      </c>
      <c r="V94" s="344">
        <f>'BZ by State 1st Crop'!V94+'BZ by State 2nd Crop'!V94+'BZ by State 3rd Crop'!V94</f>
        <v>1088.0999999999999</v>
      </c>
      <c r="W94" s="344">
        <f>'BZ by State 1st Crop'!W94+'BZ by State 2nd Crop'!W94+'BZ by State 3rd Crop'!W94</f>
        <v>629.70000000000005</v>
      </c>
      <c r="X94" s="344">
        <f>'BZ by State 1st Crop'!X94+'BZ by State 2nd Crop'!X94+'BZ by State 3rd Crop'!X94</f>
        <v>882.30000000000007</v>
      </c>
      <c r="Y94" s="344">
        <f>'BZ by State 1st Crop'!Y94+'BZ by State 2nd Crop'!Y94+'BZ by State 3rd Crop'!Y94</f>
        <v>940.80000000000007</v>
      </c>
      <c r="Z94" s="344">
        <f>'BZ by State 1st Crop'!Z94+'BZ by State 2nd Crop'!Z94+'BZ by State 3rd Crop'!Z94</f>
        <v>930</v>
      </c>
      <c r="AA94" s="344">
        <f>'BZ by State 1st Crop'!AA94+'BZ by State 2nd Crop'!AA94+'BZ by State 3rd Crop'!AA94</f>
        <v>973.5</v>
      </c>
      <c r="AB94" s="344">
        <f>'BZ by State 1st Crop'!AB94+'BZ by State 2nd Crop'!AB94+'BZ by State 3rd Crop'!AB94</f>
        <v>1242.5999999999999</v>
      </c>
      <c r="AC94" s="344">
        <f>'BZ by State 1st Crop'!AC94+'BZ by State 2nd Crop'!AC94+'BZ by State 3rd Crop'!AC94</f>
        <v>1291.1999999999998</v>
      </c>
      <c r="AD94" s="344">
        <f>'BZ by State 1st Crop'!AD94+'BZ by State 2nd Crop'!AD94+'BZ by State 3rd Crop'!AD94</f>
        <v>1215.3000000000002</v>
      </c>
      <c r="AE94" s="344">
        <f>'BZ by State 1st Crop'!AE94+'BZ by State 2nd Crop'!AE94+'BZ by State 3rd Crop'!AE94</f>
        <v>1273.1999999999998</v>
      </c>
      <c r="AF94" s="344">
        <f>'BZ by State 1st Crop'!AF94+'BZ by State 2nd Crop'!AF94+'BZ by State 3rd Crop'!AF94</f>
        <v>1341.3000000000002</v>
      </c>
      <c r="AG94" s="344">
        <f>'BZ by State 1st Crop'!AG94+'BZ by State 2nd Crop'!AG94+'BZ by State 3rd Crop'!AG94</f>
        <v>1471.1999999999998</v>
      </c>
      <c r="AH94" s="344">
        <f>'BZ by State 1st Crop'!AH94+'BZ by State 2nd Crop'!AH94+'BZ by State 3rd Crop'!AH94</f>
        <v>1512.3000000000002</v>
      </c>
      <c r="AI94" s="344">
        <f>'BZ by State 1st Crop'!AI94+'BZ by State 2nd Crop'!AI94+'BZ by State 3rd Crop'!AI94</f>
        <v>1686.3000000000002</v>
      </c>
      <c r="AJ94" s="344">
        <f>'BZ by State 1st Crop'!AJ94+'BZ by State 2nd Crop'!AJ94+'BZ by State 3rd Crop'!AJ94</f>
        <v>2639.1000000000004</v>
      </c>
      <c r="AK94" s="344">
        <f>'BZ by State 1st Crop'!AK94+'BZ by State 2nd Crop'!AK94+'BZ by State 3rd Crop'!AK94</f>
        <v>2194.8000000000002</v>
      </c>
      <c r="AL94" s="344">
        <f>'BZ by State 1st Crop'!AL94+'BZ by State 2nd Crop'!AL94+'BZ by State 3rd Crop'!AL94</f>
        <v>3928.2000000000003</v>
      </c>
      <c r="AM94" s="344">
        <f>'BZ by State 1st Crop'!AM94+'BZ by State 2nd Crop'!AM94+'BZ by State 3rd Crop'!AM94</f>
        <v>5177.7000000000007</v>
      </c>
      <c r="AN94" s="344">
        <f>'BZ by State 1st Crop'!AN94+'BZ by State 2nd Crop'!AN94+'BZ by State 3rd Crop'!AN94</f>
        <v>4407.6000000000004</v>
      </c>
      <c r="AO94" s="344">
        <f>'BZ by State 1st Crop'!AO94+'BZ by State 2nd Crop'!AO94+'BZ by State 3rd Crop'!AO94</f>
        <v>2623.2</v>
      </c>
      <c r="AP94" s="344">
        <f>'BZ by State 1st Crop'!AP94+'BZ by State 2nd Crop'!AP94+'BZ by State 3rd Crop'!AP94</f>
        <v>5855.7000000000007</v>
      </c>
      <c r="AQ94" s="344">
        <f>'BZ by State 1st Crop'!AQ94+'BZ by State 2nd Crop'!AQ94+'BZ by State 3rd Crop'!AQ94</f>
        <v>5652</v>
      </c>
      <c r="AR94" s="344">
        <f>'BZ by State 1st Crop'!AR94+'BZ by State 2nd Crop'!AR94+'BZ by State 3rd Crop'!AR94</f>
        <v>5377.5</v>
      </c>
      <c r="AS94" s="344">
        <f>'BZ by State 1st Crop'!AS94+'BZ by State 2nd Crop'!AS94+'BZ by State 3rd Crop'!AS94</f>
        <v>6588.9000000000005</v>
      </c>
      <c r="AT94" s="344">
        <f>'BZ by State 1st Crop'!AT94+'BZ by State 2nd Crop'!AT94+'BZ by State 3rd Crop'!AT94</f>
        <v>366.21180000000004</v>
      </c>
      <c r="AU94" s="344">
        <f>'BZ by State 1st Crop'!AU94+'BZ by State 2nd Crop'!AU94+'BZ by State 3rd Crop'!AU94</f>
        <v>385.077</v>
      </c>
      <c r="AV94" s="344">
        <f>'BZ by State 1st Crop'!AV94+'BZ by State 2nd Crop'!AV94+'BZ by State 3rd Crop'!AV94</f>
        <v>375.63980000000004</v>
      </c>
      <c r="AW94" s="344">
        <f>'BZ by State 1st Crop'!AW94+'BZ by State 2nd Crop'!AW94+'BZ by State 3rd Crop'!AW94</f>
        <v>347.95</v>
      </c>
      <c r="AX94" s="344">
        <f>'BZ by State 1st Crop'!AX94+'BZ by State 2nd Crop'!AX94+'BZ by State 3rd Crop'!AX94</f>
        <v>415.57550000000003</v>
      </c>
      <c r="AY94" s="365">
        <f>'BZ by State 1st Crop'!AY94+'BZ by State 2nd Crop'!AY94+'BZ by State 3rd Crop'!AY94</f>
        <v>405.95339999999999</v>
      </c>
      <c r="AZ94" s="366">
        <f>'BZ by State 1st Crop'!AZ94+'BZ by State 2nd Crop'!AZ94+'BZ by State 3rd Crop'!AZ94</f>
        <v>399.28680000000003</v>
      </c>
      <c r="BA94" s="366">
        <f>AZ94-AY94</f>
        <v>-6.6665999999999599</v>
      </c>
      <c r="BB94" s="367">
        <f>AY94-AX94</f>
        <v>-9.6221000000000458</v>
      </c>
      <c r="BC94" s="368">
        <f>AZ94-AX94</f>
        <v>-16.288700000000006</v>
      </c>
      <c r="BD94" s="353">
        <f t="shared" si="1027"/>
        <v>-0.42460325078128025</v>
      </c>
      <c r="BH94" s="311"/>
      <c r="BI94" s="311"/>
      <c r="BJ94" s="311"/>
      <c r="BK94" s="311"/>
    </row>
    <row r="95" spans="1:63" s="311" customFormat="1" ht="15" customHeight="1" thickBot="1">
      <c r="A95" s="335" t="s">
        <v>379</v>
      </c>
      <c r="B95" s="358"/>
      <c r="C95" s="358"/>
      <c r="D95" s="358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  <c r="AA95" s="358"/>
      <c r="AB95" s="358"/>
      <c r="AC95" s="358"/>
      <c r="AD95" s="358"/>
      <c r="AE95" s="358"/>
      <c r="AF95" s="358"/>
      <c r="AG95" s="358"/>
      <c r="AH95" s="358"/>
      <c r="AI95" s="358"/>
      <c r="AJ95" s="358"/>
      <c r="AK95" s="358"/>
      <c r="AL95" s="358"/>
      <c r="AM95" s="358"/>
      <c r="AN95" s="358"/>
      <c r="AO95" s="358"/>
      <c r="AP95" s="358"/>
      <c r="AQ95" s="358"/>
      <c r="AR95" s="358"/>
      <c r="AS95" s="358"/>
      <c r="AT95" s="333"/>
      <c r="AU95" s="333"/>
      <c r="AV95" s="333"/>
      <c r="AW95" s="333"/>
      <c r="AX95" s="333"/>
      <c r="AY95" s="332"/>
      <c r="AZ95" s="333"/>
      <c r="BA95" s="334"/>
      <c r="BB95" s="321"/>
      <c r="BC95" s="328"/>
      <c r="BD95" s="329"/>
      <c r="BE95" s="309"/>
      <c r="BF95"/>
      <c r="BG95" s="308"/>
      <c r="BH95" s="309"/>
      <c r="BI95" s="309"/>
      <c r="BJ95" s="309"/>
      <c r="BK95" s="309"/>
    </row>
    <row r="96" spans="1:63" s="311" customFormat="1" ht="15" customHeight="1">
      <c r="A96" s="324" t="s">
        <v>352</v>
      </c>
      <c r="B96" s="344">
        <f>'BZ by State 1st Crop'!B96+'BZ by State 2nd Crop'!B96+'BZ by State 3rd Crop'!B96</f>
        <v>3191</v>
      </c>
      <c r="C96" s="344">
        <f>'BZ by State 1st Crop'!C96+'BZ by State 2nd Crop'!C96+'BZ by State 3rd Crop'!C96</f>
        <v>2969</v>
      </c>
      <c r="D96" s="344">
        <f>'BZ by State 1st Crop'!D96+'BZ by State 2nd Crop'!D96+'BZ by State 3rd Crop'!D96</f>
        <v>3059</v>
      </c>
      <c r="E96" s="344">
        <f>'BZ by State 1st Crop'!E96+'BZ by State 2nd Crop'!E96+'BZ by State 3rd Crop'!E96</f>
        <v>2731</v>
      </c>
      <c r="F96" s="344">
        <f>'BZ by State 1st Crop'!F96+'BZ by State 2nd Crop'!F96+'BZ by State 3rd Crop'!F96</f>
        <v>2940.8</v>
      </c>
      <c r="G96" s="344">
        <f>'BZ by State 1st Crop'!G96+'BZ by State 2nd Crop'!G96+'BZ by State 3rd Crop'!G96</f>
        <v>3154</v>
      </c>
      <c r="H96" s="344">
        <f>'BZ by State 1st Crop'!H96+'BZ by State 2nd Crop'!H96+'BZ by State 3rd Crop'!H96</f>
        <v>2787.8999999999996</v>
      </c>
      <c r="I96" s="344">
        <f>'BZ by State 1st Crop'!I96+'BZ by State 2nd Crop'!I96+'BZ by State 3rd Crop'!I96</f>
        <v>2945.5</v>
      </c>
      <c r="J96" s="344">
        <f>'BZ by State 1st Crop'!J96+'BZ by State 2nd Crop'!J96+'BZ by State 3rd Crop'!J96</f>
        <v>2834</v>
      </c>
      <c r="K96" s="344">
        <f>'BZ by State 1st Crop'!K96+'BZ by State 2nd Crop'!K96+'BZ by State 3rd Crop'!K96</f>
        <v>3007.8</v>
      </c>
      <c r="L96" s="344">
        <f>'BZ by State 1st Crop'!L96+'BZ by State 2nd Crop'!L96+'BZ by State 3rd Crop'!L96</f>
        <v>3221.7</v>
      </c>
      <c r="M96" s="344">
        <f>'BZ by State 1st Crop'!M96+'BZ by State 2nd Crop'!M96+'BZ by State 3rd Crop'!M96</f>
        <v>2903.3</v>
      </c>
      <c r="N96" s="344">
        <f>'BZ by State 1st Crop'!N96+'BZ by State 2nd Crop'!N96+'BZ by State 3rd Crop'!N96</f>
        <v>2983.2</v>
      </c>
      <c r="O96" s="344">
        <f>'BZ by State 1st Crop'!O96+'BZ by State 2nd Crop'!O96+'BZ by State 3rd Crop'!O96</f>
        <v>2814.7</v>
      </c>
      <c r="P96" s="344">
        <f>'BZ by State 1st Crop'!P96+'BZ by State 2nd Crop'!P96+'BZ by State 3rd Crop'!P96</f>
        <v>3170.1</v>
      </c>
      <c r="Q96" s="344">
        <f>'BZ by State 1st Crop'!Q96+'BZ by State 2nd Crop'!Q96+'BZ by State 3rd Crop'!Q96</f>
        <v>3297.2999999999997</v>
      </c>
      <c r="R96" s="344">
        <f>'BZ by State 1st Crop'!R96+'BZ by State 2nd Crop'!R96+'BZ by State 3rd Crop'!R96</f>
        <v>3091.7</v>
      </c>
      <c r="S96" s="344">
        <f>'BZ by State 1st Crop'!S96+'BZ by State 2nd Crop'!S96+'BZ by State 3rd Crop'!S96</f>
        <v>2949.6000000000004</v>
      </c>
      <c r="T96" s="344">
        <f>'BZ by State 1st Crop'!T96+'BZ by State 2nd Crop'!T96+'BZ by State 3rd Crop'!T96</f>
        <v>2893.2</v>
      </c>
      <c r="U96" s="344">
        <f>'BZ by State 1st Crop'!U96+'BZ by State 2nd Crop'!U96+'BZ by State 3rd Crop'!U96</f>
        <v>2651.3999999999996</v>
      </c>
      <c r="V96" s="344">
        <f>'BZ by State 1st Crop'!V96+'BZ by State 2nd Crop'!V96+'BZ by State 3rd Crop'!V96</f>
        <v>2695.8999999999996</v>
      </c>
      <c r="W96" s="344">
        <f>'BZ by State 1st Crop'!W96+'BZ by State 2nd Crop'!W96+'BZ by State 3rd Crop'!W96</f>
        <v>2546.9</v>
      </c>
      <c r="X96" s="344">
        <f>'BZ by State 1st Crop'!X96+'BZ by State 2nd Crop'!X96+'BZ by State 3rd Crop'!X96</f>
        <v>2613.8999999999996</v>
      </c>
      <c r="Y96" s="344">
        <f>'BZ by State 1st Crop'!Y96+'BZ by State 2nd Crop'!Y96+'BZ by State 3rd Crop'!Y96</f>
        <v>2494.5000000000005</v>
      </c>
      <c r="Z96" s="344">
        <f>'BZ by State 1st Crop'!Z96+'BZ by State 2nd Crop'!Z96+'BZ by State 3rd Crop'!Z96</f>
        <v>2451.9</v>
      </c>
      <c r="AA96" s="344">
        <f>'BZ by State 1st Crop'!AA96+'BZ by State 2nd Crop'!AA96+'BZ by State 3rd Crop'!AA96</f>
        <v>2347.1</v>
      </c>
      <c r="AB96" s="344">
        <f>'BZ by State 1st Crop'!AB96+'BZ by State 2nd Crop'!AB96+'BZ by State 3rd Crop'!AB96</f>
        <v>2422.5</v>
      </c>
      <c r="AC96" s="344">
        <f>'BZ by State 1st Crop'!AC96+'BZ by State 2nd Crop'!AC96+'BZ by State 3rd Crop'!AC96</f>
        <v>2465.5</v>
      </c>
      <c r="AD96" s="344">
        <f>'BZ by State 1st Crop'!AD96+'BZ by State 2nd Crop'!AD96+'BZ by State 3rd Crop'!AD96</f>
        <v>2484.1000000000004</v>
      </c>
      <c r="AE96" s="344">
        <f>'BZ by State 1st Crop'!AE96+'BZ by State 2nd Crop'!AE96+'BZ by State 3rd Crop'!AE96</f>
        <v>2471.9999999999995</v>
      </c>
      <c r="AF96" s="344">
        <f>'BZ by State 1st Crop'!AF96+'BZ by State 2nd Crop'!AF96+'BZ by State 3rd Crop'!AF96</f>
        <v>2404.6000000000004</v>
      </c>
      <c r="AG96" s="344">
        <f>'BZ by State 1st Crop'!AG96+'BZ by State 2nd Crop'!AG96+'BZ by State 3rd Crop'!AG96</f>
        <v>2350.9</v>
      </c>
      <c r="AH96" s="344">
        <f>'BZ by State 1st Crop'!AH96+'BZ by State 2nd Crop'!AH96+'BZ by State 3rd Crop'!AH96</f>
        <v>2253.6999999999998</v>
      </c>
      <c r="AI96" s="344">
        <f>'BZ by State 1st Crop'!AI96+'BZ by State 2nd Crop'!AI96+'BZ by State 3rd Crop'!AI96</f>
        <v>2113.3000000000002</v>
      </c>
      <c r="AJ96" s="344">
        <f>'BZ by State 1st Crop'!AJ96+'BZ by State 2nd Crop'!AJ96+'BZ by State 3rd Crop'!AJ96</f>
        <v>2146</v>
      </c>
      <c r="AK96" s="344">
        <f>'BZ by State 1st Crop'!AK96+'BZ by State 2nd Crop'!AK96+'BZ by State 3rd Crop'!AK96</f>
        <v>2242.3000000000002</v>
      </c>
      <c r="AL96" s="344">
        <f>'BZ by State 1st Crop'!AL96+'BZ by State 2nd Crop'!AL96+'BZ by State 3rd Crop'!AL96</f>
        <v>2203</v>
      </c>
      <c r="AM96" s="344">
        <f>'BZ by State 1st Crop'!AM96+'BZ by State 2nd Crop'!AM96+'BZ by State 3rd Crop'!AM96</f>
        <v>2106.5</v>
      </c>
      <c r="AN96" s="344">
        <f>'BZ by State 1st Crop'!AN96+'BZ by State 2nd Crop'!AN96+'BZ by State 3rd Crop'!AN96</f>
        <v>2060.6999999999998</v>
      </c>
      <c r="AO96" s="344">
        <f>'BZ by State 1st Crop'!AO96+'BZ by State 2nd Crop'!AO96+'BZ by State 3rd Crop'!AO96</f>
        <v>2051.3000000000002</v>
      </c>
      <c r="AP96" s="344">
        <f>'BZ by State 1st Crop'!AP96+'BZ by State 2nd Crop'!AP96+'BZ by State 3rd Crop'!AP96</f>
        <v>2138.9</v>
      </c>
      <c r="AQ96" s="344">
        <f>'BZ by State 1st Crop'!AQ96+'BZ by State 2nd Crop'!AQ96+'BZ by State 3rd Crop'!AQ96</f>
        <v>2066.9</v>
      </c>
      <c r="AR96" s="344">
        <f>'BZ by State 1st Crop'!AR96+'BZ by State 2nd Crop'!AR96+'BZ by State 3rd Crop'!AR96</f>
        <v>2027.3</v>
      </c>
      <c r="AS96" s="344">
        <f>'BZ by State 1st Crop'!AS96+'BZ by State 2nd Crop'!AS96+'BZ by State 3rd Crop'!AS96</f>
        <v>2054.5</v>
      </c>
      <c r="AT96" s="344">
        <f>'BZ by State 1st Crop'!AT96+'BZ by State 2nd Crop'!AT96+'BZ by State 3rd Crop'!AT96</f>
        <v>2213.5</v>
      </c>
      <c r="AU96" s="344">
        <f>'BZ by State 1st Crop'!AU96+'BZ by State 2nd Crop'!AU96+'BZ by State 3rd Crop'!AU96</f>
        <v>2280.9</v>
      </c>
      <c r="AV96" s="344">
        <f>'BZ by State 1st Crop'!AV96+'BZ by State 2nd Crop'!AV96+'BZ by State 3rd Crop'!AV96</f>
        <v>2088.8000000000002</v>
      </c>
      <c r="AW96" s="344">
        <f>'BZ by State 1st Crop'!AW96+'BZ by State 2nd Crop'!AW96+'BZ by State 3rd Crop'!AW96</f>
        <v>1916.6999999999998</v>
      </c>
      <c r="AX96" s="344">
        <f>'BZ by State 1st Crop'!AX96+'BZ by State 2nd Crop'!AX96+'BZ by State 3rd Crop'!AX96</f>
        <v>1846.6</v>
      </c>
      <c r="AY96" s="369">
        <f>'BZ by State 1st Crop'!AY96+'BZ by State 2nd Crop'!AY96+'BZ by State 3rd Crop'!AY96</f>
        <v>1932.6</v>
      </c>
      <c r="AZ96" s="366">
        <f>AZ100+AZ104+AZ108+AZ112</f>
        <v>1932.6</v>
      </c>
      <c r="BA96" s="366">
        <f>AZ96-AY96</f>
        <v>0</v>
      </c>
      <c r="BB96" s="367">
        <f>AY96-AX96</f>
        <v>86</v>
      </c>
      <c r="BC96" s="368">
        <f>AZ96-AX96</f>
        <v>86</v>
      </c>
      <c r="BD96" s="353">
        <f>(AX96/AS96)^(1/5)-1</f>
        <v>-2.1111250513548119E-2</v>
      </c>
      <c r="BE96" s="309"/>
      <c r="BF96" s="319" t="b">
        <v>0</v>
      </c>
      <c r="BG96" s="308"/>
    </row>
    <row r="97" spans="1:63" s="311" customFormat="1" ht="15" customHeight="1">
      <c r="A97" s="318" t="s">
        <v>353</v>
      </c>
      <c r="B97" s="345">
        <f t="shared" ref="B97" si="1028">B98/B96*1000</f>
        <v>1744.1240990285175</v>
      </c>
      <c r="C97" s="345">
        <f t="shared" ref="C97" si="1029">C98/C96*1000</f>
        <v>1030.6500505220613</v>
      </c>
      <c r="D97" s="345">
        <f t="shared" ref="D97" si="1030">D98/D96*1000</f>
        <v>878.71853546910745</v>
      </c>
      <c r="E97" s="345">
        <f t="shared" ref="E97" si="1031">E98/E96*1000</f>
        <v>1168.8026363969241</v>
      </c>
      <c r="F97" s="345">
        <f t="shared" ref="F97" si="1032">F98/F96*1000</f>
        <v>722.25244831338409</v>
      </c>
      <c r="G97" s="345">
        <f t="shared" ref="G97" si="1033">G98/G96*1000</f>
        <v>1152.8218135700699</v>
      </c>
      <c r="H97" s="345">
        <f t="shared" ref="H97" si="1034">H98/H96*1000</f>
        <v>408.90993220703757</v>
      </c>
      <c r="I97" s="345">
        <f t="shared" ref="I97" si="1035">I98/I96*1000</f>
        <v>1336.2756747581054</v>
      </c>
      <c r="J97" s="345">
        <f t="shared" ref="J97" si="1036">J98/J96*1000</f>
        <v>533.52152434721245</v>
      </c>
      <c r="K97" s="345">
        <f t="shared" ref="K97" si="1037">K98/K96*1000</f>
        <v>1156.9918212647117</v>
      </c>
      <c r="L97" s="345">
        <f t="shared" ref="L97" si="1038">L98/L96*1000</f>
        <v>432.07002514200582</v>
      </c>
      <c r="M97" s="345">
        <f t="shared" ref="M97" si="1039">M98/M96*1000</f>
        <v>1425.9635587090552</v>
      </c>
      <c r="N97" s="345">
        <f t="shared" ref="N97" si="1040">N98/N96*1000</f>
        <v>1375.7039420756237</v>
      </c>
      <c r="O97" s="345">
        <f t="shared" ref="O97" si="1041">O98/O96*1000</f>
        <v>737.5564003268554</v>
      </c>
      <c r="P97" s="345">
        <f t="shared" ref="P97" si="1042">P98/P96*1000</f>
        <v>1342.6705782151982</v>
      </c>
      <c r="Q97" s="345">
        <f t="shared" ref="Q97" si="1043">Q98/Q96*1000</f>
        <v>863.25175143299055</v>
      </c>
      <c r="R97" s="345">
        <f t="shared" ref="R97" si="1044">R98/R96*1000</f>
        <v>766.18041853996192</v>
      </c>
      <c r="S97" s="345">
        <f t="shared" ref="S97" si="1045">S98/S96*1000</f>
        <v>1680.6346623270952</v>
      </c>
      <c r="T97" s="345">
        <f t="shared" ref="T97" si="1046">T98/T96*1000</f>
        <v>1752.3849025300706</v>
      </c>
      <c r="U97" s="345">
        <f t="shared" ref="U97" si="1047">U98/U96*1000</f>
        <v>2059.2894319981897</v>
      </c>
      <c r="V97" s="345">
        <f t="shared" ref="V97" si="1048">V98/V96*1000</f>
        <v>1614.4515746133018</v>
      </c>
      <c r="W97" s="345">
        <f t="shared" ref="W97" si="1049">W98/W96*1000</f>
        <v>988.96697946523227</v>
      </c>
      <c r="X97" s="345">
        <f t="shared" ref="X97" si="1050">X98/X96*1000</f>
        <v>1350.1664179960981</v>
      </c>
      <c r="Y97" s="345">
        <f t="shared" ref="Y97" si="1051">Y98/Y96*1000</f>
        <v>1508.5989176187611</v>
      </c>
      <c r="Z97" s="345">
        <f t="shared" ref="Z97" si="1052">Z98/Z96*1000</f>
        <v>1517.1907500305886</v>
      </c>
      <c r="AA97" s="345">
        <f t="shared" ref="AA97" si="1053">AA98/AA96*1000</f>
        <v>1659.0686378935709</v>
      </c>
      <c r="AB97" s="345">
        <f t="shared" ref="AB97" si="1054">AB98/AB96*1000</f>
        <v>2051.7647058823532</v>
      </c>
      <c r="AC97" s="345">
        <f t="shared" ref="AC97" si="1055">AC98/AC96*1000</f>
        <v>2094.8286351652805</v>
      </c>
      <c r="AD97" s="345">
        <f t="shared" ref="AD97" si="1056">AD98/AD96*1000</f>
        <v>1956.9260496759391</v>
      </c>
      <c r="AE97" s="345">
        <f t="shared" ref="AE97" si="1057">AE98/AE96*1000</f>
        <v>2060.1941747572814</v>
      </c>
      <c r="AF97" s="345">
        <f t="shared" ref="AF97" si="1058">AF98/AF96*1000</f>
        <v>2231.2234883140645</v>
      </c>
      <c r="AG97" s="345">
        <f t="shared" ref="AG97" si="1059">AG98/AG96*1000</f>
        <v>2503.2115360074863</v>
      </c>
      <c r="AH97" s="345">
        <f t="shared" ref="AH97" si="1060">AH98/AH96*1000</f>
        <v>2684.1194480188142</v>
      </c>
      <c r="AI97" s="345">
        <f t="shared" ref="AI97" si="1061">AI98/AI96*1000</f>
        <v>3191.7853593905265</v>
      </c>
      <c r="AJ97" s="345">
        <f t="shared" ref="AJ97" si="1062">AJ98/AJ96*1000</f>
        <v>4919.1053122087615</v>
      </c>
      <c r="AK97" s="345">
        <f t="shared" ref="AK97" si="1063">AK98/AK96*1000</f>
        <v>3915.2655755251303</v>
      </c>
      <c r="AL97" s="345">
        <f t="shared" ref="AL97" si="1064">AL98/AL96*1000</f>
        <v>7132.4557421697691</v>
      </c>
      <c r="AM97" s="345">
        <f t="shared" ref="AM97" si="1065">AM98/AM96*1000</f>
        <v>9831.8537859007847</v>
      </c>
      <c r="AN97" s="345">
        <f t="shared" ref="AN97" si="1066">AN98/AN96*1000</f>
        <v>8555.5393798223922</v>
      </c>
      <c r="AO97" s="345">
        <f t="shared" ref="AO97" si="1067">AO98/AO96*1000</f>
        <v>5115.195242041631</v>
      </c>
      <c r="AP97" s="345">
        <f t="shared" ref="AP97" si="1068">AP98/AP96*1000</f>
        <v>10950.862592921596</v>
      </c>
      <c r="AQ97" s="345">
        <f t="shared" ref="AQ97" si="1069">AQ98/AQ96*1000</f>
        <v>10938.119889689873</v>
      </c>
      <c r="AR97" s="345">
        <f t="shared" ref="AR97" si="1070">AR98/AR96*1000</f>
        <v>10610.171163616633</v>
      </c>
      <c r="AS97" s="345">
        <f t="shared" ref="AS97" si="1071">AS98/AS96*1000</f>
        <v>12828.230713068875</v>
      </c>
      <c r="AT97" s="345">
        <f t="shared" ref="AT97" si="1072">AT98/AT96*1000</f>
        <v>4669.6745425796253</v>
      </c>
      <c r="AU97" s="345">
        <f t="shared" ref="AU97" si="1073">AU98/AU96*1000</f>
        <v>5285.1357797360688</v>
      </c>
      <c r="AV97" s="345">
        <f t="shared" ref="AV97" si="1074">AV98/AV96*1000</f>
        <v>6087.7434412102639</v>
      </c>
      <c r="AW97" s="345">
        <f t="shared" ref="AW97" si="1075">AW98/AW96*1000</f>
        <v>5123.7530129910792</v>
      </c>
      <c r="AX97" s="345">
        <f t="shared" ref="AX97" si="1076">AX98/AX96*1000</f>
        <v>5989.2762374092936</v>
      </c>
      <c r="AY97" s="346">
        <f t="shared" ref="AY97" si="1077">AY98/AY96*1000</f>
        <v>5896.3405774604162</v>
      </c>
      <c r="AZ97" s="347">
        <f>AZ98/AZ96*1000</f>
        <v>5813.3400082790022</v>
      </c>
      <c r="BA97" s="347">
        <f>AZ97-AY97</f>
        <v>-83.000569181413994</v>
      </c>
      <c r="BB97" s="351">
        <f>AY97-AX97</f>
        <v>-92.935659948877401</v>
      </c>
      <c r="BC97" s="352">
        <f>AZ97-AX97</f>
        <v>-175.93622913029139</v>
      </c>
      <c r="BD97" s="353">
        <f t="shared" ref="BD97:BD98" si="1078">(AX97/AS97)^(1/5)-1</f>
        <v>-0.14129989419424138</v>
      </c>
      <c r="BE97" s="309"/>
      <c r="BF97"/>
      <c r="BG97" s="308"/>
      <c r="BH97" s="309"/>
      <c r="BI97" s="309"/>
      <c r="BJ97" s="309"/>
      <c r="BK97" s="309"/>
    </row>
    <row r="98" spans="1:63" s="311" customFormat="1" ht="15" customHeight="1">
      <c r="A98" s="318" t="s">
        <v>354</v>
      </c>
      <c r="B98" s="344">
        <f>'BZ by State 1st Crop'!B98+'BZ by State 2nd Crop'!B98+'BZ by State 3rd Crop'!B98</f>
        <v>5565.5</v>
      </c>
      <c r="C98" s="344">
        <f>'BZ by State 1st Crop'!C98+'BZ by State 2nd Crop'!C98+'BZ by State 3rd Crop'!C98</f>
        <v>3060</v>
      </c>
      <c r="D98" s="344">
        <f>'BZ by State 1st Crop'!D98+'BZ by State 2nd Crop'!D98+'BZ by State 3rd Crop'!D98</f>
        <v>2688</v>
      </c>
      <c r="E98" s="344">
        <f>'BZ by State 1st Crop'!E98+'BZ by State 2nd Crop'!E98+'BZ by State 3rd Crop'!E98</f>
        <v>3192</v>
      </c>
      <c r="F98" s="344">
        <f>'BZ by State 1st Crop'!F98+'BZ by State 2nd Crop'!F98+'BZ by State 3rd Crop'!F98</f>
        <v>2124</v>
      </c>
      <c r="G98" s="344">
        <f>'BZ by State 1st Crop'!G98+'BZ by State 2nd Crop'!G98+'BZ by State 3rd Crop'!G98</f>
        <v>3636</v>
      </c>
      <c r="H98" s="344">
        <f>'BZ by State 1st Crop'!H98+'BZ by State 2nd Crop'!H98+'BZ by State 3rd Crop'!H98</f>
        <v>1140</v>
      </c>
      <c r="I98" s="344">
        <f>'BZ by State 1st Crop'!I98+'BZ by State 2nd Crop'!I98+'BZ by State 3rd Crop'!I98</f>
        <v>3936</v>
      </c>
      <c r="J98" s="344">
        <f>'BZ by State 1st Crop'!J98+'BZ by State 2nd Crop'!J98+'BZ by State 3rd Crop'!J98</f>
        <v>1512</v>
      </c>
      <c r="K98" s="344">
        <f>'BZ by State 1st Crop'!K98+'BZ by State 2nd Crop'!K98+'BZ by State 3rd Crop'!K98</f>
        <v>3480</v>
      </c>
      <c r="L98" s="344">
        <f>'BZ by State 1st Crop'!L98+'BZ by State 2nd Crop'!L98+'BZ by State 3rd Crop'!L98</f>
        <v>1392</v>
      </c>
      <c r="M98" s="344">
        <f>'BZ by State 1st Crop'!M98+'BZ by State 2nd Crop'!M98+'BZ by State 3rd Crop'!M98</f>
        <v>4140</v>
      </c>
      <c r="N98" s="344">
        <f>'BZ by State 1st Crop'!N98+'BZ by State 2nd Crop'!N98+'BZ by State 3rd Crop'!N98</f>
        <v>4104</v>
      </c>
      <c r="O98" s="344">
        <f>'BZ by State 1st Crop'!O98+'BZ by State 2nd Crop'!O98+'BZ by State 3rd Crop'!O98</f>
        <v>2076</v>
      </c>
      <c r="P98" s="344">
        <f>'BZ by State 1st Crop'!P98+'BZ by State 2nd Crop'!P98+'BZ by State 3rd Crop'!P98</f>
        <v>4256.3999999999996</v>
      </c>
      <c r="Q98" s="344">
        <f>'BZ by State 1st Crop'!Q98+'BZ by State 2nd Crop'!Q98+'BZ by State 3rd Crop'!Q98</f>
        <v>2846.3999999999996</v>
      </c>
      <c r="R98" s="344">
        <f>'BZ by State 1st Crop'!R98+'BZ by State 2nd Crop'!R98+'BZ by State 3rd Crop'!R98</f>
        <v>2368.8000000000002</v>
      </c>
      <c r="S98" s="344">
        <f>'BZ by State 1st Crop'!S98+'BZ by State 2nd Crop'!S98+'BZ by State 3rd Crop'!S98</f>
        <v>4957.2000000000007</v>
      </c>
      <c r="T98" s="344">
        <f>'BZ by State 1st Crop'!T98+'BZ by State 2nd Crop'!T98+'BZ by State 3rd Crop'!T98</f>
        <v>5070</v>
      </c>
      <c r="U98" s="344">
        <f>'BZ by State 1st Crop'!U98+'BZ by State 2nd Crop'!U98+'BZ by State 3rd Crop'!U98</f>
        <v>5460</v>
      </c>
      <c r="V98" s="344">
        <f>'BZ by State 1st Crop'!V98+'BZ by State 2nd Crop'!V98+'BZ by State 3rd Crop'!V98</f>
        <v>4352.3999999999996</v>
      </c>
      <c r="W98" s="344">
        <f>'BZ by State 1st Crop'!W98+'BZ by State 2nd Crop'!W98+'BZ by State 3rd Crop'!W98</f>
        <v>2518.8000000000002</v>
      </c>
      <c r="X98" s="344">
        <f>'BZ by State 1st Crop'!X98+'BZ by State 2nd Crop'!X98+'BZ by State 3rd Crop'!X98</f>
        <v>3529.2000000000003</v>
      </c>
      <c r="Y98" s="344">
        <f>'BZ by State 1st Crop'!Y98+'BZ by State 2nd Crop'!Y98+'BZ by State 3rd Crop'!Y98</f>
        <v>3763.2000000000003</v>
      </c>
      <c r="Z98" s="344">
        <f>'BZ by State 1st Crop'!Z98+'BZ by State 2nd Crop'!Z98+'BZ by State 3rd Crop'!Z98</f>
        <v>3720</v>
      </c>
      <c r="AA98" s="344">
        <f>'BZ by State 1st Crop'!AA98+'BZ by State 2nd Crop'!AA98+'BZ by State 3rd Crop'!AA98</f>
        <v>3894</v>
      </c>
      <c r="AB98" s="344">
        <f>'BZ by State 1st Crop'!AB98+'BZ by State 2nd Crop'!AB98+'BZ by State 3rd Crop'!AB98</f>
        <v>4970.3999999999996</v>
      </c>
      <c r="AC98" s="344">
        <f>'BZ by State 1st Crop'!AC98+'BZ by State 2nd Crop'!AC98+'BZ by State 3rd Crop'!AC98</f>
        <v>5164.7999999999993</v>
      </c>
      <c r="AD98" s="344">
        <f>'BZ by State 1st Crop'!AD98+'BZ by State 2nd Crop'!AD98+'BZ by State 3rd Crop'!AD98</f>
        <v>4861.2000000000007</v>
      </c>
      <c r="AE98" s="344">
        <f>'BZ by State 1st Crop'!AE98+'BZ by State 2nd Crop'!AE98+'BZ by State 3rd Crop'!AE98</f>
        <v>5092.7999999999993</v>
      </c>
      <c r="AF98" s="344">
        <f>'BZ by State 1st Crop'!AF98+'BZ by State 2nd Crop'!AF98+'BZ by State 3rd Crop'!AF98</f>
        <v>5365.2000000000007</v>
      </c>
      <c r="AG98" s="344">
        <f>'BZ by State 1st Crop'!AG98+'BZ by State 2nd Crop'!AG98+'BZ by State 3rd Crop'!AG98</f>
        <v>5884.7999999999993</v>
      </c>
      <c r="AH98" s="344">
        <f>'BZ by State 1st Crop'!AH98+'BZ by State 2nd Crop'!AH98+'BZ by State 3rd Crop'!AH98</f>
        <v>6049.2000000000007</v>
      </c>
      <c r="AI98" s="344">
        <f>'BZ by State 1st Crop'!AI98+'BZ by State 2nd Crop'!AI98+'BZ by State 3rd Crop'!AI98</f>
        <v>6745.2000000000007</v>
      </c>
      <c r="AJ98" s="344">
        <f>'BZ by State 1st Crop'!AJ98+'BZ by State 2nd Crop'!AJ98+'BZ by State 3rd Crop'!AJ98</f>
        <v>10556.400000000001</v>
      </c>
      <c r="AK98" s="344">
        <f>'BZ by State 1st Crop'!AK98+'BZ by State 2nd Crop'!AK98+'BZ by State 3rd Crop'!AK98</f>
        <v>8779.2000000000007</v>
      </c>
      <c r="AL98" s="344">
        <f>'BZ by State 1st Crop'!AL98+'BZ by State 2nd Crop'!AL98+'BZ by State 3rd Crop'!AL98</f>
        <v>15712.800000000001</v>
      </c>
      <c r="AM98" s="344">
        <f>'BZ by State 1st Crop'!AM98+'BZ by State 2nd Crop'!AM98+'BZ by State 3rd Crop'!AM98</f>
        <v>20710.800000000003</v>
      </c>
      <c r="AN98" s="344">
        <f>'BZ by State 1st Crop'!AN98+'BZ by State 2nd Crop'!AN98+'BZ by State 3rd Crop'!AN98</f>
        <v>17630.400000000001</v>
      </c>
      <c r="AO98" s="344">
        <f>'BZ by State 1st Crop'!AO98+'BZ by State 2nd Crop'!AO98+'BZ by State 3rd Crop'!AO98</f>
        <v>10492.8</v>
      </c>
      <c r="AP98" s="344">
        <f>'BZ by State 1st Crop'!AP98+'BZ by State 2nd Crop'!AP98+'BZ by State 3rd Crop'!AP98</f>
        <v>23422.800000000003</v>
      </c>
      <c r="AQ98" s="344">
        <f>'BZ by State 1st Crop'!AQ98+'BZ by State 2nd Crop'!AQ98+'BZ by State 3rd Crop'!AQ98</f>
        <v>22608</v>
      </c>
      <c r="AR98" s="344">
        <f>'BZ by State 1st Crop'!AR98+'BZ by State 2nd Crop'!AR98+'BZ by State 3rd Crop'!AR98</f>
        <v>21510</v>
      </c>
      <c r="AS98" s="344">
        <f>'BZ by State 1st Crop'!AS98+'BZ by State 2nd Crop'!AS98+'BZ by State 3rd Crop'!AS98</f>
        <v>26355.600000000002</v>
      </c>
      <c r="AT98" s="344">
        <f>'BZ by State 1st Crop'!AT98+'BZ by State 2nd Crop'!AT98+'BZ by State 3rd Crop'!AT98</f>
        <v>10336.3246</v>
      </c>
      <c r="AU98" s="344">
        <f>'BZ by State 1st Crop'!AU98+'BZ by State 2nd Crop'!AU98+'BZ by State 3rd Crop'!AU98</f>
        <v>12054.8662</v>
      </c>
      <c r="AV98" s="344">
        <f>'BZ by State 1st Crop'!AV98+'BZ by State 2nd Crop'!AV98+'BZ by State 3rd Crop'!AV98</f>
        <v>12716.0785</v>
      </c>
      <c r="AW98" s="344">
        <f>'BZ by State 1st Crop'!AW98+'BZ by State 2nd Crop'!AW98+'BZ by State 3rd Crop'!AW98</f>
        <v>9820.6974000000009</v>
      </c>
      <c r="AX98" s="344">
        <f>'BZ by State 1st Crop'!AX98+'BZ by State 2nd Crop'!AX98+'BZ by State 3rd Crop'!AX98</f>
        <v>11059.797500000001</v>
      </c>
      <c r="AY98" s="365">
        <f>'BZ by State 1st Crop'!AY98+'BZ by State 2nd Crop'!AY98+'BZ by State 3rd Crop'!AY98</f>
        <v>11395.2678</v>
      </c>
      <c r="AZ98" s="366">
        <f>AZ102+AZ106+AZ110+AZ114</f>
        <v>11234.8609</v>
      </c>
      <c r="BA98" s="366">
        <f>AZ98-AY98</f>
        <v>-160.40689999999995</v>
      </c>
      <c r="BB98" s="367">
        <f>AY98-AX98</f>
        <v>335.47029999999904</v>
      </c>
      <c r="BC98" s="368">
        <f>AZ98-AX98</f>
        <v>175.06339999999909</v>
      </c>
      <c r="BD98" s="353">
        <f t="shared" si="1078"/>
        <v>-0.15942812724391708</v>
      </c>
      <c r="BE98" s="309"/>
      <c r="BF98"/>
      <c r="BG98" s="308"/>
    </row>
    <row r="99" spans="1:63" ht="15" customHeight="1">
      <c r="A99" s="320" t="s">
        <v>380</v>
      </c>
      <c r="B99" s="356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356"/>
      <c r="S99" s="356"/>
      <c r="T99" s="356"/>
      <c r="U99" s="356"/>
      <c r="V99" s="356"/>
      <c r="W99" s="356"/>
      <c r="X99" s="356"/>
      <c r="Y99" s="356"/>
      <c r="Z99" s="356"/>
      <c r="AA99" s="356"/>
      <c r="AB99" s="356"/>
      <c r="AC99" s="356"/>
      <c r="AD99" s="356"/>
      <c r="AE99" s="356"/>
      <c r="AF99" s="356"/>
      <c r="AG99" s="356"/>
      <c r="AH99" s="356"/>
      <c r="AI99" s="356"/>
      <c r="AJ99" s="356"/>
      <c r="AK99" s="356"/>
      <c r="AL99" s="356"/>
      <c r="AM99" s="356"/>
      <c r="AN99" s="356"/>
      <c r="AO99" s="356"/>
      <c r="AP99" s="356"/>
      <c r="AQ99" s="356"/>
      <c r="AR99" s="356"/>
      <c r="AS99" s="356"/>
      <c r="AT99" s="328"/>
      <c r="AU99" s="328"/>
      <c r="AV99" s="328"/>
      <c r="AW99" s="328"/>
      <c r="AX99" s="328"/>
      <c r="AY99" s="321"/>
      <c r="AZ99" s="328"/>
      <c r="BA99" s="329"/>
      <c r="BB99" s="321"/>
      <c r="BC99" s="328"/>
      <c r="BD99" s="329"/>
    </row>
    <row r="100" spans="1:63" ht="15" customHeight="1">
      <c r="A100" s="324" t="s">
        <v>352</v>
      </c>
      <c r="B100" s="344">
        <f>'BZ by State 1st Crop'!B100+'BZ by State 2nd Crop'!B100+'BZ by State 3rd Crop'!B100</f>
        <v>1795.2</v>
      </c>
      <c r="C100" s="344">
        <f>'BZ by State 1st Crop'!C100+'BZ by State 2nd Crop'!C100+'BZ by State 3rd Crop'!C100</f>
        <v>1735</v>
      </c>
      <c r="D100" s="344">
        <f>'BZ by State 1st Crop'!D100+'BZ by State 2nd Crop'!D100+'BZ by State 3rd Crop'!D100</f>
        <v>1685</v>
      </c>
      <c r="E100" s="344">
        <f>'BZ by State 1st Crop'!E100+'BZ by State 2nd Crop'!E100+'BZ by State 3rd Crop'!E100</f>
        <v>1461.4</v>
      </c>
      <c r="F100" s="344">
        <f>'BZ by State 1st Crop'!F100+'BZ by State 2nd Crop'!F100+'BZ by State 3rd Crop'!F100</f>
        <v>1576.8</v>
      </c>
      <c r="G100" s="344">
        <f>'BZ by State 1st Crop'!G100+'BZ by State 2nd Crop'!G100+'BZ by State 3rd Crop'!G100</f>
        <v>1635.6</v>
      </c>
      <c r="H100" s="344">
        <f>'BZ by State 1st Crop'!H100+'BZ by State 2nd Crop'!H100+'BZ by State 3rd Crop'!H100</f>
        <v>1406.6</v>
      </c>
      <c r="I100" s="344">
        <f>'BZ by State 1st Crop'!I100+'BZ by State 2nd Crop'!I100+'BZ by State 3rd Crop'!I100</f>
        <v>1519.2</v>
      </c>
      <c r="J100" s="344">
        <f>'BZ by State 1st Crop'!J100+'BZ by State 2nd Crop'!J100+'BZ by State 3rd Crop'!J100</f>
        <v>1496</v>
      </c>
      <c r="K100" s="344">
        <f>'BZ by State 1st Crop'!K100+'BZ by State 2nd Crop'!K100+'BZ by State 3rd Crop'!K100</f>
        <v>1555.8</v>
      </c>
      <c r="L100" s="344">
        <f>'BZ by State 1st Crop'!L100+'BZ by State 2nd Crop'!L100+'BZ by State 3rd Crop'!L100</f>
        <v>1677</v>
      </c>
      <c r="M100" s="344">
        <f>'BZ by State 1st Crop'!M100+'BZ by State 2nd Crop'!M100+'BZ by State 3rd Crop'!M100</f>
        <v>1526</v>
      </c>
      <c r="N100" s="344">
        <f>'BZ by State 1st Crop'!N100+'BZ by State 2nd Crop'!N100+'BZ by State 3rd Crop'!N100</f>
        <v>1492</v>
      </c>
      <c r="O100" s="344">
        <f>'BZ by State 1st Crop'!O100+'BZ by State 2nd Crop'!O100+'BZ by State 3rd Crop'!O100</f>
        <v>1432</v>
      </c>
      <c r="P100" s="344">
        <f>'BZ by State 1st Crop'!P100+'BZ by State 2nd Crop'!P100+'BZ by State 3rd Crop'!P100</f>
        <v>1580</v>
      </c>
      <c r="Q100" s="344">
        <f>'BZ by State 1st Crop'!Q100+'BZ by State 2nd Crop'!Q100+'BZ by State 3rd Crop'!Q100</f>
        <v>1580</v>
      </c>
      <c r="R100" s="344">
        <f>'BZ by State 1st Crop'!R100+'BZ by State 2nd Crop'!R100+'BZ by State 3rd Crop'!R100</f>
        <v>1507.3</v>
      </c>
      <c r="S100" s="344">
        <f>'BZ by State 1st Crop'!S100+'BZ by State 2nd Crop'!S100+'BZ by State 3rd Crop'!S100</f>
        <v>1507.3</v>
      </c>
      <c r="T100" s="344">
        <f>'BZ by State 1st Crop'!T100+'BZ by State 2nd Crop'!T100+'BZ by State 3rd Crop'!T100</f>
        <v>1510</v>
      </c>
      <c r="U100" s="344">
        <f>'BZ by State 1st Crop'!U100+'BZ by State 2nd Crop'!U100+'BZ by State 3rd Crop'!U100</f>
        <v>1374.1</v>
      </c>
      <c r="V100" s="344">
        <f>'BZ by State 1st Crop'!V100+'BZ by State 2nd Crop'!V100+'BZ by State 3rd Crop'!V100</f>
        <v>1409.5</v>
      </c>
      <c r="W100" s="344">
        <f>'BZ by State 1st Crop'!W100+'BZ by State 2nd Crop'!W100+'BZ by State 3rd Crop'!W100</f>
        <v>1295.3000000000002</v>
      </c>
      <c r="X100" s="344">
        <f>'BZ by State 1st Crop'!X100+'BZ by State 2nd Crop'!X100+'BZ by State 3rd Crop'!X100</f>
        <v>1328.6</v>
      </c>
      <c r="Y100" s="344">
        <f>'BZ by State 1st Crop'!Y100+'BZ by State 2nd Crop'!Y100+'BZ by State 3rd Crop'!Y100</f>
        <v>1272.4000000000001</v>
      </c>
      <c r="Z100" s="344">
        <f>'BZ by State 1st Crop'!Z100+'BZ by State 2nd Crop'!Z100+'BZ by State 3rd Crop'!Z100</f>
        <v>1246.4000000000001</v>
      </c>
      <c r="AA100" s="344">
        <f>'BZ by State 1st Crop'!AA100+'BZ by State 2nd Crop'!AA100+'BZ by State 3rd Crop'!AA100</f>
        <v>1201.6000000000001</v>
      </c>
      <c r="AB100" s="344">
        <f>'BZ by State 1st Crop'!AB100+'BZ by State 2nd Crop'!AB100+'BZ by State 3rd Crop'!AB100</f>
        <v>1269.1000000000001</v>
      </c>
      <c r="AC100" s="344">
        <f>'BZ by State 1st Crop'!AC100+'BZ by State 2nd Crop'!AC100+'BZ by State 3rd Crop'!AC100</f>
        <v>1346.5</v>
      </c>
      <c r="AD100" s="344">
        <f>'BZ by State 1st Crop'!AD100+'BZ by State 2nd Crop'!AD100+'BZ by State 3rd Crop'!AD100</f>
        <v>1359.7</v>
      </c>
      <c r="AE100" s="344">
        <f>'BZ by State 1st Crop'!AE100+'BZ by State 2nd Crop'!AE100+'BZ by State 3rd Crop'!AE100</f>
        <v>1371.7</v>
      </c>
      <c r="AF100" s="344">
        <f>'BZ by State 1st Crop'!AF100+'BZ by State 2nd Crop'!AF100+'BZ by State 3rd Crop'!AF100</f>
        <v>1398.5</v>
      </c>
      <c r="AG100" s="344">
        <f>'BZ by State 1st Crop'!AG100+'BZ by State 2nd Crop'!AG100+'BZ by State 3rd Crop'!AG100</f>
        <v>1339.4</v>
      </c>
      <c r="AH100" s="344">
        <f>'BZ by State 1st Crop'!AH100+'BZ by State 2nd Crop'!AH100+'BZ by State 3rd Crop'!AH100</f>
        <v>1290.4000000000001</v>
      </c>
      <c r="AI100" s="344">
        <f>'BZ by State 1st Crop'!AI100+'BZ by State 2nd Crop'!AI100+'BZ by State 3rd Crop'!AI100</f>
        <v>1192.3000000000002</v>
      </c>
      <c r="AJ100" s="344">
        <f>'BZ by State 1st Crop'!AJ100+'BZ by State 2nd Crop'!AJ100+'BZ by State 3rd Crop'!AJ100</f>
        <v>1205.4000000000001</v>
      </c>
      <c r="AK100" s="344">
        <f>'BZ by State 1st Crop'!AK100+'BZ by State 2nd Crop'!AK100+'BZ by State 3rd Crop'!AK100</f>
        <v>1312.8</v>
      </c>
      <c r="AL100" s="344">
        <f>'BZ by State 1st Crop'!AL100+'BZ by State 2nd Crop'!AL100+'BZ by State 3rd Crop'!AL100</f>
        <v>1268.5999999999999</v>
      </c>
      <c r="AM100" s="344">
        <f>'BZ by State 1st Crop'!AM100+'BZ by State 2nd Crop'!AM100+'BZ by State 3rd Crop'!AM100</f>
        <v>1326</v>
      </c>
      <c r="AN100" s="344">
        <f>'BZ by State 1st Crop'!AN100+'BZ by State 2nd Crop'!AN100+'BZ by State 3rd Crop'!AN100</f>
        <v>1277.5999999999999</v>
      </c>
      <c r="AO100" s="344">
        <f>'BZ by State 1st Crop'!AO100+'BZ by State 2nd Crop'!AO100+'BZ by State 3rd Crop'!AO100</f>
        <v>1208.4000000000001</v>
      </c>
      <c r="AP100" s="344">
        <f>'BZ by State 1st Crop'!AP100+'BZ by State 2nd Crop'!AP100+'BZ by State 3rd Crop'!AP100</f>
        <v>1267</v>
      </c>
      <c r="AQ100" s="344">
        <f>'BZ by State 1st Crop'!AQ100+'BZ by State 2nd Crop'!AQ100+'BZ by State 3rd Crop'!AQ100</f>
        <v>1165.0999999999999</v>
      </c>
      <c r="AR100" s="344">
        <f>'BZ by State 1st Crop'!AR100+'BZ by State 2nd Crop'!AR100+'BZ by State 3rd Crop'!AR100</f>
        <v>1169.4000000000001</v>
      </c>
      <c r="AS100" s="344">
        <f>'BZ by State 1st Crop'!AS100+'BZ by State 2nd Crop'!AS100+'BZ by State 3rd Crop'!AS100</f>
        <v>1171.2</v>
      </c>
      <c r="AT100" s="344">
        <f>'BZ by State 1st Crop'!AT100+'BZ by State 2nd Crop'!AT100+'BZ by State 3rd Crop'!AT100</f>
        <v>1314.6</v>
      </c>
      <c r="AU100" s="344">
        <f>'BZ by State 1st Crop'!AU100+'BZ by State 2nd Crop'!AU100+'BZ by State 3rd Crop'!AU100</f>
        <v>1394.1</v>
      </c>
      <c r="AV100" s="344">
        <f>'BZ by State 1st Crop'!AV100+'BZ by State 2nd Crop'!AV100+'BZ by State 3rd Crop'!AV100</f>
        <v>1289.0999999999999</v>
      </c>
      <c r="AW100" s="344">
        <f>'BZ by State 1st Crop'!AW100+'BZ by State 2nd Crop'!AW100+'BZ by State 3rd Crop'!AW100</f>
        <v>1143.2</v>
      </c>
      <c r="AX100" s="344">
        <f>'BZ by State 1st Crop'!AX100+'BZ by State 2nd Crop'!AX100+'BZ by State 3rd Crop'!AX100</f>
        <v>1083.7</v>
      </c>
      <c r="AY100" s="369">
        <f>'BZ by State 1st Crop'!AY100+'BZ by State 2nd Crop'!AY100+'BZ by State 3rd Crop'!AY100</f>
        <v>1141.3</v>
      </c>
      <c r="AZ100" s="366">
        <f>'BZ by State 1st Crop'!AZ100+'BZ by State 2nd Crop'!AZ100+'BZ by State 3rd Crop'!AZ100</f>
        <v>1141.3</v>
      </c>
      <c r="BA100" s="366">
        <f>AZ100-AY100</f>
        <v>0</v>
      </c>
      <c r="BB100" s="367">
        <f>AY100-AX100</f>
        <v>57.599999999999909</v>
      </c>
      <c r="BC100" s="368">
        <f>AZ100-AX100</f>
        <v>57.599999999999909</v>
      </c>
      <c r="BD100" s="353">
        <f>(AX100/AS100)^(1/5)-1</f>
        <v>-1.5409588773408256E-2</v>
      </c>
      <c r="BF100" s="319" t="b">
        <v>0</v>
      </c>
      <c r="BH100" s="311"/>
      <c r="BI100" s="311"/>
      <c r="BJ100" s="311"/>
      <c r="BK100" s="311"/>
    </row>
    <row r="101" spans="1:63" ht="15" customHeight="1">
      <c r="A101" s="324" t="s">
        <v>353</v>
      </c>
      <c r="B101" s="345">
        <f t="shared" ref="B101" si="1079">B102/B100*1000</f>
        <v>1523.7299465240642</v>
      </c>
      <c r="C101" s="345">
        <f t="shared" ref="C101" si="1080">C102/C100*1000</f>
        <v>440.92219020172911</v>
      </c>
      <c r="D101" s="345">
        <f t="shared" ref="D101" si="1081">D102/D100*1000</f>
        <v>398.81305637982194</v>
      </c>
      <c r="E101" s="345">
        <f t="shared" ref="E101" si="1082">E102/E100*1000</f>
        <v>546.05173121664154</v>
      </c>
      <c r="F101" s="345">
        <f t="shared" ref="F101" si="1083">F102/F100*1000</f>
        <v>336.75799086757991</v>
      </c>
      <c r="G101" s="345">
        <f t="shared" ref="G101" si="1084">G102/G100*1000</f>
        <v>555.75935436537054</v>
      </c>
      <c r="H101" s="345">
        <f t="shared" ref="H101" si="1085">H102/H100*1000</f>
        <v>202.61623773638561</v>
      </c>
      <c r="I101" s="345">
        <f t="shared" ref="I101" si="1086">I102/I100*1000</f>
        <v>647.70932069510263</v>
      </c>
      <c r="J101" s="345">
        <f t="shared" ref="J101" si="1087">J102/J100*1000</f>
        <v>252.67379679144386</v>
      </c>
      <c r="K101" s="345">
        <f t="shared" ref="K101" si="1088">K102/K100*1000</f>
        <v>559.19784033937526</v>
      </c>
      <c r="L101" s="345">
        <f t="shared" ref="L101" si="1089">L102/L100*1000</f>
        <v>207.5134168157424</v>
      </c>
      <c r="M101" s="345">
        <f t="shared" ref="M101" si="1090">M102/M100*1000</f>
        <v>678.24377457404978</v>
      </c>
      <c r="N101" s="345">
        <f t="shared" ref="N101" si="1091">N102/N100*1000</f>
        <v>687.66756032171588</v>
      </c>
      <c r="O101" s="345">
        <f t="shared" ref="O101" si="1092">O102/O100*1000</f>
        <v>362.43016759776538</v>
      </c>
      <c r="P101" s="345">
        <f t="shared" ref="P101" si="1093">P102/P100*1000</f>
        <v>673.48101265822777</v>
      </c>
      <c r="Q101" s="345">
        <f t="shared" ref="Q101" si="1094">Q102/Q100*1000</f>
        <v>450.37974683544297</v>
      </c>
      <c r="R101" s="345">
        <f t="shared" ref="R101" si="1095">R102/R100*1000</f>
        <v>392.88794533271414</v>
      </c>
      <c r="S101" s="345">
        <f t="shared" ref="S101" si="1096">S102/S100*1000</f>
        <v>822.19863331785325</v>
      </c>
      <c r="T101" s="345">
        <f t="shared" ref="T101" si="1097">T102/T100*1000</f>
        <v>839.40397350993373</v>
      </c>
      <c r="U101" s="345">
        <f t="shared" ref="U101" si="1098">U102/U100*1000</f>
        <v>993.37748344370868</v>
      </c>
      <c r="V101" s="345">
        <f t="shared" ref="V101" si="1099">V102/V100*1000</f>
        <v>771.9758779709116</v>
      </c>
      <c r="W101" s="345">
        <f t="shared" ref="W101" si="1100">W102/W100*1000</f>
        <v>486.14220643866287</v>
      </c>
      <c r="X101" s="345">
        <f t="shared" ref="X101" si="1101">X102/X100*1000</f>
        <v>664.08249284961619</v>
      </c>
      <c r="Y101" s="345">
        <f t="shared" ref="Y101" si="1102">Y102/Y100*1000</f>
        <v>739.39012889028606</v>
      </c>
      <c r="Z101" s="345">
        <f t="shared" ref="Z101" si="1103">Z102/Z100*1000</f>
        <v>746.14890885750958</v>
      </c>
      <c r="AA101" s="345">
        <f t="shared" ref="AA101" si="1104">AA102/AA100*1000</f>
        <v>810.16977363515309</v>
      </c>
      <c r="AB101" s="345">
        <f t="shared" ref="AB101" si="1105">AB102/AB100*1000</f>
        <v>979.11906075171362</v>
      </c>
      <c r="AC101" s="345">
        <f t="shared" ref="AC101" si="1106">AC102/AC100*1000</f>
        <v>958.93056071295939</v>
      </c>
      <c r="AD101" s="345">
        <f t="shared" ref="AD101" si="1107">AD102/AD100*1000</f>
        <v>893.80010296388923</v>
      </c>
      <c r="AE101" s="345">
        <f t="shared" ref="AE101" si="1108">AE102/AE100*1000</f>
        <v>928.19129547277089</v>
      </c>
      <c r="AF101" s="345">
        <f t="shared" ref="AF101" si="1109">AF102/AF100*1000</f>
        <v>959.09903468001448</v>
      </c>
      <c r="AG101" s="345">
        <f t="shared" ref="AG101" si="1110">AG102/AG100*1000</f>
        <v>1098.4022696729876</v>
      </c>
      <c r="AH101" s="345">
        <f t="shared" ref="AH101" si="1111">AH102/AH100*1000</f>
        <v>1171.962182269064</v>
      </c>
      <c r="AI101" s="345">
        <f t="shared" ref="AI101" si="1112">AI102/AI100*1000</f>
        <v>1414.3252537113142</v>
      </c>
      <c r="AJ101" s="345">
        <f t="shared" ref="AJ101" si="1113">AJ102/AJ100*1000</f>
        <v>2189.3977103036336</v>
      </c>
      <c r="AK101" s="345">
        <f t="shared" ref="AK101" si="1114">AK102/AK100*1000</f>
        <v>1671.8464351005487</v>
      </c>
      <c r="AL101" s="345">
        <f t="shared" ref="AL101" si="1115">AL102/AL100*1000</f>
        <v>3096.4843134163652</v>
      </c>
      <c r="AM101" s="345">
        <f t="shared" ref="AM101" si="1116">AM102/AM100*1000</f>
        <v>3904.7511312217198</v>
      </c>
      <c r="AN101" s="345">
        <f t="shared" ref="AN101" si="1117">AN102/AN100*1000</f>
        <v>3449.9060738885414</v>
      </c>
      <c r="AO101" s="345">
        <f t="shared" ref="AO101" si="1118">AO102/AO100*1000</f>
        <v>2170.8043694141011</v>
      </c>
      <c r="AP101" s="345">
        <f t="shared" ref="AP101" si="1119">AP102/AP100*1000</f>
        <v>4621.7048145224953</v>
      </c>
      <c r="AQ101" s="345">
        <f t="shared" ref="AQ101" si="1120">AQ102/AQ100*1000</f>
        <v>4851.0857437129862</v>
      </c>
      <c r="AR101" s="345">
        <f t="shared" ref="AR101" si="1121">AR102/AR100*1000</f>
        <v>4598.5120574653665</v>
      </c>
      <c r="AS101" s="345">
        <f t="shared" ref="AS101" si="1122">AS102/AS100*1000</f>
        <v>5625.7684426229516</v>
      </c>
      <c r="AT101" s="345">
        <f t="shared" ref="AT101" si="1123">AT102/AT100*1000</f>
        <v>5343.5282215122479</v>
      </c>
      <c r="AU101" s="345">
        <f t="shared" ref="AU101" si="1124">AU102/AU100*1000</f>
        <v>5510.7754823900732</v>
      </c>
      <c r="AV101" s="345">
        <f t="shared" ref="AV101" si="1125">AV102/AV100*1000</f>
        <v>6160.9673415561247</v>
      </c>
      <c r="AW101" s="345">
        <f t="shared" ref="AW101" si="1126">AW102/AW100*1000</f>
        <v>5359.367389783064</v>
      </c>
      <c r="AX101" s="345">
        <f t="shared" ref="AX101" si="1127">AX102/AX100*1000</f>
        <v>6082.2116821998707</v>
      </c>
      <c r="AY101" s="346">
        <f t="shared" ref="AY101:AZ101" si="1128">AY102/AY100*1000</f>
        <v>6058.6647682467365</v>
      </c>
      <c r="AZ101" s="347">
        <f t="shared" si="1128"/>
        <v>5986.8634013843866</v>
      </c>
      <c r="BA101" s="347">
        <f>AZ101-AY101</f>
        <v>-71.801366862349823</v>
      </c>
      <c r="BB101" s="351">
        <f>AY101-AX101</f>
        <v>-23.546913953134208</v>
      </c>
      <c r="BC101" s="352">
        <f>AZ101-AX101</f>
        <v>-95.348280815484031</v>
      </c>
      <c r="BD101" s="353">
        <f t="shared" ref="BD101:BD102" si="1129">(AX101/AS101)^(1/5)-1</f>
        <v>1.5724517821861461E-2</v>
      </c>
    </row>
    <row r="102" spans="1:63" s="311" customFormat="1" ht="15" customHeight="1">
      <c r="A102" s="324" t="s">
        <v>354</v>
      </c>
      <c r="B102" s="344">
        <f>'BZ by State 1st Crop'!B102+'BZ by State 2nd Crop'!B102+'BZ by State 3rd Crop'!B102</f>
        <v>2735.4</v>
      </c>
      <c r="C102" s="344">
        <f>'BZ by State 1st Crop'!C102+'BZ by State 2nd Crop'!C102+'BZ by State 3rd Crop'!C102</f>
        <v>765</v>
      </c>
      <c r="D102" s="344">
        <f>'BZ by State 1st Crop'!D102+'BZ by State 2nd Crop'!D102+'BZ by State 3rd Crop'!D102</f>
        <v>672</v>
      </c>
      <c r="E102" s="344">
        <f>'BZ by State 1st Crop'!E102+'BZ by State 2nd Crop'!E102+'BZ by State 3rd Crop'!E102</f>
        <v>798</v>
      </c>
      <c r="F102" s="344">
        <f>'BZ by State 1st Crop'!F102+'BZ by State 2nd Crop'!F102+'BZ by State 3rd Crop'!F102</f>
        <v>531</v>
      </c>
      <c r="G102" s="344">
        <f>'BZ by State 1st Crop'!G102+'BZ by State 2nd Crop'!G102+'BZ by State 3rd Crop'!G102</f>
        <v>909</v>
      </c>
      <c r="H102" s="344">
        <f>'BZ by State 1st Crop'!H102+'BZ by State 2nd Crop'!H102+'BZ by State 3rd Crop'!H102</f>
        <v>285</v>
      </c>
      <c r="I102" s="344">
        <f>'BZ by State 1st Crop'!I102+'BZ by State 2nd Crop'!I102+'BZ by State 3rd Crop'!I102</f>
        <v>984</v>
      </c>
      <c r="J102" s="344">
        <f>'BZ by State 1st Crop'!J102+'BZ by State 2nd Crop'!J102+'BZ by State 3rd Crop'!J102</f>
        <v>378</v>
      </c>
      <c r="K102" s="344">
        <f>'BZ by State 1st Crop'!K102+'BZ by State 2nd Crop'!K102+'BZ by State 3rd Crop'!K102</f>
        <v>870</v>
      </c>
      <c r="L102" s="344">
        <f>'BZ by State 1st Crop'!L102+'BZ by State 2nd Crop'!L102+'BZ by State 3rd Crop'!L102</f>
        <v>348</v>
      </c>
      <c r="M102" s="344">
        <f>'BZ by State 1st Crop'!M102+'BZ by State 2nd Crop'!M102+'BZ by State 3rd Crop'!M102</f>
        <v>1035</v>
      </c>
      <c r="N102" s="344">
        <f>'BZ by State 1st Crop'!N102+'BZ by State 2nd Crop'!N102+'BZ by State 3rd Crop'!N102</f>
        <v>1026</v>
      </c>
      <c r="O102" s="344">
        <f>'BZ by State 1st Crop'!O102+'BZ by State 2nd Crop'!O102+'BZ by State 3rd Crop'!O102</f>
        <v>519</v>
      </c>
      <c r="P102" s="344">
        <f>'BZ by State 1st Crop'!P102+'BZ by State 2nd Crop'!P102+'BZ by State 3rd Crop'!P102</f>
        <v>1064.0999999999999</v>
      </c>
      <c r="Q102" s="344">
        <f>'BZ by State 1st Crop'!Q102+'BZ by State 2nd Crop'!Q102+'BZ by State 3rd Crop'!Q102</f>
        <v>711.59999999999991</v>
      </c>
      <c r="R102" s="344">
        <f>'BZ by State 1st Crop'!R102+'BZ by State 2nd Crop'!R102+'BZ by State 3rd Crop'!R102</f>
        <v>592.20000000000005</v>
      </c>
      <c r="S102" s="344">
        <f>'BZ by State 1st Crop'!S102+'BZ by State 2nd Crop'!S102+'BZ by State 3rd Crop'!S102</f>
        <v>1239.3000000000002</v>
      </c>
      <c r="T102" s="344">
        <f>'BZ by State 1st Crop'!T102+'BZ by State 2nd Crop'!T102+'BZ by State 3rd Crop'!T102</f>
        <v>1267.5</v>
      </c>
      <c r="U102" s="344">
        <f>'BZ by State 1st Crop'!U102+'BZ by State 2nd Crop'!U102+'BZ by State 3rd Crop'!U102</f>
        <v>1365</v>
      </c>
      <c r="V102" s="344">
        <f>'BZ by State 1st Crop'!V102+'BZ by State 2nd Crop'!V102+'BZ by State 3rd Crop'!V102</f>
        <v>1088.0999999999999</v>
      </c>
      <c r="W102" s="344">
        <f>'BZ by State 1st Crop'!W102+'BZ by State 2nd Crop'!W102+'BZ by State 3rd Crop'!W102</f>
        <v>629.70000000000005</v>
      </c>
      <c r="X102" s="344">
        <f>'BZ by State 1st Crop'!X102+'BZ by State 2nd Crop'!X102+'BZ by State 3rd Crop'!X102</f>
        <v>882.30000000000007</v>
      </c>
      <c r="Y102" s="344">
        <f>'BZ by State 1st Crop'!Y102+'BZ by State 2nd Crop'!Y102+'BZ by State 3rd Crop'!Y102</f>
        <v>940.80000000000007</v>
      </c>
      <c r="Z102" s="344">
        <f>'BZ by State 1st Crop'!Z102+'BZ by State 2nd Crop'!Z102+'BZ by State 3rd Crop'!Z102</f>
        <v>930</v>
      </c>
      <c r="AA102" s="344">
        <f>'BZ by State 1st Crop'!AA102+'BZ by State 2nd Crop'!AA102+'BZ by State 3rd Crop'!AA102</f>
        <v>973.5</v>
      </c>
      <c r="AB102" s="344">
        <f>'BZ by State 1st Crop'!AB102+'BZ by State 2nd Crop'!AB102+'BZ by State 3rd Crop'!AB102</f>
        <v>1242.5999999999999</v>
      </c>
      <c r="AC102" s="344">
        <f>'BZ by State 1st Crop'!AC102+'BZ by State 2nd Crop'!AC102+'BZ by State 3rd Crop'!AC102</f>
        <v>1291.1999999999998</v>
      </c>
      <c r="AD102" s="344">
        <f>'BZ by State 1st Crop'!AD102+'BZ by State 2nd Crop'!AD102+'BZ by State 3rd Crop'!AD102</f>
        <v>1215.3000000000002</v>
      </c>
      <c r="AE102" s="344">
        <f>'BZ by State 1st Crop'!AE102+'BZ by State 2nd Crop'!AE102+'BZ by State 3rd Crop'!AE102</f>
        <v>1273.1999999999998</v>
      </c>
      <c r="AF102" s="344">
        <f>'BZ by State 1st Crop'!AF102+'BZ by State 2nd Crop'!AF102+'BZ by State 3rd Crop'!AF102</f>
        <v>1341.3000000000002</v>
      </c>
      <c r="AG102" s="344">
        <f>'BZ by State 1st Crop'!AG102+'BZ by State 2nd Crop'!AG102+'BZ by State 3rd Crop'!AG102</f>
        <v>1471.1999999999998</v>
      </c>
      <c r="AH102" s="344">
        <f>'BZ by State 1st Crop'!AH102+'BZ by State 2nd Crop'!AH102+'BZ by State 3rd Crop'!AH102</f>
        <v>1512.3000000000002</v>
      </c>
      <c r="AI102" s="344">
        <f>'BZ by State 1st Crop'!AI102+'BZ by State 2nd Crop'!AI102+'BZ by State 3rd Crop'!AI102</f>
        <v>1686.3000000000002</v>
      </c>
      <c r="AJ102" s="344">
        <f>'BZ by State 1st Crop'!AJ102+'BZ by State 2nd Crop'!AJ102+'BZ by State 3rd Crop'!AJ102</f>
        <v>2639.1000000000004</v>
      </c>
      <c r="AK102" s="344">
        <f>'BZ by State 1st Crop'!AK102+'BZ by State 2nd Crop'!AK102+'BZ by State 3rd Crop'!AK102</f>
        <v>2194.8000000000002</v>
      </c>
      <c r="AL102" s="344">
        <f>'BZ by State 1st Crop'!AL102+'BZ by State 2nd Crop'!AL102+'BZ by State 3rd Crop'!AL102</f>
        <v>3928.2000000000003</v>
      </c>
      <c r="AM102" s="344">
        <f>'BZ by State 1st Crop'!AM102+'BZ by State 2nd Crop'!AM102+'BZ by State 3rd Crop'!AM102</f>
        <v>5177.7000000000007</v>
      </c>
      <c r="AN102" s="344">
        <f>'BZ by State 1st Crop'!AN102+'BZ by State 2nd Crop'!AN102+'BZ by State 3rd Crop'!AN102</f>
        <v>4407.6000000000004</v>
      </c>
      <c r="AO102" s="344">
        <f>'BZ by State 1st Crop'!AO102+'BZ by State 2nd Crop'!AO102+'BZ by State 3rd Crop'!AO102</f>
        <v>2623.2</v>
      </c>
      <c r="AP102" s="344">
        <f>'BZ by State 1st Crop'!AP102+'BZ by State 2nd Crop'!AP102+'BZ by State 3rd Crop'!AP102</f>
        <v>5855.7000000000007</v>
      </c>
      <c r="AQ102" s="344">
        <f>'BZ by State 1st Crop'!AQ102+'BZ by State 2nd Crop'!AQ102+'BZ by State 3rd Crop'!AQ102</f>
        <v>5652</v>
      </c>
      <c r="AR102" s="344">
        <f>'BZ by State 1st Crop'!AR102+'BZ by State 2nd Crop'!AR102+'BZ by State 3rd Crop'!AR102</f>
        <v>5377.5</v>
      </c>
      <c r="AS102" s="344">
        <f>'BZ by State 1st Crop'!AS102+'BZ by State 2nd Crop'!AS102+'BZ by State 3rd Crop'!AS102</f>
        <v>6588.9000000000005</v>
      </c>
      <c r="AT102" s="344">
        <f>'BZ by State 1st Crop'!AT102+'BZ by State 2nd Crop'!AT102+'BZ by State 3rd Crop'!AT102</f>
        <v>7024.6022000000003</v>
      </c>
      <c r="AU102" s="344">
        <f>'BZ by State 1st Crop'!AU102+'BZ by State 2nd Crop'!AU102+'BZ by State 3rd Crop'!AU102</f>
        <v>7682.5721000000003</v>
      </c>
      <c r="AV102" s="344">
        <f>'BZ by State 1st Crop'!AV102+'BZ by State 2nd Crop'!AV102+'BZ by State 3rd Crop'!AV102</f>
        <v>7942.1030000000001</v>
      </c>
      <c r="AW102" s="344">
        <f>'BZ by State 1st Crop'!AW102+'BZ by State 2nd Crop'!AW102+'BZ by State 3rd Crop'!AW102</f>
        <v>6126.8287999999993</v>
      </c>
      <c r="AX102" s="344">
        <f>'BZ by State 1st Crop'!AX102+'BZ by State 2nd Crop'!AX102+'BZ by State 3rd Crop'!AX102</f>
        <v>6591.2928000000002</v>
      </c>
      <c r="AY102" s="365">
        <f>'BZ by State 1st Crop'!AY102+'BZ by State 2nd Crop'!AY102+'BZ by State 3rd Crop'!AY102</f>
        <v>6914.7541000000001</v>
      </c>
      <c r="AZ102" s="366">
        <f>'BZ by State 1st Crop'!AZ102+'BZ by State 2nd Crop'!AZ102+'BZ by State 3rd Crop'!AZ102</f>
        <v>6832.8072000000002</v>
      </c>
      <c r="BA102" s="366">
        <f>AZ102-AY102</f>
        <v>-81.946899999999914</v>
      </c>
      <c r="BB102" s="367">
        <f>AY102-AX102</f>
        <v>323.46129999999994</v>
      </c>
      <c r="BC102" s="368">
        <f>AZ102-AX102</f>
        <v>241.51440000000002</v>
      </c>
      <c r="BD102" s="353">
        <f t="shared" si="1129"/>
        <v>7.2620695158231996E-5</v>
      </c>
      <c r="BE102" s="309"/>
      <c r="BF102"/>
      <c r="BG102" s="308"/>
    </row>
    <row r="103" spans="1:63" ht="15" customHeight="1">
      <c r="A103" s="320" t="s">
        <v>381</v>
      </c>
      <c r="B103" s="356"/>
      <c r="C103" s="356"/>
      <c r="D103" s="356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6"/>
      <c r="P103" s="356"/>
      <c r="Q103" s="356"/>
      <c r="R103" s="356"/>
      <c r="S103" s="356"/>
      <c r="T103" s="356"/>
      <c r="U103" s="356"/>
      <c r="V103" s="356"/>
      <c r="W103" s="356"/>
      <c r="X103" s="356"/>
      <c r="Y103" s="356"/>
      <c r="Z103" s="356"/>
      <c r="AA103" s="356"/>
      <c r="AB103" s="356"/>
      <c r="AC103" s="356"/>
      <c r="AD103" s="356"/>
      <c r="AE103" s="356"/>
      <c r="AF103" s="356"/>
      <c r="AG103" s="356"/>
      <c r="AH103" s="356"/>
      <c r="AI103" s="356"/>
      <c r="AJ103" s="356"/>
      <c r="AK103" s="356"/>
      <c r="AL103" s="356"/>
      <c r="AM103" s="356"/>
      <c r="AN103" s="356"/>
      <c r="AO103" s="356"/>
      <c r="AP103" s="356"/>
      <c r="AQ103" s="356"/>
      <c r="AR103" s="356"/>
      <c r="AS103" s="356"/>
      <c r="AT103" s="328"/>
      <c r="AU103" s="328"/>
      <c r="AV103" s="328"/>
      <c r="AW103" s="328"/>
      <c r="AX103" s="328"/>
      <c r="AY103" s="321"/>
      <c r="AZ103" s="328"/>
      <c r="BA103" s="329"/>
      <c r="BB103" s="321"/>
      <c r="BC103" s="328"/>
      <c r="BD103" s="329"/>
    </row>
    <row r="104" spans="1:63" ht="15" customHeight="1">
      <c r="A104" s="324" t="s">
        <v>352</v>
      </c>
      <c r="B104" s="344">
        <f>'BZ by State 1st Crop'!B104+'BZ by State 2nd Crop'!B104+'BZ by State 3rd Crop'!B104</f>
        <v>206.8</v>
      </c>
      <c r="C104" s="344">
        <f>'BZ by State 1st Crop'!C104+'BZ by State 2nd Crop'!C104+'BZ by State 3rd Crop'!C104</f>
        <v>193</v>
      </c>
      <c r="D104" s="344">
        <f>'BZ by State 1st Crop'!D104+'BZ by State 2nd Crop'!D104+'BZ by State 3rd Crop'!D104</f>
        <v>150</v>
      </c>
      <c r="E104" s="344">
        <f>'BZ by State 1st Crop'!E104+'BZ by State 2nd Crop'!E104+'BZ by State 3rd Crop'!E104</f>
        <v>152.6</v>
      </c>
      <c r="F104" s="344">
        <f>'BZ by State 1st Crop'!F104+'BZ by State 2nd Crop'!F104+'BZ by State 3rd Crop'!F104</f>
        <v>144</v>
      </c>
      <c r="G104" s="344">
        <f>'BZ by State 1st Crop'!G104+'BZ by State 2nd Crop'!G104+'BZ by State 3rd Crop'!G104</f>
        <v>140.4</v>
      </c>
      <c r="H104" s="344">
        <f>'BZ by State 1st Crop'!H104+'BZ by State 2nd Crop'!H104+'BZ by State 3rd Crop'!H104</f>
        <v>117</v>
      </c>
      <c r="I104" s="344">
        <f>'BZ by State 1st Crop'!I104+'BZ by State 2nd Crop'!I104+'BZ by State 3rd Crop'!I104</f>
        <v>138</v>
      </c>
      <c r="J104" s="344">
        <f>'BZ by State 1st Crop'!J104+'BZ by State 2nd Crop'!J104+'BZ by State 3rd Crop'!J104</f>
        <v>130</v>
      </c>
      <c r="K104" s="344">
        <f>'BZ by State 1st Crop'!K104+'BZ by State 2nd Crop'!K104+'BZ by State 3rd Crop'!K104</f>
        <v>130</v>
      </c>
      <c r="L104" s="344">
        <f>'BZ by State 1st Crop'!L104+'BZ by State 2nd Crop'!L104+'BZ by State 3rd Crop'!L104</f>
        <v>128.69999999999999</v>
      </c>
      <c r="M104" s="344">
        <f>'BZ by State 1st Crop'!M104+'BZ by State 2nd Crop'!M104+'BZ by State 3rd Crop'!M104</f>
        <v>115.8</v>
      </c>
      <c r="N104" s="344">
        <f>'BZ by State 1st Crop'!N104+'BZ by State 2nd Crop'!N104+'BZ by State 3rd Crop'!N104</f>
        <v>127.4</v>
      </c>
      <c r="O104" s="344">
        <f>'BZ by State 1st Crop'!O104+'BZ by State 2nd Crop'!O104+'BZ by State 3rd Crop'!O104</f>
        <v>115.5</v>
      </c>
      <c r="P104" s="344">
        <f>'BZ by State 1st Crop'!P104+'BZ by State 2nd Crop'!P104+'BZ by State 3rd Crop'!P104</f>
        <v>115.5</v>
      </c>
      <c r="Q104" s="344">
        <f>'BZ by State 1st Crop'!Q104+'BZ by State 2nd Crop'!Q104+'BZ by State 3rd Crop'!Q104</f>
        <v>120</v>
      </c>
      <c r="R104" s="344">
        <f>'BZ by State 1st Crop'!R104+'BZ by State 2nd Crop'!R104+'BZ by State 3rd Crop'!R104</f>
        <v>121.2</v>
      </c>
      <c r="S104" s="344">
        <f>'BZ by State 1st Crop'!S104+'BZ by State 2nd Crop'!S104+'BZ by State 3rd Crop'!S104</f>
        <v>110.4</v>
      </c>
      <c r="T104" s="344">
        <f>'BZ by State 1st Crop'!T104+'BZ by State 2nd Crop'!T104+'BZ by State 3rd Crop'!T104</f>
        <v>71</v>
      </c>
      <c r="U104" s="344">
        <f>'BZ by State 1st Crop'!U104+'BZ by State 2nd Crop'!U104+'BZ by State 3rd Crop'!U104</f>
        <v>91</v>
      </c>
      <c r="V104" s="344">
        <f>'BZ by State 1st Crop'!V104+'BZ by State 2nd Crop'!V104+'BZ by State 3rd Crop'!V104</f>
        <v>59</v>
      </c>
      <c r="W104" s="344">
        <f>'BZ by State 1st Crop'!W104+'BZ by State 2nd Crop'!W104+'BZ by State 3rd Crop'!W104</f>
        <v>56</v>
      </c>
      <c r="X104" s="344">
        <f>'BZ by State 1st Crop'!X104+'BZ by State 2nd Crop'!X104+'BZ by State 3rd Crop'!X104</f>
        <v>51.5</v>
      </c>
      <c r="Y104" s="344">
        <f>'BZ by State 1st Crop'!Y104+'BZ by State 2nd Crop'!Y104+'BZ by State 3rd Crop'!Y104</f>
        <v>46.4</v>
      </c>
      <c r="Z104" s="344">
        <f>'BZ by State 1st Crop'!Z104+'BZ by State 2nd Crop'!Z104+'BZ by State 3rd Crop'!Z104</f>
        <v>46.9</v>
      </c>
      <c r="AA104" s="344">
        <f>'BZ by State 1st Crop'!AA104+'BZ by State 2nd Crop'!AA104+'BZ by State 3rd Crop'!AA104</f>
        <v>50.2</v>
      </c>
      <c r="AB104" s="344">
        <f>'BZ by State 1st Crop'!AB104+'BZ by State 2nd Crop'!AB104+'BZ by State 3rd Crop'!AB104</f>
        <v>52.7</v>
      </c>
      <c r="AC104" s="344">
        <f>'BZ by State 1st Crop'!AC104+'BZ by State 2nd Crop'!AC104+'BZ by State 3rd Crop'!AC104</f>
        <v>49.5</v>
      </c>
      <c r="AD104" s="344">
        <f>'BZ by State 1st Crop'!AD104+'BZ by State 2nd Crop'!AD104+'BZ by State 3rd Crop'!AD104</f>
        <v>46</v>
      </c>
      <c r="AE104" s="344">
        <f>'BZ by State 1st Crop'!AE104+'BZ by State 2nd Crop'!AE104+'BZ by State 3rd Crop'!AE104</f>
        <v>39.799999999999997</v>
      </c>
      <c r="AF104" s="344">
        <f>'BZ by State 1st Crop'!AF104+'BZ by State 2nd Crop'!AF104+'BZ by State 3rd Crop'!AF104</f>
        <v>37.799999999999997</v>
      </c>
      <c r="AG104" s="344">
        <f>'BZ by State 1st Crop'!AG104+'BZ by State 2nd Crop'!AG104+'BZ by State 3rd Crop'!AG104</f>
        <v>37.4</v>
      </c>
      <c r="AH104" s="344">
        <f>'BZ by State 1st Crop'!AH104+'BZ by State 2nd Crop'!AH104+'BZ by State 3rd Crop'!AH104</f>
        <v>37.6</v>
      </c>
      <c r="AI104" s="344">
        <f>'BZ by State 1st Crop'!AI104+'BZ by State 2nd Crop'!AI104+'BZ by State 3rd Crop'!AI104</f>
        <v>34.5</v>
      </c>
      <c r="AJ104" s="344">
        <f>'BZ by State 1st Crop'!AJ104+'BZ by State 2nd Crop'!AJ104+'BZ by State 3rd Crop'!AJ104</f>
        <v>34.299999999999997</v>
      </c>
      <c r="AK104" s="344">
        <f>'BZ by State 1st Crop'!AK104+'BZ by State 2nd Crop'!AK104+'BZ by State 3rd Crop'!AK104</f>
        <v>31.5</v>
      </c>
      <c r="AL104" s="344">
        <f>'BZ by State 1st Crop'!AL104+'BZ by State 2nd Crop'!AL104+'BZ by State 3rd Crop'!AL104</f>
        <v>24.1</v>
      </c>
      <c r="AM104" s="344">
        <f>'BZ by State 1st Crop'!AM104+'BZ by State 2nd Crop'!AM104+'BZ by State 3rd Crop'!AM104</f>
        <v>22.3</v>
      </c>
      <c r="AN104" s="344">
        <f>'BZ by State 1st Crop'!AN104+'BZ by State 2nd Crop'!AN104+'BZ by State 3rd Crop'!AN104</f>
        <v>17.8</v>
      </c>
      <c r="AO104" s="344">
        <f>'BZ by State 1st Crop'!AO104+'BZ by State 2nd Crop'!AO104+'BZ by State 3rd Crop'!AO104</f>
        <v>13.6</v>
      </c>
      <c r="AP104" s="344">
        <f>'BZ by State 1st Crop'!AP104+'BZ by State 2nd Crop'!AP104+'BZ by State 3rd Crop'!AP104</f>
        <v>13.2</v>
      </c>
      <c r="AQ104" s="344">
        <f>'BZ by State 1st Crop'!AQ104+'BZ by State 2nd Crop'!AQ104+'BZ by State 3rd Crop'!AQ104</f>
        <v>13.4</v>
      </c>
      <c r="AR104" s="344">
        <f>'BZ by State 1st Crop'!AR104+'BZ by State 2nd Crop'!AR104+'BZ by State 3rd Crop'!AR104</f>
        <v>11.8</v>
      </c>
      <c r="AS104" s="344">
        <f>'BZ by State 1st Crop'!AS104+'BZ by State 2nd Crop'!AS104+'BZ by State 3rd Crop'!AS104</f>
        <v>11.5</v>
      </c>
      <c r="AT104" s="344">
        <f>'BZ by State 1st Crop'!AT104+'BZ by State 2nd Crop'!AT104+'BZ by State 3rd Crop'!AT104</f>
        <v>12.5</v>
      </c>
      <c r="AU104" s="344">
        <f>'BZ by State 1st Crop'!AU104+'BZ by State 2nd Crop'!AU104+'BZ by State 3rd Crop'!AU104</f>
        <v>11.9</v>
      </c>
      <c r="AV104" s="344">
        <f>'BZ by State 1st Crop'!AV104+'BZ by State 2nd Crop'!AV104+'BZ by State 3rd Crop'!AV104</f>
        <v>15.1</v>
      </c>
      <c r="AW104" s="344">
        <f>'BZ by State 1st Crop'!AW104+'BZ by State 2nd Crop'!AW104+'BZ by State 3rd Crop'!AW104</f>
        <v>16.8</v>
      </c>
      <c r="AX104" s="344">
        <f>'BZ by State 1st Crop'!AX104+'BZ by State 2nd Crop'!AX104+'BZ by State 3rd Crop'!AX104</f>
        <v>16.600000000000001</v>
      </c>
      <c r="AY104" s="369">
        <f>'BZ by State 1st Crop'!AY104+'BZ by State 2nd Crop'!AY104+'BZ by State 3rd Crop'!AY104</f>
        <v>16.8</v>
      </c>
      <c r="AZ104" s="366">
        <f>'BZ by State 1st Crop'!AZ104+'BZ by State 2nd Crop'!AZ104+'BZ by State 3rd Crop'!AZ104</f>
        <v>16.8</v>
      </c>
      <c r="BA104" s="366">
        <f>AZ104-AY104</f>
        <v>0</v>
      </c>
      <c r="BB104" s="367">
        <f>AY104-AX104</f>
        <v>0.19999999999999929</v>
      </c>
      <c r="BC104" s="368">
        <f>AZ104-AX104</f>
        <v>0.19999999999999929</v>
      </c>
      <c r="BD104" s="353">
        <f>(AX104/AS104)^(1/5)-1</f>
        <v>7.6172895087932346E-2</v>
      </c>
    </row>
    <row r="105" spans="1:63" ht="15" customHeight="1">
      <c r="A105" s="324" t="s">
        <v>353</v>
      </c>
      <c r="B105" s="345">
        <f t="shared" ref="B105" si="1130">B106/B104*1000</f>
        <v>1260.154738878143</v>
      </c>
      <c r="C105" s="345">
        <f t="shared" ref="C105" si="1131">C106/C104*1000</f>
        <v>3963.7305699481863</v>
      </c>
      <c r="D105" s="345">
        <f t="shared" ref="D105" si="1132">D106/D104*1000</f>
        <v>4480</v>
      </c>
      <c r="E105" s="345">
        <f t="shared" ref="E105" si="1133">E106/E104*1000</f>
        <v>5229.3577981651379</v>
      </c>
      <c r="F105" s="345">
        <f t="shared" ref="F105" si="1134">F106/F104*1000</f>
        <v>3687.5</v>
      </c>
      <c r="G105" s="345">
        <f t="shared" ref="G105" si="1135">G106/G104*1000</f>
        <v>6474.3589743589746</v>
      </c>
      <c r="H105" s="345">
        <f t="shared" ref="H105" si="1136">H106/H104*1000</f>
        <v>2435.8974358974356</v>
      </c>
      <c r="I105" s="345">
        <f t="shared" ref="I105" si="1137">I106/I104*1000</f>
        <v>7130.4347826086951</v>
      </c>
      <c r="J105" s="345">
        <f t="shared" ref="J105" si="1138">J106/J104*1000</f>
        <v>2907.6923076923076</v>
      </c>
      <c r="K105" s="345">
        <f t="shared" ref="K105" si="1139">K106/K104*1000</f>
        <v>6692.3076923076924</v>
      </c>
      <c r="L105" s="345">
        <f t="shared" ref="L105" si="1140">L106/L104*1000</f>
        <v>2703.9627039627044</v>
      </c>
      <c r="M105" s="345">
        <f t="shared" ref="M105" si="1141">M106/M104*1000</f>
        <v>8937.8238341968918</v>
      </c>
      <c r="N105" s="345">
        <f t="shared" ref="N105" si="1142">N106/N104*1000</f>
        <v>8053.3751962323377</v>
      </c>
      <c r="O105" s="345">
        <f t="shared" ref="O105" si="1143">O106/O104*1000</f>
        <v>4493.5064935064938</v>
      </c>
      <c r="P105" s="345">
        <f t="shared" ref="P105" si="1144">P106/P104*1000</f>
        <v>9212.9870129870123</v>
      </c>
      <c r="Q105" s="345">
        <f t="shared" ref="Q105" si="1145">Q106/Q104*1000</f>
        <v>5929.9999999999991</v>
      </c>
      <c r="R105" s="345">
        <f t="shared" ref="R105" si="1146">R106/R104*1000</f>
        <v>4886.1386138613861</v>
      </c>
      <c r="S105" s="345">
        <f t="shared" ref="S105" si="1147">S106/S104*1000</f>
        <v>11225.543478260872</v>
      </c>
      <c r="T105" s="345">
        <f t="shared" ref="T105" si="1148">T106/T104*1000</f>
        <v>17852.112676056338</v>
      </c>
      <c r="U105" s="345">
        <f t="shared" ref="U105" si="1149">U106/U104*1000</f>
        <v>15000</v>
      </c>
      <c r="V105" s="345">
        <f t="shared" ref="V105" si="1150">V106/V104*1000</f>
        <v>18442.372881355928</v>
      </c>
      <c r="W105" s="345">
        <f t="shared" ref="W105" si="1151">W106/W104*1000</f>
        <v>11244.642857142859</v>
      </c>
      <c r="X105" s="345">
        <f t="shared" ref="X105" si="1152">X106/X104*1000</f>
        <v>17132.038834951458</v>
      </c>
      <c r="Y105" s="345">
        <f t="shared" ref="Y105" si="1153">Y106/Y104*1000</f>
        <v>20275.862068965518</v>
      </c>
      <c r="Z105" s="345">
        <f t="shared" ref="Z105" si="1154">Z106/Z104*1000</f>
        <v>19829.42430703625</v>
      </c>
      <c r="AA105" s="345">
        <f t="shared" ref="AA105" si="1155">AA106/AA104*1000</f>
        <v>19392.430278884462</v>
      </c>
      <c r="AB105" s="345">
        <f t="shared" ref="AB105" si="1156">AB106/AB104*1000</f>
        <v>23578.747628083489</v>
      </c>
      <c r="AC105" s="345">
        <f t="shared" ref="AC105" si="1157">AC106/AC104*1000</f>
        <v>26084.848484848484</v>
      </c>
      <c r="AD105" s="345">
        <f t="shared" ref="AD105" si="1158">AD106/AD104*1000</f>
        <v>26419.565217391308</v>
      </c>
      <c r="AE105" s="345">
        <f t="shared" ref="AE105" si="1159">AE106/AE104*1000</f>
        <v>31989.949748743715</v>
      </c>
      <c r="AF105" s="345">
        <f t="shared" ref="AF105" si="1160">AF106/AF104*1000</f>
        <v>35484.126984126997</v>
      </c>
      <c r="AG105" s="345">
        <f t="shared" ref="AG105" si="1161">AG106/AG104*1000</f>
        <v>39336.898395721924</v>
      </c>
      <c r="AH105" s="345">
        <f t="shared" ref="AH105" si="1162">AH106/AH104*1000</f>
        <v>40220.744680851072</v>
      </c>
      <c r="AI105" s="345">
        <f t="shared" ref="AI105" si="1163">AI106/AI104*1000</f>
        <v>48878.260869565223</v>
      </c>
      <c r="AJ105" s="345">
        <f t="shared" ref="AJ105" si="1164">AJ106/AJ104*1000</f>
        <v>76941.69096209915</v>
      </c>
      <c r="AK105" s="345">
        <f t="shared" ref="AK105" si="1165">AK106/AK104*1000</f>
        <v>69676.190476190488</v>
      </c>
      <c r="AL105" s="345">
        <f t="shared" ref="AL105" si="1166">AL106/AL104*1000</f>
        <v>162995.85062240664</v>
      </c>
      <c r="AM105" s="345">
        <f t="shared" ref="AM105" si="1167">AM106/AM104*1000</f>
        <v>232183.85650224218</v>
      </c>
      <c r="AN105" s="345">
        <f t="shared" ref="AN105" si="1168">AN106/AN104*1000</f>
        <v>247617.97752808992</v>
      </c>
      <c r="AO105" s="345">
        <f t="shared" ref="AO105" si="1169">AO106/AO104*1000</f>
        <v>192882.35294117648</v>
      </c>
      <c r="AP105" s="345">
        <f t="shared" ref="AP105" si="1170">AP106/AP104*1000</f>
        <v>443613.63636363641</v>
      </c>
      <c r="AQ105" s="345">
        <f t="shared" ref="AQ105" si="1171">AQ106/AQ104*1000</f>
        <v>421791.04477611941</v>
      </c>
      <c r="AR105" s="345">
        <f t="shared" ref="AR105" si="1172">AR106/AR104*1000</f>
        <v>455720.33898305078</v>
      </c>
      <c r="AS105" s="345">
        <f t="shared" ref="AS105" si="1173">AS106/AS104*1000</f>
        <v>572947.82608695654</v>
      </c>
      <c r="AT105" s="345">
        <f t="shared" ref="AT105" si="1174">AT106/AT104*1000</f>
        <v>2870</v>
      </c>
      <c r="AU105" s="345">
        <f t="shared" ref="AU105" si="1175">AU106/AU104*1000</f>
        <v>2959.9999999999995</v>
      </c>
      <c r="AV105" s="345">
        <f t="shared" ref="AV105" si="1176">AV106/AV104*1000</f>
        <v>3325</v>
      </c>
      <c r="AW105" s="345">
        <f t="shared" ref="AW105" si="1177">AW106/AW104*1000</f>
        <v>3509.3214285714289</v>
      </c>
      <c r="AX105" s="345">
        <f t="shared" ref="AX105" si="1178">AX106/AX104*1000</f>
        <v>3730.7349397590356</v>
      </c>
      <c r="AY105" s="346">
        <f t="shared" ref="AY105:AZ105" si="1179">AY106/AY104*1000</f>
        <v>3508.5</v>
      </c>
      <c r="AZ105" s="347">
        <f t="shared" si="1179"/>
        <v>3484.2142857142858</v>
      </c>
      <c r="BA105" s="347">
        <f>AZ105-AY105</f>
        <v>-24.285714285714221</v>
      </c>
      <c r="BB105" s="351">
        <f>AY105-AX105</f>
        <v>-222.23493975903557</v>
      </c>
      <c r="BC105" s="352">
        <f>AZ105-AX105</f>
        <v>-246.52065404474979</v>
      </c>
      <c r="BD105" s="353">
        <f t="shared" ref="BD105:BD106" si="1180">(AX105/AS105)^(1/5)-1</f>
        <v>-0.63462749417504538</v>
      </c>
    </row>
    <row r="106" spans="1:63" s="311" customFormat="1" ht="15" customHeight="1">
      <c r="A106" s="324" t="s">
        <v>354</v>
      </c>
      <c r="B106" s="344">
        <f>'BZ by State 1st Crop'!B106+'BZ by State 2nd Crop'!B106+'BZ by State 3rd Crop'!B106</f>
        <v>260.60000000000002</v>
      </c>
      <c r="C106" s="344">
        <f>'BZ by State 1st Crop'!C106+'BZ by State 2nd Crop'!C106+'BZ by State 3rd Crop'!C106</f>
        <v>765</v>
      </c>
      <c r="D106" s="344">
        <f>'BZ by State 1st Crop'!D106+'BZ by State 2nd Crop'!D106+'BZ by State 3rd Crop'!D106</f>
        <v>672</v>
      </c>
      <c r="E106" s="344">
        <f>'BZ by State 1st Crop'!E106+'BZ by State 2nd Crop'!E106+'BZ by State 3rd Crop'!E106</f>
        <v>798</v>
      </c>
      <c r="F106" s="344">
        <f>'BZ by State 1st Crop'!F106+'BZ by State 2nd Crop'!F106+'BZ by State 3rd Crop'!F106</f>
        <v>531</v>
      </c>
      <c r="G106" s="344">
        <f>'BZ by State 1st Crop'!G106+'BZ by State 2nd Crop'!G106+'BZ by State 3rd Crop'!G106</f>
        <v>909</v>
      </c>
      <c r="H106" s="344">
        <f>'BZ by State 1st Crop'!H106+'BZ by State 2nd Crop'!H106+'BZ by State 3rd Crop'!H106</f>
        <v>285</v>
      </c>
      <c r="I106" s="344">
        <f>'BZ by State 1st Crop'!I106+'BZ by State 2nd Crop'!I106+'BZ by State 3rd Crop'!I106</f>
        <v>984</v>
      </c>
      <c r="J106" s="344">
        <f>'BZ by State 1st Crop'!J106+'BZ by State 2nd Crop'!J106+'BZ by State 3rd Crop'!J106</f>
        <v>378</v>
      </c>
      <c r="K106" s="344">
        <f>'BZ by State 1st Crop'!K106+'BZ by State 2nd Crop'!K106+'BZ by State 3rd Crop'!K106</f>
        <v>870</v>
      </c>
      <c r="L106" s="344">
        <f>'BZ by State 1st Crop'!L106+'BZ by State 2nd Crop'!L106+'BZ by State 3rd Crop'!L106</f>
        <v>348</v>
      </c>
      <c r="M106" s="344">
        <f>'BZ by State 1st Crop'!M106+'BZ by State 2nd Crop'!M106+'BZ by State 3rd Crop'!M106</f>
        <v>1035</v>
      </c>
      <c r="N106" s="344">
        <f>'BZ by State 1st Crop'!N106+'BZ by State 2nd Crop'!N106+'BZ by State 3rd Crop'!N106</f>
        <v>1026</v>
      </c>
      <c r="O106" s="344">
        <f>'BZ by State 1st Crop'!O106+'BZ by State 2nd Crop'!O106+'BZ by State 3rd Crop'!O106</f>
        <v>519</v>
      </c>
      <c r="P106" s="344">
        <f>'BZ by State 1st Crop'!P106+'BZ by State 2nd Crop'!P106+'BZ by State 3rd Crop'!P106</f>
        <v>1064.0999999999999</v>
      </c>
      <c r="Q106" s="344">
        <f>'BZ by State 1st Crop'!Q106+'BZ by State 2nd Crop'!Q106+'BZ by State 3rd Crop'!Q106</f>
        <v>711.59999999999991</v>
      </c>
      <c r="R106" s="344">
        <f>'BZ by State 1st Crop'!R106+'BZ by State 2nd Crop'!R106+'BZ by State 3rd Crop'!R106</f>
        <v>592.20000000000005</v>
      </c>
      <c r="S106" s="344">
        <f>'BZ by State 1st Crop'!S106+'BZ by State 2nd Crop'!S106+'BZ by State 3rd Crop'!S106</f>
        <v>1239.3000000000002</v>
      </c>
      <c r="T106" s="344">
        <f>'BZ by State 1st Crop'!T106+'BZ by State 2nd Crop'!T106+'BZ by State 3rd Crop'!T106</f>
        <v>1267.5</v>
      </c>
      <c r="U106" s="344">
        <f>'BZ by State 1st Crop'!U106+'BZ by State 2nd Crop'!U106+'BZ by State 3rd Crop'!U106</f>
        <v>1365</v>
      </c>
      <c r="V106" s="344">
        <f>'BZ by State 1st Crop'!V106+'BZ by State 2nd Crop'!V106+'BZ by State 3rd Crop'!V106</f>
        <v>1088.0999999999999</v>
      </c>
      <c r="W106" s="344">
        <f>'BZ by State 1st Crop'!W106+'BZ by State 2nd Crop'!W106+'BZ by State 3rd Crop'!W106</f>
        <v>629.70000000000005</v>
      </c>
      <c r="X106" s="344">
        <f>'BZ by State 1st Crop'!X106+'BZ by State 2nd Crop'!X106+'BZ by State 3rd Crop'!X106</f>
        <v>882.30000000000007</v>
      </c>
      <c r="Y106" s="344">
        <f>'BZ by State 1st Crop'!Y106+'BZ by State 2nd Crop'!Y106+'BZ by State 3rd Crop'!Y106</f>
        <v>940.80000000000007</v>
      </c>
      <c r="Z106" s="344">
        <f>'BZ by State 1st Crop'!Z106+'BZ by State 2nd Crop'!Z106+'BZ by State 3rd Crop'!Z106</f>
        <v>930</v>
      </c>
      <c r="AA106" s="344">
        <f>'BZ by State 1st Crop'!AA106+'BZ by State 2nd Crop'!AA106+'BZ by State 3rd Crop'!AA106</f>
        <v>973.5</v>
      </c>
      <c r="AB106" s="344">
        <f>'BZ by State 1st Crop'!AB106+'BZ by State 2nd Crop'!AB106+'BZ by State 3rd Crop'!AB106</f>
        <v>1242.5999999999999</v>
      </c>
      <c r="AC106" s="344">
        <f>'BZ by State 1st Crop'!AC106+'BZ by State 2nd Crop'!AC106+'BZ by State 3rd Crop'!AC106</f>
        <v>1291.1999999999998</v>
      </c>
      <c r="AD106" s="344">
        <f>'BZ by State 1st Crop'!AD106+'BZ by State 2nd Crop'!AD106+'BZ by State 3rd Crop'!AD106</f>
        <v>1215.3000000000002</v>
      </c>
      <c r="AE106" s="344">
        <f>'BZ by State 1st Crop'!AE106+'BZ by State 2nd Crop'!AE106+'BZ by State 3rd Crop'!AE106</f>
        <v>1273.1999999999998</v>
      </c>
      <c r="AF106" s="344">
        <f>'BZ by State 1st Crop'!AF106+'BZ by State 2nd Crop'!AF106+'BZ by State 3rd Crop'!AF106</f>
        <v>1341.3000000000002</v>
      </c>
      <c r="AG106" s="344">
        <f>'BZ by State 1st Crop'!AG106+'BZ by State 2nd Crop'!AG106+'BZ by State 3rd Crop'!AG106</f>
        <v>1471.1999999999998</v>
      </c>
      <c r="AH106" s="344">
        <f>'BZ by State 1st Crop'!AH106+'BZ by State 2nd Crop'!AH106+'BZ by State 3rd Crop'!AH106</f>
        <v>1512.3000000000002</v>
      </c>
      <c r="AI106" s="344">
        <f>'BZ by State 1st Crop'!AI106+'BZ by State 2nd Crop'!AI106+'BZ by State 3rd Crop'!AI106</f>
        <v>1686.3000000000002</v>
      </c>
      <c r="AJ106" s="344">
        <f>'BZ by State 1st Crop'!AJ106+'BZ by State 2nd Crop'!AJ106+'BZ by State 3rd Crop'!AJ106</f>
        <v>2639.1000000000004</v>
      </c>
      <c r="AK106" s="344">
        <f>'BZ by State 1st Crop'!AK106+'BZ by State 2nd Crop'!AK106+'BZ by State 3rd Crop'!AK106</f>
        <v>2194.8000000000002</v>
      </c>
      <c r="AL106" s="344">
        <f>'BZ by State 1st Crop'!AL106+'BZ by State 2nd Crop'!AL106+'BZ by State 3rd Crop'!AL106</f>
        <v>3928.2000000000003</v>
      </c>
      <c r="AM106" s="344">
        <f>'BZ by State 1st Crop'!AM106+'BZ by State 2nd Crop'!AM106+'BZ by State 3rd Crop'!AM106</f>
        <v>5177.7000000000007</v>
      </c>
      <c r="AN106" s="344">
        <f>'BZ by State 1st Crop'!AN106+'BZ by State 2nd Crop'!AN106+'BZ by State 3rd Crop'!AN106</f>
        <v>4407.6000000000004</v>
      </c>
      <c r="AO106" s="344">
        <f>'BZ by State 1st Crop'!AO106+'BZ by State 2nd Crop'!AO106+'BZ by State 3rd Crop'!AO106</f>
        <v>2623.2</v>
      </c>
      <c r="AP106" s="344">
        <f>'BZ by State 1st Crop'!AP106+'BZ by State 2nd Crop'!AP106+'BZ by State 3rd Crop'!AP106</f>
        <v>5855.7000000000007</v>
      </c>
      <c r="AQ106" s="344">
        <f>'BZ by State 1st Crop'!AQ106+'BZ by State 2nd Crop'!AQ106+'BZ by State 3rd Crop'!AQ106</f>
        <v>5652</v>
      </c>
      <c r="AR106" s="344">
        <f>'BZ by State 1st Crop'!AR106+'BZ by State 2nd Crop'!AR106+'BZ by State 3rd Crop'!AR106</f>
        <v>5377.5</v>
      </c>
      <c r="AS106" s="344">
        <f>'BZ by State 1st Crop'!AS106+'BZ by State 2nd Crop'!AS106+'BZ by State 3rd Crop'!AS106</f>
        <v>6588.9000000000005</v>
      </c>
      <c r="AT106" s="344">
        <f>'BZ by State 1st Crop'!AT106+'BZ by State 2nd Crop'!AT106+'BZ by State 3rd Crop'!AT106</f>
        <v>35.875</v>
      </c>
      <c r="AU106" s="344">
        <f>'BZ by State 1st Crop'!AU106+'BZ by State 2nd Crop'!AU106+'BZ by State 3rd Crop'!AU106</f>
        <v>35.223999999999997</v>
      </c>
      <c r="AV106" s="344">
        <f>'BZ by State 1st Crop'!AV106+'BZ by State 2nd Crop'!AV106+'BZ by State 3rd Crop'!AV106</f>
        <v>50.207500000000003</v>
      </c>
      <c r="AW106" s="344">
        <f>'BZ by State 1st Crop'!AW106+'BZ by State 2nd Crop'!AW106+'BZ by State 3rd Crop'!AW106</f>
        <v>58.956600000000009</v>
      </c>
      <c r="AX106" s="344">
        <f>'BZ by State 1st Crop'!AX106+'BZ by State 2nd Crop'!AX106+'BZ by State 3rd Crop'!AX106</f>
        <v>61.930199999999992</v>
      </c>
      <c r="AY106" s="365">
        <f>'BZ by State 1st Crop'!AY106+'BZ by State 2nd Crop'!AY106+'BZ by State 3rd Crop'!AY106</f>
        <v>58.942800000000005</v>
      </c>
      <c r="AZ106" s="366">
        <f>'BZ by State 1st Crop'!AZ106+'BZ by State 2nd Crop'!AZ106+'BZ by State 3rd Crop'!AZ106</f>
        <v>58.534800000000004</v>
      </c>
      <c r="BA106" s="366">
        <f>AZ106-AY106</f>
        <v>-0.40800000000000125</v>
      </c>
      <c r="BB106" s="367">
        <f>AY106-AX106</f>
        <v>-2.9873999999999867</v>
      </c>
      <c r="BC106" s="368">
        <f>AZ106-AX106</f>
        <v>-3.395399999999988</v>
      </c>
      <c r="BD106" s="353">
        <f t="shared" si="1180"/>
        <v>-0.60679601262082627</v>
      </c>
      <c r="BE106" s="309"/>
      <c r="BF106"/>
      <c r="BG106" s="308"/>
    </row>
    <row r="107" spans="1:63" ht="15" customHeight="1">
      <c r="A107" s="320" t="s">
        <v>382</v>
      </c>
      <c r="B107" s="356"/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  <c r="Z107" s="356"/>
      <c r="AA107" s="356"/>
      <c r="AB107" s="356"/>
      <c r="AC107" s="356"/>
      <c r="AD107" s="356"/>
      <c r="AE107" s="356"/>
      <c r="AF107" s="356"/>
      <c r="AG107" s="356"/>
      <c r="AH107" s="356"/>
      <c r="AI107" s="356"/>
      <c r="AJ107" s="356"/>
      <c r="AK107" s="356"/>
      <c r="AL107" s="356"/>
      <c r="AM107" s="356"/>
      <c r="AN107" s="356"/>
      <c r="AO107" s="356"/>
      <c r="AP107" s="356"/>
      <c r="AQ107" s="356"/>
      <c r="AR107" s="356"/>
      <c r="AS107" s="356"/>
      <c r="AT107" s="328"/>
      <c r="AU107" s="328"/>
      <c r="AV107" s="328"/>
      <c r="AW107" s="328"/>
      <c r="AX107" s="328"/>
      <c r="AY107" s="321"/>
      <c r="AZ107" s="328"/>
      <c r="BA107" s="329"/>
      <c r="BB107" s="321"/>
      <c r="BC107" s="328"/>
      <c r="BD107" s="329"/>
    </row>
    <row r="108" spans="1:63" ht="15" customHeight="1">
      <c r="A108" s="324" t="s">
        <v>352</v>
      </c>
      <c r="B108" s="344">
        <f>'BZ by State 1st Crop'!B108+'BZ by State 2nd Crop'!B108+'BZ by State 3rd Crop'!B108</f>
        <v>55</v>
      </c>
      <c r="C108" s="344">
        <f>'BZ by State 1st Crop'!C108+'BZ by State 2nd Crop'!C108+'BZ by State 3rd Crop'!C108</f>
        <v>50</v>
      </c>
      <c r="D108" s="344">
        <f>'BZ by State 1st Crop'!D108+'BZ by State 2nd Crop'!D108+'BZ by State 3rd Crop'!D108</f>
        <v>39</v>
      </c>
      <c r="E108" s="344">
        <f>'BZ by State 1st Crop'!E108+'BZ by State 2nd Crop'!E108+'BZ by State 3rd Crop'!E108</f>
        <v>42</v>
      </c>
      <c r="F108" s="344">
        <f>'BZ by State 1st Crop'!F108+'BZ by State 2nd Crop'!F108+'BZ by State 3rd Crop'!F108</f>
        <v>43</v>
      </c>
      <c r="G108" s="344">
        <f>'BZ by State 1st Crop'!G108+'BZ by State 2nd Crop'!G108+'BZ by State 3rd Crop'!G108</f>
        <v>47.3</v>
      </c>
      <c r="H108" s="344">
        <f>'BZ by State 1st Crop'!H108+'BZ by State 2nd Crop'!H108+'BZ by State 3rd Crop'!H108</f>
        <v>47.3</v>
      </c>
      <c r="I108" s="344">
        <f>'BZ by State 1st Crop'!I108+'BZ by State 2nd Crop'!I108+'BZ by State 3rd Crop'!I108</f>
        <v>47.3</v>
      </c>
      <c r="J108" s="344">
        <f>'BZ by State 1st Crop'!J108+'BZ by State 2nd Crop'!J108+'BZ by State 3rd Crop'!J108</f>
        <v>42</v>
      </c>
      <c r="K108" s="344">
        <f>'BZ by State 1st Crop'!K108+'BZ by State 2nd Crop'!K108+'BZ by State 3rd Crop'!K108</f>
        <v>42</v>
      </c>
      <c r="L108" s="344">
        <f>'BZ by State 1st Crop'!L108+'BZ by State 2nd Crop'!L108+'BZ by State 3rd Crop'!L108</f>
        <v>33.6</v>
      </c>
      <c r="M108" s="344">
        <f>'BZ by State 1st Crop'!M108+'BZ by State 2nd Crop'!M108+'BZ by State 3rd Crop'!M108</f>
        <v>34.5</v>
      </c>
      <c r="N108" s="344">
        <f>'BZ by State 1st Crop'!N108+'BZ by State 2nd Crop'!N108+'BZ by State 3rd Crop'!N108</f>
        <v>36.799999999999997</v>
      </c>
      <c r="O108" s="344">
        <f>'BZ by State 1st Crop'!O108+'BZ by State 2nd Crop'!O108+'BZ by State 3rd Crop'!O108</f>
        <v>33.200000000000003</v>
      </c>
      <c r="P108" s="344">
        <f>'BZ by State 1st Crop'!P108+'BZ by State 2nd Crop'!P108+'BZ by State 3rd Crop'!P108</f>
        <v>26</v>
      </c>
      <c r="Q108" s="344">
        <f>'BZ by State 1st Crop'!Q108+'BZ by State 2nd Crop'!Q108+'BZ by State 3rd Crop'!Q108</f>
        <v>31</v>
      </c>
      <c r="R108" s="344">
        <f>'BZ by State 1st Crop'!R108+'BZ by State 2nd Crop'!R108+'BZ by State 3rd Crop'!R108</f>
        <v>33.200000000000003</v>
      </c>
      <c r="S108" s="344">
        <f>'BZ by State 1st Crop'!S108+'BZ by State 2nd Crop'!S108+'BZ by State 3rd Crop'!S108</f>
        <v>29.6</v>
      </c>
      <c r="T108" s="344">
        <f>'BZ by State 1st Crop'!T108+'BZ by State 2nd Crop'!T108+'BZ by State 3rd Crop'!T108</f>
        <v>22.5</v>
      </c>
      <c r="U108" s="344">
        <f>'BZ by State 1st Crop'!U108+'BZ by State 2nd Crop'!U108+'BZ by State 3rd Crop'!U108</f>
        <v>21.8</v>
      </c>
      <c r="V108" s="344">
        <f>'BZ by State 1st Crop'!V108+'BZ by State 2nd Crop'!V108+'BZ by State 3rd Crop'!V108</f>
        <v>20.5</v>
      </c>
      <c r="W108" s="344">
        <f>'BZ by State 1st Crop'!W108+'BZ by State 2nd Crop'!W108+'BZ by State 3rd Crop'!W108</f>
        <v>17.8</v>
      </c>
      <c r="X108" s="344">
        <f>'BZ by State 1st Crop'!X108+'BZ by State 2nd Crop'!X108+'BZ by State 3rd Crop'!X108</f>
        <v>18</v>
      </c>
      <c r="Y108" s="344">
        <f>'BZ by State 1st Crop'!Y108+'BZ by State 2nd Crop'!Y108+'BZ by State 3rd Crop'!Y108</f>
        <v>16.399999999999999</v>
      </c>
      <c r="Z108" s="344">
        <f>'BZ by State 1st Crop'!Z108+'BZ by State 2nd Crop'!Z108+'BZ by State 3rd Crop'!Z108</f>
        <v>14.4</v>
      </c>
      <c r="AA108" s="344">
        <f>'BZ by State 1st Crop'!AA108+'BZ by State 2nd Crop'!AA108+'BZ by State 3rd Crop'!AA108</f>
        <v>11.8</v>
      </c>
      <c r="AB108" s="344">
        <f>'BZ by State 1st Crop'!AB108+'BZ by State 2nd Crop'!AB108+'BZ by State 3rd Crop'!AB108</f>
        <v>9.6999999999999993</v>
      </c>
      <c r="AC108" s="344">
        <f>'BZ by State 1st Crop'!AC108+'BZ by State 2nd Crop'!AC108+'BZ by State 3rd Crop'!AC108</f>
        <v>11.4</v>
      </c>
      <c r="AD108" s="344">
        <f>'BZ by State 1st Crop'!AD108+'BZ by State 2nd Crop'!AD108+'BZ by State 3rd Crop'!AD108</f>
        <v>11.6</v>
      </c>
      <c r="AE108" s="344">
        <f>'BZ by State 1st Crop'!AE108+'BZ by State 2nd Crop'!AE108+'BZ by State 3rd Crop'!AE108</f>
        <v>11.1</v>
      </c>
      <c r="AF108" s="344">
        <f>'BZ by State 1st Crop'!AF108+'BZ by State 2nd Crop'!AF108+'BZ by State 3rd Crop'!AF108</f>
        <v>10.7</v>
      </c>
      <c r="AG108" s="344">
        <f>'BZ by State 1st Crop'!AG108+'BZ by State 2nd Crop'!AG108+'BZ by State 3rd Crop'!AG108</f>
        <v>8.1</v>
      </c>
      <c r="AH108" s="344">
        <f>'BZ by State 1st Crop'!AH108+'BZ by State 2nd Crop'!AH108+'BZ by State 3rd Crop'!AH108</f>
        <v>8.3000000000000007</v>
      </c>
      <c r="AI108" s="344">
        <f>'BZ by State 1st Crop'!AI108+'BZ by State 2nd Crop'!AI108+'BZ by State 3rd Crop'!AI108</f>
        <v>7</v>
      </c>
      <c r="AJ108" s="344">
        <f>'BZ by State 1st Crop'!AJ108+'BZ by State 2nd Crop'!AJ108+'BZ by State 3rd Crop'!AJ108</f>
        <v>7.2</v>
      </c>
      <c r="AK108" s="344">
        <f>'BZ by State 1st Crop'!AK108+'BZ by State 2nd Crop'!AK108+'BZ by State 3rd Crop'!AK108</f>
        <v>6.1</v>
      </c>
      <c r="AL108" s="344">
        <f>'BZ by State 1st Crop'!AL108+'BZ by State 2nd Crop'!AL108+'BZ by State 3rd Crop'!AL108</f>
        <v>5.9</v>
      </c>
      <c r="AM108" s="344">
        <f>'BZ by State 1st Crop'!AM108+'BZ by State 2nd Crop'!AM108+'BZ by State 3rd Crop'!AM108</f>
        <v>4.4000000000000004</v>
      </c>
      <c r="AN108" s="344">
        <f>'BZ by State 1st Crop'!AN108+'BZ by State 2nd Crop'!AN108+'BZ by State 3rd Crop'!AN108</f>
        <v>2.6</v>
      </c>
      <c r="AO108" s="344">
        <f>'BZ by State 1st Crop'!AO108+'BZ by State 2nd Crop'!AO108+'BZ by State 3rd Crop'!AO108</f>
        <v>2</v>
      </c>
      <c r="AP108" s="344">
        <f>'BZ by State 1st Crop'!AP108+'BZ by State 2nd Crop'!AP108+'BZ by State 3rd Crop'!AP108</f>
        <v>2.7</v>
      </c>
      <c r="AQ108" s="344">
        <f>'BZ by State 1st Crop'!AQ108+'BZ by State 2nd Crop'!AQ108+'BZ by State 3rd Crop'!AQ108</f>
        <v>1</v>
      </c>
      <c r="AR108" s="344">
        <f>'BZ by State 1st Crop'!AR108+'BZ by State 2nd Crop'!AR108+'BZ by State 3rd Crop'!AR108</f>
        <v>1.2</v>
      </c>
      <c r="AS108" s="344">
        <f>'BZ by State 1st Crop'!AS108+'BZ by State 2nd Crop'!AS108+'BZ by State 3rd Crop'!AS108</f>
        <v>1.1000000000000001</v>
      </c>
      <c r="AT108" s="344">
        <f>'BZ by State 1st Crop'!AT108+'BZ by State 2nd Crop'!AT108+'BZ by State 3rd Crop'!AT108</f>
        <v>1.4</v>
      </c>
      <c r="AU108" s="344">
        <f>'BZ by State 1st Crop'!AU108+'BZ by State 2nd Crop'!AU108+'BZ by State 3rd Crop'!AU108</f>
        <v>1.8</v>
      </c>
      <c r="AV108" s="344">
        <f>'BZ by State 1st Crop'!AV108+'BZ by State 2nd Crop'!AV108+'BZ by State 3rd Crop'!AV108</f>
        <v>2</v>
      </c>
      <c r="AW108" s="344">
        <f>'BZ by State 1st Crop'!AW108+'BZ by State 2nd Crop'!AW108+'BZ by State 3rd Crop'!AW108</f>
        <v>1.5</v>
      </c>
      <c r="AX108" s="344">
        <f>'BZ by State 1st Crop'!AX108+'BZ by State 2nd Crop'!AX108+'BZ by State 3rd Crop'!AX108</f>
        <v>1.5</v>
      </c>
      <c r="AY108" s="369">
        <f>'BZ by State 1st Crop'!AY108+'BZ by State 2nd Crop'!AY108+'BZ by State 3rd Crop'!AY108</f>
        <v>1.8</v>
      </c>
      <c r="AZ108" s="366">
        <f>'BZ by State 1st Crop'!AZ108+'BZ by State 2nd Crop'!AZ108+'BZ by State 3rd Crop'!AZ108</f>
        <v>1.8</v>
      </c>
      <c r="BA108" s="366">
        <f>AZ108-AY108</f>
        <v>0</v>
      </c>
      <c r="BB108" s="367">
        <f>AY108-AX108</f>
        <v>0.30000000000000004</v>
      </c>
      <c r="BC108" s="368">
        <f>AZ108-AX108</f>
        <v>0.30000000000000004</v>
      </c>
      <c r="BD108" s="353">
        <f>(AX108/AS108)^(1/5)-1</f>
        <v>6.3995312815083638E-2</v>
      </c>
    </row>
    <row r="109" spans="1:63" ht="15" customHeight="1">
      <c r="A109" s="324" t="s">
        <v>353</v>
      </c>
      <c r="B109" s="345">
        <f t="shared" ref="B109" si="1181">B110/B108*1000</f>
        <v>900</v>
      </c>
      <c r="C109" s="345">
        <f t="shared" ref="C109" si="1182">C110/C108*1000</f>
        <v>15300</v>
      </c>
      <c r="D109" s="345">
        <f t="shared" ref="D109" si="1183">D110/D108*1000</f>
        <v>17230.76923076923</v>
      </c>
      <c r="E109" s="345">
        <f t="shared" ref="E109" si="1184">E110/E108*1000</f>
        <v>19000</v>
      </c>
      <c r="F109" s="345">
        <f t="shared" ref="F109" si="1185">F110/F108*1000</f>
        <v>12348.837209302326</v>
      </c>
      <c r="G109" s="345">
        <f t="shared" ref="G109" si="1186">G110/G108*1000</f>
        <v>19217.758985200846</v>
      </c>
      <c r="H109" s="345">
        <f t="shared" ref="H109" si="1187">H110/H108*1000</f>
        <v>6025.3699788583508</v>
      </c>
      <c r="I109" s="345">
        <f t="shared" ref="I109" si="1188">I110/I108*1000</f>
        <v>20803.38266384778</v>
      </c>
      <c r="J109" s="345">
        <f t="shared" ref="J109" si="1189">J110/J108*1000</f>
        <v>9000</v>
      </c>
      <c r="K109" s="345">
        <f t="shared" ref="K109" si="1190">K110/K108*1000</f>
        <v>20714.285714285714</v>
      </c>
      <c r="L109" s="345">
        <f t="shared" ref="L109" si="1191">L110/L108*1000</f>
        <v>10357.142857142855</v>
      </c>
      <c r="M109" s="345">
        <f t="shared" ref="M109" si="1192">M110/M108*1000</f>
        <v>30000</v>
      </c>
      <c r="N109" s="345">
        <f t="shared" ref="N109" si="1193">N110/N108*1000</f>
        <v>27880.4347826087</v>
      </c>
      <c r="O109" s="345">
        <f t="shared" ref="O109" si="1194">O110/O108*1000</f>
        <v>15632.530120481926</v>
      </c>
      <c r="P109" s="345">
        <f t="shared" ref="P109" si="1195">P110/P108*1000</f>
        <v>40926.923076923078</v>
      </c>
      <c r="Q109" s="345">
        <f t="shared" ref="Q109" si="1196">Q110/Q108*1000</f>
        <v>22954.838709677417</v>
      </c>
      <c r="R109" s="345">
        <f t="shared" ref="R109" si="1197">R110/R108*1000</f>
        <v>17837.349397590362</v>
      </c>
      <c r="S109" s="345">
        <f t="shared" ref="S109" si="1198">S110/S108*1000</f>
        <v>41868.243243243247</v>
      </c>
      <c r="T109" s="345">
        <f t="shared" ref="T109" si="1199">T110/T108*1000</f>
        <v>56333.333333333336</v>
      </c>
      <c r="U109" s="345">
        <f t="shared" ref="U109" si="1200">U110/U108*1000</f>
        <v>62614.678899082566</v>
      </c>
      <c r="V109" s="345">
        <f t="shared" ref="V109" si="1201">V110/V108*1000</f>
        <v>53078.048780487799</v>
      </c>
      <c r="W109" s="345">
        <f t="shared" ref="W109" si="1202">W110/W108*1000</f>
        <v>35376.404494382019</v>
      </c>
      <c r="X109" s="345">
        <f t="shared" ref="X109" si="1203">X110/X108*1000</f>
        <v>49016.666666666672</v>
      </c>
      <c r="Y109" s="345">
        <f t="shared" ref="Y109" si="1204">Y110/Y108*1000</f>
        <v>57365.853658536595</v>
      </c>
      <c r="Z109" s="345">
        <f t="shared" ref="Z109" si="1205">Z110/Z108*1000</f>
        <v>64583.333333333328</v>
      </c>
      <c r="AA109" s="345">
        <f t="shared" ref="AA109" si="1206">AA110/AA108*1000</f>
        <v>82500</v>
      </c>
      <c r="AB109" s="345">
        <f t="shared" ref="AB109" si="1207">AB110/AB108*1000</f>
        <v>128103.09278350516</v>
      </c>
      <c r="AC109" s="345">
        <f t="shared" ref="AC109" si="1208">AC110/AC108*1000</f>
        <v>113263.15789473683</v>
      </c>
      <c r="AD109" s="345">
        <f t="shared" ref="AD109" si="1209">AD110/AD108*1000</f>
        <v>104767.24137931036</v>
      </c>
      <c r="AE109" s="345">
        <f t="shared" ref="AE109" si="1210">AE110/AE108*1000</f>
        <v>114702.70270270269</v>
      </c>
      <c r="AF109" s="345">
        <f t="shared" ref="AF109" si="1211">AF110/AF108*1000</f>
        <v>125355.14018691592</v>
      </c>
      <c r="AG109" s="345">
        <f t="shared" ref="AG109" si="1212">AG110/AG108*1000</f>
        <v>181629.62962962961</v>
      </c>
      <c r="AH109" s="345">
        <f t="shared" ref="AH109" si="1213">AH110/AH108*1000</f>
        <v>182204.81927710844</v>
      </c>
      <c r="AI109" s="345">
        <f t="shared" ref="AI109" si="1214">AI110/AI108*1000</f>
        <v>240900.00000000003</v>
      </c>
      <c r="AJ109" s="345">
        <f t="shared" ref="AJ109" si="1215">AJ110/AJ108*1000</f>
        <v>366541.66666666669</v>
      </c>
      <c r="AK109" s="345">
        <f t="shared" ref="AK109" si="1216">AK110/AK108*1000</f>
        <v>359803.27868852462</v>
      </c>
      <c r="AL109" s="345">
        <f t="shared" ref="AL109" si="1217">AL110/AL108*1000</f>
        <v>665796.6101694915</v>
      </c>
      <c r="AM109" s="345">
        <f t="shared" ref="AM109" si="1218">AM110/AM108*1000</f>
        <v>1176750</v>
      </c>
      <c r="AN109" s="345">
        <f t="shared" ref="AN109" si="1219">AN110/AN108*1000</f>
        <v>1695230.7692307692</v>
      </c>
      <c r="AO109" s="345">
        <f t="shared" ref="AO109" si="1220">AO110/AO108*1000</f>
        <v>1311600</v>
      </c>
      <c r="AP109" s="345">
        <f t="shared" ref="AP109" si="1221">AP110/AP108*1000</f>
        <v>2168777.777777778</v>
      </c>
      <c r="AQ109" s="345">
        <f t="shared" ref="AQ109" si="1222">AQ110/AQ108*1000</f>
        <v>5652000</v>
      </c>
      <c r="AR109" s="345">
        <f t="shared" ref="AR109" si="1223">AR110/AR108*1000</f>
        <v>4481250</v>
      </c>
      <c r="AS109" s="345">
        <f t="shared" ref="AS109" si="1224">AS110/AS108*1000</f>
        <v>5989909.0909090908</v>
      </c>
      <c r="AT109" s="345">
        <f t="shared" ref="AT109" si="1225">AT110/AT108*1000</f>
        <v>3620</v>
      </c>
      <c r="AU109" s="345">
        <f t="shared" ref="AU109" si="1226">AU110/AU108*1000</f>
        <v>3982</v>
      </c>
      <c r="AV109" s="345">
        <f t="shared" ref="AV109" si="1227">AV110/AV108*1000</f>
        <v>4183</v>
      </c>
      <c r="AW109" s="345">
        <f t="shared" ref="AW109" si="1228">AW110/AW108*1000</f>
        <v>4544</v>
      </c>
      <c r="AX109" s="345">
        <f t="shared" ref="AX109" si="1229">AX110/AX108*1000</f>
        <v>4655</v>
      </c>
      <c r="AY109" s="346">
        <f t="shared" ref="AY109:AZ109" si="1230">AY110/AY108*1000</f>
        <v>4534</v>
      </c>
      <c r="AZ109" s="347">
        <f t="shared" si="1230"/>
        <v>4534</v>
      </c>
      <c r="BA109" s="347">
        <f>AZ109-AY109</f>
        <v>0</v>
      </c>
      <c r="BB109" s="351">
        <f>AY109-AX109</f>
        <v>-121</v>
      </c>
      <c r="BC109" s="352">
        <f>AZ109-AX109</f>
        <v>-121</v>
      </c>
      <c r="BD109" s="353">
        <f t="shared" ref="BD109:BD110" si="1231">(AX109/AS109)^(1/5)-1</f>
        <v>-0.76116394402496479</v>
      </c>
    </row>
    <row r="110" spans="1:63" s="311" customFormat="1" ht="15" customHeight="1">
      <c r="A110" s="324" t="s">
        <v>354</v>
      </c>
      <c r="B110" s="344">
        <f>'BZ by State 1st Crop'!B110+'BZ by State 2nd Crop'!B110+'BZ by State 3rd Crop'!B110</f>
        <v>49.5</v>
      </c>
      <c r="C110" s="344">
        <f>'BZ by State 1st Crop'!C110+'BZ by State 2nd Crop'!C110+'BZ by State 3rd Crop'!C110</f>
        <v>765</v>
      </c>
      <c r="D110" s="344">
        <f>'BZ by State 1st Crop'!D110+'BZ by State 2nd Crop'!D110+'BZ by State 3rd Crop'!D110</f>
        <v>672</v>
      </c>
      <c r="E110" s="344">
        <f>'BZ by State 1st Crop'!E110+'BZ by State 2nd Crop'!E110+'BZ by State 3rd Crop'!E110</f>
        <v>798</v>
      </c>
      <c r="F110" s="344">
        <f>'BZ by State 1st Crop'!F110+'BZ by State 2nd Crop'!F110+'BZ by State 3rd Crop'!F110</f>
        <v>531</v>
      </c>
      <c r="G110" s="344">
        <f>'BZ by State 1st Crop'!G110+'BZ by State 2nd Crop'!G110+'BZ by State 3rd Crop'!G110</f>
        <v>909</v>
      </c>
      <c r="H110" s="344">
        <f>'BZ by State 1st Crop'!H110+'BZ by State 2nd Crop'!H110+'BZ by State 3rd Crop'!H110</f>
        <v>285</v>
      </c>
      <c r="I110" s="344">
        <f>'BZ by State 1st Crop'!I110+'BZ by State 2nd Crop'!I110+'BZ by State 3rd Crop'!I110</f>
        <v>984</v>
      </c>
      <c r="J110" s="344">
        <f>'BZ by State 1st Crop'!J110+'BZ by State 2nd Crop'!J110+'BZ by State 3rd Crop'!J110</f>
        <v>378</v>
      </c>
      <c r="K110" s="344">
        <f>'BZ by State 1st Crop'!K110+'BZ by State 2nd Crop'!K110+'BZ by State 3rd Crop'!K110</f>
        <v>870</v>
      </c>
      <c r="L110" s="344">
        <f>'BZ by State 1st Crop'!L110+'BZ by State 2nd Crop'!L110+'BZ by State 3rd Crop'!L110</f>
        <v>348</v>
      </c>
      <c r="M110" s="344">
        <f>'BZ by State 1st Crop'!M110+'BZ by State 2nd Crop'!M110+'BZ by State 3rd Crop'!M110</f>
        <v>1035</v>
      </c>
      <c r="N110" s="344">
        <f>'BZ by State 1st Crop'!N110+'BZ by State 2nd Crop'!N110+'BZ by State 3rd Crop'!N110</f>
        <v>1026</v>
      </c>
      <c r="O110" s="344">
        <f>'BZ by State 1st Crop'!O110+'BZ by State 2nd Crop'!O110+'BZ by State 3rd Crop'!O110</f>
        <v>519</v>
      </c>
      <c r="P110" s="344">
        <f>'BZ by State 1st Crop'!P110+'BZ by State 2nd Crop'!P110+'BZ by State 3rd Crop'!P110</f>
        <v>1064.0999999999999</v>
      </c>
      <c r="Q110" s="344">
        <f>'BZ by State 1st Crop'!Q110+'BZ by State 2nd Crop'!Q110+'BZ by State 3rd Crop'!Q110</f>
        <v>711.59999999999991</v>
      </c>
      <c r="R110" s="344">
        <f>'BZ by State 1st Crop'!R110+'BZ by State 2nd Crop'!R110+'BZ by State 3rd Crop'!R110</f>
        <v>592.20000000000005</v>
      </c>
      <c r="S110" s="344">
        <f>'BZ by State 1st Crop'!S110+'BZ by State 2nd Crop'!S110+'BZ by State 3rd Crop'!S110</f>
        <v>1239.3000000000002</v>
      </c>
      <c r="T110" s="344">
        <f>'BZ by State 1st Crop'!T110+'BZ by State 2nd Crop'!T110+'BZ by State 3rd Crop'!T110</f>
        <v>1267.5</v>
      </c>
      <c r="U110" s="344">
        <f>'BZ by State 1st Crop'!U110+'BZ by State 2nd Crop'!U110+'BZ by State 3rd Crop'!U110</f>
        <v>1365</v>
      </c>
      <c r="V110" s="344">
        <f>'BZ by State 1st Crop'!V110+'BZ by State 2nd Crop'!V110+'BZ by State 3rd Crop'!V110</f>
        <v>1088.0999999999999</v>
      </c>
      <c r="W110" s="344">
        <f>'BZ by State 1st Crop'!W110+'BZ by State 2nd Crop'!W110+'BZ by State 3rd Crop'!W110</f>
        <v>629.70000000000005</v>
      </c>
      <c r="X110" s="344">
        <f>'BZ by State 1st Crop'!X110+'BZ by State 2nd Crop'!X110+'BZ by State 3rd Crop'!X110</f>
        <v>882.30000000000007</v>
      </c>
      <c r="Y110" s="344">
        <f>'BZ by State 1st Crop'!Y110+'BZ by State 2nd Crop'!Y110+'BZ by State 3rd Crop'!Y110</f>
        <v>940.80000000000007</v>
      </c>
      <c r="Z110" s="344">
        <f>'BZ by State 1st Crop'!Z110+'BZ by State 2nd Crop'!Z110+'BZ by State 3rd Crop'!Z110</f>
        <v>930</v>
      </c>
      <c r="AA110" s="344">
        <f>'BZ by State 1st Crop'!AA110+'BZ by State 2nd Crop'!AA110+'BZ by State 3rd Crop'!AA110</f>
        <v>973.5</v>
      </c>
      <c r="AB110" s="344">
        <f>'BZ by State 1st Crop'!AB110+'BZ by State 2nd Crop'!AB110+'BZ by State 3rd Crop'!AB110</f>
        <v>1242.5999999999999</v>
      </c>
      <c r="AC110" s="344">
        <f>'BZ by State 1st Crop'!AC110+'BZ by State 2nd Crop'!AC110+'BZ by State 3rd Crop'!AC110</f>
        <v>1291.1999999999998</v>
      </c>
      <c r="AD110" s="344">
        <f>'BZ by State 1st Crop'!AD110+'BZ by State 2nd Crop'!AD110+'BZ by State 3rd Crop'!AD110</f>
        <v>1215.3000000000002</v>
      </c>
      <c r="AE110" s="344">
        <f>'BZ by State 1st Crop'!AE110+'BZ by State 2nd Crop'!AE110+'BZ by State 3rd Crop'!AE110</f>
        <v>1273.1999999999998</v>
      </c>
      <c r="AF110" s="344">
        <f>'BZ by State 1st Crop'!AF110+'BZ by State 2nd Crop'!AF110+'BZ by State 3rd Crop'!AF110</f>
        <v>1341.3000000000002</v>
      </c>
      <c r="AG110" s="344">
        <f>'BZ by State 1st Crop'!AG110+'BZ by State 2nd Crop'!AG110+'BZ by State 3rd Crop'!AG110</f>
        <v>1471.1999999999998</v>
      </c>
      <c r="AH110" s="344">
        <f>'BZ by State 1st Crop'!AH110+'BZ by State 2nd Crop'!AH110+'BZ by State 3rd Crop'!AH110</f>
        <v>1512.3000000000002</v>
      </c>
      <c r="AI110" s="344">
        <f>'BZ by State 1st Crop'!AI110+'BZ by State 2nd Crop'!AI110+'BZ by State 3rd Crop'!AI110</f>
        <v>1686.3000000000002</v>
      </c>
      <c r="AJ110" s="344">
        <f>'BZ by State 1st Crop'!AJ110+'BZ by State 2nd Crop'!AJ110+'BZ by State 3rd Crop'!AJ110</f>
        <v>2639.1000000000004</v>
      </c>
      <c r="AK110" s="344">
        <f>'BZ by State 1st Crop'!AK110+'BZ by State 2nd Crop'!AK110+'BZ by State 3rd Crop'!AK110</f>
        <v>2194.8000000000002</v>
      </c>
      <c r="AL110" s="344">
        <f>'BZ by State 1st Crop'!AL110+'BZ by State 2nd Crop'!AL110+'BZ by State 3rd Crop'!AL110</f>
        <v>3928.2000000000003</v>
      </c>
      <c r="AM110" s="344">
        <f>'BZ by State 1st Crop'!AM110+'BZ by State 2nd Crop'!AM110+'BZ by State 3rd Crop'!AM110</f>
        <v>5177.7000000000007</v>
      </c>
      <c r="AN110" s="344">
        <f>'BZ by State 1st Crop'!AN110+'BZ by State 2nd Crop'!AN110+'BZ by State 3rd Crop'!AN110</f>
        <v>4407.6000000000004</v>
      </c>
      <c r="AO110" s="344">
        <f>'BZ by State 1st Crop'!AO110+'BZ by State 2nd Crop'!AO110+'BZ by State 3rd Crop'!AO110</f>
        <v>2623.2</v>
      </c>
      <c r="AP110" s="344">
        <f>'BZ by State 1st Crop'!AP110+'BZ by State 2nd Crop'!AP110+'BZ by State 3rd Crop'!AP110</f>
        <v>5855.7000000000007</v>
      </c>
      <c r="AQ110" s="344">
        <f>'BZ by State 1st Crop'!AQ110+'BZ by State 2nd Crop'!AQ110+'BZ by State 3rd Crop'!AQ110</f>
        <v>5652</v>
      </c>
      <c r="AR110" s="344">
        <f>'BZ by State 1st Crop'!AR110+'BZ by State 2nd Crop'!AR110+'BZ by State 3rd Crop'!AR110</f>
        <v>5377.5</v>
      </c>
      <c r="AS110" s="344">
        <f>'BZ by State 1st Crop'!AS110+'BZ by State 2nd Crop'!AS110+'BZ by State 3rd Crop'!AS110</f>
        <v>6588.9000000000005</v>
      </c>
      <c r="AT110" s="344">
        <f>'BZ by State 1st Crop'!AT110+'BZ by State 2nd Crop'!AT110+'BZ by State 3rd Crop'!AT110</f>
        <v>5.0679999999999996</v>
      </c>
      <c r="AU110" s="344">
        <f>'BZ by State 1st Crop'!AU110+'BZ by State 2nd Crop'!AU110+'BZ by State 3rd Crop'!AU110</f>
        <v>7.1676000000000002</v>
      </c>
      <c r="AV110" s="344">
        <f>'BZ by State 1st Crop'!AV110+'BZ by State 2nd Crop'!AV110+'BZ by State 3rd Crop'!AV110</f>
        <v>8.3659999999999997</v>
      </c>
      <c r="AW110" s="344">
        <f>'BZ by State 1st Crop'!AW110+'BZ by State 2nd Crop'!AW110+'BZ by State 3rd Crop'!AW110</f>
        <v>6.8159999999999998</v>
      </c>
      <c r="AX110" s="344">
        <f>'BZ by State 1st Crop'!AX110+'BZ by State 2nd Crop'!AX110+'BZ by State 3rd Crop'!AX110</f>
        <v>6.9824999999999999</v>
      </c>
      <c r="AY110" s="365">
        <f>'BZ by State 1st Crop'!AY110+'BZ by State 2nd Crop'!AY110+'BZ by State 3rd Crop'!AY110</f>
        <v>8.1611999999999991</v>
      </c>
      <c r="AZ110" s="366">
        <f>'BZ by State 1st Crop'!AZ110+'BZ by State 2nd Crop'!AZ110+'BZ by State 3rd Crop'!AZ110</f>
        <v>8.1611999999999991</v>
      </c>
      <c r="BA110" s="366">
        <f>AZ110-AY110</f>
        <v>0</v>
      </c>
      <c r="BB110" s="367">
        <f>AY110-AX110</f>
        <v>1.1786999999999992</v>
      </c>
      <c r="BC110" s="368">
        <f>AZ110-AX110</f>
        <v>1.1786999999999992</v>
      </c>
      <c r="BD110" s="353">
        <f t="shared" si="1231"/>
        <v>-0.7458795559113216</v>
      </c>
      <c r="BE110" s="309"/>
      <c r="BF110"/>
      <c r="BG110" s="308"/>
    </row>
    <row r="111" spans="1:63" ht="15" customHeight="1">
      <c r="A111" s="320" t="s">
        <v>383</v>
      </c>
      <c r="B111" s="356"/>
      <c r="C111" s="356"/>
      <c r="D111" s="356"/>
      <c r="E111" s="356"/>
      <c r="F111" s="356"/>
      <c r="G111" s="356"/>
      <c r="H111" s="356"/>
      <c r="I111" s="356"/>
      <c r="J111" s="356"/>
      <c r="K111" s="356"/>
      <c r="L111" s="356"/>
      <c r="M111" s="356"/>
      <c r="N111" s="356"/>
      <c r="O111" s="356"/>
      <c r="P111" s="356"/>
      <c r="Q111" s="356"/>
      <c r="R111" s="356"/>
      <c r="S111" s="356"/>
      <c r="T111" s="356"/>
      <c r="U111" s="356"/>
      <c r="V111" s="356"/>
      <c r="W111" s="356"/>
      <c r="X111" s="356"/>
      <c r="Y111" s="356"/>
      <c r="Z111" s="356"/>
      <c r="AA111" s="356"/>
      <c r="AB111" s="356"/>
      <c r="AC111" s="356"/>
      <c r="AD111" s="356"/>
      <c r="AE111" s="356"/>
      <c r="AF111" s="356"/>
      <c r="AG111" s="356"/>
      <c r="AH111" s="356"/>
      <c r="AI111" s="356"/>
      <c r="AJ111" s="356"/>
      <c r="AK111" s="356"/>
      <c r="AL111" s="356"/>
      <c r="AM111" s="356"/>
      <c r="AN111" s="356"/>
      <c r="AO111" s="356"/>
      <c r="AP111" s="356"/>
      <c r="AQ111" s="356"/>
      <c r="AR111" s="356"/>
      <c r="AS111" s="356"/>
      <c r="AT111" s="328"/>
      <c r="AU111" s="328"/>
      <c r="AV111" s="328"/>
      <c r="AW111" s="328"/>
      <c r="AX111" s="328"/>
      <c r="AY111" s="321"/>
      <c r="AZ111" s="328"/>
      <c r="BA111" s="329"/>
      <c r="BB111" s="321"/>
      <c r="BC111" s="328"/>
      <c r="BD111" s="329"/>
    </row>
    <row r="112" spans="1:63" ht="15" customHeight="1">
      <c r="A112" s="324" t="s">
        <v>352</v>
      </c>
      <c r="B112" s="344">
        <f>'BZ by State 1st Crop'!B112+'BZ by State 2nd Crop'!B112+'BZ by State 3rd Crop'!B112</f>
        <v>1134</v>
      </c>
      <c r="C112" s="344">
        <f>'BZ by State 1st Crop'!C112+'BZ by State 2nd Crop'!C112+'BZ by State 3rd Crop'!C112</f>
        <v>991</v>
      </c>
      <c r="D112" s="344">
        <f>'BZ by State 1st Crop'!D112+'BZ by State 2nd Crop'!D112+'BZ by State 3rd Crop'!D112</f>
        <v>1185</v>
      </c>
      <c r="E112" s="344">
        <f>'BZ by State 1st Crop'!E112+'BZ by State 2nd Crop'!E112+'BZ by State 3rd Crop'!E112</f>
        <v>1075</v>
      </c>
      <c r="F112" s="344">
        <f>'BZ by State 1st Crop'!F112+'BZ by State 2nd Crop'!F112+'BZ by State 3rd Crop'!F112</f>
        <v>1177</v>
      </c>
      <c r="G112" s="344">
        <f>'BZ by State 1st Crop'!G112+'BZ by State 2nd Crop'!G112+'BZ by State 3rd Crop'!G112</f>
        <v>1330.7</v>
      </c>
      <c r="H112" s="344">
        <f>'BZ by State 1st Crop'!H112+'BZ by State 2nd Crop'!H112+'BZ by State 3rd Crop'!H112</f>
        <v>1217</v>
      </c>
      <c r="I112" s="344">
        <f>'BZ by State 1st Crop'!I112+'BZ by State 2nd Crop'!I112+'BZ by State 3rd Crop'!I112</f>
        <v>1241</v>
      </c>
      <c r="J112" s="344">
        <f>'BZ by State 1st Crop'!J112+'BZ by State 2nd Crop'!J112+'BZ by State 3rd Crop'!J112</f>
        <v>1166</v>
      </c>
      <c r="K112" s="344">
        <f>'BZ by State 1st Crop'!K112+'BZ by State 2nd Crop'!K112+'BZ by State 3rd Crop'!K112</f>
        <v>1280</v>
      </c>
      <c r="L112" s="344">
        <f>'BZ by State 1st Crop'!L112+'BZ by State 2nd Crop'!L112+'BZ by State 3rd Crop'!L112</f>
        <v>1382.4</v>
      </c>
      <c r="M112" s="344">
        <f>'BZ by State 1st Crop'!M112+'BZ by State 2nd Crop'!M112+'BZ by State 3rd Crop'!M112</f>
        <v>1227</v>
      </c>
      <c r="N112" s="344">
        <f>'BZ by State 1st Crop'!N112+'BZ by State 2nd Crop'!N112+'BZ by State 3rd Crop'!N112</f>
        <v>1327</v>
      </c>
      <c r="O112" s="344">
        <f>'BZ by State 1st Crop'!O112+'BZ by State 2nd Crop'!O112+'BZ by State 3rd Crop'!O112</f>
        <v>1234</v>
      </c>
      <c r="P112" s="344">
        <f>'BZ by State 1st Crop'!P112+'BZ by State 2nd Crop'!P112+'BZ by State 3rd Crop'!P112</f>
        <v>1448.6</v>
      </c>
      <c r="Q112" s="344">
        <f>'BZ by State 1st Crop'!Q112+'BZ by State 2nd Crop'!Q112+'BZ by State 3rd Crop'!Q112</f>
        <v>1566.3</v>
      </c>
      <c r="R112" s="344">
        <f>'BZ by State 1st Crop'!R112+'BZ by State 2nd Crop'!R112+'BZ by State 3rd Crop'!R112</f>
        <v>1430</v>
      </c>
      <c r="S112" s="344">
        <f>'BZ by State 1st Crop'!S112+'BZ by State 2nd Crop'!S112+'BZ by State 3rd Crop'!S112</f>
        <v>1302.3</v>
      </c>
      <c r="T112" s="344">
        <f>'BZ by State 1st Crop'!T112+'BZ by State 2nd Crop'!T112+'BZ by State 3rd Crop'!T112</f>
        <v>1289.7</v>
      </c>
      <c r="U112" s="344">
        <f>'BZ by State 1st Crop'!U112+'BZ by State 2nd Crop'!U112+'BZ by State 3rd Crop'!U112</f>
        <v>1164.5</v>
      </c>
      <c r="V112" s="344">
        <f>'BZ by State 1st Crop'!V112+'BZ by State 2nd Crop'!V112+'BZ by State 3rd Crop'!V112</f>
        <v>1206.9000000000001</v>
      </c>
      <c r="W112" s="344">
        <f>'BZ by State 1st Crop'!W112+'BZ by State 2nd Crop'!W112+'BZ by State 3rd Crop'!W112</f>
        <v>1177.8</v>
      </c>
      <c r="X112" s="344">
        <f>'BZ by State 1st Crop'!X112+'BZ by State 2nd Crop'!X112+'BZ by State 3rd Crop'!X112</f>
        <v>1215.8</v>
      </c>
      <c r="Y112" s="344">
        <f>'BZ by State 1st Crop'!Y112+'BZ by State 2nd Crop'!Y112+'BZ by State 3rd Crop'!Y112</f>
        <v>1159.3</v>
      </c>
      <c r="Z112" s="344">
        <f>'BZ by State 1st Crop'!Z112+'BZ by State 2nd Crop'!Z112+'BZ by State 3rd Crop'!Z112</f>
        <v>1144.2</v>
      </c>
      <c r="AA112" s="344">
        <f>'BZ by State 1st Crop'!AA112+'BZ by State 2nd Crop'!AA112+'BZ by State 3rd Crop'!AA112</f>
        <v>1083.5</v>
      </c>
      <c r="AB112" s="344">
        <f>'BZ by State 1st Crop'!AB112+'BZ by State 2nd Crop'!AB112+'BZ by State 3rd Crop'!AB112</f>
        <v>1091</v>
      </c>
      <c r="AC112" s="344">
        <f>'BZ by State 1st Crop'!AC112+'BZ by State 2nd Crop'!AC112+'BZ by State 3rd Crop'!AC112</f>
        <v>1058.0999999999999</v>
      </c>
      <c r="AD112" s="344">
        <f>'BZ by State 1st Crop'!AD112+'BZ by State 2nd Crop'!AD112+'BZ by State 3rd Crop'!AD112</f>
        <v>1066.8</v>
      </c>
      <c r="AE112" s="344">
        <f>'BZ by State 1st Crop'!AE112+'BZ by State 2nd Crop'!AE112+'BZ by State 3rd Crop'!AE112</f>
        <v>1049.4000000000001</v>
      </c>
      <c r="AF112" s="344">
        <f>'BZ by State 1st Crop'!AF112+'BZ by State 2nd Crop'!AF112+'BZ by State 3rd Crop'!AF112</f>
        <v>957.6</v>
      </c>
      <c r="AG112" s="344">
        <f>'BZ by State 1st Crop'!AG112+'BZ by State 2nd Crop'!AG112+'BZ by State 3rd Crop'!AG112</f>
        <v>966</v>
      </c>
      <c r="AH112" s="344">
        <f>'BZ by State 1st Crop'!AH112+'BZ by State 2nd Crop'!AH112+'BZ by State 3rd Crop'!AH112</f>
        <v>917.4</v>
      </c>
      <c r="AI112" s="344">
        <f>'BZ by State 1st Crop'!AI112+'BZ by State 2nd Crop'!AI112+'BZ by State 3rd Crop'!AI112</f>
        <v>879.5</v>
      </c>
      <c r="AJ112" s="344">
        <f>'BZ by State 1st Crop'!AJ112+'BZ by State 2nd Crop'!AJ112+'BZ by State 3rd Crop'!AJ112</f>
        <v>899.09999999999991</v>
      </c>
      <c r="AK112" s="344">
        <f>'BZ by State 1st Crop'!AK112+'BZ by State 2nd Crop'!AK112+'BZ by State 3rd Crop'!AK112</f>
        <v>891.9</v>
      </c>
      <c r="AL112" s="344">
        <f>'BZ by State 1st Crop'!AL112+'BZ by State 2nd Crop'!AL112+'BZ by State 3rd Crop'!AL112</f>
        <v>904.40000000000009</v>
      </c>
      <c r="AM112" s="344">
        <f>'BZ by State 1st Crop'!AM112+'BZ by State 2nd Crop'!AM112+'BZ by State 3rd Crop'!AM112</f>
        <v>753.8</v>
      </c>
      <c r="AN112" s="344">
        <f>'BZ by State 1st Crop'!AN112+'BZ by State 2nd Crop'!AN112+'BZ by State 3rd Crop'!AN112</f>
        <v>762.7</v>
      </c>
      <c r="AO112" s="344">
        <f>'BZ by State 1st Crop'!AO112+'BZ by State 2nd Crop'!AO112+'BZ by State 3rd Crop'!AO112</f>
        <v>827.3</v>
      </c>
      <c r="AP112" s="344">
        <f>'BZ by State 1st Crop'!AP112+'BZ by State 2nd Crop'!AP112+'BZ by State 3rd Crop'!AP112</f>
        <v>856</v>
      </c>
      <c r="AQ112" s="344">
        <f>'BZ by State 1st Crop'!AQ112+'BZ by State 2nd Crop'!AQ112+'BZ by State 3rd Crop'!AQ112</f>
        <v>887.40000000000009</v>
      </c>
      <c r="AR112" s="344">
        <f>'BZ by State 1st Crop'!AR112+'BZ by State 2nd Crop'!AR112+'BZ by State 3rd Crop'!AR112</f>
        <v>844.90000000000009</v>
      </c>
      <c r="AS112" s="344">
        <f>'BZ by State 1st Crop'!AS112+'BZ by State 2nd Crop'!AS112+'BZ by State 3rd Crop'!AS112</f>
        <v>870.69999999999993</v>
      </c>
      <c r="AT112" s="344">
        <f>'BZ by State 1st Crop'!AT112+'BZ by State 2nd Crop'!AT112+'BZ by State 3rd Crop'!AT112</f>
        <v>885</v>
      </c>
      <c r="AU112" s="344">
        <f>'BZ by State 1st Crop'!AU112+'BZ by State 2nd Crop'!AU112+'BZ by State 3rd Crop'!AU112</f>
        <v>873.1</v>
      </c>
      <c r="AV112" s="344">
        <f>'BZ by State 1st Crop'!AV112+'BZ by State 2nd Crop'!AV112+'BZ by State 3rd Crop'!AV112</f>
        <v>782.59999999999991</v>
      </c>
      <c r="AW112" s="344">
        <f>'BZ by State 1st Crop'!AW112+'BZ by State 2nd Crop'!AW112+'BZ by State 3rd Crop'!AW112</f>
        <v>755.2</v>
      </c>
      <c r="AX112" s="344">
        <f>'BZ by State 1st Crop'!AX112+'BZ by State 2nd Crop'!AX112+'BZ by State 3rd Crop'!AX112</f>
        <v>744.8</v>
      </c>
      <c r="AY112" s="369">
        <f>'BZ by State 1st Crop'!AY112+'BZ by State 2nd Crop'!AY112+'BZ by State 3rd Crop'!AY112</f>
        <v>772.7</v>
      </c>
      <c r="AZ112" s="366">
        <f>'BZ by State 1st Crop'!AZ112+'BZ by State 2nd Crop'!AZ112+'BZ by State 3rd Crop'!AZ112</f>
        <v>772.7</v>
      </c>
      <c r="BA112" s="366">
        <f>AZ112-AY112</f>
        <v>0</v>
      </c>
      <c r="BB112" s="367">
        <f>AY112-AX112</f>
        <v>27.900000000000091</v>
      </c>
      <c r="BC112" s="368">
        <f>AZ112-AX112</f>
        <v>27.900000000000091</v>
      </c>
      <c r="BD112" s="353">
        <f>(AX112/AS112)^(1/5)-1</f>
        <v>-3.0753537313334411E-2</v>
      </c>
      <c r="BF112" s="319" t="b">
        <v>0</v>
      </c>
    </row>
    <row r="113" spans="1:59" ht="15" customHeight="1">
      <c r="A113" s="324" t="s">
        <v>353</v>
      </c>
      <c r="B113" s="345">
        <f t="shared" ref="B113" si="1232">B114/B112*1000</f>
        <v>2222.2222222222222</v>
      </c>
      <c r="C113" s="345">
        <f t="shared" ref="C113" si="1233">C114/C112*1000</f>
        <v>771.94752774974768</v>
      </c>
      <c r="D113" s="345">
        <f t="shared" ref="D113" si="1234">D114/D112*1000</f>
        <v>567.08860759493678</v>
      </c>
      <c r="E113" s="345">
        <f t="shared" ref="E113" si="1235">E114/E112*1000</f>
        <v>742.32558139534888</v>
      </c>
      <c r="F113" s="345">
        <f t="shared" ref="F113" si="1236">F114/F112*1000</f>
        <v>451.14698385726422</v>
      </c>
      <c r="G113" s="345">
        <f t="shared" ref="G113" si="1237">G114/G112*1000</f>
        <v>683.09912076350793</v>
      </c>
      <c r="H113" s="345">
        <f t="shared" ref="H113" si="1238">H114/H112*1000</f>
        <v>234.1824157764996</v>
      </c>
      <c r="I113" s="345">
        <f t="shared" ref="I113" si="1239">I114/I112*1000</f>
        <v>792.90894439967758</v>
      </c>
      <c r="J113" s="345">
        <f t="shared" ref="J113" si="1240">J114/J112*1000</f>
        <v>324.18524871355061</v>
      </c>
      <c r="K113" s="345">
        <f t="shared" ref="K113" si="1241">K114/K112*1000</f>
        <v>679.6875</v>
      </c>
      <c r="L113" s="345">
        <f t="shared" ref="L113" si="1242">L114/L112*1000</f>
        <v>251.73611111111111</v>
      </c>
      <c r="M113" s="345">
        <f t="shared" ref="M113" si="1243">M114/M112*1000</f>
        <v>843.52078239608795</v>
      </c>
      <c r="N113" s="345">
        <f t="shared" ref="N113" si="1244">N114/N112*1000</f>
        <v>773.17256970610401</v>
      </c>
      <c r="O113" s="345">
        <f t="shared" ref="O113" si="1245">O114/O112*1000</f>
        <v>420.58346839546192</v>
      </c>
      <c r="P113" s="345">
        <f t="shared" ref="P113" si="1246">P114/P112*1000</f>
        <v>734.57131023056741</v>
      </c>
      <c r="Q113" s="345">
        <f t="shared" ref="Q113" si="1247">Q114/Q112*1000</f>
        <v>454.31909595862857</v>
      </c>
      <c r="R113" s="345">
        <f t="shared" ref="R113" si="1248">R114/R112*1000</f>
        <v>414.12587412587413</v>
      </c>
      <c r="S113" s="345">
        <f t="shared" ref="S113" si="1249">S114/S112*1000</f>
        <v>951.62404975812046</v>
      </c>
      <c r="T113" s="345">
        <f t="shared" ref="T113" si="1250">T114/T112*1000</f>
        <v>982.78669458013485</v>
      </c>
      <c r="U113" s="345">
        <f t="shared" ref="U113" si="1251">U114/U112*1000</f>
        <v>1172.1768999570631</v>
      </c>
      <c r="V113" s="345">
        <f t="shared" ref="V113" si="1252">V114/V112*1000</f>
        <v>901.56599552572686</v>
      </c>
      <c r="W113" s="345">
        <f t="shared" ref="W113" si="1253">W114/W112*1000</f>
        <v>534.64085583290887</v>
      </c>
      <c r="X113" s="345">
        <f t="shared" ref="X113" si="1254">X114/X112*1000</f>
        <v>725.69501562757046</v>
      </c>
      <c r="Y113" s="345">
        <f t="shared" ref="Y113" si="1255">Y114/Y112*1000</f>
        <v>811.52419563529725</v>
      </c>
      <c r="Z113" s="345">
        <f t="shared" ref="Z113" si="1256">Z114/Z112*1000</f>
        <v>812.79496591504972</v>
      </c>
      <c r="AA113" s="345">
        <f t="shared" ref="AA113" si="1257">AA114/AA112*1000</f>
        <v>898.47715736040607</v>
      </c>
      <c r="AB113" s="345">
        <f t="shared" ref="AB113" si="1258">AB114/AB112*1000</f>
        <v>1138.955087076077</v>
      </c>
      <c r="AC113" s="345">
        <f t="shared" ref="AC113" si="1259">AC114/AC112*1000</f>
        <v>1220.3005387014459</v>
      </c>
      <c r="AD113" s="345">
        <f t="shared" ref="AD113" si="1260">AD114/AD112*1000</f>
        <v>1139.2013498312715</v>
      </c>
      <c r="AE113" s="345">
        <f t="shared" ref="AE113" si="1261">AE114/AE112*1000</f>
        <v>1213.2647226986849</v>
      </c>
      <c r="AF113" s="345">
        <f t="shared" ref="AF113" si="1262">AF114/AF112*1000</f>
        <v>1400.6892230576443</v>
      </c>
      <c r="AG113" s="345">
        <f t="shared" ref="AG113" si="1263">AG114/AG112*1000</f>
        <v>1522.9813664596272</v>
      </c>
      <c r="AH113" s="345">
        <f t="shared" ref="AH113" si="1264">AH114/AH112*1000</f>
        <v>1648.4630477436235</v>
      </c>
      <c r="AI113" s="345">
        <f t="shared" ref="AI113" si="1265">AI114/AI112*1000</f>
        <v>1917.3393973848781</v>
      </c>
      <c r="AJ113" s="345">
        <f t="shared" ref="AJ113" si="1266">AJ114/AJ112*1000</f>
        <v>2935.2686019352695</v>
      </c>
      <c r="AK113" s="345">
        <f t="shared" ref="AK113" si="1267">AK114/AK112*1000</f>
        <v>2460.8139926000672</v>
      </c>
      <c r="AL113" s="345">
        <f t="shared" ref="AL113" si="1268">AL114/AL112*1000</f>
        <v>4343.4321096859794</v>
      </c>
      <c r="AM113" s="345">
        <f t="shared" ref="AM113" si="1269">AM114/AM112*1000</f>
        <v>6868.7980896789613</v>
      </c>
      <c r="AN113" s="345">
        <f t="shared" ref="AN113" si="1270">AN114/AN112*1000</f>
        <v>5778.943228005769</v>
      </c>
      <c r="AO113" s="345">
        <f t="shared" ref="AO113" si="1271">AO114/AO112*1000</f>
        <v>3170.7965671461379</v>
      </c>
      <c r="AP113" s="345">
        <f t="shared" ref="AP113" si="1272">AP114/AP112*1000</f>
        <v>6840.771028037384</v>
      </c>
      <c r="AQ113" s="345">
        <f t="shared" ref="AQ113" si="1273">AQ114/AQ112*1000</f>
        <v>6369.1683569979705</v>
      </c>
      <c r="AR113" s="345">
        <f t="shared" ref="AR113" si="1274">AR114/AR112*1000</f>
        <v>6364.658539472126</v>
      </c>
      <c r="AS113" s="345">
        <f t="shared" ref="AS113" si="1275">AS114/AS112*1000</f>
        <v>7567.3595957275766</v>
      </c>
      <c r="AT113" s="345">
        <f t="shared" ref="AT113" si="1276">AT114/AT112*1000</f>
        <v>3695.7959322033903</v>
      </c>
      <c r="AU113" s="345">
        <f t="shared" ref="AU113" si="1277">AU114/AU112*1000</f>
        <v>4959.2286106975143</v>
      </c>
      <c r="AV113" s="345">
        <f t="shared" ref="AV113" si="1278">AV114/AV112*1000</f>
        <v>6025.3028366981862</v>
      </c>
      <c r="AW113" s="345">
        <f t="shared" ref="AW113" si="1279">AW114/AW112*1000</f>
        <v>4804.1525423728808</v>
      </c>
      <c r="AX113" s="345">
        <f t="shared" ref="AX113" si="1280">AX114/AX112*1000</f>
        <v>5907.0784103114947</v>
      </c>
      <c r="AY113" s="346">
        <f t="shared" ref="AY113:AZ113" si="1281">AY114/AY112*1000</f>
        <v>5711.6729649281742</v>
      </c>
      <c r="AZ113" s="347">
        <f t="shared" si="1281"/>
        <v>5610.6609292092653</v>
      </c>
      <c r="BA113" s="347">
        <f>AZ113-AY113</f>
        <v>-101.01203571890892</v>
      </c>
      <c r="BB113" s="351">
        <f>AY113-AX113</f>
        <v>-195.40544538332051</v>
      </c>
      <c r="BC113" s="352">
        <f>AZ113-AX113</f>
        <v>-296.41748110222943</v>
      </c>
      <c r="BD113" s="353">
        <f t="shared" ref="BD113:BD114" si="1282">(AX113/AS113)^(1/5)-1</f>
        <v>-4.8331547620943716E-2</v>
      </c>
    </row>
    <row r="114" spans="1:59" ht="15" customHeight="1" thickBot="1">
      <c r="A114" s="324" t="s">
        <v>354</v>
      </c>
      <c r="B114" s="344">
        <f>'BZ by State 1st Crop'!B114+'BZ by State 2nd Crop'!B114+'BZ by State 3rd Crop'!B114</f>
        <v>2520</v>
      </c>
      <c r="C114" s="344">
        <f>'BZ by State 1st Crop'!C114+'BZ by State 2nd Crop'!C114+'BZ by State 3rd Crop'!C114</f>
        <v>765</v>
      </c>
      <c r="D114" s="344">
        <f>'BZ by State 1st Crop'!D114+'BZ by State 2nd Crop'!D114+'BZ by State 3rd Crop'!D114</f>
        <v>672</v>
      </c>
      <c r="E114" s="344">
        <f>'BZ by State 1st Crop'!E114+'BZ by State 2nd Crop'!E114+'BZ by State 3rd Crop'!E114</f>
        <v>798</v>
      </c>
      <c r="F114" s="344">
        <f>'BZ by State 1st Crop'!F114+'BZ by State 2nd Crop'!F114+'BZ by State 3rd Crop'!F114</f>
        <v>531</v>
      </c>
      <c r="G114" s="344">
        <f>'BZ by State 1st Crop'!G114+'BZ by State 2nd Crop'!G114+'BZ by State 3rd Crop'!G114</f>
        <v>909</v>
      </c>
      <c r="H114" s="344">
        <f>'BZ by State 1st Crop'!H114+'BZ by State 2nd Crop'!H114+'BZ by State 3rd Crop'!H114</f>
        <v>285</v>
      </c>
      <c r="I114" s="344">
        <f>'BZ by State 1st Crop'!I114+'BZ by State 2nd Crop'!I114+'BZ by State 3rd Crop'!I114</f>
        <v>984</v>
      </c>
      <c r="J114" s="344">
        <f>'BZ by State 1st Crop'!J114+'BZ by State 2nd Crop'!J114+'BZ by State 3rd Crop'!J114</f>
        <v>378</v>
      </c>
      <c r="K114" s="344">
        <f>'BZ by State 1st Crop'!K114+'BZ by State 2nd Crop'!K114+'BZ by State 3rd Crop'!K114</f>
        <v>870</v>
      </c>
      <c r="L114" s="344">
        <f>'BZ by State 1st Crop'!L114+'BZ by State 2nd Crop'!L114+'BZ by State 3rd Crop'!L114</f>
        <v>348</v>
      </c>
      <c r="M114" s="344">
        <f>'BZ by State 1st Crop'!M114+'BZ by State 2nd Crop'!M114+'BZ by State 3rd Crop'!M114</f>
        <v>1035</v>
      </c>
      <c r="N114" s="344">
        <f>'BZ by State 1st Crop'!N114+'BZ by State 2nd Crop'!N114+'BZ by State 3rd Crop'!N114</f>
        <v>1026</v>
      </c>
      <c r="O114" s="344">
        <f>'BZ by State 1st Crop'!O114+'BZ by State 2nd Crop'!O114+'BZ by State 3rd Crop'!O114</f>
        <v>519</v>
      </c>
      <c r="P114" s="344">
        <f>'BZ by State 1st Crop'!P114+'BZ by State 2nd Crop'!P114+'BZ by State 3rd Crop'!P114</f>
        <v>1064.0999999999999</v>
      </c>
      <c r="Q114" s="344">
        <f>'BZ by State 1st Crop'!Q114+'BZ by State 2nd Crop'!Q114+'BZ by State 3rd Crop'!Q114</f>
        <v>711.59999999999991</v>
      </c>
      <c r="R114" s="344">
        <f>'BZ by State 1st Crop'!R114+'BZ by State 2nd Crop'!R114+'BZ by State 3rd Crop'!R114</f>
        <v>592.20000000000005</v>
      </c>
      <c r="S114" s="344">
        <f>'BZ by State 1st Crop'!S114+'BZ by State 2nd Crop'!S114+'BZ by State 3rd Crop'!S114</f>
        <v>1239.3000000000002</v>
      </c>
      <c r="T114" s="344">
        <f>'BZ by State 1st Crop'!T114+'BZ by State 2nd Crop'!T114+'BZ by State 3rd Crop'!T114</f>
        <v>1267.5</v>
      </c>
      <c r="U114" s="344">
        <f>'BZ by State 1st Crop'!U114+'BZ by State 2nd Crop'!U114+'BZ by State 3rd Crop'!U114</f>
        <v>1365</v>
      </c>
      <c r="V114" s="344">
        <f>'BZ by State 1st Crop'!V114+'BZ by State 2nd Crop'!V114+'BZ by State 3rd Crop'!V114</f>
        <v>1088.0999999999999</v>
      </c>
      <c r="W114" s="344">
        <f>'BZ by State 1st Crop'!W114+'BZ by State 2nd Crop'!W114+'BZ by State 3rd Crop'!W114</f>
        <v>629.70000000000005</v>
      </c>
      <c r="X114" s="344">
        <f>'BZ by State 1st Crop'!X114+'BZ by State 2nd Crop'!X114+'BZ by State 3rd Crop'!X114</f>
        <v>882.30000000000007</v>
      </c>
      <c r="Y114" s="344">
        <f>'BZ by State 1st Crop'!Y114+'BZ by State 2nd Crop'!Y114+'BZ by State 3rd Crop'!Y114</f>
        <v>940.80000000000007</v>
      </c>
      <c r="Z114" s="344">
        <f>'BZ by State 1st Crop'!Z114+'BZ by State 2nd Crop'!Z114+'BZ by State 3rd Crop'!Z114</f>
        <v>930</v>
      </c>
      <c r="AA114" s="344">
        <f>'BZ by State 1st Crop'!AA114+'BZ by State 2nd Crop'!AA114+'BZ by State 3rd Crop'!AA114</f>
        <v>973.5</v>
      </c>
      <c r="AB114" s="344">
        <f>'BZ by State 1st Crop'!AB114+'BZ by State 2nd Crop'!AB114+'BZ by State 3rd Crop'!AB114</f>
        <v>1242.5999999999999</v>
      </c>
      <c r="AC114" s="344">
        <f>'BZ by State 1st Crop'!AC114+'BZ by State 2nd Crop'!AC114+'BZ by State 3rd Crop'!AC114</f>
        <v>1291.1999999999998</v>
      </c>
      <c r="AD114" s="344">
        <f>'BZ by State 1st Crop'!AD114+'BZ by State 2nd Crop'!AD114+'BZ by State 3rd Crop'!AD114</f>
        <v>1215.3000000000002</v>
      </c>
      <c r="AE114" s="344">
        <f>'BZ by State 1st Crop'!AE114+'BZ by State 2nd Crop'!AE114+'BZ by State 3rd Crop'!AE114</f>
        <v>1273.1999999999998</v>
      </c>
      <c r="AF114" s="344">
        <f>'BZ by State 1st Crop'!AF114+'BZ by State 2nd Crop'!AF114+'BZ by State 3rd Crop'!AF114</f>
        <v>1341.3000000000002</v>
      </c>
      <c r="AG114" s="344">
        <f>'BZ by State 1st Crop'!AG114+'BZ by State 2nd Crop'!AG114+'BZ by State 3rd Crop'!AG114</f>
        <v>1471.1999999999998</v>
      </c>
      <c r="AH114" s="344">
        <f>'BZ by State 1st Crop'!AH114+'BZ by State 2nd Crop'!AH114+'BZ by State 3rd Crop'!AH114</f>
        <v>1512.3000000000002</v>
      </c>
      <c r="AI114" s="344">
        <f>'BZ by State 1st Crop'!AI114+'BZ by State 2nd Crop'!AI114+'BZ by State 3rd Crop'!AI114</f>
        <v>1686.3000000000002</v>
      </c>
      <c r="AJ114" s="344">
        <f>'BZ by State 1st Crop'!AJ114+'BZ by State 2nd Crop'!AJ114+'BZ by State 3rd Crop'!AJ114</f>
        <v>2639.1000000000004</v>
      </c>
      <c r="AK114" s="344">
        <f>'BZ by State 1st Crop'!AK114+'BZ by State 2nd Crop'!AK114+'BZ by State 3rd Crop'!AK114</f>
        <v>2194.8000000000002</v>
      </c>
      <c r="AL114" s="344">
        <f>'BZ by State 1st Crop'!AL114+'BZ by State 2nd Crop'!AL114+'BZ by State 3rd Crop'!AL114</f>
        <v>3928.2000000000003</v>
      </c>
      <c r="AM114" s="344">
        <f>'BZ by State 1st Crop'!AM114+'BZ by State 2nd Crop'!AM114+'BZ by State 3rd Crop'!AM114</f>
        <v>5177.7000000000007</v>
      </c>
      <c r="AN114" s="344">
        <f>'BZ by State 1st Crop'!AN114+'BZ by State 2nd Crop'!AN114+'BZ by State 3rd Crop'!AN114</f>
        <v>4407.6000000000004</v>
      </c>
      <c r="AO114" s="344">
        <f>'BZ by State 1st Crop'!AO114+'BZ by State 2nd Crop'!AO114+'BZ by State 3rd Crop'!AO114</f>
        <v>2623.2</v>
      </c>
      <c r="AP114" s="344">
        <f>'BZ by State 1st Crop'!AP114+'BZ by State 2nd Crop'!AP114+'BZ by State 3rd Crop'!AP114</f>
        <v>5855.7000000000007</v>
      </c>
      <c r="AQ114" s="344">
        <f>'BZ by State 1st Crop'!AQ114+'BZ by State 2nd Crop'!AQ114+'BZ by State 3rd Crop'!AQ114</f>
        <v>5652</v>
      </c>
      <c r="AR114" s="344">
        <f>'BZ by State 1st Crop'!AR114+'BZ by State 2nd Crop'!AR114+'BZ by State 3rd Crop'!AR114</f>
        <v>5377.5</v>
      </c>
      <c r="AS114" s="344">
        <f>'BZ by State 1st Crop'!AS114+'BZ by State 2nd Crop'!AS114+'BZ by State 3rd Crop'!AS114</f>
        <v>6588.9000000000005</v>
      </c>
      <c r="AT114" s="344">
        <f>'BZ by State 1st Crop'!AT114+'BZ by State 2nd Crop'!AT114+'BZ by State 3rd Crop'!AT114</f>
        <v>3270.7794000000004</v>
      </c>
      <c r="AU114" s="344">
        <f>'BZ by State 1st Crop'!AU114+'BZ by State 2nd Crop'!AU114+'BZ by State 3rd Crop'!AU114</f>
        <v>4329.9025000000001</v>
      </c>
      <c r="AV114" s="344">
        <f>'BZ by State 1st Crop'!AV114+'BZ by State 2nd Crop'!AV114+'BZ by State 3rd Crop'!AV114</f>
        <v>4715.402</v>
      </c>
      <c r="AW114" s="344">
        <f>'BZ by State 1st Crop'!AW114+'BZ by State 2nd Crop'!AW114+'BZ by State 3rd Crop'!AW114</f>
        <v>3628.096</v>
      </c>
      <c r="AX114" s="344">
        <f>'BZ by State 1st Crop'!AX114+'BZ by State 2nd Crop'!AX114+'BZ by State 3rd Crop'!AX114</f>
        <v>4399.5920000000006</v>
      </c>
      <c r="AY114" s="365">
        <f>'BZ by State 1st Crop'!AY114+'BZ by State 2nd Crop'!AY114+'BZ by State 3rd Crop'!AY114</f>
        <v>4413.4097000000002</v>
      </c>
      <c r="AZ114" s="366">
        <f>'BZ by State 1st Crop'!AZ114+'BZ by State 2nd Crop'!AZ114+'BZ by State 3rd Crop'!AZ114</f>
        <v>4335.3576999999996</v>
      </c>
      <c r="BA114" s="366">
        <f>AZ114-AY114</f>
        <v>-78.052000000000589</v>
      </c>
      <c r="BB114" s="367">
        <f>AY114-AX114</f>
        <v>13.817699999999604</v>
      </c>
      <c r="BC114" s="368">
        <f>AZ114-AX114</f>
        <v>-64.234300000000985</v>
      </c>
      <c r="BD114" s="353">
        <f t="shared" si="1282"/>
        <v>-7.7598718881106254E-2</v>
      </c>
    </row>
    <row r="115" spans="1:59" s="311" customFormat="1" ht="15" customHeight="1" thickBot="1">
      <c r="A115" s="335" t="s">
        <v>384</v>
      </c>
      <c r="B115" s="358"/>
      <c r="C115" s="358"/>
      <c r="D115" s="358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  <c r="AA115" s="358"/>
      <c r="AB115" s="358"/>
      <c r="AC115" s="358"/>
      <c r="AD115" s="358"/>
      <c r="AE115" s="358"/>
      <c r="AF115" s="358"/>
      <c r="AG115" s="358"/>
      <c r="AH115" s="358"/>
      <c r="AI115" s="358"/>
      <c r="AJ115" s="358"/>
      <c r="AK115" s="358"/>
      <c r="AL115" s="358"/>
      <c r="AM115" s="358"/>
      <c r="AN115" s="358"/>
      <c r="AO115" s="358"/>
      <c r="AP115" s="358"/>
      <c r="AQ115" s="358"/>
      <c r="AR115" s="358"/>
      <c r="AS115" s="358"/>
      <c r="AT115" s="333"/>
      <c r="AU115" s="333"/>
      <c r="AV115" s="333"/>
      <c r="AW115" s="333"/>
      <c r="AX115" s="333"/>
      <c r="AY115" s="332"/>
      <c r="AZ115" s="333"/>
      <c r="BA115" s="333"/>
      <c r="BB115" s="332"/>
      <c r="BC115" s="333"/>
      <c r="BD115" s="334"/>
      <c r="BE115" s="309"/>
      <c r="BF115"/>
      <c r="BG115" s="308"/>
    </row>
    <row r="116" spans="1:59" s="311" customFormat="1" ht="15" customHeight="1">
      <c r="A116" s="324" t="s">
        <v>352</v>
      </c>
      <c r="B116" s="344">
        <f>'BZ by State 1st Crop'!B116+'BZ by State 2nd Crop'!B116+'BZ by State 3rd Crop'!B116</f>
        <v>4890.5</v>
      </c>
      <c r="C116" s="344">
        <f>'BZ by State 1st Crop'!C116+'BZ by State 2nd Crop'!C116+'BZ by State 3rd Crop'!C116</f>
        <v>4499</v>
      </c>
      <c r="D116" s="344">
        <f>'BZ by State 1st Crop'!D116+'BZ by State 2nd Crop'!D116+'BZ by State 3rd Crop'!D116</f>
        <v>5032</v>
      </c>
      <c r="E116" s="344">
        <f>'BZ by State 1st Crop'!E116+'BZ by State 2nd Crop'!E116+'BZ by State 3rd Crop'!E116</f>
        <v>4977.5</v>
      </c>
      <c r="F116" s="344">
        <f>'BZ by State 1st Crop'!F116+'BZ by State 2nd Crop'!F116+'BZ by State 3rd Crop'!F116</f>
        <v>4922</v>
      </c>
      <c r="G116" s="344">
        <f>'BZ by State 1st Crop'!G116+'BZ by State 2nd Crop'!G116+'BZ by State 3rd Crop'!G116</f>
        <v>5164</v>
      </c>
      <c r="H116" s="344">
        <f>'BZ by State 1st Crop'!H116+'BZ by State 2nd Crop'!H116+'BZ by State 3rd Crop'!H116</f>
        <v>5006</v>
      </c>
      <c r="I116" s="344">
        <f>'BZ by State 1st Crop'!I116+'BZ by State 2nd Crop'!I116+'BZ by State 3rd Crop'!I116</f>
        <v>5311</v>
      </c>
      <c r="J116" s="344">
        <f>'BZ by State 1st Crop'!J116+'BZ by State 2nd Crop'!J116+'BZ by State 3rd Crop'!J116</f>
        <v>5028</v>
      </c>
      <c r="K116" s="344">
        <f>'BZ by State 1st Crop'!K116+'BZ by State 2nd Crop'!K116+'BZ by State 3rd Crop'!K116</f>
        <v>5196</v>
      </c>
      <c r="L116" s="344">
        <f>'BZ by State 1st Crop'!L116+'BZ by State 2nd Crop'!L116+'BZ by State 3rd Crop'!L116</f>
        <v>5905.9</v>
      </c>
      <c r="M116" s="344">
        <f>'BZ by State 1st Crop'!M116+'BZ by State 2nd Crop'!M116+'BZ by State 3rd Crop'!M116</f>
        <v>4967.7</v>
      </c>
      <c r="N116" s="344">
        <f>'BZ by State 1st Crop'!N116+'BZ by State 2nd Crop'!N116+'BZ by State 3rd Crop'!N116</f>
        <v>4670</v>
      </c>
      <c r="O116" s="344">
        <f>'BZ by State 1st Crop'!O116+'BZ by State 2nd Crop'!O116+'BZ by State 3rd Crop'!O116</f>
        <v>4718</v>
      </c>
      <c r="P116" s="344">
        <f>'BZ by State 1st Crop'!P116+'BZ by State 2nd Crop'!P116+'BZ by State 3rd Crop'!P116</f>
        <v>5289.4</v>
      </c>
      <c r="Q116" s="344">
        <f>'BZ by State 1st Crop'!Q116+'BZ by State 2nd Crop'!Q116+'BZ by State 3rd Crop'!Q116</f>
        <v>5674.1</v>
      </c>
      <c r="R116" s="344">
        <f>'BZ by State 1st Crop'!R116+'BZ by State 2nd Crop'!R116+'BZ by State 3rd Crop'!R116</f>
        <v>5288.3</v>
      </c>
      <c r="S116" s="344">
        <f>'BZ by State 1st Crop'!S116+'BZ by State 2nd Crop'!S116+'BZ by State 3rd Crop'!S116</f>
        <v>5622.8</v>
      </c>
      <c r="T116" s="344">
        <f>'BZ by State 1st Crop'!T116+'BZ by State 2nd Crop'!T116+'BZ by State 3rd Crop'!T116</f>
        <v>5699.6</v>
      </c>
      <c r="U116" s="344">
        <f>'BZ by State 1st Crop'!U116+'BZ by State 2nd Crop'!U116+'BZ by State 3rd Crop'!U116</f>
        <v>5212.3</v>
      </c>
      <c r="V116" s="344">
        <f>'BZ by State 1st Crop'!V116+'BZ by State 2nd Crop'!V116+'BZ by State 3rd Crop'!V116</f>
        <v>5201.7</v>
      </c>
      <c r="W116" s="344">
        <f>'BZ by State 1st Crop'!W116+'BZ by State 2nd Crop'!W116+'BZ by State 3rd Crop'!W116</f>
        <v>4523.5</v>
      </c>
      <c r="X116" s="344">
        <f>'BZ by State 1st Crop'!X116+'BZ by State 2nd Crop'!X116+'BZ by State 3rd Crop'!X116</f>
        <v>4803.7</v>
      </c>
      <c r="Y116" s="344">
        <f>'BZ by State 1st Crop'!Y116+'BZ by State 2nd Crop'!Y116+'BZ by State 3rd Crop'!Y116</f>
        <v>5032.8999999999996</v>
      </c>
      <c r="Z116" s="344">
        <f>'BZ by State 1st Crop'!Z116+'BZ by State 2nd Crop'!Z116+'BZ by State 3rd Crop'!Z116</f>
        <v>5353.2</v>
      </c>
      <c r="AA116" s="344">
        <f>'BZ by State 1st Crop'!AA116+'BZ by State 2nd Crop'!AA116+'BZ by State 3rd Crop'!AA116</f>
        <v>4784.5</v>
      </c>
      <c r="AB116" s="344">
        <f>'BZ by State 1st Crop'!AB116+'BZ by State 2nd Crop'!AB116+'BZ by State 3rd Crop'!AB116</f>
        <v>5063.3</v>
      </c>
      <c r="AC116" s="344">
        <f>'BZ by State 1st Crop'!AC116+'BZ by State 2nd Crop'!AC116+'BZ by State 3rd Crop'!AC116</f>
        <v>4558</v>
      </c>
      <c r="AD116" s="344">
        <f>'BZ by State 1st Crop'!AD116+'BZ by State 2nd Crop'!AD116+'BZ by State 3rd Crop'!AD116</f>
        <v>4142.3999999999996</v>
      </c>
      <c r="AE116" s="344">
        <f>'BZ by State 1st Crop'!AE116+'BZ by State 2nd Crop'!AE116+'BZ by State 3rd Crop'!AE116</f>
        <v>4711.8999999999996</v>
      </c>
      <c r="AF116" s="344">
        <f>'BZ by State 1st Crop'!AF116+'BZ by State 2nd Crop'!AF116+'BZ by State 3rd Crop'!AF116</f>
        <v>4864.5</v>
      </c>
      <c r="AG116" s="344">
        <f>'BZ by State 1st Crop'!AG116+'BZ by State 2nd Crop'!AG116+'BZ by State 3rd Crop'!AG116</f>
        <v>5086.2</v>
      </c>
      <c r="AH116" s="344">
        <f>'BZ by State 1st Crop'!AH116+'BZ by State 2nd Crop'!AH116+'BZ by State 3rd Crop'!AH116</f>
        <v>4838.6000000000004</v>
      </c>
      <c r="AI116" s="344">
        <f>'BZ by State 1st Crop'!AI116+'BZ by State 2nd Crop'!AI116+'BZ by State 3rd Crop'!AI116</f>
        <v>3994.6</v>
      </c>
      <c r="AJ116" s="344">
        <f>'BZ by State 1st Crop'!AJ116+'BZ by State 2nd Crop'!AJ116+'BZ by State 3rd Crop'!AJ116</f>
        <v>4133.2</v>
      </c>
      <c r="AK116" s="344">
        <f>'BZ by State 1st Crop'!AK116+'BZ by State 2nd Crop'!AK116+'BZ by State 3rd Crop'!AK116</f>
        <v>4653</v>
      </c>
      <c r="AL116" s="344">
        <f>'BZ by State 1st Crop'!AL116+'BZ by State 2nd Crop'!AL116+'BZ by State 3rd Crop'!AL116</f>
        <v>4569.5999999999995</v>
      </c>
      <c r="AM116" s="344">
        <f>'BZ by State 1st Crop'!AM116+'BZ by State 2nd Crop'!AM116+'BZ by State 3rd Crop'!AM116</f>
        <v>4069.3</v>
      </c>
      <c r="AN116" s="344">
        <f>'BZ by State 1st Crop'!AN116+'BZ by State 2nd Crop'!AN116+'BZ by State 3rd Crop'!AN116</f>
        <v>3809.3</v>
      </c>
      <c r="AO116" s="344">
        <f>'BZ by State 1st Crop'!AO116+'BZ by State 2nd Crop'!AO116+'BZ by State 3rd Crop'!AO116</f>
        <v>3805.4</v>
      </c>
      <c r="AP116" s="344">
        <f>'BZ by State 1st Crop'!AP116+'BZ by State 2nd Crop'!AP116+'BZ by State 3rd Crop'!AP116</f>
        <v>4122.2000000000007</v>
      </c>
      <c r="AQ116" s="344">
        <f>'BZ by State 1st Crop'!AQ116+'BZ by State 2nd Crop'!AQ116+'BZ by State 3rd Crop'!AQ116</f>
        <v>3478.3</v>
      </c>
      <c r="AR116" s="344">
        <f>'BZ by State 1st Crop'!AR116+'BZ by State 2nd Crop'!AR116+'BZ by State 3rd Crop'!AR116</f>
        <v>3695.6</v>
      </c>
      <c r="AS116" s="344">
        <f>'BZ by State 1st Crop'!AS116+'BZ by State 2nd Crop'!AS116+'BZ by State 3rd Crop'!AS116</f>
        <v>3757.2</v>
      </c>
      <c r="AT116" s="344">
        <f>'BZ by State 1st Crop'!AT116+'BZ by State 2nd Crop'!AT116+'BZ by State 3rd Crop'!AT116</f>
        <v>4025.8</v>
      </c>
      <c r="AU116" s="344">
        <f>'BZ by State 1st Crop'!AU116+'BZ by State 2nd Crop'!AU116+'BZ by State 3rd Crop'!AU116</f>
        <v>4329.5</v>
      </c>
      <c r="AV116" s="344">
        <f>'BZ by State 1st Crop'!AV116+'BZ by State 2nd Crop'!AV116+'BZ by State 3rd Crop'!AV116</f>
        <v>3999.3</v>
      </c>
      <c r="AW116" s="344">
        <f>'BZ by State 1st Crop'!AW116+'BZ by State 2nd Crop'!AW116+'BZ by State 3rd Crop'!AW116</f>
        <v>3923.8</v>
      </c>
      <c r="AX116" s="344">
        <f>'BZ by State 1st Crop'!AX116+'BZ by State 2nd Crop'!AX116+'BZ by State 3rd Crop'!AX116</f>
        <v>4063.3</v>
      </c>
      <c r="AY116" s="369">
        <f>'BZ by State 1st Crop'!AY116+'BZ by State 2nd Crop'!AY116+'BZ by State 3rd Crop'!AY116</f>
        <v>4290.7000000000007</v>
      </c>
      <c r="AZ116" s="366">
        <f>AZ120+AZ124+AZ128</f>
        <v>4290.7</v>
      </c>
      <c r="BA116" s="366">
        <f>AZ116-AY116</f>
        <v>0</v>
      </c>
      <c r="BB116" s="367">
        <f>AY116-AX116</f>
        <v>227.40000000000055</v>
      </c>
      <c r="BC116" s="368">
        <f>AZ116-AX116</f>
        <v>227.39999999999964</v>
      </c>
      <c r="BD116" s="353">
        <f>(AX116/AS116)^(1/5)-1</f>
        <v>1.5787618546694748E-2</v>
      </c>
      <c r="BE116" s="309"/>
      <c r="BF116" s="319" t="b">
        <v>0</v>
      </c>
      <c r="BG116" s="308"/>
    </row>
    <row r="117" spans="1:59" s="311" customFormat="1" ht="15" customHeight="1">
      <c r="A117" s="318" t="s">
        <v>353</v>
      </c>
      <c r="B117" s="345">
        <f t="shared" ref="B117" si="1283">B118/B116*1000</f>
        <v>2041.7135262243123</v>
      </c>
      <c r="C117" s="345">
        <f t="shared" ref="C117" si="1284">C118/C116*1000</f>
        <v>510.11335852411645</v>
      </c>
      <c r="D117" s="345">
        <f t="shared" ref="D117" si="1285">D118/D116*1000</f>
        <v>400.63593004769479</v>
      </c>
      <c r="E117" s="345">
        <f t="shared" ref="E117" si="1286">E118/E116*1000</f>
        <v>480.96433952787544</v>
      </c>
      <c r="F117" s="345">
        <f t="shared" ref="F117" si="1287">F118/F116*1000</f>
        <v>323.64892320195042</v>
      </c>
      <c r="G117" s="345">
        <f t="shared" ref="G117" si="1288">G118/G116*1000</f>
        <v>528.07900852052671</v>
      </c>
      <c r="H117" s="345">
        <f t="shared" ref="H117" si="1289">H118/H116*1000</f>
        <v>170.79504594486616</v>
      </c>
      <c r="I117" s="345">
        <f t="shared" ref="I117" si="1290">I118/I116*1000</f>
        <v>555.82752777254757</v>
      </c>
      <c r="J117" s="345">
        <f t="shared" ref="J117" si="1291">J118/J116*1000</f>
        <v>225.53699284009545</v>
      </c>
      <c r="K117" s="345">
        <f t="shared" ref="K117" si="1292">K118/K116*1000</f>
        <v>502.30946882217086</v>
      </c>
      <c r="L117" s="345">
        <f t="shared" ref="L117" si="1293">L118/L116*1000</f>
        <v>176.77238016221068</v>
      </c>
      <c r="M117" s="345">
        <f t="shared" ref="M117" si="1294">M118/M116*1000</f>
        <v>625.03774382511028</v>
      </c>
      <c r="N117" s="345">
        <f t="shared" ref="N117" si="1295">N118/N116*1000</f>
        <v>659.10064239828694</v>
      </c>
      <c r="O117" s="345">
        <f t="shared" ref="O117" si="1296">O118/O116*1000</f>
        <v>330.01271725307333</v>
      </c>
      <c r="P117" s="345">
        <f t="shared" ref="P117" si="1297">P118/P116*1000</f>
        <v>603.52781033765643</v>
      </c>
      <c r="Q117" s="345">
        <f t="shared" ref="Q117" si="1298">Q118/Q116*1000</f>
        <v>376.23587881778604</v>
      </c>
      <c r="R117" s="345">
        <f t="shared" ref="R117" si="1299">R118/R116*1000</f>
        <v>335.94917081103569</v>
      </c>
      <c r="S117" s="345">
        <f t="shared" ref="S117" si="1300">S118/S116*1000</f>
        <v>661.21860994522308</v>
      </c>
      <c r="T117" s="345">
        <f t="shared" ref="T117" si="1301">T118/T116*1000</f>
        <v>667.15208084777873</v>
      </c>
      <c r="U117" s="345">
        <f t="shared" ref="U117" si="1302">U118/U116*1000</f>
        <v>785.64165531531182</v>
      </c>
      <c r="V117" s="345">
        <f t="shared" ref="V117" si="1303">V118/V116*1000</f>
        <v>627.5448411096371</v>
      </c>
      <c r="W117" s="345">
        <f t="shared" ref="W117" si="1304">W118/W116*1000</f>
        <v>417.61910025422793</v>
      </c>
      <c r="X117" s="345">
        <f t="shared" ref="X117" si="1305">X118/X116*1000</f>
        <v>551.01276099673169</v>
      </c>
      <c r="Y117" s="345">
        <f t="shared" ref="Y117" si="1306">Y118/Y116*1000</f>
        <v>560.79000178823344</v>
      </c>
      <c r="Z117" s="345">
        <f t="shared" ref="Z117" si="1307">Z118/Z116*1000</f>
        <v>521.18359112306655</v>
      </c>
      <c r="AA117" s="345">
        <f t="shared" ref="AA117" si="1308">AA118/AA116*1000</f>
        <v>610.40861114014001</v>
      </c>
      <c r="AB117" s="345">
        <f t="shared" ref="AB117" si="1309">AB118/AB116*1000</f>
        <v>736.23921158137966</v>
      </c>
      <c r="AC117" s="345">
        <f t="shared" ref="AC117" si="1310">AC118/AC116*1000</f>
        <v>849.84642387011831</v>
      </c>
      <c r="AD117" s="345">
        <f t="shared" ref="AD117" si="1311">AD118/AD116*1000</f>
        <v>880.14194669756682</v>
      </c>
      <c r="AE117" s="345">
        <f t="shared" ref="AE117" si="1312">AE118/AE116*1000</f>
        <v>810.6284089220909</v>
      </c>
      <c r="AF117" s="345">
        <f t="shared" ref="AF117" si="1313">AF118/AF116*1000</f>
        <v>827.19703977798338</v>
      </c>
      <c r="AG117" s="345">
        <f t="shared" ref="AG117" si="1314">AG118/AG116*1000</f>
        <v>867.75982069128224</v>
      </c>
      <c r="AH117" s="345">
        <f t="shared" ref="AH117" si="1315">AH118/AH116*1000</f>
        <v>937.64725333774231</v>
      </c>
      <c r="AI117" s="345">
        <f t="shared" ref="AI117" si="1316">AI118/AI116*1000</f>
        <v>1266.4346868272169</v>
      </c>
      <c r="AJ117" s="345">
        <f t="shared" ref="AJ117" si="1317">AJ118/AJ116*1000</f>
        <v>1915.5375979870321</v>
      </c>
      <c r="AK117" s="345">
        <f t="shared" ref="AK117" si="1318">AK118/AK116*1000</f>
        <v>1415.0870406189558</v>
      </c>
      <c r="AL117" s="345">
        <f t="shared" ref="AL117" si="1319">AL118/AL116*1000</f>
        <v>2578.9128151260511</v>
      </c>
      <c r="AM117" s="345">
        <f t="shared" ref="AM117" si="1320">AM118/AM116*1000</f>
        <v>3817.1429975671495</v>
      </c>
      <c r="AN117" s="345">
        <f t="shared" ref="AN117" si="1321">AN118/AN116*1000</f>
        <v>3471.1889323497758</v>
      </c>
      <c r="AO117" s="345">
        <f t="shared" ref="AO117" si="1322">AO118/AO116*1000</f>
        <v>2068.0086193304251</v>
      </c>
      <c r="AP117" s="345">
        <f t="shared" ref="AP117" si="1323">AP118/AP116*1000</f>
        <v>4261.5836203968747</v>
      </c>
      <c r="AQ117" s="345">
        <f t="shared" ref="AQ117" si="1324">AQ118/AQ116*1000</f>
        <v>4874.7951585544661</v>
      </c>
      <c r="AR117" s="345">
        <f t="shared" ref="AR117" si="1325">AR118/AR116*1000</f>
        <v>4365.3263340188332</v>
      </c>
      <c r="AS117" s="345">
        <f t="shared" ref="AS117" si="1326">AS118/AS116*1000</f>
        <v>5261.0188438198666</v>
      </c>
      <c r="AT117" s="345">
        <f t="shared" ref="AT117" si="1327">AT118/AT116*1000</f>
        <v>3970.553827810621</v>
      </c>
      <c r="AU117" s="345">
        <f t="shared" ref="AU117" si="1328">AU118/AU116*1000</f>
        <v>4958.5295761635298</v>
      </c>
      <c r="AV117" s="345">
        <f t="shared" ref="AV117" si="1329">AV118/AV116*1000</f>
        <v>6198.1215962793494</v>
      </c>
      <c r="AW117" s="345">
        <f t="shared" ref="AW117" si="1330">AW118/AW116*1000</f>
        <v>5662.1153473673467</v>
      </c>
      <c r="AX117" s="345">
        <f t="shared" ref="AX117" si="1331">AX118/AX116*1000</f>
        <v>7072.9210986144271</v>
      </c>
      <c r="AY117" s="346">
        <f t="shared" ref="AY117" si="1332">AY118/AY116*1000</f>
        <v>6567.8635187731597</v>
      </c>
      <c r="AZ117" s="347">
        <f>AZ118/AZ116*1000</f>
        <v>6292.6846202251381</v>
      </c>
      <c r="BA117" s="347">
        <f>AZ117-AY117</f>
        <v>-275.17889854802161</v>
      </c>
      <c r="BB117" s="351">
        <f>AY117-AX117</f>
        <v>-505.0575798412674</v>
      </c>
      <c r="BC117" s="352">
        <f>AZ117-AX117</f>
        <v>-780.236478389289</v>
      </c>
      <c r="BD117" s="353">
        <f t="shared" ref="BD117:BD118" si="1333">(AX117/AS117)^(1/5)-1</f>
        <v>6.0976564891474627E-2</v>
      </c>
      <c r="BE117" s="309"/>
      <c r="BF117"/>
      <c r="BG117" s="308"/>
    </row>
    <row r="118" spans="1:59" s="311" customFormat="1" ht="15" customHeight="1">
      <c r="A118" s="318" t="s">
        <v>354</v>
      </c>
      <c r="B118" s="344">
        <f>'BZ by State 1st Crop'!B118+'BZ by State 2nd Crop'!B118+'BZ by State 3rd Crop'!B118</f>
        <v>9985</v>
      </c>
      <c r="C118" s="344">
        <f>'BZ by State 1st Crop'!C118+'BZ by State 2nd Crop'!C118+'BZ by State 3rd Crop'!C118</f>
        <v>2295</v>
      </c>
      <c r="D118" s="344">
        <f>'BZ by State 1st Crop'!D118+'BZ by State 2nd Crop'!D118+'BZ by State 3rd Crop'!D118</f>
        <v>2016</v>
      </c>
      <c r="E118" s="344">
        <f>'BZ by State 1st Crop'!E118+'BZ by State 2nd Crop'!E118+'BZ by State 3rd Crop'!E118</f>
        <v>2394</v>
      </c>
      <c r="F118" s="344">
        <f>'BZ by State 1st Crop'!F118+'BZ by State 2nd Crop'!F118+'BZ by State 3rd Crop'!F118</f>
        <v>1593</v>
      </c>
      <c r="G118" s="344">
        <f>'BZ by State 1st Crop'!G118+'BZ by State 2nd Crop'!G118+'BZ by State 3rd Crop'!G118</f>
        <v>2727</v>
      </c>
      <c r="H118" s="344">
        <f>'BZ by State 1st Crop'!H118+'BZ by State 2nd Crop'!H118+'BZ by State 3rd Crop'!H118</f>
        <v>855</v>
      </c>
      <c r="I118" s="344">
        <f>'BZ by State 1st Crop'!I118+'BZ by State 2nd Crop'!I118+'BZ by State 3rd Crop'!I118</f>
        <v>2952</v>
      </c>
      <c r="J118" s="344">
        <f>'BZ by State 1st Crop'!J118+'BZ by State 2nd Crop'!J118+'BZ by State 3rd Crop'!J118</f>
        <v>1134</v>
      </c>
      <c r="K118" s="344">
        <f>'BZ by State 1st Crop'!K118+'BZ by State 2nd Crop'!K118+'BZ by State 3rd Crop'!K118</f>
        <v>2610</v>
      </c>
      <c r="L118" s="344">
        <f>'BZ by State 1st Crop'!L118+'BZ by State 2nd Crop'!L118+'BZ by State 3rd Crop'!L118</f>
        <v>1044</v>
      </c>
      <c r="M118" s="344">
        <f>'BZ by State 1st Crop'!M118+'BZ by State 2nd Crop'!M118+'BZ by State 3rd Crop'!M118</f>
        <v>3105</v>
      </c>
      <c r="N118" s="344">
        <f>'BZ by State 1st Crop'!N118+'BZ by State 2nd Crop'!N118+'BZ by State 3rd Crop'!N118</f>
        <v>3078</v>
      </c>
      <c r="O118" s="344">
        <f>'BZ by State 1st Crop'!O118+'BZ by State 2nd Crop'!O118+'BZ by State 3rd Crop'!O118</f>
        <v>1557</v>
      </c>
      <c r="P118" s="344">
        <f>'BZ by State 1st Crop'!P118+'BZ by State 2nd Crop'!P118+'BZ by State 3rd Crop'!P118</f>
        <v>3192.2999999999997</v>
      </c>
      <c r="Q118" s="344">
        <f>'BZ by State 1st Crop'!Q118+'BZ by State 2nd Crop'!Q118+'BZ by State 3rd Crop'!Q118</f>
        <v>2134.7999999999997</v>
      </c>
      <c r="R118" s="344">
        <f>'BZ by State 1st Crop'!R118+'BZ by State 2nd Crop'!R118+'BZ by State 3rd Crop'!R118</f>
        <v>1776.6000000000001</v>
      </c>
      <c r="S118" s="344">
        <f>'BZ by State 1st Crop'!S118+'BZ by State 2nd Crop'!S118+'BZ by State 3rd Crop'!S118</f>
        <v>3717.9000000000005</v>
      </c>
      <c r="T118" s="344">
        <f>'BZ by State 1st Crop'!T118+'BZ by State 2nd Crop'!T118+'BZ by State 3rd Crop'!T118</f>
        <v>3802.5</v>
      </c>
      <c r="U118" s="344">
        <f>'BZ by State 1st Crop'!U118+'BZ by State 2nd Crop'!U118+'BZ by State 3rd Crop'!U118</f>
        <v>4095</v>
      </c>
      <c r="V118" s="344">
        <f>'BZ by State 1st Crop'!V118+'BZ by State 2nd Crop'!V118+'BZ by State 3rd Crop'!V118</f>
        <v>3264.2999999999997</v>
      </c>
      <c r="W118" s="344">
        <f>'BZ by State 1st Crop'!W118+'BZ by State 2nd Crop'!W118+'BZ by State 3rd Crop'!W118</f>
        <v>1889.1000000000001</v>
      </c>
      <c r="X118" s="344">
        <f>'BZ by State 1st Crop'!X118+'BZ by State 2nd Crop'!X118+'BZ by State 3rd Crop'!X118</f>
        <v>2646.9</v>
      </c>
      <c r="Y118" s="344">
        <f>'BZ by State 1st Crop'!Y118+'BZ by State 2nd Crop'!Y118+'BZ by State 3rd Crop'!Y118</f>
        <v>2822.4</v>
      </c>
      <c r="Z118" s="344">
        <f>'BZ by State 1st Crop'!Z118+'BZ by State 2nd Crop'!Z118+'BZ by State 3rd Crop'!Z118</f>
        <v>2790</v>
      </c>
      <c r="AA118" s="344">
        <f>'BZ by State 1st Crop'!AA118+'BZ by State 2nd Crop'!AA118+'BZ by State 3rd Crop'!AA118</f>
        <v>2920.5</v>
      </c>
      <c r="AB118" s="344">
        <f>'BZ by State 1st Crop'!AB118+'BZ by State 2nd Crop'!AB118+'BZ by State 3rd Crop'!AB118</f>
        <v>3727.7999999999997</v>
      </c>
      <c r="AC118" s="344">
        <f>'BZ by State 1st Crop'!AC118+'BZ by State 2nd Crop'!AC118+'BZ by State 3rd Crop'!AC118</f>
        <v>3873.5999999999995</v>
      </c>
      <c r="AD118" s="344">
        <f>'BZ by State 1st Crop'!AD118+'BZ by State 2nd Crop'!AD118+'BZ by State 3rd Crop'!AD118</f>
        <v>3645.9000000000005</v>
      </c>
      <c r="AE118" s="344">
        <f>'BZ by State 1st Crop'!AE118+'BZ by State 2nd Crop'!AE118+'BZ by State 3rd Crop'!AE118</f>
        <v>3819.5999999999995</v>
      </c>
      <c r="AF118" s="344">
        <f>'BZ by State 1st Crop'!AF118+'BZ by State 2nd Crop'!AF118+'BZ by State 3rd Crop'!AF118</f>
        <v>4023.9000000000005</v>
      </c>
      <c r="AG118" s="344">
        <f>'BZ by State 1st Crop'!AG118+'BZ by State 2nd Crop'!AG118+'BZ by State 3rd Crop'!AG118</f>
        <v>4413.5999999999995</v>
      </c>
      <c r="AH118" s="344">
        <f>'BZ by State 1st Crop'!AH118+'BZ by State 2nd Crop'!AH118+'BZ by State 3rd Crop'!AH118</f>
        <v>4536.9000000000005</v>
      </c>
      <c r="AI118" s="344">
        <f>'BZ by State 1st Crop'!AI118+'BZ by State 2nd Crop'!AI118+'BZ by State 3rd Crop'!AI118</f>
        <v>5058.9000000000005</v>
      </c>
      <c r="AJ118" s="344">
        <f>'BZ by State 1st Crop'!AJ118+'BZ by State 2nd Crop'!AJ118+'BZ by State 3rd Crop'!AJ118</f>
        <v>7917.3000000000011</v>
      </c>
      <c r="AK118" s="344">
        <f>'BZ by State 1st Crop'!AK118+'BZ by State 2nd Crop'!AK118+'BZ by State 3rd Crop'!AK118</f>
        <v>6584.4000000000005</v>
      </c>
      <c r="AL118" s="344">
        <f>'BZ by State 1st Crop'!AL118+'BZ by State 2nd Crop'!AL118+'BZ by State 3rd Crop'!AL118</f>
        <v>11784.6</v>
      </c>
      <c r="AM118" s="344">
        <f>'BZ by State 1st Crop'!AM118+'BZ by State 2nd Crop'!AM118+'BZ by State 3rd Crop'!AM118</f>
        <v>15533.100000000002</v>
      </c>
      <c r="AN118" s="344">
        <f>'BZ by State 1st Crop'!AN118+'BZ by State 2nd Crop'!AN118+'BZ by State 3rd Crop'!AN118</f>
        <v>13222.800000000001</v>
      </c>
      <c r="AO118" s="344">
        <f>'BZ by State 1st Crop'!AO118+'BZ by State 2nd Crop'!AO118+'BZ by State 3rd Crop'!AO118</f>
        <v>7869.5999999999995</v>
      </c>
      <c r="AP118" s="344">
        <f>'BZ by State 1st Crop'!AP118+'BZ by State 2nd Crop'!AP118+'BZ by State 3rd Crop'!AP118</f>
        <v>17567.100000000002</v>
      </c>
      <c r="AQ118" s="344">
        <f>'BZ by State 1st Crop'!AQ118+'BZ by State 2nd Crop'!AQ118+'BZ by State 3rd Crop'!AQ118</f>
        <v>16956</v>
      </c>
      <c r="AR118" s="344">
        <f>'BZ by State 1st Crop'!AR118+'BZ by State 2nd Crop'!AR118+'BZ by State 3rd Crop'!AR118</f>
        <v>16132.5</v>
      </c>
      <c r="AS118" s="344">
        <f>'BZ by State 1st Crop'!AS118+'BZ by State 2nd Crop'!AS118+'BZ by State 3rd Crop'!AS118</f>
        <v>19766.7</v>
      </c>
      <c r="AT118" s="344">
        <f>'BZ by State 1st Crop'!AT118+'BZ by State 2nd Crop'!AT118+'BZ by State 3rd Crop'!AT118</f>
        <v>15984.6556</v>
      </c>
      <c r="AU118" s="344">
        <f>'BZ by State 1st Crop'!AU118+'BZ by State 2nd Crop'!AU118+'BZ by State 3rd Crop'!AU118</f>
        <v>21467.953800000003</v>
      </c>
      <c r="AV118" s="344">
        <f>'BZ by State 1st Crop'!AV118+'BZ by State 2nd Crop'!AV118+'BZ by State 3rd Crop'!AV118</f>
        <v>24788.147700000001</v>
      </c>
      <c r="AW118" s="344">
        <f>'BZ by State 1st Crop'!AW118+'BZ by State 2nd Crop'!AW118+'BZ by State 3rd Crop'!AW118</f>
        <v>22217.008199999997</v>
      </c>
      <c r="AX118" s="344">
        <f>'BZ by State 1st Crop'!AX118+'BZ by State 2nd Crop'!AX118+'BZ by State 3rd Crop'!AX118</f>
        <v>28739.400300000001</v>
      </c>
      <c r="AY118" s="365">
        <f>'BZ by State 1st Crop'!AY118+'BZ by State 2nd Crop'!AY118+'BZ by State 3rd Crop'!AY118</f>
        <v>28180.732</v>
      </c>
      <c r="AZ118" s="366">
        <f>AZ122+AZ126+AZ130</f>
        <v>27000.0219</v>
      </c>
      <c r="BA118" s="366">
        <f>AZ118-AY118</f>
        <v>-1180.7101000000002</v>
      </c>
      <c r="BB118" s="367">
        <f>AY118-AX118</f>
        <v>-558.66830000000118</v>
      </c>
      <c r="BC118" s="368">
        <f>AZ118-AX118</f>
        <v>-1739.3784000000014</v>
      </c>
      <c r="BD118" s="353">
        <f t="shared" si="1333"/>
        <v>7.7726858184963721E-2</v>
      </c>
      <c r="BE118" s="309"/>
      <c r="BF118"/>
      <c r="BG118" s="308"/>
    </row>
    <row r="119" spans="1:59" ht="15" customHeight="1">
      <c r="A119" s="320" t="s">
        <v>385</v>
      </c>
      <c r="B119" s="356"/>
      <c r="C119" s="356"/>
      <c r="D119" s="356"/>
      <c r="E119" s="356"/>
      <c r="F119" s="356"/>
      <c r="G119" s="356"/>
      <c r="H119" s="356"/>
      <c r="I119" s="356"/>
      <c r="J119" s="356"/>
      <c r="K119" s="356"/>
      <c r="L119" s="356"/>
      <c r="M119" s="356"/>
      <c r="N119" s="356"/>
      <c r="O119" s="356"/>
      <c r="P119" s="356"/>
      <c r="Q119" s="356"/>
      <c r="R119" s="356"/>
      <c r="S119" s="356"/>
      <c r="T119" s="356"/>
      <c r="U119" s="356"/>
      <c r="V119" s="356"/>
      <c r="W119" s="356"/>
      <c r="X119" s="356"/>
      <c r="Y119" s="356"/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28"/>
      <c r="AU119" s="328"/>
      <c r="AV119" s="328"/>
      <c r="AW119" s="328"/>
      <c r="AX119" s="328"/>
      <c r="AY119" s="321"/>
      <c r="AZ119" s="328"/>
      <c r="BA119" s="328"/>
      <c r="BB119" s="321"/>
      <c r="BC119" s="328"/>
      <c r="BD119" s="329"/>
    </row>
    <row r="120" spans="1:59" ht="15" customHeight="1">
      <c r="A120" s="324" t="s">
        <v>352</v>
      </c>
      <c r="B120" s="344">
        <f>'BZ by State 1st Crop'!B120+'BZ by State 2nd Crop'!B120+'BZ by State 3rd Crop'!B120</f>
        <v>2153.9</v>
      </c>
      <c r="C120" s="344">
        <f>'BZ by State 1st Crop'!C120+'BZ by State 2nd Crop'!C120+'BZ by State 3rd Crop'!C120</f>
        <v>1811</v>
      </c>
      <c r="D120" s="344">
        <f>'BZ by State 1st Crop'!D120+'BZ by State 2nd Crop'!D120+'BZ by State 3rd Crop'!D120</f>
        <v>2150</v>
      </c>
      <c r="E120" s="344">
        <f>'BZ by State 1st Crop'!E120+'BZ by State 2nd Crop'!E120+'BZ by State 3rd Crop'!E120</f>
        <v>2165</v>
      </c>
      <c r="F120" s="344">
        <f>'BZ by State 1st Crop'!F120+'BZ by State 2nd Crop'!F120+'BZ by State 3rd Crop'!F120</f>
        <v>2153</v>
      </c>
      <c r="G120" s="344">
        <f>'BZ by State 1st Crop'!G120+'BZ by State 2nd Crop'!G120+'BZ by State 3rd Crop'!G120</f>
        <v>2304</v>
      </c>
      <c r="H120" s="344">
        <f>'BZ by State 1st Crop'!H120+'BZ by State 2nd Crop'!H120+'BZ by State 3rd Crop'!H120</f>
        <v>2270</v>
      </c>
      <c r="I120" s="344">
        <f>'BZ by State 1st Crop'!I120+'BZ by State 2nd Crop'!I120+'BZ by State 3rd Crop'!I120</f>
        <v>2450</v>
      </c>
      <c r="J120" s="344">
        <f>'BZ by State 1st Crop'!J120+'BZ by State 2nd Crop'!J120+'BZ by State 3rd Crop'!J120</f>
        <v>2330</v>
      </c>
      <c r="K120" s="344">
        <f>'BZ by State 1st Crop'!K120+'BZ by State 2nd Crop'!K120+'BZ by State 3rd Crop'!K120</f>
        <v>2470</v>
      </c>
      <c r="L120" s="344">
        <f>'BZ by State 1st Crop'!L120+'BZ by State 2nd Crop'!L120+'BZ by State 3rd Crop'!L120</f>
        <v>2926.2</v>
      </c>
      <c r="M120" s="344">
        <f>'BZ by State 1st Crop'!M120+'BZ by State 2nd Crop'!M120+'BZ by State 3rd Crop'!M120</f>
        <v>2317</v>
      </c>
      <c r="N120" s="344">
        <f>'BZ by State 1st Crop'!N120+'BZ by State 2nd Crop'!N120+'BZ by State 3rd Crop'!N120</f>
        <v>2108</v>
      </c>
      <c r="O120" s="344">
        <f>'BZ by State 1st Crop'!O120+'BZ by State 2nd Crop'!O120+'BZ by State 3rd Crop'!O120</f>
        <v>2122</v>
      </c>
      <c r="P120" s="344">
        <f>'BZ by State 1st Crop'!P120+'BZ by State 2nd Crop'!P120+'BZ by State 3rd Crop'!P120</f>
        <v>2363</v>
      </c>
      <c r="Q120" s="344">
        <f>'BZ by State 1st Crop'!Q120+'BZ by State 2nd Crop'!Q120+'BZ by State 3rd Crop'!Q120</f>
        <v>2600</v>
      </c>
      <c r="R120" s="344">
        <f>'BZ by State 1st Crop'!R120+'BZ by State 2nd Crop'!R120+'BZ by State 3rd Crop'!R120</f>
        <v>2689</v>
      </c>
      <c r="S120" s="344">
        <f>'BZ by State 1st Crop'!S120+'BZ by State 2nd Crop'!S120+'BZ by State 3rd Crop'!S120</f>
        <v>2881</v>
      </c>
      <c r="T120" s="344">
        <f>'BZ by State 1st Crop'!T120+'BZ by State 2nd Crop'!T120+'BZ by State 3rd Crop'!T120</f>
        <v>2750</v>
      </c>
      <c r="U120" s="344">
        <f>'BZ by State 1st Crop'!U120+'BZ by State 2nd Crop'!U120+'BZ by State 3rd Crop'!U120</f>
        <v>2440.5</v>
      </c>
      <c r="V120" s="344">
        <f>'BZ by State 1st Crop'!V120+'BZ by State 2nd Crop'!V120+'BZ by State 3rd Crop'!V120</f>
        <v>2525</v>
      </c>
      <c r="W120" s="344">
        <f>'BZ by State 1st Crop'!W120+'BZ by State 2nd Crop'!W120+'BZ by State 3rd Crop'!W120</f>
        <v>2254.4</v>
      </c>
      <c r="X120" s="344">
        <f>'BZ by State 1st Crop'!X120+'BZ by State 2nd Crop'!X120+'BZ by State 3rd Crop'!X120</f>
        <v>2549.1999999999998</v>
      </c>
      <c r="Y120" s="344">
        <f>'BZ by State 1st Crop'!Y120+'BZ by State 2nd Crop'!Y120+'BZ by State 3rd Crop'!Y120</f>
        <v>2668.3</v>
      </c>
      <c r="Z120" s="344">
        <f>'BZ by State 1st Crop'!Z120+'BZ by State 2nd Crop'!Z120+'BZ by State 3rd Crop'!Z120</f>
        <v>2797</v>
      </c>
      <c r="AA120" s="344">
        <f>'BZ by State 1st Crop'!AA120+'BZ by State 2nd Crop'!AA120+'BZ by State 3rd Crop'!AA120</f>
        <v>2492.5</v>
      </c>
      <c r="AB120" s="344">
        <f>'BZ by State 1st Crop'!AB120+'BZ by State 2nd Crop'!AB120+'BZ by State 3rd Crop'!AB120</f>
        <v>2805.8</v>
      </c>
      <c r="AC120" s="344">
        <f>'BZ by State 1st Crop'!AC120+'BZ by State 2nd Crop'!AC120+'BZ by State 3rd Crop'!AC120</f>
        <v>2447.1</v>
      </c>
      <c r="AD120" s="344">
        <f>'BZ by State 1st Crop'!AD120+'BZ by State 2nd Crop'!AD120+'BZ by State 3rd Crop'!AD120</f>
        <v>2106.1</v>
      </c>
      <c r="AE120" s="344">
        <f>'BZ by State 1st Crop'!AE120+'BZ by State 2nd Crop'!AE120+'BZ by State 3rd Crop'!AE120</f>
        <v>2491.1000000000004</v>
      </c>
      <c r="AF120" s="344">
        <f>'BZ by State 1st Crop'!AF120+'BZ by State 2nd Crop'!AF120+'BZ by State 3rd Crop'!AF120</f>
        <v>2772.5</v>
      </c>
      <c r="AG120" s="344">
        <f>'BZ by State 1st Crop'!AG120+'BZ by State 2nd Crop'!AG120+'BZ by State 3rd Crop'!AG120</f>
        <v>2979.3999999999996</v>
      </c>
      <c r="AH120" s="344">
        <f>'BZ by State 1st Crop'!AH120+'BZ by State 2nd Crop'!AH120+'BZ by State 3rd Crop'!AH120</f>
        <v>2783</v>
      </c>
      <c r="AI120" s="344">
        <f>'BZ by State 1st Crop'!AI120+'BZ by State 2nd Crop'!AI120+'BZ by State 3rd Crop'!AI120</f>
        <v>2250.1</v>
      </c>
      <c r="AJ120" s="344">
        <f>'BZ by State 1st Crop'!AJ120+'BZ by State 2nd Crop'!AJ120+'BZ by State 3rd Crop'!AJ120</f>
        <v>2485.8000000000002</v>
      </c>
      <c r="AK120" s="344">
        <f>'BZ by State 1st Crop'!AK120+'BZ by State 2nd Crop'!AK120+'BZ by State 3rd Crop'!AK120</f>
        <v>3002.8</v>
      </c>
      <c r="AL120" s="344">
        <f>'BZ by State 1st Crop'!AL120+'BZ by State 2nd Crop'!AL120+'BZ by State 3rd Crop'!AL120</f>
        <v>3047.2999999999997</v>
      </c>
      <c r="AM120" s="344">
        <f>'BZ by State 1st Crop'!AM120+'BZ by State 2nd Crop'!AM120+'BZ by State 3rd Crop'!AM120</f>
        <v>2566.1999999999998</v>
      </c>
      <c r="AN120" s="344">
        <f>'BZ by State 1st Crop'!AN120+'BZ by State 2nd Crop'!AN120+'BZ by State 3rd Crop'!AN120</f>
        <v>2456.8000000000002</v>
      </c>
      <c r="AO120" s="344">
        <f>'BZ by State 1st Crop'!AO120+'BZ by State 2nd Crop'!AO120+'BZ by State 3rd Crop'!AO120</f>
        <v>2612.4</v>
      </c>
      <c r="AP120" s="344">
        <f>'BZ by State 1st Crop'!AP120+'BZ by State 2nd Crop'!AP120+'BZ by State 3rd Crop'!AP120</f>
        <v>2917</v>
      </c>
      <c r="AQ120" s="344">
        <f>'BZ by State 1st Crop'!AQ120+'BZ by State 2nd Crop'!AQ120+'BZ by State 3rd Crop'!AQ120</f>
        <v>2430.9</v>
      </c>
      <c r="AR120" s="344">
        <f>'BZ by State 1st Crop'!AR120+'BZ by State 2nd Crop'!AR120+'BZ by State 3rd Crop'!AR120</f>
        <v>2606.6999999999998</v>
      </c>
      <c r="AS120" s="344">
        <f>'BZ by State 1st Crop'!AS120+'BZ by State 2nd Crop'!AS120+'BZ by State 3rd Crop'!AS120</f>
        <v>2629.7999999999997</v>
      </c>
      <c r="AT120" s="344">
        <f>'BZ by State 1st Crop'!AT120+'BZ by State 2nd Crop'!AT120+'BZ by State 3rd Crop'!AT120</f>
        <v>2878</v>
      </c>
      <c r="AU120" s="344">
        <f>'BZ by State 1st Crop'!AU120+'BZ by State 2nd Crop'!AU120+'BZ by State 3rd Crop'!AU120</f>
        <v>3151.7000000000003</v>
      </c>
      <c r="AV120" s="344">
        <f>'BZ by State 1st Crop'!AV120+'BZ by State 2nd Crop'!AV120+'BZ by State 3rd Crop'!AV120</f>
        <v>2855.8</v>
      </c>
      <c r="AW120" s="344">
        <f>'BZ by State 1st Crop'!AW120+'BZ by State 2nd Crop'!AW120+'BZ by State 3rd Crop'!AW120</f>
        <v>2808.8</v>
      </c>
      <c r="AX120" s="344">
        <f>'BZ by State 1st Crop'!AX120+'BZ by State 2nd Crop'!AX120+'BZ by State 3rd Crop'!AX120</f>
        <v>3059.7000000000003</v>
      </c>
      <c r="AY120" s="369">
        <f>'BZ by State 1st Crop'!AY120+'BZ by State 2nd Crop'!AY120+'BZ by State 3rd Crop'!AY120</f>
        <v>3165.6</v>
      </c>
      <c r="AZ120" s="366">
        <f>'BZ by State 1st Crop'!AZ120+'BZ by State 2nd Crop'!AZ120+'BZ by State 3rd Crop'!AZ120</f>
        <v>3165.6</v>
      </c>
      <c r="BA120" s="366">
        <f>AZ120-AY120</f>
        <v>0</v>
      </c>
      <c r="BB120" s="367">
        <f>AY120-AX120</f>
        <v>105.89999999999964</v>
      </c>
      <c r="BC120" s="368">
        <f>AZ120-AX120</f>
        <v>105.89999999999964</v>
      </c>
      <c r="BD120" s="353">
        <f>(AX120/AS120)^(1/5)-1</f>
        <v>3.0744972270913884E-2</v>
      </c>
      <c r="BF120" s="319" t="b">
        <v>0</v>
      </c>
    </row>
    <row r="121" spans="1:59" ht="15" customHeight="1">
      <c r="A121" s="324" t="s">
        <v>353</v>
      </c>
      <c r="B121" s="345">
        <f t="shared" ref="B121" si="1334">B122/B120*1000</f>
        <v>2149.9605367008689</v>
      </c>
      <c r="C121" s="345">
        <f t="shared" ref="C121" si="1335">C122/C120*1000</f>
        <v>422.41855328547763</v>
      </c>
      <c r="D121" s="345">
        <f t="shared" ref="D121" si="1336">D122/D120*1000</f>
        <v>312.55813953488371</v>
      </c>
      <c r="E121" s="345">
        <f t="shared" ref="E121" si="1337">E122/E120*1000</f>
        <v>368.59122401847577</v>
      </c>
      <c r="F121" s="345">
        <f t="shared" ref="F121" si="1338">F122/F120*1000</f>
        <v>246.63260566651186</v>
      </c>
      <c r="G121" s="345">
        <f t="shared" ref="G121" si="1339">G122/G120*1000</f>
        <v>394.53125</v>
      </c>
      <c r="H121" s="345">
        <f t="shared" ref="H121" si="1340">H122/H120*1000</f>
        <v>125.55066079295155</v>
      </c>
      <c r="I121" s="345">
        <f t="shared" ref="I121" si="1341">I122/I120*1000</f>
        <v>401.63265306122446</v>
      </c>
      <c r="J121" s="345">
        <f t="shared" ref="J121" si="1342">J122/J120*1000</f>
        <v>162.23175965665234</v>
      </c>
      <c r="K121" s="345">
        <f t="shared" ref="K121" si="1343">K122/K120*1000</f>
        <v>352.22672064777328</v>
      </c>
      <c r="L121" s="345">
        <f t="shared" ref="L121" si="1344">L122/L120*1000</f>
        <v>118.92556899733444</v>
      </c>
      <c r="M121" s="345">
        <f t="shared" ref="M121" si="1345">M122/M120*1000</f>
        <v>446.69831678895122</v>
      </c>
      <c r="N121" s="345">
        <f t="shared" ref="N121" si="1346">N122/N120*1000</f>
        <v>486.71726755218214</v>
      </c>
      <c r="O121" s="345">
        <f t="shared" ref="O121" si="1347">O122/O120*1000</f>
        <v>244.58058435438267</v>
      </c>
      <c r="P121" s="345">
        <f t="shared" ref="P121" si="1348">P122/P120*1000</f>
        <v>450.31739314430803</v>
      </c>
      <c r="Q121" s="345">
        <f t="shared" ref="Q121" si="1349">Q122/Q120*1000</f>
        <v>273.69230769230768</v>
      </c>
      <c r="R121" s="345">
        <f t="shared" ref="R121" si="1350">R122/R120*1000</f>
        <v>220.23056898475272</v>
      </c>
      <c r="S121" s="345">
        <f t="shared" ref="S121" si="1351">S122/S120*1000</f>
        <v>430.16313779937525</v>
      </c>
      <c r="T121" s="345">
        <f t="shared" ref="T121" si="1352">T122/T120*1000</f>
        <v>460.90909090909093</v>
      </c>
      <c r="U121" s="345">
        <f t="shared" ref="U121" si="1353">U122/U120*1000</f>
        <v>559.31161647203442</v>
      </c>
      <c r="V121" s="345">
        <f t="shared" ref="V121" si="1354">V122/V120*1000</f>
        <v>430.93069306930687</v>
      </c>
      <c r="W121" s="345">
        <f t="shared" ref="W121" si="1355">W122/W120*1000</f>
        <v>279.32044002838899</v>
      </c>
      <c r="X121" s="345">
        <f t="shared" ref="X121" si="1356">X122/X120*1000</f>
        <v>346.10858308488946</v>
      </c>
      <c r="Y121" s="345">
        <f t="shared" ref="Y121" si="1357">Y122/Y120*1000</f>
        <v>352.58404227410711</v>
      </c>
      <c r="Z121" s="345">
        <f t="shared" ref="Z121" si="1358">Z122/Z120*1000</f>
        <v>332.4991061851984</v>
      </c>
      <c r="AA121" s="345">
        <f t="shared" ref="AA121" si="1359">AA122/AA120*1000</f>
        <v>390.57171514543631</v>
      </c>
      <c r="AB121" s="345">
        <f t="shared" ref="AB121" si="1360">AB122/AB120*1000</f>
        <v>442.8683441442725</v>
      </c>
      <c r="AC121" s="345">
        <f t="shared" ref="AC121" si="1361">AC122/AC120*1000</f>
        <v>527.64496751256581</v>
      </c>
      <c r="AD121" s="345">
        <f t="shared" ref="AD121" si="1362">AD122/AD120*1000</f>
        <v>577.03812734438077</v>
      </c>
      <c r="AE121" s="345">
        <f t="shared" ref="AE121" si="1363">AE122/AE120*1000</f>
        <v>511.09951427080392</v>
      </c>
      <c r="AF121" s="345">
        <f t="shared" ref="AF121" si="1364">AF122/AF120*1000</f>
        <v>483.78719567177643</v>
      </c>
      <c r="AG121" s="345">
        <f t="shared" ref="AG121" si="1365">AG122/AG120*1000</f>
        <v>493.79069611331141</v>
      </c>
      <c r="AH121" s="345">
        <f t="shared" ref="AH121" si="1366">AH122/AH120*1000</f>
        <v>543.40639597556594</v>
      </c>
      <c r="AI121" s="345">
        <f t="shared" ref="AI121" si="1367">AI122/AI120*1000</f>
        <v>749.43335851739937</v>
      </c>
      <c r="AJ121" s="345">
        <f t="shared" ref="AJ121" si="1368">AJ122/AJ120*1000</f>
        <v>1061.670287231475</v>
      </c>
      <c r="AK121" s="345">
        <f t="shared" ref="AK121" si="1369">AK122/AK120*1000</f>
        <v>730.91781004395898</v>
      </c>
      <c r="AL121" s="345">
        <f t="shared" ref="AL121" si="1370">AL122/AL120*1000</f>
        <v>1289.0755750992685</v>
      </c>
      <c r="AM121" s="345">
        <f t="shared" ref="AM121" si="1371">AM122/AM120*1000</f>
        <v>2017.652560205752</v>
      </c>
      <c r="AN121" s="345">
        <f t="shared" ref="AN121" si="1372">AN122/AN120*1000</f>
        <v>1794.041028980788</v>
      </c>
      <c r="AO121" s="345">
        <f t="shared" ref="AO121" si="1373">AO122/AO120*1000</f>
        <v>1004.1341295360586</v>
      </c>
      <c r="AP121" s="345">
        <f t="shared" ref="AP121" si="1374">AP122/AP120*1000</f>
        <v>2007.4391498114505</v>
      </c>
      <c r="AQ121" s="345">
        <f t="shared" ref="AQ121" si="1375">AQ122/AQ120*1000</f>
        <v>2325.0647908182154</v>
      </c>
      <c r="AR121" s="345">
        <f t="shared" ref="AR121" si="1376">AR122/AR120*1000</f>
        <v>2062.9531591667628</v>
      </c>
      <c r="AS121" s="345">
        <f t="shared" ref="AS121" si="1377">AS122/AS120*1000</f>
        <v>2505.4757015742648</v>
      </c>
      <c r="AT121" s="345">
        <f t="shared" ref="AT121" si="1378">AT122/AT120*1000</f>
        <v>3340.5706045865186</v>
      </c>
      <c r="AU121" s="345">
        <f t="shared" ref="AU121" si="1379">AU122/AU120*1000</f>
        <v>5210.3872830535902</v>
      </c>
      <c r="AV121" s="345">
        <f t="shared" ref="AV121" si="1380">AV122/AV120*1000</f>
        <v>6481.268891378948</v>
      </c>
      <c r="AW121" s="345">
        <f t="shared" ref="AW121" si="1381">AW122/AW120*1000</f>
        <v>5338.9110652235813</v>
      </c>
      <c r="AX121" s="345">
        <f t="shared" ref="AX121" si="1382">AX122/AX120*1000</f>
        <v>6601.0639278360622</v>
      </c>
      <c r="AY121" s="346">
        <f t="shared" ref="AY121:AZ121" si="1383">AY122/AY120*1000</f>
        <v>6367.4181513773065</v>
      </c>
      <c r="AZ121" s="347">
        <f t="shared" si="1383"/>
        <v>6070.4181513773065</v>
      </c>
      <c r="BA121" s="347">
        <f>AZ121-AY121</f>
        <v>-297</v>
      </c>
      <c r="BB121" s="351">
        <f>AY121-AX121</f>
        <v>-233.64577645875579</v>
      </c>
      <c r="BC121" s="352">
        <f>AZ121-AX121</f>
        <v>-530.64577645875579</v>
      </c>
      <c r="BD121" s="353">
        <f t="shared" ref="BD121:BD122" si="1384">(AX121/AS121)^(1/5)-1</f>
        <v>0.21379333572078085</v>
      </c>
    </row>
    <row r="122" spans="1:59" s="311" customFormat="1" ht="15" customHeight="1">
      <c r="A122" s="324" t="s">
        <v>354</v>
      </c>
      <c r="B122" s="344">
        <f>'BZ by State 1st Crop'!B122+'BZ by State 2nd Crop'!B122+'BZ by State 3rd Crop'!B122</f>
        <v>4630.8000000000011</v>
      </c>
      <c r="C122" s="344">
        <f>'BZ by State 1st Crop'!C122+'BZ by State 2nd Crop'!C122+'BZ by State 3rd Crop'!C122</f>
        <v>765</v>
      </c>
      <c r="D122" s="344">
        <f>'BZ by State 1st Crop'!D122+'BZ by State 2nd Crop'!D122+'BZ by State 3rd Crop'!D122</f>
        <v>672</v>
      </c>
      <c r="E122" s="344">
        <f>'BZ by State 1st Crop'!E122+'BZ by State 2nd Crop'!E122+'BZ by State 3rd Crop'!E122</f>
        <v>798</v>
      </c>
      <c r="F122" s="344">
        <f>'BZ by State 1st Crop'!F122+'BZ by State 2nd Crop'!F122+'BZ by State 3rd Crop'!F122</f>
        <v>531</v>
      </c>
      <c r="G122" s="344">
        <f>'BZ by State 1st Crop'!G122+'BZ by State 2nd Crop'!G122+'BZ by State 3rd Crop'!G122</f>
        <v>909</v>
      </c>
      <c r="H122" s="344">
        <f>'BZ by State 1st Crop'!H122+'BZ by State 2nd Crop'!H122+'BZ by State 3rd Crop'!H122</f>
        <v>285</v>
      </c>
      <c r="I122" s="344">
        <f>'BZ by State 1st Crop'!I122+'BZ by State 2nd Crop'!I122+'BZ by State 3rd Crop'!I122</f>
        <v>984</v>
      </c>
      <c r="J122" s="344">
        <f>'BZ by State 1st Crop'!J122+'BZ by State 2nd Crop'!J122+'BZ by State 3rd Crop'!J122</f>
        <v>378</v>
      </c>
      <c r="K122" s="344">
        <f>'BZ by State 1st Crop'!K122+'BZ by State 2nd Crop'!K122+'BZ by State 3rd Crop'!K122</f>
        <v>870</v>
      </c>
      <c r="L122" s="344">
        <f>'BZ by State 1st Crop'!L122+'BZ by State 2nd Crop'!L122+'BZ by State 3rd Crop'!L122</f>
        <v>348</v>
      </c>
      <c r="M122" s="344">
        <f>'BZ by State 1st Crop'!M122+'BZ by State 2nd Crop'!M122+'BZ by State 3rd Crop'!M122</f>
        <v>1035</v>
      </c>
      <c r="N122" s="344">
        <f>'BZ by State 1st Crop'!N122+'BZ by State 2nd Crop'!N122+'BZ by State 3rd Crop'!N122</f>
        <v>1026</v>
      </c>
      <c r="O122" s="344">
        <f>'BZ by State 1st Crop'!O122+'BZ by State 2nd Crop'!O122+'BZ by State 3rd Crop'!O122</f>
        <v>519</v>
      </c>
      <c r="P122" s="344">
        <f>'BZ by State 1st Crop'!P122+'BZ by State 2nd Crop'!P122+'BZ by State 3rd Crop'!P122</f>
        <v>1064.0999999999999</v>
      </c>
      <c r="Q122" s="344">
        <f>'BZ by State 1st Crop'!Q122+'BZ by State 2nd Crop'!Q122+'BZ by State 3rd Crop'!Q122</f>
        <v>711.59999999999991</v>
      </c>
      <c r="R122" s="344">
        <f>'BZ by State 1st Crop'!R122+'BZ by State 2nd Crop'!R122+'BZ by State 3rd Crop'!R122</f>
        <v>592.20000000000005</v>
      </c>
      <c r="S122" s="344">
        <f>'BZ by State 1st Crop'!S122+'BZ by State 2nd Crop'!S122+'BZ by State 3rd Crop'!S122</f>
        <v>1239.3000000000002</v>
      </c>
      <c r="T122" s="344">
        <f>'BZ by State 1st Crop'!T122+'BZ by State 2nd Crop'!T122+'BZ by State 3rd Crop'!T122</f>
        <v>1267.5</v>
      </c>
      <c r="U122" s="344">
        <f>'BZ by State 1st Crop'!U122+'BZ by State 2nd Crop'!U122+'BZ by State 3rd Crop'!U122</f>
        <v>1365</v>
      </c>
      <c r="V122" s="344">
        <f>'BZ by State 1st Crop'!V122+'BZ by State 2nd Crop'!V122+'BZ by State 3rd Crop'!V122</f>
        <v>1088.0999999999999</v>
      </c>
      <c r="W122" s="344">
        <f>'BZ by State 1st Crop'!W122+'BZ by State 2nd Crop'!W122+'BZ by State 3rd Crop'!W122</f>
        <v>629.70000000000005</v>
      </c>
      <c r="X122" s="344">
        <f>'BZ by State 1st Crop'!X122+'BZ by State 2nd Crop'!X122+'BZ by State 3rd Crop'!X122</f>
        <v>882.30000000000007</v>
      </c>
      <c r="Y122" s="344">
        <f>'BZ by State 1st Crop'!Y122+'BZ by State 2nd Crop'!Y122+'BZ by State 3rd Crop'!Y122</f>
        <v>940.80000000000007</v>
      </c>
      <c r="Z122" s="344">
        <f>'BZ by State 1st Crop'!Z122+'BZ by State 2nd Crop'!Z122+'BZ by State 3rd Crop'!Z122</f>
        <v>930</v>
      </c>
      <c r="AA122" s="344">
        <f>'BZ by State 1st Crop'!AA122+'BZ by State 2nd Crop'!AA122+'BZ by State 3rd Crop'!AA122</f>
        <v>973.5</v>
      </c>
      <c r="AB122" s="344">
        <f>'BZ by State 1st Crop'!AB122+'BZ by State 2nd Crop'!AB122+'BZ by State 3rd Crop'!AB122</f>
        <v>1242.5999999999999</v>
      </c>
      <c r="AC122" s="344">
        <f>'BZ by State 1st Crop'!AC122+'BZ by State 2nd Crop'!AC122+'BZ by State 3rd Crop'!AC122</f>
        <v>1291.1999999999998</v>
      </c>
      <c r="AD122" s="344">
        <f>'BZ by State 1st Crop'!AD122+'BZ by State 2nd Crop'!AD122+'BZ by State 3rd Crop'!AD122</f>
        <v>1215.3000000000002</v>
      </c>
      <c r="AE122" s="344">
        <f>'BZ by State 1st Crop'!AE122+'BZ by State 2nd Crop'!AE122+'BZ by State 3rd Crop'!AE122</f>
        <v>1273.1999999999998</v>
      </c>
      <c r="AF122" s="344">
        <f>'BZ by State 1st Crop'!AF122+'BZ by State 2nd Crop'!AF122+'BZ by State 3rd Crop'!AF122</f>
        <v>1341.3000000000002</v>
      </c>
      <c r="AG122" s="344">
        <f>'BZ by State 1st Crop'!AG122+'BZ by State 2nd Crop'!AG122+'BZ by State 3rd Crop'!AG122</f>
        <v>1471.1999999999998</v>
      </c>
      <c r="AH122" s="344">
        <f>'BZ by State 1st Crop'!AH122+'BZ by State 2nd Crop'!AH122+'BZ by State 3rd Crop'!AH122</f>
        <v>1512.3000000000002</v>
      </c>
      <c r="AI122" s="344">
        <f>'BZ by State 1st Crop'!AI122+'BZ by State 2nd Crop'!AI122+'BZ by State 3rd Crop'!AI122</f>
        <v>1686.3000000000002</v>
      </c>
      <c r="AJ122" s="344">
        <f>'BZ by State 1st Crop'!AJ122+'BZ by State 2nd Crop'!AJ122+'BZ by State 3rd Crop'!AJ122</f>
        <v>2639.1000000000004</v>
      </c>
      <c r="AK122" s="344">
        <f>'BZ by State 1st Crop'!AK122+'BZ by State 2nd Crop'!AK122+'BZ by State 3rd Crop'!AK122</f>
        <v>2194.8000000000002</v>
      </c>
      <c r="AL122" s="344">
        <f>'BZ by State 1st Crop'!AL122+'BZ by State 2nd Crop'!AL122+'BZ by State 3rd Crop'!AL122</f>
        <v>3928.2000000000003</v>
      </c>
      <c r="AM122" s="344">
        <f>'BZ by State 1st Crop'!AM122+'BZ by State 2nd Crop'!AM122+'BZ by State 3rd Crop'!AM122</f>
        <v>5177.7000000000007</v>
      </c>
      <c r="AN122" s="344">
        <f>'BZ by State 1st Crop'!AN122+'BZ by State 2nd Crop'!AN122+'BZ by State 3rd Crop'!AN122</f>
        <v>4407.6000000000004</v>
      </c>
      <c r="AO122" s="344">
        <f>'BZ by State 1st Crop'!AO122+'BZ by State 2nd Crop'!AO122+'BZ by State 3rd Crop'!AO122</f>
        <v>2623.2</v>
      </c>
      <c r="AP122" s="344">
        <f>'BZ by State 1st Crop'!AP122+'BZ by State 2nd Crop'!AP122+'BZ by State 3rd Crop'!AP122</f>
        <v>5855.7000000000007</v>
      </c>
      <c r="AQ122" s="344">
        <f>'BZ by State 1st Crop'!AQ122+'BZ by State 2nd Crop'!AQ122+'BZ by State 3rd Crop'!AQ122</f>
        <v>5652</v>
      </c>
      <c r="AR122" s="344">
        <f>'BZ by State 1st Crop'!AR122+'BZ by State 2nd Crop'!AR122+'BZ by State 3rd Crop'!AR122</f>
        <v>5377.5</v>
      </c>
      <c r="AS122" s="344">
        <f>'BZ by State 1st Crop'!AS122+'BZ by State 2nd Crop'!AS122+'BZ by State 3rd Crop'!AS122</f>
        <v>6588.9000000000005</v>
      </c>
      <c r="AT122" s="344">
        <f>'BZ by State 1st Crop'!AT122+'BZ by State 2nd Crop'!AT122+'BZ by State 3rd Crop'!AT122</f>
        <v>9614.1622000000007</v>
      </c>
      <c r="AU122" s="344">
        <f>'BZ by State 1st Crop'!AU122+'BZ by State 2nd Crop'!AU122+'BZ by State 3rd Crop'!AU122</f>
        <v>16421.577600000001</v>
      </c>
      <c r="AV122" s="344">
        <f>'BZ by State 1st Crop'!AV122+'BZ by State 2nd Crop'!AV122+'BZ by State 3rd Crop'!AV122</f>
        <v>18509.207699999999</v>
      </c>
      <c r="AW122" s="344">
        <f>'BZ by State 1st Crop'!AW122+'BZ by State 2nd Crop'!AW122+'BZ by State 3rd Crop'!AW122</f>
        <v>14995.933399999998</v>
      </c>
      <c r="AX122" s="344">
        <f>'BZ by State 1st Crop'!AX122+'BZ by State 2nd Crop'!AX122+'BZ by State 3rd Crop'!AX122</f>
        <v>20197.275300000001</v>
      </c>
      <c r="AY122" s="365">
        <f>'BZ by State 1st Crop'!AY122+'BZ by State 2nd Crop'!AY122+'BZ by State 3rd Crop'!AY122</f>
        <v>20156.698899999999</v>
      </c>
      <c r="AZ122" s="366">
        <f>'BZ by State 1st Crop'!AZ122+'BZ by State 2nd Crop'!AZ122+'BZ by State 3rd Crop'!AZ122</f>
        <v>19216.5157</v>
      </c>
      <c r="BA122" s="366">
        <f>AZ122-AY122</f>
        <v>-940.18319999999949</v>
      </c>
      <c r="BB122" s="367">
        <f>AY122-AX122</f>
        <v>-40.57640000000174</v>
      </c>
      <c r="BC122" s="368">
        <f>AZ122-AX122</f>
        <v>-980.75960000000123</v>
      </c>
      <c r="BD122" s="353">
        <f t="shared" si="1384"/>
        <v>0.25111137817013662</v>
      </c>
      <c r="BE122" s="309"/>
      <c r="BF122"/>
      <c r="BG122" s="308"/>
    </row>
    <row r="123" spans="1:59" ht="15" customHeight="1">
      <c r="A123" s="320" t="s">
        <v>386</v>
      </c>
      <c r="B123" s="356"/>
      <c r="C123" s="356"/>
      <c r="D123" s="356"/>
      <c r="E123" s="356"/>
      <c r="F123" s="356"/>
      <c r="G123" s="356"/>
      <c r="H123" s="356"/>
      <c r="I123" s="356"/>
      <c r="J123" s="356"/>
      <c r="K123" s="356"/>
      <c r="L123" s="356"/>
      <c r="M123" s="356"/>
      <c r="N123" s="356"/>
      <c r="O123" s="356"/>
      <c r="P123" s="356"/>
      <c r="Q123" s="356"/>
      <c r="R123" s="356"/>
      <c r="S123" s="356"/>
      <c r="T123" s="356"/>
      <c r="U123" s="356"/>
      <c r="V123" s="356"/>
      <c r="W123" s="356"/>
      <c r="X123" s="356"/>
      <c r="Y123" s="356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28"/>
      <c r="AU123" s="328"/>
      <c r="AV123" s="328"/>
      <c r="AW123" s="328"/>
      <c r="AX123" s="328"/>
      <c r="AY123" s="321"/>
      <c r="AZ123" s="328"/>
      <c r="BA123" s="328"/>
      <c r="BB123" s="321"/>
      <c r="BC123" s="328"/>
      <c r="BD123" s="329"/>
    </row>
    <row r="124" spans="1:59" ht="15" customHeight="1">
      <c r="A124" s="324" t="s">
        <v>352</v>
      </c>
      <c r="B124" s="344">
        <f>'BZ by State 1st Crop'!B124+'BZ by State 2nd Crop'!B124+'BZ by State 3rd Crop'!B124</f>
        <v>1063.5999999999999</v>
      </c>
      <c r="C124" s="344">
        <f>'BZ by State 1st Crop'!C124+'BZ by State 2nd Crop'!C124+'BZ by State 3rd Crop'!C124</f>
        <v>1037</v>
      </c>
      <c r="D124" s="344">
        <f>'BZ by State 1st Crop'!D124+'BZ by State 2nd Crop'!D124+'BZ by State 3rd Crop'!D124</f>
        <v>1097</v>
      </c>
      <c r="E124" s="344">
        <f>'BZ by State 1st Crop'!E124+'BZ by State 2nd Crop'!E124+'BZ by State 3rd Crop'!E124</f>
        <v>949</v>
      </c>
      <c r="F124" s="344">
        <f>'BZ by State 1st Crop'!F124+'BZ by State 2nd Crop'!F124+'BZ by State 3rd Crop'!F124</f>
        <v>950</v>
      </c>
      <c r="G124" s="344">
        <f>'BZ by State 1st Crop'!G124+'BZ by State 2nd Crop'!G124+'BZ by State 3rd Crop'!G124</f>
        <v>950</v>
      </c>
      <c r="H124" s="344">
        <f>'BZ by State 1st Crop'!H124+'BZ by State 2nd Crop'!H124+'BZ by State 3rd Crop'!H124</f>
        <v>921.5</v>
      </c>
      <c r="I124" s="344">
        <f>'BZ by State 1st Crop'!I124+'BZ by State 2nd Crop'!I124+'BZ by State 3rd Crop'!I124</f>
        <v>950</v>
      </c>
      <c r="J124" s="344">
        <f>'BZ by State 1st Crop'!J124+'BZ by State 2nd Crop'!J124+'BZ by State 3rd Crop'!J124</f>
        <v>940</v>
      </c>
      <c r="K124" s="344">
        <f>'BZ by State 1st Crop'!K124+'BZ by State 2nd Crop'!K124+'BZ by State 3rd Crop'!K124</f>
        <v>968</v>
      </c>
      <c r="L124" s="344">
        <f>'BZ by State 1st Crop'!L124+'BZ by State 2nd Crop'!L124+'BZ by State 3rd Crop'!L124</f>
        <v>1008</v>
      </c>
      <c r="M124" s="344">
        <f>'BZ by State 1st Crop'!M124+'BZ by State 2nd Crop'!M124+'BZ by State 3rd Crop'!M124</f>
        <v>967.7</v>
      </c>
      <c r="N124" s="344">
        <f>'BZ by State 1st Crop'!N124+'BZ by State 2nd Crop'!N124+'BZ by State 3rd Crop'!N124</f>
        <v>980</v>
      </c>
      <c r="O124" s="344">
        <f>'BZ by State 1st Crop'!O124+'BZ by State 2nd Crop'!O124+'BZ by State 3rd Crop'!O124</f>
        <v>950</v>
      </c>
      <c r="P124" s="344">
        <f>'BZ by State 1st Crop'!P124+'BZ by State 2nd Crop'!P124+'BZ by State 3rd Crop'!P124</f>
        <v>1050</v>
      </c>
      <c r="Q124" s="344">
        <f>'BZ by State 1st Crop'!Q124+'BZ by State 2nd Crop'!Q124+'BZ by State 3rd Crop'!Q124</f>
        <v>1064.0999999999999</v>
      </c>
      <c r="R124" s="344">
        <f>'BZ by State 1st Crop'!R124+'BZ by State 2nd Crop'!R124+'BZ by State 3rd Crop'!R124</f>
        <v>1031.5</v>
      </c>
      <c r="S124" s="344">
        <f>'BZ by State 1st Crop'!S124+'BZ by State 2nd Crop'!S124+'BZ by State 3rd Crop'!S124</f>
        <v>1041.8</v>
      </c>
      <c r="T124" s="344">
        <f>'BZ by State 1st Crop'!T124+'BZ by State 2nd Crop'!T124+'BZ by State 3rd Crop'!T124</f>
        <v>1062.5999999999999</v>
      </c>
      <c r="U124" s="344">
        <f>'BZ by State 1st Crop'!U124+'BZ by State 2nd Crop'!U124+'BZ by State 3rd Crop'!U124</f>
        <v>1016.9</v>
      </c>
      <c r="V124" s="344">
        <f>'BZ by State 1st Crop'!V124+'BZ by State 2nd Crop'!V124+'BZ by State 3rd Crop'!V124</f>
        <v>1027.0999999999999</v>
      </c>
      <c r="W124" s="344">
        <f>'BZ by State 1st Crop'!W124+'BZ by State 2nd Crop'!W124+'BZ by State 3rd Crop'!W124</f>
        <v>768</v>
      </c>
      <c r="X124" s="344">
        <f>'BZ by State 1st Crop'!X124+'BZ by State 2nd Crop'!X124+'BZ by State 3rd Crop'!X124</f>
        <v>783.4</v>
      </c>
      <c r="Y124" s="344">
        <f>'BZ by State 1st Crop'!Y124+'BZ by State 2nd Crop'!Y124+'BZ by State 3rd Crop'!Y124</f>
        <v>824.6</v>
      </c>
      <c r="Z124" s="344">
        <f>'BZ by State 1st Crop'!Z124+'BZ by State 2nd Crop'!Z124+'BZ by State 3rd Crop'!Z124</f>
        <v>893</v>
      </c>
      <c r="AA124" s="344">
        <f>'BZ by State 1st Crop'!AA124+'BZ by State 2nd Crop'!AA124+'BZ by State 3rd Crop'!AA124</f>
        <v>832</v>
      </c>
      <c r="AB124" s="344">
        <f>'BZ by State 1st Crop'!AB124+'BZ by State 2nd Crop'!AB124+'BZ by State 3rd Crop'!AB124</f>
        <v>848.6</v>
      </c>
      <c r="AC124" s="344">
        <f>'BZ by State 1st Crop'!AC124+'BZ by State 2nd Crop'!AC124+'BZ by State 3rd Crop'!AC124</f>
        <v>814.7</v>
      </c>
      <c r="AD124" s="344">
        <f>'BZ by State 1st Crop'!AD124+'BZ by State 2nd Crop'!AD124+'BZ by State 3rd Crop'!AD124</f>
        <v>798.4</v>
      </c>
      <c r="AE124" s="344">
        <f>'BZ by State 1st Crop'!AE124+'BZ by State 2nd Crop'!AE124+'BZ by State 3rd Crop'!AE124</f>
        <v>784.8</v>
      </c>
      <c r="AF124" s="344">
        <f>'BZ by State 1st Crop'!AF124+'BZ by State 2nd Crop'!AF124+'BZ by State 3rd Crop'!AF124</f>
        <v>706.3</v>
      </c>
      <c r="AG124" s="344">
        <f>'BZ by State 1st Crop'!AG124+'BZ by State 2nd Crop'!AG124+'BZ by State 3rd Crop'!AG124</f>
        <v>715.8</v>
      </c>
      <c r="AH124" s="344">
        <f>'BZ by State 1st Crop'!AH124+'BZ by State 2nd Crop'!AH124+'BZ by State 3rd Crop'!AH124</f>
        <v>667.1</v>
      </c>
      <c r="AI124" s="344">
        <f>'BZ by State 1st Crop'!AI124+'BZ by State 2nd Crop'!AI124+'BZ by State 3rd Crop'!AI124</f>
        <v>593.5</v>
      </c>
      <c r="AJ124" s="344">
        <f>'BZ by State 1st Crop'!AJ124+'BZ by State 2nd Crop'!AJ124+'BZ by State 3rd Crop'!AJ124</f>
        <v>548.20000000000005</v>
      </c>
      <c r="AK124" s="344">
        <f>'BZ by State 1st Crop'!AK124+'BZ by State 2nd Crop'!AK124+'BZ by State 3rd Crop'!AK124</f>
        <v>536.70000000000005</v>
      </c>
      <c r="AL124" s="344">
        <f>'BZ by State 1st Crop'!AL124+'BZ by State 2nd Crop'!AL124+'BZ by State 3rd Crop'!AL124</f>
        <v>489</v>
      </c>
      <c r="AM124" s="344">
        <f>'BZ by State 1st Crop'!AM124+'BZ by State 2nd Crop'!AM124+'BZ by State 3rd Crop'!AM124</f>
        <v>471.9</v>
      </c>
      <c r="AN124" s="344">
        <f>'BZ by State 1st Crop'!AN124+'BZ by State 2nd Crop'!AN124+'BZ by State 3rd Crop'!AN124</f>
        <v>411.5</v>
      </c>
      <c r="AO124" s="344">
        <f>'BZ by State 1st Crop'!AO124+'BZ by State 2nd Crop'!AO124+'BZ by State 3rd Crop'!AO124</f>
        <v>370</v>
      </c>
      <c r="AP124" s="344">
        <f>'BZ by State 1st Crop'!AP124+'BZ by State 2nd Crop'!AP124+'BZ by State 3rd Crop'!AP124</f>
        <v>400.3</v>
      </c>
      <c r="AQ124" s="344">
        <f>'BZ by State 1st Crop'!AQ124+'BZ by State 2nd Crop'!AQ124+'BZ by State 3rd Crop'!AQ124</f>
        <v>319</v>
      </c>
      <c r="AR124" s="344">
        <f>'BZ by State 1st Crop'!AR124+'BZ by State 2nd Crop'!AR124+'BZ by State 3rd Crop'!AR124</f>
        <v>335</v>
      </c>
      <c r="AS124" s="344">
        <f>'BZ by State 1st Crop'!AS124+'BZ by State 2nd Crop'!AS124+'BZ by State 3rd Crop'!AS124</f>
        <v>336</v>
      </c>
      <c r="AT124" s="344">
        <f>'BZ by State 1st Crop'!AT124+'BZ by State 2nd Crop'!AT124+'BZ by State 3rd Crop'!AT124</f>
        <v>346.1</v>
      </c>
      <c r="AU124" s="344">
        <f>'BZ by State 1st Crop'!AU124+'BZ by State 2nd Crop'!AU124+'BZ by State 3rd Crop'!AU124</f>
        <v>353.7</v>
      </c>
      <c r="AV124" s="344">
        <f>'BZ by State 1st Crop'!AV124+'BZ by State 2nd Crop'!AV124+'BZ by State 3rd Crop'!AV124</f>
        <v>312</v>
      </c>
      <c r="AW124" s="344">
        <f>'BZ by State 1st Crop'!AW124+'BZ by State 2nd Crop'!AW124+'BZ by State 3rd Crop'!AW124</f>
        <v>300.10000000000002</v>
      </c>
      <c r="AX124" s="344">
        <f>'BZ by State 1st Crop'!AX124+'BZ by State 2nd Crop'!AX124+'BZ by State 3rd Crop'!AX124</f>
        <v>288.10000000000002</v>
      </c>
      <c r="AY124" s="369">
        <f>'BZ by State 1st Crop'!AY124+'BZ by State 2nd Crop'!AY124+'BZ by State 3rd Crop'!AY124</f>
        <v>308</v>
      </c>
      <c r="AZ124" s="366">
        <f>'BZ by State 1st Crop'!AZ124+'BZ by State 2nd Crop'!AZ124+'BZ by State 3rd Crop'!AZ124</f>
        <v>308</v>
      </c>
      <c r="BA124" s="366">
        <f>AZ124-AY124</f>
        <v>0</v>
      </c>
      <c r="BB124" s="367">
        <f>AY124-AX124</f>
        <v>19.899999999999977</v>
      </c>
      <c r="BC124" s="368">
        <f>AZ124-AX124</f>
        <v>19.899999999999977</v>
      </c>
      <c r="BD124" s="353">
        <f>(AX124/AS124)^(1/5)-1</f>
        <v>-3.0292407125123266E-2</v>
      </c>
      <c r="BF124" s="319" t="b">
        <v>0</v>
      </c>
    </row>
    <row r="125" spans="1:59" ht="15" customHeight="1">
      <c r="A125" s="324" t="s">
        <v>353</v>
      </c>
      <c r="B125" s="345">
        <f t="shared" ref="B125" si="1385">B126/B124*1000</f>
        <v>2514.2910868747654</v>
      </c>
      <c r="C125" s="345">
        <f t="shared" ref="C125" si="1386">C126/C124*1000</f>
        <v>737.70491803278696</v>
      </c>
      <c r="D125" s="345">
        <f t="shared" ref="D125" si="1387">D126/D124*1000</f>
        <v>612.57976298997266</v>
      </c>
      <c r="E125" s="345">
        <f t="shared" ref="E125" si="1388">E126/E124*1000</f>
        <v>840.88514225500523</v>
      </c>
      <c r="F125" s="345">
        <f t="shared" ref="F125" si="1389">F126/F124*1000</f>
        <v>558.9473684210526</v>
      </c>
      <c r="G125" s="345">
        <f t="shared" ref="G125" si="1390">G126/G124*1000</f>
        <v>956.84210526315792</v>
      </c>
      <c r="H125" s="345">
        <f t="shared" ref="H125" si="1391">H126/H124*1000</f>
        <v>309.27835051546396</v>
      </c>
      <c r="I125" s="345">
        <f t="shared" ref="I125" si="1392">I126/I124*1000</f>
        <v>1035.7894736842106</v>
      </c>
      <c r="J125" s="345">
        <f t="shared" ref="J125" si="1393">J126/J124*1000</f>
        <v>402.12765957446811</v>
      </c>
      <c r="K125" s="345">
        <f t="shared" ref="K125" si="1394">K126/K124*1000</f>
        <v>898.76033057851237</v>
      </c>
      <c r="L125" s="345">
        <f t="shared" ref="L125" si="1395">L126/L124*1000</f>
        <v>345.23809523809524</v>
      </c>
      <c r="M125" s="345">
        <f t="shared" ref="M125" si="1396">M126/M124*1000</f>
        <v>1069.5463470083703</v>
      </c>
      <c r="N125" s="345">
        <f t="shared" ref="N125" si="1397">N126/N124*1000</f>
        <v>1046.9387755102039</v>
      </c>
      <c r="O125" s="345">
        <f t="shared" ref="O125" si="1398">O126/O124*1000</f>
        <v>546.31578947368416</v>
      </c>
      <c r="P125" s="345">
        <f t="shared" ref="P125" si="1399">P126/P124*1000</f>
        <v>1013.4285714285713</v>
      </c>
      <c r="Q125" s="345">
        <f t="shared" ref="Q125" si="1400">Q126/Q124*1000</f>
        <v>668.73414152805185</v>
      </c>
      <c r="R125" s="345">
        <f t="shared" ref="R125" si="1401">R126/R124*1000</f>
        <v>574.11536597188558</v>
      </c>
      <c r="S125" s="345">
        <f t="shared" ref="S125" si="1402">S126/S124*1000</f>
        <v>1189.5757343060091</v>
      </c>
      <c r="T125" s="345">
        <f t="shared" ref="T125" si="1403">T126/T124*1000</f>
        <v>1192.8289102202148</v>
      </c>
      <c r="U125" s="345">
        <f t="shared" ref="U125" si="1404">U126/U124*1000</f>
        <v>1342.3148785524634</v>
      </c>
      <c r="V125" s="345">
        <f t="shared" ref="V125" si="1405">V126/V124*1000</f>
        <v>1059.3905169895822</v>
      </c>
      <c r="W125" s="345">
        <f t="shared" ref="W125" si="1406">W126/W124*1000</f>
        <v>819.921875</v>
      </c>
      <c r="X125" s="345">
        <f t="shared" ref="X125" si="1407">X126/X124*1000</f>
        <v>1126.2445749297933</v>
      </c>
      <c r="Y125" s="345">
        <f t="shared" ref="Y125" si="1408">Y126/Y124*1000</f>
        <v>1140.9168081494058</v>
      </c>
      <c r="Z125" s="345">
        <f t="shared" ref="Z125" si="1409">Z126/Z124*1000</f>
        <v>1041.4333706606942</v>
      </c>
      <c r="AA125" s="345">
        <f t="shared" ref="AA125" si="1410">AA126/AA124*1000</f>
        <v>1170.0721153846155</v>
      </c>
      <c r="AB125" s="345">
        <f t="shared" ref="AB125" si="1411">AB126/AB124*1000</f>
        <v>1464.2941315107234</v>
      </c>
      <c r="AC125" s="345">
        <f t="shared" ref="AC125" si="1412">AC126/AC124*1000</f>
        <v>1584.8778691542896</v>
      </c>
      <c r="AD125" s="345">
        <f t="shared" ref="AD125" si="1413">AD126/AD124*1000</f>
        <v>1522.169338677355</v>
      </c>
      <c r="AE125" s="345">
        <f t="shared" ref="AE125" si="1414">AE126/AE124*1000</f>
        <v>1622.3241590214066</v>
      </c>
      <c r="AF125" s="345">
        <f t="shared" ref="AF125" si="1415">AF126/AF124*1000</f>
        <v>1899.0513945915336</v>
      </c>
      <c r="AG125" s="345">
        <f t="shared" ref="AG125" si="1416">AG126/AG124*1000</f>
        <v>2055.3227158424143</v>
      </c>
      <c r="AH125" s="345">
        <f t="shared" ref="AH125" si="1417">AH126/AH124*1000</f>
        <v>2266.9764652975564</v>
      </c>
      <c r="AI125" s="345">
        <f t="shared" ref="AI125" si="1418">AI126/AI124*1000</f>
        <v>2841.2805391743896</v>
      </c>
      <c r="AJ125" s="345">
        <f t="shared" ref="AJ125" si="1419">AJ126/AJ124*1000</f>
        <v>4814.118934695367</v>
      </c>
      <c r="AK125" s="345">
        <f t="shared" ref="AK125" si="1420">AK126/AK124*1000</f>
        <v>4089.4354387926219</v>
      </c>
      <c r="AL125" s="345">
        <f t="shared" ref="AL125" si="1421">AL126/AL124*1000</f>
        <v>8033.1288343558281</v>
      </c>
      <c r="AM125" s="345">
        <f t="shared" ref="AM125" si="1422">AM126/AM124*1000</f>
        <v>10972.027972027974</v>
      </c>
      <c r="AN125" s="345">
        <f t="shared" ref="AN125" si="1423">AN126/AN124*1000</f>
        <v>10711.057108140949</v>
      </c>
      <c r="AO125" s="345">
        <f t="shared" ref="AO125" si="1424">AO126/AO124*1000</f>
        <v>7089.7297297297291</v>
      </c>
      <c r="AP125" s="345">
        <f t="shared" ref="AP125" si="1425">AP126/AP124*1000</f>
        <v>14628.278790906821</v>
      </c>
      <c r="AQ125" s="345">
        <f t="shared" ref="AQ125" si="1426">AQ126/AQ124*1000</f>
        <v>17717.868338557993</v>
      </c>
      <c r="AR125" s="345">
        <f t="shared" ref="AR125" si="1427">AR126/AR124*1000</f>
        <v>16052.238805970148</v>
      </c>
      <c r="AS125" s="345">
        <f t="shared" ref="AS125" si="1428">AS126/AS124*1000</f>
        <v>19609.821428571428</v>
      </c>
      <c r="AT125" s="345">
        <f t="shared" ref="AT125" si="1429">AT126/AT124*1000</f>
        <v>5722</v>
      </c>
      <c r="AU125" s="345">
        <f t="shared" ref="AU125" si="1430">AU126/AU124*1000</f>
        <v>6066</v>
      </c>
      <c r="AV125" s="345">
        <f t="shared" ref="AV125" si="1431">AV126/AV124*1000</f>
        <v>8164</v>
      </c>
      <c r="AW125" s="345">
        <f t="shared" ref="AW125" si="1432">AW126/AW124*1000</f>
        <v>7899.9999999999991</v>
      </c>
      <c r="AX125" s="345">
        <f t="shared" ref="AX125" si="1433">AX126/AX124*1000</f>
        <v>10800</v>
      </c>
      <c r="AY125" s="346">
        <f t="shared" ref="AY125:AZ125" si="1434">AY126/AY124*1000</f>
        <v>8434</v>
      </c>
      <c r="AZ125" s="347">
        <f t="shared" si="1434"/>
        <v>8181.0000000000009</v>
      </c>
      <c r="BA125" s="347">
        <f>AZ125-AY125</f>
        <v>-252.99999999999909</v>
      </c>
      <c r="BB125" s="351">
        <f>AY125-AX125</f>
        <v>-2366</v>
      </c>
      <c r="BC125" s="352">
        <f>AZ125-AX125</f>
        <v>-2618.9999999999991</v>
      </c>
      <c r="BD125" s="353">
        <f t="shared" ref="BD125:BD126" si="1435">(AX125/AS125)^(1/5)-1</f>
        <v>-0.11245573247856688</v>
      </c>
    </row>
    <row r="126" spans="1:59" s="311" customFormat="1" ht="15" customHeight="1">
      <c r="A126" s="324" t="s">
        <v>354</v>
      </c>
      <c r="B126" s="344">
        <f>'BZ by State 1st Crop'!B126+'BZ by State 2nd Crop'!B126+'BZ by State 3rd Crop'!B126</f>
        <v>2674.2</v>
      </c>
      <c r="C126" s="344">
        <f>'BZ by State 1st Crop'!C126+'BZ by State 2nd Crop'!C126+'BZ by State 3rd Crop'!C126</f>
        <v>765</v>
      </c>
      <c r="D126" s="344">
        <f>'BZ by State 1st Crop'!D126+'BZ by State 2nd Crop'!D126+'BZ by State 3rd Crop'!D126</f>
        <v>672</v>
      </c>
      <c r="E126" s="344">
        <f>'BZ by State 1st Crop'!E126+'BZ by State 2nd Crop'!E126+'BZ by State 3rd Crop'!E126</f>
        <v>798</v>
      </c>
      <c r="F126" s="344">
        <f>'BZ by State 1st Crop'!F126+'BZ by State 2nd Crop'!F126+'BZ by State 3rd Crop'!F126</f>
        <v>531</v>
      </c>
      <c r="G126" s="344">
        <f>'BZ by State 1st Crop'!G126+'BZ by State 2nd Crop'!G126+'BZ by State 3rd Crop'!G126</f>
        <v>909</v>
      </c>
      <c r="H126" s="344">
        <f>'BZ by State 1st Crop'!H126+'BZ by State 2nd Crop'!H126+'BZ by State 3rd Crop'!H126</f>
        <v>285</v>
      </c>
      <c r="I126" s="344">
        <f>'BZ by State 1st Crop'!I126+'BZ by State 2nd Crop'!I126+'BZ by State 3rd Crop'!I126</f>
        <v>984</v>
      </c>
      <c r="J126" s="344">
        <f>'BZ by State 1st Crop'!J126+'BZ by State 2nd Crop'!J126+'BZ by State 3rd Crop'!J126</f>
        <v>378</v>
      </c>
      <c r="K126" s="344">
        <f>'BZ by State 1st Crop'!K126+'BZ by State 2nd Crop'!K126+'BZ by State 3rd Crop'!K126</f>
        <v>870</v>
      </c>
      <c r="L126" s="344">
        <f>'BZ by State 1st Crop'!L126+'BZ by State 2nd Crop'!L126+'BZ by State 3rd Crop'!L126</f>
        <v>348</v>
      </c>
      <c r="M126" s="344">
        <f>'BZ by State 1st Crop'!M126+'BZ by State 2nd Crop'!M126+'BZ by State 3rd Crop'!M126</f>
        <v>1035</v>
      </c>
      <c r="N126" s="344">
        <f>'BZ by State 1st Crop'!N126+'BZ by State 2nd Crop'!N126+'BZ by State 3rd Crop'!N126</f>
        <v>1026</v>
      </c>
      <c r="O126" s="344">
        <f>'BZ by State 1st Crop'!O126+'BZ by State 2nd Crop'!O126+'BZ by State 3rd Crop'!O126</f>
        <v>519</v>
      </c>
      <c r="P126" s="344">
        <f>'BZ by State 1st Crop'!P126+'BZ by State 2nd Crop'!P126+'BZ by State 3rd Crop'!P126</f>
        <v>1064.0999999999999</v>
      </c>
      <c r="Q126" s="344">
        <f>'BZ by State 1st Crop'!Q126+'BZ by State 2nd Crop'!Q126+'BZ by State 3rd Crop'!Q126</f>
        <v>711.59999999999991</v>
      </c>
      <c r="R126" s="344">
        <f>'BZ by State 1st Crop'!R126+'BZ by State 2nd Crop'!R126+'BZ by State 3rd Crop'!R126</f>
        <v>592.20000000000005</v>
      </c>
      <c r="S126" s="344">
        <f>'BZ by State 1st Crop'!S126+'BZ by State 2nd Crop'!S126+'BZ by State 3rd Crop'!S126</f>
        <v>1239.3000000000002</v>
      </c>
      <c r="T126" s="344">
        <f>'BZ by State 1st Crop'!T126+'BZ by State 2nd Crop'!T126+'BZ by State 3rd Crop'!T126</f>
        <v>1267.5</v>
      </c>
      <c r="U126" s="344">
        <f>'BZ by State 1st Crop'!U126+'BZ by State 2nd Crop'!U126+'BZ by State 3rd Crop'!U126</f>
        <v>1365</v>
      </c>
      <c r="V126" s="344">
        <f>'BZ by State 1st Crop'!V126+'BZ by State 2nd Crop'!V126+'BZ by State 3rd Crop'!V126</f>
        <v>1088.0999999999999</v>
      </c>
      <c r="W126" s="344">
        <f>'BZ by State 1st Crop'!W126+'BZ by State 2nd Crop'!W126+'BZ by State 3rd Crop'!W126</f>
        <v>629.70000000000005</v>
      </c>
      <c r="X126" s="344">
        <f>'BZ by State 1st Crop'!X126+'BZ by State 2nd Crop'!X126+'BZ by State 3rd Crop'!X126</f>
        <v>882.30000000000007</v>
      </c>
      <c r="Y126" s="344">
        <f>'BZ by State 1st Crop'!Y126+'BZ by State 2nd Crop'!Y126+'BZ by State 3rd Crop'!Y126</f>
        <v>940.80000000000007</v>
      </c>
      <c r="Z126" s="344">
        <f>'BZ by State 1st Crop'!Z126+'BZ by State 2nd Crop'!Z126+'BZ by State 3rd Crop'!Z126</f>
        <v>930</v>
      </c>
      <c r="AA126" s="344">
        <f>'BZ by State 1st Crop'!AA126+'BZ by State 2nd Crop'!AA126+'BZ by State 3rd Crop'!AA126</f>
        <v>973.5</v>
      </c>
      <c r="AB126" s="344">
        <f>'BZ by State 1st Crop'!AB126+'BZ by State 2nd Crop'!AB126+'BZ by State 3rd Crop'!AB126</f>
        <v>1242.5999999999999</v>
      </c>
      <c r="AC126" s="344">
        <f>'BZ by State 1st Crop'!AC126+'BZ by State 2nd Crop'!AC126+'BZ by State 3rd Crop'!AC126</f>
        <v>1291.1999999999998</v>
      </c>
      <c r="AD126" s="344">
        <f>'BZ by State 1st Crop'!AD126+'BZ by State 2nd Crop'!AD126+'BZ by State 3rd Crop'!AD126</f>
        <v>1215.3000000000002</v>
      </c>
      <c r="AE126" s="344">
        <f>'BZ by State 1st Crop'!AE126+'BZ by State 2nd Crop'!AE126+'BZ by State 3rd Crop'!AE126</f>
        <v>1273.1999999999998</v>
      </c>
      <c r="AF126" s="344">
        <f>'BZ by State 1st Crop'!AF126+'BZ by State 2nd Crop'!AF126+'BZ by State 3rd Crop'!AF126</f>
        <v>1341.3000000000002</v>
      </c>
      <c r="AG126" s="344">
        <f>'BZ by State 1st Crop'!AG126+'BZ by State 2nd Crop'!AG126+'BZ by State 3rd Crop'!AG126</f>
        <v>1471.1999999999998</v>
      </c>
      <c r="AH126" s="344">
        <f>'BZ by State 1st Crop'!AH126+'BZ by State 2nd Crop'!AH126+'BZ by State 3rd Crop'!AH126</f>
        <v>1512.3000000000002</v>
      </c>
      <c r="AI126" s="344">
        <f>'BZ by State 1st Crop'!AI126+'BZ by State 2nd Crop'!AI126+'BZ by State 3rd Crop'!AI126</f>
        <v>1686.3000000000002</v>
      </c>
      <c r="AJ126" s="344">
        <f>'BZ by State 1st Crop'!AJ126+'BZ by State 2nd Crop'!AJ126+'BZ by State 3rd Crop'!AJ126</f>
        <v>2639.1000000000004</v>
      </c>
      <c r="AK126" s="344">
        <f>'BZ by State 1st Crop'!AK126+'BZ by State 2nd Crop'!AK126+'BZ by State 3rd Crop'!AK126</f>
        <v>2194.8000000000002</v>
      </c>
      <c r="AL126" s="344">
        <f>'BZ by State 1st Crop'!AL126+'BZ by State 2nd Crop'!AL126+'BZ by State 3rd Crop'!AL126</f>
        <v>3928.2000000000003</v>
      </c>
      <c r="AM126" s="344">
        <f>'BZ by State 1st Crop'!AM126+'BZ by State 2nd Crop'!AM126+'BZ by State 3rd Crop'!AM126</f>
        <v>5177.7000000000007</v>
      </c>
      <c r="AN126" s="344">
        <f>'BZ by State 1st Crop'!AN126+'BZ by State 2nd Crop'!AN126+'BZ by State 3rd Crop'!AN126</f>
        <v>4407.6000000000004</v>
      </c>
      <c r="AO126" s="344">
        <f>'BZ by State 1st Crop'!AO126+'BZ by State 2nd Crop'!AO126+'BZ by State 3rd Crop'!AO126</f>
        <v>2623.2</v>
      </c>
      <c r="AP126" s="344">
        <f>'BZ by State 1st Crop'!AP126+'BZ by State 2nd Crop'!AP126+'BZ by State 3rd Crop'!AP126</f>
        <v>5855.7000000000007</v>
      </c>
      <c r="AQ126" s="344">
        <f>'BZ by State 1st Crop'!AQ126+'BZ by State 2nd Crop'!AQ126+'BZ by State 3rd Crop'!AQ126</f>
        <v>5652</v>
      </c>
      <c r="AR126" s="344">
        <f>'BZ by State 1st Crop'!AR126+'BZ by State 2nd Crop'!AR126+'BZ by State 3rd Crop'!AR126</f>
        <v>5377.5</v>
      </c>
      <c r="AS126" s="344">
        <f>'BZ by State 1st Crop'!AS126+'BZ by State 2nd Crop'!AS126+'BZ by State 3rd Crop'!AS126</f>
        <v>6588.9000000000005</v>
      </c>
      <c r="AT126" s="344">
        <f>'BZ by State 1st Crop'!AT126+'BZ by State 2nd Crop'!AT126+'BZ by State 3rd Crop'!AT126</f>
        <v>1980.3842000000002</v>
      </c>
      <c r="AU126" s="344">
        <f>'BZ by State 1st Crop'!AU126+'BZ by State 2nd Crop'!AU126+'BZ by State 3rd Crop'!AU126</f>
        <v>2145.5441999999998</v>
      </c>
      <c r="AV126" s="344">
        <f>'BZ by State 1st Crop'!AV126+'BZ by State 2nd Crop'!AV126+'BZ by State 3rd Crop'!AV126</f>
        <v>2547.1680000000001</v>
      </c>
      <c r="AW126" s="344">
        <f>'BZ by State 1st Crop'!AW126+'BZ by State 2nd Crop'!AW126+'BZ by State 3rd Crop'!AW126</f>
        <v>2370.79</v>
      </c>
      <c r="AX126" s="344">
        <f>'BZ by State 1st Crop'!AX126+'BZ by State 2nd Crop'!AX126+'BZ by State 3rd Crop'!AX126</f>
        <v>3111.4800000000005</v>
      </c>
      <c r="AY126" s="365">
        <f>'BZ by State 1st Crop'!AY126+'BZ by State 2nd Crop'!AY126+'BZ by State 3rd Crop'!AY126</f>
        <v>2597.672</v>
      </c>
      <c r="AZ126" s="366">
        <f>'BZ by State 1st Crop'!AZ126+'BZ by State 2nd Crop'!AZ126+'BZ by State 3rd Crop'!AZ126</f>
        <v>2519.748</v>
      </c>
      <c r="BA126" s="366">
        <f>AZ126-AY126</f>
        <v>-77.923999999999978</v>
      </c>
      <c r="BB126" s="367">
        <f>AY126-AX126</f>
        <v>-513.80800000000045</v>
      </c>
      <c r="BC126" s="368">
        <f>AZ126-AX126</f>
        <v>-591.73200000000043</v>
      </c>
      <c r="BD126" s="353">
        <f t="shared" si="1435"/>
        <v>-0.13934158477189551</v>
      </c>
      <c r="BE126" s="309"/>
      <c r="BF126"/>
      <c r="BG126" s="308"/>
    </row>
    <row r="127" spans="1:59" ht="15" customHeight="1">
      <c r="A127" s="320" t="s">
        <v>387</v>
      </c>
      <c r="B127" s="356"/>
      <c r="C127" s="356"/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6"/>
      <c r="Q127" s="356"/>
      <c r="R127" s="356"/>
      <c r="S127" s="356"/>
      <c r="T127" s="356"/>
      <c r="U127" s="356"/>
      <c r="V127" s="356"/>
      <c r="W127" s="356"/>
      <c r="X127" s="356"/>
      <c r="Y127" s="356"/>
      <c r="Z127" s="356"/>
      <c r="AA127" s="356"/>
      <c r="AB127" s="356"/>
      <c r="AC127" s="356"/>
      <c r="AD127" s="356"/>
      <c r="AE127" s="356"/>
      <c r="AF127" s="356"/>
      <c r="AG127" s="356"/>
      <c r="AH127" s="356"/>
      <c r="AI127" s="356"/>
      <c r="AJ127" s="356"/>
      <c r="AK127" s="356"/>
      <c r="AL127" s="356"/>
      <c r="AM127" s="356"/>
      <c r="AN127" s="356"/>
      <c r="AO127" s="356"/>
      <c r="AP127" s="356"/>
      <c r="AQ127" s="356"/>
      <c r="AR127" s="356"/>
      <c r="AS127" s="356"/>
      <c r="AT127" s="328"/>
      <c r="AU127" s="328"/>
      <c r="AV127" s="328"/>
      <c r="AW127" s="328"/>
      <c r="AX127" s="328"/>
      <c r="AY127" s="321"/>
      <c r="AZ127" s="328"/>
      <c r="BA127" s="328"/>
      <c r="BB127" s="321"/>
      <c r="BC127" s="328"/>
      <c r="BD127" s="329"/>
    </row>
    <row r="128" spans="1:59" ht="15" customHeight="1">
      <c r="A128" s="324" t="s">
        <v>352</v>
      </c>
      <c r="B128" s="344">
        <f>'BZ by State 1st Crop'!B128+'BZ by State 2nd Crop'!B128+'BZ by State 3rd Crop'!B128</f>
        <v>1673</v>
      </c>
      <c r="C128" s="344">
        <f>'BZ by State 1st Crop'!C128+'BZ by State 2nd Crop'!C128+'BZ by State 3rd Crop'!C128</f>
        <v>1651</v>
      </c>
      <c r="D128" s="344">
        <f>'BZ by State 1st Crop'!D128+'BZ by State 2nd Crop'!D128+'BZ by State 3rd Crop'!D128</f>
        <v>1785</v>
      </c>
      <c r="E128" s="344">
        <f>'BZ by State 1st Crop'!E128+'BZ by State 2nd Crop'!E128+'BZ by State 3rd Crop'!E128</f>
        <v>1863.5</v>
      </c>
      <c r="F128" s="344">
        <f>'BZ by State 1st Crop'!F128+'BZ by State 2nd Crop'!F128+'BZ by State 3rd Crop'!F128</f>
        <v>1819</v>
      </c>
      <c r="G128" s="344">
        <f>'BZ by State 1st Crop'!G128+'BZ by State 2nd Crop'!G128+'BZ by State 3rd Crop'!G128</f>
        <v>1910</v>
      </c>
      <c r="H128" s="344">
        <f>'BZ by State 1st Crop'!H128+'BZ by State 2nd Crop'!H128+'BZ by State 3rd Crop'!H128</f>
        <v>1814.5</v>
      </c>
      <c r="I128" s="344">
        <f>'BZ by State 1st Crop'!I128+'BZ by State 2nd Crop'!I128+'BZ by State 3rd Crop'!I128</f>
        <v>1911</v>
      </c>
      <c r="J128" s="344">
        <f>'BZ by State 1st Crop'!J128+'BZ by State 2nd Crop'!J128+'BZ by State 3rd Crop'!J128</f>
        <v>1758</v>
      </c>
      <c r="K128" s="344">
        <f>'BZ by State 1st Crop'!K128+'BZ by State 2nd Crop'!K128+'BZ by State 3rd Crop'!K128</f>
        <v>1758</v>
      </c>
      <c r="L128" s="344">
        <f>'BZ by State 1st Crop'!L128+'BZ by State 2nd Crop'!L128+'BZ by State 3rd Crop'!L128</f>
        <v>1971.7</v>
      </c>
      <c r="M128" s="344">
        <f>'BZ by State 1st Crop'!M128+'BZ by State 2nd Crop'!M128+'BZ by State 3rd Crop'!M128</f>
        <v>1683</v>
      </c>
      <c r="N128" s="344">
        <f>'BZ by State 1st Crop'!N128+'BZ by State 2nd Crop'!N128+'BZ by State 3rd Crop'!N128</f>
        <v>1582</v>
      </c>
      <c r="O128" s="344">
        <f>'BZ by State 1st Crop'!O128+'BZ by State 2nd Crop'!O128+'BZ by State 3rd Crop'!O128</f>
        <v>1646</v>
      </c>
      <c r="P128" s="344">
        <f>'BZ by State 1st Crop'!P128+'BZ by State 2nd Crop'!P128+'BZ by State 3rd Crop'!P128</f>
        <v>1876.4</v>
      </c>
      <c r="Q128" s="344">
        <f>'BZ by State 1st Crop'!Q128+'BZ by State 2nd Crop'!Q128+'BZ by State 3rd Crop'!Q128</f>
        <v>2010</v>
      </c>
      <c r="R128" s="344">
        <f>'BZ by State 1st Crop'!R128+'BZ by State 2nd Crop'!R128+'BZ by State 3rd Crop'!R128</f>
        <v>1567.8</v>
      </c>
      <c r="S128" s="344">
        <f>'BZ by State 1st Crop'!S128+'BZ by State 2nd Crop'!S128+'BZ by State 3rd Crop'!S128</f>
        <v>1700</v>
      </c>
      <c r="T128" s="344">
        <f>'BZ by State 1st Crop'!T128+'BZ by State 2nd Crop'!T128+'BZ by State 3rd Crop'!T128</f>
        <v>1887</v>
      </c>
      <c r="U128" s="344">
        <f>'BZ by State 1st Crop'!U128+'BZ by State 2nd Crop'!U128+'BZ by State 3rd Crop'!U128</f>
        <v>1754.9</v>
      </c>
      <c r="V128" s="344">
        <f>'BZ by State 1st Crop'!V128+'BZ by State 2nd Crop'!V128+'BZ by State 3rd Crop'!V128</f>
        <v>1649.6</v>
      </c>
      <c r="W128" s="344">
        <f>'BZ by State 1st Crop'!W128+'BZ by State 2nd Crop'!W128+'BZ by State 3rd Crop'!W128</f>
        <v>1501.1</v>
      </c>
      <c r="X128" s="344">
        <f>'BZ by State 1st Crop'!X128+'BZ by State 2nd Crop'!X128+'BZ by State 3rd Crop'!X128</f>
        <v>1471.1</v>
      </c>
      <c r="Y128" s="344">
        <f>'BZ by State 1st Crop'!Y128+'BZ by State 2nd Crop'!Y128+'BZ by State 3rd Crop'!Y128</f>
        <v>1540</v>
      </c>
      <c r="Z128" s="344">
        <f>'BZ by State 1st Crop'!Z128+'BZ by State 2nd Crop'!Z128+'BZ by State 3rd Crop'!Z128</f>
        <v>1663.2</v>
      </c>
      <c r="AA128" s="344">
        <f>'BZ by State 1st Crop'!AA128+'BZ by State 2nd Crop'!AA128+'BZ by State 3rd Crop'!AA128</f>
        <v>1460</v>
      </c>
      <c r="AB128" s="344">
        <f>'BZ by State 1st Crop'!AB128+'BZ by State 2nd Crop'!AB128+'BZ by State 3rd Crop'!AB128</f>
        <v>1408.9</v>
      </c>
      <c r="AC128" s="344">
        <f>'BZ by State 1st Crop'!AC128+'BZ by State 2nd Crop'!AC128+'BZ by State 3rd Crop'!AC128</f>
        <v>1296.2</v>
      </c>
      <c r="AD128" s="344">
        <f>'BZ by State 1st Crop'!AD128+'BZ by State 2nd Crop'!AD128+'BZ by State 3rd Crop'!AD128</f>
        <v>1237.9000000000001</v>
      </c>
      <c r="AE128" s="344">
        <f>'BZ by State 1st Crop'!AE128+'BZ by State 2nd Crop'!AE128+'BZ by State 3rd Crop'!AE128</f>
        <v>1436</v>
      </c>
      <c r="AF128" s="344">
        <f>'BZ by State 1st Crop'!AF128+'BZ by State 2nd Crop'!AF128+'BZ by State 3rd Crop'!AF128</f>
        <v>1385.7</v>
      </c>
      <c r="AG128" s="344">
        <f>'BZ by State 1st Crop'!AG128+'BZ by State 2nd Crop'!AG128+'BZ by State 3rd Crop'!AG128</f>
        <v>1391</v>
      </c>
      <c r="AH128" s="344">
        <f>'BZ by State 1st Crop'!AH128+'BZ by State 2nd Crop'!AH128+'BZ by State 3rd Crop'!AH128</f>
        <v>1388.5</v>
      </c>
      <c r="AI128" s="344">
        <f>'BZ by State 1st Crop'!AI128+'BZ by State 2nd Crop'!AI128+'BZ by State 3rd Crop'!AI128</f>
        <v>1151</v>
      </c>
      <c r="AJ128" s="344">
        <f>'BZ by State 1st Crop'!AJ128+'BZ by State 2nd Crop'!AJ128+'BZ by State 3rd Crop'!AJ128</f>
        <v>1099.2</v>
      </c>
      <c r="AK128" s="344">
        <f>'BZ by State 1st Crop'!AK128+'BZ by State 2nd Crop'!AK128+'BZ by State 3rd Crop'!AK128</f>
        <v>1113.5</v>
      </c>
      <c r="AL128" s="344">
        <f>'BZ by State 1st Crop'!AL128+'BZ by State 2nd Crop'!AL128+'BZ by State 3rd Crop'!AL128</f>
        <v>1033.3</v>
      </c>
      <c r="AM128" s="344">
        <f>'BZ by State 1st Crop'!AM128+'BZ by State 2nd Crop'!AM128+'BZ by State 3rd Crop'!AM128</f>
        <v>1031.2</v>
      </c>
      <c r="AN128" s="344">
        <f>'BZ by State 1st Crop'!AN128+'BZ by State 2nd Crop'!AN128+'BZ by State 3rd Crop'!AN128</f>
        <v>941</v>
      </c>
      <c r="AO128" s="344">
        <f>'BZ by State 1st Crop'!AO128+'BZ by State 2nd Crop'!AO128+'BZ by State 3rd Crop'!AO128</f>
        <v>823</v>
      </c>
      <c r="AP128" s="344">
        <f>'BZ by State 1st Crop'!AP128+'BZ by State 2nd Crop'!AP128+'BZ by State 3rd Crop'!AP128</f>
        <v>804.9</v>
      </c>
      <c r="AQ128" s="344">
        <f>'BZ by State 1st Crop'!AQ128+'BZ by State 2nd Crop'!AQ128+'BZ by State 3rd Crop'!AQ128</f>
        <v>728.4</v>
      </c>
      <c r="AR128" s="344">
        <f>'BZ by State 1st Crop'!AR128+'BZ by State 2nd Crop'!AR128+'BZ by State 3rd Crop'!AR128</f>
        <v>753.9</v>
      </c>
      <c r="AS128" s="344">
        <f>'BZ by State 1st Crop'!AS128+'BZ by State 2nd Crop'!AS128+'BZ by State 3rd Crop'!AS128</f>
        <v>791.4</v>
      </c>
      <c r="AT128" s="344">
        <f>'BZ by State 1st Crop'!AT128+'BZ by State 2nd Crop'!AT128+'BZ by State 3rd Crop'!AT128</f>
        <v>801.7</v>
      </c>
      <c r="AU128" s="344">
        <f>'BZ by State 1st Crop'!AU128+'BZ by State 2nd Crop'!AU128+'BZ by State 3rd Crop'!AU128</f>
        <v>824.1</v>
      </c>
      <c r="AV128" s="344">
        <f>'BZ by State 1st Crop'!AV128+'BZ by State 2nd Crop'!AV128+'BZ by State 3rd Crop'!AV128</f>
        <v>831.5</v>
      </c>
      <c r="AW128" s="344">
        <f>'BZ by State 1st Crop'!AW128+'BZ by State 2nd Crop'!AW128+'BZ by State 3rd Crop'!AW128</f>
        <v>814.9</v>
      </c>
      <c r="AX128" s="344">
        <f>'BZ by State 1st Crop'!AX128+'BZ by State 2nd Crop'!AX128+'BZ by State 3rd Crop'!AX128</f>
        <v>715.5</v>
      </c>
      <c r="AY128" s="369">
        <f>'BZ by State 1st Crop'!AY128+'BZ by State 2nd Crop'!AY128+'BZ by State 3rd Crop'!AY128</f>
        <v>817.1</v>
      </c>
      <c r="AZ128" s="366">
        <f>'BZ by State 1st Crop'!AZ128+'BZ by State 2nd Crop'!AZ128+'BZ by State 3rd Crop'!AZ128</f>
        <v>817.1</v>
      </c>
      <c r="BA128" s="366">
        <f>AZ128-AY128</f>
        <v>0</v>
      </c>
      <c r="BB128" s="367">
        <f>AY128-AX128</f>
        <v>101.60000000000002</v>
      </c>
      <c r="BC128" s="368">
        <f>AZ128-AX128</f>
        <v>101.60000000000002</v>
      </c>
      <c r="BD128" s="353">
        <f>(AX128/AS128)^(1/5)-1</f>
        <v>-1.9962444380389299E-2</v>
      </c>
      <c r="BF128" s="319" t="b">
        <v>0</v>
      </c>
    </row>
    <row r="129" spans="1:60" ht="15" customHeight="1">
      <c r="A129" s="324" t="s">
        <v>353</v>
      </c>
      <c r="B129" s="345">
        <f t="shared" ref="B129" si="1436">B130/B128*1000</f>
        <v>1601.9127316198442</v>
      </c>
      <c r="C129" s="345">
        <f t="shared" ref="C129" si="1437">C130/C128*1000</f>
        <v>463.35554209569955</v>
      </c>
      <c r="D129" s="345">
        <f t="shared" ref="D129" si="1438">D130/D128*1000</f>
        <v>376.47058823529409</v>
      </c>
      <c r="E129" s="345">
        <f t="shared" ref="E129" si="1439">E130/E128*1000</f>
        <v>428.22645559431174</v>
      </c>
      <c r="F129" s="345">
        <f t="shared" ref="F129" si="1440">F130/F128*1000</f>
        <v>291.91863661352392</v>
      </c>
      <c r="G129" s="345">
        <f t="shared" ref="G129" si="1441">G130/G128*1000</f>
        <v>475.91623036649219</v>
      </c>
      <c r="H129" s="345">
        <f t="shared" ref="H129" si="1442">H130/H128*1000</f>
        <v>157.06806282722513</v>
      </c>
      <c r="I129" s="345">
        <f t="shared" ref="I129" si="1443">I130/I128*1000</f>
        <v>514.91365777080068</v>
      </c>
      <c r="J129" s="345">
        <f t="shared" ref="J129" si="1444">J130/J128*1000</f>
        <v>215.01706484641639</v>
      </c>
      <c r="K129" s="345">
        <f t="shared" ref="K129" si="1445">K130/K128*1000</f>
        <v>494.88054607508531</v>
      </c>
      <c r="L129" s="345">
        <f t="shared" ref="L129" si="1446">L130/L128*1000</f>
        <v>176.4974387584318</v>
      </c>
      <c r="M129" s="345">
        <f t="shared" ref="M129" si="1447">M130/M128*1000</f>
        <v>614.97326203208559</v>
      </c>
      <c r="N129" s="345">
        <f t="shared" ref="N129" si="1448">N130/N128*1000</f>
        <v>648.54614412136539</v>
      </c>
      <c r="O129" s="345">
        <f t="shared" ref="O129" si="1449">O130/O128*1000</f>
        <v>315.30984204131232</v>
      </c>
      <c r="P129" s="345">
        <f t="shared" ref="P129" si="1450">P130/P128*1000</f>
        <v>567.09656789597091</v>
      </c>
      <c r="Q129" s="345">
        <f t="shared" ref="Q129" si="1451">Q130/Q128*1000</f>
        <v>354.02985074626866</v>
      </c>
      <c r="R129" s="345">
        <f t="shared" ref="R129" si="1452">R130/R128*1000</f>
        <v>377.72675086107927</v>
      </c>
      <c r="S129" s="345">
        <f t="shared" ref="S129" si="1453">S130/S128*1000</f>
        <v>729.00000000000011</v>
      </c>
      <c r="T129" s="345">
        <f t="shared" ref="T129" si="1454">T130/T128*1000</f>
        <v>671.70111287758345</v>
      </c>
      <c r="U129" s="345">
        <f t="shared" ref="U129" si="1455">U130/U128*1000</f>
        <v>777.82209812524923</v>
      </c>
      <c r="V129" s="345">
        <f t="shared" ref="V129" si="1456">V130/V128*1000</f>
        <v>659.61445198836077</v>
      </c>
      <c r="W129" s="345">
        <f t="shared" ref="W129" si="1457">W130/W128*1000</f>
        <v>419.49237226034245</v>
      </c>
      <c r="X129" s="345">
        <f t="shared" ref="X129" si="1458">X130/X128*1000</f>
        <v>599.75528516076417</v>
      </c>
      <c r="Y129" s="345">
        <f t="shared" ref="Y129" si="1459">Y130/Y128*1000</f>
        <v>610.90909090909099</v>
      </c>
      <c r="Z129" s="345">
        <f t="shared" ref="Z129" si="1460">Z130/Z128*1000</f>
        <v>559.16305916305919</v>
      </c>
      <c r="AA129" s="345">
        <f t="shared" ref="AA129" si="1461">AA130/AA128*1000</f>
        <v>666.78082191780823</v>
      </c>
      <c r="AB129" s="345">
        <f t="shared" ref="AB129" si="1462">AB130/AB128*1000</f>
        <v>881.96465327560486</v>
      </c>
      <c r="AC129" s="345">
        <f t="shared" ref="AC129" si="1463">AC130/AC128*1000</f>
        <v>996.14257059095803</v>
      </c>
      <c r="AD129" s="345">
        <f t="shared" ref="AD129" si="1464">AD130/AD128*1000</f>
        <v>981.74327490104224</v>
      </c>
      <c r="AE129" s="345">
        <f t="shared" ref="AE129" si="1465">AE130/AE128*1000</f>
        <v>886.62952646239546</v>
      </c>
      <c r="AF129" s="345">
        <f t="shared" ref="AF129" si="1466">AF130/AF128*1000</f>
        <v>967.95843256116052</v>
      </c>
      <c r="AG129" s="345">
        <f t="shared" ref="AG129" si="1467">AG130/AG128*1000</f>
        <v>1057.6563623292593</v>
      </c>
      <c r="AH129" s="345">
        <f t="shared" ref="AH129" si="1468">AH130/AH128*1000</f>
        <v>1089.1609650702198</v>
      </c>
      <c r="AI129" s="345">
        <f t="shared" ref="AI129" si="1469">AI130/AI128*1000</f>
        <v>1465.0738488271072</v>
      </c>
      <c r="AJ129" s="345">
        <f t="shared" ref="AJ129" si="1470">AJ130/AJ128*1000</f>
        <v>2400.9279475982535</v>
      </c>
      <c r="AK129" s="345">
        <f t="shared" ref="AK129" si="1471">AK130/AK128*1000</f>
        <v>1971.0821733273465</v>
      </c>
      <c r="AL129" s="345">
        <f t="shared" ref="AL129" si="1472">AL130/AL128*1000</f>
        <v>3801.6065034355952</v>
      </c>
      <c r="AM129" s="345">
        <f t="shared" ref="AM129" si="1473">AM130/AM128*1000</f>
        <v>5021.0434445306437</v>
      </c>
      <c r="AN129" s="345">
        <f t="shared" ref="AN129" si="1474">AN130/AN128*1000</f>
        <v>4683.9532412327317</v>
      </c>
      <c r="AO129" s="345">
        <f t="shared" ref="AO129" si="1475">AO130/AO128*1000</f>
        <v>3187.3633049817736</v>
      </c>
      <c r="AP129" s="345">
        <f t="shared" ref="AP129" si="1476">AP130/AP128*1000</f>
        <v>7275.0652254938514</v>
      </c>
      <c r="AQ129" s="345">
        <f t="shared" ref="AQ129" si="1477">AQ130/AQ128*1000</f>
        <v>7759.4728171334436</v>
      </c>
      <c r="AR129" s="345">
        <f t="shared" ref="AR129" si="1478">AR130/AR128*1000</f>
        <v>7132.9088738559485</v>
      </c>
      <c r="AS129" s="345">
        <f t="shared" ref="AS129" si="1479">AS130/AS128*1000</f>
        <v>8325.625473843822</v>
      </c>
      <c r="AT129" s="345">
        <f t="shared" ref="AT129" si="1480">AT130/AT128*1000</f>
        <v>5475.9999999999991</v>
      </c>
      <c r="AU129" s="345">
        <f t="shared" ref="AU129" si="1481">AU130/AU128*1000</f>
        <v>3519.9999999999995</v>
      </c>
      <c r="AV129" s="345">
        <f t="shared" ref="AV129" si="1482">AV130/AV128*1000</f>
        <v>4488</v>
      </c>
      <c r="AW129" s="345">
        <f t="shared" ref="AW129" si="1483">AW130/AW128*1000</f>
        <v>5951.9999999999991</v>
      </c>
      <c r="AX129" s="345">
        <f t="shared" ref="AX129" si="1484">AX130/AX128*1000</f>
        <v>7590.0000000000009</v>
      </c>
      <c r="AY129" s="346">
        <f t="shared" ref="AY129:AZ129" si="1485">AY130/AY128*1000</f>
        <v>6641.0000000000009</v>
      </c>
      <c r="AZ129" s="347">
        <f t="shared" si="1485"/>
        <v>6442</v>
      </c>
      <c r="BA129" s="347">
        <f>AZ129-AY129</f>
        <v>-199.00000000000091</v>
      </c>
      <c r="BB129" s="351">
        <f>AY129-AX129</f>
        <v>-949</v>
      </c>
      <c r="BC129" s="352">
        <f>AZ129-AX129</f>
        <v>-1148.0000000000009</v>
      </c>
      <c r="BD129" s="353">
        <f t="shared" ref="BD129:BD130" si="1486">(AX129/AS129)^(1/5)-1</f>
        <v>-1.833121603452148E-2</v>
      </c>
    </row>
    <row r="130" spans="1:60" s="311" customFormat="1" ht="15" customHeight="1" thickBot="1">
      <c r="A130" s="324" t="s">
        <v>354</v>
      </c>
      <c r="B130" s="344">
        <f>'BZ by State 1st Crop'!B130+'BZ by State 2nd Crop'!B130+'BZ by State 3rd Crop'!B130</f>
        <v>2679.9999999999995</v>
      </c>
      <c r="C130" s="344">
        <f>'BZ by State 1st Crop'!C130+'BZ by State 2nd Crop'!C130+'BZ by State 3rd Crop'!C130</f>
        <v>765</v>
      </c>
      <c r="D130" s="344">
        <f>'BZ by State 1st Crop'!D130+'BZ by State 2nd Crop'!D130+'BZ by State 3rd Crop'!D130</f>
        <v>672</v>
      </c>
      <c r="E130" s="344">
        <f>'BZ by State 1st Crop'!E130+'BZ by State 2nd Crop'!E130+'BZ by State 3rd Crop'!E130</f>
        <v>798</v>
      </c>
      <c r="F130" s="344">
        <f>'BZ by State 1st Crop'!F130+'BZ by State 2nd Crop'!F130+'BZ by State 3rd Crop'!F130</f>
        <v>531</v>
      </c>
      <c r="G130" s="344">
        <f>'BZ by State 1st Crop'!G130+'BZ by State 2nd Crop'!G130+'BZ by State 3rd Crop'!G130</f>
        <v>909</v>
      </c>
      <c r="H130" s="344">
        <f>'BZ by State 1st Crop'!H130+'BZ by State 2nd Crop'!H130+'BZ by State 3rd Crop'!H130</f>
        <v>285</v>
      </c>
      <c r="I130" s="344">
        <f>'BZ by State 1st Crop'!I130+'BZ by State 2nd Crop'!I130+'BZ by State 3rd Crop'!I130</f>
        <v>984</v>
      </c>
      <c r="J130" s="344">
        <f>'BZ by State 1st Crop'!J130+'BZ by State 2nd Crop'!J130+'BZ by State 3rd Crop'!J130</f>
        <v>378</v>
      </c>
      <c r="K130" s="344">
        <f>'BZ by State 1st Crop'!K130+'BZ by State 2nd Crop'!K130+'BZ by State 3rd Crop'!K130</f>
        <v>870</v>
      </c>
      <c r="L130" s="344">
        <f>'BZ by State 1st Crop'!L130+'BZ by State 2nd Crop'!L130+'BZ by State 3rd Crop'!L130</f>
        <v>348</v>
      </c>
      <c r="M130" s="344">
        <f>'BZ by State 1st Crop'!M130+'BZ by State 2nd Crop'!M130+'BZ by State 3rd Crop'!M130</f>
        <v>1035</v>
      </c>
      <c r="N130" s="344">
        <f>'BZ by State 1st Crop'!N130+'BZ by State 2nd Crop'!N130+'BZ by State 3rd Crop'!N130</f>
        <v>1026</v>
      </c>
      <c r="O130" s="344">
        <f>'BZ by State 1st Crop'!O130+'BZ by State 2nd Crop'!O130+'BZ by State 3rd Crop'!O130</f>
        <v>519</v>
      </c>
      <c r="P130" s="344">
        <f>'BZ by State 1st Crop'!P130+'BZ by State 2nd Crop'!P130+'BZ by State 3rd Crop'!P130</f>
        <v>1064.0999999999999</v>
      </c>
      <c r="Q130" s="344">
        <f>'BZ by State 1st Crop'!Q130+'BZ by State 2nd Crop'!Q130+'BZ by State 3rd Crop'!Q130</f>
        <v>711.59999999999991</v>
      </c>
      <c r="R130" s="344">
        <f>'BZ by State 1st Crop'!R130+'BZ by State 2nd Crop'!R130+'BZ by State 3rd Crop'!R130</f>
        <v>592.20000000000005</v>
      </c>
      <c r="S130" s="344">
        <f>'BZ by State 1st Crop'!S130+'BZ by State 2nd Crop'!S130+'BZ by State 3rd Crop'!S130</f>
        <v>1239.3000000000002</v>
      </c>
      <c r="T130" s="344">
        <f>'BZ by State 1st Crop'!T130+'BZ by State 2nd Crop'!T130+'BZ by State 3rd Crop'!T130</f>
        <v>1267.5</v>
      </c>
      <c r="U130" s="344">
        <f>'BZ by State 1st Crop'!U130+'BZ by State 2nd Crop'!U130+'BZ by State 3rd Crop'!U130</f>
        <v>1365</v>
      </c>
      <c r="V130" s="344">
        <f>'BZ by State 1st Crop'!V130+'BZ by State 2nd Crop'!V130+'BZ by State 3rd Crop'!V130</f>
        <v>1088.0999999999999</v>
      </c>
      <c r="W130" s="344">
        <f>'BZ by State 1st Crop'!W130+'BZ by State 2nd Crop'!W130+'BZ by State 3rd Crop'!W130</f>
        <v>629.70000000000005</v>
      </c>
      <c r="X130" s="344">
        <f>'BZ by State 1st Crop'!X130+'BZ by State 2nd Crop'!X130+'BZ by State 3rd Crop'!X130</f>
        <v>882.30000000000007</v>
      </c>
      <c r="Y130" s="344">
        <f>'BZ by State 1st Crop'!Y130+'BZ by State 2nd Crop'!Y130+'BZ by State 3rd Crop'!Y130</f>
        <v>940.80000000000007</v>
      </c>
      <c r="Z130" s="344">
        <f>'BZ by State 1st Crop'!Z130+'BZ by State 2nd Crop'!Z130+'BZ by State 3rd Crop'!Z130</f>
        <v>930</v>
      </c>
      <c r="AA130" s="344">
        <f>'BZ by State 1st Crop'!AA130+'BZ by State 2nd Crop'!AA130+'BZ by State 3rd Crop'!AA130</f>
        <v>973.5</v>
      </c>
      <c r="AB130" s="344">
        <f>'BZ by State 1st Crop'!AB130+'BZ by State 2nd Crop'!AB130+'BZ by State 3rd Crop'!AB130</f>
        <v>1242.5999999999999</v>
      </c>
      <c r="AC130" s="344">
        <f>'BZ by State 1st Crop'!AC130+'BZ by State 2nd Crop'!AC130+'BZ by State 3rd Crop'!AC130</f>
        <v>1291.1999999999998</v>
      </c>
      <c r="AD130" s="344">
        <f>'BZ by State 1st Crop'!AD130+'BZ by State 2nd Crop'!AD130+'BZ by State 3rd Crop'!AD130</f>
        <v>1215.3000000000002</v>
      </c>
      <c r="AE130" s="344">
        <f>'BZ by State 1st Crop'!AE130+'BZ by State 2nd Crop'!AE130+'BZ by State 3rd Crop'!AE130</f>
        <v>1273.1999999999998</v>
      </c>
      <c r="AF130" s="344">
        <f>'BZ by State 1st Crop'!AF130+'BZ by State 2nd Crop'!AF130+'BZ by State 3rd Crop'!AF130</f>
        <v>1341.3000000000002</v>
      </c>
      <c r="AG130" s="344">
        <f>'BZ by State 1st Crop'!AG130+'BZ by State 2nd Crop'!AG130+'BZ by State 3rd Crop'!AG130</f>
        <v>1471.1999999999998</v>
      </c>
      <c r="AH130" s="344">
        <f>'BZ by State 1st Crop'!AH130+'BZ by State 2nd Crop'!AH130+'BZ by State 3rd Crop'!AH130</f>
        <v>1512.3000000000002</v>
      </c>
      <c r="AI130" s="344">
        <f>'BZ by State 1st Crop'!AI130+'BZ by State 2nd Crop'!AI130+'BZ by State 3rd Crop'!AI130</f>
        <v>1686.3000000000002</v>
      </c>
      <c r="AJ130" s="344">
        <f>'BZ by State 1st Crop'!AJ130+'BZ by State 2nd Crop'!AJ130+'BZ by State 3rd Crop'!AJ130</f>
        <v>2639.1000000000004</v>
      </c>
      <c r="AK130" s="344">
        <f>'BZ by State 1st Crop'!AK130+'BZ by State 2nd Crop'!AK130+'BZ by State 3rd Crop'!AK130</f>
        <v>2194.8000000000002</v>
      </c>
      <c r="AL130" s="344">
        <f>'BZ by State 1st Crop'!AL130+'BZ by State 2nd Crop'!AL130+'BZ by State 3rd Crop'!AL130</f>
        <v>3928.2000000000003</v>
      </c>
      <c r="AM130" s="344">
        <f>'BZ by State 1st Crop'!AM130+'BZ by State 2nd Crop'!AM130+'BZ by State 3rd Crop'!AM130</f>
        <v>5177.7000000000007</v>
      </c>
      <c r="AN130" s="344">
        <f>'BZ by State 1st Crop'!AN130+'BZ by State 2nd Crop'!AN130+'BZ by State 3rd Crop'!AN130</f>
        <v>4407.6000000000004</v>
      </c>
      <c r="AO130" s="344">
        <f>'BZ by State 1st Crop'!AO130+'BZ by State 2nd Crop'!AO130+'BZ by State 3rd Crop'!AO130</f>
        <v>2623.2</v>
      </c>
      <c r="AP130" s="344">
        <f>'BZ by State 1st Crop'!AP130+'BZ by State 2nd Crop'!AP130+'BZ by State 3rd Crop'!AP130</f>
        <v>5855.7000000000007</v>
      </c>
      <c r="AQ130" s="344">
        <f>'BZ by State 1st Crop'!AQ130+'BZ by State 2nd Crop'!AQ130+'BZ by State 3rd Crop'!AQ130</f>
        <v>5652</v>
      </c>
      <c r="AR130" s="344">
        <f>'BZ by State 1st Crop'!AR130+'BZ by State 2nd Crop'!AR130+'BZ by State 3rd Crop'!AR130</f>
        <v>5377.5</v>
      </c>
      <c r="AS130" s="344">
        <f>'BZ by State 1st Crop'!AS130+'BZ by State 2nd Crop'!AS130+'BZ by State 3rd Crop'!AS130</f>
        <v>6588.9000000000005</v>
      </c>
      <c r="AT130" s="344">
        <f>'BZ by State 1st Crop'!AT130+'BZ by State 2nd Crop'!AT130+'BZ by State 3rd Crop'!AT130</f>
        <v>4390.1091999999999</v>
      </c>
      <c r="AU130" s="344">
        <f>'BZ by State 1st Crop'!AU130+'BZ by State 2nd Crop'!AU130+'BZ by State 3rd Crop'!AU130</f>
        <v>2900.8319999999999</v>
      </c>
      <c r="AV130" s="344">
        <f>'BZ by State 1st Crop'!AV130+'BZ by State 2nd Crop'!AV130+'BZ by State 3rd Crop'!AV130</f>
        <v>3731.7719999999999</v>
      </c>
      <c r="AW130" s="344">
        <f>'BZ by State 1st Crop'!AW130+'BZ by State 2nd Crop'!AW130+'BZ by State 3rd Crop'!AW130</f>
        <v>4850.2847999999994</v>
      </c>
      <c r="AX130" s="344">
        <f>'BZ by State 1st Crop'!AX130+'BZ by State 2nd Crop'!AX130+'BZ by State 3rd Crop'!AX130</f>
        <v>5430.6450000000004</v>
      </c>
      <c r="AY130" s="365">
        <f>'BZ by State 1st Crop'!AY130+'BZ by State 2nd Crop'!AY130+'BZ by State 3rd Crop'!AY130</f>
        <v>5426.361100000001</v>
      </c>
      <c r="AZ130" s="366">
        <f>'BZ by State 1st Crop'!AZ130+'BZ by State 2nd Crop'!AZ130+'BZ by State 3rd Crop'!AZ130</f>
        <v>5263.7582000000002</v>
      </c>
      <c r="BA130" s="366">
        <f>AZ130-AY130</f>
        <v>-162.60290000000077</v>
      </c>
      <c r="BB130" s="367">
        <f>AY130-AX130</f>
        <v>-4.2838999999994485</v>
      </c>
      <c r="BC130" s="368">
        <f>AZ130-AX130</f>
        <v>-166.88680000000022</v>
      </c>
      <c r="BD130" s="353">
        <f t="shared" si="1486"/>
        <v>-3.7927724534396856E-2</v>
      </c>
      <c r="BE130" s="309"/>
      <c r="BF130"/>
      <c r="BG130" s="308"/>
      <c r="BH130" s="336">
        <v>0</v>
      </c>
    </row>
    <row r="131" spans="1:60" ht="21.75" thickBot="1">
      <c r="A131" s="337" t="s">
        <v>27</v>
      </c>
      <c r="B131" s="358"/>
      <c r="C131" s="358"/>
      <c r="D131" s="358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  <c r="AA131" s="358"/>
      <c r="AB131" s="358"/>
      <c r="AC131" s="358"/>
      <c r="AD131" s="358"/>
      <c r="AE131" s="358"/>
      <c r="AF131" s="358"/>
      <c r="AG131" s="358"/>
      <c r="AH131" s="358"/>
      <c r="AI131" s="358"/>
      <c r="AJ131" s="358"/>
      <c r="AK131" s="358"/>
      <c r="AL131" s="358"/>
      <c r="AM131" s="358"/>
      <c r="AN131" s="358"/>
      <c r="AO131" s="358"/>
      <c r="AP131" s="358"/>
      <c r="AQ131" s="358"/>
      <c r="AR131" s="358"/>
      <c r="AS131" s="358"/>
      <c r="AT131" s="333"/>
      <c r="AU131" s="333"/>
      <c r="AV131" s="333"/>
      <c r="AW131" s="333"/>
      <c r="AX131" s="333"/>
      <c r="AY131" s="332"/>
      <c r="AZ131" s="333"/>
      <c r="BA131" s="333"/>
      <c r="BB131" s="332"/>
      <c r="BC131" s="333"/>
      <c r="BD131" s="334"/>
      <c r="BF131" s="319" t="b">
        <v>1</v>
      </c>
    </row>
    <row r="132" spans="1:60" ht="15" customHeight="1">
      <c r="A132" s="338" t="s">
        <v>352</v>
      </c>
      <c r="B132" s="344">
        <f>'BZ by State 1st Crop'!B132+'BZ by State 2nd Crop'!B132+'BZ by State 3rd Crop'!B132</f>
        <v>11797.336000000001</v>
      </c>
      <c r="C132" s="344">
        <f>'BZ by State 1st Crop'!C132+'BZ by State 2nd Crop'!C132+'BZ by State 3rd Crop'!C132</f>
        <v>10985.06</v>
      </c>
      <c r="D132" s="344">
        <f>'BZ by State 1st Crop'!D132+'BZ by State 2nd Crop'!D132+'BZ by State 3rd Crop'!D132</f>
        <v>11304.813</v>
      </c>
      <c r="E132" s="344">
        <f>'BZ by State 1st Crop'!E132+'BZ by State 2nd Crop'!E132+'BZ by State 3rd Crop'!E132</f>
        <v>11669.883000000002</v>
      </c>
      <c r="F132" s="344">
        <f>'BZ by State 1st Crop'!F132+'BZ by State 2nd Crop'!F132+'BZ by State 3rd Crop'!F132</f>
        <v>12147.143999999998</v>
      </c>
      <c r="G132" s="344">
        <f>'BZ by State 1st Crop'!G132+'BZ by State 2nd Crop'!G132+'BZ by State 3rd Crop'!G132</f>
        <v>12771.052000000001</v>
      </c>
      <c r="H132" s="344">
        <f>'BZ by State 1st Crop'!H132+'BZ by State 2nd Crop'!H132+'BZ by State 3rd Crop'!H132</f>
        <v>11658.184999999999</v>
      </c>
      <c r="I132" s="344">
        <f>'BZ by State 1st Crop'!I132+'BZ by State 2nd Crop'!I132+'BZ by State 3rd Crop'!I132</f>
        <v>12205.628999999999</v>
      </c>
      <c r="J132" s="344">
        <f>'BZ by State 1st Crop'!J132+'BZ by State 2nd Crop'!J132+'BZ by State 3rd Crop'!J132</f>
        <v>11940.163</v>
      </c>
      <c r="K132" s="344">
        <f>'BZ by State 1st Crop'!K132+'BZ by State 2nd Crop'!K132+'BZ by State 3rd Crop'!K132</f>
        <v>13083.451000000001</v>
      </c>
      <c r="L132" s="344">
        <f>'BZ by State 1st Crop'!L132+'BZ by State 2nd Crop'!L132+'BZ by State 3rd Crop'!L132</f>
        <v>14610.352999999997</v>
      </c>
      <c r="M132" s="344">
        <f>'BZ by State 1st Crop'!M132+'BZ by State 2nd Crop'!M132+'BZ by State 3rd Crop'!M132</f>
        <v>13411.096000000001</v>
      </c>
      <c r="N132" s="344">
        <f>'BZ by State 1st Crop'!N132+'BZ by State 2nd Crop'!N132+'BZ by State 3rd Crop'!N132</f>
        <v>12974.235000000001</v>
      </c>
      <c r="O132" s="344">
        <f>'BZ by State 1st Crop'!O132+'BZ by State 2nd Crop'!O132+'BZ by State 3rd Crop'!O132</f>
        <v>12092.695</v>
      </c>
      <c r="P132" s="344">
        <f>'BZ by State 1st Crop'!P132+'BZ by State 2nd Crop'!P132+'BZ by State 3rd Crop'!P132</f>
        <v>13451.4</v>
      </c>
      <c r="Q132" s="344">
        <f>'BZ by State 1st Crop'!Q132+'BZ by State 2nd Crop'!Q132+'BZ by State 3rd Crop'!Q132</f>
        <v>14027.099999999999</v>
      </c>
      <c r="R132" s="344">
        <f>'BZ by State 1st Crop'!R132+'BZ by State 2nd Crop'!R132+'BZ by State 3rd Crop'!R132</f>
        <v>12436.300000000001</v>
      </c>
      <c r="S132" s="344">
        <f>'BZ by State 1st Crop'!S132+'BZ by State 2nd Crop'!S132+'BZ by State 3rd Crop'!S132</f>
        <v>14151.7</v>
      </c>
      <c r="T132" s="344">
        <f>'BZ by State 1st Crop'!T132+'BZ by State 2nd Crop'!T132+'BZ by State 3rd Crop'!T132</f>
        <v>14282.199999999999</v>
      </c>
      <c r="U132" s="344">
        <f>'BZ by State 1st Crop'!U132+'BZ by State 2nd Crop'!U132+'BZ by State 3rd Crop'!U132</f>
        <v>13756.699999999999</v>
      </c>
      <c r="V132" s="344">
        <f>'BZ by State 1st Crop'!V132+'BZ by State 2nd Crop'!V132+'BZ by State 3rd Crop'!V132</f>
        <v>13798.800000000001</v>
      </c>
      <c r="W132" s="344">
        <f>'BZ by State 1st Crop'!W132+'BZ by State 2nd Crop'!W132+'BZ by State 3rd Crop'!W132</f>
        <v>11391.1</v>
      </c>
      <c r="X132" s="344">
        <f>'BZ by State 1st Crop'!X132+'BZ by State 2nd Crop'!X132+'BZ by State 3rd Crop'!X132</f>
        <v>12513</v>
      </c>
      <c r="Y132" s="344">
        <f>'BZ by State 1st Crop'!Y132+'BZ by State 2nd Crop'!Y132+'BZ by State 3rd Crop'!Y132</f>
        <v>12757.900000000001</v>
      </c>
      <c r="Z132" s="344">
        <f>'BZ by State 1st Crop'!Z132+'BZ by State 2nd Crop'!Z132+'BZ by State 3rd Crop'!Z132</f>
        <v>12972.5</v>
      </c>
      <c r="AA132" s="344">
        <f>'BZ by State 1st Crop'!AA132+'BZ by State 2nd Crop'!AA132+'BZ by State 3rd Crop'!AA132</f>
        <v>12297.8</v>
      </c>
      <c r="AB132" s="344">
        <f>'BZ by State 1st Crop'!AB132+'BZ by State 2nd Crop'!AB132+'BZ by State 3rd Crop'!AB132</f>
        <v>13226.200000000003</v>
      </c>
      <c r="AC132" s="344">
        <f>'BZ by State 1st Crop'!AC132+'BZ by State 2nd Crop'!AC132+'BZ by State 3rd Crop'!AC132</f>
        <v>12783</v>
      </c>
      <c r="AD132" s="344">
        <f>'BZ by State 1st Crop'!AD132+'BZ by State 2nd Crop'!AD132+'BZ by State 3rd Crop'!AD132</f>
        <v>12208.2</v>
      </c>
      <c r="AE132" s="344">
        <f>'BZ by State 1st Crop'!AE132+'BZ by State 2nd Crop'!AE132+'BZ by State 3rd Crop'!AE132</f>
        <v>12963.9</v>
      </c>
      <c r="AF132" s="344">
        <f>'BZ by State 1st Crop'!AF132+'BZ by State 2nd Crop'!AF132+'BZ by State 3rd Crop'!AF132</f>
        <v>14054.9</v>
      </c>
      <c r="AG132" s="344">
        <f>'BZ by State 1st Crop'!AG132+'BZ by State 2nd Crop'!AG132+'BZ by State 3rd Crop'!AG132</f>
        <v>14765.7</v>
      </c>
      <c r="AH132" s="344">
        <f>'BZ by State 1st Crop'!AH132+'BZ by State 2nd Crop'!AH132+'BZ by State 3rd Crop'!AH132</f>
        <v>14171.8</v>
      </c>
      <c r="AI132" s="344">
        <f>'BZ by State 1st Crop'!AI132+'BZ by State 2nd Crop'!AI132+'BZ by State 3rd Crop'!AI132</f>
        <v>12993.9</v>
      </c>
      <c r="AJ132" s="344">
        <f>'BZ by State 1st Crop'!AJ132+'BZ by State 2nd Crop'!AJ132+'BZ by State 3rd Crop'!AJ132</f>
        <v>13806.1</v>
      </c>
      <c r="AK132" s="344">
        <f>'BZ by State 1st Crop'!AK132+'BZ by State 2nd Crop'!AK132+'BZ by State 3rd Crop'!AK132</f>
        <v>15178.1</v>
      </c>
      <c r="AL132" s="344">
        <f>'BZ by State 1st Crop'!AL132+'BZ by State 2nd Crop'!AL132+'BZ by State 3rd Crop'!AL132</f>
        <v>15829.3</v>
      </c>
      <c r="AM132" s="344">
        <f>'BZ by State 1st Crop'!AM132+'BZ by State 2nd Crop'!AM132+'BZ by State 3rd Crop'!AM132</f>
        <v>15828.899999999998</v>
      </c>
      <c r="AN132" s="344">
        <f>'BZ by State 1st Crop'!AN132+'BZ by State 2nd Crop'!AN132+'BZ by State 3rd Crop'!AN132</f>
        <v>15692.899999999998</v>
      </c>
      <c r="AO132" s="344">
        <f>'BZ by State 1st Crop'!AO132+'BZ by State 2nd Crop'!AO132+'BZ by State 3rd Crop'!AO132</f>
        <v>15855.300000000001</v>
      </c>
      <c r="AP132" s="344">
        <f>'BZ by State 1st Crop'!AP132+'BZ by State 2nd Crop'!AP132+'BZ by State 3rd Crop'!AP132</f>
        <v>17591.7</v>
      </c>
      <c r="AQ132" s="344">
        <f>'BZ by State 1st Crop'!AQ132+'BZ by State 2nd Crop'!AQ132+'BZ by State 3rd Crop'!AQ132</f>
        <v>16616.400000000001</v>
      </c>
      <c r="AR132" s="344">
        <f>'BZ by State 1st Crop'!AR132+'BZ by State 2nd Crop'!AR132+'BZ by State 3rd Crop'!AR132</f>
        <v>17492.900000000001</v>
      </c>
      <c r="AS132" s="344">
        <f>'BZ by State 1st Crop'!AS132+'BZ by State 2nd Crop'!AS132+'BZ by State 3rd Crop'!AS132</f>
        <v>18527.3</v>
      </c>
      <c r="AT132" s="344">
        <f>'BZ by State 1st Crop'!AT132+'BZ by State 2nd Crop'!AT132+'BZ by State 3rd Crop'!AT132</f>
        <v>19943.599999999999</v>
      </c>
      <c r="AU132" s="344">
        <f>'BZ by State 1st Crop'!AU132+'BZ by State 2nd Crop'!AU132+'BZ by State 3rd Crop'!AU132</f>
        <v>21580.6</v>
      </c>
      <c r="AV132" s="344">
        <f>'BZ by State 1st Crop'!AV132+'BZ by State 2nd Crop'!AV132+'BZ by State 3rd Crop'!AV132</f>
        <v>22269.200000000001</v>
      </c>
      <c r="AW132" s="344">
        <f>'BZ by State 1st Crop'!AW132+'BZ by State 2nd Crop'!AW132+'BZ by State 3rd Crop'!AW132</f>
        <v>21058</v>
      </c>
      <c r="AX132" s="344">
        <f>'BZ by State 1st Crop'!AX132+'BZ by State 2nd Crop'!AX132+'BZ by State 3rd Crop'!AX132</f>
        <v>21839.9</v>
      </c>
      <c r="AY132" s="369">
        <f>'BZ by State 1st Crop'!AY132+'BZ by State 2nd Crop'!AY132+'BZ by State 3rd Crop'!AY132</f>
        <v>22721.499999999996</v>
      </c>
      <c r="AZ132" s="366">
        <f>AZ116+AZ96+AZ76+AZ36+AZ4</f>
        <v>22721.500000000004</v>
      </c>
      <c r="BA132" s="366">
        <f>AZ132-AY132</f>
        <v>0</v>
      </c>
      <c r="BB132" s="367">
        <f>AY132-AX132</f>
        <v>881.59999999999491</v>
      </c>
      <c r="BC132" s="368">
        <f>AZ132-AX132</f>
        <v>881.60000000000218</v>
      </c>
      <c r="BD132" s="353">
        <f>(AX132/AS132)^(1/5)-1</f>
        <v>3.344579463439934E-2</v>
      </c>
    </row>
    <row r="133" spans="1:60" ht="15" customHeight="1">
      <c r="A133" s="324" t="s">
        <v>353</v>
      </c>
      <c r="B133" s="345">
        <f t="shared" ref="B133" si="1487">B134/B132*1000</f>
        <v>1632.2098480538318</v>
      </c>
      <c r="C133" s="345">
        <f t="shared" ref="C133" si="1488">C134/C132*1000</f>
        <v>1482.1038756274431</v>
      </c>
      <c r="D133" s="345">
        <f t="shared" ref="D133" si="1489">D134/D132*1000</f>
        <v>1274.0591109291238</v>
      </c>
      <c r="E133" s="345">
        <f t="shared" ref="E133" si="1490">E134/E132*1000</f>
        <v>1535.7480447747419</v>
      </c>
      <c r="F133" s="345">
        <f t="shared" ref="F133" si="1491">F134/F132*1000</f>
        <v>1043.9490961826091</v>
      </c>
      <c r="G133" s="345">
        <f t="shared" ref="G133" si="1492">G134/G132*1000</f>
        <v>1616.1550356227503</v>
      </c>
      <c r="H133" s="345">
        <f t="shared" ref="H133" si="1493">H134/H132*1000</f>
        <v>639.46489097573942</v>
      </c>
      <c r="I133" s="345">
        <f t="shared" ref="I133" si="1494">I134/I132*1000</f>
        <v>1855.2095922299459</v>
      </c>
      <c r="J133" s="345">
        <f t="shared" ref="J133" si="1495">J134/J132*1000</f>
        <v>854.76220048252276</v>
      </c>
      <c r="K133" s="345">
        <f t="shared" ref="K133" si="1496">K134/K132*1000</f>
        <v>1592.6990516492933</v>
      </c>
      <c r="L133" s="345">
        <f t="shared" ref="L133" si="1497">L134/L132*1000</f>
        <v>698.13508270470959</v>
      </c>
      <c r="M133" s="345">
        <f t="shared" ref="M133" si="1498">M134/M132*1000</f>
        <v>1817.7485270405937</v>
      </c>
      <c r="N133" s="345">
        <f t="shared" ref="N133" si="1499">N134/N132*1000</f>
        <v>1883.8104905607152</v>
      </c>
      <c r="O133" s="345">
        <f t="shared" ref="O133" si="1500">O134/O132*1000</f>
        <v>1164.2566028499025</v>
      </c>
      <c r="P133" s="345">
        <f t="shared" ref="P133" si="1501">P134/P132*1000</f>
        <v>1856.8847852268163</v>
      </c>
      <c r="Q133" s="345">
        <f t="shared" ref="Q133" si="1502">Q134/Q132*1000</f>
        <v>1354.5779241610885</v>
      </c>
      <c r="R133" s="345">
        <f t="shared" ref="R133" si="1503">R134/R132*1000</f>
        <v>1386.0553380024605</v>
      </c>
      <c r="S133" s="345">
        <f t="shared" ref="S133" si="1504">S134/S132*1000</f>
        <v>2246.1471060013992</v>
      </c>
      <c r="T133" s="345">
        <f t="shared" ref="T133" si="1505">T134/T132*1000</f>
        <v>2259.105740012043</v>
      </c>
      <c r="U133" s="345">
        <f t="shared" ref="U133" si="1506">U134/U132*1000</f>
        <v>2493.8248271751222</v>
      </c>
      <c r="V133" s="345">
        <f t="shared" ref="V133" si="1507">V134/V132*1000</f>
        <v>2084.616053569875</v>
      </c>
      <c r="W133" s="345">
        <f t="shared" ref="W133" si="1508">W134/W132*1000</f>
        <v>1527.5083178973057</v>
      </c>
      <c r="X133" s="345">
        <f t="shared" ref="X133" si="1509">X134/X132*1000</f>
        <v>1727.3315751618318</v>
      </c>
      <c r="Y133" s="345">
        <f t="shared" ref="Y133" si="1510">Y134/Y132*1000</f>
        <v>1796.0401006435225</v>
      </c>
      <c r="Z133" s="345">
        <f t="shared" ref="Z133" si="1511">Z134/Z132*1000</f>
        <v>1723.8697244170362</v>
      </c>
      <c r="AA133" s="345">
        <f t="shared" ref="AA133" si="1512">AA134/AA132*1000</f>
        <v>1852.672835791768</v>
      </c>
      <c r="AB133" s="345">
        <f t="shared" ref="AB133" si="1513">AB134/AB132*1000</f>
        <v>2139.095129364443</v>
      </c>
      <c r="AC133" s="345">
        <f t="shared" ref="AC133" si="1514">AC134/AC132*1000</f>
        <v>2418.1412813893453</v>
      </c>
      <c r="AD133" s="345">
        <f t="shared" ref="AD133" si="1515">AD134/AD132*1000</f>
        <v>2392.1954096426989</v>
      </c>
      <c r="AE133" s="345">
        <f t="shared" ref="AE133" si="1516">AE134/AE132*1000</f>
        <v>2367.2505958854977</v>
      </c>
      <c r="AF133" s="345">
        <f t="shared" ref="AF133" si="1517">AF134/AF132*1000</f>
        <v>2301.1476424592133</v>
      </c>
      <c r="AG133" s="345">
        <f t="shared" ref="AG133" si="1518">AG134/AG132*1000</f>
        <v>2463.3170117231152</v>
      </c>
      <c r="AH133" s="345">
        <f t="shared" ref="AH133" si="1519">AH134/AH132*1000</f>
        <v>2552.7879309614873</v>
      </c>
      <c r="AI133" s="345">
        <f t="shared" ref="AI133" si="1520">AI134/AI132*1000</f>
        <v>3116.8471359637983</v>
      </c>
      <c r="AJ133" s="345">
        <f t="shared" ref="AJ133" si="1521">AJ134/AJ132*1000</f>
        <v>4283.4109560266843</v>
      </c>
      <c r="AK133" s="345">
        <f t="shared" ref="AK133" si="1522">AK134/AK132*1000</f>
        <v>3432.6826150835745</v>
      </c>
      <c r="AL133" s="345">
        <f t="shared" ref="AL133" si="1523">AL134/AL132*1000</f>
        <v>5536.0502359548427</v>
      </c>
      <c r="AM133" s="345">
        <f t="shared" ref="AM133" si="1524">AM134/AM132*1000</f>
        <v>7061.1413300987442</v>
      </c>
      <c r="AN133" s="345">
        <f t="shared" ref="AN133" si="1525">AN134/AN132*1000</f>
        <v>6367.3126063378995</v>
      </c>
      <c r="AO133" s="345">
        <f t="shared" ref="AO133" si="1526">AO134/AO132*1000</f>
        <v>4053.8116591928242</v>
      </c>
      <c r="AP133" s="345">
        <f t="shared" ref="AP133" si="1527">AP134/AP132*1000</f>
        <v>7478.5722812462691</v>
      </c>
      <c r="AQ133" s="345">
        <f t="shared" ref="AQ133" si="1528">AQ134/AQ132*1000</f>
        <v>7615.5484942586836</v>
      </c>
      <c r="AR133" s="345">
        <f t="shared" ref="AR133" si="1529">AR134/AR132*1000</f>
        <v>7116.6930583265203</v>
      </c>
      <c r="AS133" s="345">
        <f t="shared" ref="AS133" si="1530">AS134/AS132*1000</f>
        <v>8102.7348831184245</v>
      </c>
      <c r="AT133" s="345">
        <f t="shared" ref="AT133" si="1531">AT134/AT132*1000</f>
        <v>4367.1440963517125</v>
      </c>
      <c r="AU133" s="345">
        <f t="shared" ref="AU133" si="1532">AU134/AU132*1000</f>
        <v>5242.2230077013619</v>
      </c>
      <c r="AV133" s="345">
        <f t="shared" ref="AV133" si="1533">AV134/AV132*1000</f>
        <v>5922.6518464965056</v>
      </c>
      <c r="AW133" s="345">
        <f t="shared" ref="AW133" si="1534">AW134/AW132*1000</f>
        <v>5486.4960062684013</v>
      </c>
      <c r="AX133" s="345">
        <f t="shared" ref="AX133" si="1535">AX134/AX132*1000</f>
        <v>6460.4332116905298</v>
      </c>
      <c r="AY133" s="346">
        <f t="shared" ref="AY133" si="1536">AY134/AY132*1000</f>
        <v>6110.3707281649549</v>
      </c>
      <c r="AZ133" s="347">
        <f>AZ134/AZ132*1000</f>
        <v>5983.048051405056</v>
      </c>
      <c r="BA133" s="347">
        <f>AZ133-AY133</f>
        <v>-127.32267675989897</v>
      </c>
      <c r="BB133" s="351">
        <f>AY133-AX133</f>
        <v>-350.06248352557486</v>
      </c>
      <c r="BC133" s="352">
        <f>AZ133-AX133</f>
        <v>-477.38516028547383</v>
      </c>
      <c r="BD133" s="353">
        <f t="shared" ref="BD133:BD134" si="1537">(AX133/AS133)^(1/5)-1</f>
        <v>-4.4290281409143262E-2</v>
      </c>
    </row>
    <row r="134" spans="1:60" ht="15" customHeight="1" thickBot="1">
      <c r="A134" s="324" t="s">
        <v>354</v>
      </c>
      <c r="B134" s="344">
        <f>'BZ by State 1st Crop'!B134+'BZ by State 2nd Crop'!B134+'BZ by State 3rd Crop'!B134</f>
        <v>19255.728000000003</v>
      </c>
      <c r="C134" s="344">
        <f>'BZ by State 1st Crop'!C134+'BZ by State 2nd Crop'!C134+'BZ by State 3rd Crop'!C134</f>
        <v>16281</v>
      </c>
      <c r="D134" s="344">
        <f>'BZ by State 1st Crop'!D134+'BZ by State 2nd Crop'!D134+'BZ by State 3rd Crop'!D134</f>
        <v>14403</v>
      </c>
      <c r="E134" s="344">
        <f>'BZ by State 1st Crop'!E134+'BZ by State 2nd Crop'!E134+'BZ by State 3rd Crop'!E134</f>
        <v>17922</v>
      </c>
      <c r="F134" s="344">
        <f>'BZ by State 1st Crop'!F134+'BZ by State 2nd Crop'!F134+'BZ by State 3rd Crop'!F134</f>
        <v>12681</v>
      </c>
      <c r="G134" s="344">
        <f>'BZ by State 1st Crop'!G134+'BZ by State 2nd Crop'!G134+'BZ by State 3rd Crop'!G134</f>
        <v>20640</v>
      </c>
      <c r="H134" s="344">
        <f>'BZ by State 1st Crop'!H134+'BZ by State 2nd Crop'!H134+'BZ by State 3rd Crop'!H134</f>
        <v>7455</v>
      </c>
      <c r="I134" s="344">
        <f>'BZ by State 1st Crop'!I134+'BZ by State 2nd Crop'!I134+'BZ by State 3rd Crop'!I134</f>
        <v>22644</v>
      </c>
      <c r="J134" s="344">
        <f>'BZ by State 1st Crop'!J134+'BZ by State 2nd Crop'!J134+'BZ by State 3rd Crop'!J134</f>
        <v>10206</v>
      </c>
      <c r="K134" s="344">
        <f>'BZ by State 1st Crop'!K134+'BZ by State 2nd Crop'!K134+'BZ by State 3rd Crop'!K134</f>
        <v>20838</v>
      </c>
      <c r="L134" s="344">
        <f>'BZ by State 1st Crop'!L134+'BZ by State 2nd Crop'!L134+'BZ by State 3rd Crop'!L134</f>
        <v>10200</v>
      </c>
      <c r="M134" s="344">
        <f>'BZ by State 1st Crop'!M134+'BZ by State 2nd Crop'!M134+'BZ by State 3rd Crop'!M134</f>
        <v>24378</v>
      </c>
      <c r="N134" s="344">
        <f>'BZ by State 1st Crop'!N134+'BZ by State 2nd Crop'!N134+'BZ by State 3rd Crop'!N134</f>
        <v>24441</v>
      </c>
      <c r="O134" s="344">
        <f>'BZ by State 1st Crop'!O134+'BZ by State 2nd Crop'!O134+'BZ by State 3rd Crop'!O134</f>
        <v>14079</v>
      </c>
      <c r="P134" s="344">
        <f>'BZ by State 1st Crop'!P134+'BZ by State 2nd Crop'!P134+'BZ by State 3rd Crop'!P134</f>
        <v>24977.699999999997</v>
      </c>
      <c r="Q134" s="344">
        <f>'BZ by State 1st Crop'!Q134+'BZ by State 2nd Crop'!Q134+'BZ by State 3rd Crop'!Q134</f>
        <v>19000.800000000003</v>
      </c>
      <c r="R134" s="344">
        <f>'BZ by State 1st Crop'!R134+'BZ by State 2nd Crop'!R134+'BZ by State 3rd Crop'!R134</f>
        <v>17237.400000000001</v>
      </c>
      <c r="S134" s="344">
        <f>'BZ by State 1st Crop'!S134+'BZ by State 2nd Crop'!S134+'BZ by State 3rd Crop'!S134</f>
        <v>31786.800000000003</v>
      </c>
      <c r="T134" s="344">
        <f>'BZ by State 1st Crop'!T134+'BZ by State 2nd Crop'!T134+'BZ by State 3rd Crop'!T134</f>
        <v>32265</v>
      </c>
      <c r="U134" s="344">
        <f>'BZ by State 1st Crop'!U134+'BZ by State 2nd Crop'!U134+'BZ by State 3rd Crop'!U134</f>
        <v>34306.800000000003</v>
      </c>
      <c r="V134" s="344">
        <f>'BZ by State 1st Crop'!V134+'BZ by State 2nd Crop'!V134+'BZ by State 3rd Crop'!V134</f>
        <v>28765.199999999997</v>
      </c>
      <c r="W134" s="344">
        <f>'BZ by State 1st Crop'!W134+'BZ by State 2nd Crop'!W134+'BZ by State 3rd Crop'!W134</f>
        <v>17400</v>
      </c>
      <c r="X134" s="344">
        <f>'BZ by State 1st Crop'!X134+'BZ by State 2nd Crop'!X134+'BZ by State 3rd Crop'!X134</f>
        <v>21614.1</v>
      </c>
      <c r="Y134" s="344">
        <f>'BZ by State 1st Crop'!Y134+'BZ by State 2nd Crop'!Y134+'BZ by State 3rd Crop'!Y134</f>
        <v>22913.699999999997</v>
      </c>
      <c r="Z134" s="344">
        <f>'BZ by State 1st Crop'!Z134+'BZ by State 2nd Crop'!Z134+'BZ by State 3rd Crop'!Z134</f>
        <v>22362.9</v>
      </c>
      <c r="AA134" s="344">
        <f>'BZ by State 1st Crop'!AA134+'BZ by State 2nd Crop'!AA134+'BZ by State 3rd Crop'!AA134</f>
        <v>22783.800000000003</v>
      </c>
      <c r="AB134" s="344">
        <f>'BZ by State 1st Crop'!AB134+'BZ by State 2nd Crop'!AB134+'BZ by State 3rd Crop'!AB134</f>
        <v>28292.100000000002</v>
      </c>
      <c r="AC134" s="344">
        <f>'BZ by State 1st Crop'!AC134+'BZ by State 2nd Crop'!AC134+'BZ by State 3rd Crop'!AC134</f>
        <v>30911.100000000002</v>
      </c>
      <c r="AD134" s="344">
        <f>'BZ by State 1st Crop'!AD134+'BZ by State 2nd Crop'!AD134+'BZ by State 3rd Crop'!AD134</f>
        <v>29204.399999999998</v>
      </c>
      <c r="AE134" s="344">
        <f>'BZ by State 1st Crop'!AE134+'BZ by State 2nd Crop'!AE134+'BZ by State 3rd Crop'!AE134</f>
        <v>30688.800000000003</v>
      </c>
      <c r="AF134" s="344">
        <f>'BZ by State 1st Crop'!AF134+'BZ by State 2nd Crop'!AF134+'BZ by State 3rd Crop'!AF134</f>
        <v>32342.399999999998</v>
      </c>
      <c r="AG134" s="344">
        <f>'BZ by State 1st Crop'!AG134+'BZ by State 2nd Crop'!AG134+'BZ by State 3rd Crop'!AG134</f>
        <v>36372.600000000006</v>
      </c>
      <c r="AH134" s="344">
        <f>'BZ by State 1st Crop'!AH134+'BZ by State 2nd Crop'!AH134+'BZ by State 3rd Crop'!AH134</f>
        <v>36177.600000000006</v>
      </c>
      <c r="AI134" s="344">
        <f>'BZ by State 1st Crop'!AI134+'BZ by State 2nd Crop'!AI134+'BZ by State 3rd Crop'!AI134</f>
        <v>40500</v>
      </c>
      <c r="AJ134" s="344">
        <f>'BZ by State 1st Crop'!AJ134+'BZ by State 2nd Crop'!AJ134+'BZ by State 3rd Crop'!AJ134</f>
        <v>59137.200000000004</v>
      </c>
      <c r="AK134" s="344">
        <f>'BZ by State 1st Crop'!AK134+'BZ by State 2nd Crop'!AK134+'BZ by State 3rd Crop'!AK134</f>
        <v>52101.600000000006</v>
      </c>
      <c r="AL134" s="344">
        <f>'BZ by State 1st Crop'!AL134+'BZ by State 2nd Crop'!AL134+'BZ by State 3rd Crop'!AL134</f>
        <v>87631.799999999988</v>
      </c>
      <c r="AM134" s="344">
        <f>'BZ by State 1st Crop'!AM134+'BZ by State 2nd Crop'!AM134+'BZ by State 3rd Crop'!AM134</f>
        <v>111770.09999999999</v>
      </c>
      <c r="AN134" s="344">
        <f>'BZ by State 1st Crop'!AN134+'BZ by State 2nd Crop'!AN134+'BZ by State 3rd Crop'!AN134</f>
        <v>99921.600000000006</v>
      </c>
      <c r="AO134" s="344">
        <f>'BZ by State 1st Crop'!AO134+'BZ by State 2nd Crop'!AO134+'BZ by State 3rd Crop'!AO134</f>
        <v>64274.399999999994</v>
      </c>
      <c r="AP134" s="344">
        <f>'BZ by State 1st Crop'!AP134+'BZ by State 2nd Crop'!AP134+'BZ by State 3rd Crop'!AP134</f>
        <v>131560.79999999999</v>
      </c>
      <c r="AQ134" s="344">
        <f>'BZ by State 1st Crop'!AQ134+'BZ by State 2nd Crop'!AQ134+'BZ by State 3rd Crop'!AQ134</f>
        <v>126543</v>
      </c>
      <c r="AR134" s="344">
        <f>'BZ by State 1st Crop'!AR134+'BZ by State 2nd Crop'!AR134+'BZ by State 3rd Crop'!AR134</f>
        <v>124491.59999999999</v>
      </c>
      <c r="AS134" s="344">
        <f>'BZ by State 1st Crop'!AS134+'BZ by State 2nd Crop'!AS134+'BZ by State 3rd Crop'!AS134</f>
        <v>150121.79999999999</v>
      </c>
      <c r="AT134" s="344">
        <f>'BZ by State 1st Crop'!AT134+'BZ by State 2nd Crop'!AT134+'BZ by State 3rd Crop'!AT134</f>
        <v>87096.574999999997</v>
      </c>
      <c r="AU134" s="344">
        <f>'BZ by State 1st Crop'!AU134+'BZ by State 2nd Crop'!AU134+'BZ by State 3rd Crop'!AU134</f>
        <v>113130.31784</v>
      </c>
      <c r="AV134" s="344">
        <f>'BZ by State 1st Crop'!AV134+'BZ by State 2nd Crop'!AV134+'BZ by State 3rd Crop'!AV134</f>
        <v>131892.71849999999</v>
      </c>
      <c r="AW134" s="344">
        <f>'BZ by State 1st Crop'!AW134+'BZ by State 2nd Crop'!AW134+'BZ by State 3rd Crop'!AW134</f>
        <v>115534.6329</v>
      </c>
      <c r="AX134" s="344">
        <f>'BZ by State 1st Crop'!AX134+'BZ by State 2nd Crop'!AX134+'BZ by State 3rd Crop'!AX134</f>
        <v>141095.21530000001</v>
      </c>
      <c r="AY134" s="365">
        <f>'BZ by State 1st Crop'!AY134+'BZ by State 2nd Crop'!AY134+'BZ by State 3rd Crop'!AY134</f>
        <v>138836.7885</v>
      </c>
      <c r="AZ134" s="366">
        <f>AZ118+AZ98+AZ78+AZ38+AZ6</f>
        <v>135943.82630000002</v>
      </c>
      <c r="BA134" s="366">
        <f>AZ134-AY134</f>
        <v>-2892.9621999999799</v>
      </c>
      <c r="BB134" s="371">
        <f>AY134-AX134</f>
        <v>-2258.4268000000156</v>
      </c>
      <c r="BC134" s="372">
        <f>AZ134-AX134</f>
        <v>-5151.3889999999956</v>
      </c>
      <c r="BD134" s="359">
        <f t="shared" si="1537"/>
        <v>-1.2325810431053963E-2</v>
      </c>
    </row>
    <row r="135" spans="1:60" ht="15" customHeight="1" thickTop="1">
      <c r="A135" s="339" t="s">
        <v>388</v>
      </c>
      <c r="B135" s="340"/>
      <c r="C135" s="340"/>
      <c r="D135" s="340"/>
      <c r="E135" s="340"/>
      <c r="F135" s="340"/>
      <c r="G135" s="340"/>
      <c r="H135" s="340"/>
      <c r="I135" s="340"/>
      <c r="J135" s="340"/>
      <c r="K135" s="340"/>
      <c r="L135" s="340"/>
      <c r="M135" s="340"/>
      <c r="N135" s="340"/>
      <c r="O135" s="340"/>
      <c r="P135" s="340"/>
      <c r="Q135" s="340"/>
      <c r="R135" s="340"/>
      <c r="S135" s="340"/>
      <c r="T135" s="340"/>
      <c r="U135" s="340"/>
      <c r="V135" s="340"/>
      <c r="W135" s="340"/>
      <c r="X135" s="340"/>
      <c r="Y135" s="340"/>
      <c r="Z135" s="340"/>
      <c r="AA135" s="340"/>
      <c r="AB135" s="340"/>
      <c r="AC135" s="340"/>
      <c r="AD135" s="340"/>
      <c r="AE135" s="340"/>
      <c r="AF135" s="340"/>
      <c r="AG135" s="340"/>
      <c r="AH135" s="340"/>
      <c r="AI135" s="340"/>
      <c r="AJ135" s="340"/>
      <c r="AK135" s="340"/>
      <c r="AL135" s="340"/>
      <c r="AM135" s="340"/>
      <c r="AN135" s="340"/>
      <c r="AO135" s="340"/>
      <c r="AP135" s="340"/>
      <c r="AQ135" s="340"/>
      <c r="AR135" s="340"/>
      <c r="AS135" s="341">
        <f>AY132-AS132</f>
        <v>4194.1999999999971</v>
      </c>
      <c r="AT135" s="340"/>
      <c r="AU135" s="340"/>
      <c r="AV135" s="340"/>
      <c r="AW135" s="340"/>
      <c r="AX135" s="340"/>
      <c r="AY135" s="340"/>
      <c r="AZ135" s="340"/>
      <c r="BA135" s="340"/>
      <c r="BB135" s="340"/>
      <c r="BC135" s="340"/>
      <c r="BD135" s="340"/>
    </row>
    <row r="136" spans="1:60">
      <c r="A136" s="342"/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  <c r="AA136" s="342"/>
      <c r="AB136" s="342"/>
      <c r="AC136" s="342"/>
      <c r="AD136" s="342"/>
      <c r="AE136" s="342"/>
      <c r="AF136" s="342"/>
      <c r="AG136" s="342"/>
      <c r="AH136" s="342"/>
      <c r="AI136" s="342"/>
      <c r="AJ136" s="342"/>
      <c r="AK136" s="342"/>
      <c r="AL136" s="342"/>
      <c r="AM136" s="342"/>
      <c r="AN136" s="342"/>
      <c r="AO136" s="342"/>
      <c r="AP136" s="342"/>
      <c r="AQ136" s="342"/>
      <c r="AR136" s="342"/>
      <c r="AS136" s="342"/>
      <c r="AT136" s="342"/>
      <c r="AU136" s="342"/>
      <c r="AV136" s="342"/>
      <c r="AW136" s="342"/>
      <c r="AX136" s="342"/>
      <c r="AY136" s="342"/>
      <c r="AZ136" s="342"/>
      <c r="BA136" s="342"/>
      <c r="BB136" s="342"/>
      <c r="BC136" s="342"/>
      <c r="BD136" s="342"/>
    </row>
    <row r="137" spans="1:60">
      <c r="A137" s="342"/>
      <c r="B137" s="342"/>
      <c r="C137" s="342"/>
      <c r="D137" s="342"/>
      <c r="E137" s="342"/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P137" s="342"/>
      <c r="Q137" s="342"/>
      <c r="R137" s="342"/>
      <c r="S137" s="342"/>
      <c r="T137" s="342"/>
      <c r="U137" s="342"/>
      <c r="V137" s="342"/>
      <c r="W137" s="342"/>
      <c r="X137" s="342"/>
      <c r="Y137" s="342"/>
      <c r="Z137" s="342"/>
      <c r="AA137" s="342"/>
      <c r="AB137" s="342"/>
      <c r="AC137" s="342"/>
      <c r="AD137" s="342"/>
      <c r="AE137" s="342"/>
      <c r="AF137" s="342"/>
      <c r="AG137" s="342"/>
      <c r="AH137" s="342"/>
      <c r="AI137" s="342"/>
      <c r="AJ137" s="342"/>
      <c r="AK137" s="342"/>
      <c r="AL137" s="342"/>
      <c r="AM137" s="342"/>
      <c r="AN137" s="342"/>
      <c r="AO137" s="342"/>
      <c r="AP137" s="342"/>
      <c r="AQ137" s="342"/>
      <c r="AR137" s="342"/>
      <c r="AS137" s="342"/>
      <c r="AT137" s="342"/>
      <c r="AU137" s="342"/>
      <c r="AV137" s="342"/>
      <c r="AW137" s="342"/>
      <c r="AX137" s="342"/>
      <c r="AY137" s="342"/>
      <c r="AZ137" s="342"/>
      <c r="BA137" s="342"/>
      <c r="BB137" s="342"/>
      <c r="BC137" s="342"/>
      <c r="BD137" s="342"/>
    </row>
    <row r="138" spans="1:60">
      <c r="BD138" s="343"/>
    </row>
    <row r="139" spans="1:60">
      <c r="BD139" s="343"/>
    </row>
    <row r="140" spans="1:60">
      <c r="BD140" s="343"/>
    </row>
    <row r="141" spans="1:60">
      <c r="BD141" s="343"/>
    </row>
    <row r="142" spans="1:60">
      <c r="BD142" s="343"/>
    </row>
    <row r="143" spans="1:60">
      <c r="BD143" s="343"/>
    </row>
    <row r="144" spans="1:60">
      <c r="BD144" s="343"/>
    </row>
    <row r="145" spans="54:56">
      <c r="BD145" s="343"/>
    </row>
    <row r="146" spans="54:56">
      <c r="BD146" s="343"/>
    </row>
    <row r="147" spans="54:56">
      <c r="BB147" s="343"/>
      <c r="BC147" s="343"/>
      <c r="BD147" s="343"/>
    </row>
    <row r="148" spans="54:56">
      <c r="BB148" s="343"/>
      <c r="BC148" s="343"/>
      <c r="BD148" s="343"/>
    </row>
    <row r="149" spans="54:56">
      <c r="BB149" s="343"/>
      <c r="BC149" s="343"/>
      <c r="BD149" s="343"/>
    </row>
    <row r="150" spans="54:56">
      <c r="BB150" s="343"/>
      <c r="BC150" s="343"/>
      <c r="BD150" s="343"/>
    </row>
    <row r="151" spans="54:56">
      <c r="BB151" s="343"/>
      <c r="BC151" s="343"/>
      <c r="BD151" s="343"/>
    </row>
    <row r="152" spans="54:56">
      <c r="BB152" s="343"/>
      <c r="BC152" s="343"/>
      <c r="BD152" s="343"/>
    </row>
    <row r="153" spans="54:56">
      <c r="BB153" s="343"/>
      <c r="BC153" s="343"/>
      <c r="BD153" s="343"/>
    </row>
    <row r="154" spans="54:56">
      <c r="BB154" s="343"/>
      <c r="BC154" s="343"/>
      <c r="BD154" s="343"/>
    </row>
    <row r="155" spans="54:56">
      <c r="BB155" s="343"/>
      <c r="BC155" s="343"/>
      <c r="BD155" s="343"/>
    </row>
    <row r="156" spans="54:56">
      <c r="BB156" s="343"/>
      <c r="BC156" s="343"/>
      <c r="BD156" s="343"/>
    </row>
    <row r="157" spans="54:56">
      <c r="BB157" s="343"/>
      <c r="BC157" s="343"/>
      <c r="BD157" s="343"/>
    </row>
    <row r="158" spans="54:56">
      <c r="BB158" s="343"/>
      <c r="BC158" s="343"/>
      <c r="BD158" s="343"/>
    </row>
    <row r="159" spans="54:56">
      <c r="BB159" s="343"/>
      <c r="BC159" s="343"/>
      <c r="BD159" s="343"/>
    </row>
    <row r="160" spans="54:56">
      <c r="BB160" s="343"/>
      <c r="BC160" s="343"/>
      <c r="BD160" s="343"/>
    </row>
    <row r="161" spans="54:56">
      <c r="BB161" s="343"/>
      <c r="BC161" s="343"/>
      <c r="BD161" s="343"/>
    </row>
    <row r="162" spans="54:56">
      <c r="BB162" s="343"/>
      <c r="BC162" s="343"/>
      <c r="BD162" s="343"/>
    </row>
    <row r="163" spans="54:56">
      <c r="BB163" s="343"/>
      <c r="BC163" s="343"/>
      <c r="BD163" s="343"/>
    </row>
    <row r="164" spans="54:56">
      <c r="BB164" s="343"/>
      <c r="BC164" s="343"/>
      <c r="BD164" s="343"/>
    </row>
    <row r="165" spans="54:56">
      <c r="BB165" s="343"/>
      <c r="BC165" s="343"/>
      <c r="BD165" s="343"/>
    </row>
    <row r="166" spans="54:56">
      <c r="BB166" s="343"/>
      <c r="BC166" s="343"/>
      <c r="BD166" s="343"/>
    </row>
    <row r="167" spans="54:56">
      <c r="BB167" s="343"/>
      <c r="BC167" s="343"/>
      <c r="BD167" s="343"/>
    </row>
    <row r="168" spans="54:56">
      <c r="BB168" s="343"/>
      <c r="BC168" s="343"/>
      <c r="BD168" s="343"/>
    </row>
    <row r="169" spans="54:56">
      <c r="BB169" s="343"/>
      <c r="BC169" s="343"/>
      <c r="BD169" s="343"/>
    </row>
    <row r="170" spans="54:56">
      <c r="BB170" s="343"/>
      <c r="BC170" s="343"/>
      <c r="BD170" s="343"/>
    </row>
    <row r="171" spans="54:56">
      <c r="BB171" s="343"/>
      <c r="BC171" s="343"/>
      <c r="BD171" s="343"/>
    </row>
    <row r="172" spans="54:56">
      <c r="BB172" s="343"/>
      <c r="BC172" s="343"/>
      <c r="BD172" s="343"/>
    </row>
    <row r="173" spans="54:56">
      <c r="BB173" s="343"/>
      <c r="BC173" s="343"/>
      <c r="BD173" s="343"/>
    </row>
    <row r="174" spans="54:56">
      <c r="BB174" s="343"/>
      <c r="BC174" s="343"/>
      <c r="BD174" s="343"/>
    </row>
    <row r="175" spans="54:56">
      <c r="BB175" s="343"/>
      <c r="BC175" s="343"/>
      <c r="BD175" s="343"/>
    </row>
    <row r="176" spans="54:56">
      <c r="BB176" s="343"/>
      <c r="BC176" s="343"/>
      <c r="BD176" s="343"/>
    </row>
    <row r="177" spans="54:56">
      <c r="BB177" s="343"/>
      <c r="BC177" s="343"/>
      <c r="BD177" s="343"/>
    </row>
    <row r="178" spans="54:56">
      <c r="BB178" s="343"/>
      <c r="BC178" s="343"/>
      <c r="BD178" s="343"/>
    </row>
    <row r="179" spans="54:56"/>
    <row r="180" spans="54:56"/>
    <row r="181" spans="54:56"/>
    <row r="182" spans="54:56"/>
    <row r="183" spans="54:56"/>
    <row r="184" spans="54:56"/>
    <row r="185" spans="54:56"/>
    <row r="186" spans="54:56"/>
    <row r="187" spans="54:56"/>
    <row r="188" spans="54:56"/>
    <row r="189" spans="54:56"/>
    <row r="190" spans="54:56"/>
    <row r="191" spans="54:56"/>
    <row r="192" spans="54:56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mergeCells count="6">
    <mergeCell ref="BF1:BF3"/>
    <mergeCell ref="AY2:BA2"/>
    <mergeCell ref="BB1:BB3"/>
    <mergeCell ref="BC1:BC3"/>
    <mergeCell ref="BD1:BD3"/>
    <mergeCell ref="BE1:BE3"/>
  </mergeCells>
  <pageMargins left="0.7" right="0.7" top="0.75" bottom="0.75" header="0" footer="0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 xr2:uid="{9D87635A-7F6E-4C7B-A26E-BEC106F0ECF0}">
          <x14:colorSeries rgb="FF376092"/>
          <x14:sparklines>
            <x14:sparkline>
              <xm:f>'Brazil Corn by State'!Y4:AY4</xm:f>
              <xm:sqref>BE4</xm:sqref>
            </x14:sparkline>
            <x14:sparkline>
              <xm:f>'Brazil Corn by State'!Y5:AY5</xm:f>
              <xm:sqref>BE5</xm:sqref>
            </x14:sparkline>
            <x14:sparkline>
              <xm:f>'Brazil Corn by State'!Y6:AY6</xm:f>
              <xm:sqref>BE6</xm:sqref>
            </x14:sparkline>
            <x14:sparkline>
              <xm:f>'Brazil Corn by State'!Y7:AY7</xm:f>
              <xm:sqref>BE7</xm:sqref>
            </x14:sparkline>
            <x14:sparkline>
              <xm:f>'Brazil Corn by State'!Y8:AY8</xm:f>
              <xm:sqref>BE8</xm:sqref>
            </x14:sparkline>
            <x14:sparkline>
              <xm:f>'Brazil Corn by State'!Y9:AY9</xm:f>
              <xm:sqref>BE9</xm:sqref>
            </x14:sparkline>
            <x14:sparkline>
              <xm:f>'Brazil Corn by State'!Y10:AY10</xm:f>
              <xm:sqref>BE10</xm:sqref>
            </x14:sparkline>
            <x14:sparkline>
              <xm:f>'Brazil Corn by State'!Y11:AY11</xm:f>
              <xm:sqref>BE11</xm:sqref>
            </x14:sparkline>
            <x14:sparkline>
              <xm:f>'Brazil Corn by State'!Y12:AY12</xm:f>
              <xm:sqref>BE12</xm:sqref>
            </x14:sparkline>
            <x14:sparkline>
              <xm:f>'Brazil Corn by State'!Y13:AY13</xm:f>
              <xm:sqref>BE13</xm:sqref>
            </x14:sparkline>
            <x14:sparkline>
              <xm:f>'Brazil Corn by State'!Y14:AY14</xm:f>
              <xm:sqref>BE14</xm:sqref>
            </x14:sparkline>
            <x14:sparkline>
              <xm:f>'Brazil Corn by State'!Y15:AY15</xm:f>
              <xm:sqref>BE15</xm:sqref>
            </x14:sparkline>
            <x14:sparkline>
              <xm:f>'Brazil Corn by State'!Y16:AY16</xm:f>
              <xm:sqref>BE16</xm:sqref>
            </x14:sparkline>
            <x14:sparkline>
              <xm:f>'Brazil Corn by State'!Y17:AY17</xm:f>
              <xm:sqref>BE17</xm:sqref>
            </x14:sparkline>
            <x14:sparkline>
              <xm:f>'Brazil Corn by State'!Y18:AY18</xm:f>
              <xm:sqref>BE18</xm:sqref>
            </x14:sparkline>
            <x14:sparkline>
              <xm:f>'Brazil Corn by State'!Y19:AY19</xm:f>
              <xm:sqref>BE19</xm:sqref>
            </x14:sparkline>
            <x14:sparkline>
              <xm:f>'Brazil Corn by State'!Y20:AY20</xm:f>
              <xm:sqref>BE20</xm:sqref>
            </x14:sparkline>
            <x14:sparkline>
              <xm:f>'Brazil Corn by State'!Y21:AY21</xm:f>
              <xm:sqref>BE21</xm:sqref>
            </x14:sparkline>
            <x14:sparkline>
              <xm:f>'Brazil Corn by State'!Y22:AY22</xm:f>
              <xm:sqref>BE22</xm:sqref>
            </x14:sparkline>
            <x14:sparkline>
              <xm:f>'Brazil Corn by State'!Y23:AY23</xm:f>
              <xm:sqref>BE23</xm:sqref>
            </x14:sparkline>
            <x14:sparkline>
              <xm:f>'Brazil Corn by State'!Y24:AY24</xm:f>
              <xm:sqref>BE24</xm:sqref>
            </x14:sparkline>
            <x14:sparkline>
              <xm:f>'Brazil Corn by State'!Y25:AY25</xm:f>
              <xm:sqref>BE25</xm:sqref>
            </x14:sparkline>
            <x14:sparkline>
              <xm:f>'Brazil Corn by State'!Y26:AY26</xm:f>
              <xm:sqref>BE26</xm:sqref>
            </x14:sparkline>
            <x14:sparkline>
              <xm:f>'Brazil Corn by State'!Y27:AY27</xm:f>
              <xm:sqref>BE27</xm:sqref>
            </x14:sparkline>
            <x14:sparkline>
              <xm:f>'Brazil Corn by State'!Y28:AY28</xm:f>
              <xm:sqref>BE28</xm:sqref>
            </x14:sparkline>
            <x14:sparkline>
              <xm:f>'Brazil Corn by State'!Y29:AY29</xm:f>
              <xm:sqref>BE29</xm:sqref>
            </x14:sparkline>
            <x14:sparkline>
              <xm:f>'Brazil Corn by State'!Y30:AY30</xm:f>
              <xm:sqref>BE30</xm:sqref>
            </x14:sparkline>
            <x14:sparkline>
              <xm:f>'Brazil Corn by State'!Y31:AY31</xm:f>
              <xm:sqref>BE31</xm:sqref>
            </x14:sparkline>
            <x14:sparkline>
              <xm:f>'Brazil Corn by State'!Y32:AY32</xm:f>
              <xm:sqref>BE32</xm:sqref>
            </x14:sparkline>
            <x14:sparkline>
              <xm:f>'Brazil Corn by State'!Y33:AY33</xm:f>
              <xm:sqref>BE33</xm:sqref>
            </x14:sparkline>
            <x14:sparkline>
              <xm:f>'Brazil Corn by State'!Y34:AY34</xm:f>
              <xm:sqref>BE34</xm:sqref>
            </x14:sparkline>
            <x14:sparkline>
              <xm:f>'Brazil Corn by State'!Y35:AY35</xm:f>
              <xm:sqref>BE35</xm:sqref>
            </x14:sparkline>
            <x14:sparkline>
              <xm:f>'Brazil Corn by State'!Y36:AY36</xm:f>
              <xm:sqref>BE36</xm:sqref>
            </x14:sparkline>
            <x14:sparkline>
              <xm:f>'Brazil Corn by State'!Y37:AY37</xm:f>
              <xm:sqref>BE37</xm:sqref>
            </x14:sparkline>
            <x14:sparkline>
              <xm:f>'Brazil Corn by State'!Y38:AY38</xm:f>
              <xm:sqref>BE38</xm:sqref>
            </x14:sparkline>
            <x14:sparkline>
              <xm:f>'Brazil Corn by State'!Y39:AY39</xm:f>
              <xm:sqref>BE39</xm:sqref>
            </x14:sparkline>
            <x14:sparkline>
              <xm:f>'Brazil Corn by State'!Y40:AY40</xm:f>
              <xm:sqref>BE40</xm:sqref>
            </x14:sparkline>
            <x14:sparkline>
              <xm:f>'Brazil Corn by State'!Y41:AY41</xm:f>
              <xm:sqref>BE41</xm:sqref>
            </x14:sparkline>
            <x14:sparkline>
              <xm:f>'Brazil Corn by State'!Y42:AY42</xm:f>
              <xm:sqref>BE42</xm:sqref>
            </x14:sparkline>
            <x14:sparkline>
              <xm:f>'Brazil Corn by State'!Y43:AY43</xm:f>
              <xm:sqref>BE43</xm:sqref>
            </x14:sparkline>
            <x14:sparkline>
              <xm:f>'Brazil Corn by State'!Y44:AY44</xm:f>
              <xm:sqref>BE44</xm:sqref>
            </x14:sparkline>
            <x14:sparkline>
              <xm:f>'Brazil Corn by State'!Y45:AY45</xm:f>
              <xm:sqref>BE45</xm:sqref>
            </x14:sparkline>
            <x14:sparkline>
              <xm:f>'Brazil Corn by State'!Y46:AY46</xm:f>
              <xm:sqref>BE46</xm:sqref>
            </x14:sparkline>
            <x14:sparkline>
              <xm:f>'Brazil Corn by State'!Y47:AY47</xm:f>
              <xm:sqref>BE47</xm:sqref>
            </x14:sparkline>
            <x14:sparkline>
              <xm:f>'Brazil Corn by State'!Y48:AY48</xm:f>
              <xm:sqref>BE48</xm:sqref>
            </x14:sparkline>
            <x14:sparkline>
              <xm:f>'Brazil Corn by State'!Y49:AY49</xm:f>
              <xm:sqref>BE49</xm:sqref>
            </x14:sparkline>
            <x14:sparkline>
              <xm:f>'Brazil Corn by State'!Y50:AY50</xm:f>
              <xm:sqref>BE50</xm:sqref>
            </x14:sparkline>
            <x14:sparkline>
              <xm:f>'Brazil Corn by State'!Y51:AY51</xm:f>
              <xm:sqref>BE51</xm:sqref>
            </x14:sparkline>
            <x14:sparkline>
              <xm:f>'Brazil Corn by State'!Y52:AY52</xm:f>
              <xm:sqref>BE52</xm:sqref>
            </x14:sparkline>
            <x14:sparkline>
              <xm:f>'Brazil Corn by State'!Y53:AY53</xm:f>
              <xm:sqref>BE53</xm:sqref>
            </x14:sparkline>
            <x14:sparkline>
              <xm:f>'Brazil Corn by State'!Y54:AY54</xm:f>
              <xm:sqref>BE54</xm:sqref>
            </x14:sparkline>
            <x14:sparkline>
              <xm:f>'Brazil Corn by State'!Y55:AY55</xm:f>
              <xm:sqref>BE55</xm:sqref>
            </x14:sparkline>
            <x14:sparkline>
              <xm:f>'Brazil Corn by State'!Y56:AY56</xm:f>
              <xm:sqref>BE56</xm:sqref>
            </x14:sparkline>
            <x14:sparkline>
              <xm:f>'Brazil Corn by State'!Y57:AY57</xm:f>
              <xm:sqref>BE57</xm:sqref>
            </x14:sparkline>
            <x14:sparkline>
              <xm:f>'Brazil Corn by State'!Y58:AY58</xm:f>
              <xm:sqref>BE58</xm:sqref>
            </x14:sparkline>
            <x14:sparkline>
              <xm:f>'Brazil Corn by State'!Y59:AY59</xm:f>
              <xm:sqref>BE59</xm:sqref>
            </x14:sparkline>
            <x14:sparkline>
              <xm:f>'Brazil Corn by State'!Y60:AY60</xm:f>
              <xm:sqref>BE60</xm:sqref>
            </x14:sparkline>
            <x14:sparkline>
              <xm:f>'Brazil Corn by State'!Y61:AY61</xm:f>
              <xm:sqref>BE61</xm:sqref>
            </x14:sparkline>
            <x14:sparkline>
              <xm:f>'Brazil Corn by State'!Y62:AY62</xm:f>
              <xm:sqref>BE62</xm:sqref>
            </x14:sparkline>
            <x14:sparkline>
              <xm:f>'Brazil Corn by State'!Y63:AY63</xm:f>
              <xm:sqref>BE63</xm:sqref>
            </x14:sparkline>
            <x14:sparkline>
              <xm:f>'Brazil Corn by State'!Y64:AY64</xm:f>
              <xm:sqref>BE64</xm:sqref>
            </x14:sparkline>
            <x14:sparkline>
              <xm:f>'Brazil Corn by State'!Y65:AY65</xm:f>
              <xm:sqref>BE65</xm:sqref>
            </x14:sparkline>
            <x14:sparkline>
              <xm:f>'Brazil Corn by State'!Y66:AY66</xm:f>
              <xm:sqref>BE66</xm:sqref>
            </x14:sparkline>
            <x14:sparkline>
              <xm:f>'Brazil Corn by State'!Y67:AY67</xm:f>
              <xm:sqref>BE67</xm:sqref>
            </x14:sparkline>
            <x14:sparkline>
              <xm:f>'Brazil Corn by State'!Y68:AY68</xm:f>
              <xm:sqref>BE68</xm:sqref>
            </x14:sparkline>
            <x14:sparkline>
              <xm:f>'Brazil Corn by State'!Y69:AY69</xm:f>
              <xm:sqref>BE69</xm:sqref>
            </x14:sparkline>
            <x14:sparkline>
              <xm:f>'Brazil Corn by State'!Y70:AY70</xm:f>
              <xm:sqref>BE70</xm:sqref>
            </x14:sparkline>
            <x14:sparkline>
              <xm:f>'Brazil Corn by State'!Y71:AY71</xm:f>
              <xm:sqref>BE71</xm:sqref>
            </x14:sparkline>
            <x14:sparkline>
              <xm:f>'Brazil Corn by State'!Y72:AY72</xm:f>
              <xm:sqref>BE72</xm:sqref>
            </x14:sparkline>
            <x14:sparkline>
              <xm:f>'Brazil Corn by State'!Y73:AY73</xm:f>
              <xm:sqref>BE73</xm:sqref>
            </x14:sparkline>
            <x14:sparkline>
              <xm:f>'Brazil Corn by State'!Y74:AY74</xm:f>
              <xm:sqref>BE74</xm:sqref>
            </x14:sparkline>
            <x14:sparkline>
              <xm:f>'Brazil Corn by State'!Y75:AY75</xm:f>
              <xm:sqref>BE75</xm:sqref>
            </x14:sparkline>
            <x14:sparkline>
              <xm:f>'Brazil Corn by State'!Y76:AY76</xm:f>
              <xm:sqref>BE76</xm:sqref>
            </x14:sparkline>
            <x14:sparkline>
              <xm:f>'Brazil Corn by State'!Y77:AY77</xm:f>
              <xm:sqref>BE77</xm:sqref>
            </x14:sparkline>
            <x14:sparkline>
              <xm:f>'Brazil Corn by State'!Y78:AY78</xm:f>
              <xm:sqref>BE78</xm:sqref>
            </x14:sparkline>
            <x14:sparkline>
              <xm:f>'Brazil Corn by State'!Y79:AY79</xm:f>
              <xm:sqref>BE79</xm:sqref>
            </x14:sparkline>
            <x14:sparkline>
              <xm:f>'Brazil Corn by State'!Y80:AY80</xm:f>
              <xm:sqref>BE80</xm:sqref>
            </x14:sparkline>
            <x14:sparkline>
              <xm:f>'Brazil Corn by State'!Y81:AY81</xm:f>
              <xm:sqref>BE81</xm:sqref>
            </x14:sparkline>
            <x14:sparkline>
              <xm:f>'Brazil Corn by State'!Y82:AY82</xm:f>
              <xm:sqref>BE82</xm:sqref>
            </x14:sparkline>
            <x14:sparkline>
              <xm:f>'Brazil Corn by State'!Y83:AY83</xm:f>
              <xm:sqref>BE83</xm:sqref>
            </x14:sparkline>
            <x14:sparkline>
              <xm:f>'Brazil Corn by State'!Y84:AY84</xm:f>
              <xm:sqref>BE84</xm:sqref>
            </x14:sparkline>
            <x14:sparkline>
              <xm:f>'Brazil Corn by State'!Y85:AY85</xm:f>
              <xm:sqref>BE85</xm:sqref>
            </x14:sparkline>
            <x14:sparkline>
              <xm:f>'Brazil Corn by State'!Y86:AY86</xm:f>
              <xm:sqref>BE86</xm:sqref>
            </x14:sparkline>
            <x14:sparkline>
              <xm:f>'Brazil Corn by State'!Y87:AY87</xm:f>
              <xm:sqref>BE87</xm:sqref>
            </x14:sparkline>
            <x14:sparkline>
              <xm:f>'Brazil Corn by State'!Y88:AY88</xm:f>
              <xm:sqref>BE88</xm:sqref>
            </x14:sparkline>
            <x14:sparkline>
              <xm:f>'Brazil Corn by State'!Y89:AY89</xm:f>
              <xm:sqref>BE89</xm:sqref>
            </x14:sparkline>
            <x14:sparkline>
              <xm:f>'Brazil Corn by State'!Y90:AY90</xm:f>
              <xm:sqref>BE90</xm:sqref>
            </x14:sparkline>
            <x14:sparkline>
              <xm:f>'Brazil Corn by State'!Y91:AY91</xm:f>
              <xm:sqref>BE91</xm:sqref>
            </x14:sparkline>
            <x14:sparkline>
              <xm:f>'Brazil Corn by State'!Y92:AY92</xm:f>
              <xm:sqref>BE92</xm:sqref>
            </x14:sparkline>
            <x14:sparkline>
              <xm:f>'Brazil Corn by State'!Y93:AY93</xm:f>
              <xm:sqref>BE93</xm:sqref>
            </x14:sparkline>
            <x14:sparkline>
              <xm:f>'Brazil Corn by State'!Y94:AY94</xm:f>
              <xm:sqref>BE94</xm:sqref>
            </x14:sparkline>
            <x14:sparkline>
              <xm:f>'Brazil Corn by State'!Y95:AY95</xm:f>
              <xm:sqref>BE95</xm:sqref>
            </x14:sparkline>
            <x14:sparkline>
              <xm:f>'Brazil Corn by State'!Y96:AY96</xm:f>
              <xm:sqref>BE96</xm:sqref>
            </x14:sparkline>
            <x14:sparkline>
              <xm:f>'Brazil Corn by State'!Y97:AY97</xm:f>
              <xm:sqref>BE97</xm:sqref>
            </x14:sparkline>
            <x14:sparkline>
              <xm:f>'Brazil Corn by State'!Y98:AY98</xm:f>
              <xm:sqref>BE98</xm:sqref>
            </x14:sparkline>
            <x14:sparkline>
              <xm:f>'Brazil Corn by State'!Y99:AY99</xm:f>
              <xm:sqref>BE99</xm:sqref>
            </x14:sparkline>
            <x14:sparkline>
              <xm:f>'Brazil Corn by State'!Y100:AY100</xm:f>
              <xm:sqref>BE100</xm:sqref>
            </x14:sparkline>
            <x14:sparkline>
              <xm:f>'Brazil Corn by State'!Y101:AY101</xm:f>
              <xm:sqref>BE101</xm:sqref>
            </x14:sparkline>
            <x14:sparkline>
              <xm:f>'Brazil Corn by State'!Y102:AY102</xm:f>
              <xm:sqref>BE102</xm:sqref>
            </x14:sparkline>
            <x14:sparkline>
              <xm:f>'Brazil Corn by State'!Y103:AY103</xm:f>
              <xm:sqref>BE103</xm:sqref>
            </x14:sparkline>
            <x14:sparkline>
              <xm:f>'Brazil Corn by State'!Y104:AY104</xm:f>
              <xm:sqref>BE104</xm:sqref>
            </x14:sparkline>
            <x14:sparkline>
              <xm:f>'Brazil Corn by State'!Y105:AY105</xm:f>
              <xm:sqref>BE105</xm:sqref>
            </x14:sparkline>
            <x14:sparkline>
              <xm:f>'Brazil Corn by State'!Y106:AY106</xm:f>
              <xm:sqref>BE106</xm:sqref>
            </x14:sparkline>
            <x14:sparkline>
              <xm:f>'Brazil Corn by State'!Y107:AY107</xm:f>
              <xm:sqref>BE107</xm:sqref>
            </x14:sparkline>
            <x14:sparkline>
              <xm:f>'Brazil Corn by State'!Y108:AY108</xm:f>
              <xm:sqref>BE108</xm:sqref>
            </x14:sparkline>
            <x14:sparkline>
              <xm:f>'Brazil Corn by State'!Y109:AY109</xm:f>
              <xm:sqref>BE109</xm:sqref>
            </x14:sparkline>
            <x14:sparkline>
              <xm:f>'Brazil Corn by State'!Y110:AY110</xm:f>
              <xm:sqref>BE110</xm:sqref>
            </x14:sparkline>
            <x14:sparkline>
              <xm:f>'Brazil Corn by State'!Y111:AY111</xm:f>
              <xm:sqref>BE111</xm:sqref>
            </x14:sparkline>
            <x14:sparkline>
              <xm:f>'Brazil Corn by State'!Y112:AY112</xm:f>
              <xm:sqref>BE112</xm:sqref>
            </x14:sparkline>
            <x14:sparkline>
              <xm:f>'Brazil Corn by State'!Y113:AY113</xm:f>
              <xm:sqref>BE113</xm:sqref>
            </x14:sparkline>
            <x14:sparkline>
              <xm:f>'Brazil Corn by State'!Y114:AY114</xm:f>
              <xm:sqref>BE114</xm:sqref>
            </x14:sparkline>
            <x14:sparkline>
              <xm:f>'Brazil Corn by State'!Y115:AY115</xm:f>
              <xm:sqref>BE115</xm:sqref>
            </x14:sparkline>
            <x14:sparkline>
              <xm:f>'Brazil Corn by State'!Y116:AY116</xm:f>
              <xm:sqref>BE116</xm:sqref>
            </x14:sparkline>
            <x14:sparkline>
              <xm:f>'Brazil Corn by State'!Y117:AY117</xm:f>
              <xm:sqref>BE117</xm:sqref>
            </x14:sparkline>
            <x14:sparkline>
              <xm:f>'Brazil Corn by State'!Y118:AY118</xm:f>
              <xm:sqref>BE118</xm:sqref>
            </x14:sparkline>
            <x14:sparkline>
              <xm:f>'Brazil Corn by State'!Y119:AY119</xm:f>
              <xm:sqref>BE119</xm:sqref>
            </x14:sparkline>
            <x14:sparkline>
              <xm:f>'Brazil Corn by State'!Y120:AY120</xm:f>
              <xm:sqref>BE120</xm:sqref>
            </x14:sparkline>
            <x14:sparkline>
              <xm:f>'Brazil Corn by State'!Y121:AY121</xm:f>
              <xm:sqref>BE121</xm:sqref>
            </x14:sparkline>
            <x14:sparkline>
              <xm:f>'Brazil Corn by State'!Y122:AY122</xm:f>
              <xm:sqref>BE122</xm:sqref>
            </x14:sparkline>
            <x14:sparkline>
              <xm:f>'Brazil Corn by State'!Y123:AY123</xm:f>
              <xm:sqref>BE123</xm:sqref>
            </x14:sparkline>
            <x14:sparkline>
              <xm:f>'Brazil Corn by State'!Y124:AY124</xm:f>
              <xm:sqref>BE124</xm:sqref>
            </x14:sparkline>
            <x14:sparkline>
              <xm:f>'Brazil Corn by State'!Y125:AY125</xm:f>
              <xm:sqref>BE125</xm:sqref>
            </x14:sparkline>
            <x14:sparkline>
              <xm:f>'Brazil Corn by State'!Y126:AY126</xm:f>
              <xm:sqref>BE126</xm:sqref>
            </x14:sparkline>
            <x14:sparkline>
              <xm:f>'Brazil Corn by State'!Y127:AY127</xm:f>
              <xm:sqref>BE127</xm:sqref>
            </x14:sparkline>
            <x14:sparkline>
              <xm:f>'Brazil Corn by State'!Y128:AY128</xm:f>
              <xm:sqref>BE128</xm:sqref>
            </x14:sparkline>
            <x14:sparkline>
              <xm:f>'Brazil Corn by State'!Y129:AY129</xm:f>
              <xm:sqref>BE129</xm:sqref>
            </x14:sparkline>
            <x14:sparkline>
              <xm:f>'Brazil Corn by State'!Y130:AY130</xm:f>
              <xm:sqref>BE130</xm:sqref>
            </x14:sparkline>
            <x14:sparkline>
              <xm:f>'Brazil Corn by State'!Y131:AY131</xm:f>
              <xm:sqref>BE131</xm:sqref>
            </x14:sparkline>
            <x14:sparkline>
              <xm:f>'Brazil Corn by State'!Y132:AY132</xm:f>
              <xm:sqref>BE132</xm:sqref>
            </x14:sparkline>
            <x14:sparkline>
              <xm:f>'Brazil Corn by State'!Y133:AY133</xm:f>
              <xm:sqref>BE133</xm:sqref>
            </x14:sparkline>
            <x14:sparkline>
              <xm:f>'Brazil Corn by State'!Y134:AY134</xm:f>
              <xm:sqref>BE134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FB1C-E511-462D-9248-06B4989C0B17}">
  <dimension ref="A1:BK999"/>
  <sheetViews>
    <sheetView zoomScale="87" zoomScaleNormal="87" workbookViewId="0">
      <pane xSplit="1" ySplit="3" topLeftCell="B112" activePane="bottomRight" state="frozen"/>
      <selection pane="topRight"/>
      <selection pane="bottomLeft"/>
      <selection pane="bottomRight" activeCell="BD12" sqref="BD12"/>
    </sheetView>
  </sheetViews>
  <sheetFormatPr defaultColWidth="8.85546875" defaultRowHeight="15" customHeight="1"/>
  <cols>
    <col min="1" max="1" width="34.42578125" style="309" bestFit="1" customWidth="1"/>
    <col min="2" max="2" width="12.85546875" style="363" customWidth="1"/>
    <col min="3" max="32" width="12.85546875" style="363" hidden="1" customWidth="1"/>
    <col min="33" max="45" width="13" style="363" hidden="1" customWidth="1"/>
    <col min="46" max="48" width="13.140625" style="363" bestFit="1" customWidth="1"/>
    <col min="49" max="50" width="12.85546875" style="363" customWidth="1"/>
    <col min="51" max="53" width="13.42578125" style="363" customWidth="1"/>
    <col min="54" max="56" width="14.140625" style="363" customWidth="1"/>
    <col min="57" max="57" width="8.85546875" style="309"/>
    <col min="59" max="59" width="71.42578125" style="308" customWidth="1"/>
    <col min="60" max="60" width="14.85546875" style="309" bestFit="1" customWidth="1"/>
    <col min="61" max="61" width="9" style="309" bestFit="1" customWidth="1"/>
    <col min="62" max="16384" width="8.85546875" style="309"/>
  </cols>
  <sheetData>
    <row r="1" spans="1:63" ht="26.1" customHeight="1">
      <c r="A1" s="307" t="s">
        <v>305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  <c r="AN1" s="349"/>
      <c r="AO1" s="349"/>
      <c r="AP1" s="349"/>
      <c r="AQ1" s="349"/>
      <c r="AR1" s="349"/>
      <c r="AS1" s="349"/>
      <c r="AT1" s="349"/>
      <c r="AU1" s="349"/>
      <c r="AV1" s="349"/>
      <c r="AW1" s="349"/>
      <c r="AX1" s="349"/>
      <c r="AY1" s="349"/>
      <c r="AZ1" s="349"/>
      <c r="BA1" s="349"/>
      <c r="BB1" s="390" t="s">
        <v>306</v>
      </c>
      <c r="BC1" s="390" t="s">
        <v>307</v>
      </c>
      <c r="BD1" s="391" t="s">
        <v>308</v>
      </c>
      <c r="BE1" s="392" t="s">
        <v>309</v>
      </c>
      <c r="BF1" s="393" t="s">
        <v>310</v>
      </c>
    </row>
    <row r="2" spans="1:63" ht="16.5" customHeight="1" thickBot="1">
      <c r="A2" s="310" t="s">
        <v>311</v>
      </c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  <c r="AE2" s="349"/>
      <c r="AF2" s="349"/>
      <c r="AG2" s="349"/>
      <c r="AH2" s="349"/>
      <c r="AI2" s="349"/>
      <c r="AJ2" s="349"/>
      <c r="AK2" s="349"/>
      <c r="AL2" s="349"/>
      <c r="AM2" s="349"/>
      <c r="AN2" s="349"/>
      <c r="AO2" s="349"/>
      <c r="AP2" s="349"/>
      <c r="AQ2" s="349"/>
      <c r="AR2" s="349"/>
      <c r="AS2" s="349"/>
      <c r="AT2" s="349"/>
      <c r="AU2" s="349"/>
      <c r="AV2" s="349"/>
      <c r="AW2" s="349"/>
      <c r="AX2" s="349"/>
      <c r="AY2" s="389" t="s">
        <v>312</v>
      </c>
      <c r="AZ2" s="389"/>
      <c r="BA2" s="389"/>
      <c r="BB2" s="390"/>
      <c r="BC2" s="390"/>
      <c r="BD2" s="391"/>
      <c r="BE2" s="392"/>
      <c r="BF2" s="393"/>
      <c r="BH2" s="311"/>
      <c r="BI2" s="311"/>
      <c r="BJ2" s="311"/>
      <c r="BK2" s="311"/>
    </row>
    <row r="3" spans="1:63" ht="15.75" thickBot="1">
      <c r="A3" s="312" t="s">
        <v>313</v>
      </c>
      <c r="B3" s="313" t="s">
        <v>314</v>
      </c>
      <c r="C3" s="313" t="s">
        <v>315</v>
      </c>
      <c r="D3" s="313" t="s">
        <v>316</v>
      </c>
      <c r="E3" s="313" t="s">
        <v>317</v>
      </c>
      <c r="F3" s="313" t="s">
        <v>318</v>
      </c>
      <c r="G3" s="313" t="s">
        <v>319</v>
      </c>
      <c r="H3" s="313" t="s">
        <v>320</v>
      </c>
      <c r="I3" s="313" t="s">
        <v>321</v>
      </c>
      <c r="J3" s="313" t="s">
        <v>322</v>
      </c>
      <c r="K3" s="313" t="s">
        <v>323</v>
      </c>
      <c r="L3" s="313" t="s">
        <v>324</v>
      </c>
      <c r="M3" s="313" t="s">
        <v>325</v>
      </c>
      <c r="N3" s="313" t="s">
        <v>326</v>
      </c>
      <c r="O3" s="313" t="s">
        <v>327</v>
      </c>
      <c r="P3" s="313" t="s">
        <v>328</v>
      </c>
      <c r="Q3" s="313" t="s">
        <v>329</v>
      </c>
      <c r="R3" s="313" t="s">
        <v>330</v>
      </c>
      <c r="S3" s="313" t="s">
        <v>331</v>
      </c>
      <c r="T3" s="313" t="s">
        <v>332</v>
      </c>
      <c r="U3" s="313" t="s">
        <v>333</v>
      </c>
      <c r="V3" s="313" t="s">
        <v>334</v>
      </c>
      <c r="W3" s="313" t="s">
        <v>335</v>
      </c>
      <c r="X3" s="313" t="s">
        <v>336</v>
      </c>
      <c r="Y3" s="313" t="s">
        <v>337</v>
      </c>
      <c r="Z3" s="313" t="s">
        <v>338</v>
      </c>
      <c r="AA3" s="313" t="s">
        <v>339</v>
      </c>
      <c r="AB3" s="313" t="s">
        <v>340</v>
      </c>
      <c r="AC3" s="313" t="s">
        <v>341</v>
      </c>
      <c r="AD3" s="313" t="s">
        <v>342</v>
      </c>
      <c r="AE3" s="314" t="s">
        <v>343</v>
      </c>
      <c r="AF3" s="314" t="s">
        <v>344</v>
      </c>
      <c r="AG3" s="314" t="s">
        <v>345</v>
      </c>
      <c r="AH3" s="314" t="s">
        <v>346</v>
      </c>
      <c r="AI3" s="314" t="s">
        <v>347</v>
      </c>
      <c r="AJ3" s="314" t="s">
        <v>146</v>
      </c>
      <c r="AK3" s="314" t="s">
        <v>147</v>
      </c>
      <c r="AL3" s="314" t="s">
        <v>148</v>
      </c>
      <c r="AM3" s="314" t="s">
        <v>149</v>
      </c>
      <c r="AN3" s="314" t="s">
        <v>150</v>
      </c>
      <c r="AO3" s="314" t="s">
        <v>151</v>
      </c>
      <c r="AP3" s="314" t="s">
        <v>152</v>
      </c>
      <c r="AQ3" s="314" t="s">
        <v>153</v>
      </c>
      <c r="AR3" s="314" t="s">
        <v>154</v>
      </c>
      <c r="AS3" s="314" t="s">
        <v>155</v>
      </c>
      <c r="AT3" s="314" t="s">
        <v>156</v>
      </c>
      <c r="AU3" s="314" t="s">
        <v>157</v>
      </c>
      <c r="AV3" s="314" t="s">
        <v>158</v>
      </c>
      <c r="AW3" s="314" t="s">
        <v>159</v>
      </c>
      <c r="AX3" s="314" t="s">
        <v>160</v>
      </c>
      <c r="AY3" s="315" t="s">
        <v>348</v>
      </c>
      <c r="AZ3" s="316" t="s">
        <v>349</v>
      </c>
      <c r="BA3" s="348" t="s">
        <v>350</v>
      </c>
      <c r="BB3" s="390"/>
      <c r="BC3" s="390"/>
      <c r="BD3" s="391"/>
      <c r="BE3" s="392"/>
      <c r="BF3" s="393"/>
      <c r="BG3" s="317" t="s">
        <v>351</v>
      </c>
    </row>
    <row r="4" spans="1:63" ht="15" customHeight="1">
      <c r="A4" s="318" t="s">
        <v>352</v>
      </c>
      <c r="B4" s="344">
        <f>B8+B12+B16+B20+B24+B28+B32</f>
        <v>117.136</v>
      </c>
      <c r="C4" s="344">
        <f t="shared" ref="C4:AY4" si="0">C8+C12+C16+C20+C24+C28+C32</f>
        <v>128.16</v>
      </c>
      <c r="D4" s="344">
        <f t="shared" si="0"/>
        <v>108.813</v>
      </c>
      <c r="E4" s="344">
        <f t="shared" si="0"/>
        <v>178.68299999999999</v>
      </c>
      <c r="F4" s="344">
        <f t="shared" si="0"/>
        <v>192.34399999999999</v>
      </c>
      <c r="G4" s="344">
        <f t="shared" si="0"/>
        <v>235.65199999999999</v>
      </c>
      <c r="H4" s="344">
        <f t="shared" si="0"/>
        <v>175.685</v>
      </c>
      <c r="I4" s="344">
        <f t="shared" si="0"/>
        <v>254.92899999999997</v>
      </c>
      <c r="J4" s="344">
        <f t="shared" si="0"/>
        <v>236.46299999999999</v>
      </c>
      <c r="K4" s="344">
        <f t="shared" si="0"/>
        <v>283.25099999999998</v>
      </c>
      <c r="L4" s="344">
        <f t="shared" si="0"/>
        <v>318.85299999999995</v>
      </c>
      <c r="M4" s="344">
        <f t="shared" si="0"/>
        <v>500.89599999999996</v>
      </c>
      <c r="N4" s="344">
        <f t="shared" si="0"/>
        <v>520.73500000000001</v>
      </c>
      <c r="O4" s="344">
        <f t="shared" si="0"/>
        <v>394.79499999999996</v>
      </c>
      <c r="P4" s="344">
        <f t="shared" si="0"/>
        <v>425.4</v>
      </c>
      <c r="Q4" s="344">
        <f t="shared" si="0"/>
        <v>439.2</v>
      </c>
      <c r="R4" s="344">
        <f t="shared" si="0"/>
        <v>459.5</v>
      </c>
      <c r="S4" s="344">
        <f t="shared" si="0"/>
        <v>513.5</v>
      </c>
      <c r="T4" s="344">
        <f t="shared" si="0"/>
        <v>619.29999999999995</v>
      </c>
      <c r="U4" s="344">
        <f t="shared" si="0"/>
        <v>595.59999999999991</v>
      </c>
      <c r="V4" s="344">
        <f t="shared" si="0"/>
        <v>564</v>
      </c>
      <c r="W4" s="344">
        <f t="shared" si="0"/>
        <v>607</v>
      </c>
      <c r="X4" s="344">
        <f t="shared" si="0"/>
        <v>666</v>
      </c>
      <c r="Y4" s="344">
        <f t="shared" si="0"/>
        <v>667.5</v>
      </c>
      <c r="Z4" s="344">
        <f t="shared" si="0"/>
        <v>558.6</v>
      </c>
      <c r="AA4" s="344">
        <f t="shared" si="0"/>
        <v>491.3</v>
      </c>
      <c r="AB4" s="344">
        <f t="shared" si="0"/>
        <v>517.70000000000005</v>
      </c>
      <c r="AC4" s="344">
        <f t="shared" si="0"/>
        <v>546.1</v>
      </c>
      <c r="AD4" s="344">
        <f t="shared" si="0"/>
        <v>553.20000000000005</v>
      </c>
      <c r="AE4" s="344">
        <f t="shared" si="0"/>
        <v>538.4</v>
      </c>
      <c r="AF4" s="344">
        <f t="shared" si="0"/>
        <v>535.29999999999995</v>
      </c>
      <c r="AG4" s="344">
        <f t="shared" si="0"/>
        <v>537</v>
      </c>
      <c r="AH4" s="344">
        <f t="shared" si="0"/>
        <v>481.4</v>
      </c>
      <c r="AI4" s="344">
        <f t="shared" si="0"/>
        <v>441.4</v>
      </c>
      <c r="AJ4" s="344">
        <f t="shared" si="0"/>
        <v>437</v>
      </c>
      <c r="AK4" s="344">
        <f t="shared" si="0"/>
        <v>456.7</v>
      </c>
      <c r="AL4" s="344">
        <f t="shared" si="0"/>
        <v>397.8</v>
      </c>
      <c r="AM4" s="344">
        <f t="shared" si="0"/>
        <v>361.9</v>
      </c>
      <c r="AN4" s="344">
        <f t="shared" si="0"/>
        <v>393.8</v>
      </c>
      <c r="AO4" s="344">
        <f t="shared" si="0"/>
        <v>327</v>
      </c>
      <c r="AP4" s="344">
        <f t="shared" si="0"/>
        <v>311.79999999999995</v>
      </c>
      <c r="AQ4" s="344">
        <f t="shared" si="0"/>
        <v>290.89999999999998</v>
      </c>
      <c r="AR4" s="344">
        <f t="shared" si="0"/>
        <v>244.8</v>
      </c>
      <c r="AS4" s="344">
        <f t="shared" si="0"/>
        <v>258.60000000000002</v>
      </c>
      <c r="AT4" s="344">
        <f t="shared" si="0"/>
        <v>260</v>
      </c>
      <c r="AU4" s="344">
        <f t="shared" si="0"/>
        <v>278.59999999999997</v>
      </c>
      <c r="AV4" s="344">
        <f t="shared" si="0"/>
        <v>280.2</v>
      </c>
      <c r="AW4" s="344">
        <f t="shared" si="0"/>
        <v>290</v>
      </c>
      <c r="AX4" s="344">
        <f t="shared" si="0"/>
        <v>335.7</v>
      </c>
      <c r="AY4" s="369">
        <f t="shared" si="0"/>
        <v>357.6</v>
      </c>
      <c r="AZ4" s="366">
        <f>AZ8+AZ12+AZ16+AZ20+AZ24+AZ28+AZ32</f>
        <v>357.6</v>
      </c>
      <c r="BA4" s="373">
        <f>AZ4-AY4</f>
        <v>0</v>
      </c>
      <c r="BB4" s="374">
        <f>AY4-AX4</f>
        <v>21.900000000000034</v>
      </c>
      <c r="BC4" s="375">
        <f>AZ4-AX4</f>
        <v>21.900000000000034</v>
      </c>
      <c r="BD4" s="350">
        <f t="shared" ref="BD4:BD6" si="1">IFERROR((AX4/AS4)^(1/5)-1,0)</f>
        <v>5.3572834414964632E-2</v>
      </c>
      <c r="BF4" s="319" t="b">
        <v>0</v>
      </c>
      <c r="BH4" s="311"/>
      <c r="BI4" s="311"/>
      <c r="BJ4" s="311"/>
      <c r="BK4" s="311"/>
    </row>
    <row r="5" spans="1:63" ht="15" customHeight="1">
      <c r="A5" s="318" t="s">
        <v>353</v>
      </c>
      <c r="B5" s="345">
        <f>B6/B4*1000</f>
        <v>1010.1762054364158</v>
      </c>
      <c r="C5" s="345">
        <f t="shared" ref="C5:AY5" si="2">C6/C4*1000</f>
        <v>2551.4981273408243</v>
      </c>
      <c r="D5" s="345">
        <f t="shared" si="2"/>
        <v>2950.0151636293458</v>
      </c>
      <c r="E5" s="345">
        <f t="shared" si="2"/>
        <v>3660.113161296822</v>
      </c>
      <c r="F5" s="345">
        <f t="shared" si="2"/>
        <v>3571.7256581957326</v>
      </c>
      <c r="G5" s="345">
        <f t="shared" si="2"/>
        <v>3479.7073650976868</v>
      </c>
      <c r="H5" s="345">
        <f t="shared" si="2"/>
        <v>3329.8232632267977</v>
      </c>
      <c r="I5" s="345">
        <f t="shared" si="2"/>
        <v>3875.588889455496</v>
      </c>
      <c r="J5" s="345">
        <f t="shared" si="2"/>
        <v>3729.9704393499192</v>
      </c>
      <c r="K5" s="345">
        <f t="shared" si="2"/>
        <v>4045.8815679379782</v>
      </c>
      <c r="L5" s="345">
        <f t="shared" si="2"/>
        <v>3387.1407827431453</v>
      </c>
      <c r="M5" s="345">
        <f t="shared" si="2"/>
        <v>2447.6138759343262</v>
      </c>
      <c r="N5" s="345">
        <f t="shared" si="2"/>
        <v>2509.9138717389842</v>
      </c>
      <c r="O5" s="345">
        <f t="shared" si="2"/>
        <v>3123.1398573943443</v>
      </c>
      <c r="P5" s="345">
        <f t="shared" si="2"/>
        <v>2895.8627174424068</v>
      </c>
      <c r="Q5" s="345">
        <f t="shared" si="2"/>
        <v>3619.3078324225867</v>
      </c>
      <c r="R5" s="345">
        <f t="shared" si="2"/>
        <v>3912.5136017410227</v>
      </c>
      <c r="S5" s="345">
        <f t="shared" si="2"/>
        <v>4544.4985394352479</v>
      </c>
      <c r="T5" s="345">
        <f t="shared" si="2"/>
        <v>3721.9441304698857</v>
      </c>
      <c r="U5" s="345">
        <f t="shared" si="2"/>
        <v>3921.4237743451986</v>
      </c>
      <c r="V5" s="345">
        <f t="shared" si="2"/>
        <v>4139.0070921985816</v>
      </c>
      <c r="W5" s="345">
        <f t="shared" si="2"/>
        <v>2639.2092257001646</v>
      </c>
      <c r="X5" s="345">
        <f t="shared" si="2"/>
        <v>1986.036036036036</v>
      </c>
      <c r="Y5" s="345">
        <f t="shared" si="2"/>
        <v>2046.2921348314608</v>
      </c>
      <c r="Z5" s="345">
        <f t="shared" si="2"/>
        <v>2245.4350161117077</v>
      </c>
      <c r="AA5" s="345">
        <f t="shared" si="2"/>
        <v>2248.3207815998371</v>
      </c>
      <c r="AB5" s="345">
        <f t="shared" si="2"/>
        <v>2214.9893760865366</v>
      </c>
      <c r="AC5" s="345">
        <f t="shared" si="2"/>
        <v>3105.1089544039551</v>
      </c>
      <c r="AD5" s="345">
        <f t="shared" si="2"/>
        <v>2951.5545914678232</v>
      </c>
      <c r="AE5" s="345">
        <f t="shared" si="2"/>
        <v>3234.7696879643395</v>
      </c>
      <c r="AF5" s="345">
        <f t="shared" si="2"/>
        <v>3435.0831309546056</v>
      </c>
      <c r="AG5" s="345">
        <f t="shared" si="2"/>
        <v>4313.2216014897585</v>
      </c>
      <c r="AH5" s="345">
        <f t="shared" si="2"/>
        <v>4107.1873701703371</v>
      </c>
      <c r="AI5" s="345">
        <f t="shared" si="2"/>
        <v>5115.5414589941101</v>
      </c>
      <c r="AJ5" s="345">
        <f t="shared" si="2"/>
        <v>4847.5972540045768</v>
      </c>
      <c r="AK5" s="345">
        <f t="shared" si="2"/>
        <v>5989.0518940223346</v>
      </c>
      <c r="AL5" s="345">
        <f t="shared" si="2"/>
        <v>7598.2905982905977</v>
      </c>
      <c r="AM5" s="345">
        <f t="shared" si="2"/>
        <v>7567.560099474993</v>
      </c>
      <c r="AN5" s="345">
        <f t="shared" si="2"/>
        <v>9962.417470797358</v>
      </c>
      <c r="AO5" s="345">
        <f t="shared" si="2"/>
        <v>12039.14373088685</v>
      </c>
      <c r="AP5" s="345">
        <f t="shared" si="2"/>
        <v>15444.515715202057</v>
      </c>
      <c r="AQ5" s="345">
        <f t="shared" si="2"/>
        <v>15472.671020969407</v>
      </c>
      <c r="AR5" s="345">
        <f t="shared" si="2"/>
        <v>23068.627450980392</v>
      </c>
      <c r="AS5" s="345">
        <f t="shared" si="2"/>
        <v>23645.011600928072</v>
      </c>
      <c r="AT5" s="345">
        <f t="shared" si="2"/>
        <v>3251.5246153846156</v>
      </c>
      <c r="AU5" s="345">
        <f t="shared" si="2"/>
        <v>3556.9698492462308</v>
      </c>
      <c r="AV5" s="345">
        <f t="shared" si="2"/>
        <v>3800.4857244825125</v>
      </c>
      <c r="AW5" s="345">
        <f t="shared" si="2"/>
        <v>3884.6913793103449</v>
      </c>
      <c r="AX5" s="345">
        <f t="shared" si="2"/>
        <v>4115.3240988978259</v>
      </c>
      <c r="AY5" s="346">
        <f t="shared" si="2"/>
        <v>3948.4821029082768</v>
      </c>
      <c r="AZ5" s="347">
        <f>AZ6/AZ4*1000</f>
        <v>3988.1951901565999</v>
      </c>
      <c r="BA5" s="347">
        <f>AZ5-AY5</f>
        <v>39.713087248323063</v>
      </c>
      <c r="BB5" s="351">
        <f t="shared" ref="BB5:BB6" si="3">AY5-AX5</f>
        <v>-166.8419959895491</v>
      </c>
      <c r="BC5" s="352">
        <f t="shared" ref="BC5:BC6" si="4">AZ5-AX5</f>
        <v>-127.12890874122604</v>
      </c>
      <c r="BD5" s="353">
        <f t="shared" si="1"/>
        <v>-0.29509124851656487</v>
      </c>
    </row>
    <row r="6" spans="1:63" ht="15" customHeight="1">
      <c r="A6" s="318" t="s">
        <v>354</v>
      </c>
      <c r="B6" s="344">
        <f>B10+B14+B18+B22+B26+B30+B34</f>
        <v>118.328</v>
      </c>
      <c r="C6" s="344">
        <f t="shared" ref="C6:AY6" si="5">C10+C14+C18+C22+C26+C30+C34</f>
        <v>327</v>
      </c>
      <c r="D6" s="344">
        <f t="shared" si="5"/>
        <v>321</v>
      </c>
      <c r="E6" s="344">
        <f t="shared" si="5"/>
        <v>654</v>
      </c>
      <c r="F6" s="344">
        <f t="shared" si="5"/>
        <v>687</v>
      </c>
      <c r="G6" s="344">
        <f t="shared" si="5"/>
        <v>820</v>
      </c>
      <c r="H6" s="344">
        <f t="shared" si="5"/>
        <v>585</v>
      </c>
      <c r="I6" s="344">
        <f t="shared" si="5"/>
        <v>988</v>
      </c>
      <c r="J6" s="344">
        <f t="shared" si="5"/>
        <v>882</v>
      </c>
      <c r="K6" s="344">
        <f t="shared" si="5"/>
        <v>1146</v>
      </c>
      <c r="L6" s="344">
        <f t="shared" si="5"/>
        <v>1080</v>
      </c>
      <c r="M6" s="344">
        <f t="shared" si="5"/>
        <v>1226</v>
      </c>
      <c r="N6" s="344">
        <f t="shared" si="5"/>
        <v>1307</v>
      </c>
      <c r="O6" s="344">
        <f t="shared" si="5"/>
        <v>1233</v>
      </c>
      <c r="P6" s="344">
        <f t="shared" si="5"/>
        <v>1231.8999999999999</v>
      </c>
      <c r="Q6" s="344">
        <f t="shared" si="5"/>
        <v>1589.6</v>
      </c>
      <c r="R6" s="344">
        <f t="shared" si="5"/>
        <v>1797.8</v>
      </c>
      <c r="S6" s="344">
        <f t="shared" si="5"/>
        <v>2333.6</v>
      </c>
      <c r="T6" s="344">
        <f t="shared" si="5"/>
        <v>2305</v>
      </c>
      <c r="U6" s="344">
        <f t="shared" si="5"/>
        <v>2335.6</v>
      </c>
      <c r="V6" s="344">
        <f t="shared" si="5"/>
        <v>2334.4</v>
      </c>
      <c r="W6" s="344">
        <f t="shared" si="5"/>
        <v>1601.9999999999998</v>
      </c>
      <c r="X6" s="344">
        <f t="shared" si="5"/>
        <v>1322.7</v>
      </c>
      <c r="Y6" s="344">
        <f t="shared" si="5"/>
        <v>1365.9</v>
      </c>
      <c r="Z6" s="344">
        <f t="shared" si="5"/>
        <v>1254.3</v>
      </c>
      <c r="AA6" s="344">
        <f t="shared" si="5"/>
        <v>1104.5999999999999</v>
      </c>
      <c r="AB6" s="344">
        <f t="shared" si="5"/>
        <v>1146.7</v>
      </c>
      <c r="AC6" s="344">
        <f t="shared" si="5"/>
        <v>1695.6999999999998</v>
      </c>
      <c r="AD6" s="344">
        <f t="shared" si="5"/>
        <v>1632.8</v>
      </c>
      <c r="AE6" s="344">
        <f t="shared" si="5"/>
        <v>1741.6000000000001</v>
      </c>
      <c r="AF6" s="344">
        <f t="shared" si="5"/>
        <v>1838.8000000000002</v>
      </c>
      <c r="AG6" s="344">
        <f t="shared" si="5"/>
        <v>2316.2000000000003</v>
      </c>
      <c r="AH6" s="344">
        <f t="shared" si="5"/>
        <v>1977.1999999999998</v>
      </c>
      <c r="AI6" s="344">
        <f t="shared" si="5"/>
        <v>2258</v>
      </c>
      <c r="AJ6" s="344">
        <f t="shared" si="5"/>
        <v>2118.4</v>
      </c>
      <c r="AK6" s="344">
        <f t="shared" si="5"/>
        <v>2735.2</v>
      </c>
      <c r="AL6" s="344">
        <f t="shared" si="5"/>
        <v>3022.6</v>
      </c>
      <c r="AM6" s="344">
        <f t="shared" si="5"/>
        <v>2738.7</v>
      </c>
      <c r="AN6" s="344">
        <f t="shared" si="5"/>
        <v>3923.2</v>
      </c>
      <c r="AO6" s="344">
        <f t="shared" si="5"/>
        <v>3936.8</v>
      </c>
      <c r="AP6" s="344">
        <f t="shared" si="5"/>
        <v>4815.6000000000004</v>
      </c>
      <c r="AQ6" s="344">
        <f t="shared" si="5"/>
        <v>4501</v>
      </c>
      <c r="AR6" s="344">
        <f t="shared" si="5"/>
        <v>5647.2</v>
      </c>
      <c r="AS6" s="344">
        <f t="shared" si="5"/>
        <v>6114.6</v>
      </c>
      <c r="AT6" s="344">
        <f t="shared" si="5"/>
        <v>845.39640000000009</v>
      </c>
      <c r="AU6" s="344">
        <f t="shared" si="5"/>
        <v>990.9717999999998</v>
      </c>
      <c r="AV6" s="344">
        <f t="shared" si="5"/>
        <v>1064.8960999999999</v>
      </c>
      <c r="AW6" s="344">
        <f t="shared" si="5"/>
        <v>1126.5605</v>
      </c>
      <c r="AX6" s="344">
        <f t="shared" si="5"/>
        <v>1381.5143</v>
      </c>
      <c r="AY6" s="365">
        <f t="shared" si="5"/>
        <v>1411.9771999999998</v>
      </c>
      <c r="AZ6" s="366">
        <f>AZ10+AZ14+AZ18+AZ22+AZ26+AZ30+AZ34</f>
        <v>1426.1786000000002</v>
      </c>
      <c r="BA6" s="366">
        <f>AZ6-AY6</f>
        <v>14.201400000000376</v>
      </c>
      <c r="BB6" s="367">
        <f t="shared" si="3"/>
        <v>30.462899999999763</v>
      </c>
      <c r="BC6" s="368">
        <f t="shared" si="4"/>
        <v>44.664300000000139</v>
      </c>
      <c r="BD6" s="353">
        <f t="shared" si="1"/>
        <v>-0.25732728869568333</v>
      </c>
      <c r="BH6" s="311"/>
      <c r="BI6" s="311"/>
      <c r="BJ6" s="311"/>
      <c r="BK6" s="311"/>
    </row>
    <row r="7" spans="1:63" s="311" customFormat="1" ht="15" customHeight="1">
      <c r="A7" s="320" t="s">
        <v>355</v>
      </c>
      <c r="B7" s="354"/>
      <c r="C7" s="354"/>
      <c r="D7" s="354"/>
      <c r="E7" s="354"/>
      <c r="F7" s="354"/>
      <c r="G7" s="354"/>
      <c r="H7" s="354"/>
      <c r="I7" s="354"/>
      <c r="J7" s="354"/>
      <c r="K7" s="354"/>
      <c r="L7" s="354"/>
      <c r="M7" s="354"/>
      <c r="N7" s="354"/>
      <c r="O7" s="354"/>
      <c r="P7" s="354"/>
      <c r="Q7" s="354"/>
      <c r="R7" s="354"/>
      <c r="S7" s="354"/>
      <c r="T7" s="354"/>
      <c r="U7" s="354"/>
      <c r="V7" s="354"/>
      <c r="W7" s="354"/>
      <c r="X7" s="354"/>
      <c r="Y7" s="354"/>
      <c r="Z7" s="354"/>
      <c r="AA7" s="354"/>
      <c r="AB7" s="354"/>
      <c r="AC7" s="354"/>
      <c r="AD7" s="354"/>
      <c r="AE7" s="354"/>
      <c r="AF7" s="354"/>
      <c r="AG7" s="354"/>
      <c r="AH7" s="354"/>
      <c r="AI7" s="354"/>
      <c r="AJ7" s="354"/>
      <c r="AK7" s="354"/>
      <c r="AL7" s="354"/>
      <c r="AM7" s="354"/>
      <c r="AN7" s="354"/>
      <c r="AO7" s="354"/>
      <c r="AP7" s="354"/>
      <c r="AQ7" s="354"/>
      <c r="AR7" s="354"/>
      <c r="AS7" s="354"/>
      <c r="AT7" s="322"/>
      <c r="AU7" s="322"/>
      <c r="AV7" s="322"/>
      <c r="AW7" s="322"/>
      <c r="AX7" s="328"/>
      <c r="AY7" s="321"/>
      <c r="AZ7" s="322"/>
      <c r="BA7" s="323"/>
      <c r="BB7" s="321"/>
      <c r="BC7" s="328"/>
      <c r="BD7" s="329"/>
      <c r="BE7" s="309"/>
      <c r="BF7"/>
      <c r="BG7" s="308"/>
      <c r="BH7" s="309"/>
      <c r="BI7" s="309"/>
      <c r="BJ7" s="309"/>
      <c r="BK7" s="309"/>
    </row>
    <row r="8" spans="1:63" ht="15" customHeight="1">
      <c r="A8" s="324" t="s">
        <v>352</v>
      </c>
      <c r="B8" s="344">
        <v>4.8</v>
      </c>
      <c r="C8" s="344">
        <v>3.2</v>
      </c>
      <c r="D8" s="344">
        <v>3.2</v>
      </c>
      <c r="E8" s="344">
        <v>6</v>
      </c>
      <c r="F8" s="344">
        <v>16</v>
      </c>
      <c r="G8" s="344">
        <v>4.5999999999999996</v>
      </c>
      <c r="H8" s="344">
        <v>7</v>
      </c>
      <c r="I8" s="344">
        <v>5</v>
      </c>
      <c r="J8" s="344">
        <v>6.7</v>
      </c>
      <c r="K8" s="344">
        <v>6.7</v>
      </c>
      <c r="L8" s="344">
        <v>9.4</v>
      </c>
      <c r="M8" s="344">
        <v>3.3</v>
      </c>
      <c r="N8" s="344">
        <v>5.0999999999999996</v>
      </c>
      <c r="O8" s="344">
        <v>3.2</v>
      </c>
      <c r="P8" s="344">
        <v>3.2</v>
      </c>
      <c r="Q8" s="344">
        <v>5</v>
      </c>
      <c r="R8" s="344">
        <v>5</v>
      </c>
      <c r="S8" s="344">
        <v>5</v>
      </c>
      <c r="T8" s="344">
        <v>12.8</v>
      </c>
      <c r="U8" s="344">
        <v>12.8</v>
      </c>
      <c r="V8" s="344">
        <v>12.8</v>
      </c>
      <c r="W8" s="344">
        <v>13.5</v>
      </c>
      <c r="X8" s="344">
        <v>15</v>
      </c>
      <c r="Y8" s="344">
        <v>15</v>
      </c>
      <c r="Z8" s="344">
        <v>11</v>
      </c>
      <c r="AA8" s="344">
        <v>9.5</v>
      </c>
      <c r="AB8" s="344">
        <v>8.9</v>
      </c>
      <c r="AC8" s="344">
        <v>17.3</v>
      </c>
      <c r="AD8" s="344">
        <v>13</v>
      </c>
      <c r="AE8" s="344">
        <v>12.2</v>
      </c>
      <c r="AF8" s="344">
        <v>12.2</v>
      </c>
      <c r="AG8" s="344">
        <v>6.4</v>
      </c>
      <c r="AH8" s="344">
        <v>6.5</v>
      </c>
      <c r="AI8" s="344">
        <v>6.5</v>
      </c>
      <c r="AJ8" s="344">
        <v>6.5</v>
      </c>
      <c r="AK8" s="344">
        <v>6.5</v>
      </c>
      <c r="AL8" s="344">
        <v>6.5</v>
      </c>
      <c r="AM8" s="344">
        <v>6.2</v>
      </c>
      <c r="AN8" s="344">
        <v>6.2</v>
      </c>
      <c r="AO8" s="344">
        <v>0</v>
      </c>
      <c r="AP8" s="344">
        <v>0</v>
      </c>
      <c r="AQ8" s="344">
        <v>0</v>
      </c>
      <c r="AR8" s="344">
        <v>0</v>
      </c>
      <c r="AS8" s="344">
        <v>0</v>
      </c>
      <c r="AT8" s="344">
        <v>0</v>
      </c>
      <c r="AU8" s="344">
        <v>0</v>
      </c>
      <c r="AV8" s="344">
        <v>0</v>
      </c>
      <c r="AW8" s="344">
        <v>0</v>
      </c>
      <c r="AX8" s="344">
        <v>0</v>
      </c>
      <c r="AY8" s="369">
        <v>0</v>
      </c>
      <c r="AZ8" s="366">
        <v>0</v>
      </c>
      <c r="BA8" s="366">
        <f>AZ8-AY8</f>
        <v>0</v>
      </c>
      <c r="BB8" s="367">
        <f>AY8-AX8</f>
        <v>0</v>
      </c>
      <c r="BC8" s="368">
        <f>AZ8-AX8</f>
        <v>0</v>
      </c>
      <c r="BD8" s="353">
        <f>IFERROR((AX8/AS8)^(1/5)-1,0)</f>
        <v>0</v>
      </c>
      <c r="BF8" s="319" t="b">
        <v>0</v>
      </c>
      <c r="BH8" s="311"/>
      <c r="BI8" s="311"/>
      <c r="BJ8" s="311"/>
      <c r="BK8" s="311"/>
    </row>
    <row r="9" spans="1:63" ht="15" customHeight="1">
      <c r="A9" s="324" t="s">
        <v>353</v>
      </c>
      <c r="B9" s="345">
        <v>1020.8333333333335</v>
      </c>
      <c r="C9" s="345">
        <v>937.5</v>
      </c>
      <c r="D9" s="345">
        <v>937.5</v>
      </c>
      <c r="E9" s="345">
        <v>950</v>
      </c>
      <c r="F9" s="345">
        <v>937.5</v>
      </c>
      <c r="G9" s="345">
        <v>913.04347826086962</v>
      </c>
      <c r="H9" s="345">
        <v>442.85714285714289</v>
      </c>
      <c r="I9" s="345">
        <v>820</v>
      </c>
      <c r="J9" s="345">
        <v>835.82089552238801</v>
      </c>
      <c r="K9" s="345">
        <v>835.82089552238801</v>
      </c>
      <c r="L9" s="345">
        <v>627.65957446808511</v>
      </c>
      <c r="M9" s="345">
        <v>606.06060606060612</v>
      </c>
      <c r="N9" s="345">
        <v>1039.2156862745098</v>
      </c>
      <c r="O9" s="345">
        <v>968.75</v>
      </c>
      <c r="P9" s="345">
        <v>975</v>
      </c>
      <c r="Q9" s="345">
        <v>1000</v>
      </c>
      <c r="R9" s="345">
        <v>1000</v>
      </c>
      <c r="S9" s="345">
        <v>1000</v>
      </c>
      <c r="T9" s="345">
        <v>1200</v>
      </c>
      <c r="U9" s="345">
        <v>1200</v>
      </c>
      <c r="V9" s="345">
        <v>1200</v>
      </c>
      <c r="W9" s="345">
        <v>1200</v>
      </c>
      <c r="X9" s="345">
        <v>1300</v>
      </c>
      <c r="Y9" s="345">
        <v>1300</v>
      </c>
      <c r="Z9" s="345">
        <v>1500</v>
      </c>
      <c r="AA9" s="345">
        <v>3600</v>
      </c>
      <c r="AB9" s="345">
        <v>4800</v>
      </c>
      <c r="AC9" s="345">
        <v>2500</v>
      </c>
      <c r="AD9" s="345">
        <v>2000</v>
      </c>
      <c r="AE9" s="345">
        <v>2000</v>
      </c>
      <c r="AF9" s="345">
        <v>2000</v>
      </c>
      <c r="AG9" s="345">
        <v>2000</v>
      </c>
      <c r="AH9" s="345">
        <v>1969</v>
      </c>
      <c r="AI9" s="345">
        <v>1969</v>
      </c>
      <c r="AJ9" s="345">
        <v>2000</v>
      </c>
      <c r="AK9" s="345">
        <v>2000</v>
      </c>
      <c r="AL9" s="345">
        <v>2000</v>
      </c>
      <c r="AM9" s="345">
        <v>923</v>
      </c>
      <c r="AN9" s="345">
        <v>2483</v>
      </c>
      <c r="AO9" s="345">
        <v>0</v>
      </c>
      <c r="AP9" s="345">
        <v>0</v>
      </c>
      <c r="AQ9" s="345">
        <v>0</v>
      </c>
      <c r="AR9" s="345">
        <v>0</v>
      </c>
      <c r="AS9" s="345">
        <v>0</v>
      </c>
      <c r="AT9" s="345">
        <v>0</v>
      </c>
      <c r="AU9" s="345">
        <v>0</v>
      </c>
      <c r="AV9" s="345">
        <v>0</v>
      </c>
      <c r="AW9" s="345">
        <v>0</v>
      </c>
      <c r="AX9" s="345">
        <v>0</v>
      </c>
      <c r="AY9" s="346">
        <v>0</v>
      </c>
      <c r="AZ9" s="347">
        <v>0</v>
      </c>
      <c r="BA9" s="347">
        <f>AZ9-AY9</f>
        <v>0</v>
      </c>
      <c r="BB9" s="351">
        <f>AY9-AX9</f>
        <v>0</v>
      </c>
      <c r="BC9" s="352">
        <f>AZ9-AX9</f>
        <v>0</v>
      </c>
      <c r="BD9" s="353">
        <f t="shared" ref="BD9:BD72" si="6">IFERROR((AX9/AS9)^(1/5)-1,0)</f>
        <v>0</v>
      </c>
    </row>
    <row r="10" spans="1:63" s="311" customFormat="1" ht="15" customHeight="1">
      <c r="A10" s="324" t="s">
        <v>354</v>
      </c>
      <c r="B10" s="344">
        <f>B9*B8/1000</f>
        <v>4.9000000000000012</v>
      </c>
      <c r="C10" s="344">
        <v>3</v>
      </c>
      <c r="D10" s="344">
        <v>3</v>
      </c>
      <c r="E10" s="344">
        <v>6</v>
      </c>
      <c r="F10" s="344">
        <v>15</v>
      </c>
      <c r="G10" s="344">
        <v>4</v>
      </c>
      <c r="H10" s="344">
        <v>3</v>
      </c>
      <c r="I10" s="344">
        <v>4</v>
      </c>
      <c r="J10" s="344">
        <v>6</v>
      </c>
      <c r="K10" s="344">
        <v>6</v>
      </c>
      <c r="L10" s="344">
        <v>6</v>
      </c>
      <c r="M10" s="344">
        <v>2</v>
      </c>
      <c r="N10" s="344">
        <v>5</v>
      </c>
      <c r="O10" s="344">
        <v>3</v>
      </c>
      <c r="P10" s="344">
        <v>3.1</v>
      </c>
      <c r="Q10" s="344">
        <v>5</v>
      </c>
      <c r="R10" s="344">
        <v>5</v>
      </c>
      <c r="S10" s="344">
        <v>5</v>
      </c>
      <c r="T10" s="344">
        <v>15.4</v>
      </c>
      <c r="U10" s="344">
        <v>15.4</v>
      </c>
      <c r="V10" s="344">
        <v>15.4</v>
      </c>
      <c r="W10" s="344">
        <v>16.2</v>
      </c>
      <c r="X10" s="344">
        <v>19.5</v>
      </c>
      <c r="Y10" s="344">
        <v>19.5</v>
      </c>
      <c r="Z10" s="344">
        <v>16.5</v>
      </c>
      <c r="AA10" s="344">
        <v>34.200000000000003</v>
      </c>
      <c r="AB10" s="344">
        <v>42.7</v>
      </c>
      <c r="AC10" s="344">
        <v>43.3</v>
      </c>
      <c r="AD10" s="344">
        <v>26</v>
      </c>
      <c r="AE10" s="344">
        <v>24.4</v>
      </c>
      <c r="AF10" s="344">
        <v>24.4</v>
      </c>
      <c r="AG10" s="344">
        <v>12.8</v>
      </c>
      <c r="AH10" s="344">
        <v>12.8</v>
      </c>
      <c r="AI10" s="344">
        <v>12.8</v>
      </c>
      <c r="AJ10" s="344">
        <v>13</v>
      </c>
      <c r="AK10" s="344">
        <v>13</v>
      </c>
      <c r="AL10" s="344">
        <v>13</v>
      </c>
      <c r="AM10" s="344">
        <v>5.7</v>
      </c>
      <c r="AN10" s="344">
        <v>15.4</v>
      </c>
      <c r="AO10" s="344">
        <v>14</v>
      </c>
      <c r="AP10" s="344">
        <v>45.6</v>
      </c>
      <c r="AQ10" s="344">
        <v>46.6</v>
      </c>
      <c r="AR10" s="344">
        <v>78</v>
      </c>
      <c r="AS10" s="344">
        <v>90</v>
      </c>
      <c r="AT10" s="344">
        <f t="shared" ref="AT10:AY10" si="7">AT9*AT8/1000</f>
        <v>0</v>
      </c>
      <c r="AU10" s="344">
        <f t="shared" si="7"/>
        <v>0</v>
      </c>
      <c r="AV10" s="344">
        <f t="shared" si="7"/>
        <v>0</v>
      </c>
      <c r="AW10" s="344">
        <f t="shared" si="7"/>
        <v>0</v>
      </c>
      <c r="AX10" s="344">
        <f t="shared" si="7"/>
        <v>0</v>
      </c>
      <c r="AY10" s="365">
        <f t="shared" si="7"/>
        <v>0</v>
      </c>
      <c r="AZ10" s="366">
        <f>AZ8*AZ9/1000</f>
        <v>0</v>
      </c>
      <c r="BA10" s="366">
        <f>AZ10-AY10</f>
        <v>0</v>
      </c>
      <c r="BB10" s="367">
        <f>AY10-AX10</f>
        <v>0</v>
      </c>
      <c r="BC10" s="368">
        <f>AZ10-AX10</f>
        <v>0</v>
      </c>
      <c r="BD10" s="353">
        <f t="shared" si="6"/>
        <v>-1</v>
      </c>
      <c r="BE10" s="309"/>
      <c r="BF10"/>
      <c r="BG10" s="308"/>
    </row>
    <row r="11" spans="1:63" ht="15" customHeight="1">
      <c r="A11" s="320" t="s">
        <v>356</v>
      </c>
      <c r="B11" s="355"/>
      <c r="C11" s="355"/>
      <c r="D11" s="355"/>
      <c r="E11" s="355"/>
      <c r="F11" s="355"/>
      <c r="G11" s="355"/>
      <c r="H11" s="355"/>
      <c r="I11" s="355"/>
      <c r="J11" s="355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/>
      <c r="AA11" s="355"/>
      <c r="AB11" s="355"/>
      <c r="AC11" s="355"/>
      <c r="AD11" s="355"/>
      <c r="AE11" s="355"/>
      <c r="AF11" s="355"/>
      <c r="AG11" s="355"/>
      <c r="AH11" s="355"/>
      <c r="AI11" s="355"/>
      <c r="AJ11" s="355"/>
      <c r="AK11" s="355"/>
      <c r="AL11" s="355"/>
      <c r="AM11" s="355"/>
      <c r="AN11" s="355"/>
      <c r="AO11" s="355"/>
      <c r="AP11" s="355"/>
      <c r="AQ11" s="355"/>
      <c r="AR11" s="355"/>
      <c r="AS11" s="355"/>
      <c r="AT11" s="326"/>
      <c r="AU11" s="326"/>
      <c r="AV11" s="326"/>
      <c r="AW11" s="326"/>
      <c r="AX11" s="328"/>
      <c r="AY11" s="325"/>
      <c r="AZ11" s="326"/>
      <c r="BA11" s="327"/>
      <c r="BB11" s="325"/>
      <c r="BC11" s="326"/>
      <c r="BD11" s="327"/>
    </row>
    <row r="12" spans="1:63" ht="15" customHeight="1">
      <c r="A12" s="324" t="s">
        <v>352</v>
      </c>
      <c r="B12" s="344">
        <v>22.7</v>
      </c>
      <c r="C12" s="344">
        <v>35.299999999999997</v>
      </c>
      <c r="D12" s="344">
        <v>35.799999999999997</v>
      </c>
      <c r="E12" s="344">
        <v>63</v>
      </c>
      <c r="F12" s="344">
        <v>70</v>
      </c>
      <c r="G12" s="344">
        <v>81</v>
      </c>
      <c r="H12" s="344">
        <v>66.7</v>
      </c>
      <c r="I12" s="344">
        <v>113</v>
      </c>
      <c r="J12" s="344">
        <v>91</v>
      </c>
      <c r="K12" s="344">
        <v>105.6</v>
      </c>
      <c r="L12" s="344">
        <v>107.3</v>
      </c>
      <c r="M12" s="344">
        <v>122.2</v>
      </c>
      <c r="N12" s="344">
        <v>130</v>
      </c>
      <c r="O12" s="344">
        <v>117</v>
      </c>
      <c r="P12" s="344">
        <v>117</v>
      </c>
      <c r="Q12" s="344">
        <v>146.69999999999999</v>
      </c>
      <c r="R12" s="344">
        <v>154</v>
      </c>
      <c r="S12" s="344">
        <v>196</v>
      </c>
      <c r="T12" s="344">
        <v>201.9</v>
      </c>
      <c r="U12" s="344">
        <v>208</v>
      </c>
      <c r="V12" s="344">
        <v>203.4</v>
      </c>
      <c r="W12" s="344">
        <v>144.4</v>
      </c>
      <c r="X12" s="344">
        <v>140.1</v>
      </c>
      <c r="Y12" s="344">
        <v>128.19999999999999</v>
      </c>
      <c r="Z12" s="344">
        <v>125</v>
      </c>
      <c r="AA12" s="344">
        <v>98</v>
      </c>
      <c r="AB12" s="344">
        <v>100</v>
      </c>
      <c r="AC12" s="344">
        <v>116</v>
      </c>
      <c r="AD12" s="344">
        <v>124.1</v>
      </c>
      <c r="AE12" s="344">
        <v>125</v>
      </c>
      <c r="AF12" s="344">
        <v>118.1</v>
      </c>
      <c r="AG12" s="344">
        <v>135.6</v>
      </c>
      <c r="AH12" s="344">
        <v>115.3</v>
      </c>
      <c r="AI12" s="344">
        <v>104.8</v>
      </c>
      <c r="AJ12" s="344">
        <v>93.7</v>
      </c>
      <c r="AK12" s="344">
        <v>93.9</v>
      </c>
      <c r="AL12" s="344">
        <v>76.599999999999994</v>
      </c>
      <c r="AM12" s="344">
        <v>60.9</v>
      </c>
      <c r="AN12" s="344">
        <v>46</v>
      </c>
      <c r="AO12" s="344">
        <v>38.6</v>
      </c>
      <c r="AP12" s="344">
        <v>40.200000000000003</v>
      </c>
      <c r="AQ12" s="344">
        <v>29.1</v>
      </c>
      <c r="AR12" s="344">
        <v>11.3</v>
      </c>
      <c r="AS12" s="344">
        <v>11.9</v>
      </c>
      <c r="AT12" s="344">
        <v>12.6</v>
      </c>
      <c r="AU12" s="344">
        <v>14.7</v>
      </c>
      <c r="AV12" s="344">
        <v>14.7</v>
      </c>
      <c r="AW12" s="344">
        <v>16</v>
      </c>
      <c r="AX12" s="344">
        <v>16.100000000000001</v>
      </c>
      <c r="AY12" s="369">
        <v>16.100000000000001</v>
      </c>
      <c r="AZ12" s="366">
        <v>16.100000000000001</v>
      </c>
      <c r="BA12" s="366">
        <f>AZ12-AY12</f>
        <v>0</v>
      </c>
      <c r="BB12" s="367">
        <f>AY12-AX12</f>
        <v>0</v>
      </c>
      <c r="BC12" s="368">
        <f>AZ12-AX12</f>
        <v>0</v>
      </c>
      <c r="BD12" s="353">
        <f t="shared" si="6"/>
        <v>6.2321039666164868E-2</v>
      </c>
      <c r="BF12" s="319" t="b">
        <v>0</v>
      </c>
      <c r="BH12" s="311"/>
      <c r="BI12" s="311"/>
      <c r="BJ12" s="311"/>
      <c r="BK12" s="311"/>
    </row>
    <row r="13" spans="1:63" ht="15" customHeight="1">
      <c r="A13" s="324" t="s">
        <v>353</v>
      </c>
      <c r="B13" s="345">
        <v>1502.2026431718064</v>
      </c>
      <c r="C13" s="345">
        <v>1526.9121813031161</v>
      </c>
      <c r="D13" s="345">
        <v>1486.0335195530727</v>
      </c>
      <c r="E13" s="345">
        <v>1711.1111111111111</v>
      </c>
      <c r="F13" s="345">
        <v>1600</v>
      </c>
      <c r="G13" s="345">
        <v>1683.9506172839506</v>
      </c>
      <c r="H13" s="345">
        <v>1460.2698650674663</v>
      </c>
      <c r="I13" s="345">
        <v>1449.5575221238939</v>
      </c>
      <c r="J13" s="345">
        <v>1600</v>
      </c>
      <c r="K13" s="345">
        <v>1800.189393939394</v>
      </c>
      <c r="L13" s="345">
        <v>1670.0838769804286</v>
      </c>
      <c r="M13" s="345">
        <v>1670.2127659574469</v>
      </c>
      <c r="N13" s="345">
        <v>1670</v>
      </c>
      <c r="O13" s="345">
        <v>1750.4273504273503</v>
      </c>
      <c r="P13" s="345">
        <v>1750</v>
      </c>
      <c r="Q13" s="345">
        <v>1800</v>
      </c>
      <c r="R13" s="345">
        <v>1940</v>
      </c>
      <c r="S13" s="345">
        <v>1980</v>
      </c>
      <c r="T13" s="345">
        <v>1890</v>
      </c>
      <c r="U13" s="345">
        <v>1859</v>
      </c>
      <c r="V13" s="345">
        <v>1900</v>
      </c>
      <c r="W13" s="345">
        <v>1830</v>
      </c>
      <c r="X13" s="345">
        <v>1550</v>
      </c>
      <c r="Y13" s="345">
        <v>1750</v>
      </c>
      <c r="Z13" s="345">
        <v>1650</v>
      </c>
      <c r="AA13" s="345">
        <v>1820</v>
      </c>
      <c r="AB13" s="345">
        <v>1840</v>
      </c>
      <c r="AC13" s="345">
        <v>2000</v>
      </c>
      <c r="AD13" s="345">
        <v>1860</v>
      </c>
      <c r="AE13" s="345">
        <v>1950</v>
      </c>
      <c r="AF13" s="345">
        <v>2032</v>
      </c>
      <c r="AG13" s="345">
        <v>2250</v>
      </c>
      <c r="AH13" s="345">
        <v>2064</v>
      </c>
      <c r="AI13" s="345">
        <v>2049</v>
      </c>
      <c r="AJ13" s="345">
        <v>2173</v>
      </c>
      <c r="AK13" s="345">
        <v>2201</v>
      </c>
      <c r="AL13" s="345">
        <v>2187</v>
      </c>
      <c r="AM13" s="345">
        <v>2035</v>
      </c>
      <c r="AN13" s="345">
        <v>2174</v>
      </c>
      <c r="AO13" s="345">
        <v>2657</v>
      </c>
      <c r="AP13" s="345">
        <v>2661</v>
      </c>
      <c r="AQ13" s="345">
        <v>2471</v>
      </c>
      <c r="AR13" s="345">
        <v>2492</v>
      </c>
      <c r="AS13" s="345">
        <v>2958</v>
      </c>
      <c r="AT13" s="345">
        <v>3264</v>
      </c>
      <c r="AU13" s="345">
        <v>3253</v>
      </c>
      <c r="AV13" s="345">
        <v>3253</v>
      </c>
      <c r="AW13" s="345">
        <v>3197</v>
      </c>
      <c r="AX13" s="345">
        <v>3538</v>
      </c>
      <c r="AY13" s="346">
        <v>3263</v>
      </c>
      <c r="AZ13" s="347">
        <v>3296</v>
      </c>
      <c r="BA13" s="347">
        <f>AZ13-AY13</f>
        <v>33</v>
      </c>
      <c r="BB13" s="351">
        <f>AY13-AX13</f>
        <v>-275</v>
      </c>
      <c r="BC13" s="352">
        <f>AZ13-AX13</f>
        <v>-242</v>
      </c>
      <c r="BD13" s="353">
        <f t="shared" si="6"/>
        <v>3.6458533984520258E-2</v>
      </c>
    </row>
    <row r="14" spans="1:63" s="311" customFormat="1" ht="15" customHeight="1">
      <c r="A14" s="324" t="s">
        <v>354</v>
      </c>
      <c r="B14" s="344">
        <f>B13*B12/1000</f>
        <v>34.1</v>
      </c>
      <c r="C14" s="344">
        <v>54</v>
      </c>
      <c r="D14" s="344">
        <v>53</v>
      </c>
      <c r="E14" s="344">
        <v>108</v>
      </c>
      <c r="F14" s="344">
        <v>112</v>
      </c>
      <c r="G14" s="344">
        <v>136</v>
      </c>
      <c r="H14" s="344">
        <v>97</v>
      </c>
      <c r="I14" s="344">
        <v>164</v>
      </c>
      <c r="J14" s="344">
        <v>146</v>
      </c>
      <c r="K14" s="344">
        <v>190</v>
      </c>
      <c r="L14" s="344">
        <v>179</v>
      </c>
      <c r="M14" s="344">
        <v>204</v>
      </c>
      <c r="N14" s="344">
        <v>217</v>
      </c>
      <c r="O14" s="344">
        <v>205</v>
      </c>
      <c r="P14" s="344">
        <v>204.8</v>
      </c>
      <c r="Q14" s="344">
        <v>264.10000000000002</v>
      </c>
      <c r="R14" s="344">
        <v>298.8</v>
      </c>
      <c r="S14" s="344">
        <v>388.1</v>
      </c>
      <c r="T14" s="344">
        <v>381.6</v>
      </c>
      <c r="U14" s="344">
        <v>386.7</v>
      </c>
      <c r="V14" s="344">
        <v>386.5</v>
      </c>
      <c r="W14" s="344">
        <v>264.3</v>
      </c>
      <c r="X14" s="344">
        <v>217.2</v>
      </c>
      <c r="Y14" s="344">
        <v>224.4</v>
      </c>
      <c r="Z14" s="344">
        <v>206.3</v>
      </c>
      <c r="AA14" s="344">
        <v>178.4</v>
      </c>
      <c r="AB14" s="344">
        <v>184</v>
      </c>
      <c r="AC14" s="344">
        <v>275.39999999999998</v>
      </c>
      <c r="AD14" s="344">
        <v>267.8</v>
      </c>
      <c r="AE14" s="344">
        <v>286.2</v>
      </c>
      <c r="AF14" s="344">
        <v>302.39999999999998</v>
      </c>
      <c r="AG14" s="344">
        <v>383.9</v>
      </c>
      <c r="AH14" s="344">
        <v>327.39999999999998</v>
      </c>
      <c r="AI14" s="344">
        <v>374.2</v>
      </c>
      <c r="AJ14" s="344">
        <v>350.9</v>
      </c>
      <c r="AK14" s="344">
        <v>453.7</v>
      </c>
      <c r="AL14" s="344">
        <v>501.6</v>
      </c>
      <c r="AM14" s="344">
        <v>455.5</v>
      </c>
      <c r="AN14" s="344">
        <v>651.29999999999995</v>
      </c>
      <c r="AO14" s="344">
        <v>653.79999999999995</v>
      </c>
      <c r="AP14" s="344">
        <v>795</v>
      </c>
      <c r="AQ14" s="344">
        <v>742.4</v>
      </c>
      <c r="AR14" s="344">
        <v>928.2</v>
      </c>
      <c r="AS14" s="344">
        <v>1004.1</v>
      </c>
      <c r="AT14" s="344">
        <f t="shared" ref="AT14:AX14" si="8">AT13*AT12/1000</f>
        <v>41.126400000000004</v>
      </c>
      <c r="AU14" s="344">
        <f t="shared" si="8"/>
        <v>47.819099999999999</v>
      </c>
      <c r="AV14" s="344">
        <f t="shared" si="8"/>
        <v>47.819099999999999</v>
      </c>
      <c r="AW14" s="344">
        <f t="shared" si="8"/>
        <v>51.152000000000001</v>
      </c>
      <c r="AX14" s="344">
        <f t="shared" si="8"/>
        <v>56.961800000000004</v>
      </c>
      <c r="AY14" s="365">
        <f>AY12*AY13/1000</f>
        <v>52.534300000000002</v>
      </c>
      <c r="AZ14" s="366">
        <f>AZ13*AZ12/1000</f>
        <v>53.065600000000003</v>
      </c>
      <c r="BA14" s="366">
        <f>AZ14-AY14</f>
        <v>0.53130000000000166</v>
      </c>
      <c r="BB14" s="367">
        <f>AY14-AX14</f>
        <v>-4.427500000000002</v>
      </c>
      <c r="BC14" s="368">
        <f>AZ14-AX14</f>
        <v>-3.8962000000000003</v>
      </c>
      <c r="BD14" s="353">
        <f t="shared" si="6"/>
        <v>-0.43667198794360351</v>
      </c>
      <c r="BE14" s="309"/>
      <c r="BF14"/>
      <c r="BG14" s="308"/>
    </row>
    <row r="15" spans="1:63" ht="15" customHeight="1">
      <c r="A15" s="320" t="s">
        <v>357</v>
      </c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6"/>
      <c r="N15" s="356"/>
      <c r="O15" s="356"/>
      <c r="P15" s="356"/>
      <c r="Q15" s="356"/>
      <c r="R15" s="356"/>
      <c r="S15" s="356"/>
      <c r="T15" s="356"/>
      <c r="U15" s="356"/>
      <c r="V15" s="356"/>
      <c r="W15" s="356"/>
      <c r="X15" s="356"/>
      <c r="Y15" s="356"/>
      <c r="Z15" s="356"/>
      <c r="AA15" s="356"/>
      <c r="AB15" s="356"/>
      <c r="AC15" s="356"/>
      <c r="AD15" s="356"/>
      <c r="AE15" s="356"/>
      <c r="AF15" s="356"/>
      <c r="AG15" s="356"/>
      <c r="AH15" s="356"/>
      <c r="AI15" s="356"/>
      <c r="AJ15" s="356"/>
      <c r="AK15" s="356"/>
      <c r="AL15" s="356"/>
      <c r="AM15" s="356"/>
      <c r="AN15" s="356"/>
      <c r="AO15" s="356"/>
      <c r="AP15" s="356"/>
      <c r="AQ15" s="356"/>
      <c r="AR15" s="356"/>
      <c r="AS15" s="356"/>
      <c r="AT15" s="328"/>
      <c r="AU15" s="328"/>
      <c r="AV15" s="328"/>
      <c r="AW15" s="328"/>
      <c r="AX15" s="328"/>
      <c r="AY15" s="321"/>
      <c r="AZ15" s="328"/>
      <c r="BA15" s="329"/>
      <c r="BB15" s="321"/>
      <c r="BC15" s="328"/>
      <c r="BD15" s="329"/>
    </row>
    <row r="16" spans="1:63" ht="15" customHeight="1">
      <c r="A16" s="324" t="s">
        <v>352</v>
      </c>
      <c r="B16" s="344">
        <v>17</v>
      </c>
      <c r="C16" s="344">
        <v>17.5</v>
      </c>
      <c r="D16" s="344">
        <v>13</v>
      </c>
      <c r="E16" s="344">
        <v>17</v>
      </c>
      <c r="F16" s="344">
        <v>18</v>
      </c>
      <c r="G16" s="344">
        <v>20</v>
      </c>
      <c r="H16" s="344">
        <v>25</v>
      </c>
      <c r="I16" s="344">
        <v>21.4</v>
      </c>
      <c r="J16" s="344">
        <v>23</v>
      </c>
      <c r="K16" s="344">
        <v>23.9</v>
      </c>
      <c r="L16" s="344">
        <v>27</v>
      </c>
      <c r="M16" s="344">
        <v>27.6</v>
      </c>
      <c r="N16" s="344">
        <v>31.2</v>
      </c>
      <c r="O16" s="344">
        <v>30.5</v>
      </c>
      <c r="P16" s="344">
        <v>30.5</v>
      </c>
      <c r="Q16" s="344">
        <v>35</v>
      </c>
      <c r="R16" s="344">
        <v>35</v>
      </c>
      <c r="S16" s="344">
        <v>36.299999999999997</v>
      </c>
      <c r="T16" s="344">
        <v>37.6</v>
      </c>
      <c r="U16" s="344">
        <v>37.9</v>
      </c>
      <c r="V16" s="344">
        <v>21</v>
      </c>
      <c r="W16" s="344">
        <v>24.7</v>
      </c>
      <c r="X16" s="344">
        <v>28.6</v>
      </c>
      <c r="Y16" s="344">
        <v>34.9</v>
      </c>
      <c r="Z16" s="344">
        <v>30</v>
      </c>
      <c r="AA16" s="344">
        <v>33</v>
      </c>
      <c r="AB16" s="344">
        <v>34</v>
      </c>
      <c r="AC16" s="344">
        <v>38</v>
      </c>
      <c r="AD16" s="344">
        <v>42.5</v>
      </c>
      <c r="AE16" s="344">
        <v>36.6</v>
      </c>
      <c r="AF16" s="344">
        <v>37</v>
      </c>
      <c r="AG16" s="344">
        <v>24.3</v>
      </c>
      <c r="AH16" s="344">
        <v>24.5</v>
      </c>
      <c r="AI16" s="344">
        <v>29</v>
      </c>
      <c r="AJ16" s="344">
        <v>37.700000000000003</v>
      </c>
      <c r="AK16" s="344">
        <v>43.8</v>
      </c>
      <c r="AL16" s="344">
        <v>46.1</v>
      </c>
      <c r="AM16" s="344">
        <v>46.5</v>
      </c>
      <c r="AN16" s="344">
        <v>41.3</v>
      </c>
      <c r="AO16" s="344">
        <v>39.6</v>
      </c>
      <c r="AP16" s="344">
        <v>34.9</v>
      </c>
      <c r="AQ16" s="344">
        <v>31</v>
      </c>
      <c r="AR16" s="344">
        <v>32.9</v>
      </c>
      <c r="AS16" s="344">
        <v>30.4</v>
      </c>
      <c r="AT16" s="344">
        <v>28.1</v>
      </c>
      <c r="AU16" s="344">
        <v>39.299999999999997</v>
      </c>
      <c r="AV16" s="344">
        <v>31.4</v>
      </c>
      <c r="AW16" s="344">
        <v>29.8</v>
      </c>
      <c r="AX16" s="344">
        <v>29.7</v>
      </c>
      <c r="AY16" s="369">
        <v>31.1</v>
      </c>
      <c r="AZ16" s="366">
        <v>31.1</v>
      </c>
      <c r="BA16" s="366">
        <f>AZ16-AY16</f>
        <v>0</v>
      </c>
      <c r="BB16" s="367">
        <f>AY16-AX16</f>
        <v>1.4000000000000021</v>
      </c>
      <c r="BC16" s="368">
        <f>AZ16-AX16</f>
        <v>1.4000000000000021</v>
      </c>
      <c r="BD16" s="353">
        <f t="shared" si="6"/>
        <v>-4.6482756924971502E-3</v>
      </c>
      <c r="BF16" s="319" t="b">
        <v>0</v>
      </c>
      <c r="BH16" s="311"/>
      <c r="BI16" s="311"/>
      <c r="BJ16" s="311"/>
      <c r="BK16" s="311"/>
    </row>
    <row r="17" spans="1:63" ht="15" customHeight="1">
      <c r="A17" s="324" t="s">
        <v>353</v>
      </c>
      <c r="B17" s="345">
        <v>1176.4705882352941</v>
      </c>
      <c r="C17" s="345">
        <v>1200</v>
      </c>
      <c r="D17" s="345">
        <v>1153.8461538461538</v>
      </c>
      <c r="E17" s="345">
        <v>1335.2941176470588</v>
      </c>
      <c r="F17" s="345">
        <v>1388.8888888888889</v>
      </c>
      <c r="G17" s="345">
        <v>1320</v>
      </c>
      <c r="H17" s="345">
        <v>840</v>
      </c>
      <c r="I17" s="345">
        <v>1247.6635514018692</v>
      </c>
      <c r="J17" s="345">
        <v>1121.7391304347825</v>
      </c>
      <c r="K17" s="345">
        <v>1200.8368200836821</v>
      </c>
      <c r="L17" s="345">
        <v>1281.4814814814815</v>
      </c>
      <c r="M17" s="345">
        <v>1478.2608695652173</v>
      </c>
      <c r="N17" s="345">
        <v>1580.1282051282051</v>
      </c>
      <c r="O17" s="345">
        <v>1590.1639344262294</v>
      </c>
      <c r="P17" s="345">
        <v>1590</v>
      </c>
      <c r="Q17" s="345">
        <v>1752</v>
      </c>
      <c r="R17" s="345">
        <v>1750</v>
      </c>
      <c r="S17" s="345">
        <v>1698</v>
      </c>
      <c r="T17" s="345">
        <v>1540</v>
      </c>
      <c r="U17" s="345">
        <v>1540</v>
      </c>
      <c r="V17" s="345">
        <v>1370</v>
      </c>
      <c r="W17" s="345">
        <v>1356</v>
      </c>
      <c r="X17" s="345">
        <v>1471</v>
      </c>
      <c r="Y17" s="345">
        <v>1500</v>
      </c>
      <c r="Z17" s="345">
        <v>1520</v>
      </c>
      <c r="AA17" s="345">
        <v>1550</v>
      </c>
      <c r="AB17" s="345">
        <v>1455</v>
      </c>
      <c r="AC17" s="345">
        <v>1368</v>
      </c>
      <c r="AD17" s="345">
        <v>1490</v>
      </c>
      <c r="AE17" s="345">
        <v>1460</v>
      </c>
      <c r="AF17" s="345">
        <v>1520</v>
      </c>
      <c r="AG17" s="345">
        <v>1729.4602400000001</v>
      </c>
      <c r="AH17" s="345">
        <v>1803</v>
      </c>
      <c r="AI17" s="345">
        <v>1992</v>
      </c>
      <c r="AJ17" s="345">
        <v>2220</v>
      </c>
      <c r="AK17" s="345">
        <v>2290</v>
      </c>
      <c r="AL17" s="345">
        <v>2421</v>
      </c>
      <c r="AM17" s="345">
        <v>2340</v>
      </c>
      <c r="AN17" s="345">
        <v>2332</v>
      </c>
      <c r="AO17" s="345">
        <v>2442</v>
      </c>
      <c r="AP17" s="345">
        <v>2350</v>
      </c>
      <c r="AQ17" s="345">
        <v>2616</v>
      </c>
      <c r="AR17" s="345">
        <v>2383</v>
      </c>
      <c r="AS17" s="345">
        <v>2504</v>
      </c>
      <c r="AT17" s="345">
        <v>2799</v>
      </c>
      <c r="AU17" s="345">
        <v>3170</v>
      </c>
      <c r="AV17" s="345">
        <v>2860</v>
      </c>
      <c r="AW17" s="345">
        <v>2935</v>
      </c>
      <c r="AX17" s="345">
        <v>2972</v>
      </c>
      <c r="AY17" s="346">
        <v>3144</v>
      </c>
      <c r="AZ17" s="347">
        <v>3175</v>
      </c>
      <c r="BA17" s="347">
        <f>AZ17-AY17</f>
        <v>31</v>
      </c>
      <c r="BB17" s="351">
        <f>AY17-AX17</f>
        <v>172</v>
      </c>
      <c r="BC17" s="352">
        <f>AZ17-AX17</f>
        <v>203</v>
      </c>
      <c r="BD17" s="353">
        <f t="shared" si="6"/>
        <v>3.4863086842873647E-2</v>
      </c>
    </row>
    <row r="18" spans="1:63" s="311" customFormat="1" ht="15" customHeight="1">
      <c r="A18" s="324" t="s">
        <v>354</v>
      </c>
      <c r="B18" s="344">
        <f>B17*B16/1000</f>
        <v>20</v>
      </c>
      <c r="C18" s="344">
        <v>54</v>
      </c>
      <c r="D18" s="344">
        <v>53</v>
      </c>
      <c r="E18" s="344">
        <v>108</v>
      </c>
      <c r="F18" s="344">
        <v>112</v>
      </c>
      <c r="G18" s="344">
        <v>136</v>
      </c>
      <c r="H18" s="344">
        <v>97</v>
      </c>
      <c r="I18" s="344">
        <v>164</v>
      </c>
      <c r="J18" s="344">
        <v>146</v>
      </c>
      <c r="K18" s="344">
        <v>190</v>
      </c>
      <c r="L18" s="344">
        <v>179</v>
      </c>
      <c r="M18" s="344">
        <v>204</v>
      </c>
      <c r="N18" s="344">
        <v>217</v>
      </c>
      <c r="O18" s="344">
        <v>205</v>
      </c>
      <c r="P18" s="344">
        <v>204.8</v>
      </c>
      <c r="Q18" s="344">
        <v>264.10000000000002</v>
      </c>
      <c r="R18" s="344">
        <v>298.8</v>
      </c>
      <c r="S18" s="344">
        <v>388.1</v>
      </c>
      <c r="T18" s="344">
        <v>381.6</v>
      </c>
      <c r="U18" s="344">
        <v>386.7</v>
      </c>
      <c r="V18" s="344">
        <v>386.5</v>
      </c>
      <c r="W18" s="344">
        <v>264.3</v>
      </c>
      <c r="X18" s="344">
        <v>217.2</v>
      </c>
      <c r="Y18" s="344">
        <v>224.4</v>
      </c>
      <c r="Z18" s="344">
        <v>206.3</v>
      </c>
      <c r="AA18" s="344">
        <v>178.4</v>
      </c>
      <c r="AB18" s="344">
        <v>184</v>
      </c>
      <c r="AC18" s="344">
        <v>275.39999999999998</v>
      </c>
      <c r="AD18" s="344">
        <v>267.8</v>
      </c>
      <c r="AE18" s="344">
        <v>286.2</v>
      </c>
      <c r="AF18" s="344">
        <v>302.39999999999998</v>
      </c>
      <c r="AG18" s="344">
        <v>383.9</v>
      </c>
      <c r="AH18" s="344">
        <v>327.39999999999998</v>
      </c>
      <c r="AI18" s="344">
        <v>374.2</v>
      </c>
      <c r="AJ18" s="344">
        <v>350.9</v>
      </c>
      <c r="AK18" s="344">
        <v>453.7</v>
      </c>
      <c r="AL18" s="344">
        <v>501.6</v>
      </c>
      <c r="AM18" s="344">
        <v>455.5</v>
      </c>
      <c r="AN18" s="344">
        <v>651.29999999999995</v>
      </c>
      <c r="AO18" s="344">
        <v>653.79999999999995</v>
      </c>
      <c r="AP18" s="344">
        <v>795</v>
      </c>
      <c r="AQ18" s="344">
        <v>742.4</v>
      </c>
      <c r="AR18" s="344">
        <v>928.2</v>
      </c>
      <c r="AS18" s="344">
        <v>1004.1</v>
      </c>
      <c r="AT18" s="344">
        <f t="shared" ref="AT18" si="9">AT17*AT16/1000</f>
        <v>78.651900000000012</v>
      </c>
      <c r="AU18" s="344">
        <f t="shared" ref="AU18" si="10">AU17*AU16/1000</f>
        <v>124.58099999999999</v>
      </c>
      <c r="AV18" s="344">
        <f t="shared" ref="AV18" si="11">AV17*AV16/1000</f>
        <v>89.804000000000002</v>
      </c>
      <c r="AW18" s="344">
        <f t="shared" ref="AW18" si="12">AW17*AW16/1000</f>
        <v>87.462999999999994</v>
      </c>
      <c r="AX18" s="344">
        <f t="shared" ref="AX18" si="13">AX17*AX16/1000</f>
        <v>88.2684</v>
      </c>
      <c r="AY18" s="365">
        <f>AY16*AY17/1000</f>
        <v>97.778400000000005</v>
      </c>
      <c r="AZ18" s="366">
        <f>AZ17*AZ16/1000</f>
        <v>98.742500000000007</v>
      </c>
      <c r="BA18" s="366">
        <f>AZ18-AY18</f>
        <v>0.96410000000000196</v>
      </c>
      <c r="BB18" s="367">
        <f>AY18-AX18</f>
        <v>9.5100000000000051</v>
      </c>
      <c r="BC18" s="368">
        <f>AZ18-AX18</f>
        <v>10.474100000000007</v>
      </c>
      <c r="BD18" s="353">
        <f t="shared" si="6"/>
        <v>-0.38509835134114967</v>
      </c>
      <c r="BE18" s="309"/>
      <c r="BF18"/>
      <c r="BG18" s="308"/>
    </row>
    <row r="19" spans="1:63" ht="15" customHeight="1">
      <c r="A19" s="320" t="s">
        <v>358</v>
      </c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356"/>
      <c r="AB19" s="356"/>
      <c r="AC19" s="356"/>
      <c r="AD19" s="356"/>
      <c r="AE19" s="356"/>
      <c r="AF19" s="356"/>
      <c r="AG19" s="356"/>
      <c r="AH19" s="356"/>
      <c r="AI19" s="356"/>
      <c r="AJ19" s="356"/>
      <c r="AK19" s="356"/>
      <c r="AL19" s="356"/>
      <c r="AM19" s="356"/>
      <c r="AN19" s="356"/>
      <c r="AO19" s="356"/>
      <c r="AP19" s="356"/>
      <c r="AQ19" s="356"/>
      <c r="AR19" s="356"/>
      <c r="AS19" s="356"/>
      <c r="AT19" s="328"/>
      <c r="AU19" s="328"/>
      <c r="AV19" s="328"/>
      <c r="AW19" s="328"/>
      <c r="AX19" s="328"/>
      <c r="AY19" s="321"/>
      <c r="AZ19" s="328"/>
      <c r="BA19" s="329"/>
      <c r="BB19" s="321"/>
      <c r="BC19" s="328"/>
      <c r="BD19" s="329"/>
    </row>
    <row r="20" spans="1:63" ht="15" customHeight="1">
      <c r="A20" s="324" t="s">
        <v>352</v>
      </c>
      <c r="B20" s="344">
        <v>5.5</v>
      </c>
      <c r="C20" s="344">
        <v>5.5</v>
      </c>
      <c r="D20" s="344">
        <v>6</v>
      </c>
      <c r="E20" s="344">
        <v>9</v>
      </c>
      <c r="F20" s="344">
        <v>4</v>
      </c>
      <c r="G20" s="344">
        <v>4.8</v>
      </c>
      <c r="H20" s="344">
        <v>1.6</v>
      </c>
      <c r="I20" s="344">
        <v>1.1000000000000001</v>
      </c>
      <c r="J20" s="344">
        <v>1.6</v>
      </c>
      <c r="K20" s="344">
        <v>1.9</v>
      </c>
      <c r="L20" s="344">
        <v>2.7</v>
      </c>
      <c r="M20" s="344">
        <v>2.5</v>
      </c>
      <c r="N20" s="344">
        <v>3</v>
      </c>
      <c r="O20" s="344">
        <v>3.1</v>
      </c>
      <c r="P20" s="344">
        <v>4.5</v>
      </c>
      <c r="Q20" s="344">
        <v>4.5</v>
      </c>
      <c r="R20" s="344">
        <v>4.5</v>
      </c>
      <c r="S20" s="344">
        <v>3.8</v>
      </c>
      <c r="T20" s="344">
        <v>6</v>
      </c>
      <c r="U20" s="344">
        <v>4.2</v>
      </c>
      <c r="V20" s="344">
        <v>6.1</v>
      </c>
      <c r="W20" s="344">
        <v>10.3</v>
      </c>
      <c r="X20" s="344">
        <v>11.8</v>
      </c>
      <c r="Y20" s="344">
        <v>11.8</v>
      </c>
      <c r="Z20" s="344">
        <v>10.5</v>
      </c>
      <c r="AA20" s="344">
        <v>10.5</v>
      </c>
      <c r="AB20" s="344">
        <v>10.9</v>
      </c>
      <c r="AC20" s="344">
        <v>10.9</v>
      </c>
      <c r="AD20" s="344">
        <v>12.9</v>
      </c>
      <c r="AE20" s="344">
        <v>12.9</v>
      </c>
      <c r="AF20" s="344">
        <v>19.7</v>
      </c>
      <c r="AG20" s="344">
        <v>13.8</v>
      </c>
      <c r="AH20" s="344">
        <v>12.2</v>
      </c>
      <c r="AI20" s="344">
        <v>12.8</v>
      </c>
      <c r="AJ20" s="344">
        <v>14</v>
      </c>
      <c r="AK20" s="344">
        <v>14.4</v>
      </c>
      <c r="AL20" s="344">
        <v>12.9</v>
      </c>
      <c r="AM20" s="344">
        <v>11</v>
      </c>
      <c r="AN20" s="344">
        <v>15.5</v>
      </c>
      <c r="AO20" s="344">
        <v>5.4</v>
      </c>
      <c r="AP20" s="344">
        <v>12.2</v>
      </c>
      <c r="AQ20" s="344">
        <v>8.1</v>
      </c>
      <c r="AR20" s="344">
        <v>11</v>
      </c>
      <c r="AS20" s="344">
        <v>11.2</v>
      </c>
      <c r="AT20" s="344">
        <v>8.9</v>
      </c>
      <c r="AU20" s="344">
        <v>9.5</v>
      </c>
      <c r="AV20" s="344">
        <v>5.6</v>
      </c>
      <c r="AW20" s="344">
        <v>8.5</v>
      </c>
      <c r="AX20" s="344">
        <v>8.3000000000000007</v>
      </c>
      <c r="AY20" s="369">
        <v>8.3000000000000007</v>
      </c>
      <c r="AZ20" s="366">
        <v>8.3000000000000007</v>
      </c>
      <c r="BA20" s="366">
        <f>AZ20-AY20</f>
        <v>0</v>
      </c>
      <c r="BB20" s="367">
        <f>AY20-AX20</f>
        <v>0</v>
      </c>
      <c r="BC20" s="368">
        <f>AZ20-AX20</f>
        <v>0</v>
      </c>
      <c r="BD20" s="353">
        <f t="shared" si="6"/>
        <v>-5.8171097152654228E-2</v>
      </c>
      <c r="BF20" s="319" t="b">
        <v>0</v>
      </c>
      <c r="BH20" s="311"/>
      <c r="BI20" s="311"/>
      <c r="BJ20" s="311"/>
      <c r="BK20" s="311"/>
    </row>
    <row r="21" spans="1:63" ht="15" customHeight="1">
      <c r="A21" s="324" t="s">
        <v>353</v>
      </c>
      <c r="B21" s="345">
        <v>1000</v>
      </c>
      <c r="C21" s="345">
        <v>1000</v>
      </c>
      <c r="D21" s="345">
        <v>1000</v>
      </c>
      <c r="E21" s="345">
        <v>1133.3333333333333</v>
      </c>
      <c r="F21" s="345">
        <v>1500</v>
      </c>
      <c r="G21" s="345">
        <v>1312.5</v>
      </c>
      <c r="H21" s="345">
        <v>2562.5</v>
      </c>
      <c r="I21" s="345">
        <v>2000</v>
      </c>
      <c r="J21" s="345">
        <v>1625</v>
      </c>
      <c r="K21" s="345">
        <v>1842.105263157895</v>
      </c>
      <c r="L21" s="345">
        <v>1185.1851851851852</v>
      </c>
      <c r="M21" s="345">
        <v>1680</v>
      </c>
      <c r="N21" s="345">
        <v>1533.3333333333333</v>
      </c>
      <c r="O21" s="345">
        <v>1322.5806451612902</v>
      </c>
      <c r="P21" s="345">
        <v>1500</v>
      </c>
      <c r="Q21" s="345">
        <v>1500</v>
      </c>
      <c r="R21" s="345">
        <v>1500</v>
      </c>
      <c r="S21" s="345">
        <v>1823</v>
      </c>
      <c r="T21" s="345">
        <v>1630</v>
      </c>
      <c r="U21" s="345">
        <v>1530</v>
      </c>
      <c r="V21" s="345">
        <v>1630</v>
      </c>
      <c r="W21" s="345">
        <v>1310</v>
      </c>
      <c r="X21" s="345">
        <v>1466</v>
      </c>
      <c r="Y21" s="345">
        <v>1466</v>
      </c>
      <c r="Z21" s="345">
        <v>1500</v>
      </c>
      <c r="AA21" s="345">
        <v>1400</v>
      </c>
      <c r="AB21" s="345">
        <v>1440</v>
      </c>
      <c r="AC21" s="345">
        <v>1440</v>
      </c>
      <c r="AD21" s="345">
        <v>1940</v>
      </c>
      <c r="AE21" s="345">
        <v>1800</v>
      </c>
      <c r="AF21" s="345">
        <v>2250</v>
      </c>
      <c r="AG21" s="345">
        <v>2554</v>
      </c>
      <c r="AH21" s="345">
        <v>2460</v>
      </c>
      <c r="AI21" s="345">
        <v>2490</v>
      </c>
      <c r="AJ21" s="345">
        <v>2500</v>
      </c>
      <c r="AK21" s="345">
        <v>2500</v>
      </c>
      <c r="AL21" s="345">
        <v>2390</v>
      </c>
      <c r="AM21" s="345">
        <v>2627</v>
      </c>
      <c r="AN21" s="345">
        <v>2540</v>
      </c>
      <c r="AO21" s="345">
        <v>2515</v>
      </c>
      <c r="AP21" s="345">
        <v>2526</v>
      </c>
      <c r="AQ21" s="345">
        <v>2560</v>
      </c>
      <c r="AR21" s="345">
        <v>2500</v>
      </c>
      <c r="AS21" s="345">
        <v>2535</v>
      </c>
      <c r="AT21" s="345">
        <v>2600</v>
      </c>
      <c r="AU21" s="345">
        <v>2500</v>
      </c>
      <c r="AV21" s="345">
        <v>2953</v>
      </c>
      <c r="AW21" s="345">
        <v>3262</v>
      </c>
      <c r="AX21" s="345">
        <v>3005</v>
      </c>
      <c r="AY21" s="346">
        <v>3041</v>
      </c>
      <c r="AZ21" s="347">
        <v>3071</v>
      </c>
      <c r="BA21" s="347">
        <f>AZ21-AY21</f>
        <v>30</v>
      </c>
      <c r="BB21" s="351">
        <f>AY21-AX21</f>
        <v>36</v>
      </c>
      <c r="BC21" s="352">
        <f>AZ21-AX21</f>
        <v>66</v>
      </c>
      <c r="BD21" s="353">
        <f t="shared" si="6"/>
        <v>3.4601973606422476E-2</v>
      </c>
    </row>
    <row r="22" spans="1:63" s="311" customFormat="1" ht="15" customHeight="1">
      <c r="A22" s="324" t="s">
        <v>354</v>
      </c>
      <c r="B22" s="344">
        <f>B21*B20/1000</f>
        <v>5.5</v>
      </c>
      <c r="C22" s="344">
        <v>54</v>
      </c>
      <c r="D22" s="344">
        <v>53</v>
      </c>
      <c r="E22" s="344">
        <v>108</v>
      </c>
      <c r="F22" s="344">
        <v>112</v>
      </c>
      <c r="G22" s="344">
        <v>136</v>
      </c>
      <c r="H22" s="344">
        <v>97</v>
      </c>
      <c r="I22" s="344">
        <v>164</v>
      </c>
      <c r="J22" s="344">
        <v>146</v>
      </c>
      <c r="K22" s="344">
        <v>190</v>
      </c>
      <c r="L22" s="344">
        <v>179</v>
      </c>
      <c r="M22" s="344">
        <v>204</v>
      </c>
      <c r="N22" s="344">
        <v>217</v>
      </c>
      <c r="O22" s="344">
        <v>205</v>
      </c>
      <c r="P22" s="344">
        <v>204.8</v>
      </c>
      <c r="Q22" s="344">
        <v>264.10000000000002</v>
      </c>
      <c r="R22" s="344">
        <v>298.8</v>
      </c>
      <c r="S22" s="344">
        <v>388.1</v>
      </c>
      <c r="T22" s="344">
        <v>381.6</v>
      </c>
      <c r="U22" s="344">
        <v>386.7</v>
      </c>
      <c r="V22" s="344">
        <v>386.5</v>
      </c>
      <c r="W22" s="344">
        <v>264.3</v>
      </c>
      <c r="X22" s="344">
        <v>217.2</v>
      </c>
      <c r="Y22" s="344">
        <v>224.4</v>
      </c>
      <c r="Z22" s="344">
        <v>206.3</v>
      </c>
      <c r="AA22" s="344">
        <v>178.4</v>
      </c>
      <c r="AB22" s="344">
        <v>184</v>
      </c>
      <c r="AC22" s="344">
        <v>275.39999999999998</v>
      </c>
      <c r="AD22" s="344">
        <v>267.8</v>
      </c>
      <c r="AE22" s="344">
        <v>286.2</v>
      </c>
      <c r="AF22" s="344">
        <v>302.39999999999998</v>
      </c>
      <c r="AG22" s="344">
        <v>383.9</v>
      </c>
      <c r="AH22" s="344">
        <v>327.39999999999998</v>
      </c>
      <c r="AI22" s="344">
        <v>374.2</v>
      </c>
      <c r="AJ22" s="344">
        <v>350.9</v>
      </c>
      <c r="AK22" s="344">
        <v>453.7</v>
      </c>
      <c r="AL22" s="344">
        <v>501.6</v>
      </c>
      <c r="AM22" s="344">
        <v>455.5</v>
      </c>
      <c r="AN22" s="344">
        <v>651.29999999999995</v>
      </c>
      <c r="AO22" s="344">
        <v>653.79999999999995</v>
      </c>
      <c r="AP22" s="344">
        <v>795</v>
      </c>
      <c r="AQ22" s="344">
        <v>742.4</v>
      </c>
      <c r="AR22" s="344">
        <v>928.2</v>
      </c>
      <c r="AS22" s="344">
        <v>1004.1</v>
      </c>
      <c r="AT22" s="344">
        <f t="shared" ref="AT22" si="14">AT21*AT20/1000</f>
        <v>23.14</v>
      </c>
      <c r="AU22" s="344">
        <f t="shared" ref="AU22" si="15">AU21*AU20/1000</f>
        <v>23.75</v>
      </c>
      <c r="AV22" s="344">
        <f t="shared" ref="AV22" si="16">AV21*AV20/1000</f>
        <v>16.536799999999999</v>
      </c>
      <c r="AW22" s="344">
        <f t="shared" ref="AW22" si="17">AW21*AW20/1000</f>
        <v>27.727</v>
      </c>
      <c r="AX22" s="344">
        <f t="shared" ref="AX22" si="18">AX21*AX20/1000</f>
        <v>24.941500000000005</v>
      </c>
      <c r="AY22" s="365">
        <f>AY20*AY21/1000</f>
        <v>25.240300000000001</v>
      </c>
      <c r="AZ22" s="366">
        <f>AZ20*AZ21/1000</f>
        <v>25.489300000000004</v>
      </c>
      <c r="BA22" s="366">
        <f>AZ22-AY22</f>
        <v>0.24900000000000233</v>
      </c>
      <c r="BB22" s="367">
        <f>AY22-AX22</f>
        <v>0.2987999999999964</v>
      </c>
      <c r="BC22" s="368">
        <f>AZ22-AX22</f>
        <v>0.54779999999999873</v>
      </c>
      <c r="BD22" s="353">
        <f t="shared" si="6"/>
        <v>-0.52243870596068853</v>
      </c>
      <c r="BE22" s="309"/>
      <c r="BF22"/>
      <c r="BG22" s="308"/>
    </row>
    <row r="23" spans="1:63" ht="15" customHeight="1">
      <c r="A23" s="320" t="s">
        <v>359</v>
      </c>
      <c r="B23" s="356"/>
      <c r="C23" s="356"/>
      <c r="D23" s="356"/>
      <c r="E23" s="356"/>
      <c r="F23" s="356"/>
      <c r="G23" s="356"/>
      <c r="H23" s="356"/>
      <c r="I23" s="356"/>
      <c r="J23" s="356"/>
      <c r="K23" s="356"/>
      <c r="L23" s="356"/>
      <c r="M23" s="356"/>
      <c r="N23" s="356"/>
      <c r="O23" s="356"/>
      <c r="P23" s="356"/>
      <c r="Q23" s="356"/>
      <c r="R23" s="356"/>
      <c r="S23" s="356"/>
      <c r="T23" s="356"/>
      <c r="U23" s="356"/>
      <c r="V23" s="356"/>
      <c r="W23" s="356"/>
      <c r="X23" s="356"/>
      <c r="Y23" s="356"/>
      <c r="Z23" s="356"/>
      <c r="AA23" s="356"/>
      <c r="AB23" s="356"/>
      <c r="AC23" s="356"/>
      <c r="AD23" s="356"/>
      <c r="AE23" s="356"/>
      <c r="AF23" s="356"/>
      <c r="AG23" s="356"/>
      <c r="AH23" s="356"/>
      <c r="AI23" s="356"/>
      <c r="AJ23" s="356"/>
      <c r="AK23" s="356"/>
      <c r="AL23" s="356"/>
      <c r="AM23" s="356"/>
      <c r="AN23" s="356"/>
      <c r="AO23" s="356"/>
      <c r="AP23" s="356"/>
      <c r="AQ23" s="356"/>
      <c r="AR23" s="356"/>
      <c r="AS23" s="356"/>
      <c r="AT23" s="328"/>
      <c r="AU23" s="328"/>
      <c r="AV23" s="328"/>
      <c r="AW23" s="328"/>
      <c r="AX23" s="328"/>
      <c r="AY23" s="321"/>
      <c r="AZ23" s="328"/>
      <c r="BA23" s="329"/>
      <c r="BB23" s="321"/>
      <c r="BC23" s="328"/>
      <c r="BD23" s="329"/>
    </row>
    <row r="24" spans="1:63" ht="15" customHeight="1">
      <c r="A24" s="324" t="s">
        <v>352</v>
      </c>
      <c r="B24" s="344">
        <v>0.53600000000000003</v>
      </c>
      <c r="C24" s="344">
        <v>0.46</v>
      </c>
      <c r="D24" s="344">
        <v>0.81299999999999994</v>
      </c>
      <c r="E24" s="344">
        <v>0.68300000000000005</v>
      </c>
      <c r="F24" s="344">
        <v>2.3439999999999999</v>
      </c>
      <c r="G24" s="344">
        <v>1.552</v>
      </c>
      <c r="H24" s="344">
        <v>1.2849999999999999</v>
      </c>
      <c r="I24" s="344">
        <v>1.129</v>
      </c>
      <c r="J24" s="344">
        <v>1.163</v>
      </c>
      <c r="K24" s="344">
        <v>0.85099999999999998</v>
      </c>
      <c r="L24" s="344">
        <v>0.45300000000000001</v>
      </c>
      <c r="M24" s="344">
        <v>0.69599999999999995</v>
      </c>
      <c r="N24" s="344">
        <v>0.83499999999999996</v>
      </c>
      <c r="O24" s="344">
        <v>0.39500000000000002</v>
      </c>
      <c r="P24" s="344">
        <v>0</v>
      </c>
      <c r="Q24" s="344">
        <v>0</v>
      </c>
      <c r="R24" s="344">
        <v>0</v>
      </c>
      <c r="S24" s="344">
        <v>0</v>
      </c>
      <c r="T24" s="344">
        <v>0</v>
      </c>
      <c r="U24" s="344">
        <v>0</v>
      </c>
      <c r="V24" s="344">
        <v>0</v>
      </c>
      <c r="W24" s="344">
        <v>0</v>
      </c>
      <c r="X24" s="344">
        <v>1.2</v>
      </c>
      <c r="Y24" s="344">
        <v>1.2</v>
      </c>
      <c r="Z24" s="344">
        <v>1.8</v>
      </c>
      <c r="AA24" s="344">
        <v>2</v>
      </c>
      <c r="AB24" s="344">
        <v>1.5</v>
      </c>
      <c r="AC24" s="344">
        <v>1.5</v>
      </c>
      <c r="AD24" s="344">
        <v>1.5</v>
      </c>
      <c r="AE24" s="344">
        <v>1.5</v>
      </c>
      <c r="AF24" s="344">
        <v>2.1</v>
      </c>
      <c r="AG24" s="344">
        <v>3.2</v>
      </c>
      <c r="AH24" s="344">
        <v>3.5</v>
      </c>
      <c r="AI24" s="344">
        <v>3.6</v>
      </c>
      <c r="AJ24" s="344">
        <v>3.6</v>
      </c>
      <c r="AK24" s="344">
        <v>2.6</v>
      </c>
      <c r="AL24" s="344">
        <v>2.2999999999999998</v>
      </c>
      <c r="AM24" s="344">
        <v>2.2000000000000002</v>
      </c>
      <c r="AN24" s="344">
        <v>1.8</v>
      </c>
      <c r="AO24" s="344">
        <v>1.8</v>
      </c>
      <c r="AP24" s="344">
        <v>1.7</v>
      </c>
      <c r="AQ24" s="344">
        <v>1.6</v>
      </c>
      <c r="AR24" s="344">
        <v>0</v>
      </c>
      <c r="AS24" s="344">
        <v>0</v>
      </c>
      <c r="AT24" s="344">
        <v>0</v>
      </c>
      <c r="AU24" s="344">
        <v>0</v>
      </c>
      <c r="AV24" s="344">
        <v>0</v>
      </c>
      <c r="AW24" s="344">
        <v>0</v>
      </c>
      <c r="AX24" s="344">
        <v>0</v>
      </c>
      <c r="AY24" s="369">
        <v>0</v>
      </c>
      <c r="AZ24" s="366">
        <v>0</v>
      </c>
      <c r="BA24" s="366">
        <f>AZ24-AY24</f>
        <v>0</v>
      </c>
      <c r="BB24" s="367">
        <f>AY24-AX24</f>
        <v>0</v>
      </c>
      <c r="BC24" s="368">
        <f>AZ24-AX24</f>
        <v>0</v>
      </c>
      <c r="BD24" s="353">
        <f t="shared" si="6"/>
        <v>0</v>
      </c>
      <c r="BF24" s="319" t="b">
        <v>0</v>
      </c>
      <c r="BH24" s="311"/>
      <c r="BI24" s="311"/>
      <c r="BJ24" s="311"/>
      <c r="BK24" s="311"/>
    </row>
    <row r="25" spans="1:63" ht="15" customHeight="1">
      <c r="A25" s="324" t="s">
        <v>353</v>
      </c>
      <c r="B25" s="345">
        <v>798.50746268656712</v>
      </c>
      <c r="C25" s="345">
        <v>789.13043478260875</v>
      </c>
      <c r="D25" s="345">
        <v>772.44772447724483</v>
      </c>
      <c r="E25" s="345">
        <v>764.27525622254757</v>
      </c>
      <c r="F25" s="345">
        <v>473.54948805460754</v>
      </c>
      <c r="G25" s="345">
        <v>713.91752577319585</v>
      </c>
      <c r="H25" s="345">
        <v>672.37354085603113</v>
      </c>
      <c r="I25" s="345">
        <v>620.90345438441102</v>
      </c>
      <c r="J25" s="345">
        <v>687.01633705932932</v>
      </c>
      <c r="K25" s="345">
        <v>674.50058754406575</v>
      </c>
      <c r="L25" s="345">
        <v>1017.6600441501105</v>
      </c>
      <c r="M25" s="345">
        <v>823.27586206896558</v>
      </c>
      <c r="N25" s="345">
        <v>646.70658682634746</v>
      </c>
      <c r="O25" s="345">
        <v>835.44303797468353</v>
      </c>
      <c r="P25" s="345">
        <v>0</v>
      </c>
      <c r="Q25" s="345">
        <v>0</v>
      </c>
      <c r="R25" s="345">
        <v>0</v>
      </c>
      <c r="S25" s="345">
        <v>0</v>
      </c>
      <c r="T25" s="345">
        <v>0</v>
      </c>
      <c r="U25" s="345">
        <v>0</v>
      </c>
      <c r="V25" s="345">
        <v>0</v>
      </c>
      <c r="W25" s="345">
        <v>0</v>
      </c>
      <c r="X25" s="345">
        <v>708</v>
      </c>
      <c r="Y25" s="345">
        <v>800</v>
      </c>
      <c r="Z25" s="345">
        <v>800</v>
      </c>
      <c r="AA25" s="345">
        <v>770</v>
      </c>
      <c r="AB25" s="345">
        <v>776</v>
      </c>
      <c r="AC25" s="345">
        <v>776</v>
      </c>
      <c r="AD25" s="345">
        <v>850</v>
      </c>
      <c r="AE25" s="345">
        <v>780</v>
      </c>
      <c r="AF25" s="345">
        <v>880</v>
      </c>
      <c r="AG25" s="345">
        <v>745</v>
      </c>
      <c r="AH25" s="345">
        <v>860</v>
      </c>
      <c r="AI25" s="345">
        <v>903</v>
      </c>
      <c r="AJ25" s="345">
        <v>803</v>
      </c>
      <c r="AK25" s="345">
        <v>825</v>
      </c>
      <c r="AL25" s="345">
        <v>826</v>
      </c>
      <c r="AM25" s="345">
        <v>921</v>
      </c>
      <c r="AN25" s="345">
        <v>907</v>
      </c>
      <c r="AO25" s="345">
        <v>902</v>
      </c>
      <c r="AP25" s="345">
        <v>962</v>
      </c>
      <c r="AQ25" s="345">
        <v>988</v>
      </c>
      <c r="AR25" s="345">
        <v>0</v>
      </c>
      <c r="AS25" s="345">
        <v>0</v>
      </c>
      <c r="AT25" s="345">
        <v>0</v>
      </c>
      <c r="AU25" s="345">
        <v>0</v>
      </c>
      <c r="AV25" s="345">
        <v>0</v>
      </c>
      <c r="AW25" s="345">
        <v>0</v>
      </c>
      <c r="AX25" s="345">
        <v>0</v>
      </c>
      <c r="AY25" s="346">
        <v>0</v>
      </c>
      <c r="AZ25" s="347">
        <v>0</v>
      </c>
      <c r="BA25" s="347">
        <f>AZ25-AY25</f>
        <v>0</v>
      </c>
      <c r="BB25" s="351">
        <f>AY25-AX25</f>
        <v>0</v>
      </c>
      <c r="BC25" s="352">
        <f>AZ25-AX25</f>
        <v>0</v>
      </c>
      <c r="BD25" s="353">
        <f t="shared" si="6"/>
        <v>0</v>
      </c>
    </row>
    <row r="26" spans="1:63" s="311" customFormat="1" ht="15" customHeight="1">
      <c r="A26" s="330" t="s">
        <v>354</v>
      </c>
      <c r="B26" s="344">
        <f>B25*B24/1000</f>
        <v>0.42799999999999999</v>
      </c>
      <c r="C26" s="344">
        <v>54</v>
      </c>
      <c r="D26" s="344">
        <v>53</v>
      </c>
      <c r="E26" s="344">
        <v>108</v>
      </c>
      <c r="F26" s="344">
        <v>112</v>
      </c>
      <c r="G26" s="344">
        <v>136</v>
      </c>
      <c r="H26" s="344">
        <v>97</v>
      </c>
      <c r="I26" s="344">
        <v>164</v>
      </c>
      <c r="J26" s="344">
        <v>146</v>
      </c>
      <c r="K26" s="344">
        <v>190</v>
      </c>
      <c r="L26" s="344">
        <v>179</v>
      </c>
      <c r="M26" s="344">
        <v>204</v>
      </c>
      <c r="N26" s="344">
        <v>217</v>
      </c>
      <c r="O26" s="344">
        <v>205</v>
      </c>
      <c r="P26" s="344">
        <v>204.8</v>
      </c>
      <c r="Q26" s="344">
        <v>264.10000000000002</v>
      </c>
      <c r="R26" s="344">
        <v>298.8</v>
      </c>
      <c r="S26" s="344">
        <v>388.1</v>
      </c>
      <c r="T26" s="344">
        <v>381.6</v>
      </c>
      <c r="U26" s="344">
        <v>386.7</v>
      </c>
      <c r="V26" s="344">
        <v>386.5</v>
      </c>
      <c r="W26" s="344">
        <v>264.3</v>
      </c>
      <c r="X26" s="344">
        <v>217.2</v>
      </c>
      <c r="Y26" s="344">
        <v>224.4</v>
      </c>
      <c r="Z26" s="344">
        <v>206.3</v>
      </c>
      <c r="AA26" s="344">
        <v>178.4</v>
      </c>
      <c r="AB26" s="344">
        <v>184</v>
      </c>
      <c r="AC26" s="344">
        <v>275.39999999999998</v>
      </c>
      <c r="AD26" s="344">
        <v>267.8</v>
      </c>
      <c r="AE26" s="344">
        <v>286.2</v>
      </c>
      <c r="AF26" s="344">
        <v>302.39999999999998</v>
      </c>
      <c r="AG26" s="344">
        <v>383.9</v>
      </c>
      <c r="AH26" s="344">
        <v>327.39999999999998</v>
      </c>
      <c r="AI26" s="344">
        <v>374.2</v>
      </c>
      <c r="AJ26" s="344">
        <v>350.9</v>
      </c>
      <c r="AK26" s="344">
        <v>453.7</v>
      </c>
      <c r="AL26" s="344">
        <v>501.6</v>
      </c>
      <c r="AM26" s="344">
        <v>455.5</v>
      </c>
      <c r="AN26" s="344">
        <v>651.29999999999995</v>
      </c>
      <c r="AO26" s="344">
        <v>653.79999999999995</v>
      </c>
      <c r="AP26" s="344">
        <v>795</v>
      </c>
      <c r="AQ26" s="344">
        <v>742.4</v>
      </c>
      <c r="AR26" s="344">
        <v>928.2</v>
      </c>
      <c r="AS26" s="344">
        <v>1004.1</v>
      </c>
      <c r="AT26" s="344">
        <f t="shared" ref="AT26" si="19">AT25*AT24/1000</f>
        <v>0</v>
      </c>
      <c r="AU26" s="344">
        <f t="shared" ref="AU26" si="20">AU25*AU24/1000</f>
        <v>0</v>
      </c>
      <c r="AV26" s="344">
        <f t="shared" ref="AV26" si="21">AV25*AV24/1000</f>
        <v>0</v>
      </c>
      <c r="AW26" s="344">
        <f t="shared" ref="AW26" si="22">AW25*AW24/1000</f>
        <v>0</v>
      </c>
      <c r="AX26" s="344">
        <f t="shared" ref="AX26" si="23">AX25*AX24/1000</f>
        <v>0</v>
      </c>
      <c r="AY26" s="365">
        <f>AY24*AY25/1000</f>
        <v>0</v>
      </c>
      <c r="AZ26" s="366">
        <v>0</v>
      </c>
      <c r="BA26" s="366">
        <f>AZ26-AY26</f>
        <v>0</v>
      </c>
      <c r="BB26" s="367">
        <f>AY26-AX26</f>
        <v>0</v>
      </c>
      <c r="BC26" s="368">
        <f>AZ26-AX26</f>
        <v>0</v>
      </c>
      <c r="BD26" s="353">
        <f t="shared" si="6"/>
        <v>-1</v>
      </c>
      <c r="BE26" s="309"/>
      <c r="BF26"/>
      <c r="BG26" s="308"/>
    </row>
    <row r="27" spans="1:63" ht="15" customHeight="1">
      <c r="A27" s="320" t="s">
        <v>360</v>
      </c>
      <c r="B27" s="356"/>
      <c r="C27" s="356"/>
      <c r="D27" s="356"/>
      <c r="E27" s="356"/>
      <c r="F27" s="356"/>
      <c r="G27" s="356"/>
      <c r="H27" s="356"/>
      <c r="I27" s="356"/>
      <c r="J27" s="356"/>
      <c r="K27" s="356"/>
      <c r="L27" s="356"/>
      <c r="M27" s="356"/>
      <c r="N27" s="356"/>
      <c r="O27" s="356"/>
      <c r="P27" s="356"/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28"/>
      <c r="AU27" s="328"/>
      <c r="AV27" s="328"/>
      <c r="AW27" s="328"/>
      <c r="AX27" s="328"/>
      <c r="AY27" s="321"/>
      <c r="AZ27" s="328"/>
      <c r="BA27" s="329"/>
      <c r="BB27" s="321"/>
      <c r="BC27" s="328"/>
      <c r="BD27" s="329"/>
    </row>
    <row r="28" spans="1:63" ht="15" customHeight="1">
      <c r="A28" s="324" t="s">
        <v>352</v>
      </c>
      <c r="B28" s="344">
        <v>66.599999999999994</v>
      </c>
      <c r="C28" s="344">
        <v>66.2</v>
      </c>
      <c r="D28" s="344">
        <v>50</v>
      </c>
      <c r="E28" s="344">
        <v>83</v>
      </c>
      <c r="F28" s="344">
        <v>82</v>
      </c>
      <c r="G28" s="344">
        <v>123.7</v>
      </c>
      <c r="H28" s="344">
        <v>74.099999999999994</v>
      </c>
      <c r="I28" s="344">
        <v>113.3</v>
      </c>
      <c r="J28" s="344">
        <v>113</v>
      </c>
      <c r="K28" s="344">
        <v>144.30000000000001</v>
      </c>
      <c r="L28" s="344">
        <v>172</v>
      </c>
      <c r="M28" s="344">
        <v>247.2</v>
      </c>
      <c r="N28" s="344">
        <v>246.2</v>
      </c>
      <c r="O28" s="344">
        <v>163.6</v>
      </c>
      <c r="P28" s="344">
        <v>202.2</v>
      </c>
      <c r="Q28" s="344">
        <v>177</v>
      </c>
      <c r="R28" s="344">
        <v>196</v>
      </c>
      <c r="S28" s="344">
        <v>207.1</v>
      </c>
      <c r="T28" s="344">
        <v>287</v>
      </c>
      <c r="U28" s="344">
        <v>260.7</v>
      </c>
      <c r="V28" s="344">
        <v>260.7</v>
      </c>
      <c r="W28" s="344">
        <v>358.9</v>
      </c>
      <c r="X28" s="344">
        <v>416.3</v>
      </c>
      <c r="Y28" s="344">
        <v>418.9</v>
      </c>
      <c r="Z28" s="344">
        <v>318.8</v>
      </c>
      <c r="AA28" s="344">
        <v>275</v>
      </c>
      <c r="AB28" s="344">
        <v>293.39999999999998</v>
      </c>
      <c r="AC28" s="344">
        <v>286.5</v>
      </c>
      <c r="AD28" s="344">
        <v>281.60000000000002</v>
      </c>
      <c r="AE28" s="344">
        <v>275.7</v>
      </c>
      <c r="AF28" s="344">
        <v>270.2</v>
      </c>
      <c r="AG28" s="344">
        <v>268</v>
      </c>
      <c r="AH28" s="344">
        <v>245.2</v>
      </c>
      <c r="AI28" s="344">
        <v>217.8</v>
      </c>
      <c r="AJ28" s="344">
        <v>213.1</v>
      </c>
      <c r="AK28" s="344">
        <v>236.3</v>
      </c>
      <c r="AL28" s="344">
        <v>199.1</v>
      </c>
      <c r="AM28" s="344">
        <v>184.1</v>
      </c>
      <c r="AN28" s="344">
        <v>218.7</v>
      </c>
      <c r="AO28" s="344">
        <v>169.6</v>
      </c>
      <c r="AP28" s="344">
        <v>176.9</v>
      </c>
      <c r="AQ28" s="344">
        <v>167.9</v>
      </c>
      <c r="AR28" s="344">
        <v>152.1</v>
      </c>
      <c r="AS28" s="344">
        <v>163.5</v>
      </c>
      <c r="AT28" s="344">
        <v>169.5</v>
      </c>
      <c r="AU28" s="344">
        <v>169.7</v>
      </c>
      <c r="AV28" s="344">
        <v>171.1</v>
      </c>
      <c r="AW28" s="344">
        <v>175.4</v>
      </c>
      <c r="AX28" s="344">
        <v>222.9</v>
      </c>
      <c r="AY28" s="369">
        <v>233.8</v>
      </c>
      <c r="AZ28" s="366">
        <v>233.8</v>
      </c>
      <c r="BA28" s="366">
        <f>AZ28-AY28</f>
        <v>0</v>
      </c>
      <c r="BB28" s="367">
        <f>AY28-AX28</f>
        <v>10.900000000000006</v>
      </c>
      <c r="BC28" s="368">
        <f>AZ28-AX28</f>
        <v>10.900000000000006</v>
      </c>
      <c r="BD28" s="353">
        <f t="shared" si="6"/>
        <v>6.3943246786950736E-2</v>
      </c>
      <c r="BF28" s="319" t="b">
        <v>0</v>
      </c>
      <c r="BH28" s="311"/>
      <c r="BI28" s="311"/>
      <c r="BJ28" s="311"/>
      <c r="BK28" s="311"/>
    </row>
    <row r="29" spans="1:63" ht="15" customHeight="1">
      <c r="A29" s="324" t="s">
        <v>353</v>
      </c>
      <c r="B29" s="345">
        <v>801.80180180180184</v>
      </c>
      <c r="C29" s="345">
        <v>821.75226586102713</v>
      </c>
      <c r="D29" s="345">
        <v>960</v>
      </c>
      <c r="E29" s="345">
        <v>930.1204819277109</v>
      </c>
      <c r="F29" s="345">
        <v>670.73170731707319</v>
      </c>
      <c r="G29" s="345">
        <v>1149.5553759094582</v>
      </c>
      <c r="H29" s="345">
        <v>1064.7773279352227</v>
      </c>
      <c r="I29" s="345">
        <v>1150.044130626655</v>
      </c>
      <c r="J29" s="345">
        <v>1149.5575221238939</v>
      </c>
      <c r="K29" s="345">
        <v>1060.2910602910601</v>
      </c>
      <c r="L29" s="345">
        <v>1130.2325581395348</v>
      </c>
      <c r="M29" s="345">
        <v>1260.1132686084143</v>
      </c>
      <c r="N29" s="345">
        <v>1320.0649878147847</v>
      </c>
      <c r="O29" s="345">
        <v>1240.2200488997557</v>
      </c>
      <c r="P29" s="345">
        <v>1370</v>
      </c>
      <c r="Q29" s="345">
        <v>1200</v>
      </c>
      <c r="R29" s="345">
        <v>1240</v>
      </c>
      <c r="S29" s="345">
        <v>1269</v>
      </c>
      <c r="T29" s="345">
        <v>1380</v>
      </c>
      <c r="U29" s="345">
        <v>1380</v>
      </c>
      <c r="V29" s="345">
        <v>1380</v>
      </c>
      <c r="W29" s="345">
        <v>1470</v>
      </c>
      <c r="X29" s="345">
        <v>1568</v>
      </c>
      <c r="Y29" s="345">
        <v>1483</v>
      </c>
      <c r="Z29" s="345">
        <v>1600</v>
      </c>
      <c r="AA29" s="345">
        <v>1640</v>
      </c>
      <c r="AB29" s="345">
        <v>1800</v>
      </c>
      <c r="AC29" s="345">
        <v>1825</v>
      </c>
      <c r="AD29" s="345">
        <v>2010</v>
      </c>
      <c r="AE29" s="345">
        <v>2078</v>
      </c>
      <c r="AF29" s="345">
        <v>1970</v>
      </c>
      <c r="AG29" s="345">
        <v>2324</v>
      </c>
      <c r="AH29" s="345">
        <v>2305</v>
      </c>
      <c r="AI29" s="345">
        <v>2482</v>
      </c>
      <c r="AJ29" s="345">
        <v>2556</v>
      </c>
      <c r="AK29" s="345">
        <v>2538</v>
      </c>
      <c r="AL29" s="345">
        <v>2841</v>
      </c>
      <c r="AM29" s="345">
        <v>2916</v>
      </c>
      <c r="AN29" s="345">
        <v>3232</v>
      </c>
      <c r="AO29" s="345">
        <v>3334</v>
      </c>
      <c r="AP29" s="345">
        <v>3142</v>
      </c>
      <c r="AQ29" s="345">
        <v>3286</v>
      </c>
      <c r="AR29" s="345">
        <v>2925</v>
      </c>
      <c r="AS29" s="345">
        <v>3030</v>
      </c>
      <c r="AT29" s="345">
        <v>3019</v>
      </c>
      <c r="AU29" s="345">
        <v>3109</v>
      </c>
      <c r="AV29" s="345">
        <v>3210</v>
      </c>
      <c r="AW29" s="345">
        <v>3245</v>
      </c>
      <c r="AX29" s="345">
        <v>3610</v>
      </c>
      <c r="AY29" s="346">
        <v>3365</v>
      </c>
      <c r="AZ29" s="347">
        <v>3399</v>
      </c>
      <c r="BA29" s="347">
        <f>AZ29-AY29</f>
        <v>34</v>
      </c>
      <c r="BB29" s="351">
        <f>AY29-AX29</f>
        <v>-245</v>
      </c>
      <c r="BC29" s="352">
        <f>AZ29-AX29</f>
        <v>-211</v>
      </c>
      <c r="BD29" s="353">
        <f t="shared" si="6"/>
        <v>3.5649773860987333E-2</v>
      </c>
    </row>
    <row r="30" spans="1:63" s="311" customFormat="1" ht="15" customHeight="1">
      <c r="A30" s="324" t="s">
        <v>354</v>
      </c>
      <c r="B30" s="344">
        <f>B29*B28/1000</f>
        <v>53.4</v>
      </c>
      <c r="C30" s="344">
        <v>54</v>
      </c>
      <c r="D30" s="344">
        <v>53</v>
      </c>
      <c r="E30" s="344">
        <v>108</v>
      </c>
      <c r="F30" s="344">
        <v>112</v>
      </c>
      <c r="G30" s="344">
        <v>136</v>
      </c>
      <c r="H30" s="344">
        <v>97</v>
      </c>
      <c r="I30" s="344">
        <v>164</v>
      </c>
      <c r="J30" s="344">
        <v>146</v>
      </c>
      <c r="K30" s="344">
        <v>190</v>
      </c>
      <c r="L30" s="344">
        <v>179</v>
      </c>
      <c r="M30" s="344">
        <v>204</v>
      </c>
      <c r="N30" s="344">
        <v>217</v>
      </c>
      <c r="O30" s="344">
        <v>205</v>
      </c>
      <c r="P30" s="344">
        <v>204.8</v>
      </c>
      <c r="Q30" s="344">
        <v>264.10000000000002</v>
      </c>
      <c r="R30" s="344">
        <v>298.8</v>
      </c>
      <c r="S30" s="344">
        <v>388.1</v>
      </c>
      <c r="T30" s="344">
        <v>381.6</v>
      </c>
      <c r="U30" s="344">
        <v>386.7</v>
      </c>
      <c r="V30" s="344">
        <v>386.5</v>
      </c>
      <c r="W30" s="344">
        <v>264.3</v>
      </c>
      <c r="X30" s="344">
        <v>217.2</v>
      </c>
      <c r="Y30" s="344">
        <v>224.4</v>
      </c>
      <c r="Z30" s="344">
        <v>206.3</v>
      </c>
      <c r="AA30" s="344">
        <v>178.4</v>
      </c>
      <c r="AB30" s="344">
        <v>184</v>
      </c>
      <c r="AC30" s="344">
        <v>275.39999999999998</v>
      </c>
      <c r="AD30" s="344">
        <v>267.8</v>
      </c>
      <c r="AE30" s="344">
        <v>286.2</v>
      </c>
      <c r="AF30" s="344">
        <v>302.39999999999998</v>
      </c>
      <c r="AG30" s="344">
        <v>383.9</v>
      </c>
      <c r="AH30" s="344">
        <v>327.39999999999998</v>
      </c>
      <c r="AI30" s="344">
        <v>374.2</v>
      </c>
      <c r="AJ30" s="344">
        <v>350.9</v>
      </c>
      <c r="AK30" s="344">
        <v>453.7</v>
      </c>
      <c r="AL30" s="344">
        <v>501.6</v>
      </c>
      <c r="AM30" s="344">
        <v>455.5</v>
      </c>
      <c r="AN30" s="344">
        <v>651.29999999999995</v>
      </c>
      <c r="AO30" s="344">
        <v>653.79999999999995</v>
      </c>
      <c r="AP30" s="344">
        <v>795</v>
      </c>
      <c r="AQ30" s="344">
        <v>742.4</v>
      </c>
      <c r="AR30" s="344">
        <v>928.2</v>
      </c>
      <c r="AS30" s="344">
        <v>1004.1</v>
      </c>
      <c r="AT30" s="344">
        <f t="shared" ref="AT30" si="24">AT29*AT28/1000</f>
        <v>511.72050000000002</v>
      </c>
      <c r="AU30" s="344">
        <f t="shared" ref="AU30" si="25">AU29*AU28/1000</f>
        <v>527.5972999999999</v>
      </c>
      <c r="AV30" s="344">
        <f t="shared" ref="AV30" si="26">AV29*AV28/1000</f>
        <v>549.23099999999999</v>
      </c>
      <c r="AW30" s="344">
        <f t="shared" ref="AW30" si="27">AW29*AW28/1000</f>
        <v>569.173</v>
      </c>
      <c r="AX30" s="344">
        <f t="shared" ref="AX30" si="28">AX29*AX28/1000</f>
        <v>804.66899999999998</v>
      </c>
      <c r="AY30" s="365">
        <f>AY28*AY29/1000</f>
        <v>786.73699999999997</v>
      </c>
      <c r="AZ30" s="366">
        <f>AZ28*AZ29/1000</f>
        <v>794.6862000000001</v>
      </c>
      <c r="BA30" s="366">
        <f>AZ30-AY30</f>
        <v>7.9492000000001326</v>
      </c>
      <c r="BB30" s="367">
        <f>AY30-AX30</f>
        <v>-17.932000000000016</v>
      </c>
      <c r="BC30" s="368">
        <f>AZ30-AX30</f>
        <v>-9.9827999999998838</v>
      </c>
      <c r="BD30" s="353">
        <f t="shared" si="6"/>
        <v>-4.3316991349827694E-2</v>
      </c>
      <c r="BE30" s="309"/>
      <c r="BF30"/>
      <c r="BG30" s="308"/>
    </row>
    <row r="31" spans="1:63" ht="15" customHeight="1">
      <c r="A31" s="320" t="s">
        <v>361</v>
      </c>
      <c r="B31" s="356"/>
      <c r="C31" s="356"/>
      <c r="D31" s="356"/>
      <c r="E31" s="356"/>
      <c r="F31" s="356"/>
      <c r="G31" s="356"/>
      <c r="H31" s="356"/>
      <c r="I31" s="356"/>
      <c r="J31" s="356"/>
      <c r="K31" s="356"/>
      <c r="L31" s="356"/>
      <c r="M31" s="356"/>
      <c r="N31" s="356"/>
      <c r="O31" s="356"/>
      <c r="P31" s="356"/>
      <c r="Q31" s="356"/>
      <c r="R31" s="356"/>
      <c r="S31" s="356"/>
      <c r="T31" s="356"/>
      <c r="U31" s="356"/>
      <c r="V31" s="356"/>
      <c r="W31" s="356"/>
      <c r="X31" s="356"/>
      <c r="Y31" s="356"/>
      <c r="Z31" s="356"/>
      <c r="AA31" s="356"/>
      <c r="AB31" s="356"/>
      <c r="AC31" s="356"/>
      <c r="AD31" s="356"/>
      <c r="AE31" s="356"/>
      <c r="AF31" s="356"/>
      <c r="AG31" s="356"/>
      <c r="AH31" s="356"/>
      <c r="AI31" s="356"/>
      <c r="AJ31" s="356"/>
      <c r="AK31" s="356"/>
      <c r="AL31" s="356"/>
      <c r="AM31" s="356"/>
      <c r="AN31" s="356"/>
      <c r="AO31" s="356"/>
      <c r="AP31" s="356"/>
      <c r="AQ31" s="356"/>
      <c r="AR31" s="356"/>
      <c r="AS31" s="356"/>
      <c r="AT31" s="328"/>
      <c r="AU31" s="328"/>
      <c r="AV31" s="328"/>
      <c r="AW31" s="328"/>
      <c r="AX31" s="328"/>
      <c r="AY31" s="321"/>
      <c r="AZ31" s="328"/>
      <c r="BA31" s="329"/>
      <c r="BB31" s="321"/>
      <c r="BC31" s="328"/>
      <c r="BD31" s="329"/>
    </row>
    <row r="32" spans="1:63" ht="15" customHeight="1">
      <c r="A32" s="324" t="s">
        <v>352</v>
      </c>
      <c r="B32" s="344">
        <v>0</v>
      </c>
      <c r="C32" s="344">
        <v>0</v>
      </c>
      <c r="D32" s="344">
        <v>0</v>
      </c>
      <c r="E32" s="344">
        <v>0</v>
      </c>
      <c r="F32" s="344">
        <v>0</v>
      </c>
      <c r="G32" s="344">
        <v>0</v>
      </c>
      <c r="H32" s="344">
        <v>0</v>
      </c>
      <c r="I32" s="344">
        <v>0</v>
      </c>
      <c r="J32" s="344">
        <v>0</v>
      </c>
      <c r="K32" s="344">
        <v>0</v>
      </c>
      <c r="L32" s="344">
        <v>0</v>
      </c>
      <c r="M32" s="344">
        <v>97.4</v>
      </c>
      <c r="N32" s="344">
        <v>104.4</v>
      </c>
      <c r="O32" s="344">
        <v>77</v>
      </c>
      <c r="P32" s="344">
        <v>68</v>
      </c>
      <c r="Q32" s="344">
        <v>71</v>
      </c>
      <c r="R32" s="344">
        <v>65</v>
      </c>
      <c r="S32" s="344">
        <v>65.3</v>
      </c>
      <c r="T32" s="344">
        <v>74</v>
      </c>
      <c r="U32" s="344">
        <v>72</v>
      </c>
      <c r="V32" s="344">
        <v>60</v>
      </c>
      <c r="W32" s="344">
        <v>55.2</v>
      </c>
      <c r="X32" s="344">
        <v>53</v>
      </c>
      <c r="Y32" s="344">
        <v>57.5</v>
      </c>
      <c r="Z32" s="344">
        <v>61.5</v>
      </c>
      <c r="AA32" s="344">
        <v>63.3</v>
      </c>
      <c r="AB32" s="344">
        <v>69</v>
      </c>
      <c r="AC32" s="344">
        <v>75.900000000000006</v>
      </c>
      <c r="AD32" s="344">
        <v>77.599999999999994</v>
      </c>
      <c r="AE32" s="344">
        <v>74.5</v>
      </c>
      <c r="AF32" s="344">
        <v>76</v>
      </c>
      <c r="AG32" s="344">
        <v>85.7</v>
      </c>
      <c r="AH32" s="344">
        <v>74.2</v>
      </c>
      <c r="AI32" s="344">
        <v>66.900000000000006</v>
      </c>
      <c r="AJ32" s="344">
        <v>68.400000000000006</v>
      </c>
      <c r="AK32" s="344">
        <v>59.2</v>
      </c>
      <c r="AL32" s="344">
        <v>54.3</v>
      </c>
      <c r="AM32" s="344">
        <v>51</v>
      </c>
      <c r="AN32" s="344">
        <v>64.3</v>
      </c>
      <c r="AO32" s="344">
        <v>72</v>
      </c>
      <c r="AP32" s="344">
        <v>45.9</v>
      </c>
      <c r="AQ32" s="344">
        <v>53.2</v>
      </c>
      <c r="AR32" s="344">
        <v>37.5</v>
      </c>
      <c r="AS32" s="344">
        <v>41.6</v>
      </c>
      <c r="AT32" s="344">
        <v>40.9</v>
      </c>
      <c r="AU32" s="344">
        <v>45.4</v>
      </c>
      <c r="AV32" s="344">
        <v>57.4</v>
      </c>
      <c r="AW32" s="344">
        <v>60.3</v>
      </c>
      <c r="AX32" s="344">
        <v>58.7</v>
      </c>
      <c r="AY32" s="369">
        <v>68.3</v>
      </c>
      <c r="AZ32" s="366">
        <v>68.3</v>
      </c>
      <c r="BA32" s="366">
        <f>AZ32-AY32</f>
        <v>0</v>
      </c>
      <c r="BB32" s="367">
        <f>AY32-AX32</f>
        <v>9.5999999999999943</v>
      </c>
      <c r="BC32" s="368">
        <f>AZ32-AX32</f>
        <v>9.5999999999999943</v>
      </c>
      <c r="BD32" s="353">
        <f t="shared" si="6"/>
        <v>7.1294694535932956E-2</v>
      </c>
      <c r="BF32" s="319" t="b">
        <v>0</v>
      </c>
      <c r="BH32" s="311"/>
      <c r="BI32" s="311"/>
      <c r="BJ32" s="311"/>
      <c r="BK32" s="311"/>
    </row>
    <row r="33" spans="1:63" ht="15" customHeight="1">
      <c r="A33" s="324" t="s">
        <v>353</v>
      </c>
      <c r="B33" s="345">
        <v>0</v>
      </c>
      <c r="C33" s="345">
        <v>0</v>
      </c>
      <c r="D33" s="345">
        <v>0</v>
      </c>
      <c r="E33" s="345">
        <v>0</v>
      </c>
      <c r="F33" s="345">
        <v>0</v>
      </c>
      <c r="G33" s="345">
        <v>0</v>
      </c>
      <c r="H33" s="345">
        <v>0</v>
      </c>
      <c r="I33" s="345">
        <v>0</v>
      </c>
      <c r="J33" s="345">
        <v>0</v>
      </c>
      <c r="K33" s="345">
        <v>0</v>
      </c>
      <c r="L33" s="345">
        <v>0</v>
      </c>
      <c r="M33" s="345">
        <v>1325.4620123203285</v>
      </c>
      <c r="N33" s="345">
        <v>1430.0766283524904</v>
      </c>
      <c r="O33" s="345">
        <v>750.64935064935059</v>
      </c>
      <c r="P33" s="345">
        <v>1230</v>
      </c>
      <c r="Q33" s="345">
        <v>1300</v>
      </c>
      <c r="R33" s="345">
        <v>1230</v>
      </c>
      <c r="S33" s="345">
        <v>1300</v>
      </c>
      <c r="T33" s="345">
        <v>1500</v>
      </c>
      <c r="U33" s="345">
        <v>1900</v>
      </c>
      <c r="V33" s="345">
        <v>2000</v>
      </c>
      <c r="W33" s="345">
        <v>1764</v>
      </c>
      <c r="X33" s="345">
        <v>2120</v>
      </c>
      <c r="Y33" s="345">
        <v>2000</v>
      </c>
      <c r="Z33" s="345">
        <v>1960</v>
      </c>
      <c r="AA33" s="345">
        <v>1960</v>
      </c>
      <c r="AB33" s="345">
        <v>2290</v>
      </c>
      <c r="AC33" s="345">
        <v>2290</v>
      </c>
      <c r="AD33" s="345">
        <v>2000</v>
      </c>
      <c r="AE33" s="345">
        <v>2215</v>
      </c>
      <c r="AF33" s="345">
        <v>3290</v>
      </c>
      <c r="AG33" s="345">
        <v>2692</v>
      </c>
      <c r="AH33" s="345">
        <v>2858</v>
      </c>
      <c r="AI33" s="345">
        <v>3476</v>
      </c>
      <c r="AJ33" s="345">
        <v>3665</v>
      </c>
      <c r="AK33" s="345">
        <v>4400</v>
      </c>
      <c r="AL33" s="345">
        <v>4700</v>
      </c>
      <c r="AM33" s="345">
        <v>4378</v>
      </c>
      <c r="AN33" s="345">
        <v>4914</v>
      </c>
      <c r="AO33" s="345">
        <v>3436</v>
      </c>
      <c r="AP33" s="345">
        <v>4766</v>
      </c>
      <c r="AQ33" s="345">
        <v>4417</v>
      </c>
      <c r="AR33" s="345">
        <v>5360</v>
      </c>
      <c r="AS33" s="345">
        <v>6155</v>
      </c>
      <c r="AT33" s="345">
        <v>4664</v>
      </c>
      <c r="AU33" s="345">
        <v>5886</v>
      </c>
      <c r="AV33" s="345">
        <v>6298</v>
      </c>
      <c r="AW33" s="345">
        <v>6485</v>
      </c>
      <c r="AX33" s="345">
        <v>6928</v>
      </c>
      <c r="AY33" s="346">
        <v>6584</v>
      </c>
      <c r="AZ33" s="347">
        <v>6650</v>
      </c>
      <c r="BA33" s="347">
        <f>AZ33-AY33</f>
        <v>66</v>
      </c>
      <c r="BB33" s="351">
        <f>AY33-AX33</f>
        <v>-344</v>
      </c>
      <c r="BC33" s="352">
        <f>AZ33-AX33</f>
        <v>-278</v>
      </c>
      <c r="BD33" s="353">
        <f t="shared" si="6"/>
        <v>2.3943431406965976E-2</v>
      </c>
    </row>
    <row r="34" spans="1:63" ht="15" customHeight="1" thickBot="1">
      <c r="A34" s="324" t="s">
        <v>354</v>
      </c>
      <c r="B34" s="344">
        <f>B33*B32/1000</f>
        <v>0</v>
      </c>
      <c r="C34" s="344">
        <v>54</v>
      </c>
      <c r="D34" s="344">
        <v>53</v>
      </c>
      <c r="E34" s="344">
        <v>108</v>
      </c>
      <c r="F34" s="344">
        <v>112</v>
      </c>
      <c r="G34" s="344">
        <v>136</v>
      </c>
      <c r="H34" s="344">
        <v>97</v>
      </c>
      <c r="I34" s="344">
        <v>164</v>
      </c>
      <c r="J34" s="344">
        <v>146</v>
      </c>
      <c r="K34" s="344">
        <v>190</v>
      </c>
      <c r="L34" s="344">
        <v>179</v>
      </c>
      <c r="M34" s="344">
        <v>204</v>
      </c>
      <c r="N34" s="344">
        <v>217</v>
      </c>
      <c r="O34" s="344">
        <v>205</v>
      </c>
      <c r="P34" s="344">
        <v>204.8</v>
      </c>
      <c r="Q34" s="344">
        <v>264.10000000000002</v>
      </c>
      <c r="R34" s="344">
        <v>298.8</v>
      </c>
      <c r="S34" s="344">
        <v>388.1</v>
      </c>
      <c r="T34" s="344">
        <v>381.6</v>
      </c>
      <c r="U34" s="344">
        <v>386.7</v>
      </c>
      <c r="V34" s="344">
        <v>386.5</v>
      </c>
      <c r="W34" s="344">
        <v>264.3</v>
      </c>
      <c r="X34" s="344">
        <v>217.2</v>
      </c>
      <c r="Y34" s="344">
        <v>224.4</v>
      </c>
      <c r="Z34" s="344">
        <v>206.3</v>
      </c>
      <c r="AA34" s="344">
        <v>178.4</v>
      </c>
      <c r="AB34" s="344">
        <v>184</v>
      </c>
      <c r="AC34" s="344">
        <v>275.39999999999998</v>
      </c>
      <c r="AD34" s="344">
        <v>267.8</v>
      </c>
      <c r="AE34" s="344">
        <v>286.2</v>
      </c>
      <c r="AF34" s="344">
        <v>302.39999999999998</v>
      </c>
      <c r="AG34" s="344">
        <v>383.9</v>
      </c>
      <c r="AH34" s="344">
        <v>327.39999999999998</v>
      </c>
      <c r="AI34" s="344">
        <v>374.2</v>
      </c>
      <c r="AJ34" s="344">
        <v>350.9</v>
      </c>
      <c r="AK34" s="344">
        <v>453.7</v>
      </c>
      <c r="AL34" s="344">
        <v>501.6</v>
      </c>
      <c r="AM34" s="344">
        <v>455.5</v>
      </c>
      <c r="AN34" s="344">
        <v>651.29999999999995</v>
      </c>
      <c r="AO34" s="344">
        <v>653.79999999999995</v>
      </c>
      <c r="AP34" s="344">
        <v>795</v>
      </c>
      <c r="AQ34" s="344">
        <v>742.4</v>
      </c>
      <c r="AR34" s="344">
        <v>928.2</v>
      </c>
      <c r="AS34" s="344">
        <v>1004.1</v>
      </c>
      <c r="AT34" s="344">
        <f t="shared" ref="AT34" si="29">AT33*AT32/1000</f>
        <v>190.7576</v>
      </c>
      <c r="AU34" s="344">
        <f t="shared" ref="AU34" si="30">AU33*AU32/1000</f>
        <v>267.22439999999995</v>
      </c>
      <c r="AV34" s="344">
        <f t="shared" ref="AV34" si="31">AV33*AV32/1000</f>
        <v>361.5052</v>
      </c>
      <c r="AW34" s="344">
        <f t="shared" ref="AW34" si="32">AW33*AW32/1000</f>
        <v>391.0455</v>
      </c>
      <c r="AX34" s="344">
        <f t="shared" ref="AX34" si="33">AX33*AX32/1000</f>
        <v>406.67360000000002</v>
      </c>
      <c r="AY34" s="365">
        <f>AY32*AY33/1000</f>
        <v>449.68719999999996</v>
      </c>
      <c r="AZ34" s="366">
        <f>AZ32*AZ33/1000</f>
        <v>454.19499999999999</v>
      </c>
      <c r="BA34" s="366">
        <f>AZ34-AY34</f>
        <v>4.5078000000000316</v>
      </c>
      <c r="BB34" s="367">
        <f>AY34-AX34</f>
        <v>43.01359999999994</v>
      </c>
      <c r="BC34" s="368">
        <f>AZ34-AX34</f>
        <v>47.521399999999971</v>
      </c>
      <c r="BD34" s="353">
        <f t="shared" si="6"/>
        <v>-0.1653703619377096</v>
      </c>
      <c r="BH34" s="311"/>
      <c r="BI34" s="311"/>
      <c r="BJ34" s="311"/>
      <c r="BK34" s="311"/>
    </row>
    <row r="35" spans="1:63" s="311" customFormat="1" ht="15" customHeight="1" thickBot="1">
      <c r="A35" s="331" t="s">
        <v>362</v>
      </c>
      <c r="B35" s="357"/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357"/>
      <c r="N35" s="357"/>
      <c r="O35" s="357"/>
      <c r="P35" s="357"/>
      <c r="Q35" s="357"/>
      <c r="R35" s="357"/>
      <c r="S35" s="357"/>
      <c r="T35" s="357"/>
      <c r="U35" s="357"/>
      <c r="V35" s="357"/>
      <c r="W35" s="357"/>
      <c r="X35" s="357"/>
      <c r="Y35" s="357"/>
      <c r="Z35" s="357"/>
      <c r="AA35" s="357"/>
      <c r="AB35" s="357"/>
      <c r="AC35" s="357"/>
      <c r="AD35" s="357"/>
      <c r="AE35" s="357"/>
      <c r="AF35" s="358"/>
      <c r="AG35" s="358"/>
      <c r="AH35" s="358"/>
      <c r="AI35" s="358"/>
      <c r="AJ35" s="358"/>
      <c r="AK35" s="358"/>
      <c r="AL35" s="358"/>
      <c r="AM35" s="358"/>
      <c r="AN35" s="358"/>
      <c r="AO35" s="358"/>
      <c r="AP35" s="358"/>
      <c r="AQ35" s="358"/>
      <c r="AR35" s="358"/>
      <c r="AS35" s="358"/>
      <c r="AT35" s="333"/>
      <c r="AU35" s="333"/>
      <c r="AV35" s="333"/>
      <c r="AW35" s="333"/>
      <c r="AX35" s="333"/>
      <c r="AY35" s="332"/>
      <c r="AZ35" s="333"/>
      <c r="BA35" s="334"/>
      <c r="BB35" s="332"/>
      <c r="BC35" s="333"/>
      <c r="BD35" s="334"/>
      <c r="BE35" s="309"/>
      <c r="BF35"/>
      <c r="BG35" s="308"/>
      <c r="BH35" s="309"/>
      <c r="BI35" s="309"/>
      <c r="BJ35" s="309"/>
      <c r="BK35" s="309"/>
    </row>
    <row r="36" spans="1:63" s="311" customFormat="1" ht="15" customHeight="1">
      <c r="A36" s="324" t="s">
        <v>352</v>
      </c>
      <c r="B36" s="344">
        <f>B40+B44+B48+B52+B56+B60+B64+B68+B72</f>
        <v>2486.1</v>
      </c>
      <c r="C36" s="344">
        <f t="shared" ref="C36:AT36" si="34">C40+C44+C48+C52+C56+C60+C64+C68+C72</f>
        <v>2324.9</v>
      </c>
      <c r="D36" s="344">
        <f t="shared" si="34"/>
        <v>2076</v>
      </c>
      <c r="E36" s="344">
        <f t="shared" si="34"/>
        <v>2632</v>
      </c>
      <c r="F36" s="344">
        <f t="shared" si="34"/>
        <v>2752</v>
      </c>
      <c r="G36" s="344">
        <f t="shared" si="34"/>
        <v>2795.2000000000003</v>
      </c>
      <c r="H36" s="344">
        <f t="shared" si="34"/>
        <v>2444.2000000000003</v>
      </c>
      <c r="I36" s="344">
        <f t="shared" si="34"/>
        <v>2336.4</v>
      </c>
      <c r="J36" s="344">
        <f t="shared" si="34"/>
        <v>2532.1999999999998</v>
      </c>
      <c r="K36" s="344">
        <f t="shared" si="34"/>
        <v>2896.6</v>
      </c>
      <c r="L36" s="344">
        <f t="shared" si="34"/>
        <v>3090.2999999999997</v>
      </c>
      <c r="M36" s="344">
        <f t="shared" si="34"/>
        <v>3040</v>
      </c>
      <c r="N36" s="344">
        <f t="shared" si="34"/>
        <v>2801.2</v>
      </c>
      <c r="O36" s="344">
        <f t="shared" si="34"/>
        <v>2353.5</v>
      </c>
      <c r="P36" s="344">
        <f t="shared" si="34"/>
        <v>2707.5</v>
      </c>
      <c r="Q36" s="344">
        <f t="shared" si="34"/>
        <v>2800.2</v>
      </c>
      <c r="R36" s="344">
        <f t="shared" si="34"/>
        <v>2066.1</v>
      </c>
      <c r="S36" s="344">
        <f t="shared" si="34"/>
        <v>3076.6</v>
      </c>
      <c r="T36" s="344">
        <f t="shared" si="34"/>
        <v>3007.0000000000005</v>
      </c>
      <c r="U36" s="344">
        <f t="shared" si="34"/>
        <v>3116.6999999999994</v>
      </c>
      <c r="V36" s="344">
        <f t="shared" si="34"/>
        <v>2853.2000000000003</v>
      </c>
      <c r="W36" s="344">
        <f t="shared" si="34"/>
        <v>1842.6000000000001</v>
      </c>
      <c r="X36" s="344">
        <f t="shared" si="34"/>
        <v>2167.5</v>
      </c>
      <c r="Y36" s="344">
        <f t="shared" si="34"/>
        <v>2283.5</v>
      </c>
      <c r="Z36" s="344">
        <f t="shared" si="34"/>
        <v>2299.6999999999998</v>
      </c>
      <c r="AA36" s="344">
        <f t="shared" si="34"/>
        <v>2358</v>
      </c>
      <c r="AB36" s="344">
        <f t="shared" si="34"/>
        <v>2577.1</v>
      </c>
      <c r="AC36" s="344">
        <f t="shared" si="34"/>
        <v>2588.4</v>
      </c>
      <c r="AD36" s="344">
        <f t="shared" si="34"/>
        <v>2362.9</v>
      </c>
      <c r="AE36" s="344">
        <f t="shared" si="34"/>
        <v>2468.1</v>
      </c>
      <c r="AF36" s="344">
        <f t="shared" si="34"/>
        <v>2575</v>
      </c>
      <c r="AG36" s="344">
        <f t="shared" si="34"/>
        <v>2628</v>
      </c>
      <c r="AH36" s="344">
        <f t="shared" si="34"/>
        <v>2724.1</v>
      </c>
      <c r="AI36" s="344">
        <f t="shared" si="34"/>
        <v>2293.6999999999998</v>
      </c>
      <c r="AJ36" s="344">
        <f t="shared" si="34"/>
        <v>2504.2000000000003</v>
      </c>
      <c r="AK36" s="344">
        <f t="shared" si="34"/>
        <v>1917.3</v>
      </c>
      <c r="AL36" s="344">
        <f t="shared" si="34"/>
        <v>1695.6999999999998</v>
      </c>
      <c r="AM36" s="344">
        <f t="shared" si="34"/>
        <v>2113.3000000000002</v>
      </c>
      <c r="AN36" s="344">
        <f t="shared" si="34"/>
        <v>2056.5000000000005</v>
      </c>
      <c r="AO36" s="344">
        <f t="shared" si="34"/>
        <v>1798</v>
      </c>
      <c r="AP36" s="344">
        <f t="shared" si="34"/>
        <v>1806.6</v>
      </c>
      <c r="AQ36" s="344">
        <f t="shared" si="34"/>
        <v>1937.2</v>
      </c>
      <c r="AR36" s="344">
        <f t="shared" si="34"/>
        <v>953.5</v>
      </c>
      <c r="AS36" s="344">
        <f t="shared" si="34"/>
        <v>1067</v>
      </c>
      <c r="AT36" s="344">
        <f t="shared" si="34"/>
        <v>1131.5999999999999</v>
      </c>
      <c r="AU36" s="344">
        <f t="shared" ref="AU36:AY36" si="35">AU40+AU44+AU48+AU52+AU56+AU60+AU64+AU68+AU72</f>
        <v>1193.9000000000001</v>
      </c>
      <c r="AV36" s="344">
        <f t="shared" si="35"/>
        <v>1277.4000000000001</v>
      </c>
      <c r="AW36" s="344">
        <f t="shared" si="35"/>
        <v>1034.4000000000001</v>
      </c>
      <c r="AX36" s="344">
        <f t="shared" si="35"/>
        <v>1015.3000000000001</v>
      </c>
      <c r="AY36" s="369">
        <f t="shared" si="35"/>
        <v>1021</v>
      </c>
      <c r="AZ36" s="366">
        <f>AZ40+AZ44+AZ48+AZ52+AZ56+AZ60+AZ64+AZ68+AZ72</f>
        <v>1021</v>
      </c>
      <c r="BA36" s="366">
        <f>AZ36-AY36</f>
        <v>0</v>
      </c>
      <c r="BB36" s="367">
        <f>AY36-AX36</f>
        <v>5.6999999999999318</v>
      </c>
      <c r="BC36" s="368">
        <f>AZ36-AX36</f>
        <v>5.6999999999999318</v>
      </c>
      <c r="BD36" s="353">
        <f t="shared" si="6"/>
        <v>-9.8841944572940488E-3</v>
      </c>
      <c r="BE36" s="309"/>
      <c r="BF36" s="319" t="b">
        <v>0</v>
      </c>
      <c r="BG36" s="308"/>
    </row>
    <row r="37" spans="1:63" s="311" customFormat="1" ht="15" customHeight="1">
      <c r="A37" s="318" t="s">
        <v>353</v>
      </c>
      <c r="B37" s="345">
        <f>B38/B36*1000</f>
        <v>661.83982945175171</v>
      </c>
      <c r="C37" s="345">
        <f t="shared" ref="C37:AT37" si="36">C38/C36*1000</f>
        <v>987.13923179491587</v>
      </c>
      <c r="D37" s="345">
        <f t="shared" si="36"/>
        <v>971.09826589595377</v>
      </c>
      <c r="E37" s="345">
        <f t="shared" si="36"/>
        <v>909.57446808510633</v>
      </c>
      <c r="F37" s="345">
        <f t="shared" si="36"/>
        <v>578.8517441860464</v>
      </c>
      <c r="G37" s="345">
        <f t="shared" si="36"/>
        <v>975.60103033772168</v>
      </c>
      <c r="H37" s="345">
        <f t="shared" si="36"/>
        <v>349.80770804353153</v>
      </c>
      <c r="I37" s="345">
        <f t="shared" si="36"/>
        <v>1263.4822804314329</v>
      </c>
      <c r="J37" s="345">
        <f t="shared" si="36"/>
        <v>447.83192480846697</v>
      </c>
      <c r="K37" s="345">
        <f t="shared" si="36"/>
        <v>901.05641096457919</v>
      </c>
      <c r="L37" s="345">
        <f t="shared" si="36"/>
        <v>337.83127851664892</v>
      </c>
      <c r="M37" s="345">
        <f t="shared" si="36"/>
        <v>1021.3815789473683</v>
      </c>
      <c r="N37" s="345">
        <f t="shared" si="36"/>
        <v>1098.8147936598602</v>
      </c>
      <c r="O37" s="345">
        <f t="shared" si="36"/>
        <v>661.5678776290631</v>
      </c>
      <c r="P37" s="345">
        <f t="shared" si="36"/>
        <v>1179.0581717451521</v>
      </c>
      <c r="Q37" s="345">
        <f t="shared" si="36"/>
        <v>762.37411613456197</v>
      </c>
      <c r="R37" s="345">
        <f t="shared" si="36"/>
        <v>859.88093509510702</v>
      </c>
      <c r="S37" s="345">
        <f t="shared" si="36"/>
        <v>1208.4443866605993</v>
      </c>
      <c r="T37" s="345">
        <f t="shared" si="36"/>
        <v>1264.5493847688724</v>
      </c>
      <c r="U37" s="345">
        <f t="shared" si="36"/>
        <v>1313.8896910193475</v>
      </c>
      <c r="V37" s="345">
        <f t="shared" si="36"/>
        <v>1144.0838356932563</v>
      </c>
      <c r="W37" s="345">
        <f t="shared" si="36"/>
        <v>1025.2360794529473</v>
      </c>
      <c r="X37" s="345">
        <f t="shared" si="36"/>
        <v>1221.1764705882351</v>
      </c>
      <c r="Y37" s="345">
        <f t="shared" si="36"/>
        <v>1235.9973724545653</v>
      </c>
      <c r="Z37" s="345">
        <f t="shared" si="36"/>
        <v>1213.2017219637346</v>
      </c>
      <c r="AA37" s="345">
        <f t="shared" si="36"/>
        <v>1238.5496183206105</v>
      </c>
      <c r="AB37" s="345">
        <f t="shared" si="36"/>
        <v>1446.5096426215512</v>
      </c>
      <c r="AC37" s="345">
        <f t="shared" si="36"/>
        <v>1496.5229485396385</v>
      </c>
      <c r="AD37" s="345">
        <f t="shared" si="36"/>
        <v>1542.9768504803419</v>
      </c>
      <c r="AE37" s="345">
        <f t="shared" si="36"/>
        <v>1547.5872128357848</v>
      </c>
      <c r="AF37" s="345">
        <f t="shared" si="36"/>
        <v>1562.6796116504854</v>
      </c>
      <c r="AG37" s="345">
        <f t="shared" si="36"/>
        <v>1679.4520547945206</v>
      </c>
      <c r="AH37" s="345">
        <f t="shared" si="36"/>
        <v>1665.4674938511803</v>
      </c>
      <c r="AI37" s="345">
        <f t="shared" si="36"/>
        <v>2205.5630640449931</v>
      </c>
      <c r="AJ37" s="345">
        <f t="shared" si="36"/>
        <v>3161.6084977238233</v>
      </c>
      <c r="AK37" s="345">
        <f t="shared" si="36"/>
        <v>3434.2043498670014</v>
      </c>
      <c r="AL37" s="345">
        <f t="shared" si="36"/>
        <v>6949.696290617444</v>
      </c>
      <c r="AM37" s="345">
        <f t="shared" si="36"/>
        <v>7350.1632517863036</v>
      </c>
      <c r="AN37" s="345">
        <f t="shared" si="36"/>
        <v>6429.7592997811817</v>
      </c>
      <c r="AO37" s="345">
        <f t="shared" si="36"/>
        <v>4376.8631813125685</v>
      </c>
      <c r="AP37" s="345">
        <f t="shared" si="36"/>
        <v>9723.8458983726341</v>
      </c>
      <c r="AQ37" s="345">
        <f t="shared" si="36"/>
        <v>8752.8391492876308</v>
      </c>
      <c r="AR37" s="345">
        <f t="shared" si="36"/>
        <v>16919.244887257475</v>
      </c>
      <c r="AS37" s="345">
        <f t="shared" si="36"/>
        <v>18525.492033739454</v>
      </c>
      <c r="AT37" s="345">
        <f t="shared" si="36"/>
        <v>4453.5193531283139</v>
      </c>
      <c r="AU37" s="345">
        <f t="shared" ref="AU37:AY37" si="37">AU38/AU36*1000</f>
        <v>4801.3466789513368</v>
      </c>
      <c r="AV37" s="345">
        <f t="shared" si="37"/>
        <v>5118.2339126350389</v>
      </c>
      <c r="AW37" s="345">
        <f t="shared" si="37"/>
        <v>4147.3668793503475</v>
      </c>
      <c r="AX37" s="345">
        <f t="shared" si="37"/>
        <v>4079.7779966512362</v>
      </c>
      <c r="AY37" s="346">
        <f t="shared" si="37"/>
        <v>4567.2157688540638</v>
      </c>
      <c r="AZ37" s="347">
        <f>AZ38/AZ36*1000</f>
        <v>4567.2157688540638</v>
      </c>
      <c r="BA37" s="347">
        <f>AZ37-AY37</f>
        <v>0</v>
      </c>
      <c r="BB37" s="351">
        <f>AY37-AX37</f>
        <v>487.43777220282755</v>
      </c>
      <c r="BC37" s="352">
        <f>AZ37-AX37</f>
        <v>487.43777220282755</v>
      </c>
      <c r="BD37" s="353">
        <f t="shared" si="6"/>
        <v>-0.26112094472027636</v>
      </c>
      <c r="BE37" s="309"/>
      <c r="BF37"/>
      <c r="BG37" s="308"/>
      <c r="BH37" s="309"/>
      <c r="BI37" s="309"/>
      <c r="BJ37" s="309"/>
      <c r="BK37" s="309"/>
    </row>
    <row r="38" spans="1:63" s="311" customFormat="1" ht="15" customHeight="1">
      <c r="A38" s="318" t="s">
        <v>354</v>
      </c>
      <c r="B38" s="344">
        <f>B42+B46+B50+B54+B58+B62+B66+B70+B74</f>
        <v>1645.3999999999999</v>
      </c>
      <c r="C38" s="344">
        <f t="shared" ref="C38:AT38" si="38">C42+C46+C50+C54+C58+C62+C66+C70+C74</f>
        <v>2295</v>
      </c>
      <c r="D38" s="344">
        <f t="shared" si="38"/>
        <v>2016</v>
      </c>
      <c r="E38" s="344">
        <f t="shared" si="38"/>
        <v>2394</v>
      </c>
      <c r="F38" s="344">
        <f t="shared" si="38"/>
        <v>1593</v>
      </c>
      <c r="G38" s="344">
        <f t="shared" si="38"/>
        <v>2727</v>
      </c>
      <c r="H38" s="344">
        <f t="shared" si="38"/>
        <v>855</v>
      </c>
      <c r="I38" s="344">
        <f t="shared" si="38"/>
        <v>2952</v>
      </c>
      <c r="J38" s="344">
        <f t="shared" si="38"/>
        <v>1134</v>
      </c>
      <c r="K38" s="344">
        <f t="shared" si="38"/>
        <v>2610</v>
      </c>
      <c r="L38" s="344">
        <f t="shared" si="38"/>
        <v>1044</v>
      </c>
      <c r="M38" s="344">
        <f t="shared" si="38"/>
        <v>3105</v>
      </c>
      <c r="N38" s="344">
        <f t="shared" si="38"/>
        <v>3078</v>
      </c>
      <c r="O38" s="344">
        <f t="shared" si="38"/>
        <v>1557</v>
      </c>
      <c r="P38" s="344">
        <f t="shared" si="38"/>
        <v>3192.2999999999993</v>
      </c>
      <c r="Q38" s="344">
        <f t="shared" si="38"/>
        <v>2134.8000000000002</v>
      </c>
      <c r="R38" s="344">
        <f t="shared" si="38"/>
        <v>1776.6000000000004</v>
      </c>
      <c r="S38" s="344">
        <f t="shared" si="38"/>
        <v>3717.8999999999996</v>
      </c>
      <c r="T38" s="344">
        <f t="shared" si="38"/>
        <v>3802.5</v>
      </c>
      <c r="U38" s="344">
        <f t="shared" si="38"/>
        <v>4095</v>
      </c>
      <c r="V38" s="344">
        <f t="shared" si="38"/>
        <v>3264.2999999999993</v>
      </c>
      <c r="W38" s="344">
        <f t="shared" si="38"/>
        <v>1889.1000000000004</v>
      </c>
      <c r="X38" s="344">
        <f t="shared" si="38"/>
        <v>2646.8999999999996</v>
      </c>
      <c r="Y38" s="344">
        <f t="shared" si="38"/>
        <v>2822.3999999999996</v>
      </c>
      <c r="Z38" s="344">
        <f t="shared" si="38"/>
        <v>2790</v>
      </c>
      <c r="AA38" s="344">
        <f t="shared" si="38"/>
        <v>2920.5</v>
      </c>
      <c r="AB38" s="344">
        <f t="shared" si="38"/>
        <v>3727.7999999999993</v>
      </c>
      <c r="AC38" s="344">
        <f t="shared" si="38"/>
        <v>3873.6000000000004</v>
      </c>
      <c r="AD38" s="344">
        <f t="shared" si="38"/>
        <v>3645.8999999999996</v>
      </c>
      <c r="AE38" s="344">
        <f t="shared" si="38"/>
        <v>3819.6000000000004</v>
      </c>
      <c r="AF38" s="344">
        <f t="shared" si="38"/>
        <v>4023.8999999999996</v>
      </c>
      <c r="AG38" s="344">
        <f t="shared" si="38"/>
        <v>4413.6000000000004</v>
      </c>
      <c r="AH38" s="344">
        <f t="shared" si="38"/>
        <v>4536.8999999999996</v>
      </c>
      <c r="AI38" s="344">
        <f t="shared" si="38"/>
        <v>5058.9000000000005</v>
      </c>
      <c r="AJ38" s="344">
        <f t="shared" si="38"/>
        <v>7917.2999999999993</v>
      </c>
      <c r="AK38" s="344">
        <f t="shared" si="38"/>
        <v>6584.4000000000015</v>
      </c>
      <c r="AL38" s="344">
        <f t="shared" si="38"/>
        <v>11784.599999999999</v>
      </c>
      <c r="AM38" s="344">
        <f t="shared" si="38"/>
        <v>15533.099999999999</v>
      </c>
      <c r="AN38" s="344">
        <f t="shared" si="38"/>
        <v>13222.800000000003</v>
      </c>
      <c r="AO38" s="344">
        <f t="shared" si="38"/>
        <v>7869.5999999999985</v>
      </c>
      <c r="AP38" s="344">
        <f t="shared" si="38"/>
        <v>17567.099999999999</v>
      </c>
      <c r="AQ38" s="344">
        <f t="shared" si="38"/>
        <v>16956</v>
      </c>
      <c r="AR38" s="344">
        <f t="shared" si="38"/>
        <v>16132.5</v>
      </c>
      <c r="AS38" s="344">
        <f t="shared" si="38"/>
        <v>19766.699999999997</v>
      </c>
      <c r="AT38" s="344">
        <f t="shared" si="38"/>
        <v>5039.6025</v>
      </c>
      <c r="AU38" s="344">
        <f t="shared" ref="AU38:AY38" si="39">AU42+AU46+AU50+AU54+AU58+AU62+AU66+AU70+AU74</f>
        <v>5732.3278000000009</v>
      </c>
      <c r="AV38" s="344">
        <f t="shared" si="39"/>
        <v>6538.0319999999992</v>
      </c>
      <c r="AW38" s="344">
        <f t="shared" si="39"/>
        <v>4290.0362999999998</v>
      </c>
      <c r="AX38" s="344">
        <f t="shared" si="39"/>
        <v>4142.1986000000006</v>
      </c>
      <c r="AY38" s="365">
        <f t="shared" si="39"/>
        <v>4663.1272999999992</v>
      </c>
      <c r="AZ38" s="366">
        <f>AZ42+AZ46+AZ50+AZ54+AZ58+AZ62+AZ66+AZ70+AZ74</f>
        <v>4663.1272999999992</v>
      </c>
      <c r="BA38" s="366">
        <f>AZ38-AY38</f>
        <v>0</v>
      </c>
      <c r="BB38" s="367">
        <f>AY38-AX38</f>
        <v>520.92869999999857</v>
      </c>
      <c r="BC38" s="368">
        <f>AZ38-AX38</f>
        <v>520.92869999999857</v>
      </c>
      <c r="BD38" s="353">
        <f t="shared" si="6"/>
        <v>-0.26842416898308286</v>
      </c>
      <c r="BE38" s="309"/>
      <c r="BF38"/>
      <c r="BG38" s="308"/>
    </row>
    <row r="39" spans="1:63" ht="15" customHeight="1">
      <c r="A39" s="320" t="s">
        <v>363</v>
      </c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356"/>
      <c r="AB39" s="356"/>
      <c r="AC39" s="356"/>
      <c r="AD39" s="356"/>
      <c r="AE39" s="356"/>
      <c r="AF39" s="356"/>
      <c r="AG39" s="356"/>
      <c r="AH39" s="356"/>
      <c r="AI39" s="356"/>
      <c r="AJ39" s="356"/>
      <c r="AK39" s="356"/>
      <c r="AL39" s="356"/>
      <c r="AM39" s="356"/>
      <c r="AN39" s="356"/>
      <c r="AO39" s="356"/>
      <c r="AP39" s="356"/>
      <c r="AQ39" s="356"/>
      <c r="AR39" s="356"/>
      <c r="AS39" s="356"/>
      <c r="AT39" s="328"/>
      <c r="AU39" s="328"/>
      <c r="AV39" s="328"/>
      <c r="AW39" s="328"/>
      <c r="AX39" s="328"/>
      <c r="AY39" s="321"/>
      <c r="AZ39" s="328"/>
      <c r="BA39" s="329"/>
      <c r="BB39" s="321"/>
      <c r="BC39" s="328"/>
      <c r="BD39" s="329"/>
    </row>
    <row r="40" spans="1:63" ht="15" customHeight="1">
      <c r="A40" s="324" t="s">
        <v>352</v>
      </c>
      <c r="B40" s="344">
        <v>396.8</v>
      </c>
      <c r="C40" s="344">
        <v>421.8</v>
      </c>
      <c r="D40" s="344">
        <v>380</v>
      </c>
      <c r="E40" s="344">
        <v>503</v>
      </c>
      <c r="F40" s="344">
        <v>507</v>
      </c>
      <c r="G40" s="344">
        <v>556</v>
      </c>
      <c r="H40" s="344">
        <v>473</v>
      </c>
      <c r="I40" s="344">
        <v>468</v>
      </c>
      <c r="J40" s="344">
        <v>421</v>
      </c>
      <c r="K40" s="344">
        <v>530</v>
      </c>
      <c r="L40" s="344">
        <v>551.79999999999995</v>
      </c>
      <c r="M40" s="344">
        <v>551.79999999999995</v>
      </c>
      <c r="N40" s="344">
        <v>570</v>
      </c>
      <c r="O40" s="344">
        <v>524</v>
      </c>
      <c r="P40" s="344">
        <v>563</v>
      </c>
      <c r="Q40" s="344">
        <v>580</v>
      </c>
      <c r="R40" s="344">
        <v>533.6</v>
      </c>
      <c r="S40" s="344">
        <v>590.20000000000005</v>
      </c>
      <c r="T40" s="344">
        <v>650</v>
      </c>
      <c r="U40" s="344">
        <v>650</v>
      </c>
      <c r="V40" s="344">
        <v>585</v>
      </c>
      <c r="W40" s="344">
        <v>304.2</v>
      </c>
      <c r="X40" s="344">
        <v>317.89999999999998</v>
      </c>
      <c r="Y40" s="344">
        <v>320</v>
      </c>
      <c r="Z40" s="344">
        <v>322.89999999999998</v>
      </c>
      <c r="AA40" s="344">
        <v>324.5</v>
      </c>
      <c r="AB40" s="344">
        <v>360.2</v>
      </c>
      <c r="AC40" s="344">
        <v>371</v>
      </c>
      <c r="AD40" s="344">
        <v>385.8</v>
      </c>
      <c r="AE40" s="344">
        <v>362.7</v>
      </c>
      <c r="AF40" s="344">
        <v>367.1</v>
      </c>
      <c r="AG40" s="344">
        <v>353.3</v>
      </c>
      <c r="AH40" s="344">
        <v>373.4</v>
      </c>
      <c r="AI40" s="344">
        <v>382.4</v>
      </c>
      <c r="AJ40" s="344">
        <v>477.6</v>
      </c>
      <c r="AK40" s="344">
        <v>384</v>
      </c>
      <c r="AL40" s="344">
        <v>373</v>
      </c>
      <c r="AM40" s="344">
        <v>379</v>
      </c>
      <c r="AN40" s="344">
        <v>380.1</v>
      </c>
      <c r="AO40" s="344">
        <v>268.39999999999998</v>
      </c>
      <c r="AP40" s="344">
        <v>292.8</v>
      </c>
      <c r="AQ40" s="344">
        <v>311</v>
      </c>
      <c r="AR40" s="344">
        <v>218.6</v>
      </c>
      <c r="AS40" s="344">
        <v>270</v>
      </c>
      <c r="AT40" s="344">
        <v>271.10000000000002</v>
      </c>
      <c r="AU40" s="344">
        <v>302.5</v>
      </c>
      <c r="AV40" s="344">
        <v>304.89999999999998</v>
      </c>
      <c r="AW40" s="344">
        <v>290.3</v>
      </c>
      <c r="AX40" s="344">
        <v>298.10000000000002</v>
      </c>
      <c r="AY40" s="369">
        <v>308.5</v>
      </c>
      <c r="AZ40" s="366">
        <v>308.5</v>
      </c>
      <c r="BA40" s="366">
        <f>AZ40-AY40</f>
        <v>0</v>
      </c>
      <c r="BB40" s="367">
        <f>AY40-AX40</f>
        <v>10.399999999999977</v>
      </c>
      <c r="BC40" s="368">
        <f>AZ40-AX40</f>
        <v>10.399999999999977</v>
      </c>
      <c r="BD40" s="353">
        <f t="shared" si="6"/>
        <v>1.9998756662527262E-2</v>
      </c>
      <c r="BF40" s="319" t="b">
        <v>0</v>
      </c>
      <c r="BH40" s="311"/>
      <c r="BI40" s="311"/>
      <c r="BJ40" s="311"/>
      <c r="BK40" s="311"/>
    </row>
    <row r="41" spans="1:63" ht="15" customHeight="1">
      <c r="A41" s="324" t="s">
        <v>353</v>
      </c>
      <c r="B41" s="345">
        <v>596.27016129032256</v>
      </c>
      <c r="C41" s="345">
        <v>605.26315789473688</v>
      </c>
      <c r="D41" s="345">
        <v>589.47368421052624</v>
      </c>
      <c r="E41" s="345">
        <v>529.02584493041752</v>
      </c>
      <c r="F41" s="345">
        <v>349.11242603550295</v>
      </c>
      <c r="G41" s="345">
        <v>544.96402877697847</v>
      </c>
      <c r="H41" s="345">
        <v>200</v>
      </c>
      <c r="I41" s="345">
        <v>700</v>
      </c>
      <c r="J41" s="345">
        <v>300</v>
      </c>
      <c r="K41" s="345">
        <v>546.98113207547158</v>
      </c>
      <c r="L41" s="345">
        <v>210.03986951794133</v>
      </c>
      <c r="M41" s="345">
        <v>625.04530627038775</v>
      </c>
      <c r="N41" s="345">
        <v>600</v>
      </c>
      <c r="O41" s="345">
        <v>329.96183206106872</v>
      </c>
      <c r="P41" s="345">
        <v>630</v>
      </c>
      <c r="Q41" s="345">
        <v>409</v>
      </c>
      <c r="R41" s="345">
        <v>370</v>
      </c>
      <c r="S41" s="345">
        <v>700</v>
      </c>
      <c r="T41" s="345">
        <v>650</v>
      </c>
      <c r="U41" s="345">
        <v>700</v>
      </c>
      <c r="V41" s="345">
        <v>620</v>
      </c>
      <c r="W41" s="345">
        <v>690</v>
      </c>
      <c r="X41" s="345">
        <v>925</v>
      </c>
      <c r="Y41" s="345">
        <v>980</v>
      </c>
      <c r="Z41" s="345">
        <v>960</v>
      </c>
      <c r="AA41" s="345">
        <v>1000</v>
      </c>
      <c r="AB41" s="345">
        <v>1150</v>
      </c>
      <c r="AC41" s="345">
        <v>1160</v>
      </c>
      <c r="AD41" s="345">
        <v>1050</v>
      </c>
      <c r="AE41" s="345">
        <v>1170</v>
      </c>
      <c r="AF41" s="345">
        <v>1218</v>
      </c>
      <c r="AG41" s="345">
        <v>1388</v>
      </c>
      <c r="AH41" s="345">
        <v>1350</v>
      </c>
      <c r="AI41" s="345">
        <v>1470</v>
      </c>
      <c r="AJ41" s="345">
        <v>1842</v>
      </c>
      <c r="AK41" s="345">
        <v>1376</v>
      </c>
      <c r="AL41" s="345">
        <v>2000</v>
      </c>
      <c r="AM41" s="345">
        <v>2266</v>
      </c>
      <c r="AN41" s="345">
        <v>2500</v>
      </c>
      <c r="AO41" s="345">
        <v>2687</v>
      </c>
      <c r="AP41" s="345">
        <v>4240</v>
      </c>
      <c r="AQ41" s="345">
        <v>4854</v>
      </c>
      <c r="AR41" s="345">
        <v>4521</v>
      </c>
      <c r="AS41" s="345">
        <v>4515</v>
      </c>
      <c r="AT41" s="345">
        <v>4900</v>
      </c>
      <c r="AU41" s="345">
        <v>5090</v>
      </c>
      <c r="AV41" s="345">
        <v>5125</v>
      </c>
      <c r="AW41" s="345">
        <v>5004</v>
      </c>
      <c r="AX41" s="345">
        <v>5128</v>
      </c>
      <c r="AY41" s="346">
        <v>5084</v>
      </c>
      <c r="AZ41" s="347">
        <v>5084</v>
      </c>
      <c r="BA41" s="347">
        <f>AZ41-AY41</f>
        <v>0</v>
      </c>
      <c r="BB41" s="351">
        <f>AY41-AX41</f>
        <v>-44</v>
      </c>
      <c r="BC41" s="352">
        <f>AZ41-AX41</f>
        <v>-44</v>
      </c>
      <c r="BD41" s="353">
        <f t="shared" si="6"/>
        <v>2.5789034848341386E-2</v>
      </c>
    </row>
    <row r="42" spans="1:63" s="311" customFormat="1" ht="15" customHeight="1">
      <c r="A42" s="324" t="s">
        <v>354</v>
      </c>
      <c r="B42" s="344">
        <f>B41*B40/1000</f>
        <v>236.6</v>
      </c>
      <c r="C42" s="344">
        <v>255</v>
      </c>
      <c r="D42" s="344">
        <v>224</v>
      </c>
      <c r="E42" s="344">
        <v>266</v>
      </c>
      <c r="F42" s="344">
        <v>177</v>
      </c>
      <c r="G42" s="344">
        <v>303</v>
      </c>
      <c r="H42" s="344">
        <v>95</v>
      </c>
      <c r="I42" s="344">
        <v>328</v>
      </c>
      <c r="J42" s="344">
        <v>126</v>
      </c>
      <c r="K42" s="344">
        <v>290</v>
      </c>
      <c r="L42" s="344">
        <v>116</v>
      </c>
      <c r="M42" s="344">
        <v>345</v>
      </c>
      <c r="N42" s="344">
        <v>342</v>
      </c>
      <c r="O42" s="344">
        <v>173</v>
      </c>
      <c r="P42" s="344">
        <v>354.7</v>
      </c>
      <c r="Q42" s="344">
        <v>237.2</v>
      </c>
      <c r="R42" s="344">
        <v>197.4</v>
      </c>
      <c r="S42" s="344">
        <v>413.1</v>
      </c>
      <c r="T42" s="344">
        <v>422.5</v>
      </c>
      <c r="U42" s="344">
        <v>455</v>
      </c>
      <c r="V42" s="344">
        <v>362.7</v>
      </c>
      <c r="W42" s="344">
        <v>209.9</v>
      </c>
      <c r="X42" s="344">
        <v>294.10000000000002</v>
      </c>
      <c r="Y42" s="344">
        <v>313.60000000000002</v>
      </c>
      <c r="Z42" s="344">
        <v>310</v>
      </c>
      <c r="AA42" s="344">
        <v>324.5</v>
      </c>
      <c r="AB42" s="344">
        <v>414.2</v>
      </c>
      <c r="AC42" s="344">
        <v>430.4</v>
      </c>
      <c r="AD42" s="344">
        <v>405.1</v>
      </c>
      <c r="AE42" s="344">
        <v>424.4</v>
      </c>
      <c r="AF42" s="344">
        <v>447.1</v>
      </c>
      <c r="AG42" s="344">
        <v>490.4</v>
      </c>
      <c r="AH42" s="344">
        <v>504.1</v>
      </c>
      <c r="AI42" s="344">
        <v>562.1</v>
      </c>
      <c r="AJ42" s="344">
        <v>879.7</v>
      </c>
      <c r="AK42" s="344">
        <v>731.6</v>
      </c>
      <c r="AL42" s="344">
        <v>1309.4000000000001</v>
      </c>
      <c r="AM42" s="344">
        <v>1725.9</v>
      </c>
      <c r="AN42" s="344">
        <v>1469.2</v>
      </c>
      <c r="AO42" s="344">
        <v>874.4</v>
      </c>
      <c r="AP42" s="344">
        <v>1951.9</v>
      </c>
      <c r="AQ42" s="344">
        <v>1884</v>
      </c>
      <c r="AR42" s="344">
        <v>1792.5</v>
      </c>
      <c r="AS42" s="344">
        <v>2196.3000000000002</v>
      </c>
      <c r="AT42" s="344">
        <f t="shared" ref="AT42:AY42" si="40">AT41*AT40/1000</f>
        <v>1328.39</v>
      </c>
      <c r="AU42" s="344">
        <f t="shared" si="40"/>
        <v>1539.7249999999999</v>
      </c>
      <c r="AV42" s="344">
        <f t="shared" si="40"/>
        <v>1562.6124999999997</v>
      </c>
      <c r="AW42" s="344">
        <f t="shared" si="40"/>
        <v>1452.6612</v>
      </c>
      <c r="AX42" s="344">
        <f t="shared" si="40"/>
        <v>1528.6568</v>
      </c>
      <c r="AY42" s="365">
        <f t="shared" si="40"/>
        <v>1568.414</v>
      </c>
      <c r="AZ42" s="366">
        <f>AZ40*AZ41/1000</f>
        <v>1568.414</v>
      </c>
      <c r="BA42" s="366">
        <f>AZ42-AY42</f>
        <v>0</v>
      </c>
      <c r="BB42" s="367">
        <f>AY42-AX42</f>
        <v>39.757200000000012</v>
      </c>
      <c r="BC42" s="368">
        <f>AZ42-AX42</f>
        <v>39.757200000000012</v>
      </c>
      <c r="BD42" s="353">
        <f t="shared" si="6"/>
        <v>-6.99128029894589E-2</v>
      </c>
      <c r="BE42" s="309"/>
      <c r="BF42"/>
      <c r="BG42" s="308"/>
    </row>
    <row r="43" spans="1:63" ht="15" customHeight="1">
      <c r="A43" s="320" t="s">
        <v>364</v>
      </c>
      <c r="B43" s="356"/>
      <c r="C43" s="356"/>
      <c r="D43" s="356"/>
      <c r="E43" s="356"/>
      <c r="F43" s="356"/>
      <c r="G43" s="356"/>
      <c r="H43" s="356"/>
      <c r="I43" s="356"/>
      <c r="J43" s="356"/>
      <c r="K43" s="356"/>
      <c r="L43" s="356"/>
      <c r="M43" s="356"/>
      <c r="N43" s="356"/>
      <c r="O43" s="356"/>
      <c r="P43" s="356"/>
      <c r="Q43" s="356"/>
      <c r="R43" s="356"/>
      <c r="S43" s="356"/>
      <c r="T43" s="356"/>
      <c r="U43" s="356"/>
      <c r="V43" s="356"/>
      <c r="W43" s="356"/>
      <c r="X43" s="356"/>
      <c r="Y43" s="356"/>
      <c r="Z43" s="356"/>
      <c r="AA43" s="356"/>
      <c r="AB43" s="356"/>
      <c r="AC43" s="356"/>
      <c r="AD43" s="356"/>
      <c r="AE43" s="356"/>
      <c r="AF43" s="356"/>
      <c r="AG43" s="356"/>
      <c r="AH43" s="356"/>
      <c r="AI43" s="356"/>
      <c r="AJ43" s="356"/>
      <c r="AK43" s="356"/>
      <c r="AL43" s="356"/>
      <c r="AM43" s="356"/>
      <c r="AN43" s="356"/>
      <c r="AO43" s="356"/>
      <c r="AP43" s="356"/>
      <c r="AQ43" s="356"/>
      <c r="AR43" s="356"/>
      <c r="AS43" s="356"/>
      <c r="AT43" s="328"/>
      <c r="AU43" s="328"/>
      <c r="AV43" s="328"/>
      <c r="AW43" s="328"/>
      <c r="AX43" s="328"/>
      <c r="AY43" s="321"/>
      <c r="AZ43" s="328"/>
      <c r="BA43" s="329"/>
      <c r="BB43" s="321"/>
      <c r="BC43" s="328"/>
      <c r="BD43" s="329"/>
    </row>
    <row r="44" spans="1:63" ht="15" customHeight="1">
      <c r="A44" s="324" t="s">
        <v>352</v>
      </c>
      <c r="B44" s="344">
        <v>198.2</v>
      </c>
      <c r="C44" s="344">
        <v>208.1</v>
      </c>
      <c r="D44" s="344">
        <v>170</v>
      </c>
      <c r="E44" s="344">
        <v>308</v>
      </c>
      <c r="F44" s="344">
        <v>283</v>
      </c>
      <c r="G44" s="344">
        <v>389.5</v>
      </c>
      <c r="H44" s="344">
        <v>266.5</v>
      </c>
      <c r="I44" s="344">
        <v>262</v>
      </c>
      <c r="J44" s="344">
        <v>340</v>
      </c>
      <c r="K44" s="344">
        <v>475.6</v>
      </c>
      <c r="L44" s="344">
        <v>443.5</v>
      </c>
      <c r="M44" s="344">
        <v>456</v>
      </c>
      <c r="N44" s="344">
        <v>428</v>
      </c>
      <c r="O44" s="344">
        <v>320</v>
      </c>
      <c r="P44" s="344">
        <v>325</v>
      </c>
      <c r="Q44" s="344">
        <v>386.3</v>
      </c>
      <c r="R44" s="344">
        <v>397.9</v>
      </c>
      <c r="S44" s="344">
        <v>463.7</v>
      </c>
      <c r="T44" s="344">
        <v>460</v>
      </c>
      <c r="U44" s="344">
        <v>440</v>
      </c>
      <c r="V44" s="344">
        <v>436</v>
      </c>
      <c r="W44" s="344">
        <v>257.2</v>
      </c>
      <c r="X44" s="344">
        <v>277.7</v>
      </c>
      <c r="Y44" s="344">
        <v>283</v>
      </c>
      <c r="Z44" s="344">
        <v>278</v>
      </c>
      <c r="AA44" s="344">
        <v>280</v>
      </c>
      <c r="AB44" s="344">
        <v>282.8</v>
      </c>
      <c r="AC44" s="344">
        <v>297.8</v>
      </c>
      <c r="AD44" s="344">
        <v>294.8</v>
      </c>
      <c r="AE44" s="344">
        <v>290.10000000000002</v>
      </c>
      <c r="AF44" s="344">
        <v>295.3</v>
      </c>
      <c r="AG44" s="344">
        <v>290.89999999999998</v>
      </c>
      <c r="AH44" s="344">
        <v>329.6</v>
      </c>
      <c r="AI44" s="344">
        <v>309.89999999999998</v>
      </c>
      <c r="AJ44" s="344">
        <v>349.6</v>
      </c>
      <c r="AK44" s="344">
        <v>330.7</v>
      </c>
      <c r="AL44" s="344">
        <v>366.1</v>
      </c>
      <c r="AM44" s="344">
        <v>371.6</v>
      </c>
      <c r="AN44" s="344">
        <v>380.5</v>
      </c>
      <c r="AO44" s="344">
        <v>471</v>
      </c>
      <c r="AP44" s="344">
        <v>418.2</v>
      </c>
      <c r="AQ44" s="344">
        <v>425.3</v>
      </c>
      <c r="AR44" s="344">
        <v>373.8</v>
      </c>
      <c r="AS44" s="344">
        <v>435.5</v>
      </c>
      <c r="AT44" s="344">
        <v>428.5</v>
      </c>
      <c r="AU44" s="344">
        <v>451.6</v>
      </c>
      <c r="AV44" s="344">
        <v>473.3</v>
      </c>
      <c r="AW44" s="344">
        <v>342.2</v>
      </c>
      <c r="AX44" s="344">
        <v>365.1</v>
      </c>
      <c r="AY44" s="369">
        <v>359.3</v>
      </c>
      <c r="AZ44" s="366">
        <v>359.3</v>
      </c>
      <c r="BA44" s="366">
        <f>AZ44-AY44</f>
        <v>0</v>
      </c>
      <c r="BB44" s="367">
        <f>AY44-AX44</f>
        <v>-5.8000000000000114</v>
      </c>
      <c r="BC44" s="368">
        <f>AZ44-AX44</f>
        <v>-5.8000000000000114</v>
      </c>
      <c r="BD44" s="353">
        <f t="shared" si="6"/>
        <v>-3.4650147144313914E-2</v>
      </c>
      <c r="BF44" s="319" t="b">
        <v>0</v>
      </c>
      <c r="BH44" s="311"/>
      <c r="BI44" s="311"/>
      <c r="BJ44" s="311"/>
      <c r="BK44" s="311"/>
    </row>
    <row r="45" spans="1:63" ht="15" customHeight="1">
      <c r="A45" s="324" t="s">
        <v>353</v>
      </c>
      <c r="B45" s="345">
        <v>659.93945509586285</v>
      </c>
      <c r="C45" s="345">
        <v>833.25324363286893</v>
      </c>
      <c r="D45" s="345">
        <v>676.47058823529414</v>
      </c>
      <c r="E45" s="345">
        <v>248.70129870129867</v>
      </c>
      <c r="F45" s="345">
        <v>208.48056537102474</v>
      </c>
      <c r="G45" s="345">
        <v>289.85879332477538</v>
      </c>
      <c r="H45" s="345">
        <v>96.060037523452152</v>
      </c>
      <c r="I45" s="345">
        <v>630.15267175572524</v>
      </c>
      <c r="J45" s="345">
        <v>520</v>
      </c>
      <c r="K45" s="345">
        <v>735.91253153910839</v>
      </c>
      <c r="L45" s="345">
        <v>280.04509582863585</v>
      </c>
      <c r="M45" s="345">
        <v>830.04385964912285</v>
      </c>
      <c r="N45" s="345">
        <v>850</v>
      </c>
      <c r="O45" s="345">
        <v>400</v>
      </c>
      <c r="P45" s="345">
        <v>790</v>
      </c>
      <c r="Q45" s="345">
        <v>200</v>
      </c>
      <c r="R45" s="345">
        <v>150</v>
      </c>
      <c r="S45" s="345">
        <v>950</v>
      </c>
      <c r="T45" s="345">
        <v>880</v>
      </c>
      <c r="U45" s="345">
        <v>993</v>
      </c>
      <c r="V45" s="345">
        <v>406</v>
      </c>
      <c r="W45" s="345">
        <v>237</v>
      </c>
      <c r="X45" s="345">
        <v>850</v>
      </c>
      <c r="Y45" s="345">
        <v>817</v>
      </c>
      <c r="Z45" s="345">
        <v>520</v>
      </c>
      <c r="AA45" s="345">
        <v>299</v>
      </c>
      <c r="AB45" s="345">
        <v>1016</v>
      </c>
      <c r="AC45" s="345">
        <v>450</v>
      </c>
      <c r="AD45" s="345">
        <v>663</v>
      </c>
      <c r="AE45" s="345">
        <v>804</v>
      </c>
      <c r="AF45" s="345">
        <v>606</v>
      </c>
      <c r="AG45" s="345">
        <v>1110</v>
      </c>
      <c r="AH45" s="345">
        <v>1503</v>
      </c>
      <c r="AI45" s="345">
        <v>1141</v>
      </c>
      <c r="AJ45" s="345">
        <v>2017</v>
      </c>
      <c r="AK45" s="345">
        <v>2108</v>
      </c>
      <c r="AL45" s="345">
        <v>1337</v>
      </c>
      <c r="AM45" s="345">
        <v>2321</v>
      </c>
      <c r="AN45" s="345">
        <v>2495</v>
      </c>
      <c r="AO45" s="345">
        <v>1490</v>
      </c>
      <c r="AP45" s="345">
        <v>3037</v>
      </c>
      <c r="AQ45" s="345">
        <v>3309</v>
      </c>
      <c r="AR45" s="345">
        <v>3964</v>
      </c>
      <c r="AS45" s="345">
        <v>4704</v>
      </c>
      <c r="AT45" s="345">
        <v>4225</v>
      </c>
      <c r="AU45" s="345">
        <v>4658</v>
      </c>
      <c r="AV45" s="345">
        <v>4495</v>
      </c>
      <c r="AW45" s="345">
        <v>3609</v>
      </c>
      <c r="AX45" s="345">
        <v>3649</v>
      </c>
      <c r="AY45" s="346">
        <v>4049</v>
      </c>
      <c r="AZ45" s="347">
        <v>4049</v>
      </c>
      <c r="BA45" s="347">
        <f>AZ45-AY45</f>
        <v>0</v>
      </c>
      <c r="BB45" s="351">
        <f>AY45-AX45</f>
        <v>400</v>
      </c>
      <c r="BC45" s="352">
        <f>AZ45-AX45</f>
        <v>400</v>
      </c>
      <c r="BD45" s="353">
        <f t="shared" si="6"/>
        <v>-4.9523661048294421E-2</v>
      </c>
    </row>
    <row r="46" spans="1:63" s="311" customFormat="1" ht="15" customHeight="1">
      <c r="A46" s="324" t="s">
        <v>354</v>
      </c>
      <c r="B46" s="344">
        <f>B45*B44/1000</f>
        <v>130.80000000000001</v>
      </c>
      <c r="C46" s="344">
        <v>255</v>
      </c>
      <c r="D46" s="344">
        <v>224</v>
      </c>
      <c r="E46" s="344">
        <v>266</v>
      </c>
      <c r="F46" s="344">
        <v>177</v>
      </c>
      <c r="G46" s="344">
        <v>303</v>
      </c>
      <c r="H46" s="344">
        <v>95</v>
      </c>
      <c r="I46" s="344">
        <v>328</v>
      </c>
      <c r="J46" s="344">
        <v>126</v>
      </c>
      <c r="K46" s="344">
        <v>290</v>
      </c>
      <c r="L46" s="344">
        <v>116</v>
      </c>
      <c r="M46" s="344">
        <v>345</v>
      </c>
      <c r="N46" s="344">
        <v>342</v>
      </c>
      <c r="O46" s="344">
        <v>173</v>
      </c>
      <c r="P46" s="344">
        <v>354.7</v>
      </c>
      <c r="Q46" s="344">
        <v>237.2</v>
      </c>
      <c r="R46" s="344">
        <v>197.4</v>
      </c>
      <c r="S46" s="344">
        <v>413.1</v>
      </c>
      <c r="T46" s="344">
        <v>422.5</v>
      </c>
      <c r="U46" s="344">
        <v>455</v>
      </c>
      <c r="V46" s="344">
        <v>362.7</v>
      </c>
      <c r="W46" s="344">
        <v>209.9</v>
      </c>
      <c r="X46" s="344">
        <v>294.10000000000002</v>
      </c>
      <c r="Y46" s="344">
        <v>313.60000000000002</v>
      </c>
      <c r="Z46" s="344">
        <v>310</v>
      </c>
      <c r="AA46" s="344">
        <v>324.5</v>
      </c>
      <c r="AB46" s="344">
        <v>414.2</v>
      </c>
      <c r="AC46" s="344">
        <v>430.4</v>
      </c>
      <c r="AD46" s="344">
        <v>405.1</v>
      </c>
      <c r="AE46" s="344">
        <v>424.4</v>
      </c>
      <c r="AF46" s="344">
        <v>447.1</v>
      </c>
      <c r="AG46" s="344">
        <v>490.4</v>
      </c>
      <c r="AH46" s="344">
        <v>504.1</v>
      </c>
      <c r="AI46" s="344">
        <v>562.1</v>
      </c>
      <c r="AJ46" s="344">
        <v>879.7</v>
      </c>
      <c r="AK46" s="344">
        <v>731.6</v>
      </c>
      <c r="AL46" s="344">
        <v>1309.4000000000001</v>
      </c>
      <c r="AM46" s="344">
        <v>1725.9</v>
      </c>
      <c r="AN46" s="344">
        <v>1469.2</v>
      </c>
      <c r="AO46" s="344">
        <v>874.4</v>
      </c>
      <c r="AP46" s="344">
        <v>1951.9</v>
      </c>
      <c r="AQ46" s="344">
        <v>1884</v>
      </c>
      <c r="AR46" s="344">
        <v>1792.5</v>
      </c>
      <c r="AS46" s="344">
        <v>2196.3000000000002</v>
      </c>
      <c r="AT46" s="344">
        <f t="shared" ref="AT46" si="41">AT45*AT44/1000</f>
        <v>1810.4124999999999</v>
      </c>
      <c r="AU46" s="344">
        <f t="shared" ref="AU46" si="42">AU45*AU44/1000</f>
        <v>2103.5528000000004</v>
      </c>
      <c r="AV46" s="344">
        <f t="shared" ref="AV46" si="43">AV45*AV44/1000</f>
        <v>2127.4834999999998</v>
      </c>
      <c r="AW46" s="344">
        <f t="shared" ref="AW46" si="44">AW45*AW44/1000</f>
        <v>1234.9998000000001</v>
      </c>
      <c r="AX46" s="344">
        <f t="shared" ref="AX46" si="45">AX45*AX44/1000</f>
        <v>1332.2499000000003</v>
      </c>
      <c r="AY46" s="365">
        <f t="shared" ref="AY46" si="46">AY45*AY44/1000</f>
        <v>1454.8056999999999</v>
      </c>
      <c r="AZ46" s="366">
        <f>AZ44*AZ45/1000</f>
        <v>1454.8056999999999</v>
      </c>
      <c r="BA46" s="366">
        <f>AZ46-AY46</f>
        <v>0</v>
      </c>
      <c r="BB46" s="367">
        <f>AY46-AX46</f>
        <v>122.55579999999964</v>
      </c>
      <c r="BC46" s="368">
        <f>AZ46-AX46</f>
        <v>122.55579999999964</v>
      </c>
      <c r="BD46" s="353">
        <f t="shared" si="6"/>
        <v>-9.5145382507029419E-2</v>
      </c>
      <c r="BE46" s="309"/>
      <c r="BF46"/>
      <c r="BG46" s="308"/>
    </row>
    <row r="47" spans="1:63" ht="15" customHeight="1">
      <c r="A47" s="320" t="s">
        <v>365</v>
      </c>
      <c r="B47" s="356"/>
      <c r="C47" s="356"/>
      <c r="D47" s="356"/>
      <c r="E47" s="356"/>
      <c r="F47" s="356"/>
      <c r="G47" s="356"/>
      <c r="H47" s="356"/>
      <c r="I47" s="356"/>
      <c r="J47" s="356"/>
      <c r="K47" s="356"/>
      <c r="L47" s="356"/>
      <c r="M47" s="356"/>
      <c r="N47" s="356"/>
      <c r="O47" s="356"/>
      <c r="P47" s="356"/>
      <c r="Q47" s="356"/>
      <c r="R47" s="356"/>
      <c r="S47" s="356"/>
      <c r="T47" s="356"/>
      <c r="U47" s="356"/>
      <c r="V47" s="356"/>
      <c r="W47" s="356"/>
      <c r="X47" s="356"/>
      <c r="Y47" s="356"/>
      <c r="Z47" s="356"/>
      <c r="AA47" s="356"/>
      <c r="AB47" s="356"/>
      <c r="AC47" s="356"/>
      <c r="AD47" s="356"/>
      <c r="AE47" s="356"/>
      <c r="AF47" s="356"/>
      <c r="AG47" s="356"/>
      <c r="AH47" s="356"/>
      <c r="AI47" s="356"/>
      <c r="AJ47" s="356"/>
      <c r="AK47" s="356"/>
      <c r="AL47" s="356"/>
      <c r="AM47" s="356"/>
      <c r="AN47" s="356"/>
      <c r="AO47" s="356"/>
      <c r="AP47" s="356"/>
      <c r="AQ47" s="356"/>
      <c r="AR47" s="356"/>
      <c r="AS47" s="356"/>
      <c r="AT47" s="328"/>
      <c r="AU47" s="328"/>
      <c r="AV47" s="328"/>
      <c r="AW47" s="328"/>
      <c r="AX47" s="328"/>
      <c r="AY47" s="321"/>
      <c r="AZ47" s="328"/>
      <c r="BA47" s="329"/>
      <c r="BB47" s="321"/>
      <c r="BC47" s="328"/>
      <c r="BD47" s="329">
        <f t="shared" si="6"/>
        <v>0</v>
      </c>
    </row>
    <row r="48" spans="1:63" ht="15" customHeight="1">
      <c r="A48" s="324" t="s">
        <v>352</v>
      </c>
      <c r="B48" s="344">
        <v>530</v>
      </c>
      <c r="C48" s="344">
        <v>496</v>
      </c>
      <c r="D48" s="344">
        <v>426</v>
      </c>
      <c r="E48" s="344">
        <v>520</v>
      </c>
      <c r="F48" s="344">
        <v>520</v>
      </c>
      <c r="G48" s="344">
        <v>505.8</v>
      </c>
      <c r="H48" s="344">
        <v>480</v>
      </c>
      <c r="I48" s="344">
        <v>400</v>
      </c>
      <c r="J48" s="344">
        <v>460</v>
      </c>
      <c r="K48" s="344">
        <v>512</v>
      </c>
      <c r="L48" s="344">
        <v>638</v>
      </c>
      <c r="M48" s="344">
        <v>641</v>
      </c>
      <c r="N48" s="344">
        <v>540</v>
      </c>
      <c r="O48" s="344">
        <v>630</v>
      </c>
      <c r="P48" s="344">
        <v>586</v>
      </c>
      <c r="Q48" s="344">
        <v>610.70000000000005</v>
      </c>
      <c r="R48" s="344">
        <v>486.8</v>
      </c>
      <c r="S48" s="344">
        <v>704.3</v>
      </c>
      <c r="T48" s="344">
        <v>651.20000000000005</v>
      </c>
      <c r="U48" s="344">
        <v>688.3</v>
      </c>
      <c r="V48" s="344">
        <v>522.6</v>
      </c>
      <c r="W48" s="344">
        <v>480.8</v>
      </c>
      <c r="X48" s="344">
        <v>581.79999999999995</v>
      </c>
      <c r="Y48" s="344">
        <v>619</v>
      </c>
      <c r="Z48" s="344">
        <v>612.79999999999995</v>
      </c>
      <c r="AA48" s="344">
        <v>695.6</v>
      </c>
      <c r="AB48" s="344">
        <v>713.7</v>
      </c>
      <c r="AC48" s="344">
        <v>681.6</v>
      </c>
      <c r="AD48" s="344">
        <v>558.9</v>
      </c>
      <c r="AE48" s="344">
        <v>638.79999999999995</v>
      </c>
      <c r="AF48" s="344">
        <v>673.9</v>
      </c>
      <c r="AG48" s="344">
        <v>694.2</v>
      </c>
      <c r="AH48" s="344">
        <v>689.3</v>
      </c>
      <c r="AI48" s="344">
        <v>535.6</v>
      </c>
      <c r="AJ48" s="344">
        <v>723</v>
      </c>
      <c r="AK48" s="344">
        <v>520.6</v>
      </c>
      <c r="AL48" s="344">
        <v>408.7</v>
      </c>
      <c r="AM48" s="344">
        <v>480.6</v>
      </c>
      <c r="AN48" s="344">
        <v>480.6</v>
      </c>
      <c r="AO48" s="344">
        <v>460.2</v>
      </c>
      <c r="AP48" s="344">
        <v>514</v>
      </c>
      <c r="AQ48" s="344">
        <v>535.1</v>
      </c>
      <c r="AR48" s="344">
        <v>0</v>
      </c>
      <c r="AS48" s="344">
        <v>0</v>
      </c>
      <c r="AT48" s="344">
        <v>0</v>
      </c>
      <c r="AU48" s="344">
        <v>0</v>
      </c>
      <c r="AV48" s="344">
        <v>0</v>
      </c>
      <c r="AW48" s="344">
        <v>0</v>
      </c>
      <c r="AX48" s="344">
        <v>0</v>
      </c>
      <c r="AY48" s="369">
        <v>0</v>
      </c>
      <c r="AZ48" s="366">
        <v>0</v>
      </c>
      <c r="BA48" s="366">
        <f>AZ48-AY48</f>
        <v>0</v>
      </c>
      <c r="BB48" s="367">
        <f>AY48-AX48</f>
        <v>0</v>
      </c>
      <c r="BC48" s="368">
        <f>AZ48-AX48</f>
        <v>0</v>
      </c>
      <c r="BD48" s="370">
        <f t="shared" si="6"/>
        <v>0</v>
      </c>
      <c r="BF48" s="319" t="b">
        <v>0</v>
      </c>
      <c r="BH48" s="311"/>
      <c r="BI48" s="311"/>
      <c r="BJ48" s="311"/>
      <c r="BK48" s="311"/>
    </row>
    <row r="49" spans="1:63" ht="15" customHeight="1">
      <c r="A49" s="324" t="s">
        <v>353</v>
      </c>
      <c r="B49" s="345">
        <v>660.37735849056605</v>
      </c>
      <c r="C49" s="345">
        <v>548.79032258064512</v>
      </c>
      <c r="D49" s="345">
        <v>394.36619718309856</v>
      </c>
      <c r="E49" s="345">
        <v>211.53846153846155</v>
      </c>
      <c r="F49" s="345">
        <v>84.615384615384613</v>
      </c>
      <c r="G49" s="345">
        <v>307.03835508105971</v>
      </c>
      <c r="H49" s="345">
        <v>36.041666666666664</v>
      </c>
      <c r="I49" s="345">
        <v>660</v>
      </c>
      <c r="J49" s="345">
        <v>380</v>
      </c>
      <c r="K49" s="345">
        <v>430.078125</v>
      </c>
      <c r="L49" s="345">
        <v>120.06269592476488</v>
      </c>
      <c r="M49" s="345">
        <v>709.98439937597516</v>
      </c>
      <c r="N49" s="345">
        <v>480</v>
      </c>
      <c r="O49" s="345">
        <v>360</v>
      </c>
      <c r="P49" s="345">
        <v>660</v>
      </c>
      <c r="Q49" s="345">
        <v>300</v>
      </c>
      <c r="R49" s="345">
        <v>68</v>
      </c>
      <c r="S49" s="345">
        <v>680</v>
      </c>
      <c r="T49" s="345">
        <v>720</v>
      </c>
      <c r="U49" s="345">
        <v>855</v>
      </c>
      <c r="V49" s="345">
        <v>525</v>
      </c>
      <c r="W49" s="345">
        <v>190</v>
      </c>
      <c r="X49" s="345">
        <v>760</v>
      </c>
      <c r="Y49" s="345">
        <v>1028</v>
      </c>
      <c r="Z49" s="345">
        <v>400</v>
      </c>
      <c r="AA49" s="345">
        <v>895</v>
      </c>
      <c r="AB49" s="345">
        <v>1050</v>
      </c>
      <c r="AC49" s="345">
        <v>547</v>
      </c>
      <c r="AD49" s="345">
        <v>460</v>
      </c>
      <c r="AE49" s="345">
        <v>1159</v>
      </c>
      <c r="AF49" s="345">
        <v>498</v>
      </c>
      <c r="AG49" s="345">
        <v>1084</v>
      </c>
      <c r="AH49" s="345">
        <v>805</v>
      </c>
      <c r="AI49" s="345">
        <v>327</v>
      </c>
      <c r="AJ49" s="345">
        <v>1313</v>
      </c>
      <c r="AK49" s="345">
        <v>142</v>
      </c>
      <c r="AL49" s="345">
        <v>240</v>
      </c>
      <c r="AM49" s="345">
        <v>835</v>
      </c>
      <c r="AN49" s="345">
        <v>315</v>
      </c>
      <c r="AO49" s="345">
        <v>356</v>
      </c>
      <c r="AP49" s="345">
        <v>815</v>
      </c>
      <c r="AQ49" s="345">
        <v>778</v>
      </c>
      <c r="AR49" s="345">
        <v>0</v>
      </c>
      <c r="AS49" s="345">
        <v>0</v>
      </c>
      <c r="AT49" s="345">
        <v>0</v>
      </c>
      <c r="AU49" s="345">
        <v>0</v>
      </c>
      <c r="AV49" s="345">
        <v>0</v>
      </c>
      <c r="AW49" s="345">
        <v>0</v>
      </c>
      <c r="AX49" s="345">
        <v>0</v>
      </c>
      <c r="AY49" s="346">
        <v>0</v>
      </c>
      <c r="AZ49" s="347">
        <v>0</v>
      </c>
      <c r="BA49" s="347">
        <f>AZ49-AY49</f>
        <v>0</v>
      </c>
      <c r="BB49" s="351">
        <f>AY49-AX49</f>
        <v>0</v>
      </c>
      <c r="BC49" s="352">
        <f>AZ49-AX49</f>
        <v>0</v>
      </c>
      <c r="BD49" s="353">
        <f t="shared" si="6"/>
        <v>0</v>
      </c>
    </row>
    <row r="50" spans="1:63" s="311" customFormat="1" ht="15" customHeight="1">
      <c r="A50" s="324" t="s">
        <v>354</v>
      </c>
      <c r="B50" s="344">
        <f>B49*B48/1000</f>
        <v>350</v>
      </c>
      <c r="C50" s="344">
        <v>255</v>
      </c>
      <c r="D50" s="344">
        <v>224</v>
      </c>
      <c r="E50" s="344">
        <v>266</v>
      </c>
      <c r="F50" s="344">
        <v>177</v>
      </c>
      <c r="G50" s="344">
        <v>303</v>
      </c>
      <c r="H50" s="344">
        <v>95</v>
      </c>
      <c r="I50" s="344">
        <v>328</v>
      </c>
      <c r="J50" s="344">
        <v>126</v>
      </c>
      <c r="K50" s="344">
        <v>290</v>
      </c>
      <c r="L50" s="344">
        <v>116</v>
      </c>
      <c r="M50" s="344">
        <v>345</v>
      </c>
      <c r="N50" s="344">
        <v>342</v>
      </c>
      <c r="O50" s="344">
        <v>173</v>
      </c>
      <c r="P50" s="344">
        <v>354.7</v>
      </c>
      <c r="Q50" s="344">
        <v>237.2</v>
      </c>
      <c r="R50" s="344">
        <v>197.4</v>
      </c>
      <c r="S50" s="344">
        <v>413.1</v>
      </c>
      <c r="T50" s="344">
        <v>422.5</v>
      </c>
      <c r="U50" s="344">
        <v>455</v>
      </c>
      <c r="V50" s="344">
        <v>362.7</v>
      </c>
      <c r="W50" s="344">
        <v>209.9</v>
      </c>
      <c r="X50" s="344">
        <v>294.10000000000002</v>
      </c>
      <c r="Y50" s="344">
        <v>313.60000000000002</v>
      </c>
      <c r="Z50" s="344">
        <v>310</v>
      </c>
      <c r="AA50" s="344">
        <v>324.5</v>
      </c>
      <c r="AB50" s="344">
        <v>414.2</v>
      </c>
      <c r="AC50" s="344">
        <v>430.4</v>
      </c>
      <c r="AD50" s="344">
        <v>405.1</v>
      </c>
      <c r="AE50" s="344">
        <v>424.4</v>
      </c>
      <c r="AF50" s="344">
        <v>447.1</v>
      </c>
      <c r="AG50" s="344">
        <v>490.4</v>
      </c>
      <c r="AH50" s="344">
        <v>504.1</v>
      </c>
      <c r="AI50" s="344">
        <v>562.1</v>
      </c>
      <c r="AJ50" s="344">
        <v>879.7</v>
      </c>
      <c r="AK50" s="344">
        <v>731.6</v>
      </c>
      <c r="AL50" s="344">
        <v>1309.4000000000001</v>
      </c>
      <c r="AM50" s="344">
        <v>1725.9</v>
      </c>
      <c r="AN50" s="344">
        <v>1469.2</v>
      </c>
      <c r="AO50" s="344">
        <v>874.4</v>
      </c>
      <c r="AP50" s="344">
        <v>1951.9</v>
      </c>
      <c r="AQ50" s="344">
        <v>1884</v>
      </c>
      <c r="AR50" s="344">
        <v>1792.5</v>
      </c>
      <c r="AS50" s="344">
        <v>2196.3000000000002</v>
      </c>
      <c r="AT50" s="344">
        <f t="shared" ref="AT50" si="47">AT49*AT48/1000</f>
        <v>0</v>
      </c>
      <c r="AU50" s="344">
        <f t="shared" ref="AU50" si="48">AU49*AU48/1000</f>
        <v>0</v>
      </c>
      <c r="AV50" s="344">
        <f t="shared" ref="AV50" si="49">AV49*AV48/1000</f>
        <v>0</v>
      </c>
      <c r="AW50" s="344">
        <f t="shared" ref="AW50" si="50">AW49*AW48/1000</f>
        <v>0</v>
      </c>
      <c r="AX50" s="344">
        <f t="shared" ref="AX50" si="51">AX49*AX48/1000</f>
        <v>0</v>
      </c>
      <c r="AY50" s="365">
        <f t="shared" ref="AY50" si="52">AY49*AY48/1000</f>
        <v>0</v>
      </c>
      <c r="AZ50" s="366">
        <f>AZ48*AZ49/1000</f>
        <v>0</v>
      </c>
      <c r="BA50" s="366">
        <f>AZ50-AY50</f>
        <v>0</v>
      </c>
      <c r="BB50" s="367">
        <f>AY50-AX50</f>
        <v>0</v>
      </c>
      <c r="BC50" s="368">
        <f>AZ50-AX50</f>
        <v>0</v>
      </c>
      <c r="BD50" s="353">
        <f t="shared" si="6"/>
        <v>-1</v>
      </c>
      <c r="BE50" s="309"/>
      <c r="BF50"/>
      <c r="BG50" s="308"/>
    </row>
    <row r="51" spans="1:63" ht="15" customHeight="1">
      <c r="A51" s="320" t="s">
        <v>366</v>
      </c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356"/>
      <c r="AB51" s="356"/>
      <c r="AC51" s="356"/>
      <c r="AD51" s="356"/>
      <c r="AE51" s="356"/>
      <c r="AF51" s="356"/>
      <c r="AG51" s="356"/>
      <c r="AH51" s="356"/>
      <c r="AI51" s="356"/>
      <c r="AJ51" s="356"/>
      <c r="AK51" s="356"/>
      <c r="AL51" s="356"/>
      <c r="AM51" s="356"/>
      <c r="AN51" s="356"/>
      <c r="AO51" s="356"/>
      <c r="AP51" s="356"/>
      <c r="AQ51" s="356"/>
      <c r="AR51" s="356"/>
      <c r="AS51" s="356"/>
      <c r="AT51" s="328"/>
      <c r="AU51" s="328"/>
      <c r="AV51" s="328"/>
      <c r="AW51" s="328"/>
      <c r="AX51" s="328"/>
      <c r="AY51" s="321"/>
      <c r="AZ51" s="328"/>
      <c r="BA51" s="329"/>
      <c r="BB51" s="321"/>
      <c r="BC51" s="328"/>
      <c r="BD51" s="329"/>
    </row>
    <row r="52" spans="1:63" ht="15" customHeight="1">
      <c r="A52" s="324" t="s">
        <v>352</v>
      </c>
      <c r="B52" s="344">
        <v>170.7</v>
      </c>
      <c r="C52" s="344">
        <v>155</v>
      </c>
      <c r="D52" s="344">
        <v>118</v>
      </c>
      <c r="E52" s="344">
        <v>159</v>
      </c>
      <c r="F52" s="344">
        <v>190</v>
      </c>
      <c r="G52" s="344">
        <v>148</v>
      </c>
      <c r="H52" s="344">
        <v>358.6</v>
      </c>
      <c r="I52" s="344">
        <v>150</v>
      </c>
      <c r="J52" s="344">
        <v>165</v>
      </c>
      <c r="K52" s="344">
        <v>180</v>
      </c>
      <c r="L52" s="344">
        <v>171.6</v>
      </c>
      <c r="M52" s="344">
        <v>151</v>
      </c>
      <c r="N52" s="344">
        <v>153</v>
      </c>
      <c r="O52" s="344">
        <v>52.6</v>
      </c>
      <c r="P52" s="344">
        <v>142</v>
      </c>
      <c r="Q52" s="344">
        <v>143.1</v>
      </c>
      <c r="R52" s="344">
        <v>32.6</v>
      </c>
      <c r="S52" s="344">
        <v>134</v>
      </c>
      <c r="T52" s="344">
        <v>136.4</v>
      </c>
      <c r="U52" s="344">
        <v>141.6</v>
      </c>
      <c r="V52" s="344">
        <v>126.2</v>
      </c>
      <c r="W52" s="344">
        <v>67.5</v>
      </c>
      <c r="X52" s="344">
        <v>79.099999999999994</v>
      </c>
      <c r="Y52" s="344">
        <v>97.2</v>
      </c>
      <c r="Z52" s="344">
        <v>83</v>
      </c>
      <c r="AA52" s="344">
        <v>103.8</v>
      </c>
      <c r="AB52" s="344">
        <v>109.3</v>
      </c>
      <c r="AC52" s="344">
        <v>124.1</v>
      </c>
      <c r="AD52" s="344">
        <v>65.2</v>
      </c>
      <c r="AE52" s="344">
        <v>84</v>
      </c>
      <c r="AF52" s="344">
        <v>82.6</v>
      </c>
      <c r="AG52" s="344">
        <v>79.5</v>
      </c>
      <c r="AH52" s="344">
        <v>71.2</v>
      </c>
      <c r="AI52" s="344">
        <v>37</v>
      </c>
      <c r="AJ52" s="344">
        <v>73.5</v>
      </c>
      <c r="AK52" s="344">
        <v>7.6</v>
      </c>
      <c r="AL52" s="344">
        <v>13.3</v>
      </c>
      <c r="AM52" s="344">
        <v>32.4</v>
      </c>
      <c r="AN52" s="344">
        <v>25.9</v>
      </c>
      <c r="AO52" s="344">
        <v>25</v>
      </c>
      <c r="AP52" s="344">
        <v>29.2</v>
      </c>
      <c r="AQ52" s="344">
        <v>40.9</v>
      </c>
      <c r="AR52" s="344">
        <v>0</v>
      </c>
      <c r="AS52" s="344">
        <v>0</v>
      </c>
      <c r="AT52" s="344">
        <v>0</v>
      </c>
      <c r="AU52" s="344">
        <v>0</v>
      </c>
      <c r="AV52" s="344">
        <v>0</v>
      </c>
      <c r="AW52" s="344">
        <v>0</v>
      </c>
      <c r="AX52" s="344">
        <v>0</v>
      </c>
      <c r="AY52" s="369">
        <v>0</v>
      </c>
      <c r="AZ52" s="366">
        <v>0</v>
      </c>
      <c r="BA52" s="366">
        <f>AZ52-AY52</f>
        <v>0</v>
      </c>
      <c r="BB52" s="367">
        <f>AY52-AX52</f>
        <v>0</v>
      </c>
      <c r="BC52" s="368">
        <f>AZ52-AX52</f>
        <v>0</v>
      </c>
      <c r="BD52" s="370">
        <f t="shared" si="6"/>
        <v>0</v>
      </c>
      <c r="BH52" s="311"/>
      <c r="BI52" s="311"/>
      <c r="BJ52" s="311"/>
      <c r="BK52" s="311"/>
    </row>
    <row r="53" spans="1:63" ht="15" customHeight="1">
      <c r="A53" s="324" t="s">
        <v>353</v>
      </c>
      <c r="B53" s="345">
        <v>506.7369654364382</v>
      </c>
      <c r="C53" s="345">
        <v>400</v>
      </c>
      <c r="D53" s="345">
        <v>347.4576271186441</v>
      </c>
      <c r="E53" s="345">
        <v>16.981132075471699</v>
      </c>
      <c r="F53" s="345">
        <v>50</v>
      </c>
      <c r="G53" s="345">
        <v>154.05405405405406</v>
      </c>
      <c r="H53" s="345">
        <v>6.1349693251533743</v>
      </c>
      <c r="I53" s="345">
        <v>520</v>
      </c>
      <c r="J53" s="345">
        <v>340</v>
      </c>
      <c r="K53" s="345">
        <v>400</v>
      </c>
      <c r="L53" s="345">
        <v>60.023310023310032</v>
      </c>
      <c r="M53" s="345">
        <v>480.13245033112582</v>
      </c>
      <c r="N53" s="345">
        <v>330.06535947712416</v>
      </c>
      <c r="O53" s="345">
        <v>300.38022813688212</v>
      </c>
      <c r="P53" s="345">
        <v>500</v>
      </c>
      <c r="Q53" s="345">
        <v>245</v>
      </c>
      <c r="R53" s="345">
        <v>34</v>
      </c>
      <c r="S53" s="345">
        <v>660</v>
      </c>
      <c r="T53" s="345">
        <v>610</v>
      </c>
      <c r="U53" s="345">
        <v>593</v>
      </c>
      <c r="V53" s="345">
        <v>370</v>
      </c>
      <c r="W53" s="345">
        <v>102</v>
      </c>
      <c r="X53" s="345">
        <v>249</v>
      </c>
      <c r="Y53" s="345">
        <v>606</v>
      </c>
      <c r="Z53" s="345">
        <v>96</v>
      </c>
      <c r="AA53" s="345">
        <v>671</v>
      </c>
      <c r="AB53" s="345">
        <v>650</v>
      </c>
      <c r="AC53" s="345">
        <v>470</v>
      </c>
      <c r="AD53" s="345">
        <v>451</v>
      </c>
      <c r="AE53" s="345">
        <v>625</v>
      </c>
      <c r="AF53" s="345">
        <v>459</v>
      </c>
      <c r="AG53" s="345">
        <v>677</v>
      </c>
      <c r="AH53" s="345">
        <v>604</v>
      </c>
      <c r="AI53" s="345">
        <v>248</v>
      </c>
      <c r="AJ53" s="345">
        <v>672</v>
      </c>
      <c r="AK53" s="345">
        <v>337</v>
      </c>
      <c r="AL53" s="345">
        <v>355</v>
      </c>
      <c r="AM53" s="345">
        <v>633</v>
      </c>
      <c r="AN53" s="345">
        <v>288</v>
      </c>
      <c r="AO53" s="345">
        <v>309</v>
      </c>
      <c r="AP53" s="345">
        <v>348</v>
      </c>
      <c r="AQ53" s="345">
        <v>473</v>
      </c>
      <c r="AR53" s="345">
        <v>0</v>
      </c>
      <c r="AS53" s="345">
        <v>0</v>
      </c>
      <c r="AT53" s="345">
        <v>0</v>
      </c>
      <c r="AU53" s="345">
        <v>0</v>
      </c>
      <c r="AV53" s="345">
        <v>0</v>
      </c>
      <c r="AW53" s="345">
        <v>0</v>
      </c>
      <c r="AX53" s="345">
        <v>0</v>
      </c>
      <c r="AY53" s="346">
        <v>0</v>
      </c>
      <c r="AZ53" s="347">
        <v>0</v>
      </c>
      <c r="BA53" s="347">
        <f>AZ53-AY53</f>
        <v>0</v>
      </c>
      <c r="BB53" s="351">
        <f>AY53-AX53</f>
        <v>0</v>
      </c>
      <c r="BC53" s="352">
        <f>AZ53-AX53</f>
        <v>0</v>
      </c>
      <c r="BD53" s="353">
        <f t="shared" si="6"/>
        <v>0</v>
      </c>
    </row>
    <row r="54" spans="1:63" s="311" customFormat="1" ht="15" customHeight="1">
      <c r="A54" s="324" t="s">
        <v>354</v>
      </c>
      <c r="B54" s="344">
        <f>B53*B52/1000</f>
        <v>86.5</v>
      </c>
      <c r="C54" s="344">
        <v>255</v>
      </c>
      <c r="D54" s="344">
        <v>224</v>
      </c>
      <c r="E54" s="344">
        <v>266</v>
      </c>
      <c r="F54" s="344">
        <v>177</v>
      </c>
      <c r="G54" s="344">
        <v>303</v>
      </c>
      <c r="H54" s="344">
        <v>95</v>
      </c>
      <c r="I54" s="344">
        <v>328</v>
      </c>
      <c r="J54" s="344">
        <v>126</v>
      </c>
      <c r="K54" s="344">
        <v>290</v>
      </c>
      <c r="L54" s="344">
        <v>116</v>
      </c>
      <c r="M54" s="344">
        <v>345</v>
      </c>
      <c r="N54" s="344">
        <v>342</v>
      </c>
      <c r="O54" s="344">
        <v>173</v>
      </c>
      <c r="P54" s="344">
        <v>354.7</v>
      </c>
      <c r="Q54" s="344">
        <v>237.2</v>
      </c>
      <c r="R54" s="344">
        <v>197.4</v>
      </c>
      <c r="S54" s="344">
        <v>413.1</v>
      </c>
      <c r="T54" s="344">
        <v>422.5</v>
      </c>
      <c r="U54" s="344">
        <v>455</v>
      </c>
      <c r="V54" s="344">
        <v>362.7</v>
      </c>
      <c r="W54" s="344">
        <v>209.9</v>
      </c>
      <c r="X54" s="344">
        <v>294.10000000000002</v>
      </c>
      <c r="Y54" s="344">
        <v>313.60000000000002</v>
      </c>
      <c r="Z54" s="344">
        <v>310</v>
      </c>
      <c r="AA54" s="344">
        <v>324.5</v>
      </c>
      <c r="AB54" s="344">
        <v>414.2</v>
      </c>
      <c r="AC54" s="344">
        <v>430.4</v>
      </c>
      <c r="AD54" s="344">
        <v>405.1</v>
      </c>
      <c r="AE54" s="344">
        <v>424.4</v>
      </c>
      <c r="AF54" s="344">
        <v>447.1</v>
      </c>
      <c r="AG54" s="344">
        <v>490.4</v>
      </c>
      <c r="AH54" s="344">
        <v>504.1</v>
      </c>
      <c r="AI54" s="344">
        <v>562.1</v>
      </c>
      <c r="AJ54" s="344">
        <v>879.7</v>
      </c>
      <c r="AK54" s="344">
        <v>731.6</v>
      </c>
      <c r="AL54" s="344">
        <v>1309.4000000000001</v>
      </c>
      <c r="AM54" s="344">
        <v>1725.9</v>
      </c>
      <c r="AN54" s="344">
        <v>1469.2</v>
      </c>
      <c r="AO54" s="344">
        <v>874.4</v>
      </c>
      <c r="AP54" s="344">
        <v>1951.9</v>
      </c>
      <c r="AQ54" s="344">
        <v>1884</v>
      </c>
      <c r="AR54" s="344">
        <v>1792.5</v>
      </c>
      <c r="AS54" s="344">
        <v>2196.3000000000002</v>
      </c>
      <c r="AT54" s="344">
        <f t="shared" ref="AT54" si="53">AT53*AT52/1000</f>
        <v>0</v>
      </c>
      <c r="AU54" s="344">
        <f t="shared" ref="AU54" si="54">AU53*AU52/1000</f>
        <v>0</v>
      </c>
      <c r="AV54" s="344">
        <f t="shared" ref="AV54" si="55">AV53*AV52/1000</f>
        <v>0</v>
      </c>
      <c r="AW54" s="344">
        <f t="shared" ref="AW54" si="56">AW53*AW52/1000</f>
        <v>0</v>
      </c>
      <c r="AX54" s="344">
        <f t="shared" ref="AX54" si="57">AX53*AX52/1000</f>
        <v>0</v>
      </c>
      <c r="AY54" s="365">
        <f t="shared" ref="AY54" si="58">AY53*AY52/1000</f>
        <v>0</v>
      </c>
      <c r="AZ54" s="366">
        <f>AZ52*AZ53/1000</f>
        <v>0</v>
      </c>
      <c r="BA54" s="366">
        <f>AZ54-AY54</f>
        <v>0</v>
      </c>
      <c r="BB54" s="367">
        <f>AY54-AX54</f>
        <v>0</v>
      </c>
      <c r="BC54" s="368">
        <f>AZ54-AX54</f>
        <v>0</v>
      </c>
      <c r="BD54" s="353">
        <f t="shared" si="6"/>
        <v>-1</v>
      </c>
      <c r="BE54" s="309"/>
      <c r="BF54"/>
      <c r="BG54" s="308"/>
    </row>
    <row r="55" spans="1:63" ht="15" customHeight="1">
      <c r="A55" s="320" t="s">
        <v>367</v>
      </c>
      <c r="B55" s="356"/>
      <c r="C55" s="356"/>
      <c r="D55" s="356"/>
      <c r="E55" s="356"/>
      <c r="F55" s="356"/>
      <c r="G55" s="356"/>
      <c r="H55" s="356"/>
      <c r="I55" s="356"/>
      <c r="J55" s="356"/>
      <c r="K55" s="356"/>
      <c r="L55" s="356"/>
      <c r="M55" s="356"/>
      <c r="N55" s="356"/>
      <c r="O55" s="356"/>
      <c r="P55" s="356"/>
      <c r="Q55" s="356"/>
      <c r="R55" s="356"/>
      <c r="S55" s="356"/>
      <c r="T55" s="356"/>
      <c r="U55" s="356"/>
      <c r="V55" s="356"/>
      <c r="W55" s="356"/>
      <c r="X55" s="356"/>
      <c r="Y55" s="356"/>
      <c r="Z55" s="356"/>
      <c r="AA55" s="356"/>
      <c r="AB55" s="356"/>
      <c r="AC55" s="356"/>
      <c r="AD55" s="356"/>
      <c r="AE55" s="356"/>
      <c r="AF55" s="356"/>
      <c r="AG55" s="356"/>
      <c r="AH55" s="356"/>
      <c r="AI55" s="356"/>
      <c r="AJ55" s="356"/>
      <c r="AK55" s="356"/>
      <c r="AL55" s="356"/>
      <c r="AM55" s="356"/>
      <c r="AN55" s="356"/>
      <c r="AO55" s="356"/>
      <c r="AP55" s="356"/>
      <c r="AQ55" s="356"/>
      <c r="AR55" s="356"/>
      <c r="AS55" s="356"/>
      <c r="AT55" s="328"/>
      <c r="AU55" s="328"/>
      <c r="AV55" s="328"/>
      <c r="AW55" s="328"/>
      <c r="AX55" s="328"/>
      <c r="AY55" s="321"/>
      <c r="AZ55" s="328"/>
      <c r="BA55" s="329"/>
      <c r="BB55" s="321"/>
      <c r="BC55" s="328"/>
      <c r="BD55" s="329"/>
    </row>
    <row r="56" spans="1:63" ht="15" customHeight="1">
      <c r="A56" s="324" t="s">
        <v>352</v>
      </c>
      <c r="B56" s="344">
        <v>297.39999999999998</v>
      </c>
      <c r="C56" s="344">
        <v>252</v>
      </c>
      <c r="D56" s="344">
        <v>216</v>
      </c>
      <c r="E56" s="344">
        <v>290</v>
      </c>
      <c r="F56" s="344">
        <v>303</v>
      </c>
      <c r="G56" s="344">
        <v>230</v>
      </c>
      <c r="H56" s="344">
        <v>255</v>
      </c>
      <c r="I56" s="344">
        <v>300</v>
      </c>
      <c r="J56" s="344">
        <v>330</v>
      </c>
      <c r="K56" s="344">
        <v>353</v>
      </c>
      <c r="L56" s="344">
        <v>304</v>
      </c>
      <c r="M56" s="344">
        <v>316</v>
      </c>
      <c r="N56" s="344">
        <v>315</v>
      </c>
      <c r="O56" s="344">
        <v>230</v>
      </c>
      <c r="P56" s="344">
        <v>256</v>
      </c>
      <c r="Q56" s="344">
        <v>270</v>
      </c>
      <c r="R56" s="344">
        <v>89</v>
      </c>
      <c r="S56" s="344">
        <v>231.7</v>
      </c>
      <c r="T56" s="344">
        <v>261</v>
      </c>
      <c r="U56" s="344">
        <v>266</v>
      </c>
      <c r="V56" s="344">
        <v>255.8</v>
      </c>
      <c r="W56" s="344">
        <v>108.9</v>
      </c>
      <c r="X56" s="344">
        <v>120</v>
      </c>
      <c r="Y56" s="344">
        <v>161</v>
      </c>
      <c r="Z56" s="344">
        <v>140.1</v>
      </c>
      <c r="AA56" s="344">
        <v>165.3</v>
      </c>
      <c r="AB56" s="344">
        <v>178.5</v>
      </c>
      <c r="AC56" s="344">
        <v>192.8</v>
      </c>
      <c r="AD56" s="344">
        <v>189.5</v>
      </c>
      <c r="AE56" s="344">
        <v>187.6</v>
      </c>
      <c r="AF56" s="344">
        <v>195.1</v>
      </c>
      <c r="AG56" s="344">
        <v>193</v>
      </c>
      <c r="AH56" s="344">
        <v>194</v>
      </c>
      <c r="AI56" s="344">
        <v>69.599999999999994</v>
      </c>
      <c r="AJ56" s="344">
        <v>157.19999999999999</v>
      </c>
      <c r="AK56" s="344">
        <v>39.799999999999997</v>
      </c>
      <c r="AL56" s="344">
        <v>53.1</v>
      </c>
      <c r="AM56" s="344">
        <v>76.599999999999994</v>
      </c>
      <c r="AN56" s="344">
        <v>62.9</v>
      </c>
      <c r="AO56" s="344">
        <v>84.6</v>
      </c>
      <c r="AP56" s="344">
        <v>86.5</v>
      </c>
      <c r="AQ56" s="344">
        <v>108.6</v>
      </c>
      <c r="AR56" s="344">
        <v>0</v>
      </c>
      <c r="AS56" s="344">
        <v>0</v>
      </c>
      <c r="AT56" s="344">
        <v>0</v>
      </c>
      <c r="AU56" s="344">
        <v>0</v>
      </c>
      <c r="AV56" s="344">
        <v>0</v>
      </c>
      <c r="AW56" s="344">
        <v>0</v>
      </c>
      <c r="AX56" s="344">
        <v>0</v>
      </c>
      <c r="AY56" s="369">
        <v>0</v>
      </c>
      <c r="AZ56" s="366">
        <v>0</v>
      </c>
      <c r="BA56" s="366">
        <f>AZ56-AY56</f>
        <v>0</v>
      </c>
      <c r="BB56" s="367">
        <f>AY56-AX56</f>
        <v>0</v>
      </c>
      <c r="BC56" s="368">
        <f>AZ56-AX56</f>
        <v>0</v>
      </c>
      <c r="BD56" s="370">
        <f t="shared" si="6"/>
        <v>0</v>
      </c>
      <c r="BH56" s="311"/>
      <c r="BI56" s="311"/>
      <c r="BJ56" s="311"/>
      <c r="BK56" s="311"/>
    </row>
    <row r="57" spans="1:63" ht="15" customHeight="1">
      <c r="A57" s="324" t="s">
        <v>353</v>
      </c>
      <c r="B57" s="345">
        <v>657.70006724949565</v>
      </c>
      <c r="C57" s="345">
        <v>496.03174603174602</v>
      </c>
      <c r="D57" s="345">
        <v>592.59259259259261</v>
      </c>
      <c r="E57" s="345">
        <v>138.27586206896552</v>
      </c>
      <c r="F57" s="345">
        <v>69.306930693069319</v>
      </c>
      <c r="G57" s="345">
        <v>175.21739130434781</v>
      </c>
      <c r="H57" s="345">
        <v>100</v>
      </c>
      <c r="I57" s="345">
        <v>630</v>
      </c>
      <c r="J57" s="345">
        <v>504.84848484848487</v>
      </c>
      <c r="K57" s="345">
        <v>537.96033994334277</v>
      </c>
      <c r="L57" s="345">
        <v>220.06578947368425</v>
      </c>
      <c r="M57" s="345">
        <v>550</v>
      </c>
      <c r="N57" s="345">
        <v>550.15873015873024</v>
      </c>
      <c r="O57" s="345">
        <v>300</v>
      </c>
      <c r="P57" s="345">
        <v>540</v>
      </c>
      <c r="Q57" s="345">
        <v>200</v>
      </c>
      <c r="R57" s="345">
        <v>102</v>
      </c>
      <c r="S57" s="345">
        <v>740</v>
      </c>
      <c r="T57" s="345">
        <v>600</v>
      </c>
      <c r="U57" s="345">
        <v>900</v>
      </c>
      <c r="V57" s="345">
        <v>783</v>
      </c>
      <c r="W57" s="345">
        <v>33</v>
      </c>
      <c r="X57" s="345">
        <v>341</v>
      </c>
      <c r="Y57" s="345">
        <v>930</v>
      </c>
      <c r="Z57" s="345">
        <v>60</v>
      </c>
      <c r="AA57" s="345">
        <v>450</v>
      </c>
      <c r="AB57" s="345">
        <v>690</v>
      </c>
      <c r="AC57" s="345">
        <v>702</v>
      </c>
      <c r="AD57" s="345">
        <v>476</v>
      </c>
      <c r="AE57" s="345">
        <v>900</v>
      </c>
      <c r="AF57" s="345">
        <v>363</v>
      </c>
      <c r="AG57" s="345">
        <v>666</v>
      </c>
      <c r="AH57" s="345">
        <v>857</v>
      </c>
      <c r="AI57" s="345">
        <v>91</v>
      </c>
      <c r="AJ57" s="345">
        <v>617</v>
      </c>
      <c r="AK57" s="345">
        <v>106</v>
      </c>
      <c r="AL57" s="345">
        <v>496</v>
      </c>
      <c r="AM57" s="345">
        <v>462</v>
      </c>
      <c r="AN57" s="345">
        <v>322</v>
      </c>
      <c r="AO57" s="345">
        <v>237</v>
      </c>
      <c r="AP57" s="345">
        <v>446</v>
      </c>
      <c r="AQ57" s="345">
        <v>780</v>
      </c>
      <c r="AR57" s="345">
        <v>0</v>
      </c>
      <c r="AS57" s="345">
        <v>0</v>
      </c>
      <c r="AT57" s="345">
        <v>0</v>
      </c>
      <c r="AU57" s="345">
        <v>0</v>
      </c>
      <c r="AV57" s="345">
        <v>0</v>
      </c>
      <c r="AW57" s="345">
        <v>0</v>
      </c>
      <c r="AX57" s="345">
        <v>0</v>
      </c>
      <c r="AY57" s="346">
        <v>0</v>
      </c>
      <c r="AZ57" s="347">
        <v>0</v>
      </c>
      <c r="BA57" s="347">
        <f>AZ57-AY57</f>
        <v>0</v>
      </c>
      <c r="BB57" s="351">
        <f>AY57-AX57</f>
        <v>0</v>
      </c>
      <c r="BC57" s="352">
        <f>AZ57-AX57</f>
        <v>0</v>
      </c>
      <c r="BD57" s="353">
        <f t="shared" si="6"/>
        <v>0</v>
      </c>
    </row>
    <row r="58" spans="1:63" s="311" customFormat="1" ht="15" customHeight="1">
      <c r="A58" s="324" t="s">
        <v>354</v>
      </c>
      <c r="B58" s="344">
        <f>B57*B56/1000</f>
        <v>195.6</v>
      </c>
      <c r="C58" s="344">
        <v>255</v>
      </c>
      <c r="D58" s="344">
        <v>224</v>
      </c>
      <c r="E58" s="344">
        <v>266</v>
      </c>
      <c r="F58" s="344">
        <v>177</v>
      </c>
      <c r="G58" s="344">
        <v>303</v>
      </c>
      <c r="H58" s="344">
        <v>95</v>
      </c>
      <c r="I58" s="344">
        <v>328</v>
      </c>
      <c r="J58" s="344">
        <v>126</v>
      </c>
      <c r="K58" s="344">
        <v>290</v>
      </c>
      <c r="L58" s="344">
        <v>116</v>
      </c>
      <c r="M58" s="344">
        <v>345</v>
      </c>
      <c r="N58" s="344">
        <v>342</v>
      </c>
      <c r="O58" s="344">
        <v>173</v>
      </c>
      <c r="P58" s="344">
        <v>354.7</v>
      </c>
      <c r="Q58" s="344">
        <v>237.2</v>
      </c>
      <c r="R58" s="344">
        <v>197.4</v>
      </c>
      <c r="S58" s="344">
        <v>413.1</v>
      </c>
      <c r="T58" s="344">
        <v>422.5</v>
      </c>
      <c r="U58" s="344">
        <v>455</v>
      </c>
      <c r="V58" s="344">
        <v>362.7</v>
      </c>
      <c r="W58" s="344">
        <v>209.9</v>
      </c>
      <c r="X58" s="344">
        <v>294.10000000000002</v>
      </c>
      <c r="Y58" s="344">
        <v>313.60000000000002</v>
      </c>
      <c r="Z58" s="344">
        <v>310</v>
      </c>
      <c r="AA58" s="344">
        <v>324.5</v>
      </c>
      <c r="AB58" s="344">
        <v>414.2</v>
      </c>
      <c r="AC58" s="344">
        <v>430.4</v>
      </c>
      <c r="AD58" s="344">
        <v>405.1</v>
      </c>
      <c r="AE58" s="344">
        <v>424.4</v>
      </c>
      <c r="AF58" s="344">
        <v>447.1</v>
      </c>
      <c r="AG58" s="344">
        <v>490.4</v>
      </c>
      <c r="AH58" s="344">
        <v>504.1</v>
      </c>
      <c r="AI58" s="344">
        <v>562.1</v>
      </c>
      <c r="AJ58" s="344">
        <v>879.7</v>
      </c>
      <c r="AK58" s="344">
        <v>731.6</v>
      </c>
      <c r="AL58" s="344">
        <v>1309.4000000000001</v>
      </c>
      <c r="AM58" s="344">
        <v>1725.9</v>
      </c>
      <c r="AN58" s="344">
        <v>1469.2</v>
      </c>
      <c r="AO58" s="344">
        <v>874.4</v>
      </c>
      <c r="AP58" s="344">
        <v>1951.9</v>
      </c>
      <c r="AQ58" s="344">
        <v>1884</v>
      </c>
      <c r="AR58" s="344">
        <v>1792.5</v>
      </c>
      <c r="AS58" s="344">
        <v>2196.3000000000002</v>
      </c>
      <c r="AT58" s="344">
        <f t="shared" ref="AT58" si="59">AT57*AT56/1000</f>
        <v>0</v>
      </c>
      <c r="AU58" s="344">
        <f t="shared" ref="AU58" si="60">AU57*AU56/1000</f>
        <v>0</v>
      </c>
      <c r="AV58" s="344">
        <f t="shared" ref="AV58" si="61">AV57*AV56/1000</f>
        <v>0</v>
      </c>
      <c r="AW58" s="344">
        <f t="shared" ref="AW58" si="62">AW57*AW56/1000</f>
        <v>0</v>
      </c>
      <c r="AX58" s="344">
        <f t="shared" ref="AX58" si="63">AX57*AX56/1000</f>
        <v>0</v>
      </c>
      <c r="AY58" s="365">
        <f t="shared" ref="AY58" si="64">AY57*AY56/1000</f>
        <v>0</v>
      </c>
      <c r="AZ58" s="366">
        <f>AZ56*AZ57/1000</f>
        <v>0</v>
      </c>
      <c r="BA58" s="366">
        <f>AZ58-AY58</f>
        <v>0</v>
      </c>
      <c r="BB58" s="367">
        <f>AY58-AX58</f>
        <v>0</v>
      </c>
      <c r="BC58" s="368">
        <f>AZ58-AX58</f>
        <v>0</v>
      </c>
      <c r="BD58" s="353">
        <f t="shared" si="6"/>
        <v>-1</v>
      </c>
      <c r="BE58" s="309"/>
      <c r="BF58"/>
      <c r="BG58" s="308"/>
    </row>
    <row r="59" spans="1:63" ht="15" customHeight="1">
      <c r="A59" s="320" t="s">
        <v>368</v>
      </c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28"/>
      <c r="AU59" s="328"/>
      <c r="AV59" s="328"/>
      <c r="AW59" s="328"/>
      <c r="AX59" s="328"/>
      <c r="AY59" s="321"/>
      <c r="AZ59" s="328"/>
      <c r="BA59" s="329"/>
      <c r="BB59" s="321"/>
      <c r="BC59" s="328"/>
      <c r="BD59" s="329"/>
    </row>
    <row r="60" spans="1:63" ht="15" customHeight="1">
      <c r="A60" s="324" t="s">
        <v>352</v>
      </c>
      <c r="B60" s="344">
        <v>407.2</v>
      </c>
      <c r="C60" s="344">
        <v>330</v>
      </c>
      <c r="D60" s="344">
        <v>295</v>
      </c>
      <c r="E60" s="344">
        <v>370</v>
      </c>
      <c r="F60" s="344">
        <v>370</v>
      </c>
      <c r="G60" s="344">
        <v>300</v>
      </c>
      <c r="H60" s="344">
        <v>180</v>
      </c>
      <c r="I60" s="344">
        <v>340</v>
      </c>
      <c r="J60" s="344">
        <v>365</v>
      </c>
      <c r="K60" s="344">
        <v>375</v>
      </c>
      <c r="L60" s="344">
        <v>400</v>
      </c>
      <c r="M60" s="344">
        <v>350</v>
      </c>
      <c r="N60" s="344">
        <v>350</v>
      </c>
      <c r="O60" s="344">
        <v>240</v>
      </c>
      <c r="P60" s="344">
        <v>387</v>
      </c>
      <c r="Q60" s="344">
        <v>315</v>
      </c>
      <c r="R60" s="344">
        <v>82.6</v>
      </c>
      <c r="S60" s="344">
        <v>363.2</v>
      </c>
      <c r="T60" s="344">
        <v>362.1</v>
      </c>
      <c r="U60" s="344">
        <v>355.9</v>
      </c>
      <c r="V60" s="344">
        <v>335.3</v>
      </c>
      <c r="W60" s="344">
        <v>106</v>
      </c>
      <c r="X60" s="344">
        <v>245.9</v>
      </c>
      <c r="Y60" s="344">
        <v>300</v>
      </c>
      <c r="Z60" s="344">
        <v>270</v>
      </c>
      <c r="AA60" s="344">
        <v>281</v>
      </c>
      <c r="AB60" s="344">
        <v>285.2</v>
      </c>
      <c r="AC60" s="344">
        <v>273.8</v>
      </c>
      <c r="AD60" s="344">
        <v>246.4</v>
      </c>
      <c r="AE60" s="344">
        <v>283.39999999999998</v>
      </c>
      <c r="AF60" s="344">
        <v>286.2</v>
      </c>
      <c r="AG60" s="344">
        <v>304.2</v>
      </c>
      <c r="AH60" s="344">
        <v>309.7</v>
      </c>
      <c r="AI60" s="344">
        <v>272.5</v>
      </c>
      <c r="AJ60" s="344">
        <v>298.3</v>
      </c>
      <c r="AK60" s="344">
        <v>205.8</v>
      </c>
      <c r="AL60" s="344">
        <v>94.5</v>
      </c>
      <c r="AM60" s="344">
        <v>228.6</v>
      </c>
      <c r="AN60" s="344">
        <v>214.7</v>
      </c>
      <c r="AO60" s="344">
        <v>117.4</v>
      </c>
      <c r="AP60" s="344">
        <v>84.1</v>
      </c>
      <c r="AQ60" s="344">
        <v>136</v>
      </c>
      <c r="AR60" s="344">
        <v>0</v>
      </c>
      <c r="AS60" s="344">
        <v>0</v>
      </c>
      <c r="AT60" s="344">
        <v>0</v>
      </c>
      <c r="AU60" s="344">
        <v>0</v>
      </c>
      <c r="AV60" s="344">
        <v>0</v>
      </c>
      <c r="AW60" s="344">
        <v>0</v>
      </c>
      <c r="AX60" s="344">
        <v>0</v>
      </c>
      <c r="AY60" s="369">
        <v>0</v>
      </c>
      <c r="AZ60" s="366">
        <v>0</v>
      </c>
      <c r="BA60" s="366">
        <f>AZ60-AY60</f>
        <v>0</v>
      </c>
      <c r="BB60" s="367">
        <f>AY60-AX60</f>
        <v>0</v>
      </c>
      <c r="BC60" s="368">
        <f>AZ60-AX60</f>
        <v>0</v>
      </c>
      <c r="BD60" s="353">
        <f t="shared" si="6"/>
        <v>0</v>
      </c>
      <c r="BH60" s="311"/>
      <c r="BI60" s="311"/>
      <c r="BJ60" s="311"/>
      <c r="BK60" s="311"/>
    </row>
    <row r="61" spans="1:63" ht="15" customHeight="1">
      <c r="A61" s="324" t="s">
        <v>353</v>
      </c>
      <c r="B61" s="345">
        <v>796.90569744597246</v>
      </c>
      <c r="C61" s="345">
        <v>818.18181818181824</v>
      </c>
      <c r="D61" s="345">
        <v>827.11864406779659</v>
      </c>
      <c r="E61" s="345">
        <v>204.32432432432432</v>
      </c>
      <c r="F61" s="345">
        <v>172.97297297297297</v>
      </c>
      <c r="G61" s="345">
        <v>400</v>
      </c>
      <c r="H61" s="345">
        <v>120</v>
      </c>
      <c r="I61" s="345">
        <v>780</v>
      </c>
      <c r="J61" s="345">
        <v>580</v>
      </c>
      <c r="K61" s="345">
        <v>565.06666666666672</v>
      </c>
      <c r="L61" s="345">
        <v>215</v>
      </c>
      <c r="M61" s="345">
        <v>510</v>
      </c>
      <c r="N61" s="345">
        <v>550</v>
      </c>
      <c r="O61" s="345">
        <v>400</v>
      </c>
      <c r="P61" s="345">
        <v>600</v>
      </c>
      <c r="Q61" s="345">
        <v>107</v>
      </c>
      <c r="R61" s="345">
        <v>60</v>
      </c>
      <c r="S61" s="345">
        <v>704</v>
      </c>
      <c r="T61" s="345">
        <v>700</v>
      </c>
      <c r="U61" s="345">
        <v>819</v>
      </c>
      <c r="V61" s="345">
        <v>620</v>
      </c>
      <c r="W61" s="345">
        <v>66</v>
      </c>
      <c r="X61" s="345">
        <v>143</v>
      </c>
      <c r="Y61" s="345">
        <v>466</v>
      </c>
      <c r="Z61" s="345">
        <v>160</v>
      </c>
      <c r="AA61" s="345">
        <v>280</v>
      </c>
      <c r="AB61" s="345">
        <v>288</v>
      </c>
      <c r="AC61" s="345">
        <v>245</v>
      </c>
      <c r="AD61" s="345">
        <v>575</v>
      </c>
      <c r="AE61" s="345">
        <v>780</v>
      </c>
      <c r="AF61" s="345">
        <v>334</v>
      </c>
      <c r="AG61" s="345">
        <v>610</v>
      </c>
      <c r="AH61" s="345">
        <v>685</v>
      </c>
      <c r="AI61" s="345">
        <v>461</v>
      </c>
      <c r="AJ61" s="345">
        <v>640</v>
      </c>
      <c r="AK61" s="345">
        <v>117</v>
      </c>
      <c r="AL61" s="345">
        <v>167</v>
      </c>
      <c r="AM61" s="345">
        <v>411</v>
      </c>
      <c r="AN61" s="345">
        <v>271</v>
      </c>
      <c r="AO61" s="345">
        <v>122.29</v>
      </c>
      <c r="AP61" s="345">
        <v>74</v>
      </c>
      <c r="AQ61" s="345">
        <v>485</v>
      </c>
      <c r="AR61" s="345">
        <v>0</v>
      </c>
      <c r="AS61" s="345">
        <v>0</v>
      </c>
      <c r="AT61" s="345">
        <v>0</v>
      </c>
      <c r="AU61" s="345">
        <v>0</v>
      </c>
      <c r="AV61" s="345">
        <v>0</v>
      </c>
      <c r="AW61" s="345">
        <v>0</v>
      </c>
      <c r="AX61" s="345">
        <v>0</v>
      </c>
      <c r="AY61" s="346">
        <v>0</v>
      </c>
      <c r="AZ61" s="347">
        <v>0</v>
      </c>
      <c r="BA61" s="347">
        <f>AZ61-AY61</f>
        <v>0</v>
      </c>
      <c r="BB61" s="351">
        <f>AY61-AX61</f>
        <v>0</v>
      </c>
      <c r="BC61" s="352">
        <f>AZ61-AX61</f>
        <v>0</v>
      </c>
      <c r="BD61" s="353">
        <f t="shared" si="6"/>
        <v>0</v>
      </c>
    </row>
    <row r="62" spans="1:63" s="311" customFormat="1" ht="15" customHeight="1">
      <c r="A62" s="324" t="s">
        <v>354</v>
      </c>
      <c r="B62" s="344">
        <f>B61*B60/1000</f>
        <v>324.5</v>
      </c>
      <c r="C62" s="344">
        <v>255</v>
      </c>
      <c r="D62" s="344">
        <v>224</v>
      </c>
      <c r="E62" s="344">
        <v>266</v>
      </c>
      <c r="F62" s="344">
        <v>177</v>
      </c>
      <c r="G62" s="344">
        <v>303</v>
      </c>
      <c r="H62" s="344">
        <v>95</v>
      </c>
      <c r="I62" s="344">
        <v>328</v>
      </c>
      <c r="J62" s="344">
        <v>126</v>
      </c>
      <c r="K62" s="344">
        <v>290</v>
      </c>
      <c r="L62" s="344">
        <v>116</v>
      </c>
      <c r="M62" s="344">
        <v>345</v>
      </c>
      <c r="N62" s="344">
        <v>342</v>
      </c>
      <c r="O62" s="344">
        <v>173</v>
      </c>
      <c r="P62" s="344">
        <v>354.7</v>
      </c>
      <c r="Q62" s="344">
        <v>237.2</v>
      </c>
      <c r="R62" s="344">
        <v>197.4</v>
      </c>
      <c r="S62" s="344">
        <v>413.1</v>
      </c>
      <c r="T62" s="344">
        <v>422.5</v>
      </c>
      <c r="U62" s="344">
        <v>455</v>
      </c>
      <c r="V62" s="344">
        <v>362.7</v>
      </c>
      <c r="W62" s="344">
        <v>209.9</v>
      </c>
      <c r="X62" s="344">
        <v>294.10000000000002</v>
      </c>
      <c r="Y62" s="344">
        <v>313.60000000000002</v>
      </c>
      <c r="Z62" s="344">
        <v>310</v>
      </c>
      <c r="AA62" s="344">
        <v>324.5</v>
      </c>
      <c r="AB62" s="344">
        <v>414.2</v>
      </c>
      <c r="AC62" s="344">
        <v>430.4</v>
      </c>
      <c r="AD62" s="344">
        <v>405.1</v>
      </c>
      <c r="AE62" s="344">
        <v>424.4</v>
      </c>
      <c r="AF62" s="344">
        <v>447.1</v>
      </c>
      <c r="AG62" s="344">
        <v>490.4</v>
      </c>
      <c r="AH62" s="344">
        <v>504.1</v>
      </c>
      <c r="AI62" s="344">
        <v>562.1</v>
      </c>
      <c r="AJ62" s="344">
        <v>879.7</v>
      </c>
      <c r="AK62" s="344">
        <v>731.6</v>
      </c>
      <c r="AL62" s="344">
        <v>1309.4000000000001</v>
      </c>
      <c r="AM62" s="344">
        <v>1725.9</v>
      </c>
      <c r="AN62" s="344">
        <v>1469.2</v>
      </c>
      <c r="AO62" s="344">
        <v>874.4</v>
      </c>
      <c r="AP62" s="344">
        <v>1951.9</v>
      </c>
      <c r="AQ62" s="344">
        <v>1884</v>
      </c>
      <c r="AR62" s="344">
        <v>1792.5</v>
      </c>
      <c r="AS62" s="344">
        <v>2196.3000000000002</v>
      </c>
      <c r="AT62" s="344">
        <f t="shared" ref="AT62" si="65">AT61*AT60/1000</f>
        <v>0</v>
      </c>
      <c r="AU62" s="344">
        <f t="shared" ref="AU62" si="66">AU61*AU60/1000</f>
        <v>0</v>
      </c>
      <c r="AV62" s="344">
        <f t="shared" ref="AV62" si="67">AV61*AV60/1000</f>
        <v>0</v>
      </c>
      <c r="AW62" s="344">
        <f t="shared" ref="AW62" si="68">AW61*AW60/1000</f>
        <v>0</v>
      </c>
      <c r="AX62" s="344">
        <f t="shared" ref="AX62" si="69">AX61*AX60/1000</f>
        <v>0</v>
      </c>
      <c r="AY62" s="365">
        <f t="shared" ref="AY62" si="70">AY61*AY60/1000</f>
        <v>0</v>
      </c>
      <c r="AZ62" s="366">
        <f>AZ60*AZ61/1000</f>
        <v>0</v>
      </c>
      <c r="BA62" s="366">
        <f>AZ62-AY62</f>
        <v>0</v>
      </c>
      <c r="BB62" s="367">
        <f>AY62-AX62</f>
        <v>0</v>
      </c>
      <c r="BC62" s="368">
        <f>AZ62-AX62</f>
        <v>0</v>
      </c>
      <c r="BD62" s="353">
        <f t="shared" si="6"/>
        <v>-1</v>
      </c>
      <c r="BE62" s="309"/>
      <c r="BF62"/>
      <c r="BG62" s="308"/>
    </row>
    <row r="63" spans="1:63" ht="15" customHeight="1">
      <c r="A63" s="320" t="s">
        <v>369</v>
      </c>
      <c r="B63" s="356"/>
      <c r="C63" s="356"/>
      <c r="D63" s="356"/>
      <c r="E63" s="356"/>
      <c r="F63" s="356"/>
      <c r="G63" s="356"/>
      <c r="H63" s="356"/>
      <c r="I63" s="356"/>
      <c r="J63" s="356"/>
      <c r="K63" s="356"/>
      <c r="L63" s="356"/>
      <c r="M63" s="356"/>
      <c r="N63" s="356"/>
      <c r="O63" s="356"/>
      <c r="P63" s="356"/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28"/>
      <c r="AU63" s="328"/>
      <c r="AV63" s="328"/>
      <c r="AW63" s="328"/>
      <c r="AX63" s="328"/>
      <c r="AY63" s="321"/>
      <c r="AZ63" s="328"/>
      <c r="BA63" s="329"/>
      <c r="BB63" s="321"/>
      <c r="BC63" s="328"/>
      <c r="BD63" s="329"/>
    </row>
    <row r="64" spans="1:63" ht="15" customHeight="1">
      <c r="A64" s="324" t="s">
        <v>352</v>
      </c>
      <c r="B64" s="344">
        <v>122.1</v>
      </c>
      <c r="C64" s="344">
        <v>132</v>
      </c>
      <c r="D64" s="344">
        <v>96</v>
      </c>
      <c r="E64" s="344">
        <v>137</v>
      </c>
      <c r="F64" s="344">
        <v>137</v>
      </c>
      <c r="G64" s="344">
        <v>110</v>
      </c>
      <c r="H64" s="344">
        <v>93.5</v>
      </c>
      <c r="I64" s="344">
        <v>90</v>
      </c>
      <c r="J64" s="344">
        <v>109.2</v>
      </c>
      <c r="K64" s="344">
        <v>120.1</v>
      </c>
      <c r="L64" s="344">
        <v>138.4</v>
      </c>
      <c r="M64" s="344">
        <v>128.19999999999999</v>
      </c>
      <c r="N64" s="344">
        <v>128.19999999999999</v>
      </c>
      <c r="O64" s="344">
        <v>105</v>
      </c>
      <c r="P64" s="344">
        <v>106.5</v>
      </c>
      <c r="Q64" s="344">
        <v>88</v>
      </c>
      <c r="R64" s="344">
        <v>26.4</v>
      </c>
      <c r="S64" s="344">
        <v>131</v>
      </c>
      <c r="T64" s="344">
        <v>112.3</v>
      </c>
      <c r="U64" s="344">
        <v>121.1</v>
      </c>
      <c r="V64" s="344">
        <v>118</v>
      </c>
      <c r="W64" s="344">
        <v>118</v>
      </c>
      <c r="X64" s="344">
        <v>118</v>
      </c>
      <c r="Y64" s="344">
        <v>66</v>
      </c>
      <c r="Z64" s="344">
        <v>77.900000000000006</v>
      </c>
      <c r="AA64" s="344">
        <v>57</v>
      </c>
      <c r="AB64" s="344">
        <v>57</v>
      </c>
      <c r="AC64" s="344">
        <v>79</v>
      </c>
      <c r="AD64" s="344">
        <v>79</v>
      </c>
      <c r="AE64" s="344">
        <v>83.7</v>
      </c>
      <c r="AF64" s="344">
        <v>83.7</v>
      </c>
      <c r="AG64" s="344">
        <v>72.599999999999994</v>
      </c>
      <c r="AH64" s="344">
        <v>71.3</v>
      </c>
      <c r="AI64" s="344">
        <v>58</v>
      </c>
      <c r="AJ64" s="344">
        <v>0</v>
      </c>
      <c r="AK64" s="344">
        <v>0</v>
      </c>
      <c r="AL64" s="344">
        <v>0</v>
      </c>
      <c r="AM64" s="344">
        <v>0</v>
      </c>
      <c r="AN64" s="344">
        <v>0</v>
      </c>
      <c r="AO64" s="344">
        <v>0</v>
      </c>
      <c r="AP64" s="344">
        <v>0</v>
      </c>
      <c r="AQ64" s="344">
        <v>0</v>
      </c>
      <c r="AR64" s="344">
        <v>0</v>
      </c>
      <c r="AS64" s="344">
        <v>0</v>
      </c>
      <c r="AT64" s="344">
        <v>0</v>
      </c>
      <c r="AU64" s="344">
        <v>0</v>
      </c>
      <c r="AV64" s="344">
        <v>0</v>
      </c>
      <c r="AW64" s="344">
        <v>0</v>
      </c>
      <c r="AX64" s="344">
        <v>0</v>
      </c>
      <c r="AY64" s="369">
        <v>0</v>
      </c>
      <c r="AZ64" s="366">
        <v>0</v>
      </c>
      <c r="BA64" s="366">
        <f>AZ64-AY64</f>
        <v>0</v>
      </c>
      <c r="BB64" s="367">
        <f>AY64-AX64</f>
        <v>0</v>
      </c>
      <c r="BC64" s="368">
        <f>AZ64-AX64</f>
        <v>0</v>
      </c>
      <c r="BD64" s="353">
        <f t="shared" si="6"/>
        <v>0</v>
      </c>
      <c r="BF64" s="319" t="b">
        <v>0</v>
      </c>
      <c r="BH64" s="311"/>
      <c r="BI64" s="311"/>
      <c r="BJ64" s="311"/>
      <c r="BK64" s="311"/>
    </row>
    <row r="65" spans="1:63" ht="15" customHeight="1">
      <c r="A65" s="324" t="s">
        <v>353</v>
      </c>
      <c r="B65" s="345">
        <v>604.42260442260442</v>
      </c>
      <c r="C65" s="345">
        <v>598.4848484848485</v>
      </c>
      <c r="D65" s="345">
        <v>562.5</v>
      </c>
      <c r="E65" s="345">
        <v>194.8905109489051</v>
      </c>
      <c r="F65" s="345">
        <v>350.36496350364968</v>
      </c>
      <c r="G65" s="345">
        <v>600</v>
      </c>
      <c r="H65" s="345">
        <v>95.18716577540107</v>
      </c>
      <c r="I65" s="345">
        <v>570</v>
      </c>
      <c r="J65" s="345">
        <v>569.59706959706955</v>
      </c>
      <c r="K65" s="345">
        <v>580.34970857618646</v>
      </c>
      <c r="L65" s="345">
        <v>260.11560693641616</v>
      </c>
      <c r="M65" s="345">
        <v>429.79719188767558</v>
      </c>
      <c r="N65" s="345">
        <v>470.35881435257409</v>
      </c>
      <c r="O65" s="345">
        <v>470.47619047619042</v>
      </c>
      <c r="P65" s="345">
        <v>550</v>
      </c>
      <c r="Q65" s="345">
        <v>500</v>
      </c>
      <c r="R65" s="345">
        <v>60</v>
      </c>
      <c r="S65" s="345">
        <v>545</v>
      </c>
      <c r="T65" s="345">
        <v>416</v>
      </c>
      <c r="U65" s="345">
        <v>438</v>
      </c>
      <c r="V65" s="345">
        <v>540</v>
      </c>
      <c r="W65" s="345">
        <v>540</v>
      </c>
      <c r="X65" s="345">
        <v>279</v>
      </c>
      <c r="Y65" s="345">
        <v>340</v>
      </c>
      <c r="Z65" s="345">
        <v>1500</v>
      </c>
      <c r="AA65" s="345">
        <v>663</v>
      </c>
      <c r="AB65" s="345">
        <v>315</v>
      </c>
      <c r="AC65" s="345">
        <v>275</v>
      </c>
      <c r="AD65" s="345">
        <v>615</v>
      </c>
      <c r="AE65" s="345">
        <v>630</v>
      </c>
      <c r="AF65" s="345">
        <v>550</v>
      </c>
      <c r="AG65" s="345">
        <v>611</v>
      </c>
      <c r="AH65" s="345">
        <v>654</v>
      </c>
      <c r="AI65" s="345">
        <v>720</v>
      </c>
      <c r="AJ65" s="345">
        <v>0</v>
      </c>
      <c r="AK65" s="345">
        <v>0</v>
      </c>
      <c r="AL65" s="345">
        <v>0</v>
      </c>
      <c r="AM65" s="345">
        <v>0</v>
      </c>
      <c r="AN65" s="345">
        <v>0</v>
      </c>
      <c r="AO65" s="345">
        <v>0</v>
      </c>
      <c r="AP65" s="345">
        <v>0</v>
      </c>
      <c r="AQ65" s="345">
        <v>0</v>
      </c>
      <c r="AR65" s="345">
        <v>0</v>
      </c>
      <c r="AS65" s="345">
        <v>0</v>
      </c>
      <c r="AT65" s="345">
        <v>0</v>
      </c>
      <c r="AU65" s="345">
        <v>0</v>
      </c>
      <c r="AV65" s="345">
        <v>0</v>
      </c>
      <c r="AW65" s="345">
        <v>0</v>
      </c>
      <c r="AX65" s="345">
        <v>0</v>
      </c>
      <c r="AY65" s="346">
        <v>0</v>
      </c>
      <c r="AZ65" s="347">
        <v>0</v>
      </c>
      <c r="BA65" s="347">
        <f>AZ65-AY65</f>
        <v>0</v>
      </c>
      <c r="BB65" s="351">
        <f>AY65-AX65</f>
        <v>0</v>
      </c>
      <c r="BC65" s="352">
        <f>AZ65-AX65</f>
        <v>0</v>
      </c>
      <c r="BD65" s="353">
        <f t="shared" si="6"/>
        <v>0</v>
      </c>
    </row>
    <row r="66" spans="1:63" s="311" customFormat="1" ht="15" customHeight="1">
      <c r="A66" s="324" t="s">
        <v>354</v>
      </c>
      <c r="B66" s="344">
        <f>B65*B64/1000</f>
        <v>73.8</v>
      </c>
      <c r="C66" s="344">
        <v>255</v>
      </c>
      <c r="D66" s="344">
        <v>224</v>
      </c>
      <c r="E66" s="344">
        <v>266</v>
      </c>
      <c r="F66" s="344">
        <v>177</v>
      </c>
      <c r="G66" s="344">
        <v>303</v>
      </c>
      <c r="H66" s="344">
        <v>95</v>
      </c>
      <c r="I66" s="344">
        <v>328</v>
      </c>
      <c r="J66" s="344">
        <v>126</v>
      </c>
      <c r="K66" s="344">
        <v>290</v>
      </c>
      <c r="L66" s="344">
        <v>116</v>
      </c>
      <c r="M66" s="344">
        <v>345</v>
      </c>
      <c r="N66" s="344">
        <v>342</v>
      </c>
      <c r="O66" s="344">
        <v>173</v>
      </c>
      <c r="P66" s="344">
        <v>354.7</v>
      </c>
      <c r="Q66" s="344">
        <v>237.2</v>
      </c>
      <c r="R66" s="344">
        <v>197.4</v>
      </c>
      <c r="S66" s="344">
        <v>413.1</v>
      </c>
      <c r="T66" s="344">
        <v>422.5</v>
      </c>
      <c r="U66" s="344">
        <v>455</v>
      </c>
      <c r="V66" s="344">
        <v>362.7</v>
      </c>
      <c r="W66" s="344">
        <v>209.9</v>
      </c>
      <c r="X66" s="344">
        <v>294.10000000000002</v>
      </c>
      <c r="Y66" s="344">
        <v>313.60000000000002</v>
      </c>
      <c r="Z66" s="344">
        <v>310</v>
      </c>
      <c r="AA66" s="344">
        <v>324.5</v>
      </c>
      <c r="AB66" s="344">
        <v>414.2</v>
      </c>
      <c r="AC66" s="344">
        <v>430.4</v>
      </c>
      <c r="AD66" s="344">
        <v>405.1</v>
      </c>
      <c r="AE66" s="344">
        <v>424.4</v>
      </c>
      <c r="AF66" s="344">
        <v>447.1</v>
      </c>
      <c r="AG66" s="344">
        <v>490.4</v>
      </c>
      <c r="AH66" s="344">
        <v>504.1</v>
      </c>
      <c r="AI66" s="344">
        <v>562.1</v>
      </c>
      <c r="AJ66" s="344">
        <v>879.7</v>
      </c>
      <c r="AK66" s="344">
        <v>731.6</v>
      </c>
      <c r="AL66" s="344">
        <v>1309.4000000000001</v>
      </c>
      <c r="AM66" s="344">
        <v>1725.9</v>
      </c>
      <c r="AN66" s="344">
        <v>1469.2</v>
      </c>
      <c r="AO66" s="344">
        <v>874.4</v>
      </c>
      <c r="AP66" s="344">
        <v>1951.9</v>
      </c>
      <c r="AQ66" s="344">
        <v>1884</v>
      </c>
      <c r="AR66" s="344">
        <v>1792.5</v>
      </c>
      <c r="AS66" s="344">
        <v>2196.3000000000002</v>
      </c>
      <c r="AT66" s="344">
        <f t="shared" ref="AT66" si="71">AT65*AT64/1000</f>
        <v>0</v>
      </c>
      <c r="AU66" s="344">
        <f t="shared" ref="AU66" si="72">AU65*AU64/1000</f>
        <v>0</v>
      </c>
      <c r="AV66" s="344">
        <f t="shared" ref="AV66" si="73">AV65*AV64/1000</f>
        <v>0</v>
      </c>
      <c r="AW66" s="344">
        <f t="shared" ref="AW66" si="74">AW65*AW64/1000</f>
        <v>0</v>
      </c>
      <c r="AX66" s="344">
        <f t="shared" ref="AX66" si="75">AX65*AX64/1000</f>
        <v>0</v>
      </c>
      <c r="AY66" s="365">
        <f t="shared" ref="AY66" si="76">AY65*AY64/1000</f>
        <v>0</v>
      </c>
      <c r="AZ66" s="366">
        <f>AZ64*AZ65/1000</f>
        <v>0</v>
      </c>
      <c r="BA66" s="366">
        <f>AZ66-AY66</f>
        <v>0</v>
      </c>
      <c r="BB66" s="367">
        <f>AY66-AX66</f>
        <v>0</v>
      </c>
      <c r="BC66" s="368">
        <f>AZ66-AX66</f>
        <v>0</v>
      </c>
      <c r="BD66" s="353">
        <f t="shared" si="6"/>
        <v>-1</v>
      </c>
      <c r="BE66" s="309"/>
      <c r="BF66"/>
      <c r="BG66" s="308"/>
    </row>
    <row r="67" spans="1:63" ht="15" customHeight="1">
      <c r="A67" s="320" t="s">
        <v>370</v>
      </c>
      <c r="B67" s="356"/>
      <c r="C67" s="356"/>
      <c r="D67" s="356"/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6"/>
      <c r="Q67" s="356"/>
      <c r="R67" s="356"/>
      <c r="S67" s="356"/>
      <c r="T67" s="356"/>
      <c r="U67" s="356"/>
      <c r="V67" s="356"/>
      <c r="W67" s="356"/>
      <c r="X67" s="356"/>
      <c r="Y67" s="356"/>
      <c r="Z67" s="356"/>
      <c r="AA67" s="356"/>
      <c r="AB67" s="356"/>
      <c r="AC67" s="356"/>
      <c r="AD67" s="356"/>
      <c r="AE67" s="356"/>
      <c r="AF67" s="356"/>
      <c r="AG67" s="356"/>
      <c r="AH67" s="356"/>
      <c r="AI67" s="356"/>
      <c r="AJ67" s="356"/>
      <c r="AK67" s="356"/>
      <c r="AL67" s="356"/>
      <c r="AM67" s="356"/>
      <c r="AN67" s="356"/>
      <c r="AO67" s="356"/>
      <c r="AP67" s="356"/>
      <c r="AQ67" s="356"/>
      <c r="AR67" s="356"/>
      <c r="AS67" s="356"/>
      <c r="AT67" s="328"/>
      <c r="AU67" s="328"/>
      <c r="AV67" s="328"/>
      <c r="AW67" s="328"/>
      <c r="AX67" s="328"/>
      <c r="AY67" s="321"/>
      <c r="AZ67" s="328"/>
      <c r="BA67" s="329"/>
      <c r="BB67" s="321"/>
      <c r="BC67" s="328"/>
      <c r="BD67" s="329"/>
    </row>
    <row r="68" spans="1:63" ht="15" customHeight="1">
      <c r="A68" s="324" t="s">
        <v>352</v>
      </c>
      <c r="B68" s="344">
        <v>50.7</v>
      </c>
      <c r="C68" s="344">
        <v>52</v>
      </c>
      <c r="D68" s="344">
        <v>48</v>
      </c>
      <c r="E68" s="344">
        <v>54</v>
      </c>
      <c r="F68" s="344">
        <v>65</v>
      </c>
      <c r="G68" s="344">
        <v>105.9</v>
      </c>
      <c r="H68" s="344">
        <v>17.3</v>
      </c>
      <c r="I68" s="344">
        <v>71</v>
      </c>
      <c r="J68" s="344">
        <v>97</v>
      </c>
      <c r="K68" s="344">
        <v>103</v>
      </c>
      <c r="L68" s="344">
        <v>105</v>
      </c>
      <c r="M68" s="344">
        <v>76</v>
      </c>
      <c r="N68" s="344">
        <v>84</v>
      </c>
      <c r="O68" s="344">
        <v>84.9</v>
      </c>
      <c r="P68" s="344">
        <v>80</v>
      </c>
      <c r="Q68" s="344">
        <v>60</v>
      </c>
      <c r="R68" s="344">
        <v>18</v>
      </c>
      <c r="S68" s="344">
        <v>77.5</v>
      </c>
      <c r="T68" s="344">
        <v>92</v>
      </c>
      <c r="U68" s="344">
        <v>100.2</v>
      </c>
      <c r="V68" s="344">
        <v>103</v>
      </c>
      <c r="W68" s="344">
        <v>103</v>
      </c>
      <c r="X68" s="344">
        <v>87</v>
      </c>
      <c r="Y68" s="344">
        <v>87</v>
      </c>
      <c r="Z68" s="344">
        <v>90</v>
      </c>
      <c r="AA68" s="344">
        <v>100.8</v>
      </c>
      <c r="AB68" s="344">
        <v>110.9</v>
      </c>
      <c r="AC68" s="344">
        <v>132</v>
      </c>
      <c r="AD68" s="344">
        <v>127.4</v>
      </c>
      <c r="AE68" s="344">
        <v>142.69999999999999</v>
      </c>
      <c r="AF68" s="344">
        <v>144.6</v>
      </c>
      <c r="AG68" s="344">
        <v>162.69999999999999</v>
      </c>
      <c r="AH68" s="344">
        <v>172.7</v>
      </c>
      <c r="AI68" s="344">
        <v>176.8</v>
      </c>
      <c r="AJ68" s="344">
        <v>0</v>
      </c>
      <c r="AK68" s="344">
        <v>0</v>
      </c>
      <c r="AL68" s="344">
        <v>0</v>
      </c>
      <c r="AM68" s="344">
        <v>0</v>
      </c>
      <c r="AN68" s="344">
        <v>0</v>
      </c>
      <c r="AO68" s="344">
        <v>0</v>
      </c>
      <c r="AP68" s="344">
        <v>0</v>
      </c>
      <c r="AQ68" s="344">
        <v>0</v>
      </c>
      <c r="AR68" s="344">
        <v>0</v>
      </c>
      <c r="AS68" s="344">
        <v>0</v>
      </c>
      <c r="AT68" s="344">
        <v>0</v>
      </c>
      <c r="AU68" s="344">
        <v>0</v>
      </c>
      <c r="AV68" s="344">
        <v>0</v>
      </c>
      <c r="AW68" s="344">
        <v>0</v>
      </c>
      <c r="AX68" s="344">
        <v>0</v>
      </c>
      <c r="AY68" s="369">
        <v>0</v>
      </c>
      <c r="AZ68" s="366">
        <v>0</v>
      </c>
      <c r="BA68" s="366">
        <f>AZ68-AY68</f>
        <v>0</v>
      </c>
      <c r="BB68" s="367">
        <f>AY68-AX68</f>
        <v>0</v>
      </c>
      <c r="BC68" s="368">
        <f>AZ68-AX68</f>
        <v>0</v>
      </c>
      <c r="BD68" s="353">
        <f t="shared" si="6"/>
        <v>0</v>
      </c>
      <c r="BH68" s="311"/>
      <c r="BI68" s="311"/>
      <c r="BJ68" s="311"/>
      <c r="BK68" s="311"/>
    </row>
    <row r="69" spans="1:63" ht="15" customHeight="1">
      <c r="A69" s="324" t="s">
        <v>353</v>
      </c>
      <c r="B69" s="345">
        <v>719.92110453648911</v>
      </c>
      <c r="C69" s="345">
        <v>673.07692307692309</v>
      </c>
      <c r="D69" s="345">
        <v>625</v>
      </c>
      <c r="E69" s="345">
        <v>518.51851851851848</v>
      </c>
      <c r="F69" s="345">
        <v>692.30769230769226</v>
      </c>
      <c r="G69" s="345">
        <v>833.80547686496686</v>
      </c>
      <c r="H69" s="345">
        <v>98.265895953757223</v>
      </c>
      <c r="I69" s="345">
        <v>700</v>
      </c>
      <c r="J69" s="345">
        <v>700</v>
      </c>
      <c r="K69" s="345">
        <v>874.757281553398</v>
      </c>
      <c r="L69" s="345">
        <v>291.42857142857144</v>
      </c>
      <c r="M69" s="345">
        <v>889.47368421052624</v>
      </c>
      <c r="N69" s="345">
        <v>929.7619047619047</v>
      </c>
      <c r="O69" s="345">
        <v>959.95288574793869</v>
      </c>
      <c r="P69" s="345">
        <v>870</v>
      </c>
      <c r="Q69" s="345">
        <v>530</v>
      </c>
      <c r="R69" s="345">
        <v>150</v>
      </c>
      <c r="S69" s="345">
        <v>889</v>
      </c>
      <c r="T69" s="345">
        <v>926</v>
      </c>
      <c r="U69" s="345">
        <v>1111</v>
      </c>
      <c r="V69" s="345">
        <v>916</v>
      </c>
      <c r="W69" s="345">
        <v>916</v>
      </c>
      <c r="X69" s="345">
        <v>1350</v>
      </c>
      <c r="Y69" s="345">
        <v>1100</v>
      </c>
      <c r="Z69" s="345">
        <v>1100</v>
      </c>
      <c r="AA69" s="345">
        <v>478</v>
      </c>
      <c r="AB69" s="345">
        <v>1200</v>
      </c>
      <c r="AC69" s="345">
        <v>956</v>
      </c>
      <c r="AD69" s="345">
        <v>1300</v>
      </c>
      <c r="AE69" s="345">
        <v>1330</v>
      </c>
      <c r="AF69" s="345">
        <v>1366</v>
      </c>
      <c r="AG69" s="345">
        <v>2774</v>
      </c>
      <c r="AH69" s="345">
        <v>3560</v>
      </c>
      <c r="AI69" s="345">
        <v>4088</v>
      </c>
      <c r="AJ69" s="345">
        <v>0</v>
      </c>
      <c r="AK69" s="345">
        <v>0</v>
      </c>
      <c r="AL69" s="345">
        <v>0</v>
      </c>
      <c r="AM69" s="345">
        <v>0</v>
      </c>
      <c r="AN69" s="345">
        <v>0</v>
      </c>
      <c r="AO69" s="345">
        <v>0</v>
      </c>
      <c r="AP69" s="345">
        <v>0</v>
      </c>
      <c r="AQ69" s="345">
        <v>0</v>
      </c>
      <c r="AR69" s="345">
        <v>0</v>
      </c>
      <c r="AS69" s="345">
        <v>0</v>
      </c>
      <c r="AT69" s="345">
        <v>0</v>
      </c>
      <c r="AU69" s="345">
        <v>0</v>
      </c>
      <c r="AV69" s="345">
        <v>0</v>
      </c>
      <c r="AW69" s="345">
        <v>0</v>
      </c>
      <c r="AX69" s="345">
        <v>0</v>
      </c>
      <c r="AY69" s="346">
        <v>0</v>
      </c>
      <c r="AZ69" s="347">
        <v>0</v>
      </c>
      <c r="BA69" s="347">
        <f>AZ69-AY69</f>
        <v>0</v>
      </c>
      <c r="BB69" s="351">
        <f>AY69-AX69</f>
        <v>0</v>
      </c>
      <c r="BC69" s="352">
        <f>AZ69-AX69</f>
        <v>0</v>
      </c>
      <c r="BD69" s="353">
        <f t="shared" si="6"/>
        <v>0</v>
      </c>
    </row>
    <row r="70" spans="1:63" s="311" customFormat="1" ht="15" customHeight="1">
      <c r="A70" s="324" t="s">
        <v>354</v>
      </c>
      <c r="B70" s="344">
        <f>B69*B68/1000</f>
        <v>36.5</v>
      </c>
      <c r="C70" s="344">
        <v>255</v>
      </c>
      <c r="D70" s="344">
        <v>224</v>
      </c>
      <c r="E70" s="344">
        <v>266</v>
      </c>
      <c r="F70" s="344">
        <v>177</v>
      </c>
      <c r="G70" s="344">
        <v>303</v>
      </c>
      <c r="H70" s="344">
        <v>95</v>
      </c>
      <c r="I70" s="344">
        <v>328</v>
      </c>
      <c r="J70" s="344">
        <v>126</v>
      </c>
      <c r="K70" s="344">
        <v>290</v>
      </c>
      <c r="L70" s="344">
        <v>116</v>
      </c>
      <c r="M70" s="344">
        <v>345</v>
      </c>
      <c r="N70" s="344">
        <v>342</v>
      </c>
      <c r="O70" s="344">
        <v>173</v>
      </c>
      <c r="P70" s="344">
        <v>354.7</v>
      </c>
      <c r="Q70" s="344">
        <v>237.2</v>
      </c>
      <c r="R70" s="344">
        <v>197.4</v>
      </c>
      <c r="S70" s="344">
        <v>413.1</v>
      </c>
      <c r="T70" s="344">
        <v>422.5</v>
      </c>
      <c r="U70" s="344">
        <v>455</v>
      </c>
      <c r="V70" s="344">
        <v>362.7</v>
      </c>
      <c r="W70" s="344">
        <v>209.9</v>
      </c>
      <c r="X70" s="344">
        <v>294.10000000000002</v>
      </c>
      <c r="Y70" s="344">
        <v>313.60000000000002</v>
      </c>
      <c r="Z70" s="344">
        <v>310</v>
      </c>
      <c r="AA70" s="344">
        <v>324.5</v>
      </c>
      <c r="AB70" s="344">
        <v>414.2</v>
      </c>
      <c r="AC70" s="344">
        <v>430.4</v>
      </c>
      <c r="AD70" s="344">
        <v>405.1</v>
      </c>
      <c r="AE70" s="344">
        <v>424.4</v>
      </c>
      <c r="AF70" s="344">
        <v>447.1</v>
      </c>
      <c r="AG70" s="344">
        <v>490.4</v>
      </c>
      <c r="AH70" s="344">
        <v>504.1</v>
      </c>
      <c r="AI70" s="344">
        <v>562.1</v>
      </c>
      <c r="AJ70" s="344">
        <v>879.7</v>
      </c>
      <c r="AK70" s="344">
        <v>731.6</v>
      </c>
      <c r="AL70" s="344">
        <v>1309.4000000000001</v>
      </c>
      <c r="AM70" s="344">
        <v>1725.9</v>
      </c>
      <c r="AN70" s="344">
        <v>1469.2</v>
      </c>
      <c r="AO70" s="344">
        <v>874.4</v>
      </c>
      <c r="AP70" s="344">
        <v>1951.9</v>
      </c>
      <c r="AQ70" s="344">
        <v>1884</v>
      </c>
      <c r="AR70" s="344">
        <v>1792.5</v>
      </c>
      <c r="AS70" s="344">
        <v>2196.3000000000002</v>
      </c>
      <c r="AT70" s="344">
        <f t="shared" ref="AT70" si="77">AT69*AT68/1000</f>
        <v>0</v>
      </c>
      <c r="AU70" s="344">
        <f t="shared" ref="AU70" si="78">AU69*AU68/1000</f>
        <v>0</v>
      </c>
      <c r="AV70" s="344">
        <f t="shared" ref="AV70" si="79">AV69*AV68/1000</f>
        <v>0</v>
      </c>
      <c r="AW70" s="344">
        <f t="shared" ref="AW70" si="80">AW69*AW68/1000</f>
        <v>0</v>
      </c>
      <c r="AX70" s="344">
        <f t="shared" ref="AX70" si="81">AX69*AX68/1000</f>
        <v>0</v>
      </c>
      <c r="AY70" s="365">
        <f t="shared" ref="AY70" si="82">AY69*AY68/1000</f>
        <v>0</v>
      </c>
      <c r="AZ70" s="366">
        <f>AZ68*AZ69/1000</f>
        <v>0</v>
      </c>
      <c r="BA70" s="366">
        <f>AZ70-AY70</f>
        <v>0</v>
      </c>
      <c r="BB70" s="367">
        <f>AY70-AX70</f>
        <v>0</v>
      </c>
      <c r="BC70" s="368">
        <f>AZ70-AX70</f>
        <v>0</v>
      </c>
      <c r="BD70" s="353">
        <f t="shared" si="6"/>
        <v>-1</v>
      </c>
      <c r="BE70" s="309"/>
      <c r="BF70"/>
      <c r="BG70" s="308"/>
    </row>
    <row r="71" spans="1:63" ht="15" customHeight="1">
      <c r="A71" s="320" t="s">
        <v>371</v>
      </c>
      <c r="B71" s="356"/>
      <c r="C71" s="356"/>
      <c r="D71" s="356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6"/>
      <c r="P71" s="356"/>
      <c r="Q71" s="356"/>
      <c r="R71" s="356"/>
      <c r="S71" s="356"/>
      <c r="T71" s="356"/>
      <c r="U71" s="356"/>
      <c r="V71" s="356"/>
      <c r="W71" s="356"/>
      <c r="X71" s="356"/>
      <c r="Y71" s="356"/>
      <c r="Z71" s="356"/>
      <c r="AA71" s="356"/>
      <c r="AB71" s="356"/>
      <c r="AC71" s="356"/>
      <c r="AD71" s="356"/>
      <c r="AE71" s="356"/>
      <c r="AF71" s="356"/>
      <c r="AG71" s="356"/>
      <c r="AH71" s="356"/>
      <c r="AI71" s="356"/>
      <c r="AJ71" s="356"/>
      <c r="AK71" s="356"/>
      <c r="AL71" s="356"/>
      <c r="AM71" s="356"/>
      <c r="AN71" s="356"/>
      <c r="AO71" s="356"/>
      <c r="AP71" s="356"/>
      <c r="AQ71" s="356"/>
      <c r="AR71" s="356"/>
      <c r="AS71" s="356"/>
      <c r="AT71" s="328"/>
      <c r="AU71" s="328"/>
      <c r="AV71" s="328"/>
      <c r="AW71" s="328"/>
      <c r="AX71" s="328"/>
      <c r="AY71" s="321"/>
      <c r="AZ71" s="328"/>
      <c r="BA71" s="329"/>
      <c r="BB71" s="321"/>
      <c r="BC71" s="328"/>
      <c r="BD71" s="329"/>
    </row>
    <row r="72" spans="1:63" ht="15" customHeight="1">
      <c r="A72" s="324" t="s">
        <v>352</v>
      </c>
      <c r="B72" s="344">
        <v>313</v>
      </c>
      <c r="C72" s="344">
        <v>278</v>
      </c>
      <c r="D72" s="344">
        <v>327</v>
      </c>
      <c r="E72" s="344">
        <v>291</v>
      </c>
      <c r="F72" s="344">
        <v>377</v>
      </c>
      <c r="G72" s="344">
        <v>450</v>
      </c>
      <c r="H72" s="344">
        <v>320.3</v>
      </c>
      <c r="I72" s="344">
        <v>255.4</v>
      </c>
      <c r="J72" s="344">
        <v>245</v>
      </c>
      <c r="K72" s="344">
        <v>247.9</v>
      </c>
      <c r="L72" s="344">
        <v>338</v>
      </c>
      <c r="M72" s="344">
        <v>370</v>
      </c>
      <c r="N72" s="344">
        <v>233</v>
      </c>
      <c r="O72" s="344">
        <v>167</v>
      </c>
      <c r="P72" s="344">
        <v>262</v>
      </c>
      <c r="Q72" s="344">
        <v>347.1</v>
      </c>
      <c r="R72" s="344">
        <v>399.2</v>
      </c>
      <c r="S72" s="344">
        <v>381</v>
      </c>
      <c r="T72" s="344">
        <v>282</v>
      </c>
      <c r="U72" s="344">
        <v>353.6</v>
      </c>
      <c r="V72" s="344">
        <v>371.3</v>
      </c>
      <c r="W72" s="344">
        <v>297</v>
      </c>
      <c r="X72" s="344">
        <v>340.1</v>
      </c>
      <c r="Y72" s="344">
        <v>350.3</v>
      </c>
      <c r="Z72" s="344">
        <v>425</v>
      </c>
      <c r="AA72" s="344">
        <v>350</v>
      </c>
      <c r="AB72" s="344">
        <v>479.5</v>
      </c>
      <c r="AC72" s="344">
        <v>436.3</v>
      </c>
      <c r="AD72" s="344">
        <v>415.9</v>
      </c>
      <c r="AE72" s="344">
        <v>395.1</v>
      </c>
      <c r="AF72" s="344">
        <v>446.5</v>
      </c>
      <c r="AG72" s="344">
        <v>477.6</v>
      </c>
      <c r="AH72" s="344">
        <v>512.9</v>
      </c>
      <c r="AI72" s="344">
        <v>451.9</v>
      </c>
      <c r="AJ72" s="344">
        <v>425</v>
      </c>
      <c r="AK72" s="344">
        <v>428.8</v>
      </c>
      <c r="AL72" s="344">
        <v>387</v>
      </c>
      <c r="AM72" s="344">
        <v>544.5</v>
      </c>
      <c r="AN72" s="344">
        <v>511.8</v>
      </c>
      <c r="AO72" s="344">
        <v>371.4</v>
      </c>
      <c r="AP72" s="344">
        <v>381.8</v>
      </c>
      <c r="AQ72" s="344">
        <v>380.3</v>
      </c>
      <c r="AR72" s="344">
        <v>361.1</v>
      </c>
      <c r="AS72" s="344">
        <v>361.5</v>
      </c>
      <c r="AT72" s="344">
        <v>432</v>
      </c>
      <c r="AU72" s="344">
        <v>439.8</v>
      </c>
      <c r="AV72" s="344">
        <v>499.2</v>
      </c>
      <c r="AW72" s="344">
        <v>401.9</v>
      </c>
      <c r="AX72" s="344">
        <v>352.1</v>
      </c>
      <c r="AY72" s="369">
        <v>353.2</v>
      </c>
      <c r="AZ72" s="366">
        <v>353.2</v>
      </c>
      <c r="BA72" s="366">
        <f>AZ72-AY72</f>
        <v>0</v>
      </c>
      <c r="BB72" s="367">
        <f>AY72-AX72</f>
        <v>1.0999999999999659</v>
      </c>
      <c r="BC72" s="368">
        <f>AZ72-AX72</f>
        <v>1.0999999999999659</v>
      </c>
      <c r="BD72" s="353">
        <f t="shared" si="6"/>
        <v>-5.2555043468190954E-3</v>
      </c>
      <c r="BF72" s="319" t="b">
        <v>0</v>
      </c>
      <c r="BH72" s="311"/>
      <c r="BI72" s="311"/>
      <c r="BJ72" s="311"/>
      <c r="BK72" s="311"/>
    </row>
    <row r="73" spans="1:63" ht="15" customHeight="1">
      <c r="A73" s="324" t="s">
        <v>353</v>
      </c>
      <c r="B73" s="345">
        <v>674.44089456869006</v>
      </c>
      <c r="C73" s="345">
        <v>802.15827338129498</v>
      </c>
      <c r="D73" s="345">
        <v>920.48929663608556</v>
      </c>
      <c r="E73" s="345">
        <v>839.86254295532649</v>
      </c>
      <c r="F73" s="345">
        <v>206.89655172413794</v>
      </c>
      <c r="G73" s="345">
        <v>282.22222222222223</v>
      </c>
      <c r="H73" s="345">
        <v>281.92319700280984</v>
      </c>
      <c r="I73" s="345">
        <v>30.148786217697729</v>
      </c>
      <c r="J73" s="345">
        <v>1000</v>
      </c>
      <c r="K73" s="345">
        <v>749.89915288422753</v>
      </c>
      <c r="L73" s="345">
        <v>126.03550295857987</v>
      </c>
      <c r="M73" s="345">
        <v>36.216216216216218</v>
      </c>
      <c r="N73" s="345">
        <v>369.9570815450644</v>
      </c>
      <c r="O73" s="345">
        <v>389.82035928143711</v>
      </c>
      <c r="P73" s="345">
        <v>1260</v>
      </c>
      <c r="Q73" s="345">
        <v>1250</v>
      </c>
      <c r="R73" s="345">
        <v>675</v>
      </c>
      <c r="S73" s="345">
        <v>1400</v>
      </c>
      <c r="T73" s="345">
        <v>2060</v>
      </c>
      <c r="U73" s="345">
        <v>1270</v>
      </c>
      <c r="V73" s="345">
        <v>2600</v>
      </c>
      <c r="W73" s="345">
        <v>2100</v>
      </c>
      <c r="X73" s="345">
        <v>2220</v>
      </c>
      <c r="Y73" s="345">
        <v>3000</v>
      </c>
      <c r="Z73" s="345">
        <v>2100</v>
      </c>
      <c r="AA73" s="345">
        <v>1287</v>
      </c>
      <c r="AB73" s="345">
        <v>2388</v>
      </c>
      <c r="AC73" s="345">
        <v>3295</v>
      </c>
      <c r="AD73" s="345">
        <v>2930</v>
      </c>
      <c r="AE73" s="345">
        <v>1738</v>
      </c>
      <c r="AF73" s="345">
        <v>2722</v>
      </c>
      <c r="AG73" s="345">
        <v>3070</v>
      </c>
      <c r="AH73" s="345">
        <v>3009</v>
      </c>
      <c r="AI73" s="345">
        <v>3584</v>
      </c>
      <c r="AJ73" s="345">
        <v>4475</v>
      </c>
      <c r="AK73" s="345">
        <v>4557</v>
      </c>
      <c r="AL73" s="345">
        <v>3616</v>
      </c>
      <c r="AM73" s="345">
        <v>4550</v>
      </c>
      <c r="AN73" s="345">
        <v>4525</v>
      </c>
      <c r="AO73" s="345">
        <v>3312</v>
      </c>
      <c r="AP73" s="345">
        <v>3864</v>
      </c>
      <c r="AQ73" s="345">
        <v>5503</v>
      </c>
      <c r="AR73" s="345">
        <v>3762</v>
      </c>
      <c r="AS73" s="345">
        <v>4940</v>
      </c>
      <c r="AT73" s="345">
        <v>4400</v>
      </c>
      <c r="AU73" s="345">
        <v>4750</v>
      </c>
      <c r="AV73" s="345">
        <v>5705</v>
      </c>
      <c r="AW73" s="345">
        <v>3987</v>
      </c>
      <c r="AX73" s="345">
        <v>3639</v>
      </c>
      <c r="AY73" s="346">
        <v>4643</v>
      </c>
      <c r="AZ73" s="347">
        <v>4643</v>
      </c>
      <c r="BA73" s="347">
        <f>AZ73-AY73</f>
        <v>0</v>
      </c>
      <c r="BB73" s="351">
        <f>AY73-AX73</f>
        <v>1004</v>
      </c>
      <c r="BC73" s="352">
        <f>AZ73-AX73</f>
        <v>1004</v>
      </c>
      <c r="BD73" s="353">
        <f t="shared" ref="BD73:BD134" si="83">IFERROR((AX73/AS73)^(1/5)-1,0)</f>
        <v>-5.9300265756865866E-2</v>
      </c>
    </row>
    <row r="74" spans="1:63" ht="15" customHeight="1" thickBot="1">
      <c r="A74" s="324" t="s">
        <v>354</v>
      </c>
      <c r="B74" s="344">
        <f>B73*B72/1000</f>
        <v>211.1</v>
      </c>
      <c r="C74" s="344">
        <v>255</v>
      </c>
      <c r="D74" s="344">
        <v>224</v>
      </c>
      <c r="E74" s="344">
        <v>266</v>
      </c>
      <c r="F74" s="344">
        <v>177</v>
      </c>
      <c r="G74" s="344">
        <v>303</v>
      </c>
      <c r="H74" s="344">
        <v>95</v>
      </c>
      <c r="I74" s="344">
        <v>328</v>
      </c>
      <c r="J74" s="344">
        <v>126</v>
      </c>
      <c r="K74" s="344">
        <v>290</v>
      </c>
      <c r="L74" s="344">
        <v>116</v>
      </c>
      <c r="M74" s="344">
        <v>345</v>
      </c>
      <c r="N74" s="344">
        <v>342</v>
      </c>
      <c r="O74" s="344">
        <v>173</v>
      </c>
      <c r="P74" s="344">
        <v>354.7</v>
      </c>
      <c r="Q74" s="344">
        <v>237.2</v>
      </c>
      <c r="R74" s="344">
        <v>197.4</v>
      </c>
      <c r="S74" s="344">
        <v>413.1</v>
      </c>
      <c r="T74" s="344">
        <v>422.5</v>
      </c>
      <c r="U74" s="344">
        <v>455</v>
      </c>
      <c r="V74" s="344">
        <v>362.7</v>
      </c>
      <c r="W74" s="344">
        <v>209.9</v>
      </c>
      <c r="X74" s="344">
        <v>294.10000000000002</v>
      </c>
      <c r="Y74" s="344">
        <v>313.60000000000002</v>
      </c>
      <c r="Z74" s="344">
        <v>310</v>
      </c>
      <c r="AA74" s="344">
        <v>324.5</v>
      </c>
      <c r="AB74" s="344">
        <v>414.2</v>
      </c>
      <c r="AC74" s="344">
        <v>430.4</v>
      </c>
      <c r="AD74" s="344">
        <v>405.1</v>
      </c>
      <c r="AE74" s="344">
        <v>424.4</v>
      </c>
      <c r="AF74" s="344">
        <v>447.1</v>
      </c>
      <c r="AG74" s="344">
        <v>490.4</v>
      </c>
      <c r="AH74" s="344">
        <v>504.1</v>
      </c>
      <c r="AI74" s="344">
        <v>562.1</v>
      </c>
      <c r="AJ74" s="344">
        <v>879.7</v>
      </c>
      <c r="AK74" s="344">
        <v>731.6</v>
      </c>
      <c r="AL74" s="344">
        <v>1309.4000000000001</v>
      </c>
      <c r="AM74" s="344">
        <v>1725.9</v>
      </c>
      <c r="AN74" s="344">
        <v>1469.2</v>
      </c>
      <c r="AO74" s="344">
        <v>874.4</v>
      </c>
      <c r="AP74" s="344">
        <v>1951.9</v>
      </c>
      <c r="AQ74" s="344">
        <v>1884</v>
      </c>
      <c r="AR74" s="344">
        <v>1792.5</v>
      </c>
      <c r="AS74" s="344">
        <v>2196.3000000000002</v>
      </c>
      <c r="AT74" s="344">
        <f t="shared" ref="AT74" si="84">AT73*AT72/1000</f>
        <v>1900.8</v>
      </c>
      <c r="AU74" s="344">
        <f t="shared" ref="AU74" si="85">AU73*AU72/1000</f>
        <v>2089.0500000000002</v>
      </c>
      <c r="AV74" s="344">
        <f t="shared" ref="AV74" si="86">AV73*AV72/1000</f>
        <v>2847.9360000000001</v>
      </c>
      <c r="AW74" s="344">
        <f t="shared" ref="AW74" si="87">AW73*AW72/1000</f>
        <v>1602.3752999999999</v>
      </c>
      <c r="AX74" s="344">
        <f t="shared" ref="AX74" si="88">AX73*AX72/1000</f>
        <v>1281.2919000000002</v>
      </c>
      <c r="AY74" s="365">
        <f t="shared" ref="AY74" si="89">AY73*AY72/1000</f>
        <v>1639.9075999999998</v>
      </c>
      <c r="AZ74" s="366">
        <f>AZ72*AZ73/1000</f>
        <v>1639.9075999999998</v>
      </c>
      <c r="BA74" s="366">
        <f>AZ74-AY74</f>
        <v>0</v>
      </c>
      <c r="BB74" s="367">
        <f>AY74-AX74</f>
        <v>358.61569999999961</v>
      </c>
      <c r="BC74" s="368">
        <f>AZ74-AX74</f>
        <v>358.61569999999961</v>
      </c>
      <c r="BD74" s="353">
        <f t="shared" si="83"/>
        <v>-0.10217584838078531</v>
      </c>
      <c r="BH74" s="311"/>
      <c r="BI74" s="311"/>
      <c r="BJ74" s="311"/>
      <c r="BK74" s="311"/>
    </row>
    <row r="75" spans="1:63" s="311" customFormat="1" ht="15" customHeight="1" thickBot="1">
      <c r="A75" s="335" t="s">
        <v>372</v>
      </c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358"/>
      <c r="AB75" s="358"/>
      <c r="AC75" s="358"/>
      <c r="AD75" s="358"/>
      <c r="AE75" s="358"/>
      <c r="AF75" s="358"/>
      <c r="AG75" s="358"/>
      <c r="AH75" s="358"/>
      <c r="AI75" s="358"/>
      <c r="AJ75" s="358"/>
      <c r="AK75" s="358"/>
      <c r="AL75" s="358"/>
      <c r="AM75" s="358"/>
      <c r="AN75" s="358"/>
      <c r="AO75" s="358"/>
      <c r="AP75" s="358"/>
      <c r="AQ75" s="358"/>
      <c r="AR75" s="358"/>
      <c r="AS75" s="358"/>
      <c r="AT75" s="333"/>
      <c r="AU75" s="333"/>
      <c r="AV75" s="333"/>
      <c r="AW75" s="333"/>
      <c r="AX75" s="333"/>
      <c r="AY75" s="332"/>
      <c r="AZ75" s="333"/>
      <c r="BA75" s="334"/>
      <c r="BB75" s="332"/>
      <c r="BC75" s="333"/>
      <c r="BD75" s="334"/>
      <c r="BE75" s="309"/>
      <c r="BF75"/>
      <c r="BG75" s="308"/>
      <c r="BH75" s="309"/>
      <c r="BI75" s="309"/>
      <c r="BJ75" s="309"/>
      <c r="BK75" s="309"/>
    </row>
    <row r="76" spans="1:63" s="311" customFormat="1" ht="15" customHeight="1">
      <c r="A76" s="324" t="s">
        <v>352</v>
      </c>
      <c r="B76" s="344">
        <f>B80+B84+B88+B92</f>
        <v>1112.5999999999999</v>
      </c>
      <c r="C76" s="344">
        <f t="shared" ref="C76:AT76" si="90">C80+C84+C88+C92</f>
        <v>1064</v>
      </c>
      <c r="D76" s="344">
        <f t="shared" si="90"/>
        <v>1029</v>
      </c>
      <c r="E76" s="344">
        <f t="shared" si="90"/>
        <v>1004.7</v>
      </c>
      <c r="F76" s="344">
        <f t="shared" si="90"/>
        <v>1097</v>
      </c>
      <c r="G76" s="344">
        <f t="shared" si="90"/>
        <v>1194.2</v>
      </c>
      <c r="H76" s="344">
        <f t="shared" si="90"/>
        <v>1140.5</v>
      </c>
      <c r="I76" s="344">
        <f t="shared" si="90"/>
        <v>1192.8</v>
      </c>
      <c r="J76" s="344">
        <f t="shared" si="90"/>
        <v>1136.5</v>
      </c>
      <c r="K76" s="344">
        <f t="shared" si="90"/>
        <v>1439.8</v>
      </c>
      <c r="L76" s="344">
        <f t="shared" si="90"/>
        <v>1764.6</v>
      </c>
      <c r="M76" s="344">
        <f t="shared" si="90"/>
        <v>1641.1999999999998</v>
      </c>
      <c r="N76" s="344">
        <f t="shared" si="90"/>
        <v>1678.3</v>
      </c>
      <c r="O76" s="344">
        <f t="shared" si="90"/>
        <v>1543.3</v>
      </c>
      <c r="P76" s="344">
        <f t="shared" si="90"/>
        <v>1519</v>
      </c>
      <c r="Q76" s="344">
        <f t="shared" si="90"/>
        <v>1413.3</v>
      </c>
      <c r="R76" s="344">
        <f t="shared" si="90"/>
        <v>1165.3</v>
      </c>
      <c r="S76" s="344">
        <f t="shared" si="90"/>
        <v>1310.9</v>
      </c>
      <c r="T76" s="344">
        <f t="shared" si="90"/>
        <v>1367.6</v>
      </c>
      <c r="U76" s="344">
        <f t="shared" si="90"/>
        <v>1402.3</v>
      </c>
      <c r="V76" s="344">
        <f t="shared" si="90"/>
        <v>1357.9</v>
      </c>
      <c r="W76" s="344">
        <f t="shared" si="90"/>
        <v>781.4</v>
      </c>
      <c r="X76" s="344">
        <f t="shared" si="90"/>
        <v>1045.4000000000001</v>
      </c>
      <c r="Y76" s="344">
        <f t="shared" si="90"/>
        <v>965.59999999999991</v>
      </c>
      <c r="Z76" s="344">
        <f t="shared" si="90"/>
        <v>1206</v>
      </c>
      <c r="AA76" s="344">
        <f t="shared" si="90"/>
        <v>803.2</v>
      </c>
      <c r="AB76" s="344">
        <f t="shared" si="90"/>
        <v>796.6</v>
      </c>
      <c r="AC76" s="344">
        <f t="shared" si="90"/>
        <v>757.59999999999991</v>
      </c>
      <c r="AD76" s="344">
        <f t="shared" si="90"/>
        <v>669.9</v>
      </c>
      <c r="AE76" s="344">
        <f t="shared" si="90"/>
        <v>731.69999999999993</v>
      </c>
      <c r="AF76" s="344">
        <f t="shared" si="90"/>
        <v>845.8</v>
      </c>
      <c r="AG76" s="344">
        <f t="shared" si="90"/>
        <v>948.80000000000007</v>
      </c>
      <c r="AH76" s="344">
        <f t="shared" si="90"/>
        <v>788.80000000000007</v>
      </c>
      <c r="AI76" s="344">
        <f t="shared" si="90"/>
        <v>546</v>
      </c>
      <c r="AJ76" s="344">
        <f t="shared" si="90"/>
        <v>530.20000000000005</v>
      </c>
      <c r="AK76" s="344">
        <f t="shared" si="90"/>
        <v>743.6</v>
      </c>
      <c r="AL76" s="344">
        <f t="shared" si="90"/>
        <v>535.79999999999995</v>
      </c>
      <c r="AM76" s="344">
        <f t="shared" si="90"/>
        <v>422.2</v>
      </c>
      <c r="AN76" s="344">
        <f t="shared" si="90"/>
        <v>361.59999999999997</v>
      </c>
      <c r="AO76" s="344">
        <f t="shared" si="90"/>
        <v>320.3</v>
      </c>
      <c r="AP76" s="344">
        <f t="shared" si="90"/>
        <v>350</v>
      </c>
      <c r="AQ76" s="344">
        <f t="shared" si="90"/>
        <v>284.7</v>
      </c>
      <c r="AR76" s="344">
        <f t="shared" si="90"/>
        <v>345</v>
      </c>
      <c r="AS76" s="344">
        <f t="shared" si="90"/>
        <v>357.3</v>
      </c>
      <c r="AT76" s="344">
        <f t="shared" si="90"/>
        <v>267.8</v>
      </c>
      <c r="AU76" s="344">
        <f t="shared" ref="AU76:AY76" si="91">AU80+AU84+AU88+AU92</f>
        <v>276.60000000000002</v>
      </c>
      <c r="AV76" s="344">
        <f t="shared" si="91"/>
        <v>260.89999999999998</v>
      </c>
      <c r="AW76" s="344">
        <f t="shared" si="91"/>
        <v>249.1</v>
      </c>
      <c r="AX76" s="344">
        <f t="shared" si="91"/>
        <v>247.4</v>
      </c>
      <c r="AY76" s="369">
        <f t="shared" si="91"/>
        <v>252.8</v>
      </c>
      <c r="AZ76" s="366">
        <f>AZ80+AZ84+AZ88+AZ92</f>
        <v>252.8</v>
      </c>
      <c r="BA76" s="366">
        <f>AZ76-AY76</f>
        <v>0</v>
      </c>
      <c r="BB76" s="367">
        <f>AY76-AX76</f>
        <v>5.4000000000000057</v>
      </c>
      <c r="BC76" s="368">
        <f>AZ76-AX76</f>
        <v>5.4000000000000057</v>
      </c>
      <c r="BD76" s="353">
        <f t="shared" si="83"/>
        <v>-7.0876732888530913E-2</v>
      </c>
      <c r="BE76" s="309"/>
      <c r="BF76" s="319" t="b">
        <v>0</v>
      </c>
      <c r="BG76" s="308"/>
    </row>
    <row r="77" spans="1:63" s="311" customFormat="1" ht="15" customHeight="1">
      <c r="A77" s="318" t="s">
        <v>353</v>
      </c>
      <c r="B77" s="345">
        <f>B78/B76*1000</f>
        <v>1745.0116843429805</v>
      </c>
      <c r="C77" s="345">
        <f t="shared" ref="C77:AT77" si="92">C78/C76*1000</f>
        <v>958.64661654135341</v>
      </c>
      <c r="D77" s="345">
        <f t="shared" si="92"/>
        <v>870.74829931972783</v>
      </c>
      <c r="E77" s="345">
        <f t="shared" si="92"/>
        <v>1059.0225938090971</v>
      </c>
      <c r="F77" s="345">
        <f t="shared" si="92"/>
        <v>645.39653600729264</v>
      </c>
      <c r="G77" s="345">
        <f t="shared" si="92"/>
        <v>1014.9053759839221</v>
      </c>
      <c r="H77" s="345">
        <f t="shared" si="92"/>
        <v>333.18719859710654</v>
      </c>
      <c r="I77" s="345">
        <f t="shared" si="92"/>
        <v>1099.9329309188463</v>
      </c>
      <c r="J77" s="345">
        <f t="shared" si="92"/>
        <v>443.46678398592172</v>
      </c>
      <c r="K77" s="345">
        <f t="shared" si="92"/>
        <v>805.66745381302962</v>
      </c>
      <c r="L77" s="345">
        <f t="shared" si="92"/>
        <v>262.94911027995016</v>
      </c>
      <c r="M77" s="345">
        <f t="shared" si="92"/>
        <v>840.8481598830125</v>
      </c>
      <c r="N77" s="345">
        <f t="shared" si="92"/>
        <v>815.11052851099328</v>
      </c>
      <c r="O77" s="345">
        <f t="shared" si="92"/>
        <v>448.38981403486036</v>
      </c>
      <c r="P77" s="345">
        <f t="shared" si="92"/>
        <v>934.03554970375251</v>
      </c>
      <c r="Q77" s="345">
        <f t="shared" si="92"/>
        <v>671.33658812707847</v>
      </c>
      <c r="R77" s="345">
        <f t="shared" si="92"/>
        <v>677.593752681713</v>
      </c>
      <c r="S77" s="345">
        <f t="shared" si="92"/>
        <v>1260.5080479060186</v>
      </c>
      <c r="T77" s="345">
        <f t="shared" si="92"/>
        <v>1235.7414448669201</v>
      </c>
      <c r="U77" s="345">
        <f t="shared" si="92"/>
        <v>1297.8677886329601</v>
      </c>
      <c r="V77" s="345">
        <f t="shared" si="92"/>
        <v>1068.4144635098312</v>
      </c>
      <c r="W77" s="345">
        <f t="shared" si="92"/>
        <v>1074.4816995136935</v>
      </c>
      <c r="X77" s="345">
        <f t="shared" si="92"/>
        <v>1125.3108857853454</v>
      </c>
      <c r="Y77" s="345">
        <f t="shared" si="92"/>
        <v>1299.0886495443251</v>
      </c>
      <c r="Z77" s="345">
        <f t="shared" si="92"/>
        <v>1028.1923714759535</v>
      </c>
      <c r="AA77" s="345">
        <f t="shared" si="92"/>
        <v>1616.0358565737051</v>
      </c>
      <c r="AB77" s="345">
        <f t="shared" si="92"/>
        <v>2079.8393170976647</v>
      </c>
      <c r="AC77" s="345">
        <f t="shared" si="92"/>
        <v>2272.4392819429781</v>
      </c>
      <c r="AD77" s="345">
        <f t="shared" si="92"/>
        <v>2418.8684878340055</v>
      </c>
      <c r="AE77" s="345">
        <f t="shared" si="92"/>
        <v>2320.0765340986745</v>
      </c>
      <c r="AF77" s="345">
        <f t="shared" si="92"/>
        <v>2114.4478600141879</v>
      </c>
      <c r="AG77" s="345">
        <f t="shared" si="92"/>
        <v>2067.4536256323772</v>
      </c>
      <c r="AH77" s="345">
        <f t="shared" si="92"/>
        <v>2556.2880324543607</v>
      </c>
      <c r="AI77" s="345">
        <f t="shared" si="92"/>
        <v>4117.9487179487187</v>
      </c>
      <c r="AJ77" s="345">
        <f t="shared" si="92"/>
        <v>6636.7408525084875</v>
      </c>
      <c r="AK77" s="345">
        <f t="shared" si="92"/>
        <v>3935.4491662183968</v>
      </c>
      <c r="AL77" s="345">
        <f t="shared" si="92"/>
        <v>9775.2892870474079</v>
      </c>
      <c r="AM77" s="345">
        <f t="shared" si="92"/>
        <v>16351.492183799148</v>
      </c>
      <c r="AN77" s="345">
        <f t="shared" si="92"/>
        <v>16252.212389380531</v>
      </c>
      <c r="AO77" s="345">
        <f t="shared" si="92"/>
        <v>10919.762722447704</v>
      </c>
      <c r="AP77" s="345">
        <f t="shared" si="92"/>
        <v>22307.428571428572</v>
      </c>
      <c r="AQ77" s="345">
        <f t="shared" si="92"/>
        <v>26469.968387776607</v>
      </c>
      <c r="AR77" s="345">
        <f t="shared" si="92"/>
        <v>20782.608695652176</v>
      </c>
      <c r="AS77" s="345">
        <f t="shared" si="92"/>
        <v>24587.741393786735</v>
      </c>
      <c r="AT77" s="345">
        <f t="shared" si="92"/>
        <v>8997.3876026885737</v>
      </c>
      <c r="AU77" s="345">
        <f t="shared" ref="AU77:AY77" si="93">AU78/AU76*1000</f>
        <v>9797.5213304410718</v>
      </c>
      <c r="AV77" s="345">
        <f t="shared" si="93"/>
        <v>9207.7293982368719</v>
      </c>
      <c r="AW77" s="345">
        <f t="shared" si="93"/>
        <v>9133.2171818546758</v>
      </c>
      <c r="AX77" s="345">
        <f t="shared" si="93"/>
        <v>9790.504850444624</v>
      </c>
      <c r="AY77" s="346">
        <f t="shared" si="93"/>
        <v>9422.5803006329097</v>
      </c>
      <c r="AZ77" s="347">
        <f>AZ78/AZ76*1000</f>
        <v>9328.722310126579</v>
      </c>
      <c r="BA77" s="347">
        <f>AZ77-AY77</f>
        <v>-93.85799050633068</v>
      </c>
      <c r="BB77" s="351">
        <f>AY77-AX77</f>
        <v>-367.92454981171431</v>
      </c>
      <c r="BC77" s="352">
        <f>AZ77-AX77</f>
        <v>-461.78254031804499</v>
      </c>
      <c r="BD77" s="353">
        <f t="shared" si="83"/>
        <v>-0.16820311423006251</v>
      </c>
      <c r="BE77" s="309"/>
      <c r="BF77"/>
      <c r="BG77" s="308"/>
      <c r="BH77" s="309"/>
      <c r="BI77" s="309"/>
      <c r="BJ77" s="309"/>
      <c r="BK77" s="309"/>
    </row>
    <row r="78" spans="1:63" s="311" customFormat="1" ht="15" customHeight="1">
      <c r="A78" s="318" t="s">
        <v>354</v>
      </c>
      <c r="B78" s="344">
        <f>B82+B86+B90+B94</f>
        <v>1941.5</v>
      </c>
      <c r="C78" s="344">
        <f t="shared" ref="C78:AT78" si="94">C82+C86+C90+C94</f>
        <v>1020</v>
      </c>
      <c r="D78" s="344">
        <f t="shared" si="94"/>
        <v>896</v>
      </c>
      <c r="E78" s="344">
        <f t="shared" si="94"/>
        <v>1064</v>
      </c>
      <c r="F78" s="344">
        <f t="shared" si="94"/>
        <v>708</v>
      </c>
      <c r="G78" s="344">
        <f t="shared" si="94"/>
        <v>1212</v>
      </c>
      <c r="H78" s="344">
        <f t="shared" si="94"/>
        <v>380</v>
      </c>
      <c r="I78" s="344">
        <f t="shared" si="94"/>
        <v>1312</v>
      </c>
      <c r="J78" s="344">
        <f t="shared" si="94"/>
        <v>504</v>
      </c>
      <c r="K78" s="344">
        <f t="shared" si="94"/>
        <v>1160</v>
      </c>
      <c r="L78" s="344">
        <f t="shared" si="94"/>
        <v>464</v>
      </c>
      <c r="M78" s="344">
        <f t="shared" si="94"/>
        <v>1380</v>
      </c>
      <c r="N78" s="344">
        <f t="shared" si="94"/>
        <v>1368</v>
      </c>
      <c r="O78" s="344">
        <f t="shared" si="94"/>
        <v>692</v>
      </c>
      <c r="P78" s="344">
        <f t="shared" si="94"/>
        <v>1418.8</v>
      </c>
      <c r="Q78" s="344">
        <f t="shared" si="94"/>
        <v>948.8</v>
      </c>
      <c r="R78" s="344">
        <f t="shared" si="94"/>
        <v>789.6</v>
      </c>
      <c r="S78" s="344">
        <f t="shared" si="94"/>
        <v>1652.4</v>
      </c>
      <c r="T78" s="344">
        <f t="shared" si="94"/>
        <v>1690</v>
      </c>
      <c r="U78" s="344">
        <f t="shared" si="94"/>
        <v>1820</v>
      </c>
      <c r="V78" s="344">
        <f t="shared" si="94"/>
        <v>1450.8</v>
      </c>
      <c r="W78" s="344">
        <f t="shared" si="94"/>
        <v>839.6</v>
      </c>
      <c r="X78" s="344">
        <f t="shared" si="94"/>
        <v>1176.4000000000001</v>
      </c>
      <c r="Y78" s="344">
        <f t="shared" si="94"/>
        <v>1254.4000000000001</v>
      </c>
      <c r="Z78" s="344">
        <f t="shared" si="94"/>
        <v>1240</v>
      </c>
      <c r="AA78" s="344">
        <f t="shared" si="94"/>
        <v>1298</v>
      </c>
      <c r="AB78" s="344">
        <f t="shared" si="94"/>
        <v>1656.8</v>
      </c>
      <c r="AC78" s="344">
        <f t="shared" si="94"/>
        <v>1721.6</v>
      </c>
      <c r="AD78" s="344">
        <f t="shared" si="94"/>
        <v>1620.4</v>
      </c>
      <c r="AE78" s="344">
        <f t="shared" si="94"/>
        <v>1697.6</v>
      </c>
      <c r="AF78" s="344">
        <f t="shared" si="94"/>
        <v>1788.4</v>
      </c>
      <c r="AG78" s="344">
        <f t="shared" si="94"/>
        <v>1961.6</v>
      </c>
      <c r="AH78" s="344">
        <f t="shared" si="94"/>
        <v>2016.4</v>
      </c>
      <c r="AI78" s="344">
        <f t="shared" si="94"/>
        <v>2248.4</v>
      </c>
      <c r="AJ78" s="344">
        <f t="shared" si="94"/>
        <v>3518.8</v>
      </c>
      <c r="AK78" s="344">
        <f t="shared" si="94"/>
        <v>2926.4</v>
      </c>
      <c r="AL78" s="344">
        <f t="shared" si="94"/>
        <v>5237.6000000000004</v>
      </c>
      <c r="AM78" s="344">
        <f t="shared" si="94"/>
        <v>6903.6</v>
      </c>
      <c r="AN78" s="344">
        <f t="shared" si="94"/>
        <v>5876.8</v>
      </c>
      <c r="AO78" s="344">
        <f t="shared" si="94"/>
        <v>3497.6</v>
      </c>
      <c r="AP78" s="344">
        <f t="shared" si="94"/>
        <v>7807.6</v>
      </c>
      <c r="AQ78" s="344">
        <f t="shared" si="94"/>
        <v>7536</v>
      </c>
      <c r="AR78" s="344">
        <f t="shared" si="94"/>
        <v>7170</v>
      </c>
      <c r="AS78" s="344">
        <f t="shared" si="94"/>
        <v>8785.2000000000007</v>
      </c>
      <c r="AT78" s="344">
        <f t="shared" si="94"/>
        <v>2409.5004000000004</v>
      </c>
      <c r="AU78" s="344">
        <f t="shared" ref="AU78:AY78" si="95">AU82+AU86+AU90+AU94</f>
        <v>2709.9944000000005</v>
      </c>
      <c r="AV78" s="344">
        <f t="shared" si="95"/>
        <v>2402.2965999999997</v>
      </c>
      <c r="AW78" s="344">
        <f t="shared" si="95"/>
        <v>2275.0843999999997</v>
      </c>
      <c r="AX78" s="344">
        <f t="shared" si="95"/>
        <v>2422.1709000000001</v>
      </c>
      <c r="AY78" s="365">
        <f t="shared" si="95"/>
        <v>2382.0282999999999</v>
      </c>
      <c r="AZ78" s="366">
        <f>AZ82+AZ86+AZ90+AZ94</f>
        <v>2358.3009999999995</v>
      </c>
      <c r="BA78" s="366">
        <f>AZ78-AY78</f>
        <v>-23.727300000000469</v>
      </c>
      <c r="BB78" s="367">
        <f>AY78-AX78</f>
        <v>-40.14260000000013</v>
      </c>
      <c r="BC78" s="368">
        <f>AZ78-AX78</f>
        <v>-63.869900000000598</v>
      </c>
      <c r="BD78" s="353">
        <f t="shared" si="83"/>
        <v>-0.2271581599202902</v>
      </c>
      <c r="BE78" s="309"/>
      <c r="BF78"/>
      <c r="BG78" s="308"/>
    </row>
    <row r="79" spans="1:63" ht="15" customHeight="1">
      <c r="A79" s="320" t="s">
        <v>373</v>
      </c>
      <c r="B79" s="356"/>
      <c r="C79" s="356"/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356"/>
      <c r="AB79" s="356"/>
      <c r="AC79" s="356"/>
      <c r="AD79" s="356"/>
      <c r="AE79" s="356"/>
      <c r="AF79" s="356"/>
      <c r="AG79" s="356"/>
      <c r="AH79" s="356"/>
      <c r="AI79" s="356"/>
      <c r="AJ79" s="356"/>
      <c r="AK79" s="356"/>
      <c r="AL79" s="356"/>
      <c r="AM79" s="356"/>
      <c r="AN79" s="356"/>
      <c r="AO79" s="356"/>
      <c r="AP79" s="356"/>
      <c r="AQ79" s="356"/>
      <c r="AR79" s="356"/>
      <c r="AS79" s="356"/>
      <c r="AT79" s="328"/>
      <c r="AU79" s="328"/>
      <c r="AV79" s="328"/>
      <c r="AW79" s="328"/>
      <c r="AX79" s="328"/>
      <c r="AY79" s="321"/>
      <c r="AZ79" s="328"/>
      <c r="BA79" s="329"/>
      <c r="BB79" s="321"/>
      <c r="BC79" s="328"/>
      <c r="BD79" s="329"/>
    </row>
    <row r="80" spans="1:63" ht="15" customHeight="1">
      <c r="A80" s="324" t="s">
        <v>352</v>
      </c>
      <c r="B80" s="344">
        <v>247.3</v>
      </c>
      <c r="C80" s="344">
        <v>179</v>
      </c>
      <c r="D80" s="344">
        <v>76</v>
      </c>
      <c r="E80" s="344">
        <v>86</v>
      </c>
      <c r="F80" s="344">
        <v>110</v>
      </c>
      <c r="G80" s="344">
        <v>158</v>
      </c>
      <c r="H80" s="344">
        <v>197.5</v>
      </c>
      <c r="I80" s="344">
        <v>217.3</v>
      </c>
      <c r="J80" s="344">
        <v>236</v>
      </c>
      <c r="K80" s="344">
        <v>275</v>
      </c>
      <c r="L80" s="344">
        <v>310</v>
      </c>
      <c r="M80" s="344">
        <v>353.4</v>
      </c>
      <c r="N80" s="344">
        <v>352</v>
      </c>
      <c r="O80" s="344">
        <v>320</v>
      </c>
      <c r="P80" s="344">
        <v>290</v>
      </c>
      <c r="Q80" s="344">
        <v>270</v>
      </c>
      <c r="R80" s="344">
        <v>270</v>
      </c>
      <c r="S80" s="344">
        <v>279.7</v>
      </c>
      <c r="T80" s="344">
        <v>270</v>
      </c>
      <c r="U80" s="344">
        <v>310.5</v>
      </c>
      <c r="V80" s="344">
        <v>279.5</v>
      </c>
      <c r="W80" s="344">
        <v>162.1</v>
      </c>
      <c r="X80" s="344">
        <v>191.3</v>
      </c>
      <c r="Y80" s="344">
        <v>191.3</v>
      </c>
      <c r="Z80" s="344">
        <v>220</v>
      </c>
      <c r="AA80" s="344">
        <v>180</v>
      </c>
      <c r="AB80" s="344">
        <v>175.5</v>
      </c>
      <c r="AC80" s="344">
        <v>161.5</v>
      </c>
      <c r="AD80" s="344">
        <v>133.69999999999999</v>
      </c>
      <c r="AE80" s="344">
        <v>135.69999999999999</v>
      </c>
      <c r="AF80" s="344">
        <v>171</v>
      </c>
      <c r="AG80" s="344">
        <v>178.6</v>
      </c>
      <c r="AH80" s="344">
        <v>131.30000000000001</v>
      </c>
      <c r="AI80" s="344">
        <v>85.2</v>
      </c>
      <c r="AJ80" s="344">
        <v>62.1</v>
      </c>
      <c r="AK80" s="344">
        <v>94.5</v>
      </c>
      <c r="AL80" s="344">
        <v>75.599999999999994</v>
      </c>
      <c r="AM80" s="344">
        <v>68</v>
      </c>
      <c r="AN80" s="344">
        <v>63.6</v>
      </c>
      <c r="AO80" s="344">
        <v>31.1</v>
      </c>
      <c r="AP80" s="344">
        <v>33.4</v>
      </c>
      <c r="AQ80" s="344">
        <v>27.2</v>
      </c>
      <c r="AR80" s="344">
        <v>37.299999999999997</v>
      </c>
      <c r="AS80" s="344">
        <v>41.2</v>
      </c>
      <c r="AT80" s="344">
        <v>52.2</v>
      </c>
      <c r="AU80" s="344">
        <v>62.1</v>
      </c>
      <c r="AV80" s="344">
        <v>60.8</v>
      </c>
      <c r="AW80" s="344">
        <v>70.8</v>
      </c>
      <c r="AX80" s="344">
        <v>72.7</v>
      </c>
      <c r="AY80" s="369">
        <v>77.099999999999994</v>
      </c>
      <c r="AZ80" s="366">
        <v>77.099999999999994</v>
      </c>
      <c r="BA80" s="366">
        <f>AZ80-AY80</f>
        <v>0</v>
      </c>
      <c r="BB80" s="367">
        <f>AY80-AX80</f>
        <v>4.3999999999999915</v>
      </c>
      <c r="BC80" s="368">
        <f>AZ80-AX80</f>
        <v>4.3999999999999915</v>
      </c>
      <c r="BD80" s="353">
        <f t="shared" si="83"/>
        <v>0.12028220871775686</v>
      </c>
      <c r="BF80" s="319" t="b">
        <v>0</v>
      </c>
      <c r="BH80" s="311"/>
      <c r="BI80" s="311"/>
      <c r="BJ80" s="311"/>
      <c r="BK80" s="311"/>
    </row>
    <row r="81" spans="1:63" ht="15" customHeight="1">
      <c r="A81" s="324" t="s">
        <v>353</v>
      </c>
      <c r="B81" s="345">
        <v>1558.0266882329154</v>
      </c>
      <c r="C81" s="345">
        <v>1396.6480446927374</v>
      </c>
      <c r="D81" s="345">
        <v>1552.6315789473683</v>
      </c>
      <c r="E81" s="345">
        <v>1658.1395348837209</v>
      </c>
      <c r="F81" s="345">
        <v>1681.818181818182</v>
      </c>
      <c r="G81" s="345">
        <v>1759.493670886076</v>
      </c>
      <c r="H81" s="345">
        <v>1760</v>
      </c>
      <c r="I81" s="345">
        <v>1649.79291302347</v>
      </c>
      <c r="J81" s="345">
        <v>1700</v>
      </c>
      <c r="K81" s="345">
        <v>1900</v>
      </c>
      <c r="L81" s="345">
        <v>2250</v>
      </c>
      <c r="M81" s="345">
        <v>2140.0679117147711</v>
      </c>
      <c r="N81" s="345">
        <v>2350</v>
      </c>
      <c r="O81" s="345">
        <v>2330</v>
      </c>
      <c r="P81" s="345">
        <v>2410</v>
      </c>
      <c r="Q81" s="345">
        <v>2790</v>
      </c>
      <c r="R81" s="345">
        <v>3000</v>
      </c>
      <c r="S81" s="345">
        <v>3100</v>
      </c>
      <c r="T81" s="345">
        <v>3300</v>
      </c>
      <c r="U81" s="345">
        <v>3350</v>
      </c>
      <c r="V81" s="345">
        <v>3700</v>
      </c>
      <c r="W81" s="345">
        <v>3460</v>
      </c>
      <c r="X81" s="345">
        <v>3700</v>
      </c>
      <c r="Y81" s="345">
        <v>3650</v>
      </c>
      <c r="Z81" s="345">
        <v>4050</v>
      </c>
      <c r="AA81" s="345">
        <v>3780</v>
      </c>
      <c r="AB81" s="345">
        <v>4400</v>
      </c>
      <c r="AC81" s="345">
        <v>4200</v>
      </c>
      <c r="AD81" s="345">
        <v>3520</v>
      </c>
      <c r="AE81" s="345">
        <v>3500</v>
      </c>
      <c r="AF81" s="345">
        <v>4625</v>
      </c>
      <c r="AG81" s="345">
        <v>4425.3</v>
      </c>
      <c r="AH81" s="345">
        <v>4042</v>
      </c>
      <c r="AI81" s="345">
        <v>4800</v>
      </c>
      <c r="AJ81" s="345">
        <v>5899</v>
      </c>
      <c r="AK81" s="345">
        <v>6185</v>
      </c>
      <c r="AL81" s="345">
        <v>7079</v>
      </c>
      <c r="AM81" s="345">
        <v>6209</v>
      </c>
      <c r="AN81" s="345">
        <v>7205</v>
      </c>
      <c r="AO81" s="345">
        <v>6412</v>
      </c>
      <c r="AP81" s="345">
        <v>7676</v>
      </c>
      <c r="AQ81" s="345">
        <v>7331</v>
      </c>
      <c r="AR81" s="345">
        <v>7019</v>
      </c>
      <c r="AS81" s="345">
        <v>8389</v>
      </c>
      <c r="AT81" s="345">
        <v>8398</v>
      </c>
      <c r="AU81" s="345">
        <v>8314</v>
      </c>
      <c r="AV81" s="345">
        <v>8378</v>
      </c>
      <c r="AW81" s="345">
        <v>8338</v>
      </c>
      <c r="AX81" s="345">
        <v>8400</v>
      </c>
      <c r="AY81" s="346">
        <v>8342</v>
      </c>
      <c r="AZ81" s="347">
        <v>8259</v>
      </c>
      <c r="BA81" s="347">
        <f>AZ81-AY81</f>
        <v>-83</v>
      </c>
      <c r="BB81" s="351">
        <f>AY81-AX81</f>
        <v>-58</v>
      </c>
      <c r="BC81" s="352">
        <f>AZ81-AX81</f>
        <v>-141</v>
      </c>
      <c r="BD81" s="353">
        <f t="shared" si="83"/>
        <v>2.6211074204129936E-4</v>
      </c>
    </row>
    <row r="82" spans="1:63" s="311" customFormat="1" ht="15" customHeight="1">
      <c r="A82" s="324" t="s">
        <v>354</v>
      </c>
      <c r="B82" s="344">
        <f>B81*B80/1000</f>
        <v>385.3</v>
      </c>
      <c r="C82" s="344">
        <v>255</v>
      </c>
      <c r="D82" s="344">
        <v>224</v>
      </c>
      <c r="E82" s="344">
        <v>266</v>
      </c>
      <c r="F82" s="344">
        <v>177</v>
      </c>
      <c r="G82" s="344">
        <v>303</v>
      </c>
      <c r="H82" s="344">
        <v>95</v>
      </c>
      <c r="I82" s="344">
        <v>328</v>
      </c>
      <c r="J82" s="344">
        <v>126</v>
      </c>
      <c r="K82" s="344">
        <v>290</v>
      </c>
      <c r="L82" s="344">
        <v>116</v>
      </c>
      <c r="M82" s="344">
        <v>345</v>
      </c>
      <c r="N82" s="344">
        <v>342</v>
      </c>
      <c r="O82" s="344">
        <v>173</v>
      </c>
      <c r="P82" s="344">
        <v>354.7</v>
      </c>
      <c r="Q82" s="344">
        <v>237.2</v>
      </c>
      <c r="R82" s="344">
        <v>197.4</v>
      </c>
      <c r="S82" s="344">
        <v>413.1</v>
      </c>
      <c r="T82" s="344">
        <v>422.5</v>
      </c>
      <c r="U82" s="344">
        <v>455</v>
      </c>
      <c r="V82" s="344">
        <v>362.7</v>
      </c>
      <c r="W82" s="344">
        <v>209.9</v>
      </c>
      <c r="X82" s="344">
        <v>294.10000000000002</v>
      </c>
      <c r="Y82" s="344">
        <v>313.60000000000002</v>
      </c>
      <c r="Z82" s="344">
        <v>310</v>
      </c>
      <c r="AA82" s="344">
        <v>324.5</v>
      </c>
      <c r="AB82" s="344">
        <v>414.2</v>
      </c>
      <c r="AC82" s="344">
        <v>430.4</v>
      </c>
      <c r="AD82" s="344">
        <v>405.1</v>
      </c>
      <c r="AE82" s="344">
        <v>424.4</v>
      </c>
      <c r="AF82" s="344">
        <v>447.1</v>
      </c>
      <c r="AG82" s="344">
        <v>490.4</v>
      </c>
      <c r="AH82" s="344">
        <v>504.1</v>
      </c>
      <c r="AI82" s="344">
        <v>562.1</v>
      </c>
      <c r="AJ82" s="344">
        <v>879.7</v>
      </c>
      <c r="AK82" s="344">
        <v>731.6</v>
      </c>
      <c r="AL82" s="344">
        <v>1309.4000000000001</v>
      </c>
      <c r="AM82" s="344">
        <v>1725.9</v>
      </c>
      <c r="AN82" s="344">
        <v>1469.2</v>
      </c>
      <c r="AO82" s="344">
        <v>874.4</v>
      </c>
      <c r="AP82" s="344">
        <v>1951.9</v>
      </c>
      <c r="AQ82" s="344">
        <v>1884</v>
      </c>
      <c r="AR82" s="344">
        <v>1792.5</v>
      </c>
      <c r="AS82" s="344">
        <v>2196.3000000000002</v>
      </c>
      <c r="AT82" s="344">
        <f t="shared" ref="AT82" si="96">AT81*AT80/1000</f>
        <v>438.37560000000002</v>
      </c>
      <c r="AU82" s="344">
        <f t="shared" ref="AU82" si="97">AU81*AU80/1000</f>
        <v>516.29939999999999</v>
      </c>
      <c r="AV82" s="344">
        <f t="shared" ref="AV82" si="98">AV81*AV80/1000</f>
        <v>509.38239999999996</v>
      </c>
      <c r="AW82" s="344">
        <f t="shared" ref="AW82" si="99">AW81*AW80/1000</f>
        <v>590.33040000000005</v>
      </c>
      <c r="AX82" s="344">
        <f t="shared" ref="AX82" si="100">AX81*AX80/1000</f>
        <v>610.67999999999995</v>
      </c>
      <c r="AY82" s="365">
        <f t="shared" ref="AY82" si="101">AY81*AY80/1000</f>
        <v>643.16819999999996</v>
      </c>
      <c r="AZ82" s="366">
        <f>AZ81*AZ80/1000</f>
        <v>636.76889999999992</v>
      </c>
      <c r="BA82" s="366">
        <f>AZ82-AY82</f>
        <v>-6.3993000000000393</v>
      </c>
      <c r="BB82" s="367">
        <f>AY82-AX82</f>
        <v>32.488200000000006</v>
      </c>
      <c r="BC82" s="368">
        <f>AZ82-AX82</f>
        <v>26.088899999999967</v>
      </c>
      <c r="BD82" s="353">
        <f t="shared" si="83"/>
        <v>-0.2258512674892893</v>
      </c>
      <c r="BE82" s="309"/>
      <c r="BF82"/>
      <c r="BG82" s="308"/>
    </row>
    <row r="83" spans="1:63" ht="15" customHeight="1">
      <c r="A83" s="320" t="s">
        <v>374</v>
      </c>
      <c r="B83" s="356"/>
      <c r="C83" s="356"/>
      <c r="D83" s="356"/>
      <c r="E83" s="356"/>
      <c r="F83" s="356"/>
      <c r="G83" s="356"/>
      <c r="H83" s="356"/>
      <c r="I83" s="356"/>
      <c r="J83" s="356"/>
      <c r="K83" s="356"/>
      <c r="L83" s="356"/>
      <c r="M83" s="356"/>
      <c r="N83" s="356"/>
      <c r="O83" s="356"/>
      <c r="P83" s="356"/>
      <c r="Q83" s="356"/>
      <c r="R83" s="356"/>
      <c r="S83" s="356"/>
      <c r="T83" s="356"/>
      <c r="U83" s="356"/>
      <c r="V83" s="356"/>
      <c r="W83" s="356"/>
      <c r="X83" s="356"/>
      <c r="Y83" s="356"/>
      <c r="Z83" s="356"/>
      <c r="AA83" s="356"/>
      <c r="AB83" s="356"/>
      <c r="AC83" s="356"/>
      <c r="AD83" s="356"/>
      <c r="AE83" s="356"/>
      <c r="AF83" s="356"/>
      <c r="AG83" s="356"/>
      <c r="AH83" s="356"/>
      <c r="AI83" s="356"/>
      <c r="AJ83" s="356"/>
      <c r="AK83" s="356"/>
      <c r="AL83" s="356"/>
      <c r="AM83" s="356"/>
      <c r="AN83" s="356"/>
      <c r="AO83" s="356"/>
      <c r="AP83" s="356"/>
      <c r="AQ83" s="356"/>
      <c r="AR83" s="356"/>
      <c r="AS83" s="356"/>
      <c r="AT83" s="328"/>
      <c r="AU83" s="328"/>
      <c r="AV83" s="328"/>
      <c r="AW83" s="328"/>
      <c r="AX83" s="328"/>
      <c r="AY83" s="321"/>
      <c r="AZ83" s="328"/>
      <c r="BA83" s="329"/>
      <c r="BB83" s="321"/>
      <c r="BC83" s="328"/>
      <c r="BD83" s="329"/>
    </row>
    <row r="84" spans="1:63" ht="15" customHeight="1">
      <c r="A84" s="324" t="s">
        <v>352</v>
      </c>
      <c r="B84" s="344">
        <v>0</v>
      </c>
      <c r="C84" s="344">
        <v>0</v>
      </c>
      <c r="D84" s="344">
        <v>101</v>
      </c>
      <c r="E84" s="344">
        <v>108.6</v>
      </c>
      <c r="F84" s="344">
        <v>132</v>
      </c>
      <c r="G84" s="344">
        <v>145</v>
      </c>
      <c r="H84" s="344">
        <v>127.6</v>
      </c>
      <c r="I84" s="344">
        <v>159.5</v>
      </c>
      <c r="J84" s="344">
        <v>159.5</v>
      </c>
      <c r="K84" s="344">
        <v>215.3</v>
      </c>
      <c r="L84" s="344">
        <v>258</v>
      </c>
      <c r="M84" s="344">
        <v>250</v>
      </c>
      <c r="N84" s="344">
        <v>265</v>
      </c>
      <c r="O84" s="344">
        <v>276.5</v>
      </c>
      <c r="P84" s="344">
        <v>315</v>
      </c>
      <c r="Q84" s="344">
        <v>308.7</v>
      </c>
      <c r="R84" s="344">
        <v>230</v>
      </c>
      <c r="S84" s="344">
        <v>239.2</v>
      </c>
      <c r="T84" s="344">
        <v>287</v>
      </c>
      <c r="U84" s="344">
        <v>269.8</v>
      </c>
      <c r="V84" s="344">
        <v>294.10000000000002</v>
      </c>
      <c r="W84" s="344">
        <v>144.1</v>
      </c>
      <c r="X84" s="344">
        <v>221.7</v>
      </c>
      <c r="Y84" s="344">
        <v>140</v>
      </c>
      <c r="Z84" s="344">
        <v>217</v>
      </c>
      <c r="AA84" s="344">
        <v>119.4</v>
      </c>
      <c r="AB84" s="344">
        <v>119.4</v>
      </c>
      <c r="AC84" s="344">
        <v>97.9</v>
      </c>
      <c r="AD84" s="344">
        <v>81.7</v>
      </c>
      <c r="AE84" s="344">
        <v>102.1</v>
      </c>
      <c r="AF84" s="344">
        <v>98</v>
      </c>
      <c r="AG84" s="344">
        <v>98</v>
      </c>
      <c r="AH84" s="344">
        <v>84.7</v>
      </c>
      <c r="AI84" s="344">
        <v>57.5</v>
      </c>
      <c r="AJ84" s="344">
        <v>46</v>
      </c>
      <c r="AK84" s="344">
        <v>68.2</v>
      </c>
      <c r="AL84" s="344">
        <v>48</v>
      </c>
      <c r="AM84" s="344">
        <v>27</v>
      </c>
      <c r="AN84" s="344">
        <v>20.5</v>
      </c>
      <c r="AO84" s="344">
        <v>16</v>
      </c>
      <c r="AP84" s="344">
        <v>28</v>
      </c>
      <c r="AQ84" s="344">
        <v>15.5</v>
      </c>
      <c r="AR84" s="344">
        <v>16</v>
      </c>
      <c r="AS84" s="344">
        <v>15</v>
      </c>
      <c r="AT84" s="344">
        <v>11.7</v>
      </c>
      <c r="AU84" s="344">
        <v>18.8</v>
      </c>
      <c r="AV84" s="344">
        <v>16.8</v>
      </c>
      <c r="AW84" s="344">
        <v>13.8</v>
      </c>
      <c r="AX84" s="344">
        <v>10.199999999999999</v>
      </c>
      <c r="AY84" s="369">
        <v>11.2</v>
      </c>
      <c r="AZ84" s="366">
        <v>11.2</v>
      </c>
      <c r="BA84" s="366">
        <f>AZ84-AY84</f>
        <v>0</v>
      </c>
      <c r="BB84" s="367">
        <f>AY84-AX84</f>
        <v>1</v>
      </c>
      <c r="BC84" s="368">
        <f>AZ84-AX84</f>
        <v>1</v>
      </c>
      <c r="BD84" s="353">
        <f t="shared" si="83"/>
        <v>-7.4232815119162576E-2</v>
      </c>
      <c r="BF84" s="319" t="b">
        <v>0</v>
      </c>
      <c r="BH84" s="311"/>
      <c r="BI84" s="311"/>
      <c r="BJ84" s="311"/>
      <c r="BK84" s="311"/>
    </row>
    <row r="85" spans="1:63" ht="15" customHeight="1">
      <c r="A85" s="324" t="s">
        <v>375</v>
      </c>
      <c r="B85" s="345">
        <v>0</v>
      </c>
      <c r="C85" s="345">
        <v>0</v>
      </c>
      <c r="D85" s="345">
        <v>1742.5742574257426</v>
      </c>
      <c r="E85" s="345">
        <v>1725.5985267034991</v>
      </c>
      <c r="F85" s="345">
        <v>1780.3030303030303</v>
      </c>
      <c r="G85" s="345">
        <v>1765.5172413793102</v>
      </c>
      <c r="H85" s="345">
        <v>2000</v>
      </c>
      <c r="I85" s="345">
        <v>1800</v>
      </c>
      <c r="J85" s="345">
        <v>2000</v>
      </c>
      <c r="K85" s="345">
        <v>1549.9303297724105</v>
      </c>
      <c r="L85" s="345">
        <v>2439.9224806201551</v>
      </c>
      <c r="M85" s="345">
        <v>2630</v>
      </c>
      <c r="N85" s="345">
        <v>2900</v>
      </c>
      <c r="O85" s="345">
        <v>2279.9276672694396</v>
      </c>
      <c r="P85" s="345">
        <v>2800</v>
      </c>
      <c r="Q85" s="345">
        <v>2500</v>
      </c>
      <c r="R85" s="345">
        <v>3100</v>
      </c>
      <c r="S85" s="345">
        <v>3800</v>
      </c>
      <c r="T85" s="345">
        <v>3900</v>
      </c>
      <c r="U85" s="345">
        <v>4350</v>
      </c>
      <c r="V85" s="345">
        <v>4400</v>
      </c>
      <c r="W85" s="345">
        <v>4100</v>
      </c>
      <c r="X85" s="345">
        <v>4500</v>
      </c>
      <c r="Y85" s="345">
        <v>4000</v>
      </c>
      <c r="Z85" s="345">
        <v>5550</v>
      </c>
      <c r="AA85" s="345">
        <v>5340</v>
      </c>
      <c r="AB85" s="345">
        <v>5700</v>
      </c>
      <c r="AC85" s="345">
        <v>5500</v>
      </c>
      <c r="AD85" s="345">
        <v>5400</v>
      </c>
      <c r="AE85" s="345">
        <v>5100</v>
      </c>
      <c r="AF85" s="345">
        <v>5720</v>
      </c>
      <c r="AG85" s="345">
        <v>6392</v>
      </c>
      <c r="AH85" s="345">
        <v>5925</v>
      </c>
      <c r="AI85" s="345">
        <v>6535</v>
      </c>
      <c r="AJ85" s="345">
        <v>6700</v>
      </c>
      <c r="AK85" s="345">
        <v>6729</v>
      </c>
      <c r="AL85" s="345">
        <v>7700</v>
      </c>
      <c r="AM85" s="345">
        <v>8350</v>
      </c>
      <c r="AN85" s="345">
        <v>8500</v>
      </c>
      <c r="AO85" s="345">
        <v>9000</v>
      </c>
      <c r="AP85" s="345">
        <v>9340</v>
      </c>
      <c r="AQ85" s="345">
        <v>9212</v>
      </c>
      <c r="AR85" s="345">
        <v>8200</v>
      </c>
      <c r="AS85" s="345">
        <v>9000</v>
      </c>
      <c r="AT85" s="345">
        <v>11000</v>
      </c>
      <c r="AU85" s="345">
        <v>11000</v>
      </c>
      <c r="AV85" s="345">
        <v>10766</v>
      </c>
      <c r="AW85" s="345">
        <v>9450</v>
      </c>
      <c r="AX85" s="345">
        <v>11312</v>
      </c>
      <c r="AY85" s="346">
        <v>10028</v>
      </c>
      <c r="AZ85" s="347">
        <v>9928</v>
      </c>
      <c r="BA85" s="347">
        <f>AZ85-AY85</f>
        <v>-100</v>
      </c>
      <c r="BB85" s="351">
        <f>AY85-AX85</f>
        <v>-1284</v>
      </c>
      <c r="BC85" s="352">
        <f>AZ85-AX85</f>
        <v>-1384</v>
      </c>
      <c r="BD85" s="353">
        <f t="shared" si="83"/>
        <v>4.6789547429411993E-2</v>
      </c>
    </row>
    <row r="86" spans="1:63" s="311" customFormat="1" ht="15" customHeight="1">
      <c r="A86" s="324" t="s">
        <v>376</v>
      </c>
      <c r="B86" s="344">
        <f>B85*B84/1000</f>
        <v>0</v>
      </c>
      <c r="C86" s="344">
        <v>255</v>
      </c>
      <c r="D86" s="344">
        <v>224</v>
      </c>
      <c r="E86" s="344">
        <v>266</v>
      </c>
      <c r="F86" s="344">
        <v>177</v>
      </c>
      <c r="G86" s="344">
        <v>303</v>
      </c>
      <c r="H86" s="344">
        <v>95</v>
      </c>
      <c r="I86" s="344">
        <v>328</v>
      </c>
      <c r="J86" s="344">
        <v>126</v>
      </c>
      <c r="K86" s="344">
        <v>290</v>
      </c>
      <c r="L86" s="344">
        <v>116</v>
      </c>
      <c r="M86" s="344">
        <v>345</v>
      </c>
      <c r="N86" s="344">
        <v>342</v>
      </c>
      <c r="O86" s="344">
        <v>173</v>
      </c>
      <c r="P86" s="344">
        <v>354.7</v>
      </c>
      <c r="Q86" s="344">
        <v>237.2</v>
      </c>
      <c r="R86" s="344">
        <v>197.4</v>
      </c>
      <c r="S86" s="344">
        <v>413.1</v>
      </c>
      <c r="T86" s="344">
        <v>422.5</v>
      </c>
      <c r="U86" s="344">
        <v>455</v>
      </c>
      <c r="V86" s="344">
        <v>362.7</v>
      </c>
      <c r="W86" s="344">
        <v>209.9</v>
      </c>
      <c r="X86" s="344">
        <v>294.10000000000002</v>
      </c>
      <c r="Y86" s="344">
        <v>313.60000000000002</v>
      </c>
      <c r="Z86" s="344">
        <v>310</v>
      </c>
      <c r="AA86" s="344">
        <v>324.5</v>
      </c>
      <c r="AB86" s="344">
        <v>414.2</v>
      </c>
      <c r="AC86" s="344">
        <v>430.4</v>
      </c>
      <c r="AD86" s="344">
        <v>405.1</v>
      </c>
      <c r="AE86" s="344">
        <v>424.4</v>
      </c>
      <c r="AF86" s="344">
        <v>447.1</v>
      </c>
      <c r="AG86" s="344">
        <v>490.4</v>
      </c>
      <c r="AH86" s="344">
        <v>504.1</v>
      </c>
      <c r="AI86" s="344">
        <v>562.1</v>
      </c>
      <c r="AJ86" s="344">
        <v>879.7</v>
      </c>
      <c r="AK86" s="344">
        <v>731.6</v>
      </c>
      <c r="AL86" s="344">
        <v>1309.4000000000001</v>
      </c>
      <c r="AM86" s="344">
        <v>1725.9</v>
      </c>
      <c r="AN86" s="344">
        <v>1469.2</v>
      </c>
      <c r="AO86" s="344">
        <v>874.4</v>
      </c>
      <c r="AP86" s="344">
        <v>1951.9</v>
      </c>
      <c r="AQ86" s="344">
        <v>1884</v>
      </c>
      <c r="AR86" s="344">
        <v>1792.5</v>
      </c>
      <c r="AS86" s="344">
        <v>2196.3000000000002</v>
      </c>
      <c r="AT86" s="344">
        <f t="shared" ref="AT86" si="102">AT85*AT84/1000</f>
        <v>128.69999999999999</v>
      </c>
      <c r="AU86" s="344">
        <f t="shared" ref="AU86" si="103">AU85*AU84/1000</f>
        <v>206.8</v>
      </c>
      <c r="AV86" s="344">
        <f t="shared" ref="AV86" si="104">AV85*AV84/1000</f>
        <v>180.86880000000002</v>
      </c>
      <c r="AW86" s="344">
        <f t="shared" ref="AW86" si="105">AW85*AW84/1000</f>
        <v>130.41</v>
      </c>
      <c r="AX86" s="344">
        <f t="shared" ref="AX86" si="106">AX85*AX84/1000</f>
        <v>115.38239999999999</v>
      </c>
      <c r="AY86" s="365">
        <f t="shared" ref="AY86" si="107">AY85*AY84/1000</f>
        <v>112.31359999999999</v>
      </c>
      <c r="AZ86" s="366">
        <f>AZ85*AZ84/1000</f>
        <v>111.19359999999999</v>
      </c>
      <c r="BA86" s="366">
        <f>AZ86-AY86</f>
        <v>-1.1200000000000045</v>
      </c>
      <c r="BB86" s="367">
        <f>AY86-AX86</f>
        <v>-3.068799999999996</v>
      </c>
      <c r="BC86" s="368">
        <f>AZ86-AX86</f>
        <v>-4.1888000000000005</v>
      </c>
      <c r="BD86" s="353">
        <f t="shared" si="83"/>
        <v>-0.44525987335586492</v>
      </c>
      <c r="BE86" s="309"/>
      <c r="BF86"/>
      <c r="BG86" s="308"/>
    </row>
    <row r="87" spans="1:63" ht="15" customHeight="1">
      <c r="A87" s="320" t="s">
        <v>377</v>
      </c>
      <c r="B87" s="356"/>
      <c r="C87" s="356"/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56"/>
      <c r="Z87" s="356"/>
      <c r="AA87" s="356"/>
      <c r="AB87" s="356"/>
      <c r="AC87" s="356"/>
      <c r="AD87" s="356"/>
      <c r="AE87" s="356"/>
      <c r="AF87" s="356"/>
      <c r="AG87" s="356"/>
      <c r="AH87" s="356"/>
      <c r="AI87" s="356"/>
      <c r="AJ87" s="356"/>
      <c r="AK87" s="356"/>
      <c r="AL87" s="356"/>
      <c r="AM87" s="356"/>
      <c r="AN87" s="356"/>
      <c r="AO87" s="356"/>
      <c r="AP87" s="356"/>
      <c r="AQ87" s="356"/>
      <c r="AR87" s="356"/>
      <c r="AS87" s="356"/>
      <c r="AT87" s="328"/>
      <c r="AU87" s="328"/>
      <c r="AV87" s="328"/>
      <c r="AW87" s="328"/>
      <c r="AX87" s="328"/>
      <c r="AY87" s="321"/>
      <c r="AZ87" s="328"/>
      <c r="BA87" s="329"/>
      <c r="BB87" s="321"/>
      <c r="BC87" s="328"/>
      <c r="BD87" s="329"/>
    </row>
    <row r="88" spans="1:63" ht="15" customHeight="1">
      <c r="A88" s="324" t="s">
        <v>352</v>
      </c>
      <c r="B88" s="344">
        <v>863</v>
      </c>
      <c r="C88" s="344">
        <v>885</v>
      </c>
      <c r="D88" s="344">
        <v>852</v>
      </c>
      <c r="E88" s="344">
        <v>810.1</v>
      </c>
      <c r="F88" s="344">
        <v>855</v>
      </c>
      <c r="G88" s="344">
        <v>888.7</v>
      </c>
      <c r="H88" s="344">
        <v>813</v>
      </c>
      <c r="I88" s="344">
        <v>813</v>
      </c>
      <c r="J88" s="344">
        <v>737</v>
      </c>
      <c r="K88" s="344">
        <v>943.4</v>
      </c>
      <c r="L88" s="344">
        <v>1183</v>
      </c>
      <c r="M88" s="344">
        <v>1019.3</v>
      </c>
      <c r="N88" s="344">
        <v>1045.8</v>
      </c>
      <c r="O88" s="344">
        <v>930</v>
      </c>
      <c r="P88" s="344">
        <v>890</v>
      </c>
      <c r="Q88" s="344">
        <v>810</v>
      </c>
      <c r="R88" s="344">
        <v>648</v>
      </c>
      <c r="S88" s="344">
        <v>771.1</v>
      </c>
      <c r="T88" s="344">
        <v>788.8</v>
      </c>
      <c r="U88" s="344">
        <v>796.7</v>
      </c>
      <c r="V88" s="344">
        <v>756.9</v>
      </c>
      <c r="W88" s="344">
        <v>454.1</v>
      </c>
      <c r="X88" s="344">
        <v>604</v>
      </c>
      <c r="Y88" s="344">
        <v>607</v>
      </c>
      <c r="Z88" s="344">
        <v>740.5</v>
      </c>
      <c r="AA88" s="344">
        <v>481.3</v>
      </c>
      <c r="AB88" s="344">
        <v>476.5</v>
      </c>
      <c r="AC88" s="344">
        <v>471.7</v>
      </c>
      <c r="AD88" s="344">
        <v>424.5</v>
      </c>
      <c r="AE88" s="344">
        <v>460.6</v>
      </c>
      <c r="AF88" s="344">
        <v>540.29999999999995</v>
      </c>
      <c r="AG88" s="344">
        <v>632.20000000000005</v>
      </c>
      <c r="AH88" s="344">
        <v>538.6</v>
      </c>
      <c r="AI88" s="344">
        <v>377.6</v>
      </c>
      <c r="AJ88" s="344">
        <v>394.6</v>
      </c>
      <c r="AK88" s="344">
        <v>547.29999999999995</v>
      </c>
      <c r="AL88" s="344">
        <v>377.2</v>
      </c>
      <c r="AM88" s="344">
        <v>288.2</v>
      </c>
      <c r="AN88" s="344">
        <v>250.7</v>
      </c>
      <c r="AO88" s="344">
        <v>246.4</v>
      </c>
      <c r="AP88" s="344">
        <v>260</v>
      </c>
      <c r="AQ88" s="344">
        <v>214.2</v>
      </c>
      <c r="AR88" s="344">
        <v>265</v>
      </c>
      <c r="AS88" s="344">
        <v>278</v>
      </c>
      <c r="AT88" s="344">
        <v>182.1</v>
      </c>
      <c r="AU88" s="344">
        <v>179.6</v>
      </c>
      <c r="AV88" s="344">
        <v>167.2</v>
      </c>
      <c r="AW88" s="344">
        <v>149</v>
      </c>
      <c r="AX88" s="344">
        <v>149</v>
      </c>
      <c r="AY88" s="369">
        <v>149</v>
      </c>
      <c r="AZ88" s="366">
        <v>149</v>
      </c>
      <c r="BA88" s="366">
        <f>AZ88-AY88</f>
        <v>0</v>
      </c>
      <c r="BB88" s="367">
        <f>AY88-AX88</f>
        <v>0</v>
      </c>
      <c r="BC88" s="368">
        <f>AZ88-AX88</f>
        <v>0</v>
      </c>
      <c r="BD88" s="353">
        <f t="shared" si="83"/>
        <v>-0.1172691708049588</v>
      </c>
      <c r="BF88" s="319" t="b">
        <v>0</v>
      </c>
      <c r="BH88" s="311"/>
      <c r="BI88" s="311"/>
      <c r="BJ88" s="311"/>
      <c r="BK88" s="311"/>
    </row>
    <row r="89" spans="1:63" ht="15" customHeight="1">
      <c r="A89" s="324" t="s">
        <v>375</v>
      </c>
      <c r="B89" s="345">
        <v>1800</v>
      </c>
      <c r="C89" s="345">
        <v>1242.9378531073448</v>
      </c>
      <c r="D89" s="345">
        <v>1830.9859154929577</v>
      </c>
      <c r="E89" s="345">
        <v>2160.3505740032092</v>
      </c>
      <c r="F89" s="345">
        <v>1949.7076023391812</v>
      </c>
      <c r="G89" s="345">
        <v>2159.8964780015749</v>
      </c>
      <c r="H89" s="345">
        <v>2200</v>
      </c>
      <c r="I89" s="345">
        <v>1860.0246002460026</v>
      </c>
      <c r="J89" s="345">
        <v>2250.0678426051559</v>
      </c>
      <c r="K89" s="345">
        <v>2400.0423998304004</v>
      </c>
      <c r="L89" s="345">
        <v>2600</v>
      </c>
      <c r="M89" s="345">
        <v>2941.0379672324148</v>
      </c>
      <c r="N89" s="345">
        <v>3299.9617517689803</v>
      </c>
      <c r="O89" s="345">
        <v>2050</v>
      </c>
      <c r="P89" s="345">
        <v>3100</v>
      </c>
      <c r="Q89" s="345">
        <v>3450</v>
      </c>
      <c r="R89" s="345">
        <v>3520</v>
      </c>
      <c r="S89" s="345">
        <v>3850</v>
      </c>
      <c r="T89" s="345">
        <v>4200</v>
      </c>
      <c r="U89" s="345">
        <v>4180</v>
      </c>
      <c r="V89" s="345">
        <v>4300</v>
      </c>
      <c r="W89" s="345">
        <v>4200</v>
      </c>
      <c r="X89" s="345">
        <v>4710</v>
      </c>
      <c r="Y89" s="345">
        <v>4750</v>
      </c>
      <c r="Z89" s="345">
        <v>4750</v>
      </c>
      <c r="AA89" s="345">
        <v>5060</v>
      </c>
      <c r="AB89" s="345">
        <v>5210</v>
      </c>
      <c r="AC89" s="345">
        <v>5250</v>
      </c>
      <c r="AD89" s="345">
        <v>5132</v>
      </c>
      <c r="AE89" s="345">
        <v>4950</v>
      </c>
      <c r="AF89" s="345">
        <v>5490</v>
      </c>
      <c r="AG89" s="345">
        <v>5954</v>
      </c>
      <c r="AH89" s="345">
        <v>5945</v>
      </c>
      <c r="AI89" s="345">
        <v>7000</v>
      </c>
      <c r="AJ89" s="345">
        <v>7850</v>
      </c>
      <c r="AK89" s="345">
        <v>8000</v>
      </c>
      <c r="AL89" s="345">
        <v>7633</v>
      </c>
      <c r="AM89" s="345">
        <v>7500</v>
      </c>
      <c r="AN89" s="345">
        <v>6690</v>
      </c>
      <c r="AO89" s="345">
        <v>7800</v>
      </c>
      <c r="AP89" s="345">
        <v>8000</v>
      </c>
      <c r="AQ89" s="345">
        <v>8000</v>
      </c>
      <c r="AR89" s="345">
        <v>7560</v>
      </c>
      <c r="AS89" s="345">
        <v>7980</v>
      </c>
      <c r="AT89" s="345">
        <v>9000</v>
      </c>
      <c r="AU89" s="345">
        <v>10205</v>
      </c>
      <c r="AV89" s="345">
        <v>9323</v>
      </c>
      <c r="AW89" s="345">
        <v>9506</v>
      </c>
      <c r="AX89" s="345">
        <v>10397</v>
      </c>
      <c r="AY89" s="346">
        <v>9942</v>
      </c>
      <c r="AZ89" s="347">
        <v>9843</v>
      </c>
      <c r="BA89" s="347">
        <f>AZ89-AY89</f>
        <v>-99</v>
      </c>
      <c r="BB89" s="351">
        <f>AY89-AX89</f>
        <v>-455</v>
      </c>
      <c r="BC89" s="352">
        <f>AZ89-AX89</f>
        <v>-554</v>
      </c>
      <c r="BD89" s="353">
        <f t="shared" si="83"/>
        <v>5.4340843008892747E-2</v>
      </c>
    </row>
    <row r="90" spans="1:63" s="311" customFormat="1" ht="15" customHeight="1">
      <c r="A90" s="324" t="s">
        <v>376</v>
      </c>
      <c r="B90" s="344">
        <f>B89*B88/1000</f>
        <v>1553.4</v>
      </c>
      <c r="C90" s="344">
        <v>255</v>
      </c>
      <c r="D90" s="344">
        <v>224</v>
      </c>
      <c r="E90" s="344">
        <v>266</v>
      </c>
      <c r="F90" s="344">
        <v>177</v>
      </c>
      <c r="G90" s="344">
        <v>303</v>
      </c>
      <c r="H90" s="344">
        <v>95</v>
      </c>
      <c r="I90" s="344">
        <v>328</v>
      </c>
      <c r="J90" s="344">
        <v>126</v>
      </c>
      <c r="K90" s="344">
        <v>290</v>
      </c>
      <c r="L90" s="344">
        <v>116</v>
      </c>
      <c r="M90" s="344">
        <v>345</v>
      </c>
      <c r="N90" s="344">
        <v>342</v>
      </c>
      <c r="O90" s="344">
        <v>173</v>
      </c>
      <c r="P90" s="344">
        <v>354.7</v>
      </c>
      <c r="Q90" s="344">
        <v>237.2</v>
      </c>
      <c r="R90" s="344">
        <v>197.4</v>
      </c>
      <c r="S90" s="344">
        <v>413.1</v>
      </c>
      <c r="T90" s="344">
        <v>422.5</v>
      </c>
      <c r="U90" s="344">
        <v>455</v>
      </c>
      <c r="V90" s="344">
        <v>362.7</v>
      </c>
      <c r="W90" s="344">
        <v>209.9</v>
      </c>
      <c r="X90" s="344">
        <v>294.10000000000002</v>
      </c>
      <c r="Y90" s="344">
        <v>313.60000000000002</v>
      </c>
      <c r="Z90" s="344">
        <v>310</v>
      </c>
      <c r="AA90" s="344">
        <v>324.5</v>
      </c>
      <c r="AB90" s="344">
        <v>414.2</v>
      </c>
      <c r="AC90" s="344">
        <v>430.4</v>
      </c>
      <c r="AD90" s="344">
        <v>405.1</v>
      </c>
      <c r="AE90" s="344">
        <v>424.4</v>
      </c>
      <c r="AF90" s="344">
        <v>447.1</v>
      </c>
      <c r="AG90" s="344">
        <v>490.4</v>
      </c>
      <c r="AH90" s="344">
        <v>504.1</v>
      </c>
      <c r="AI90" s="344">
        <v>562.1</v>
      </c>
      <c r="AJ90" s="344">
        <v>879.7</v>
      </c>
      <c r="AK90" s="344">
        <v>731.6</v>
      </c>
      <c r="AL90" s="344">
        <v>1309.4000000000001</v>
      </c>
      <c r="AM90" s="344">
        <v>1725.9</v>
      </c>
      <c r="AN90" s="344">
        <v>1469.2</v>
      </c>
      <c r="AO90" s="344">
        <v>874.4</v>
      </c>
      <c r="AP90" s="344">
        <v>1951.9</v>
      </c>
      <c r="AQ90" s="344">
        <v>1884</v>
      </c>
      <c r="AR90" s="344">
        <v>1792.5</v>
      </c>
      <c r="AS90" s="344">
        <v>2196.3000000000002</v>
      </c>
      <c r="AT90" s="344">
        <f t="shared" ref="AT90" si="108">AT89*AT88/1000</f>
        <v>1638.9</v>
      </c>
      <c r="AU90" s="344">
        <f t="shared" ref="AU90" si="109">AU89*AU88/1000</f>
        <v>1832.818</v>
      </c>
      <c r="AV90" s="344">
        <f t="shared" ref="AV90" si="110">AV89*AV88/1000</f>
        <v>1558.8055999999999</v>
      </c>
      <c r="AW90" s="344">
        <f t="shared" ref="AW90" si="111">AW89*AW88/1000</f>
        <v>1416.394</v>
      </c>
      <c r="AX90" s="344">
        <f t="shared" ref="AX90" si="112">AX89*AX88/1000</f>
        <v>1549.153</v>
      </c>
      <c r="AY90" s="365">
        <f t="shared" ref="AY90" si="113">AY89*AY88/1000</f>
        <v>1481.3579999999999</v>
      </c>
      <c r="AZ90" s="366">
        <f>AZ89*AZ88/1000</f>
        <v>1466.607</v>
      </c>
      <c r="BA90" s="366">
        <f>AZ90-AY90</f>
        <v>-14.750999999999976</v>
      </c>
      <c r="BB90" s="367">
        <f>AY90-AX90</f>
        <v>-67.795000000000073</v>
      </c>
      <c r="BC90" s="368">
        <f>AZ90-AX90</f>
        <v>-82.546000000000049</v>
      </c>
      <c r="BD90" s="353">
        <f t="shared" si="83"/>
        <v>-6.743195468188401E-2</v>
      </c>
      <c r="BE90" s="309"/>
      <c r="BF90"/>
      <c r="BG90" s="308"/>
    </row>
    <row r="91" spans="1:63" ht="15" customHeight="1">
      <c r="A91" s="320" t="s">
        <v>378</v>
      </c>
      <c r="B91" s="356"/>
      <c r="C91" s="356"/>
      <c r="D91" s="356"/>
      <c r="E91" s="356"/>
      <c r="F91" s="356"/>
      <c r="G91" s="356"/>
      <c r="H91" s="356"/>
      <c r="I91" s="356"/>
      <c r="J91" s="356"/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56"/>
      <c r="Z91" s="356"/>
      <c r="AA91" s="356"/>
      <c r="AB91" s="356"/>
      <c r="AC91" s="356"/>
      <c r="AD91" s="356"/>
      <c r="AE91" s="356"/>
      <c r="AF91" s="356"/>
      <c r="AG91" s="356"/>
      <c r="AH91" s="356"/>
      <c r="AI91" s="356"/>
      <c r="AJ91" s="356"/>
      <c r="AK91" s="356"/>
      <c r="AL91" s="356"/>
      <c r="AM91" s="356"/>
      <c r="AN91" s="356"/>
      <c r="AO91" s="356"/>
      <c r="AP91" s="356"/>
      <c r="AQ91" s="356"/>
      <c r="AR91" s="356"/>
      <c r="AS91" s="356"/>
      <c r="AT91" s="328"/>
      <c r="AU91" s="328"/>
      <c r="AV91" s="328"/>
      <c r="AW91" s="328"/>
      <c r="AX91" s="328"/>
      <c r="AY91" s="321"/>
      <c r="AZ91" s="328"/>
      <c r="BA91" s="329"/>
      <c r="BB91" s="321"/>
      <c r="BC91" s="328"/>
      <c r="BD91" s="329"/>
    </row>
    <row r="92" spans="1:63" ht="15" customHeight="1">
      <c r="A92" s="324" t="s">
        <v>352</v>
      </c>
      <c r="B92" s="344">
        <v>2.2999999999999998</v>
      </c>
      <c r="C92" s="344">
        <v>0</v>
      </c>
      <c r="D92" s="344">
        <v>0</v>
      </c>
      <c r="E92" s="344">
        <v>0</v>
      </c>
      <c r="F92" s="344">
        <v>0</v>
      </c>
      <c r="G92" s="344">
        <v>2.5</v>
      </c>
      <c r="H92" s="344">
        <v>2.4</v>
      </c>
      <c r="I92" s="344">
        <v>3</v>
      </c>
      <c r="J92" s="344">
        <v>4</v>
      </c>
      <c r="K92" s="344">
        <v>6.1</v>
      </c>
      <c r="L92" s="344">
        <v>13.6</v>
      </c>
      <c r="M92" s="344">
        <v>18.5</v>
      </c>
      <c r="N92" s="344">
        <v>15.5</v>
      </c>
      <c r="O92" s="344">
        <v>16.8</v>
      </c>
      <c r="P92" s="344">
        <v>24</v>
      </c>
      <c r="Q92" s="344">
        <v>24.6</v>
      </c>
      <c r="R92" s="344">
        <v>17.3</v>
      </c>
      <c r="S92" s="344">
        <v>20.9</v>
      </c>
      <c r="T92" s="344">
        <v>21.8</v>
      </c>
      <c r="U92" s="344">
        <v>25.3</v>
      </c>
      <c r="V92" s="344">
        <v>27.4</v>
      </c>
      <c r="W92" s="344">
        <v>21.1</v>
      </c>
      <c r="X92" s="344">
        <v>28.4</v>
      </c>
      <c r="Y92" s="344">
        <v>27.3</v>
      </c>
      <c r="Z92" s="344">
        <v>28.5</v>
      </c>
      <c r="AA92" s="344">
        <v>22.5</v>
      </c>
      <c r="AB92" s="344">
        <v>25.2</v>
      </c>
      <c r="AC92" s="344">
        <v>26.5</v>
      </c>
      <c r="AD92" s="344">
        <v>30</v>
      </c>
      <c r="AE92" s="344">
        <v>33.299999999999997</v>
      </c>
      <c r="AF92" s="344">
        <v>36.5</v>
      </c>
      <c r="AG92" s="344">
        <v>40</v>
      </c>
      <c r="AH92" s="344">
        <v>34.200000000000003</v>
      </c>
      <c r="AI92" s="344">
        <v>25.7</v>
      </c>
      <c r="AJ92" s="344">
        <v>27.5</v>
      </c>
      <c r="AK92" s="344">
        <v>33.6</v>
      </c>
      <c r="AL92" s="344">
        <v>35</v>
      </c>
      <c r="AM92" s="344">
        <v>39</v>
      </c>
      <c r="AN92" s="344">
        <v>26.8</v>
      </c>
      <c r="AO92" s="344">
        <v>26.8</v>
      </c>
      <c r="AP92" s="344">
        <v>28.6</v>
      </c>
      <c r="AQ92" s="344">
        <v>27.8</v>
      </c>
      <c r="AR92" s="344">
        <v>26.7</v>
      </c>
      <c r="AS92" s="344">
        <v>23.1</v>
      </c>
      <c r="AT92" s="344">
        <v>21.8</v>
      </c>
      <c r="AU92" s="344">
        <v>16.100000000000001</v>
      </c>
      <c r="AV92" s="344">
        <v>16.100000000000001</v>
      </c>
      <c r="AW92" s="344">
        <v>15.5</v>
      </c>
      <c r="AX92" s="344">
        <v>15.5</v>
      </c>
      <c r="AY92" s="369">
        <v>15.5</v>
      </c>
      <c r="AZ92" s="366">
        <v>15.5</v>
      </c>
      <c r="BA92" s="366">
        <f>AZ92-AY92</f>
        <v>0</v>
      </c>
      <c r="BB92" s="367">
        <f>AY92-AX92</f>
        <v>0</v>
      </c>
      <c r="BC92" s="368">
        <f>AZ92-AX92</f>
        <v>0</v>
      </c>
      <c r="BD92" s="353">
        <f t="shared" si="83"/>
        <v>-7.6697644212698757E-2</v>
      </c>
      <c r="BF92" s="319" t="b">
        <v>0</v>
      </c>
      <c r="BH92" s="311"/>
      <c r="BI92" s="311"/>
      <c r="BJ92" s="311"/>
      <c r="BK92" s="311"/>
    </row>
    <row r="93" spans="1:63" ht="15" customHeight="1">
      <c r="A93" s="324" t="s">
        <v>353</v>
      </c>
      <c r="B93" s="345">
        <v>1217.3913043478262</v>
      </c>
      <c r="C93" s="345">
        <v>0</v>
      </c>
      <c r="D93" s="345">
        <v>0</v>
      </c>
      <c r="E93" s="345">
        <v>0</v>
      </c>
      <c r="F93" s="345">
        <v>0</v>
      </c>
      <c r="G93" s="345">
        <v>1440</v>
      </c>
      <c r="H93" s="345">
        <v>1541.6666666666667</v>
      </c>
      <c r="I93" s="345">
        <v>1500</v>
      </c>
      <c r="J93" s="345">
        <v>1800</v>
      </c>
      <c r="K93" s="345">
        <v>3147.5409836065573</v>
      </c>
      <c r="L93" s="345">
        <v>3691.1764705882356</v>
      </c>
      <c r="M93" s="345">
        <v>3329.72972972973</v>
      </c>
      <c r="N93" s="345">
        <v>3438.7096774193546</v>
      </c>
      <c r="O93" s="345">
        <v>2702.3809523809523</v>
      </c>
      <c r="P93" s="345">
        <v>3730</v>
      </c>
      <c r="Q93" s="345">
        <v>3450</v>
      </c>
      <c r="R93" s="345">
        <v>3690</v>
      </c>
      <c r="S93" s="345">
        <v>4210</v>
      </c>
      <c r="T93" s="345">
        <v>3805</v>
      </c>
      <c r="U93" s="345">
        <v>4120</v>
      </c>
      <c r="V93" s="345">
        <v>4606</v>
      </c>
      <c r="W93" s="345">
        <v>4866</v>
      </c>
      <c r="X93" s="345">
        <v>4648</v>
      </c>
      <c r="Y93" s="345">
        <v>5087</v>
      </c>
      <c r="Z93" s="345">
        <v>4210</v>
      </c>
      <c r="AA93" s="345">
        <v>5820</v>
      </c>
      <c r="AB93" s="345">
        <v>6070</v>
      </c>
      <c r="AC93" s="345">
        <v>6000</v>
      </c>
      <c r="AD93" s="345">
        <v>6530</v>
      </c>
      <c r="AE93" s="345">
        <v>6121</v>
      </c>
      <c r="AF93" s="345">
        <v>7280</v>
      </c>
      <c r="AG93" s="345">
        <v>6930</v>
      </c>
      <c r="AH93" s="345">
        <v>7192</v>
      </c>
      <c r="AI93" s="345">
        <v>7805</v>
      </c>
      <c r="AJ93" s="345">
        <v>8332</v>
      </c>
      <c r="AK93" s="345">
        <v>8969</v>
      </c>
      <c r="AL93" s="345">
        <v>9441</v>
      </c>
      <c r="AM93" s="345">
        <v>9634</v>
      </c>
      <c r="AN93" s="345">
        <v>7326</v>
      </c>
      <c r="AO93" s="345">
        <v>6740</v>
      </c>
      <c r="AP93" s="345">
        <v>7800</v>
      </c>
      <c r="AQ93" s="345">
        <v>8100</v>
      </c>
      <c r="AR93" s="345">
        <v>9100</v>
      </c>
      <c r="AS93" s="345">
        <v>9500</v>
      </c>
      <c r="AT93" s="345">
        <v>9336</v>
      </c>
      <c r="AU93" s="345">
        <v>9570</v>
      </c>
      <c r="AV93" s="345">
        <v>9518</v>
      </c>
      <c r="AW93" s="345">
        <v>8900</v>
      </c>
      <c r="AX93" s="345">
        <v>9481</v>
      </c>
      <c r="AY93" s="346">
        <v>9367</v>
      </c>
      <c r="AZ93" s="347">
        <v>9273</v>
      </c>
      <c r="BA93" s="347">
        <f>AZ93-AY93</f>
        <v>-94</v>
      </c>
      <c r="BB93" s="351">
        <f>AY93-AX93</f>
        <v>-114</v>
      </c>
      <c r="BC93" s="352">
        <f>AZ93-AX93</f>
        <v>-208</v>
      </c>
      <c r="BD93" s="353">
        <f t="shared" si="83"/>
        <v>-4.0032038453841068E-4</v>
      </c>
    </row>
    <row r="94" spans="1:63" ht="15" customHeight="1" thickBot="1">
      <c r="A94" s="324" t="s">
        <v>354</v>
      </c>
      <c r="B94" s="344">
        <f>B93*B92/1000</f>
        <v>2.8</v>
      </c>
      <c r="C94" s="344">
        <v>255</v>
      </c>
      <c r="D94" s="344">
        <v>224</v>
      </c>
      <c r="E94" s="344">
        <v>266</v>
      </c>
      <c r="F94" s="344">
        <v>177</v>
      </c>
      <c r="G94" s="344">
        <v>303</v>
      </c>
      <c r="H94" s="344">
        <v>95</v>
      </c>
      <c r="I94" s="344">
        <v>328</v>
      </c>
      <c r="J94" s="344">
        <v>126</v>
      </c>
      <c r="K94" s="344">
        <v>290</v>
      </c>
      <c r="L94" s="344">
        <v>116</v>
      </c>
      <c r="M94" s="344">
        <v>345</v>
      </c>
      <c r="N94" s="344">
        <v>342</v>
      </c>
      <c r="O94" s="344">
        <v>173</v>
      </c>
      <c r="P94" s="344">
        <v>354.7</v>
      </c>
      <c r="Q94" s="344">
        <v>237.2</v>
      </c>
      <c r="R94" s="344">
        <v>197.4</v>
      </c>
      <c r="S94" s="344">
        <v>413.1</v>
      </c>
      <c r="T94" s="344">
        <v>422.5</v>
      </c>
      <c r="U94" s="344">
        <v>455</v>
      </c>
      <c r="V94" s="344">
        <v>362.7</v>
      </c>
      <c r="W94" s="344">
        <v>209.9</v>
      </c>
      <c r="X94" s="344">
        <v>294.10000000000002</v>
      </c>
      <c r="Y94" s="344">
        <v>313.60000000000002</v>
      </c>
      <c r="Z94" s="344">
        <v>310</v>
      </c>
      <c r="AA94" s="344">
        <v>324.5</v>
      </c>
      <c r="AB94" s="344">
        <v>414.2</v>
      </c>
      <c r="AC94" s="344">
        <v>430.4</v>
      </c>
      <c r="AD94" s="344">
        <v>405.1</v>
      </c>
      <c r="AE94" s="344">
        <v>424.4</v>
      </c>
      <c r="AF94" s="344">
        <v>447.1</v>
      </c>
      <c r="AG94" s="344">
        <v>490.4</v>
      </c>
      <c r="AH94" s="344">
        <v>504.1</v>
      </c>
      <c r="AI94" s="344">
        <v>562.1</v>
      </c>
      <c r="AJ94" s="344">
        <v>879.7</v>
      </c>
      <c r="AK94" s="344">
        <v>731.6</v>
      </c>
      <c r="AL94" s="344">
        <v>1309.4000000000001</v>
      </c>
      <c r="AM94" s="344">
        <v>1725.9</v>
      </c>
      <c r="AN94" s="344">
        <v>1469.2</v>
      </c>
      <c r="AO94" s="344">
        <v>874.4</v>
      </c>
      <c r="AP94" s="344">
        <v>1951.9</v>
      </c>
      <c r="AQ94" s="344">
        <v>1884</v>
      </c>
      <c r="AR94" s="344">
        <v>1792.5</v>
      </c>
      <c r="AS94" s="344">
        <v>2196.3000000000002</v>
      </c>
      <c r="AT94" s="344">
        <f t="shared" ref="AT94" si="114">AT93*AT92/1000</f>
        <v>203.52480000000003</v>
      </c>
      <c r="AU94" s="344">
        <f t="shared" ref="AU94" si="115">AU93*AU92/1000</f>
        <v>154.077</v>
      </c>
      <c r="AV94" s="344">
        <f t="shared" ref="AV94" si="116">AV93*AV92/1000</f>
        <v>153.23980000000003</v>
      </c>
      <c r="AW94" s="344">
        <f t="shared" ref="AW94" si="117">AW93*AW92/1000</f>
        <v>137.94999999999999</v>
      </c>
      <c r="AX94" s="344">
        <f t="shared" ref="AX94" si="118">AX93*AX92/1000</f>
        <v>146.9555</v>
      </c>
      <c r="AY94" s="365">
        <f t="shared" ref="AY94" si="119">AY93*AY92/1000</f>
        <v>145.1885</v>
      </c>
      <c r="AZ94" s="366">
        <f>AZ93*AZ92/1000</f>
        <v>143.73150000000001</v>
      </c>
      <c r="BA94" s="366">
        <f>AZ94-AY94</f>
        <v>-1.4569999999999936</v>
      </c>
      <c r="BB94" s="367">
        <f>AY94-AX94</f>
        <v>-1.7669999999999959</v>
      </c>
      <c r="BC94" s="368">
        <f>AZ94-AX94</f>
        <v>-3.2239999999999895</v>
      </c>
      <c r="BD94" s="353">
        <f t="shared" si="83"/>
        <v>-0.41776429224211653</v>
      </c>
      <c r="BH94" s="311"/>
      <c r="BI94" s="311"/>
      <c r="BJ94" s="311"/>
      <c r="BK94" s="311"/>
    </row>
    <row r="95" spans="1:63" s="311" customFormat="1" ht="15" customHeight="1" thickBot="1">
      <c r="A95" s="335" t="s">
        <v>379</v>
      </c>
      <c r="B95" s="358"/>
      <c r="C95" s="358"/>
      <c r="D95" s="358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  <c r="AA95" s="358"/>
      <c r="AB95" s="358"/>
      <c r="AC95" s="358"/>
      <c r="AD95" s="358"/>
      <c r="AE95" s="358"/>
      <c r="AF95" s="358"/>
      <c r="AG95" s="358"/>
      <c r="AH95" s="358"/>
      <c r="AI95" s="358"/>
      <c r="AJ95" s="358"/>
      <c r="AK95" s="358"/>
      <c r="AL95" s="358"/>
      <c r="AM95" s="358"/>
      <c r="AN95" s="358"/>
      <c r="AO95" s="358"/>
      <c r="AP95" s="358"/>
      <c r="AQ95" s="358"/>
      <c r="AR95" s="358"/>
      <c r="AS95" s="358"/>
      <c r="AT95" s="333"/>
      <c r="AU95" s="333"/>
      <c r="AV95" s="333"/>
      <c r="AW95" s="333"/>
      <c r="AX95" s="333"/>
      <c r="AY95" s="332"/>
      <c r="AZ95" s="333"/>
      <c r="BA95" s="334"/>
      <c r="BB95" s="321"/>
      <c r="BC95" s="328"/>
      <c r="BD95" s="329"/>
      <c r="BE95" s="309"/>
      <c r="BF95"/>
      <c r="BG95" s="308"/>
      <c r="BH95" s="309"/>
      <c r="BI95" s="309"/>
      <c r="BJ95" s="309"/>
      <c r="BK95" s="309"/>
    </row>
    <row r="96" spans="1:63" s="311" customFormat="1" ht="15" customHeight="1">
      <c r="A96" s="324" t="s">
        <v>352</v>
      </c>
      <c r="B96" s="344">
        <f>B100+B104+B108+B112</f>
        <v>3191</v>
      </c>
      <c r="C96" s="344">
        <f t="shared" ref="C96:AT96" si="120">C100+C104+C108+C112</f>
        <v>2969</v>
      </c>
      <c r="D96" s="344">
        <f t="shared" si="120"/>
        <v>3059</v>
      </c>
      <c r="E96" s="344">
        <f t="shared" si="120"/>
        <v>2731</v>
      </c>
      <c r="F96" s="344">
        <f t="shared" si="120"/>
        <v>2940.8</v>
      </c>
      <c r="G96" s="344">
        <f t="shared" si="120"/>
        <v>3154</v>
      </c>
      <c r="H96" s="344">
        <f t="shared" si="120"/>
        <v>2787.8999999999996</v>
      </c>
      <c r="I96" s="344">
        <f t="shared" si="120"/>
        <v>2945.5</v>
      </c>
      <c r="J96" s="344">
        <f t="shared" si="120"/>
        <v>2834</v>
      </c>
      <c r="K96" s="344">
        <f t="shared" si="120"/>
        <v>3007.8</v>
      </c>
      <c r="L96" s="344">
        <f t="shared" si="120"/>
        <v>3221.7</v>
      </c>
      <c r="M96" s="344">
        <f t="shared" si="120"/>
        <v>2903.3</v>
      </c>
      <c r="N96" s="344">
        <f t="shared" si="120"/>
        <v>2883.2</v>
      </c>
      <c r="O96" s="344">
        <f t="shared" si="120"/>
        <v>2749.7</v>
      </c>
      <c r="P96" s="344">
        <f t="shared" si="120"/>
        <v>2943.5</v>
      </c>
      <c r="Q96" s="344">
        <f t="shared" si="120"/>
        <v>3014.1</v>
      </c>
      <c r="R96" s="344">
        <f t="shared" si="120"/>
        <v>2726.7</v>
      </c>
      <c r="S96" s="344">
        <f t="shared" si="120"/>
        <v>2577.3000000000002</v>
      </c>
      <c r="T96" s="344">
        <f t="shared" si="120"/>
        <v>2524.1999999999998</v>
      </c>
      <c r="U96" s="344">
        <f t="shared" si="120"/>
        <v>2278.6999999999998</v>
      </c>
      <c r="V96" s="344">
        <f t="shared" si="120"/>
        <v>2296.6999999999998</v>
      </c>
      <c r="W96" s="344">
        <f t="shared" si="120"/>
        <v>2110</v>
      </c>
      <c r="X96" s="344">
        <f t="shared" si="120"/>
        <v>2148.6999999999998</v>
      </c>
      <c r="Y96" s="344">
        <f t="shared" si="120"/>
        <v>2025.2000000000003</v>
      </c>
      <c r="Z96" s="344">
        <f t="shared" si="120"/>
        <v>2073.5</v>
      </c>
      <c r="AA96" s="344">
        <f t="shared" si="120"/>
        <v>1977.4</v>
      </c>
      <c r="AB96" s="344">
        <f t="shared" si="120"/>
        <v>2061</v>
      </c>
      <c r="AC96" s="344">
        <f t="shared" si="120"/>
        <v>2110.5</v>
      </c>
      <c r="AD96" s="344">
        <f t="shared" si="120"/>
        <v>2142.3000000000002</v>
      </c>
      <c r="AE96" s="344">
        <f t="shared" si="120"/>
        <v>2178.8999999999996</v>
      </c>
      <c r="AF96" s="344">
        <f t="shared" si="120"/>
        <v>2127.8000000000002</v>
      </c>
      <c r="AG96" s="344">
        <f t="shared" si="120"/>
        <v>2040.2</v>
      </c>
      <c r="AH96" s="344">
        <f t="shared" si="120"/>
        <v>1951.6999999999998</v>
      </c>
      <c r="AI96" s="344">
        <f t="shared" si="120"/>
        <v>1804.3000000000002</v>
      </c>
      <c r="AJ96" s="344">
        <f t="shared" si="120"/>
        <v>1750.9</v>
      </c>
      <c r="AK96" s="344">
        <f t="shared" si="120"/>
        <v>1813</v>
      </c>
      <c r="AL96" s="344">
        <f t="shared" si="120"/>
        <v>1753.4</v>
      </c>
      <c r="AM96" s="344">
        <f t="shared" si="120"/>
        <v>1552</v>
      </c>
      <c r="AN96" s="344">
        <f t="shared" si="120"/>
        <v>1435.4</v>
      </c>
      <c r="AO96" s="344">
        <f t="shared" si="120"/>
        <v>1237</v>
      </c>
      <c r="AP96" s="344">
        <f t="shared" si="120"/>
        <v>1301.2</v>
      </c>
      <c r="AQ96" s="344">
        <f t="shared" si="120"/>
        <v>1191.9000000000001</v>
      </c>
      <c r="AR96" s="344">
        <f t="shared" si="120"/>
        <v>1113</v>
      </c>
      <c r="AS96" s="344">
        <f t="shared" si="120"/>
        <v>1072.9000000000001</v>
      </c>
      <c r="AT96" s="344">
        <f t="shared" si="120"/>
        <v>1168.0999999999999</v>
      </c>
      <c r="AU96" s="344">
        <f t="shared" ref="AU96:AY96" si="121">AU100+AU104+AU108+AU112</f>
        <v>1188.4000000000001</v>
      </c>
      <c r="AV96" s="344">
        <f t="shared" si="121"/>
        <v>1096.7</v>
      </c>
      <c r="AW96" s="344">
        <f t="shared" si="121"/>
        <v>985.3</v>
      </c>
      <c r="AX96" s="344">
        <f t="shared" si="121"/>
        <v>899.8</v>
      </c>
      <c r="AY96" s="369">
        <f t="shared" si="121"/>
        <v>944.89999999999986</v>
      </c>
      <c r="AZ96" s="366">
        <f>AZ100+AZ104+AZ108+AZ112</f>
        <v>944.89999999999986</v>
      </c>
      <c r="BA96" s="366">
        <f>AZ96-AY96</f>
        <v>0</v>
      </c>
      <c r="BB96" s="367">
        <f>AY96-AX96</f>
        <v>45.099999999999909</v>
      </c>
      <c r="BC96" s="368">
        <f>AZ96-AX96</f>
        <v>45.099999999999909</v>
      </c>
      <c r="BD96" s="353">
        <f t="shared" si="83"/>
        <v>-3.4577650047191821E-2</v>
      </c>
      <c r="BE96" s="309"/>
      <c r="BF96" s="319" t="b">
        <v>1</v>
      </c>
      <c r="BG96" s="308"/>
    </row>
    <row r="97" spans="1:63" s="311" customFormat="1" ht="15" customHeight="1">
      <c r="A97" s="318" t="s">
        <v>353</v>
      </c>
      <c r="B97" s="345">
        <f>B98/B96*1000</f>
        <v>1744.1240990285175</v>
      </c>
      <c r="C97" s="345">
        <f t="shared" ref="C97:AT97" si="122">C98/C96*1000</f>
        <v>343.55001684068708</v>
      </c>
      <c r="D97" s="345">
        <f t="shared" si="122"/>
        <v>292.90617848970254</v>
      </c>
      <c r="E97" s="345">
        <f t="shared" si="122"/>
        <v>389.60087879897475</v>
      </c>
      <c r="F97" s="345">
        <f t="shared" si="122"/>
        <v>240.75081610446136</v>
      </c>
      <c r="G97" s="345">
        <f t="shared" si="122"/>
        <v>384.27393785668988</v>
      </c>
      <c r="H97" s="345">
        <f t="shared" si="122"/>
        <v>136.30331073567919</v>
      </c>
      <c r="I97" s="345">
        <f t="shared" si="122"/>
        <v>445.42522491936853</v>
      </c>
      <c r="J97" s="345">
        <f t="shared" si="122"/>
        <v>177.84050811573749</v>
      </c>
      <c r="K97" s="345">
        <f t="shared" si="122"/>
        <v>385.66394042157054</v>
      </c>
      <c r="L97" s="345">
        <f t="shared" si="122"/>
        <v>144.02334171400193</v>
      </c>
      <c r="M97" s="345">
        <f t="shared" si="122"/>
        <v>475.32118623635171</v>
      </c>
      <c r="N97" s="345">
        <f t="shared" si="122"/>
        <v>474.47280799112099</v>
      </c>
      <c r="O97" s="345">
        <f t="shared" si="122"/>
        <v>251.66381787104046</v>
      </c>
      <c r="P97" s="345">
        <f t="shared" si="122"/>
        <v>482.01121114319682</v>
      </c>
      <c r="Q97" s="345">
        <f t="shared" si="122"/>
        <v>314.78716698185195</v>
      </c>
      <c r="R97" s="345">
        <f t="shared" si="122"/>
        <v>289.58081197051382</v>
      </c>
      <c r="S97" s="345">
        <f t="shared" si="122"/>
        <v>641.1360726341519</v>
      </c>
      <c r="T97" s="345">
        <f t="shared" si="122"/>
        <v>669.51905554235009</v>
      </c>
      <c r="U97" s="345">
        <f t="shared" si="122"/>
        <v>798.70101373590205</v>
      </c>
      <c r="V97" s="345">
        <f t="shared" si="122"/>
        <v>631.68894500805504</v>
      </c>
      <c r="W97" s="345">
        <f t="shared" si="122"/>
        <v>397.91469194312793</v>
      </c>
      <c r="X97" s="345">
        <f t="shared" si="122"/>
        <v>547.49383348070933</v>
      </c>
      <c r="Y97" s="345">
        <f t="shared" si="122"/>
        <v>619.39561524787666</v>
      </c>
      <c r="Z97" s="345">
        <f t="shared" si="122"/>
        <v>598.02266698818414</v>
      </c>
      <c r="AA97" s="345">
        <f t="shared" si="122"/>
        <v>656.41751795286746</v>
      </c>
      <c r="AB97" s="345">
        <f t="shared" si="122"/>
        <v>803.88161086851039</v>
      </c>
      <c r="AC97" s="345">
        <f t="shared" si="122"/>
        <v>815.73086946221269</v>
      </c>
      <c r="AD97" s="345">
        <f t="shared" si="122"/>
        <v>756.38332633151288</v>
      </c>
      <c r="AE97" s="345">
        <f t="shared" si="122"/>
        <v>779.10872458580025</v>
      </c>
      <c r="AF97" s="345">
        <f t="shared" si="122"/>
        <v>840.49252749318532</v>
      </c>
      <c r="AG97" s="345">
        <f t="shared" si="122"/>
        <v>961.47436525830801</v>
      </c>
      <c r="AH97" s="345">
        <f t="shared" si="122"/>
        <v>1033.1505866680332</v>
      </c>
      <c r="AI97" s="345">
        <f t="shared" si="122"/>
        <v>1246.1342348833341</v>
      </c>
      <c r="AJ97" s="345">
        <f t="shared" si="122"/>
        <v>2009.7092923639273</v>
      </c>
      <c r="AK97" s="345">
        <f t="shared" si="122"/>
        <v>1614.1202426916711</v>
      </c>
      <c r="AL97" s="345">
        <f t="shared" si="122"/>
        <v>2987.1107562450097</v>
      </c>
      <c r="AM97" s="345">
        <f t="shared" si="122"/>
        <v>4448.1958762886607</v>
      </c>
      <c r="AN97" s="345">
        <f t="shared" si="122"/>
        <v>4094.1897728856061</v>
      </c>
      <c r="AO97" s="345">
        <f t="shared" si="122"/>
        <v>2827.4858528698464</v>
      </c>
      <c r="AP97" s="345">
        <f t="shared" si="122"/>
        <v>6000.3074085459575</v>
      </c>
      <c r="AQ97" s="345">
        <f t="shared" si="122"/>
        <v>6322.6780770198839</v>
      </c>
      <c r="AR97" s="345">
        <f t="shared" si="122"/>
        <v>6442.0485175202157</v>
      </c>
      <c r="AS97" s="345">
        <f t="shared" si="122"/>
        <v>8188.2747693168058</v>
      </c>
      <c r="AT97" s="345">
        <f t="shared" si="122"/>
        <v>5939.1041862854208</v>
      </c>
      <c r="AU97" s="345">
        <f t="shared" ref="AU97:AY97" si="123">AU98/AU96*1000</f>
        <v>6353.69042409963</v>
      </c>
      <c r="AV97" s="345">
        <f t="shared" si="123"/>
        <v>6619.4296525941463</v>
      </c>
      <c r="AW97" s="345">
        <f t="shared" si="123"/>
        <v>5607.7789505734299</v>
      </c>
      <c r="AX97" s="345">
        <f t="shared" si="123"/>
        <v>6112.0767948432986</v>
      </c>
      <c r="AY97" s="346">
        <f t="shared" si="123"/>
        <v>6399.1515504286172</v>
      </c>
      <c r="AZ97" s="347">
        <f>AZ98/AZ96*1000</f>
        <v>6399.1515504286172</v>
      </c>
      <c r="BA97" s="347">
        <f>AZ97-AY97</f>
        <v>0</v>
      </c>
      <c r="BB97" s="351">
        <f>AY97-AX97</f>
        <v>287.0747555853186</v>
      </c>
      <c r="BC97" s="352">
        <f>AZ97-AX97</f>
        <v>287.0747555853186</v>
      </c>
      <c r="BD97" s="353">
        <f t="shared" si="83"/>
        <v>-5.6809801611110156E-2</v>
      </c>
      <c r="BE97" s="309"/>
      <c r="BF97"/>
      <c r="BG97" s="308"/>
      <c r="BH97" s="309"/>
      <c r="BI97" s="309"/>
      <c r="BJ97" s="309"/>
      <c r="BK97" s="309"/>
    </row>
    <row r="98" spans="1:63" s="311" customFormat="1" ht="15" customHeight="1">
      <c r="A98" s="318" t="s">
        <v>354</v>
      </c>
      <c r="B98" s="344">
        <f>B102+B106+B110+B114</f>
        <v>5565.5</v>
      </c>
      <c r="C98" s="344">
        <f t="shared" ref="C98:AT98" si="124">C102+C106+C110+C114</f>
        <v>1020</v>
      </c>
      <c r="D98" s="344">
        <f t="shared" si="124"/>
        <v>896</v>
      </c>
      <c r="E98" s="344">
        <f t="shared" si="124"/>
        <v>1064</v>
      </c>
      <c r="F98" s="344">
        <f t="shared" si="124"/>
        <v>708</v>
      </c>
      <c r="G98" s="344">
        <f t="shared" si="124"/>
        <v>1212</v>
      </c>
      <c r="H98" s="344">
        <f t="shared" si="124"/>
        <v>380</v>
      </c>
      <c r="I98" s="344">
        <f t="shared" si="124"/>
        <v>1312</v>
      </c>
      <c r="J98" s="344">
        <f t="shared" si="124"/>
        <v>504</v>
      </c>
      <c r="K98" s="344">
        <f t="shared" si="124"/>
        <v>1160</v>
      </c>
      <c r="L98" s="344">
        <f t="shared" si="124"/>
        <v>464</v>
      </c>
      <c r="M98" s="344">
        <f t="shared" si="124"/>
        <v>1380</v>
      </c>
      <c r="N98" s="344">
        <f t="shared" si="124"/>
        <v>1368</v>
      </c>
      <c r="O98" s="344">
        <f t="shared" si="124"/>
        <v>692</v>
      </c>
      <c r="P98" s="344">
        <f t="shared" si="124"/>
        <v>1418.8</v>
      </c>
      <c r="Q98" s="344">
        <f t="shared" si="124"/>
        <v>948.8</v>
      </c>
      <c r="R98" s="344">
        <f t="shared" si="124"/>
        <v>789.6</v>
      </c>
      <c r="S98" s="344">
        <f t="shared" si="124"/>
        <v>1652.4</v>
      </c>
      <c r="T98" s="344">
        <f t="shared" si="124"/>
        <v>1690</v>
      </c>
      <c r="U98" s="344">
        <f t="shared" si="124"/>
        <v>1820</v>
      </c>
      <c r="V98" s="344">
        <f t="shared" si="124"/>
        <v>1450.8</v>
      </c>
      <c r="W98" s="344">
        <f t="shared" si="124"/>
        <v>839.6</v>
      </c>
      <c r="X98" s="344">
        <f t="shared" si="124"/>
        <v>1176.4000000000001</v>
      </c>
      <c r="Y98" s="344">
        <f t="shared" si="124"/>
        <v>1254.4000000000001</v>
      </c>
      <c r="Z98" s="344">
        <f t="shared" si="124"/>
        <v>1240</v>
      </c>
      <c r="AA98" s="344">
        <f t="shared" si="124"/>
        <v>1298</v>
      </c>
      <c r="AB98" s="344">
        <f t="shared" si="124"/>
        <v>1656.8</v>
      </c>
      <c r="AC98" s="344">
        <f t="shared" si="124"/>
        <v>1721.6</v>
      </c>
      <c r="AD98" s="344">
        <f t="shared" si="124"/>
        <v>1620.4</v>
      </c>
      <c r="AE98" s="344">
        <f t="shared" si="124"/>
        <v>1697.6</v>
      </c>
      <c r="AF98" s="344">
        <f t="shared" si="124"/>
        <v>1788.4</v>
      </c>
      <c r="AG98" s="344">
        <f t="shared" si="124"/>
        <v>1961.6</v>
      </c>
      <c r="AH98" s="344">
        <f t="shared" si="124"/>
        <v>2016.4</v>
      </c>
      <c r="AI98" s="344">
        <f t="shared" si="124"/>
        <v>2248.4</v>
      </c>
      <c r="AJ98" s="344">
        <f t="shared" si="124"/>
        <v>3518.8</v>
      </c>
      <c r="AK98" s="344">
        <f t="shared" si="124"/>
        <v>2926.4</v>
      </c>
      <c r="AL98" s="344">
        <f t="shared" si="124"/>
        <v>5237.6000000000004</v>
      </c>
      <c r="AM98" s="344">
        <f t="shared" si="124"/>
        <v>6903.6</v>
      </c>
      <c r="AN98" s="344">
        <f t="shared" si="124"/>
        <v>5876.8</v>
      </c>
      <c r="AO98" s="344">
        <f t="shared" si="124"/>
        <v>3497.6</v>
      </c>
      <c r="AP98" s="344">
        <f t="shared" si="124"/>
        <v>7807.6</v>
      </c>
      <c r="AQ98" s="344">
        <f t="shared" si="124"/>
        <v>7536</v>
      </c>
      <c r="AR98" s="344">
        <f t="shared" si="124"/>
        <v>7170</v>
      </c>
      <c r="AS98" s="344">
        <f t="shared" si="124"/>
        <v>8785.2000000000007</v>
      </c>
      <c r="AT98" s="344">
        <f t="shared" si="124"/>
        <v>6937.4675999999999</v>
      </c>
      <c r="AU98" s="344">
        <f t="shared" ref="AU98:AY98" si="125">AU102+AU106+AU110+AU114</f>
        <v>7550.7257000000009</v>
      </c>
      <c r="AV98" s="344">
        <f t="shared" si="125"/>
        <v>7259.5285000000003</v>
      </c>
      <c r="AW98" s="344">
        <f t="shared" si="125"/>
        <v>5525.3446000000004</v>
      </c>
      <c r="AX98" s="344">
        <f t="shared" si="125"/>
        <v>5499.6467000000002</v>
      </c>
      <c r="AY98" s="365">
        <f t="shared" si="125"/>
        <v>6046.5582999999997</v>
      </c>
      <c r="AZ98" s="366">
        <f>AZ102+AZ106+AZ110+AZ114</f>
        <v>6046.5582999999997</v>
      </c>
      <c r="BA98" s="366">
        <f>AZ98-AY98</f>
        <v>0</v>
      </c>
      <c r="BB98" s="367">
        <f>AY98-AX98</f>
        <v>546.91159999999945</v>
      </c>
      <c r="BC98" s="368">
        <f>AZ98-AX98</f>
        <v>546.91159999999945</v>
      </c>
      <c r="BD98" s="353">
        <f t="shared" si="83"/>
        <v>-8.9423102218942563E-2</v>
      </c>
      <c r="BE98" s="309"/>
      <c r="BF98"/>
      <c r="BG98" s="308"/>
    </row>
    <row r="99" spans="1:63" ht="15" customHeight="1">
      <c r="A99" s="320" t="s">
        <v>380</v>
      </c>
      <c r="B99" s="356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356"/>
      <c r="S99" s="356"/>
      <c r="T99" s="356"/>
      <c r="U99" s="356"/>
      <c r="V99" s="356"/>
      <c r="W99" s="356"/>
      <c r="X99" s="356"/>
      <c r="Y99" s="356"/>
      <c r="Z99" s="356"/>
      <c r="AA99" s="356"/>
      <c r="AB99" s="356"/>
      <c r="AC99" s="356"/>
      <c r="AD99" s="356"/>
      <c r="AE99" s="356"/>
      <c r="AF99" s="356"/>
      <c r="AG99" s="356"/>
      <c r="AH99" s="356"/>
      <c r="AI99" s="356"/>
      <c r="AJ99" s="356"/>
      <c r="AK99" s="356"/>
      <c r="AL99" s="356"/>
      <c r="AM99" s="356"/>
      <c r="AN99" s="356"/>
      <c r="AO99" s="356"/>
      <c r="AP99" s="356"/>
      <c r="AQ99" s="356"/>
      <c r="AR99" s="356"/>
      <c r="AS99" s="356"/>
      <c r="AT99" s="328"/>
      <c r="AU99" s="328"/>
      <c r="AV99" s="328"/>
      <c r="AW99" s="328"/>
      <c r="AX99" s="328"/>
      <c r="AY99" s="321"/>
      <c r="AZ99" s="328"/>
      <c r="BA99" s="329"/>
      <c r="BB99" s="321"/>
      <c r="BC99" s="328"/>
      <c r="BD99" s="329"/>
    </row>
    <row r="100" spans="1:63" ht="15" customHeight="1">
      <c r="A100" s="324" t="s">
        <v>352</v>
      </c>
      <c r="B100" s="344">
        <v>1795.2</v>
      </c>
      <c r="C100" s="344">
        <v>1735</v>
      </c>
      <c r="D100" s="344">
        <v>1685</v>
      </c>
      <c r="E100" s="344">
        <v>1461.4</v>
      </c>
      <c r="F100" s="344">
        <v>1576.8</v>
      </c>
      <c r="G100" s="344">
        <v>1635.6</v>
      </c>
      <c r="H100" s="344">
        <v>1406.6</v>
      </c>
      <c r="I100" s="344">
        <v>1519.2</v>
      </c>
      <c r="J100" s="344">
        <v>1496</v>
      </c>
      <c r="K100" s="344">
        <v>1555.8</v>
      </c>
      <c r="L100" s="344">
        <v>1677</v>
      </c>
      <c r="M100" s="344">
        <v>1526</v>
      </c>
      <c r="N100" s="344">
        <v>1492</v>
      </c>
      <c r="O100" s="344">
        <v>1432</v>
      </c>
      <c r="P100" s="344">
        <v>1580</v>
      </c>
      <c r="Q100" s="344">
        <v>1580</v>
      </c>
      <c r="R100" s="344">
        <v>1507.3</v>
      </c>
      <c r="S100" s="344">
        <v>1507.3</v>
      </c>
      <c r="T100" s="344">
        <v>1510</v>
      </c>
      <c r="U100" s="344">
        <v>1374.1</v>
      </c>
      <c r="V100" s="344">
        <v>1401.6</v>
      </c>
      <c r="W100" s="344">
        <v>1261.4000000000001</v>
      </c>
      <c r="X100" s="344">
        <v>1286.5999999999999</v>
      </c>
      <c r="Y100" s="344">
        <v>1209.4000000000001</v>
      </c>
      <c r="Z100" s="344">
        <v>1221.5</v>
      </c>
      <c r="AA100" s="344">
        <v>1164.2</v>
      </c>
      <c r="AB100" s="344">
        <v>1239.9000000000001</v>
      </c>
      <c r="AC100" s="344">
        <v>1320.5</v>
      </c>
      <c r="AD100" s="344">
        <v>1333.7</v>
      </c>
      <c r="AE100" s="344">
        <v>1347</v>
      </c>
      <c r="AF100" s="344">
        <v>1368.6</v>
      </c>
      <c r="AG100" s="344">
        <v>1299.7</v>
      </c>
      <c r="AH100" s="344">
        <v>1259.4000000000001</v>
      </c>
      <c r="AI100" s="344">
        <v>1164.9000000000001</v>
      </c>
      <c r="AJ100" s="344">
        <v>1148</v>
      </c>
      <c r="AK100" s="344">
        <v>1218.5</v>
      </c>
      <c r="AL100" s="344">
        <v>1149.8</v>
      </c>
      <c r="AM100" s="344">
        <v>1098</v>
      </c>
      <c r="AN100" s="344">
        <v>1022.4</v>
      </c>
      <c r="AO100" s="344">
        <v>837.4</v>
      </c>
      <c r="AP100" s="344">
        <v>909.4</v>
      </c>
      <c r="AQ100" s="344">
        <v>825.7</v>
      </c>
      <c r="AR100" s="344">
        <v>748.9</v>
      </c>
      <c r="AS100" s="344">
        <v>720.4</v>
      </c>
      <c r="AT100" s="344">
        <v>819.1</v>
      </c>
      <c r="AU100" s="344">
        <v>839.6</v>
      </c>
      <c r="AV100" s="344">
        <v>781.7</v>
      </c>
      <c r="AW100" s="344">
        <v>684</v>
      </c>
      <c r="AX100" s="344">
        <v>619</v>
      </c>
      <c r="AY100" s="369">
        <v>650.6</v>
      </c>
      <c r="AZ100" s="366">
        <v>650.6</v>
      </c>
      <c r="BA100" s="366">
        <f>AZ100-AY100</f>
        <v>0</v>
      </c>
      <c r="BB100" s="367">
        <f>AY100-AX100</f>
        <v>31.600000000000023</v>
      </c>
      <c r="BC100" s="368">
        <f>AZ100-AX100</f>
        <v>31.600000000000023</v>
      </c>
      <c r="BD100" s="353">
        <f t="shared" si="83"/>
        <v>-2.9884621958211177E-2</v>
      </c>
      <c r="BF100" s="319" t="b">
        <v>0</v>
      </c>
      <c r="BH100" s="311"/>
      <c r="BI100" s="311"/>
      <c r="BJ100" s="311"/>
      <c r="BK100" s="311"/>
    </row>
    <row r="101" spans="1:63" ht="15" customHeight="1">
      <c r="A101" s="324" t="s">
        <v>353</v>
      </c>
      <c r="B101" s="345">
        <v>1523.7299465240642</v>
      </c>
      <c r="C101" s="345">
        <v>1475.5043227665706</v>
      </c>
      <c r="D101" s="345">
        <v>1548.9614243323442</v>
      </c>
      <c r="E101" s="345">
        <v>1879.978103188723</v>
      </c>
      <c r="F101" s="345">
        <v>1793.0618975139525</v>
      </c>
      <c r="G101" s="345">
        <v>1872.6461237466374</v>
      </c>
      <c r="H101" s="345">
        <v>1905.0191952225223</v>
      </c>
      <c r="I101" s="345">
        <v>1660.0184307530278</v>
      </c>
      <c r="J101" s="345">
        <v>2000</v>
      </c>
      <c r="K101" s="345">
        <v>2100.0128551227663</v>
      </c>
      <c r="L101" s="345">
        <v>2000</v>
      </c>
      <c r="M101" s="345">
        <v>2234.9934469200525</v>
      </c>
      <c r="N101" s="345">
        <v>2259.9865951742627</v>
      </c>
      <c r="O101" s="345">
        <v>1644.9720670391062</v>
      </c>
      <c r="P101" s="345">
        <v>2400</v>
      </c>
      <c r="Q101" s="345">
        <v>2470</v>
      </c>
      <c r="R101" s="345">
        <v>2650</v>
      </c>
      <c r="S101" s="345">
        <v>2610</v>
      </c>
      <c r="T101" s="345">
        <v>2750</v>
      </c>
      <c r="U101" s="345">
        <v>2850</v>
      </c>
      <c r="V101" s="345">
        <v>3200</v>
      </c>
      <c r="W101" s="345">
        <v>3000</v>
      </c>
      <c r="X101" s="345">
        <v>3100</v>
      </c>
      <c r="Y101" s="345">
        <v>3370</v>
      </c>
      <c r="Z101" s="345">
        <v>3400</v>
      </c>
      <c r="AA101" s="345">
        <v>4000</v>
      </c>
      <c r="AB101" s="345">
        <v>4200</v>
      </c>
      <c r="AC101" s="345">
        <v>4470</v>
      </c>
      <c r="AD101" s="345">
        <v>4550</v>
      </c>
      <c r="AE101" s="345">
        <v>3850</v>
      </c>
      <c r="AF101" s="345">
        <v>4500</v>
      </c>
      <c r="AG101" s="345">
        <v>4934.1000000000004</v>
      </c>
      <c r="AH101" s="345">
        <v>5056</v>
      </c>
      <c r="AI101" s="345">
        <v>5082</v>
      </c>
      <c r="AJ101" s="345">
        <v>5399</v>
      </c>
      <c r="AK101" s="345">
        <v>5978</v>
      </c>
      <c r="AL101" s="345">
        <v>5944</v>
      </c>
      <c r="AM101" s="345">
        <v>5230</v>
      </c>
      <c r="AN101" s="345">
        <v>5340</v>
      </c>
      <c r="AO101" s="345">
        <v>6100</v>
      </c>
      <c r="AP101" s="345">
        <v>6374</v>
      </c>
      <c r="AQ101" s="345">
        <v>6535</v>
      </c>
      <c r="AR101" s="345">
        <v>6140</v>
      </c>
      <c r="AS101" s="345">
        <v>6486</v>
      </c>
      <c r="AT101" s="345">
        <v>6172</v>
      </c>
      <c r="AU101" s="345">
        <v>6566</v>
      </c>
      <c r="AV101" s="345">
        <v>6590</v>
      </c>
      <c r="AW101" s="345">
        <v>5702</v>
      </c>
      <c r="AX101" s="345">
        <v>6216</v>
      </c>
      <c r="AY101" s="346">
        <v>6431</v>
      </c>
      <c r="AZ101" s="347">
        <v>6431</v>
      </c>
      <c r="BA101" s="347">
        <f>AZ101-AY101</f>
        <v>0</v>
      </c>
      <c r="BB101" s="351">
        <f>AY101-AX101</f>
        <v>215</v>
      </c>
      <c r="BC101" s="352">
        <f>AZ101-AX101</f>
        <v>215</v>
      </c>
      <c r="BD101" s="353">
        <f t="shared" si="83"/>
        <v>-8.4678232620675198E-3</v>
      </c>
    </row>
    <row r="102" spans="1:63" s="311" customFormat="1" ht="15" customHeight="1">
      <c r="A102" s="324" t="s">
        <v>354</v>
      </c>
      <c r="B102" s="344">
        <f>B101*B100/1000</f>
        <v>2735.4</v>
      </c>
      <c r="C102" s="344">
        <v>255</v>
      </c>
      <c r="D102" s="344">
        <v>224</v>
      </c>
      <c r="E102" s="344">
        <v>266</v>
      </c>
      <c r="F102" s="344">
        <v>177</v>
      </c>
      <c r="G102" s="344">
        <v>303</v>
      </c>
      <c r="H102" s="344">
        <v>95</v>
      </c>
      <c r="I102" s="344">
        <v>328</v>
      </c>
      <c r="J102" s="344">
        <v>126</v>
      </c>
      <c r="K102" s="344">
        <v>290</v>
      </c>
      <c r="L102" s="344">
        <v>116</v>
      </c>
      <c r="M102" s="344">
        <v>345</v>
      </c>
      <c r="N102" s="344">
        <v>342</v>
      </c>
      <c r="O102" s="344">
        <v>173</v>
      </c>
      <c r="P102" s="344">
        <v>354.7</v>
      </c>
      <c r="Q102" s="344">
        <v>237.2</v>
      </c>
      <c r="R102" s="344">
        <v>197.4</v>
      </c>
      <c r="S102" s="344">
        <v>413.1</v>
      </c>
      <c r="T102" s="344">
        <v>422.5</v>
      </c>
      <c r="U102" s="344">
        <v>455</v>
      </c>
      <c r="V102" s="344">
        <v>362.7</v>
      </c>
      <c r="W102" s="344">
        <v>209.9</v>
      </c>
      <c r="X102" s="344">
        <v>294.10000000000002</v>
      </c>
      <c r="Y102" s="344">
        <v>313.60000000000002</v>
      </c>
      <c r="Z102" s="344">
        <v>310</v>
      </c>
      <c r="AA102" s="344">
        <v>324.5</v>
      </c>
      <c r="AB102" s="344">
        <v>414.2</v>
      </c>
      <c r="AC102" s="344">
        <v>430.4</v>
      </c>
      <c r="AD102" s="344">
        <v>405.1</v>
      </c>
      <c r="AE102" s="344">
        <v>424.4</v>
      </c>
      <c r="AF102" s="344">
        <v>447.1</v>
      </c>
      <c r="AG102" s="344">
        <v>490.4</v>
      </c>
      <c r="AH102" s="344">
        <v>504.1</v>
      </c>
      <c r="AI102" s="344">
        <v>562.1</v>
      </c>
      <c r="AJ102" s="344">
        <v>879.7</v>
      </c>
      <c r="AK102" s="344">
        <v>731.6</v>
      </c>
      <c r="AL102" s="344">
        <v>1309.4000000000001</v>
      </c>
      <c r="AM102" s="344">
        <v>1725.9</v>
      </c>
      <c r="AN102" s="344">
        <v>1469.2</v>
      </c>
      <c r="AO102" s="344">
        <v>874.4</v>
      </c>
      <c r="AP102" s="344">
        <v>1951.9</v>
      </c>
      <c r="AQ102" s="344">
        <v>1884</v>
      </c>
      <c r="AR102" s="344">
        <v>1792.5</v>
      </c>
      <c r="AS102" s="344">
        <v>2196.3000000000002</v>
      </c>
      <c r="AT102" s="344">
        <f t="shared" ref="AT102" si="126">AT101*AT100/1000</f>
        <v>5055.4852000000001</v>
      </c>
      <c r="AU102" s="344">
        <f t="shared" ref="AU102" si="127">AU101*AU100/1000</f>
        <v>5512.8136000000004</v>
      </c>
      <c r="AV102" s="344">
        <f t="shared" ref="AV102" si="128">AV101*AV100/1000</f>
        <v>5151.4030000000002</v>
      </c>
      <c r="AW102" s="344">
        <f t="shared" ref="AW102" si="129">AW101*AW100/1000</f>
        <v>3900.1680000000001</v>
      </c>
      <c r="AX102" s="344">
        <f t="shared" ref="AX102" si="130">AX101*AX100/1000</f>
        <v>3847.7040000000002</v>
      </c>
      <c r="AY102" s="365">
        <f t="shared" ref="AY102" si="131">AY101*AY100/1000</f>
        <v>4184.0086000000001</v>
      </c>
      <c r="AZ102" s="366">
        <f>AZ101*AZ100/1000</f>
        <v>4184.0086000000001</v>
      </c>
      <c r="BA102" s="366">
        <f>AZ102-AY102</f>
        <v>0</v>
      </c>
      <c r="BB102" s="367">
        <f>AY102-AX102</f>
        <v>336.30459999999994</v>
      </c>
      <c r="BC102" s="368">
        <f>AZ102-AX102</f>
        <v>336.30459999999994</v>
      </c>
      <c r="BD102" s="353">
        <f t="shared" si="83"/>
        <v>0.11867001836369928</v>
      </c>
      <c r="BE102" s="309"/>
      <c r="BF102"/>
      <c r="BG102" s="308"/>
    </row>
    <row r="103" spans="1:63" ht="15" customHeight="1">
      <c r="A103" s="320" t="s">
        <v>381</v>
      </c>
      <c r="B103" s="356"/>
      <c r="C103" s="356"/>
      <c r="D103" s="356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6"/>
      <c r="P103" s="356"/>
      <c r="Q103" s="356"/>
      <c r="R103" s="356"/>
      <c r="S103" s="356"/>
      <c r="T103" s="356"/>
      <c r="U103" s="356"/>
      <c r="V103" s="356"/>
      <c r="W103" s="356"/>
      <c r="X103" s="356"/>
      <c r="Y103" s="356"/>
      <c r="Z103" s="356"/>
      <c r="AA103" s="356"/>
      <c r="AB103" s="356"/>
      <c r="AC103" s="356"/>
      <c r="AD103" s="356"/>
      <c r="AE103" s="356"/>
      <c r="AF103" s="356"/>
      <c r="AG103" s="356"/>
      <c r="AH103" s="356"/>
      <c r="AI103" s="356"/>
      <c r="AJ103" s="356"/>
      <c r="AK103" s="356"/>
      <c r="AL103" s="356"/>
      <c r="AM103" s="356"/>
      <c r="AN103" s="356"/>
      <c r="AO103" s="356"/>
      <c r="AP103" s="356"/>
      <c r="AQ103" s="356"/>
      <c r="AR103" s="356"/>
      <c r="AS103" s="356"/>
      <c r="AT103" s="328"/>
      <c r="AU103" s="328"/>
      <c r="AV103" s="328"/>
      <c r="AW103" s="328"/>
      <c r="AX103" s="328"/>
      <c r="AY103" s="321"/>
      <c r="AZ103" s="328"/>
      <c r="BA103" s="329"/>
      <c r="BB103" s="321"/>
      <c r="BC103" s="328"/>
      <c r="BD103" s="329"/>
    </row>
    <row r="104" spans="1:63" ht="15" customHeight="1">
      <c r="A104" s="324" t="s">
        <v>352</v>
      </c>
      <c r="B104" s="344">
        <v>206.8</v>
      </c>
      <c r="C104" s="344">
        <v>193</v>
      </c>
      <c r="D104" s="344">
        <v>150</v>
      </c>
      <c r="E104" s="344">
        <v>152.6</v>
      </c>
      <c r="F104" s="344">
        <v>144</v>
      </c>
      <c r="G104" s="344">
        <v>140.4</v>
      </c>
      <c r="H104" s="344">
        <v>117</v>
      </c>
      <c r="I104" s="344">
        <v>138</v>
      </c>
      <c r="J104" s="344">
        <v>130</v>
      </c>
      <c r="K104" s="344">
        <v>130</v>
      </c>
      <c r="L104" s="344">
        <v>128.69999999999999</v>
      </c>
      <c r="M104" s="344">
        <v>115.8</v>
      </c>
      <c r="N104" s="344">
        <v>127.4</v>
      </c>
      <c r="O104" s="344">
        <v>115.5</v>
      </c>
      <c r="P104" s="344">
        <v>115.5</v>
      </c>
      <c r="Q104" s="344">
        <v>120</v>
      </c>
      <c r="R104" s="344">
        <v>121.2</v>
      </c>
      <c r="S104" s="344">
        <v>110.4</v>
      </c>
      <c r="T104" s="344">
        <v>71</v>
      </c>
      <c r="U104" s="344">
        <v>91</v>
      </c>
      <c r="V104" s="344">
        <v>59</v>
      </c>
      <c r="W104" s="344">
        <v>56</v>
      </c>
      <c r="X104" s="344">
        <v>51.5</v>
      </c>
      <c r="Y104" s="344">
        <v>46.4</v>
      </c>
      <c r="Z104" s="344">
        <v>46.9</v>
      </c>
      <c r="AA104" s="344">
        <v>50.2</v>
      </c>
      <c r="AB104" s="344">
        <v>52.7</v>
      </c>
      <c r="AC104" s="344">
        <v>49.5</v>
      </c>
      <c r="AD104" s="344">
        <v>46</v>
      </c>
      <c r="AE104" s="344">
        <v>39.799999999999997</v>
      </c>
      <c r="AF104" s="344">
        <v>37.799999999999997</v>
      </c>
      <c r="AG104" s="344">
        <v>37.4</v>
      </c>
      <c r="AH104" s="344">
        <v>37.6</v>
      </c>
      <c r="AI104" s="344">
        <v>34.5</v>
      </c>
      <c r="AJ104" s="344">
        <v>34.299999999999997</v>
      </c>
      <c r="AK104" s="344">
        <v>31.5</v>
      </c>
      <c r="AL104" s="344">
        <v>24.1</v>
      </c>
      <c r="AM104" s="344">
        <v>22.3</v>
      </c>
      <c r="AN104" s="344">
        <v>17.8</v>
      </c>
      <c r="AO104" s="344">
        <v>13.6</v>
      </c>
      <c r="AP104" s="344">
        <v>13.2</v>
      </c>
      <c r="AQ104" s="344">
        <v>13.4</v>
      </c>
      <c r="AR104" s="344">
        <v>11.8</v>
      </c>
      <c r="AS104" s="344">
        <v>11.5</v>
      </c>
      <c r="AT104" s="344">
        <v>12.5</v>
      </c>
      <c r="AU104" s="344">
        <v>11.9</v>
      </c>
      <c r="AV104" s="344">
        <v>15.1</v>
      </c>
      <c r="AW104" s="344">
        <v>13.8</v>
      </c>
      <c r="AX104" s="344">
        <v>13.6</v>
      </c>
      <c r="AY104" s="369">
        <v>13.8</v>
      </c>
      <c r="AZ104" s="366">
        <v>13.8</v>
      </c>
      <c r="BA104" s="366">
        <f>AZ104-AY104</f>
        <v>0</v>
      </c>
      <c r="BB104" s="367">
        <f>AY104-AX104</f>
        <v>0.20000000000000107</v>
      </c>
      <c r="BC104" s="368">
        <f>AZ104-AX104</f>
        <v>0.20000000000000107</v>
      </c>
      <c r="BD104" s="353">
        <f t="shared" si="83"/>
        <v>3.4113513981932631E-2</v>
      </c>
    </row>
    <row r="105" spans="1:63" ht="15" customHeight="1">
      <c r="A105" s="324" t="s">
        <v>353</v>
      </c>
      <c r="B105" s="345">
        <v>1260.154738878143</v>
      </c>
      <c r="C105" s="345">
        <v>1264.2487046632125</v>
      </c>
      <c r="D105" s="345">
        <v>1160</v>
      </c>
      <c r="E105" s="345">
        <v>1353.2110091743118</v>
      </c>
      <c r="F105" s="345">
        <v>1548.6111111111111</v>
      </c>
      <c r="G105" s="345">
        <v>1585.4700854700855</v>
      </c>
      <c r="H105" s="345">
        <v>1459.82905982906</v>
      </c>
      <c r="I105" s="345">
        <v>1500</v>
      </c>
      <c r="J105" s="345">
        <v>1770</v>
      </c>
      <c r="K105" s="345">
        <v>1800</v>
      </c>
      <c r="L105" s="345">
        <v>1979.7979797979801</v>
      </c>
      <c r="M105" s="345">
        <v>1774.6113989637306</v>
      </c>
      <c r="N105" s="345">
        <v>2130.2982731554157</v>
      </c>
      <c r="O105" s="345">
        <v>1574.891774891775</v>
      </c>
      <c r="P105" s="345">
        <v>2500</v>
      </c>
      <c r="Q105" s="345">
        <v>2350</v>
      </c>
      <c r="R105" s="345">
        <v>2600</v>
      </c>
      <c r="S105" s="345">
        <v>2010</v>
      </c>
      <c r="T105" s="345">
        <v>1450</v>
      </c>
      <c r="U105" s="345">
        <v>2400</v>
      </c>
      <c r="V105" s="345">
        <v>2500</v>
      </c>
      <c r="W105" s="345">
        <v>2400</v>
      </c>
      <c r="X105" s="345">
        <v>2390</v>
      </c>
      <c r="Y105" s="345">
        <v>2395</v>
      </c>
      <c r="Z105" s="345">
        <v>2750</v>
      </c>
      <c r="AA105" s="345">
        <v>2750</v>
      </c>
      <c r="AB105" s="345">
        <v>2750</v>
      </c>
      <c r="AC105" s="345">
        <v>2530</v>
      </c>
      <c r="AD105" s="345">
        <v>2600</v>
      </c>
      <c r="AE105" s="345">
        <v>2100</v>
      </c>
      <c r="AF105" s="345">
        <v>2400</v>
      </c>
      <c r="AG105" s="345">
        <v>2548</v>
      </c>
      <c r="AH105" s="345">
        <v>2576</v>
      </c>
      <c r="AI105" s="345">
        <v>2151</v>
      </c>
      <c r="AJ105" s="345">
        <v>2381</v>
      </c>
      <c r="AK105" s="345">
        <v>2429</v>
      </c>
      <c r="AL105" s="345">
        <v>2547</v>
      </c>
      <c r="AM105" s="345">
        <v>2711</v>
      </c>
      <c r="AN105" s="345">
        <v>1363</v>
      </c>
      <c r="AO105" s="345">
        <v>2910</v>
      </c>
      <c r="AP105" s="345">
        <v>2832</v>
      </c>
      <c r="AQ105" s="345">
        <v>2995</v>
      </c>
      <c r="AR105" s="345">
        <v>2701</v>
      </c>
      <c r="AS105" s="345">
        <v>2891</v>
      </c>
      <c r="AT105" s="345">
        <v>2870</v>
      </c>
      <c r="AU105" s="345">
        <v>2960</v>
      </c>
      <c r="AV105" s="345">
        <v>3325</v>
      </c>
      <c r="AW105" s="345">
        <v>3287</v>
      </c>
      <c r="AX105" s="345">
        <v>3537</v>
      </c>
      <c r="AY105" s="346">
        <v>3286</v>
      </c>
      <c r="AZ105" s="347">
        <v>3286</v>
      </c>
      <c r="BA105" s="347">
        <f>AZ105-AY105</f>
        <v>0</v>
      </c>
      <c r="BB105" s="351">
        <f>AY105-AX105</f>
        <v>-251</v>
      </c>
      <c r="BC105" s="352">
        <f>AZ105-AX105</f>
        <v>-251</v>
      </c>
      <c r="BD105" s="353">
        <f t="shared" si="83"/>
        <v>4.1159805561747476E-2</v>
      </c>
    </row>
    <row r="106" spans="1:63" s="311" customFormat="1" ht="15" customHeight="1">
      <c r="A106" s="324" t="s">
        <v>354</v>
      </c>
      <c r="B106" s="344">
        <f>B105*B104/1000</f>
        <v>260.60000000000002</v>
      </c>
      <c r="C106" s="344">
        <v>255</v>
      </c>
      <c r="D106" s="344">
        <v>224</v>
      </c>
      <c r="E106" s="344">
        <v>266</v>
      </c>
      <c r="F106" s="344">
        <v>177</v>
      </c>
      <c r="G106" s="344">
        <v>303</v>
      </c>
      <c r="H106" s="344">
        <v>95</v>
      </c>
      <c r="I106" s="344">
        <v>328</v>
      </c>
      <c r="J106" s="344">
        <v>126</v>
      </c>
      <c r="K106" s="344">
        <v>290</v>
      </c>
      <c r="L106" s="344">
        <v>116</v>
      </c>
      <c r="M106" s="344">
        <v>345</v>
      </c>
      <c r="N106" s="344">
        <v>342</v>
      </c>
      <c r="O106" s="344">
        <v>173</v>
      </c>
      <c r="P106" s="344">
        <v>354.7</v>
      </c>
      <c r="Q106" s="344">
        <v>237.2</v>
      </c>
      <c r="R106" s="344">
        <v>197.4</v>
      </c>
      <c r="S106" s="344">
        <v>413.1</v>
      </c>
      <c r="T106" s="344">
        <v>422.5</v>
      </c>
      <c r="U106" s="344">
        <v>455</v>
      </c>
      <c r="V106" s="344">
        <v>362.7</v>
      </c>
      <c r="W106" s="344">
        <v>209.9</v>
      </c>
      <c r="X106" s="344">
        <v>294.10000000000002</v>
      </c>
      <c r="Y106" s="344">
        <v>313.60000000000002</v>
      </c>
      <c r="Z106" s="344">
        <v>310</v>
      </c>
      <c r="AA106" s="344">
        <v>324.5</v>
      </c>
      <c r="AB106" s="344">
        <v>414.2</v>
      </c>
      <c r="AC106" s="344">
        <v>430.4</v>
      </c>
      <c r="AD106" s="344">
        <v>405.1</v>
      </c>
      <c r="AE106" s="344">
        <v>424.4</v>
      </c>
      <c r="AF106" s="344">
        <v>447.1</v>
      </c>
      <c r="AG106" s="344">
        <v>490.4</v>
      </c>
      <c r="AH106" s="344">
        <v>504.1</v>
      </c>
      <c r="AI106" s="344">
        <v>562.1</v>
      </c>
      <c r="AJ106" s="344">
        <v>879.7</v>
      </c>
      <c r="AK106" s="344">
        <v>731.6</v>
      </c>
      <c r="AL106" s="344">
        <v>1309.4000000000001</v>
      </c>
      <c r="AM106" s="344">
        <v>1725.9</v>
      </c>
      <c r="AN106" s="344">
        <v>1469.2</v>
      </c>
      <c r="AO106" s="344">
        <v>874.4</v>
      </c>
      <c r="AP106" s="344">
        <v>1951.9</v>
      </c>
      <c r="AQ106" s="344">
        <v>1884</v>
      </c>
      <c r="AR106" s="344">
        <v>1792.5</v>
      </c>
      <c r="AS106" s="344">
        <v>2196.3000000000002</v>
      </c>
      <c r="AT106" s="344">
        <f t="shared" ref="AT106" si="132">AT105*AT104/1000</f>
        <v>35.875</v>
      </c>
      <c r="AU106" s="344">
        <f t="shared" ref="AU106" si="133">AU105*AU104/1000</f>
        <v>35.223999999999997</v>
      </c>
      <c r="AV106" s="344">
        <f t="shared" ref="AV106" si="134">AV105*AV104/1000</f>
        <v>50.207500000000003</v>
      </c>
      <c r="AW106" s="344">
        <f t="shared" ref="AW106" si="135">AW105*AW104/1000</f>
        <v>45.360600000000005</v>
      </c>
      <c r="AX106" s="344">
        <f t="shared" ref="AX106" si="136">AX105*AX104/1000</f>
        <v>48.103199999999994</v>
      </c>
      <c r="AY106" s="365">
        <f t="shared" ref="AY106" si="137">AY105*AY104/1000</f>
        <v>45.346800000000002</v>
      </c>
      <c r="AZ106" s="366">
        <f>AZ105*AZ104/1000</f>
        <v>45.346800000000002</v>
      </c>
      <c r="BA106" s="366">
        <f>AZ106-AY106</f>
        <v>0</v>
      </c>
      <c r="BB106" s="367">
        <f>AY106-AX106</f>
        <v>-2.7563999999999922</v>
      </c>
      <c r="BC106" s="368">
        <f>AZ106-AX106</f>
        <v>-2.7563999999999922</v>
      </c>
      <c r="BD106" s="353">
        <f t="shared" si="83"/>
        <v>-0.53431048347696297</v>
      </c>
      <c r="BE106" s="309"/>
      <c r="BF106"/>
      <c r="BG106" s="308"/>
    </row>
    <row r="107" spans="1:63" ht="15" customHeight="1">
      <c r="A107" s="320" t="s">
        <v>382</v>
      </c>
      <c r="B107" s="356"/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  <c r="Z107" s="356"/>
      <c r="AA107" s="356"/>
      <c r="AB107" s="356"/>
      <c r="AC107" s="356"/>
      <c r="AD107" s="356"/>
      <c r="AE107" s="356"/>
      <c r="AF107" s="356"/>
      <c r="AG107" s="356"/>
      <c r="AH107" s="356"/>
      <c r="AI107" s="356"/>
      <c r="AJ107" s="356"/>
      <c r="AK107" s="356"/>
      <c r="AL107" s="356"/>
      <c r="AM107" s="356"/>
      <c r="AN107" s="356"/>
      <c r="AO107" s="356"/>
      <c r="AP107" s="356"/>
      <c r="AQ107" s="356"/>
      <c r="AR107" s="356"/>
      <c r="AS107" s="356"/>
      <c r="AT107" s="328"/>
      <c r="AU107" s="328"/>
      <c r="AV107" s="328"/>
      <c r="AW107" s="328"/>
      <c r="AX107" s="328"/>
      <c r="AY107" s="321"/>
      <c r="AZ107" s="328"/>
      <c r="BA107" s="329"/>
      <c r="BB107" s="321"/>
      <c r="BC107" s="328"/>
      <c r="BD107" s="329"/>
    </row>
    <row r="108" spans="1:63" ht="15" customHeight="1">
      <c r="A108" s="324" t="s">
        <v>352</v>
      </c>
      <c r="B108" s="344">
        <v>55</v>
      </c>
      <c r="C108" s="344">
        <v>50</v>
      </c>
      <c r="D108" s="344">
        <v>39</v>
      </c>
      <c r="E108" s="344">
        <v>42</v>
      </c>
      <c r="F108" s="344">
        <v>43</v>
      </c>
      <c r="G108" s="344">
        <v>47.3</v>
      </c>
      <c r="H108" s="344">
        <v>47.3</v>
      </c>
      <c r="I108" s="344">
        <v>47.3</v>
      </c>
      <c r="J108" s="344">
        <v>42</v>
      </c>
      <c r="K108" s="344">
        <v>42</v>
      </c>
      <c r="L108" s="344">
        <v>33.6</v>
      </c>
      <c r="M108" s="344">
        <v>34.5</v>
      </c>
      <c r="N108" s="344">
        <v>36.799999999999997</v>
      </c>
      <c r="O108" s="344">
        <v>33.200000000000003</v>
      </c>
      <c r="P108" s="344">
        <v>26</v>
      </c>
      <c r="Q108" s="344">
        <v>31</v>
      </c>
      <c r="R108" s="344">
        <v>33.200000000000003</v>
      </c>
      <c r="S108" s="344">
        <v>29.6</v>
      </c>
      <c r="T108" s="344">
        <v>22.5</v>
      </c>
      <c r="U108" s="344">
        <v>21.8</v>
      </c>
      <c r="V108" s="344">
        <v>20.5</v>
      </c>
      <c r="W108" s="344">
        <v>17.8</v>
      </c>
      <c r="X108" s="344">
        <v>18</v>
      </c>
      <c r="Y108" s="344">
        <v>16.399999999999999</v>
      </c>
      <c r="Z108" s="344">
        <v>14.4</v>
      </c>
      <c r="AA108" s="344">
        <v>11.8</v>
      </c>
      <c r="AB108" s="344">
        <v>9.6999999999999993</v>
      </c>
      <c r="AC108" s="344">
        <v>11.4</v>
      </c>
      <c r="AD108" s="344">
        <v>11.6</v>
      </c>
      <c r="AE108" s="344">
        <v>11.1</v>
      </c>
      <c r="AF108" s="344">
        <v>10.7</v>
      </c>
      <c r="AG108" s="344">
        <v>8.1</v>
      </c>
      <c r="AH108" s="344">
        <v>8.3000000000000007</v>
      </c>
      <c r="AI108" s="344">
        <v>7</v>
      </c>
      <c r="AJ108" s="344">
        <v>7.2</v>
      </c>
      <c r="AK108" s="344">
        <v>6.1</v>
      </c>
      <c r="AL108" s="344">
        <v>5.9</v>
      </c>
      <c r="AM108" s="344">
        <v>4.4000000000000004</v>
      </c>
      <c r="AN108" s="344">
        <v>2.6</v>
      </c>
      <c r="AO108" s="344">
        <v>2</v>
      </c>
      <c r="AP108" s="344">
        <v>2.7</v>
      </c>
      <c r="AQ108" s="344">
        <v>1</v>
      </c>
      <c r="AR108" s="344">
        <v>1.2</v>
      </c>
      <c r="AS108" s="344">
        <v>1.1000000000000001</v>
      </c>
      <c r="AT108" s="344">
        <v>1.4</v>
      </c>
      <c r="AU108" s="344">
        <v>1.8</v>
      </c>
      <c r="AV108" s="344">
        <v>2</v>
      </c>
      <c r="AW108" s="344">
        <v>1.5</v>
      </c>
      <c r="AX108" s="344">
        <v>1.5</v>
      </c>
      <c r="AY108" s="369">
        <v>1.8</v>
      </c>
      <c r="AZ108" s="366">
        <v>1.8</v>
      </c>
      <c r="BA108" s="366">
        <f>AZ108-AY108</f>
        <v>0</v>
      </c>
      <c r="BB108" s="367">
        <f>AY108-AX108</f>
        <v>0.30000000000000004</v>
      </c>
      <c r="BC108" s="368">
        <f>AZ108-AX108</f>
        <v>0.30000000000000004</v>
      </c>
      <c r="BD108" s="353">
        <f t="shared" si="83"/>
        <v>6.3995312815083638E-2</v>
      </c>
    </row>
    <row r="109" spans="1:63" ht="15" customHeight="1">
      <c r="A109" s="324" t="s">
        <v>353</v>
      </c>
      <c r="B109" s="345">
        <v>900</v>
      </c>
      <c r="C109" s="345">
        <v>900</v>
      </c>
      <c r="D109" s="345">
        <v>948.71794871794873</v>
      </c>
      <c r="E109" s="345">
        <v>1088.0952380952383</v>
      </c>
      <c r="F109" s="345">
        <v>1139.5348837209303</v>
      </c>
      <c r="G109" s="345">
        <v>1422.832980972516</v>
      </c>
      <c r="H109" s="345">
        <v>1399.5771670190275</v>
      </c>
      <c r="I109" s="345">
        <v>1460.8879492600422</v>
      </c>
      <c r="J109" s="345">
        <v>1600</v>
      </c>
      <c r="K109" s="345">
        <v>1547.6190476190477</v>
      </c>
      <c r="L109" s="345">
        <v>1550.5952380952381</v>
      </c>
      <c r="M109" s="345">
        <v>1759.4202898550725</v>
      </c>
      <c r="N109" s="345">
        <v>1769.0217391304348</v>
      </c>
      <c r="O109" s="345">
        <v>1400.602409638554</v>
      </c>
      <c r="P109" s="345">
        <v>1760</v>
      </c>
      <c r="Q109" s="345">
        <v>1860</v>
      </c>
      <c r="R109" s="345">
        <v>2000</v>
      </c>
      <c r="S109" s="345">
        <v>1840</v>
      </c>
      <c r="T109" s="345">
        <v>1430</v>
      </c>
      <c r="U109" s="345">
        <v>1950</v>
      </c>
      <c r="V109" s="345">
        <v>1950</v>
      </c>
      <c r="W109" s="345">
        <v>2460</v>
      </c>
      <c r="X109" s="345">
        <v>2000</v>
      </c>
      <c r="Y109" s="345">
        <v>1970</v>
      </c>
      <c r="Z109" s="345">
        <v>1950</v>
      </c>
      <c r="AA109" s="345">
        <v>2280</v>
      </c>
      <c r="AB109" s="345">
        <v>2280</v>
      </c>
      <c r="AC109" s="345">
        <v>2100</v>
      </c>
      <c r="AD109" s="345">
        <v>2280</v>
      </c>
      <c r="AE109" s="345">
        <v>2400</v>
      </c>
      <c r="AF109" s="345">
        <v>2200</v>
      </c>
      <c r="AG109" s="345">
        <v>2442</v>
      </c>
      <c r="AH109" s="345">
        <v>2455</v>
      </c>
      <c r="AI109" s="345">
        <v>2507</v>
      </c>
      <c r="AJ109" s="345">
        <v>2350.67</v>
      </c>
      <c r="AK109" s="345">
        <v>2435</v>
      </c>
      <c r="AL109" s="345">
        <v>2250</v>
      </c>
      <c r="AM109" s="345">
        <v>2332</v>
      </c>
      <c r="AN109" s="345">
        <v>2394</v>
      </c>
      <c r="AO109" s="345">
        <v>2600</v>
      </c>
      <c r="AP109" s="345">
        <v>2332</v>
      </c>
      <c r="AQ109" s="345">
        <v>3069</v>
      </c>
      <c r="AR109" s="345">
        <v>3007</v>
      </c>
      <c r="AS109" s="345">
        <v>3295</v>
      </c>
      <c r="AT109" s="345">
        <v>3620</v>
      </c>
      <c r="AU109" s="345">
        <v>3982</v>
      </c>
      <c r="AV109" s="345">
        <v>4183</v>
      </c>
      <c r="AW109" s="345">
        <v>4544</v>
      </c>
      <c r="AX109" s="345">
        <v>4655</v>
      </c>
      <c r="AY109" s="346">
        <v>4534</v>
      </c>
      <c r="AZ109" s="347">
        <v>4534</v>
      </c>
      <c r="BA109" s="347">
        <f>AZ109-AY109</f>
        <v>0</v>
      </c>
      <c r="BB109" s="351">
        <f>AY109-AX109</f>
        <v>-121</v>
      </c>
      <c r="BC109" s="352">
        <f>AZ109-AX109</f>
        <v>-121</v>
      </c>
      <c r="BD109" s="353">
        <f t="shared" si="83"/>
        <v>7.155101814053566E-2</v>
      </c>
    </row>
    <row r="110" spans="1:63" s="311" customFormat="1" ht="15" customHeight="1">
      <c r="A110" s="324" t="s">
        <v>354</v>
      </c>
      <c r="B110" s="344">
        <f>B109*B108/1000</f>
        <v>49.5</v>
      </c>
      <c r="C110" s="344">
        <v>255</v>
      </c>
      <c r="D110" s="344">
        <v>224</v>
      </c>
      <c r="E110" s="344">
        <v>266</v>
      </c>
      <c r="F110" s="344">
        <v>177</v>
      </c>
      <c r="G110" s="344">
        <v>303</v>
      </c>
      <c r="H110" s="344">
        <v>95</v>
      </c>
      <c r="I110" s="344">
        <v>328</v>
      </c>
      <c r="J110" s="344">
        <v>126</v>
      </c>
      <c r="K110" s="344">
        <v>290</v>
      </c>
      <c r="L110" s="344">
        <v>116</v>
      </c>
      <c r="M110" s="344">
        <v>345</v>
      </c>
      <c r="N110" s="344">
        <v>342</v>
      </c>
      <c r="O110" s="344">
        <v>173</v>
      </c>
      <c r="P110" s="344">
        <v>354.7</v>
      </c>
      <c r="Q110" s="344">
        <v>237.2</v>
      </c>
      <c r="R110" s="344">
        <v>197.4</v>
      </c>
      <c r="S110" s="344">
        <v>413.1</v>
      </c>
      <c r="T110" s="344">
        <v>422.5</v>
      </c>
      <c r="U110" s="344">
        <v>455</v>
      </c>
      <c r="V110" s="344">
        <v>362.7</v>
      </c>
      <c r="W110" s="344">
        <v>209.9</v>
      </c>
      <c r="X110" s="344">
        <v>294.10000000000002</v>
      </c>
      <c r="Y110" s="344">
        <v>313.60000000000002</v>
      </c>
      <c r="Z110" s="344">
        <v>310</v>
      </c>
      <c r="AA110" s="344">
        <v>324.5</v>
      </c>
      <c r="AB110" s="344">
        <v>414.2</v>
      </c>
      <c r="AC110" s="344">
        <v>430.4</v>
      </c>
      <c r="AD110" s="344">
        <v>405.1</v>
      </c>
      <c r="AE110" s="344">
        <v>424.4</v>
      </c>
      <c r="AF110" s="344">
        <v>447.1</v>
      </c>
      <c r="AG110" s="344">
        <v>490.4</v>
      </c>
      <c r="AH110" s="344">
        <v>504.1</v>
      </c>
      <c r="AI110" s="344">
        <v>562.1</v>
      </c>
      <c r="AJ110" s="344">
        <v>879.7</v>
      </c>
      <c r="AK110" s="344">
        <v>731.6</v>
      </c>
      <c r="AL110" s="344">
        <v>1309.4000000000001</v>
      </c>
      <c r="AM110" s="344">
        <v>1725.9</v>
      </c>
      <c r="AN110" s="344">
        <v>1469.2</v>
      </c>
      <c r="AO110" s="344">
        <v>874.4</v>
      </c>
      <c r="AP110" s="344">
        <v>1951.9</v>
      </c>
      <c r="AQ110" s="344">
        <v>1884</v>
      </c>
      <c r="AR110" s="344">
        <v>1792.5</v>
      </c>
      <c r="AS110" s="344">
        <v>2196.3000000000002</v>
      </c>
      <c r="AT110" s="344">
        <f t="shared" ref="AT110" si="138">AT109*AT108/1000</f>
        <v>5.0679999999999996</v>
      </c>
      <c r="AU110" s="344">
        <f t="shared" ref="AU110" si="139">AU109*AU108/1000</f>
        <v>7.1676000000000002</v>
      </c>
      <c r="AV110" s="344">
        <f t="shared" ref="AV110" si="140">AV109*AV108/1000</f>
        <v>8.3659999999999997</v>
      </c>
      <c r="AW110" s="344">
        <f t="shared" ref="AW110" si="141">AW109*AW108/1000</f>
        <v>6.8159999999999998</v>
      </c>
      <c r="AX110" s="344">
        <f t="shared" ref="AX110" si="142">AX109*AX108/1000</f>
        <v>6.9824999999999999</v>
      </c>
      <c r="AY110" s="365">
        <f t="shared" ref="AY110" si="143">AY109*AY108/1000</f>
        <v>8.1611999999999991</v>
      </c>
      <c r="AZ110" s="366">
        <f>AZ109*AZ108/1000</f>
        <v>8.1611999999999991</v>
      </c>
      <c r="BA110" s="366">
        <f>AZ110-AY110</f>
        <v>0</v>
      </c>
      <c r="BB110" s="367">
        <f>AY110-AX110</f>
        <v>1.1786999999999992</v>
      </c>
      <c r="BC110" s="368">
        <f>AZ110-AX110</f>
        <v>1.1786999999999992</v>
      </c>
      <c r="BD110" s="353">
        <f t="shared" si="83"/>
        <v>-0.68343430040989817</v>
      </c>
      <c r="BE110" s="309"/>
      <c r="BF110"/>
      <c r="BG110" s="308"/>
    </row>
    <row r="111" spans="1:63" ht="15" customHeight="1">
      <c r="A111" s="320" t="s">
        <v>383</v>
      </c>
      <c r="B111" s="356"/>
      <c r="C111" s="356"/>
      <c r="D111" s="356"/>
      <c r="E111" s="356"/>
      <c r="F111" s="356"/>
      <c r="G111" s="356"/>
      <c r="H111" s="356"/>
      <c r="I111" s="356"/>
      <c r="J111" s="356"/>
      <c r="K111" s="356"/>
      <c r="L111" s="356"/>
      <c r="M111" s="356"/>
      <c r="N111" s="356"/>
      <c r="O111" s="356"/>
      <c r="P111" s="356"/>
      <c r="Q111" s="356"/>
      <c r="R111" s="356"/>
      <c r="S111" s="356"/>
      <c r="T111" s="356"/>
      <c r="U111" s="356"/>
      <c r="V111" s="356"/>
      <c r="W111" s="356"/>
      <c r="X111" s="356"/>
      <c r="Y111" s="356"/>
      <c r="Z111" s="356"/>
      <c r="AA111" s="356"/>
      <c r="AB111" s="356"/>
      <c r="AC111" s="356"/>
      <c r="AD111" s="356"/>
      <c r="AE111" s="356"/>
      <c r="AF111" s="356"/>
      <c r="AG111" s="356"/>
      <c r="AH111" s="356"/>
      <c r="AI111" s="356"/>
      <c r="AJ111" s="356"/>
      <c r="AK111" s="356"/>
      <c r="AL111" s="356"/>
      <c r="AM111" s="356"/>
      <c r="AN111" s="356"/>
      <c r="AO111" s="356"/>
      <c r="AP111" s="356"/>
      <c r="AQ111" s="356"/>
      <c r="AR111" s="356"/>
      <c r="AS111" s="356"/>
      <c r="AT111" s="328"/>
      <c r="AU111" s="328"/>
      <c r="AV111" s="328"/>
      <c r="AW111" s="328"/>
      <c r="AX111" s="328"/>
      <c r="AY111" s="321"/>
      <c r="AZ111" s="328"/>
      <c r="BA111" s="329"/>
      <c r="BB111" s="321"/>
      <c r="BC111" s="328"/>
      <c r="BD111" s="329"/>
    </row>
    <row r="112" spans="1:63" ht="15" customHeight="1">
      <c r="A112" s="324" t="s">
        <v>352</v>
      </c>
      <c r="B112" s="344">
        <v>1134</v>
      </c>
      <c r="C112" s="344">
        <v>991</v>
      </c>
      <c r="D112" s="344">
        <v>1185</v>
      </c>
      <c r="E112" s="344">
        <v>1075</v>
      </c>
      <c r="F112" s="344">
        <v>1177</v>
      </c>
      <c r="G112" s="344">
        <v>1330.7</v>
      </c>
      <c r="H112" s="344">
        <v>1217</v>
      </c>
      <c r="I112" s="344">
        <v>1241</v>
      </c>
      <c r="J112" s="344">
        <v>1166</v>
      </c>
      <c r="K112" s="344">
        <v>1280</v>
      </c>
      <c r="L112" s="344">
        <v>1382.4</v>
      </c>
      <c r="M112" s="344">
        <v>1227</v>
      </c>
      <c r="N112" s="344">
        <v>1227</v>
      </c>
      <c r="O112" s="344">
        <v>1169</v>
      </c>
      <c r="P112" s="344">
        <v>1222</v>
      </c>
      <c r="Q112" s="344">
        <v>1283.0999999999999</v>
      </c>
      <c r="R112" s="344">
        <v>1065</v>
      </c>
      <c r="S112" s="344">
        <v>930</v>
      </c>
      <c r="T112" s="344">
        <v>920.7</v>
      </c>
      <c r="U112" s="344">
        <v>791.8</v>
      </c>
      <c r="V112" s="344">
        <v>815.6</v>
      </c>
      <c r="W112" s="344">
        <v>774.8</v>
      </c>
      <c r="X112" s="344">
        <v>792.6</v>
      </c>
      <c r="Y112" s="344">
        <v>753</v>
      </c>
      <c r="Z112" s="344">
        <v>790.7</v>
      </c>
      <c r="AA112" s="344">
        <v>751.2</v>
      </c>
      <c r="AB112" s="344">
        <v>758.7</v>
      </c>
      <c r="AC112" s="344">
        <v>729.1</v>
      </c>
      <c r="AD112" s="344">
        <v>751</v>
      </c>
      <c r="AE112" s="344">
        <v>781</v>
      </c>
      <c r="AF112" s="344">
        <v>710.7</v>
      </c>
      <c r="AG112" s="344">
        <v>695</v>
      </c>
      <c r="AH112" s="344">
        <v>646.4</v>
      </c>
      <c r="AI112" s="344">
        <v>597.9</v>
      </c>
      <c r="AJ112" s="344">
        <v>561.4</v>
      </c>
      <c r="AK112" s="344">
        <v>556.9</v>
      </c>
      <c r="AL112" s="344">
        <v>573.6</v>
      </c>
      <c r="AM112" s="344">
        <v>427.3</v>
      </c>
      <c r="AN112" s="344">
        <v>392.6</v>
      </c>
      <c r="AO112" s="344">
        <v>384</v>
      </c>
      <c r="AP112" s="344">
        <v>375.9</v>
      </c>
      <c r="AQ112" s="344">
        <v>351.8</v>
      </c>
      <c r="AR112" s="344">
        <v>351.1</v>
      </c>
      <c r="AS112" s="344">
        <v>339.9</v>
      </c>
      <c r="AT112" s="344">
        <v>335.1</v>
      </c>
      <c r="AU112" s="344">
        <v>335.1</v>
      </c>
      <c r="AV112" s="344">
        <v>297.89999999999998</v>
      </c>
      <c r="AW112" s="344">
        <v>286</v>
      </c>
      <c r="AX112" s="344">
        <v>265.7</v>
      </c>
      <c r="AY112" s="369">
        <v>278.7</v>
      </c>
      <c r="AZ112" s="366">
        <v>278.7</v>
      </c>
      <c r="BA112" s="366">
        <f>AZ112-AY112</f>
        <v>0</v>
      </c>
      <c r="BB112" s="367">
        <f>AY112-AX112</f>
        <v>13</v>
      </c>
      <c r="BC112" s="368">
        <f>AZ112-AX112</f>
        <v>13</v>
      </c>
      <c r="BD112" s="353">
        <f t="shared" si="83"/>
        <v>-4.8063283616394226E-2</v>
      </c>
      <c r="BF112" s="319" t="b">
        <v>0</v>
      </c>
    </row>
    <row r="113" spans="1:59" ht="15" customHeight="1">
      <c r="A113" s="324" t="s">
        <v>353</v>
      </c>
      <c r="B113" s="345">
        <v>2222.2222222222222</v>
      </c>
      <c r="C113" s="345">
        <v>1702.3208879919273</v>
      </c>
      <c r="D113" s="345">
        <v>2042.1940928270042</v>
      </c>
      <c r="E113" s="345">
        <v>2331.1627906976746</v>
      </c>
      <c r="F113" s="345">
        <v>2490.2293967714527</v>
      </c>
      <c r="G113" s="345">
        <v>2549.0343428270835</v>
      </c>
      <c r="H113" s="345">
        <v>2600</v>
      </c>
      <c r="I113" s="345">
        <v>2370.0241740531828</v>
      </c>
      <c r="J113" s="345">
        <v>2500</v>
      </c>
      <c r="K113" s="345">
        <v>2470</v>
      </c>
      <c r="L113" s="345">
        <v>2700.0144675925926</v>
      </c>
      <c r="M113" s="345">
        <v>2950.040749796251</v>
      </c>
      <c r="N113" s="345">
        <v>2980.440097799511</v>
      </c>
      <c r="O113" s="345">
        <v>2506.7579127459371</v>
      </c>
      <c r="P113" s="345">
        <v>2940</v>
      </c>
      <c r="Q113" s="345">
        <v>2710</v>
      </c>
      <c r="R113" s="345">
        <v>2840</v>
      </c>
      <c r="S113" s="345">
        <v>3050</v>
      </c>
      <c r="T113" s="345">
        <v>3550</v>
      </c>
      <c r="U113" s="345">
        <v>3400</v>
      </c>
      <c r="V113" s="345">
        <v>3700</v>
      </c>
      <c r="W113" s="345">
        <v>3580</v>
      </c>
      <c r="X113" s="345">
        <v>3687</v>
      </c>
      <c r="Y113" s="345">
        <v>3464</v>
      </c>
      <c r="Z113" s="345">
        <v>4270</v>
      </c>
      <c r="AA113" s="345">
        <v>4451</v>
      </c>
      <c r="AB113" s="345">
        <v>4600</v>
      </c>
      <c r="AC113" s="345">
        <v>4750</v>
      </c>
      <c r="AD113" s="345">
        <v>4330</v>
      </c>
      <c r="AE113" s="345">
        <v>4734</v>
      </c>
      <c r="AF113" s="345">
        <v>4700</v>
      </c>
      <c r="AG113" s="345">
        <v>5340</v>
      </c>
      <c r="AH113" s="345">
        <v>5210</v>
      </c>
      <c r="AI113" s="345">
        <v>5804</v>
      </c>
      <c r="AJ113" s="345">
        <v>5963</v>
      </c>
      <c r="AK113" s="345">
        <v>6100</v>
      </c>
      <c r="AL113" s="345">
        <v>6500</v>
      </c>
      <c r="AM113" s="345">
        <v>5260</v>
      </c>
      <c r="AN113" s="345">
        <v>5889</v>
      </c>
      <c r="AO113" s="345">
        <v>6164</v>
      </c>
      <c r="AP113" s="345">
        <v>6255</v>
      </c>
      <c r="AQ113" s="345">
        <v>6444</v>
      </c>
      <c r="AR113" s="345">
        <v>5559</v>
      </c>
      <c r="AS113" s="345">
        <v>5494</v>
      </c>
      <c r="AT113" s="345">
        <v>5494</v>
      </c>
      <c r="AU113" s="345">
        <v>5955</v>
      </c>
      <c r="AV113" s="345">
        <v>6880</v>
      </c>
      <c r="AW113" s="345">
        <v>5500</v>
      </c>
      <c r="AX113" s="345">
        <v>6010</v>
      </c>
      <c r="AY113" s="346">
        <v>6491</v>
      </c>
      <c r="AZ113" s="347">
        <v>6491</v>
      </c>
      <c r="BA113" s="347">
        <f>AZ113-AY113</f>
        <v>0</v>
      </c>
      <c r="BB113" s="351">
        <f>AY113-AX113</f>
        <v>481</v>
      </c>
      <c r="BC113" s="352">
        <f>AZ113-AX113</f>
        <v>481</v>
      </c>
      <c r="BD113" s="353">
        <f t="shared" si="83"/>
        <v>1.8115767481382106E-2</v>
      </c>
    </row>
    <row r="114" spans="1:59" ht="15" customHeight="1" thickBot="1">
      <c r="A114" s="324" t="s">
        <v>354</v>
      </c>
      <c r="B114" s="344">
        <f>B113*B112/1000</f>
        <v>2520</v>
      </c>
      <c r="C114" s="344">
        <v>255</v>
      </c>
      <c r="D114" s="344">
        <v>224</v>
      </c>
      <c r="E114" s="344">
        <v>266</v>
      </c>
      <c r="F114" s="344">
        <v>177</v>
      </c>
      <c r="G114" s="344">
        <v>303</v>
      </c>
      <c r="H114" s="344">
        <v>95</v>
      </c>
      <c r="I114" s="344">
        <v>328</v>
      </c>
      <c r="J114" s="344">
        <v>126</v>
      </c>
      <c r="K114" s="344">
        <v>290</v>
      </c>
      <c r="L114" s="344">
        <v>116</v>
      </c>
      <c r="M114" s="344">
        <v>345</v>
      </c>
      <c r="N114" s="344">
        <v>342</v>
      </c>
      <c r="O114" s="344">
        <v>173</v>
      </c>
      <c r="P114" s="344">
        <v>354.7</v>
      </c>
      <c r="Q114" s="344">
        <v>237.2</v>
      </c>
      <c r="R114" s="344">
        <v>197.4</v>
      </c>
      <c r="S114" s="344">
        <v>413.1</v>
      </c>
      <c r="T114" s="344">
        <v>422.5</v>
      </c>
      <c r="U114" s="344">
        <v>455</v>
      </c>
      <c r="V114" s="344">
        <v>362.7</v>
      </c>
      <c r="W114" s="344">
        <v>209.9</v>
      </c>
      <c r="X114" s="344">
        <v>294.10000000000002</v>
      </c>
      <c r="Y114" s="344">
        <v>313.60000000000002</v>
      </c>
      <c r="Z114" s="344">
        <v>310</v>
      </c>
      <c r="AA114" s="344">
        <v>324.5</v>
      </c>
      <c r="AB114" s="344">
        <v>414.2</v>
      </c>
      <c r="AC114" s="344">
        <v>430.4</v>
      </c>
      <c r="AD114" s="344">
        <v>405.1</v>
      </c>
      <c r="AE114" s="344">
        <v>424.4</v>
      </c>
      <c r="AF114" s="344">
        <v>447.1</v>
      </c>
      <c r="AG114" s="344">
        <v>490.4</v>
      </c>
      <c r="AH114" s="344">
        <v>504.1</v>
      </c>
      <c r="AI114" s="344">
        <v>562.1</v>
      </c>
      <c r="AJ114" s="344">
        <v>879.7</v>
      </c>
      <c r="AK114" s="344">
        <v>731.6</v>
      </c>
      <c r="AL114" s="344">
        <v>1309.4000000000001</v>
      </c>
      <c r="AM114" s="344">
        <v>1725.9</v>
      </c>
      <c r="AN114" s="344">
        <v>1469.2</v>
      </c>
      <c r="AO114" s="344">
        <v>874.4</v>
      </c>
      <c r="AP114" s="344">
        <v>1951.9</v>
      </c>
      <c r="AQ114" s="344">
        <v>1884</v>
      </c>
      <c r="AR114" s="344">
        <v>1792.5</v>
      </c>
      <c r="AS114" s="344">
        <v>2196.3000000000002</v>
      </c>
      <c r="AT114" s="344">
        <f t="shared" ref="AT114" si="144">AT113*AT112/1000</f>
        <v>1841.0394000000001</v>
      </c>
      <c r="AU114" s="344">
        <f t="shared" ref="AU114" si="145">AU113*AU112/1000</f>
        <v>1995.5205000000003</v>
      </c>
      <c r="AV114" s="344">
        <f t="shared" ref="AV114" si="146">AV113*AV112/1000</f>
        <v>2049.5519999999997</v>
      </c>
      <c r="AW114" s="344">
        <f t="shared" ref="AW114" si="147">AW113*AW112/1000</f>
        <v>1573</v>
      </c>
      <c r="AX114" s="344">
        <f t="shared" ref="AX114" si="148">AX113*AX112/1000</f>
        <v>1596.857</v>
      </c>
      <c r="AY114" s="365">
        <f t="shared" ref="AY114" si="149">AY113*AY112/1000</f>
        <v>1809.0417</v>
      </c>
      <c r="AZ114" s="366">
        <f>AZ113*AZ112/1000</f>
        <v>1809.0417</v>
      </c>
      <c r="BA114" s="366">
        <f>AZ114-AY114</f>
        <v>0</v>
      </c>
      <c r="BB114" s="367">
        <f>AY114-AX114</f>
        <v>212.18470000000002</v>
      </c>
      <c r="BC114" s="368">
        <f>AZ114-AX114</f>
        <v>212.18470000000002</v>
      </c>
      <c r="BD114" s="353">
        <f t="shared" si="83"/>
        <v>-6.1757993700721214E-2</v>
      </c>
    </row>
    <row r="115" spans="1:59" s="311" customFormat="1" ht="15" customHeight="1" thickBot="1">
      <c r="A115" s="335" t="s">
        <v>384</v>
      </c>
      <c r="B115" s="358"/>
      <c r="C115" s="358"/>
      <c r="D115" s="358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  <c r="AA115" s="358"/>
      <c r="AB115" s="358"/>
      <c r="AC115" s="358"/>
      <c r="AD115" s="358"/>
      <c r="AE115" s="358"/>
      <c r="AF115" s="358"/>
      <c r="AG115" s="358"/>
      <c r="AH115" s="358"/>
      <c r="AI115" s="358"/>
      <c r="AJ115" s="358"/>
      <c r="AK115" s="358"/>
      <c r="AL115" s="358"/>
      <c r="AM115" s="358"/>
      <c r="AN115" s="358"/>
      <c r="AO115" s="358"/>
      <c r="AP115" s="358"/>
      <c r="AQ115" s="358"/>
      <c r="AR115" s="358"/>
      <c r="AS115" s="358"/>
      <c r="AT115" s="333"/>
      <c r="AU115" s="333"/>
      <c r="AV115" s="333"/>
      <c r="AW115" s="333"/>
      <c r="AX115" s="333"/>
      <c r="AY115" s="332"/>
      <c r="AZ115" s="333"/>
      <c r="BA115" s="333"/>
      <c r="BB115" s="332"/>
      <c r="BC115" s="333"/>
      <c r="BD115" s="334"/>
      <c r="BE115" s="309"/>
      <c r="BF115"/>
      <c r="BG115" s="308"/>
    </row>
    <row r="116" spans="1:59" s="311" customFormat="1" ht="15" customHeight="1">
      <c r="A116" s="324" t="s">
        <v>352</v>
      </c>
      <c r="B116" s="344">
        <f>B120+B124+B128</f>
        <v>4890.5</v>
      </c>
      <c r="C116" s="344">
        <f t="shared" ref="C116:AT116" si="150">C120+C124+C128</f>
        <v>4499</v>
      </c>
      <c r="D116" s="344">
        <f t="shared" si="150"/>
        <v>5032</v>
      </c>
      <c r="E116" s="344">
        <f t="shared" si="150"/>
        <v>4977.5</v>
      </c>
      <c r="F116" s="344">
        <f t="shared" si="150"/>
        <v>4922</v>
      </c>
      <c r="G116" s="344">
        <f t="shared" si="150"/>
        <v>5164</v>
      </c>
      <c r="H116" s="344">
        <f t="shared" si="150"/>
        <v>5006</v>
      </c>
      <c r="I116" s="344">
        <f t="shared" si="150"/>
        <v>5151</v>
      </c>
      <c r="J116" s="344">
        <f t="shared" si="150"/>
        <v>4828</v>
      </c>
      <c r="K116" s="344">
        <f t="shared" si="150"/>
        <v>4996</v>
      </c>
      <c r="L116" s="344">
        <f t="shared" si="150"/>
        <v>5665.9</v>
      </c>
      <c r="M116" s="344">
        <f t="shared" si="150"/>
        <v>4799.7</v>
      </c>
      <c r="N116" s="344">
        <f t="shared" si="150"/>
        <v>4425</v>
      </c>
      <c r="O116" s="344">
        <f t="shared" si="150"/>
        <v>4533</v>
      </c>
      <c r="P116" s="344">
        <f t="shared" si="150"/>
        <v>5056.3999999999996</v>
      </c>
      <c r="Q116" s="344">
        <f t="shared" si="150"/>
        <v>5370</v>
      </c>
      <c r="R116" s="344">
        <f t="shared" si="150"/>
        <v>4735</v>
      </c>
      <c r="S116" s="344">
        <f t="shared" si="150"/>
        <v>4919.5</v>
      </c>
      <c r="T116" s="344">
        <f t="shared" si="150"/>
        <v>5096.3</v>
      </c>
      <c r="U116" s="344">
        <f t="shared" si="150"/>
        <v>4642.3</v>
      </c>
      <c r="V116" s="344">
        <f t="shared" si="150"/>
        <v>4528.5</v>
      </c>
      <c r="W116" s="344">
        <f t="shared" si="150"/>
        <v>3729.1</v>
      </c>
      <c r="X116" s="344">
        <f t="shared" si="150"/>
        <v>3794.7999999999997</v>
      </c>
      <c r="Y116" s="344">
        <f t="shared" si="150"/>
        <v>3908</v>
      </c>
      <c r="Z116" s="344">
        <f t="shared" si="150"/>
        <v>4408.3</v>
      </c>
      <c r="AA116" s="344">
        <f t="shared" si="150"/>
        <v>3782.9</v>
      </c>
      <c r="AB116" s="344">
        <f t="shared" si="150"/>
        <v>3711.1</v>
      </c>
      <c r="AC116" s="344">
        <f t="shared" si="150"/>
        <v>3462.7</v>
      </c>
      <c r="AD116" s="344">
        <f t="shared" si="150"/>
        <v>3293.5</v>
      </c>
      <c r="AE116" s="344">
        <f t="shared" si="150"/>
        <v>3735.7</v>
      </c>
      <c r="AF116" s="344">
        <f t="shared" si="150"/>
        <v>3410</v>
      </c>
      <c r="AG116" s="344">
        <f t="shared" si="150"/>
        <v>3481.6</v>
      </c>
      <c r="AH116" s="344">
        <f t="shared" si="150"/>
        <v>3324.5</v>
      </c>
      <c r="AI116" s="344">
        <f t="shared" si="150"/>
        <v>2638.6</v>
      </c>
      <c r="AJ116" s="344">
        <f t="shared" si="150"/>
        <v>2415.4</v>
      </c>
      <c r="AK116" s="344">
        <f t="shared" si="150"/>
        <v>2627.9</v>
      </c>
      <c r="AL116" s="344">
        <f t="shared" si="150"/>
        <v>2400.3999999999996</v>
      </c>
      <c r="AM116" s="344">
        <f t="shared" si="150"/>
        <v>2168.3000000000002</v>
      </c>
      <c r="AN116" s="344">
        <f t="shared" si="150"/>
        <v>1895</v>
      </c>
      <c r="AO116" s="344">
        <f t="shared" si="150"/>
        <v>1607.1</v>
      </c>
      <c r="AP116" s="344">
        <f t="shared" si="150"/>
        <v>1712.9</v>
      </c>
      <c r="AQ116" s="344">
        <f t="shared" si="150"/>
        <v>1377.4</v>
      </c>
      <c r="AR116" s="344">
        <f t="shared" si="150"/>
        <v>1447.6</v>
      </c>
      <c r="AS116" s="344">
        <f t="shared" si="150"/>
        <v>1480</v>
      </c>
      <c r="AT116" s="344">
        <f t="shared" si="150"/>
        <v>1520.9</v>
      </c>
      <c r="AU116" s="344">
        <f t="shared" ref="AU116:AY116" si="151">AU120+AU124+AU128</f>
        <v>1611.6999999999998</v>
      </c>
      <c r="AV116" s="344">
        <f t="shared" si="151"/>
        <v>1528.8</v>
      </c>
      <c r="AW116" s="344">
        <f t="shared" si="151"/>
        <v>1411.3000000000002</v>
      </c>
      <c r="AX116" s="344">
        <f t="shared" si="151"/>
        <v>1274.4000000000001</v>
      </c>
      <c r="AY116" s="369">
        <f t="shared" si="151"/>
        <v>1462.8000000000002</v>
      </c>
      <c r="AZ116" s="366">
        <f>AZ120+AZ124+AZ128</f>
        <v>1462.8000000000002</v>
      </c>
      <c r="BA116" s="366">
        <f>AZ116-AY116</f>
        <v>0</v>
      </c>
      <c r="BB116" s="367">
        <f>AY116-AX116</f>
        <v>188.40000000000009</v>
      </c>
      <c r="BC116" s="368">
        <f>AZ116-AX116</f>
        <v>188.40000000000009</v>
      </c>
      <c r="BD116" s="353">
        <f t="shared" si="83"/>
        <v>-2.9470346171210027E-2</v>
      </c>
      <c r="BE116" s="309"/>
      <c r="BF116" s="319" t="b">
        <v>1</v>
      </c>
      <c r="BG116" s="308"/>
    </row>
    <row r="117" spans="1:59" s="311" customFormat="1" ht="15" customHeight="1">
      <c r="A117" s="318" t="s">
        <v>353</v>
      </c>
      <c r="B117" s="345">
        <f>B118/B116*1000</f>
        <v>2041.7135262243123</v>
      </c>
      <c r="C117" s="345">
        <f t="shared" ref="C117:AT117" si="152">C118/C116*1000</f>
        <v>170.0377861747055</v>
      </c>
      <c r="D117" s="345">
        <f t="shared" si="152"/>
        <v>133.54531001589825</v>
      </c>
      <c r="E117" s="345">
        <f t="shared" si="152"/>
        <v>160.3214465092918</v>
      </c>
      <c r="F117" s="345">
        <f t="shared" si="152"/>
        <v>107.88297440065014</v>
      </c>
      <c r="G117" s="345">
        <f t="shared" si="152"/>
        <v>176.02633617350889</v>
      </c>
      <c r="H117" s="345">
        <f t="shared" si="152"/>
        <v>56.931681981622056</v>
      </c>
      <c r="I117" s="345">
        <f t="shared" si="152"/>
        <v>191.03086779266161</v>
      </c>
      <c r="J117" s="345">
        <f t="shared" si="152"/>
        <v>78.293289146644568</v>
      </c>
      <c r="K117" s="345">
        <f t="shared" si="152"/>
        <v>174.13931144915935</v>
      </c>
      <c r="L117" s="345">
        <f t="shared" si="152"/>
        <v>61.420074480665036</v>
      </c>
      <c r="M117" s="345">
        <f t="shared" si="152"/>
        <v>215.6384774048378</v>
      </c>
      <c r="N117" s="345">
        <f t="shared" si="152"/>
        <v>231.86440677966104</v>
      </c>
      <c r="O117" s="345">
        <f t="shared" si="152"/>
        <v>114.49371277299801</v>
      </c>
      <c r="P117" s="345">
        <f t="shared" si="152"/>
        <v>210.44616723360494</v>
      </c>
      <c r="Q117" s="345">
        <f t="shared" si="152"/>
        <v>132.51396648044692</v>
      </c>
      <c r="R117" s="345">
        <f t="shared" si="152"/>
        <v>125.06863780359029</v>
      </c>
      <c r="S117" s="345">
        <f t="shared" si="152"/>
        <v>251.91584510621001</v>
      </c>
      <c r="T117" s="345">
        <f t="shared" si="152"/>
        <v>248.70984832133115</v>
      </c>
      <c r="U117" s="345">
        <f t="shared" si="152"/>
        <v>294.03528423410808</v>
      </c>
      <c r="V117" s="345">
        <f t="shared" si="152"/>
        <v>240.27823782709504</v>
      </c>
      <c r="W117" s="345">
        <f t="shared" si="152"/>
        <v>168.86111930492615</v>
      </c>
      <c r="X117" s="345">
        <f t="shared" si="152"/>
        <v>232.502371666491</v>
      </c>
      <c r="Y117" s="345">
        <f t="shared" si="152"/>
        <v>240.7369498464688</v>
      </c>
      <c r="Z117" s="345">
        <f t="shared" si="152"/>
        <v>210.96567837942064</v>
      </c>
      <c r="AA117" s="345">
        <f t="shared" si="152"/>
        <v>257.34225065426</v>
      </c>
      <c r="AB117" s="345">
        <f t="shared" si="152"/>
        <v>334.83333782436478</v>
      </c>
      <c r="AC117" s="345">
        <f t="shared" si="152"/>
        <v>372.88820862332864</v>
      </c>
      <c r="AD117" s="345">
        <f t="shared" si="152"/>
        <v>368.99954455746172</v>
      </c>
      <c r="AE117" s="345">
        <f t="shared" si="152"/>
        <v>340.81965896619101</v>
      </c>
      <c r="AF117" s="345">
        <f t="shared" si="152"/>
        <v>393.34310850439886</v>
      </c>
      <c r="AG117" s="345">
        <f t="shared" si="152"/>
        <v>422.56433823529409</v>
      </c>
      <c r="AH117" s="345">
        <f t="shared" si="152"/>
        <v>454.89547300345924</v>
      </c>
      <c r="AI117" s="345">
        <f t="shared" si="152"/>
        <v>639.08891078602301</v>
      </c>
      <c r="AJ117" s="345">
        <f t="shared" si="152"/>
        <v>1092.614059783059</v>
      </c>
      <c r="AK117" s="345">
        <f t="shared" si="152"/>
        <v>835.19159785379975</v>
      </c>
      <c r="AL117" s="345">
        <f t="shared" si="152"/>
        <v>1636.4772537910353</v>
      </c>
      <c r="AM117" s="345">
        <f t="shared" si="152"/>
        <v>2387.907577364756</v>
      </c>
      <c r="AN117" s="345">
        <f t="shared" si="152"/>
        <v>2325.9102902374675</v>
      </c>
      <c r="AO117" s="345">
        <f t="shared" si="152"/>
        <v>1632.2568601829382</v>
      </c>
      <c r="AP117" s="345">
        <f t="shared" si="152"/>
        <v>3418.5883589234636</v>
      </c>
      <c r="AQ117" s="345">
        <f t="shared" si="152"/>
        <v>4103.3831857122113</v>
      </c>
      <c r="AR117" s="345">
        <f t="shared" si="152"/>
        <v>3714.7692732799119</v>
      </c>
      <c r="AS117" s="345">
        <f t="shared" si="152"/>
        <v>4451.95945945946</v>
      </c>
      <c r="AT117" s="345">
        <f t="shared" si="152"/>
        <v>6242.658754684725</v>
      </c>
      <c r="AU117" s="345">
        <f t="shared" ref="AU117:AY117" si="153">AU118/AU116*1000</f>
        <v>4989.7758888130547</v>
      </c>
      <c r="AV117" s="345">
        <f t="shared" si="153"/>
        <v>6612.0072605965461</v>
      </c>
      <c r="AW117" s="345">
        <f t="shared" si="153"/>
        <v>6904.9516049032791</v>
      </c>
      <c r="AX117" s="345">
        <f t="shared" si="153"/>
        <v>9016.0497489014451</v>
      </c>
      <c r="AY117" s="346">
        <f t="shared" si="153"/>
        <v>7768.1232567678408</v>
      </c>
      <c r="AZ117" s="347">
        <f>AZ118/AZ116*1000</f>
        <v>7535.129135903745</v>
      </c>
      <c r="BA117" s="347">
        <f>AZ117-AY117</f>
        <v>-232.99412086409575</v>
      </c>
      <c r="BB117" s="351">
        <f>AY117-AX117</f>
        <v>-1247.9264921336044</v>
      </c>
      <c r="BC117" s="352">
        <f>AZ117-AX117</f>
        <v>-1480.9206129977001</v>
      </c>
      <c r="BD117" s="353">
        <f t="shared" si="83"/>
        <v>0.15157709917807516</v>
      </c>
      <c r="BE117" s="309"/>
      <c r="BF117"/>
      <c r="BG117" s="308"/>
    </row>
    <row r="118" spans="1:59" s="311" customFormat="1" ht="15" customHeight="1">
      <c r="A118" s="318" t="s">
        <v>354</v>
      </c>
      <c r="B118" s="344">
        <f>B122+B126+B130</f>
        <v>9985</v>
      </c>
      <c r="C118" s="344">
        <f t="shared" ref="C118:AT118" si="154">C122+C126+C130</f>
        <v>765</v>
      </c>
      <c r="D118" s="344">
        <f t="shared" si="154"/>
        <v>672</v>
      </c>
      <c r="E118" s="344">
        <f t="shared" si="154"/>
        <v>798</v>
      </c>
      <c r="F118" s="344">
        <f t="shared" si="154"/>
        <v>531</v>
      </c>
      <c r="G118" s="344">
        <f t="shared" si="154"/>
        <v>909</v>
      </c>
      <c r="H118" s="344">
        <f t="shared" si="154"/>
        <v>285</v>
      </c>
      <c r="I118" s="344">
        <f t="shared" si="154"/>
        <v>984</v>
      </c>
      <c r="J118" s="344">
        <f t="shared" si="154"/>
        <v>378</v>
      </c>
      <c r="K118" s="344">
        <f t="shared" si="154"/>
        <v>870</v>
      </c>
      <c r="L118" s="344">
        <f t="shared" si="154"/>
        <v>348</v>
      </c>
      <c r="M118" s="344">
        <f t="shared" si="154"/>
        <v>1035</v>
      </c>
      <c r="N118" s="344">
        <f t="shared" si="154"/>
        <v>1026</v>
      </c>
      <c r="O118" s="344">
        <f t="shared" si="154"/>
        <v>519</v>
      </c>
      <c r="P118" s="344">
        <f t="shared" si="154"/>
        <v>1064.0999999999999</v>
      </c>
      <c r="Q118" s="344">
        <f t="shared" si="154"/>
        <v>711.59999999999991</v>
      </c>
      <c r="R118" s="344">
        <f t="shared" si="154"/>
        <v>592.20000000000005</v>
      </c>
      <c r="S118" s="344">
        <f t="shared" si="154"/>
        <v>1239.3000000000002</v>
      </c>
      <c r="T118" s="344">
        <f t="shared" si="154"/>
        <v>1267.5</v>
      </c>
      <c r="U118" s="344">
        <f t="shared" si="154"/>
        <v>1365</v>
      </c>
      <c r="V118" s="344">
        <f t="shared" si="154"/>
        <v>1088.0999999999999</v>
      </c>
      <c r="W118" s="344">
        <f t="shared" si="154"/>
        <v>629.70000000000005</v>
      </c>
      <c r="X118" s="344">
        <f t="shared" si="154"/>
        <v>882.30000000000007</v>
      </c>
      <c r="Y118" s="344">
        <f t="shared" si="154"/>
        <v>940.80000000000007</v>
      </c>
      <c r="Z118" s="344">
        <f t="shared" si="154"/>
        <v>930</v>
      </c>
      <c r="AA118" s="344">
        <f t="shared" si="154"/>
        <v>973.5</v>
      </c>
      <c r="AB118" s="344">
        <f t="shared" si="154"/>
        <v>1242.5999999999999</v>
      </c>
      <c r="AC118" s="344">
        <f t="shared" si="154"/>
        <v>1291.1999999999998</v>
      </c>
      <c r="AD118" s="344">
        <f t="shared" si="154"/>
        <v>1215.3000000000002</v>
      </c>
      <c r="AE118" s="344">
        <f t="shared" si="154"/>
        <v>1273.1999999999998</v>
      </c>
      <c r="AF118" s="344">
        <f t="shared" si="154"/>
        <v>1341.3000000000002</v>
      </c>
      <c r="AG118" s="344">
        <f t="shared" si="154"/>
        <v>1471.1999999999998</v>
      </c>
      <c r="AH118" s="344">
        <f t="shared" si="154"/>
        <v>1512.3000000000002</v>
      </c>
      <c r="AI118" s="344">
        <f t="shared" si="154"/>
        <v>1686.3000000000002</v>
      </c>
      <c r="AJ118" s="344">
        <f t="shared" si="154"/>
        <v>2639.1000000000004</v>
      </c>
      <c r="AK118" s="344">
        <f t="shared" si="154"/>
        <v>2194.8000000000002</v>
      </c>
      <c r="AL118" s="344">
        <f t="shared" si="154"/>
        <v>3928.2000000000003</v>
      </c>
      <c r="AM118" s="344">
        <f t="shared" si="154"/>
        <v>5177.7000000000007</v>
      </c>
      <c r="AN118" s="344">
        <f t="shared" si="154"/>
        <v>4407.6000000000004</v>
      </c>
      <c r="AO118" s="344">
        <f t="shared" si="154"/>
        <v>2623.2</v>
      </c>
      <c r="AP118" s="344">
        <f t="shared" si="154"/>
        <v>5855.7000000000007</v>
      </c>
      <c r="AQ118" s="344">
        <f t="shared" si="154"/>
        <v>5652</v>
      </c>
      <c r="AR118" s="344">
        <f t="shared" si="154"/>
        <v>5377.5</v>
      </c>
      <c r="AS118" s="344">
        <f t="shared" si="154"/>
        <v>6588.9000000000005</v>
      </c>
      <c r="AT118" s="344">
        <f t="shared" si="154"/>
        <v>9494.4596999999994</v>
      </c>
      <c r="AU118" s="344">
        <f t="shared" ref="AU118:AY118" si="155">AU122+AU126+AU130</f>
        <v>8042.0218000000004</v>
      </c>
      <c r="AV118" s="344">
        <f t="shared" si="155"/>
        <v>10108.4367</v>
      </c>
      <c r="AW118" s="344">
        <f t="shared" si="155"/>
        <v>9744.9581999999991</v>
      </c>
      <c r="AX118" s="344">
        <f t="shared" si="155"/>
        <v>11490.053800000002</v>
      </c>
      <c r="AY118" s="365">
        <f t="shared" si="155"/>
        <v>11363.2107</v>
      </c>
      <c r="AZ118" s="366">
        <f>AZ122+AZ126+AZ130</f>
        <v>11022.3869</v>
      </c>
      <c r="BA118" s="366">
        <f>AZ118-AY118</f>
        <v>-340.82380000000012</v>
      </c>
      <c r="BB118" s="367">
        <f>AY118-AX118</f>
        <v>-126.84310000000187</v>
      </c>
      <c r="BC118" s="368">
        <f>AZ118-AX118</f>
        <v>-467.66690000000199</v>
      </c>
      <c r="BD118" s="353">
        <f t="shared" si="83"/>
        <v>0.11763972342245954</v>
      </c>
      <c r="BE118" s="309"/>
      <c r="BF118"/>
      <c r="BG118" s="308"/>
    </row>
    <row r="119" spans="1:59" ht="15" customHeight="1">
      <c r="A119" s="320" t="s">
        <v>385</v>
      </c>
      <c r="B119" s="356"/>
      <c r="C119" s="356"/>
      <c r="D119" s="356"/>
      <c r="E119" s="356"/>
      <c r="F119" s="356"/>
      <c r="G119" s="356"/>
      <c r="H119" s="356"/>
      <c r="I119" s="356"/>
      <c r="J119" s="356"/>
      <c r="K119" s="356"/>
      <c r="L119" s="356"/>
      <c r="M119" s="356"/>
      <c r="N119" s="356"/>
      <c r="O119" s="356"/>
      <c r="P119" s="356"/>
      <c r="Q119" s="356"/>
      <c r="R119" s="356"/>
      <c r="S119" s="356"/>
      <c r="T119" s="356"/>
      <c r="U119" s="356"/>
      <c r="V119" s="356"/>
      <c r="W119" s="356"/>
      <c r="X119" s="356"/>
      <c r="Y119" s="356"/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28"/>
      <c r="AU119" s="328"/>
      <c r="AV119" s="328"/>
      <c r="AW119" s="328"/>
      <c r="AX119" s="328"/>
      <c r="AY119" s="321"/>
      <c r="AZ119" s="328"/>
      <c r="BA119" s="328"/>
      <c r="BB119" s="321"/>
      <c r="BC119" s="328"/>
      <c r="BD119" s="329"/>
    </row>
    <row r="120" spans="1:59" ht="15" customHeight="1">
      <c r="A120" s="324" t="s">
        <v>352</v>
      </c>
      <c r="B120" s="344">
        <v>2153.9</v>
      </c>
      <c r="C120" s="344">
        <v>1811</v>
      </c>
      <c r="D120" s="344">
        <v>2150</v>
      </c>
      <c r="E120" s="344">
        <v>2165</v>
      </c>
      <c r="F120" s="344">
        <v>2153</v>
      </c>
      <c r="G120" s="344">
        <v>2304</v>
      </c>
      <c r="H120" s="344">
        <v>2270</v>
      </c>
      <c r="I120" s="344">
        <v>2290</v>
      </c>
      <c r="J120" s="344">
        <v>2130</v>
      </c>
      <c r="K120" s="344">
        <v>2270</v>
      </c>
      <c r="L120" s="344">
        <v>2686.2</v>
      </c>
      <c r="M120" s="344">
        <v>2149</v>
      </c>
      <c r="N120" s="344">
        <v>1863</v>
      </c>
      <c r="O120" s="344">
        <v>1937</v>
      </c>
      <c r="P120" s="344">
        <v>2130</v>
      </c>
      <c r="Q120" s="344">
        <v>2300</v>
      </c>
      <c r="R120" s="344">
        <v>2139</v>
      </c>
      <c r="S120" s="344">
        <v>2181</v>
      </c>
      <c r="T120" s="344">
        <v>2150</v>
      </c>
      <c r="U120" s="344">
        <v>1870.5</v>
      </c>
      <c r="V120" s="344">
        <v>1851.8</v>
      </c>
      <c r="W120" s="344">
        <v>1460</v>
      </c>
      <c r="X120" s="344">
        <v>1540.3</v>
      </c>
      <c r="Y120" s="344">
        <v>1543.4</v>
      </c>
      <c r="Z120" s="344">
        <v>1852.1</v>
      </c>
      <c r="AA120" s="344">
        <v>1490.9</v>
      </c>
      <c r="AB120" s="344">
        <v>1453.6</v>
      </c>
      <c r="AC120" s="344">
        <v>1351.8</v>
      </c>
      <c r="AD120" s="344">
        <v>1257.2</v>
      </c>
      <c r="AE120" s="344">
        <v>1514.9</v>
      </c>
      <c r="AF120" s="344">
        <v>1318</v>
      </c>
      <c r="AG120" s="344">
        <v>1374.8</v>
      </c>
      <c r="AH120" s="344">
        <v>1268.9000000000001</v>
      </c>
      <c r="AI120" s="344">
        <v>894.1</v>
      </c>
      <c r="AJ120" s="344">
        <v>768</v>
      </c>
      <c r="AK120" s="344">
        <v>977.7</v>
      </c>
      <c r="AL120" s="344">
        <v>878.1</v>
      </c>
      <c r="AM120" s="344">
        <v>665.2</v>
      </c>
      <c r="AN120" s="344">
        <v>542.5</v>
      </c>
      <c r="AO120" s="344">
        <v>414.1</v>
      </c>
      <c r="AP120" s="344">
        <v>507.7</v>
      </c>
      <c r="AQ120" s="344">
        <v>330</v>
      </c>
      <c r="AR120" s="344">
        <v>358.7</v>
      </c>
      <c r="AS120" s="344">
        <v>352.6</v>
      </c>
      <c r="AT120" s="344">
        <v>373.1</v>
      </c>
      <c r="AU120" s="344">
        <v>433.9</v>
      </c>
      <c r="AV120" s="344">
        <v>385.3</v>
      </c>
      <c r="AW120" s="344">
        <v>296.3</v>
      </c>
      <c r="AX120" s="344">
        <v>270.8</v>
      </c>
      <c r="AY120" s="369">
        <v>337.7</v>
      </c>
      <c r="AZ120" s="366">
        <v>337.7</v>
      </c>
      <c r="BA120" s="366">
        <f>AZ120-AY120</f>
        <v>0</v>
      </c>
      <c r="BB120" s="367">
        <f>AY120-AX120</f>
        <v>66.899999999999977</v>
      </c>
      <c r="BC120" s="368">
        <f>AZ120-AX120</f>
        <v>66.899999999999977</v>
      </c>
      <c r="BD120" s="353">
        <f t="shared" si="83"/>
        <v>-5.1421514237830479E-2</v>
      </c>
      <c r="BF120" s="319" t="b">
        <v>0</v>
      </c>
    </row>
    <row r="121" spans="1:59" ht="15" customHeight="1">
      <c r="A121" s="324" t="s">
        <v>353</v>
      </c>
      <c r="B121" s="345">
        <v>2149.9605367008685</v>
      </c>
      <c r="C121" s="345">
        <v>1362.7829928216454</v>
      </c>
      <c r="D121" s="345">
        <v>2026.9767441860465</v>
      </c>
      <c r="E121" s="345">
        <v>2360.2771362586604</v>
      </c>
      <c r="F121" s="345">
        <v>2587.0877844867628</v>
      </c>
      <c r="G121" s="345">
        <v>2349.8263888888887</v>
      </c>
      <c r="H121" s="345">
        <v>2281.9823788546255</v>
      </c>
      <c r="I121" s="345">
        <v>2253.0567685589522</v>
      </c>
      <c r="J121" s="345">
        <v>2468.8262910798121</v>
      </c>
      <c r="K121" s="345">
        <v>1725.9030837004404</v>
      </c>
      <c r="L121" s="345">
        <v>2629.8488571215848</v>
      </c>
      <c r="M121" s="345">
        <v>2543.8343415542113</v>
      </c>
      <c r="N121" s="345">
        <v>2606.6827697262479</v>
      </c>
      <c r="O121" s="345">
        <v>2475.9938048528652</v>
      </c>
      <c r="P121" s="345">
        <v>2160</v>
      </c>
      <c r="Q121" s="345">
        <v>2910</v>
      </c>
      <c r="R121" s="345">
        <v>3100</v>
      </c>
      <c r="S121" s="345">
        <v>3400</v>
      </c>
      <c r="T121" s="345">
        <v>3600</v>
      </c>
      <c r="U121" s="345">
        <v>3500</v>
      </c>
      <c r="V121" s="345">
        <v>3900</v>
      </c>
      <c r="W121" s="345">
        <v>3700</v>
      </c>
      <c r="X121" s="345">
        <v>3790</v>
      </c>
      <c r="Y121" s="345">
        <v>3780</v>
      </c>
      <c r="Z121" s="345">
        <v>5100</v>
      </c>
      <c r="AA121" s="345">
        <v>4950</v>
      </c>
      <c r="AB121" s="345">
        <v>5600</v>
      </c>
      <c r="AC121" s="345">
        <v>5565</v>
      </c>
      <c r="AD121" s="345">
        <v>5200</v>
      </c>
      <c r="AE121" s="345">
        <v>5120</v>
      </c>
      <c r="AF121" s="345">
        <v>6680</v>
      </c>
      <c r="AG121" s="345">
        <v>7062</v>
      </c>
      <c r="AH121" s="345">
        <v>5140</v>
      </c>
      <c r="AI121" s="345">
        <v>7680</v>
      </c>
      <c r="AJ121" s="345">
        <v>7873</v>
      </c>
      <c r="AK121" s="345">
        <v>6729</v>
      </c>
      <c r="AL121" s="345">
        <v>8150</v>
      </c>
      <c r="AM121" s="345">
        <v>8156</v>
      </c>
      <c r="AN121" s="345">
        <v>8633</v>
      </c>
      <c r="AO121" s="345">
        <v>7953</v>
      </c>
      <c r="AP121" s="345">
        <v>9243</v>
      </c>
      <c r="AQ121" s="345">
        <v>8748</v>
      </c>
      <c r="AR121" s="345">
        <v>8840</v>
      </c>
      <c r="AS121" s="345">
        <v>10024</v>
      </c>
      <c r="AT121" s="345">
        <v>8373</v>
      </c>
      <c r="AU121" s="345">
        <v>6904</v>
      </c>
      <c r="AV121" s="345">
        <v>9939</v>
      </c>
      <c r="AW121" s="345">
        <v>8518</v>
      </c>
      <c r="AX121" s="345">
        <v>10886</v>
      </c>
      <c r="AY121" s="346">
        <v>9888</v>
      </c>
      <c r="AZ121" s="347">
        <v>9591</v>
      </c>
      <c r="BA121" s="347">
        <f>AZ121-AY121</f>
        <v>-297</v>
      </c>
      <c r="BB121" s="351">
        <f>AY121-AX121</f>
        <v>-998</v>
      </c>
      <c r="BC121" s="352">
        <f>AZ121-AX121</f>
        <v>-1295</v>
      </c>
      <c r="BD121" s="353">
        <f t="shared" si="83"/>
        <v>1.6635929772622182E-2</v>
      </c>
    </row>
    <row r="122" spans="1:59" s="311" customFormat="1" ht="15" customHeight="1">
      <c r="A122" s="324" t="s">
        <v>354</v>
      </c>
      <c r="B122" s="344">
        <f>B121*B120/1000</f>
        <v>4630.8000000000011</v>
      </c>
      <c r="C122" s="344">
        <v>255</v>
      </c>
      <c r="D122" s="344">
        <v>224</v>
      </c>
      <c r="E122" s="344">
        <v>266</v>
      </c>
      <c r="F122" s="344">
        <v>177</v>
      </c>
      <c r="G122" s="344">
        <v>303</v>
      </c>
      <c r="H122" s="344">
        <v>95</v>
      </c>
      <c r="I122" s="344">
        <v>328</v>
      </c>
      <c r="J122" s="344">
        <v>126</v>
      </c>
      <c r="K122" s="344">
        <v>290</v>
      </c>
      <c r="L122" s="344">
        <v>116</v>
      </c>
      <c r="M122" s="344">
        <v>345</v>
      </c>
      <c r="N122" s="344">
        <v>342</v>
      </c>
      <c r="O122" s="344">
        <v>173</v>
      </c>
      <c r="P122" s="344">
        <v>354.7</v>
      </c>
      <c r="Q122" s="344">
        <v>237.2</v>
      </c>
      <c r="R122" s="344">
        <v>197.4</v>
      </c>
      <c r="S122" s="344">
        <v>413.1</v>
      </c>
      <c r="T122" s="344">
        <v>422.5</v>
      </c>
      <c r="U122" s="344">
        <v>455</v>
      </c>
      <c r="V122" s="344">
        <v>362.7</v>
      </c>
      <c r="W122" s="344">
        <v>209.9</v>
      </c>
      <c r="X122" s="344">
        <v>294.10000000000002</v>
      </c>
      <c r="Y122" s="344">
        <v>313.60000000000002</v>
      </c>
      <c r="Z122" s="344">
        <v>310</v>
      </c>
      <c r="AA122" s="344">
        <v>324.5</v>
      </c>
      <c r="AB122" s="344">
        <v>414.2</v>
      </c>
      <c r="AC122" s="344">
        <v>430.4</v>
      </c>
      <c r="AD122" s="344">
        <v>405.1</v>
      </c>
      <c r="AE122" s="344">
        <v>424.4</v>
      </c>
      <c r="AF122" s="344">
        <v>447.1</v>
      </c>
      <c r="AG122" s="344">
        <v>490.4</v>
      </c>
      <c r="AH122" s="344">
        <v>504.1</v>
      </c>
      <c r="AI122" s="344">
        <v>562.1</v>
      </c>
      <c r="AJ122" s="344">
        <v>879.7</v>
      </c>
      <c r="AK122" s="344">
        <v>731.6</v>
      </c>
      <c r="AL122" s="344">
        <v>1309.4000000000001</v>
      </c>
      <c r="AM122" s="344">
        <v>1725.9</v>
      </c>
      <c r="AN122" s="344">
        <v>1469.2</v>
      </c>
      <c r="AO122" s="344">
        <v>874.4</v>
      </c>
      <c r="AP122" s="344">
        <v>1951.9</v>
      </c>
      <c r="AQ122" s="344">
        <v>1884</v>
      </c>
      <c r="AR122" s="344">
        <v>1792.5</v>
      </c>
      <c r="AS122" s="344">
        <v>2196.3000000000002</v>
      </c>
      <c r="AT122" s="344">
        <f t="shared" ref="AT122" si="156">AT121*AT120/1000</f>
        <v>3123.9663000000005</v>
      </c>
      <c r="AU122" s="344">
        <f t="shared" ref="AU122" si="157">AU121*AU120/1000</f>
        <v>2995.6455999999998</v>
      </c>
      <c r="AV122" s="344">
        <f t="shared" ref="AV122" si="158">AV121*AV120/1000</f>
        <v>3829.4967000000001</v>
      </c>
      <c r="AW122" s="344">
        <f t="shared" ref="AW122" si="159">AW121*AW120/1000</f>
        <v>2523.8833999999997</v>
      </c>
      <c r="AX122" s="344">
        <f t="shared" ref="AX122" si="160">AX121*AX120/1000</f>
        <v>2947.9288000000001</v>
      </c>
      <c r="AY122" s="365">
        <f t="shared" ref="AY122" si="161">AY121*AY120/1000</f>
        <v>3339.1776</v>
      </c>
      <c r="AZ122" s="366">
        <f>AZ121*AZ120/1000</f>
        <v>3238.8806999999997</v>
      </c>
      <c r="BA122" s="366">
        <f>AZ122-AY122</f>
        <v>-100.29690000000028</v>
      </c>
      <c r="BB122" s="367">
        <f>AY122-AX122</f>
        <v>391.24879999999985</v>
      </c>
      <c r="BC122" s="368">
        <f>AZ122-AX122</f>
        <v>290.95189999999957</v>
      </c>
      <c r="BD122" s="353">
        <f t="shared" si="83"/>
        <v>6.0632829710639546E-2</v>
      </c>
      <c r="BE122" s="309"/>
      <c r="BF122"/>
      <c r="BG122" s="308"/>
    </row>
    <row r="123" spans="1:59" ht="15" customHeight="1">
      <c r="A123" s="320" t="s">
        <v>386</v>
      </c>
      <c r="B123" s="356"/>
      <c r="C123" s="356"/>
      <c r="D123" s="356"/>
      <c r="E123" s="356"/>
      <c r="F123" s="356"/>
      <c r="G123" s="356"/>
      <c r="H123" s="356"/>
      <c r="I123" s="356"/>
      <c r="J123" s="356"/>
      <c r="K123" s="356"/>
      <c r="L123" s="356"/>
      <c r="M123" s="356"/>
      <c r="N123" s="356"/>
      <c r="O123" s="356"/>
      <c r="P123" s="356"/>
      <c r="Q123" s="356"/>
      <c r="R123" s="356"/>
      <c r="S123" s="356"/>
      <c r="T123" s="356"/>
      <c r="U123" s="356"/>
      <c r="V123" s="356"/>
      <c r="W123" s="356"/>
      <c r="X123" s="356"/>
      <c r="Y123" s="356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28"/>
      <c r="AU123" s="328"/>
      <c r="AV123" s="328"/>
      <c r="AW123" s="328"/>
      <c r="AX123" s="328"/>
      <c r="AY123" s="321"/>
      <c r="AZ123" s="328"/>
      <c r="BA123" s="328"/>
      <c r="BB123" s="321"/>
      <c r="BC123" s="328"/>
      <c r="BD123" s="329"/>
    </row>
    <row r="124" spans="1:59" ht="15" customHeight="1">
      <c r="A124" s="324" t="s">
        <v>352</v>
      </c>
      <c r="B124" s="344">
        <v>1063.5999999999999</v>
      </c>
      <c r="C124" s="344">
        <v>1037</v>
      </c>
      <c r="D124" s="344">
        <v>1097</v>
      </c>
      <c r="E124" s="344">
        <v>949</v>
      </c>
      <c r="F124" s="344">
        <v>950</v>
      </c>
      <c r="G124" s="344">
        <v>950</v>
      </c>
      <c r="H124" s="344">
        <v>921.5</v>
      </c>
      <c r="I124" s="344">
        <v>950</v>
      </c>
      <c r="J124" s="344">
        <v>940</v>
      </c>
      <c r="K124" s="344">
        <v>968</v>
      </c>
      <c r="L124" s="344">
        <v>1008</v>
      </c>
      <c r="M124" s="344">
        <v>967.7</v>
      </c>
      <c r="N124" s="344">
        <v>980</v>
      </c>
      <c r="O124" s="344">
        <v>950</v>
      </c>
      <c r="P124" s="344">
        <v>1050</v>
      </c>
      <c r="Q124" s="344">
        <v>1060</v>
      </c>
      <c r="R124" s="344">
        <v>1028.2</v>
      </c>
      <c r="S124" s="344">
        <v>1038.5</v>
      </c>
      <c r="T124" s="344">
        <v>1059.3</v>
      </c>
      <c r="U124" s="344">
        <v>1016.9</v>
      </c>
      <c r="V124" s="344">
        <v>1027.0999999999999</v>
      </c>
      <c r="W124" s="344">
        <v>768</v>
      </c>
      <c r="X124" s="344">
        <v>783.4</v>
      </c>
      <c r="Y124" s="344">
        <v>824.6</v>
      </c>
      <c r="Z124" s="344">
        <v>893</v>
      </c>
      <c r="AA124" s="344">
        <v>832</v>
      </c>
      <c r="AB124" s="344">
        <v>848.6</v>
      </c>
      <c r="AC124" s="344">
        <v>814.7</v>
      </c>
      <c r="AD124" s="344">
        <v>798.4</v>
      </c>
      <c r="AE124" s="344">
        <v>784.8</v>
      </c>
      <c r="AF124" s="344">
        <v>706.3</v>
      </c>
      <c r="AG124" s="344">
        <v>715.8</v>
      </c>
      <c r="AH124" s="344">
        <v>667.1</v>
      </c>
      <c r="AI124" s="344">
        <v>593.5</v>
      </c>
      <c r="AJ124" s="344">
        <v>548.20000000000005</v>
      </c>
      <c r="AK124" s="344">
        <v>536.70000000000005</v>
      </c>
      <c r="AL124" s="344">
        <v>489</v>
      </c>
      <c r="AM124" s="344">
        <v>471.9</v>
      </c>
      <c r="AN124" s="344">
        <v>411.5</v>
      </c>
      <c r="AO124" s="344">
        <v>370</v>
      </c>
      <c r="AP124" s="344">
        <v>400.3</v>
      </c>
      <c r="AQ124" s="344">
        <v>319</v>
      </c>
      <c r="AR124" s="344">
        <v>335</v>
      </c>
      <c r="AS124" s="344">
        <v>336</v>
      </c>
      <c r="AT124" s="344">
        <v>346.1</v>
      </c>
      <c r="AU124" s="344">
        <v>353.7</v>
      </c>
      <c r="AV124" s="344">
        <v>312</v>
      </c>
      <c r="AW124" s="344">
        <v>300.10000000000002</v>
      </c>
      <c r="AX124" s="344">
        <v>288.10000000000002</v>
      </c>
      <c r="AY124" s="369">
        <v>308</v>
      </c>
      <c r="AZ124" s="366">
        <v>308</v>
      </c>
      <c r="BA124" s="366">
        <f>AZ124-AY124</f>
        <v>0</v>
      </c>
      <c r="BB124" s="367">
        <f>AY124-AX124</f>
        <v>19.899999999999977</v>
      </c>
      <c r="BC124" s="368">
        <f>AZ124-AX124</f>
        <v>19.899999999999977</v>
      </c>
      <c r="BD124" s="353">
        <f t="shared" si="83"/>
        <v>-3.0292407125123266E-2</v>
      </c>
      <c r="BF124" s="319" t="b">
        <v>0</v>
      </c>
    </row>
    <row r="125" spans="1:59" ht="15" customHeight="1">
      <c r="A125" s="324" t="s">
        <v>353</v>
      </c>
      <c r="B125" s="345">
        <v>2514.2910868747654</v>
      </c>
      <c r="C125" s="345">
        <v>1783.9922854387657</v>
      </c>
      <c r="D125" s="345">
        <v>1659.0701914311758</v>
      </c>
      <c r="E125" s="345">
        <v>2500</v>
      </c>
      <c r="F125" s="345">
        <v>2943.0526315789475</v>
      </c>
      <c r="G125" s="345">
        <v>2500</v>
      </c>
      <c r="H125" s="345">
        <v>1700.0542593597395</v>
      </c>
      <c r="I125" s="345">
        <v>2746</v>
      </c>
      <c r="J125" s="345">
        <v>2400</v>
      </c>
      <c r="K125" s="345">
        <v>2039.9793388429753</v>
      </c>
      <c r="L125" s="345">
        <v>2300</v>
      </c>
      <c r="M125" s="345">
        <v>2549.9638317660433</v>
      </c>
      <c r="N125" s="345">
        <v>2700</v>
      </c>
      <c r="O125" s="345">
        <v>2800</v>
      </c>
      <c r="P125" s="345">
        <v>1490</v>
      </c>
      <c r="Q125" s="345">
        <v>3100</v>
      </c>
      <c r="R125" s="345">
        <v>3200</v>
      </c>
      <c r="S125" s="345">
        <v>3300</v>
      </c>
      <c r="T125" s="345">
        <v>3600</v>
      </c>
      <c r="U125" s="345">
        <v>2950</v>
      </c>
      <c r="V125" s="345">
        <v>3550</v>
      </c>
      <c r="W125" s="345">
        <v>3500</v>
      </c>
      <c r="X125" s="345">
        <v>3620</v>
      </c>
      <c r="Y125" s="345">
        <v>3950</v>
      </c>
      <c r="Z125" s="345">
        <v>4420</v>
      </c>
      <c r="AA125" s="345">
        <v>3733</v>
      </c>
      <c r="AB125" s="345">
        <v>4990</v>
      </c>
      <c r="AC125" s="345">
        <v>4100</v>
      </c>
      <c r="AD125" s="345">
        <v>3530</v>
      </c>
      <c r="AE125" s="345">
        <v>4050</v>
      </c>
      <c r="AF125" s="345">
        <v>5470</v>
      </c>
      <c r="AG125" s="345">
        <v>5713</v>
      </c>
      <c r="AH125" s="345">
        <v>4894.6000000000004</v>
      </c>
      <c r="AI125" s="345">
        <v>6400</v>
      </c>
      <c r="AJ125" s="345">
        <v>6515</v>
      </c>
      <c r="AK125" s="345">
        <v>5491</v>
      </c>
      <c r="AL125" s="345">
        <v>6870</v>
      </c>
      <c r="AM125" s="345">
        <v>7385</v>
      </c>
      <c r="AN125" s="345">
        <v>7750</v>
      </c>
      <c r="AO125" s="345">
        <v>7330</v>
      </c>
      <c r="AP125" s="345">
        <v>8152</v>
      </c>
      <c r="AQ125" s="345">
        <v>7997</v>
      </c>
      <c r="AR125" s="345">
        <v>8580</v>
      </c>
      <c r="AS125" s="345">
        <v>8273</v>
      </c>
      <c r="AT125" s="345">
        <v>5722</v>
      </c>
      <c r="AU125" s="345">
        <v>6066</v>
      </c>
      <c r="AV125" s="345">
        <v>8164</v>
      </c>
      <c r="AW125" s="345">
        <v>7900</v>
      </c>
      <c r="AX125" s="345">
        <v>10800</v>
      </c>
      <c r="AY125" s="346">
        <v>8434</v>
      </c>
      <c r="AZ125" s="347">
        <v>8181</v>
      </c>
      <c r="BA125" s="347">
        <f>AZ125-AY125</f>
        <v>-253</v>
      </c>
      <c r="BB125" s="351">
        <f>AY125-AX125</f>
        <v>-2366</v>
      </c>
      <c r="BC125" s="352">
        <f>AZ125-AX125</f>
        <v>-2619</v>
      </c>
      <c r="BD125" s="353">
        <f t="shared" si="83"/>
        <v>5.4756344089419429E-2</v>
      </c>
    </row>
    <row r="126" spans="1:59" s="311" customFormat="1" ht="15" customHeight="1">
      <c r="A126" s="324" t="s">
        <v>354</v>
      </c>
      <c r="B126" s="344">
        <f>B125*B124/1000</f>
        <v>2674.2</v>
      </c>
      <c r="C126" s="344">
        <v>255</v>
      </c>
      <c r="D126" s="344">
        <v>224</v>
      </c>
      <c r="E126" s="344">
        <v>266</v>
      </c>
      <c r="F126" s="344">
        <v>177</v>
      </c>
      <c r="G126" s="344">
        <v>303</v>
      </c>
      <c r="H126" s="344">
        <v>95</v>
      </c>
      <c r="I126" s="344">
        <v>328</v>
      </c>
      <c r="J126" s="344">
        <v>126</v>
      </c>
      <c r="K126" s="344">
        <v>290</v>
      </c>
      <c r="L126" s="344">
        <v>116</v>
      </c>
      <c r="M126" s="344">
        <v>345</v>
      </c>
      <c r="N126" s="344">
        <v>342</v>
      </c>
      <c r="O126" s="344">
        <v>173</v>
      </c>
      <c r="P126" s="344">
        <v>354.7</v>
      </c>
      <c r="Q126" s="344">
        <v>237.2</v>
      </c>
      <c r="R126" s="344">
        <v>197.4</v>
      </c>
      <c r="S126" s="344">
        <v>413.1</v>
      </c>
      <c r="T126" s="344">
        <v>422.5</v>
      </c>
      <c r="U126" s="344">
        <v>455</v>
      </c>
      <c r="V126" s="344">
        <v>362.7</v>
      </c>
      <c r="W126" s="344">
        <v>209.9</v>
      </c>
      <c r="X126" s="344">
        <v>294.10000000000002</v>
      </c>
      <c r="Y126" s="344">
        <v>313.60000000000002</v>
      </c>
      <c r="Z126" s="344">
        <v>310</v>
      </c>
      <c r="AA126" s="344">
        <v>324.5</v>
      </c>
      <c r="AB126" s="344">
        <v>414.2</v>
      </c>
      <c r="AC126" s="344">
        <v>430.4</v>
      </c>
      <c r="AD126" s="344">
        <v>405.1</v>
      </c>
      <c r="AE126" s="344">
        <v>424.4</v>
      </c>
      <c r="AF126" s="344">
        <v>447.1</v>
      </c>
      <c r="AG126" s="344">
        <v>490.4</v>
      </c>
      <c r="AH126" s="344">
        <v>504.1</v>
      </c>
      <c r="AI126" s="344">
        <v>562.1</v>
      </c>
      <c r="AJ126" s="344">
        <v>879.7</v>
      </c>
      <c r="AK126" s="344">
        <v>731.6</v>
      </c>
      <c r="AL126" s="344">
        <v>1309.4000000000001</v>
      </c>
      <c r="AM126" s="344">
        <v>1725.9</v>
      </c>
      <c r="AN126" s="344">
        <v>1469.2</v>
      </c>
      <c r="AO126" s="344">
        <v>874.4</v>
      </c>
      <c r="AP126" s="344">
        <v>1951.9</v>
      </c>
      <c r="AQ126" s="344">
        <v>1884</v>
      </c>
      <c r="AR126" s="344">
        <v>1792.5</v>
      </c>
      <c r="AS126" s="344">
        <v>2196.3000000000002</v>
      </c>
      <c r="AT126" s="344">
        <f t="shared" ref="AT126" si="162">AT125*AT124/1000</f>
        <v>1980.3842000000002</v>
      </c>
      <c r="AU126" s="344">
        <f t="shared" ref="AU126" si="163">AU125*AU124/1000</f>
        <v>2145.5441999999998</v>
      </c>
      <c r="AV126" s="344">
        <f t="shared" ref="AV126" si="164">AV125*AV124/1000</f>
        <v>2547.1680000000001</v>
      </c>
      <c r="AW126" s="344">
        <f t="shared" ref="AW126" si="165">AW125*AW124/1000</f>
        <v>2370.79</v>
      </c>
      <c r="AX126" s="344">
        <f t="shared" ref="AX126" si="166">AX125*AX124/1000</f>
        <v>3111.4800000000005</v>
      </c>
      <c r="AY126" s="365">
        <f t="shared" ref="AY126" si="167">AY125*AY124/1000</f>
        <v>2597.672</v>
      </c>
      <c r="AZ126" s="366">
        <f>AZ125*AZ124/1000</f>
        <v>2519.748</v>
      </c>
      <c r="BA126" s="366">
        <f>AZ126-AY126</f>
        <v>-77.923999999999978</v>
      </c>
      <c r="BB126" s="367">
        <f>AY126-AX126</f>
        <v>-513.80800000000045</v>
      </c>
      <c r="BC126" s="368">
        <f>AZ126-AX126</f>
        <v>-591.73200000000043</v>
      </c>
      <c r="BD126" s="353">
        <f t="shared" si="83"/>
        <v>7.2148816290108719E-2</v>
      </c>
      <c r="BE126" s="309"/>
      <c r="BF126"/>
      <c r="BG126" s="308"/>
    </row>
    <row r="127" spans="1:59" ht="15" customHeight="1">
      <c r="A127" s="320" t="s">
        <v>387</v>
      </c>
      <c r="B127" s="356"/>
      <c r="C127" s="356"/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6"/>
      <c r="Q127" s="356"/>
      <c r="R127" s="356"/>
      <c r="S127" s="356"/>
      <c r="T127" s="356"/>
      <c r="U127" s="356"/>
      <c r="V127" s="356"/>
      <c r="W127" s="356"/>
      <c r="X127" s="356"/>
      <c r="Y127" s="356"/>
      <c r="Z127" s="356"/>
      <c r="AA127" s="356"/>
      <c r="AB127" s="356"/>
      <c r="AC127" s="356"/>
      <c r="AD127" s="356"/>
      <c r="AE127" s="356"/>
      <c r="AF127" s="356"/>
      <c r="AG127" s="356"/>
      <c r="AH127" s="356"/>
      <c r="AI127" s="356"/>
      <c r="AJ127" s="356"/>
      <c r="AK127" s="356"/>
      <c r="AL127" s="356"/>
      <c r="AM127" s="356"/>
      <c r="AN127" s="356"/>
      <c r="AO127" s="356"/>
      <c r="AP127" s="356"/>
      <c r="AQ127" s="356"/>
      <c r="AR127" s="356"/>
      <c r="AS127" s="356"/>
      <c r="AT127" s="328"/>
      <c r="AU127" s="328"/>
      <c r="AV127" s="328"/>
      <c r="AW127" s="328"/>
      <c r="AX127" s="328"/>
      <c r="AY127" s="321"/>
      <c r="AZ127" s="328"/>
      <c r="BA127" s="328"/>
      <c r="BB127" s="321"/>
      <c r="BC127" s="328"/>
      <c r="BD127" s="329"/>
    </row>
    <row r="128" spans="1:59" ht="15" customHeight="1">
      <c r="A128" s="324" t="s">
        <v>352</v>
      </c>
      <c r="B128" s="344">
        <v>1673</v>
      </c>
      <c r="C128" s="344">
        <v>1651</v>
      </c>
      <c r="D128" s="344">
        <v>1785</v>
      </c>
      <c r="E128" s="344">
        <v>1863.5</v>
      </c>
      <c r="F128" s="344">
        <v>1819</v>
      </c>
      <c r="G128" s="344">
        <v>1910</v>
      </c>
      <c r="H128" s="344">
        <v>1814.5</v>
      </c>
      <c r="I128" s="344">
        <v>1911</v>
      </c>
      <c r="J128" s="344">
        <v>1758</v>
      </c>
      <c r="K128" s="344">
        <v>1758</v>
      </c>
      <c r="L128" s="344">
        <v>1971.7</v>
      </c>
      <c r="M128" s="344">
        <v>1683</v>
      </c>
      <c r="N128" s="344">
        <v>1582</v>
      </c>
      <c r="O128" s="344">
        <v>1646</v>
      </c>
      <c r="P128" s="344">
        <v>1876.4</v>
      </c>
      <c r="Q128" s="344">
        <v>2010</v>
      </c>
      <c r="R128" s="344">
        <v>1567.8</v>
      </c>
      <c r="S128" s="344">
        <v>1700</v>
      </c>
      <c r="T128" s="344">
        <v>1887</v>
      </c>
      <c r="U128" s="344">
        <v>1754.9</v>
      </c>
      <c r="V128" s="344">
        <v>1649.6</v>
      </c>
      <c r="W128" s="344">
        <v>1501.1</v>
      </c>
      <c r="X128" s="344">
        <v>1471.1</v>
      </c>
      <c r="Y128" s="344">
        <v>1540</v>
      </c>
      <c r="Z128" s="344">
        <v>1663.2</v>
      </c>
      <c r="AA128" s="344">
        <v>1460</v>
      </c>
      <c r="AB128" s="344">
        <v>1408.9</v>
      </c>
      <c r="AC128" s="344">
        <v>1296.2</v>
      </c>
      <c r="AD128" s="344">
        <v>1237.9000000000001</v>
      </c>
      <c r="AE128" s="344">
        <v>1436</v>
      </c>
      <c r="AF128" s="344">
        <v>1385.7</v>
      </c>
      <c r="AG128" s="344">
        <v>1391</v>
      </c>
      <c r="AH128" s="344">
        <v>1388.5</v>
      </c>
      <c r="AI128" s="344">
        <v>1151</v>
      </c>
      <c r="AJ128" s="344">
        <v>1099.2</v>
      </c>
      <c r="AK128" s="344">
        <v>1113.5</v>
      </c>
      <c r="AL128" s="344">
        <v>1033.3</v>
      </c>
      <c r="AM128" s="344">
        <v>1031.2</v>
      </c>
      <c r="AN128" s="344">
        <v>941</v>
      </c>
      <c r="AO128" s="344">
        <v>823</v>
      </c>
      <c r="AP128" s="344">
        <v>804.9</v>
      </c>
      <c r="AQ128" s="344">
        <v>728.4</v>
      </c>
      <c r="AR128" s="344">
        <v>753.9</v>
      </c>
      <c r="AS128" s="344">
        <v>791.4</v>
      </c>
      <c r="AT128" s="344">
        <v>801.7</v>
      </c>
      <c r="AU128" s="344">
        <v>824.1</v>
      </c>
      <c r="AV128" s="344">
        <v>831.5</v>
      </c>
      <c r="AW128" s="344">
        <v>814.9</v>
      </c>
      <c r="AX128" s="344">
        <v>715.5</v>
      </c>
      <c r="AY128" s="369">
        <v>817.1</v>
      </c>
      <c r="AZ128" s="366">
        <v>817.1</v>
      </c>
      <c r="BA128" s="366">
        <f>AZ128-AY128</f>
        <v>0</v>
      </c>
      <c r="BB128" s="367">
        <f>AY128-AX128</f>
        <v>101.60000000000002</v>
      </c>
      <c r="BC128" s="368">
        <f>AZ128-AX128</f>
        <v>101.60000000000002</v>
      </c>
      <c r="BD128" s="353">
        <f t="shared" si="83"/>
        <v>-1.9962444380389299E-2</v>
      </c>
      <c r="BF128" s="319" t="b">
        <v>0</v>
      </c>
    </row>
    <row r="129" spans="1:60" ht="15" customHeight="1">
      <c r="A129" s="324" t="s">
        <v>353</v>
      </c>
      <c r="B129" s="345">
        <v>1601.9127316198444</v>
      </c>
      <c r="C129" s="345">
        <v>1320.411871592974</v>
      </c>
      <c r="D129" s="345">
        <v>1014.0056022408963</v>
      </c>
      <c r="E129" s="345">
        <v>1713.9790716393884</v>
      </c>
      <c r="F129" s="345">
        <v>2151.7317207256738</v>
      </c>
      <c r="G129" s="345">
        <v>1648.0104712041882</v>
      </c>
      <c r="H129" s="345">
        <v>1800</v>
      </c>
      <c r="I129" s="345">
        <v>1780.0104657247514</v>
      </c>
      <c r="J129" s="345">
        <v>1700</v>
      </c>
      <c r="K129" s="345">
        <v>1100</v>
      </c>
      <c r="L129" s="345">
        <v>2000</v>
      </c>
      <c r="M129" s="345">
        <v>1569.9940582293525</v>
      </c>
      <c r="N129" s="345">
        <v>2100</v>
      </c>
      <c r="O129" s="345">
        <v>2450</v>
      </c>
      <c r="P129" s="345">
        <v>1175</v>
      </c>
      <c r="Q129" s="345">
        <v>2670</v>
      </c>
      <c r="R129" s="345">
        <v>2770</v>
      </c>
      <c r="S129" s="345">
        <v>2865</v>
      </c>
      <c r="T129" s="345">
        <v>3180</v>
      </c>
      <c r="U129" s="345">
        <v>1800</v>
      </c>
      <c r="V129" s="345">
        <v>2500</v>
      </c>
      <c r="W129" s="345">
        <v>3000</v>
      </c>
      <c r="X129" s="345">
        <v>2230</v>
      </c>
      <c r="Y129" s="345">
        <v>2446</v>
      </c>
      <c r="Z129" s="345">
        <v>3750</v>
      </c>
      <c r="AA129" s="345">
        <v>2675</v>
      </c>
      <c r="AB129" s="345">
        <v>3750</v>
      </c>
      <c r="AC129" s="345">
        <v>2700</v>
      </c>
      <c r="AD129" s="345">
        <v>1269</v>
      </c>
      <c r="AE129" s="345">
        <v>3167</v>
      </c>
      <c r="AF129" s="345">
        <v>4300</v>
      </c>
      <c r="AG129" s="345">
        <v>3826</v>
      </c>
      <c r="AH129" s="345">
        <v>3060</v>
      </c>
      <c r="AI129" s="345">
        <v>4860</v>
      </c>
      <c r="AJ129" s="345">
        <v>5255</v>
      </c>
      <c r="AK129" s="345">
        <v>3002</v>
      </c>
      <c r="AL129" s="345">
        <v>5210</v>
      </c>
      <c r="AM129" s="345">
        <v>5544</v>
      </c>
      <c r="AN129" s="345">
        <v>6560</v>
      </c>
      <c r="AO129" s="345">
        <v>7160</v>
      </c>
      <c r="AP129" s="345">
        <v>7500</v>
      </c>
      <c r="AQ129" s="345">
        <v>6628</v>
      </c>
      <c r="AR129" s="345">
        <v>7651</v>
      </c>
      <c r="AS129" s="345">
        <v>4973</v>
      </c>
      <c r="AT129" s="345">
        <v>5476</v>
      </c>
      <c r="AU129" s="345">
        <v>3520</v>
      </c>
      <c r="AV129" s="345">
        <v>4488</v>
      </c>
      <c r="AW129" s="345">
        <v>5952</v>
      </c>
      <c r="AX129" s="345">
        <v>7590</v>
      </c>
      <c r="AY129" s="346">
        <v>6641</v>
      </c>
      <c r="AZ129" s="347">
        <v>6442</v>
      </c>
      <c r="BA129" s="347">
        <f>AZ129-AY129</f>
        <v>-199</v>
      </c>
      <c r="BB129" s="351">
        <f>AY129-AX129</f>
        <v>-949</v>
      </c>
      <c r="BC129" s="352">
        <f>AZ129-AX129</f>
        <v>-1148</v>
      </c>
      <c r="BD129" s="353">
        <f t="shared" si="83"/>
        <v>8.8239945579240864E-2</v>
      </c>
    </row>
    <row r="130" spans="1:60" s="311" customFormat="1" ht="15" customHeight="1" thickBot="1">
      <c r="A130" s="324" t="s">
        <v>354</v>
      </c>
      <c r="B130" s="344">
        <f>B129*B128/1000</f>
        <v>2679.9999999999995</v>
      </c>
      <c r="C130" s="344">
        <v>255</v>
      </c>
      <c r="D130" s="344">
        <v>224</v>
      </c>
      <c r="E130" s="344">
        <v>266</v>
      </c>
      <c r="F130" s="344">
        <v>177</v>
      </c>
      <c r="G130" s="344">
        <v>303</v>
      </c>
      <c r="H130" s="344">
        <v>95</v>
      </c>
      <c r="I130" s="344">
        <v>328</v>
      </c>
      <c r="J130" s="344">
        <v>126</v>
      </c>
      <c r="K130" s="344">
        <v>290</v>
      </c>
      <c r="L130" s="344">
        <v>116</v>
      </c>
      <c r="M130" s="344">
        <v>345</v>
      </c>
      <c r="N130" s="344">
        <v>342</v>
      </c>
      <c r="O130" s="344">
        <v>173</v>
      </c>
      <c r="P130" s="344">
        <v>354.7</v>
      </c>
      <c r="Q130" s="344">
        <v>237.2</v>
      </c>
      <c r="R130" s="344">
        <v>197.4</v>
      </c>
      <c r="S130" s="344">
        <v>413.1</v>
      </c>
      <c r="T130" s="344">
        <v>422.5</v>
      </c>
      <c r="U130" s="344">
        <v>455</v>
      </c>
      <c r="V130" s="344">
        <v>362.7</v>
      </c>
      <c r="W130" s="344">
        <v>209.9</v>
      </c>
      <c r="X130" s="344">
        <v>294.10000000000002</v>
      </c>
      <c r="Y130" s="344">
        <v>313.60000000000002</v>
      </c>
      <c r="Z130" s="344">
        <v>310</v>
      </c>
      <c r="AA130" s="344">
        <v>324.5</v>
      </c>
      <c r="AB130" s="344">
        <v>414.2</v>
      </c>
      <c r="AC130" s="344">
        <v>430.4</v>
      </c>
      <c r="AD130" s="344">
        <v>405.1</v>
      </c>
      <c r="AE130" s="344">
        <v>424.4</v>
      </c>
      <c r="AF130" s="344">
        <v>447.1</v>
      </c>
      <c r="AG130" s="344">
        <v>490.4</v>
      </c>
      <c r="AH130" s="344">
        <v>504.1</v>
      </c>
      <c r="AI130" s="344">
        <v>562.1</v>
      </c>
      <c r="AJ130" s="344">
        <v>879.7</v>
      </c>
      <c r="AK130" s="344">
        <v>731.6</v>
      </c>
      <c r="AL130" s="344">
        <v>1309.4000000000001</v>
      </c>
      <c r="AM130" s="344">
        <v>1725.9</v>
      </c>
      <c r="AN130" s="344">
        <v>1469.2</v>
      </c>
      <c r="AO130" s="344">
        <v>874.4</v>
      </c>
      <c r="AP130" s="344">
        <v>1951.9</v>
      </c>
      <c r="AQ130" s="344">
        <v>1884</v>
      </c>
      <c r="AR130" s="344">
        <v>1792.5</v>
      </c>
      <c r="AS130" s="344">
        <v>2196.3000000000002</v>
      </c>
      <c r="AT130" s="344">
        <f t="shared" ref="AT130" si="168">AT129*AT128/1000</f>
        <v>4390.1091999999999</v>
      </c>
      <c r="AU130" s="344">
        <f t="shared" ref="AU130" si="169">AU129*AU128/1000</f>
        <v>2900.8319999999999</v>
      </c>
      <c r="AV130" s="344">
        <f t="shared" ref="AV130" si="170">AV129*AV128/1000</f>
        <v>3731.7719999999999</v>
      </c>
      <c r="AW130" s="344">
        <f t="shared" ref="AW130" si="171">AW129*AW128/1000</f>
        <v>4850.2847999999994</v>
      </c>
      <c r="AX130" s="344">
        <f t="shared" ref="AX130" si="172">AX129*AX128/1000</f>
        <v>5430.6450000000004</v>
      </c>
      <c r="AY130" s="365">
        <f t="shared" ref="AY130" si="173">AY129*AY128/1000</f>
        <v>5426.361100000001</v>
      </c>
      <c r="AZ130" s="366">
        <f>AZ129*AZ128/1000</f>
        <v>5263.7582000000002</v>
      </c>
      <c r="BA130" s="366">
        <f>AZ130-AY130</f>
        <v>-162.60290000000077</v>
      </c>
      <c r="BB130" s="367">
        <f>AY130-AX130</f>
        <v>-4.2838999999994485</v>
      </c>
      <c r="BC130" s="368">
        <f>AZ130-AX130</f>
        <v>-166.88680000000022</v>
      </c>
      <c r="BD130" s="353">
        <f t="shared" si="83"/>
        <v>0.19848319969380457</v>
      </c>
      <c r="BE130" s="309"/>
      <c r="BF130"/>
      <c r="BG130" s="308"/>
      <c r="BH130" s="336">
        <v>0</v>
      </c>
    </row>
    <row r="131" spans="1:60" ht="21.75" thickBot="1">
      <c r="A131" s="337" t="s">
        <v>27</v>
      </c>
      <c r="B131" s="358"/>
      <c r="C131" s="358"/>
      <c r="D131" s="358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  <c r="AA131" s="358"/>
      <c r="AB131" s="358"/>
      <c r="AC131" s="358"/>
      <c r="AD131" s="358"/>
      <c r="AE131" s="358"/>
      <c r="AF131" s="358"/>
      <c r="AG131" s="358"/>
      <c r="AH131" s="358"/>
      <c r="AI131" s="358"/>
      <c r="AJ131" s="358"/>
      <c r="AK131" s="358"/>
      <c r="AL131" s="358"/>
      <c r="AM131" s="358"/>
      <c r="AN131" s="358"/>
      <c r="AO131" s="358"/>
      <c r="AP131" s="358"/>
      <c r="AQ131" s="358"/>
      <c r="AR131" s="358"/>
      <c r="AS131" s="358"/>
      <c r="AT131" s="333"/>
      <c r="AU131" s="333"/>
      <c r="AV131" s="333"/>
      <c r="AW131" s="333"/>
      <c r="AX131" s="333"/>
      <c r="AY131" s="332"/>
      <c r="AZ131" s="333"/>
      <c r="BA131" s="333"/>
      <c r="BB131" s="332"/>
      <c r="BC131" s="333"/>
      <c r="BD131" s="334"/>
      <c r="BF131" s="319" t="b">
        <v>1</v>
      </c>
    </row>
    <row r="132" spans="1:60" ht="15" customHeight="1">
      <c r="A132" s="338" t="s">
        <v>352</v>
      </c>
      <c r="B132" s="344">
        <f>B116+B96+B76+B36+B4</f>
        <v>11797.336000000001</v>
      </c>
      <c r="C132" s="344">
        <f t="shared" ref="C132:AT132" si="174">C116+C96+C76+C36+C4</f>
        <v>10985.06</v>
      </c>
      <c r="D132" s="344">
        <f t="shared" si="174"/>
        <v>11304.813</v>
      </c>
      <c r="E132" s="344">
        <f t="shared" si="174"/>
        <v>11523.883000000002</v>
      </c>
      <c r="F132" s="344">
        <f t="shared" si="174"/>
        <v>11904.143999999998</v>
      </c>
      <c r="G132" s="344">
        <f t="shared" si="174"/>
        <v>12543.052000000001</v>
      </c>
      <c r="H132" s="344">
        <f t="shared" si="174"/>
        <v>11554.285</v>
      </c>
      <c r="I132" s="344">
        <f t="shared" si="174"/>
        <v>11880.628999999999</v>
      </c>
      <c r="J132" s="344">
        <f t="shared" si="174"/>
        <v>11567.163</v>
      </c>
      <c r="K132" s="344">
        <f t="shared" si="174"/>
        <v>12623.451000000001</v>
      </c>
      <c r="L132" s="344">
        <f t="shared" si="174"/>
        <v>14061.352999999997</v>
      </c>
      <c r="M132" s="344">
        <f t="shared" si="174"/>
        <v>12885.096000000001</v>
      </c>
      <c r="N132" s="344">
        <f t="shared" si="174"/>
        <v>12308.435000000001</v>
      </c>
      <c r="O132" s="344">
        <f t="shared" si="174"/>
        <v>11574.295</v>
      </c>
      <c r="P132" s="344">
        <f t="shared" si="174"/>
        <v>12651.8</v>
      </c>
      <c r="Q132" s="344">
        <f t="shared" si="174"/>
        <v>13036.8</v>
      </c>
      <c r="R132" s="344">
        <f t="shared" si="174"/>
        <v>11152.6</v>
      </c>
      <c r="S132" s="344">
        <f t="shared" si="174"/>
        <v>12397.800000000001</v>
      </c>
      <c r="T132" s="344">
        <f t="shared" si="174"/>
        <v>12614.4</v>
      </c>
      <c r="U132" s="344">
        <f t="shared" si="174"/>
        <v>12035.599999999999</v>
      </c>
      <c r="V132" s="344">
        <f t="shared" si="174"/>
        <v>11600.300000000001</v>
      </c>
      <c r="W132" s="344">
        <f t="shared" si="174"/>
        <v>9070.1</v>
      </c>
      <c r="X132" s="344">
        <f t="shared" si="174"/>
        <v>9822.4</v>
      </c>
      <c r="Y132" s="344">
        <f t="shared" si="174"/>
        <v>9849.8000000000011</v>
      </c>
      <c r="Z132" s="344">
        <f t="shared" si="174"/>
        <v>10546.1</v>
      </c>
      <c r="AA132" s="344">
        <f t="shared" si="174"/>
        <v>9412.7999999999993</v>
      </c>
      <c r="AB132" s="344">
        <f t="shared" si="174"/>
        <v>9663.5000000000018</v>
      </c>
      <c r="AC132" s="344">
        <f t="shared" si="174"/>
        <v>9465.2999999999993</v>
      </c>
      <c r="AD132" s="344">
        <f t="shared" si="174"/>
        <v>9021.8000000000011</v>
      </c>
      <c r="AE132" s="344">
        <f t="shared" si="174"/>
        <v>9652.7999999999993</v>
      </c>
      <c r="AF132" s="344">
        <f t="shared" si="174"/>
        <v>9493.9</v>
      </c>
      <c r="AG132" s="344">
        <f t="shared" si="174"/>
        <v>9635.6</v>
      </c>
      <c r="AH132" s="344">
        <f t="shared" si="174"/>
        <v>9270.5</v>
      </c>
      <c r="AI132" s="344">
        <f t="shared" si="174"/>
        <v>7723.9999999999991</v>
      </c>
      <c r="AJ132" s="344">
        <f t="shared" si="174"/>
        <v>7637.7000000000007</v>
      </c>
      <c r="AK132" s="344">
        <f t="shared" si="174"/>
        <v>7558.5</v>
      </c>
      <c r="AL132" s="344">
        <f t="shared" si="174"/>
        <v>6783.0999999999995</v>
      </c>
      <c r="AM132" s="344">
        <f t="shared" si="174"/>
        <v>6617.7</v>
      </c>
      <c r="AN132" s="344">
        <f t="shared" si="174"/>
        <v>6142.3</v>
      </c>
      <c r="AO132" s="344">
        <f t="shared" si="174"/>
        <v>5289.4</v>
      </c>
      <c r="AP132" s="344">
        <f t="shared" si="174"/>
        <v>5482.5000000000009</v>
      </c>
      <c r="AQ132" s="344">
        <f t="shared" si="174"/>
        <v>5082.0999999999995</v>
      </c>
      <c r="AR132" s="344">
        <f t="shared" si="174"/>
        <v>4103.8999999999996</v>
      </c>
      <c r="AS132" s="344">
        <f t="shared" si="174"/>
        <v>4235.8</v>
      </c>
      <c r="AT132" s="344">
        <f t="shared" si="174"/>
        <v>4348.3999999999996</v>
      </c>
      <c r="AU132" s="344">
        <f>AU116+AU96+AU76+AU36+AU4</f>
        <v>4549.2000000000007</v>
      </c>
      <c r="AV132" s="344">
        <f>AV116+AV96+AV76+AV36+AV4</f>
        <v>4444</v>
      </c>
      <c r="AW132" s="344">
        <f t="shared" ref="AW132:AY132" si="175">AW116+AW96+AW76+AW36+AW4</f>
        <v>3970.1000000000004</v>
      </c>
      <c r="AX132" s="344">
        <f t="shared" si="175"/>
        <v>3772.6</v>
      </c>
      <c r="AY132" s="369">
        <f t="shared" si="175"/>
        <v>4039.1</v>
      </c>
      <c r="AZ132" s="366">
        <f>AZ116+AZ96+AZ76+AZ36+AZ4</f>
        <v>4039.1</v>
      </c>
      <c r="BA132" s="366">
        <f>AZ132-AY132</f>
        <v>0</v>
      </c>
      <c r="BB132" s="367">
        <f>AY132-AX132</f>
        <v>266.5</v>
      </c>
      <c r="BC132" s="368">
        <f>AZ132-AX132</f>
        <v>266.5</v>
      </c>
      <c r="BD132" s="353">
        <f t="shared" si="83"/>
        <v>-2.2895388699077923E-2</v>
      </c>
    </row>
    <row r="133" spans="1:60" ht="15" customHeight="1">
      <c r="A133" s="324" t="s">
        <v>353</v>
      </c>
      <c r="B133" s="345">
        <f t="shared" ref="B133:AY133" si="176">B134/B132*1000</f>
        <v>1632.2098480538318</v>
      </c>
      <c r="C133" s="345">
        <f t="shared" ref="C133:AT133" si="177">C134/C132*1000</f>
        <v>494.03462520914769</v>
      </c>
      <c r="D133" s="345">
        <f t="shared" si="177"/>
        <v>424.68637030970791</v>
      </c>
      <c r="E133" s="345">
        <f t="shared" si="177"/>
        <v>518.40165333160701</v>
      </c>
      <c r="F133" s="345">
        <f t="shared" si="177"/>
        <v>355.08643040608382</v>
      </c>
      <c r="G133" s="345">
        <f t="shared" si="177"/>
        <v>548.51084090219831</v>
      </c>
      <c r="H133" s="345">
        <f t="shared" si="177"/>
        <v>215.07172447278217</v>
      </c>
      <c r="I133" s="345">
        <f t="shared" si="177"/>
        <v>635.31989762494902</v>
      </c>
      <c r="J133" s="345">
        <f t="shared" si="177"/>
        <v>294.10841707685796</v>
      </c>
      <c r="K133" s="345">
        <f t="shared" si="177"/>
        <v>550.24572915916565</v>
      </c>
      <c r="L133" s="345">
        <f t="shared" si="177"/>
        <v>241.79749985652168</v>
      </c>
      <c r="M133" s="345">
        <f t="shared" si="177"/>
        <v>630.65110263827285</v>
      </c>
      <c r="N133" s="345">
        <f t="shared" si="177"/>
        <v>661.90380824207125</v>
      </c>
      <c r="O133" s="345">
        <f t="shared" si="177"/>
        <v>405.46746043711516</v>
      </c>
      <c r="P133" s="345">
        <f t="shared" si="177"/>
        <v>658.08027316271205</v>
      </c>
      <c r="Q133" s="345">
        <f t="shared" si="177"/>
        <v>485.82474226804129</v>
      </c>
      <c r="R133" s="345">
        <f t="shared" si="177"/>
        <v>515.19824973548771</v>
      </c>
      <c r="S133" s="345">
        <f t="shared" si="177"/>
        <v>854.63549984674694</v>
      </c>
      <c r="T133" s="345">
        <f t="shared" si="177"/>
        <v>852.59703196347039</v>
      </c>
      <c r="U133" s="345">
        <f t="shared" si="177"/>
        <v>950.14789457941447</v>
      </c>
      <c r="V133" s="345">
        <f t="shared" si="177"/>
        <v>826.564830219908</v>
      </c>
      <c r="W133" s="345">
        <f t="shared" si="177"/>
        <v>639.46373248365512</v>
      </c>
      <c r="X133" s="345">
        <f t="shared" si="177"/>
        <v>733.49690503339309</v>
      </c>
      <c r="Y133" s="345">
        <f t="shared" si="177"/>
        <v>775.43706471197368</v>
      </c>
      <c r="Z133" s="345">
        <f t="shared" si="177"/>
        <v>706.83001299058424</v>
      </c>
      <c r="AA133" s="345">
        <f t="shared" si="177"/>
        <v>806.83749787523379</v>
      </c>
      <c r="AB133" s="345">
        <f t="shared" si="177"/>
        <v>975.90934961452876</v>
      </c>
      <c r="AC133" s="345">
        <f t="shared" si="177"/>
        <v>1088.5761676861803</v>
      </c>
      <c r="AD133" s="345">
        <f t="shared" si="177"/>
        <v>1079.0307920814025</v>
      </c>
      <c r="AE133" s="345">
        <f t="shared" si="177"/>
        <v>1059.7546825791483</v>
      </c>
      <c r="AF133" s="345">
        <f t="shared" si="177"/>
        <v>1135.550195388618</v>
      </c>
      <c r="AG133" s="345">
        <f t="shared" si="177"/>
        <v>1258.2714101872223</v>
      </c>
      <c r="AH133" s="345">
        <f t="shared" si="177"/>
        <v>1300.8144113046762</v>
      </c>
      <c r="AI133" s="345">
        <f t="shared" si="177"/>
        <v>1747.7990678404974</v>
      </c>
      <c r="AJ133" s="345">
        <f t="shared" si="177"/>
        <v>2580.9340508268197</v>
      </c>
      <c r="AK133" s="345">
        <f t="shared" si="177"/>
        <v>2297.7045710127672</v>
      </c>
      <c r="AL133" s="345">
        <f t="shared" si="177"/>
        <v>4306.3790892070001</v>
      </c>
      <c r="AM133" s="345">
        <f t="shared" si="177"/>
        <v>5629.8562944829773</v>
      </c>
      <c r="AN133" s="345">
        <f t="shared" si="177"/>
        <v>5422.5941422594151</v>
      </c>
      <c r="AO133" s="345">
        <f t="shared" si="177"/>
        <v>4050.5161265928082</v>
      </c>
      <c r="AP133" s="345">
        <f t="shared" si="177"/>
        <v>7998.8326493388031</v>
      </c>
      <c r="AQ133" s="345">
        <f t="shared" si="177"/>
        <v>8299.9153893075709</v>
      </c>
      <c r="AR133" s="345">
        <f t="shared" si="177"/>
        <v>10111.649894003265</v>
      </c>
      <c r="AS133" s="345">
        <f t="shared" si="177"/>
        <v>11813.730582180462</v>
      </c>
      <c r="AT133" s="345">
        <f t="shared" si="177"/>
        <v>5686.3275227669956</v>
      </c>
      <c r="AU133" s="345">
        <f t="shared" si="176"/>
        <v>5501.1961443770324</v>
      </c>
      <c r="AV133" s="345">
        <f>AV134/AV132*1000</f>
        <v>6159.5836858685861</v>
      </c>
      <c r="AW133" s="345">
        <f t="shared" si="176"/>
        <v>5783.7293770937749</v>
      </c>
      <c r="AX133" s="345">
        <f t="shared" si="176"/>
        <v>6609.654959444415</v>
      </c>
      <c r="AY133" s="346">
        <f t="shared" si="176"/>
        <v>6404.1251268847027</v>
      </c>
      <c r="AZ133" s="347">
        <f>AZ134/AZ132*1000</f>
        <v>6317.3855809462502</v>
      </c>
      <c r="BA133" s="347">
        <f>AZ133-AY133</f>
        <v>-86.739545938452466</v>
      </c>
      <c r="BB133" s="351">
        <f>AY133-AX133</f>
        <v>-205.5298325597123</v>
      </c>
      <c r="BC133" s="352">
        <f>AZ133-AX133</f>
        <v>-292.26937849816477</v>
      </c>
      <c r="BD133" s="353">
        <f t="shared" si="83"/>
        <v>-0.10965495661262681</v>
      </c>
    </row>
    <row r="134" spans="1:60" ht="15" customHeight="1" thickBot="1">
      <c r="A134" s="324" t="s">
        <v>354</v>
      </c>
      <c r="B134" s="344">
        <f>B118+B98+B78+B38+B6</f>
        <v>19255.728000000003</v>
      </c>
      <c r="C134" s="344">
        <f t="shared" ref="C134:AT134" si="178">C118+C98+C78+C38+C6</f>
        <v>5427</v>
      </c>
      <c r="D134" s="344">
        <f t="shared" si="178"/>
        <v>4801</v>
      </c>
      <c r="E134" s="344">
        <f t="shared" si="178"/>
        <v>5974</v>
      </c>
      <c r="F134" s="344">
        <f t="shared" si="178"/>
        <v>4227</v>
      </c>
      <c r="G134" s="344">
        <f t="shared" si="178"/>
        <v>6880</v>
      </c>
      <c r="H134" s="344">
        <f t="shared" si="178"/>
        <v>2485</v>
      </c>
      <c r="I134" s="344">
        <f t="shared" si="178"/>
        <v>7548</v>
      </c>
      <c r="J134" s="344">
        <f t="shared" si="178"/>
        <v>3402</v>
      </c>
      <c r="K134" s="344">
        <f t="shared" si="178"/>
        <v>6946</v>
      </c>
      <c r="L134" s="344">
        <f t="shared" si="178"/>
        <v>3400</v>
      </c>
      <c r="M134" s="344">
        <f t="shared" si="178"/>
        <v>8126</v>
      </c>
      <c r="N134" s="344">
        <f t="shared" si="178"/>
        <v>8147</v>
      </c>
      <c r="O134" s="344">
        <f t="shared" si="178"/>
        <v>4693</v>
      </c>
      <c r="P134" s="344">
        <f t="shared" si="178"/>
        <v>8325.9</v>
      </c>
      <c r="Q134" s="344">
        <f t="shared" si="178"/>
        <v>6333.6</v>
      </c>
      <c r="R134" s="344">
        <f t="shared" si="178"/>
        <v>5745.8</v>
      </c>
      <c r="S134" s="344">
        <f t="shared" si="178"/>
        <v>10595.6</v>
      </c>
      <c r="T134" s="344">
        <f t="shared" si="178"/>
        <v>10755</v>
      </c>
      <c r="U134" s="344">
        <f t="shared" si="178"/>
        <v>11435.6</v>
      </c>
      <c r="V134" s="344">
        <f t="shared" si="178"/>
        <v>9588.4</v>
      </c>
      <c r="W134" s="344">
        <f t="shared" si="178"/>
        <v>5800</v>
      </c>
      <c r="X134" s="344">
        <f t="shared" si="178"/>
        <v>7204.7</v>
      </c>
      <c r="Y134" s="344">
        <f t="shared" si="178"/>
        <v>7637.9</v>
      </c>
      <c r="Z134" s="344">
        <f t="shared" si="178"/>
        <v>7454.3</v>
      </c>
      <c r="AA134" s="344">
        <f t="shared" si="178"/>
        <v>7594.6</v>
      </c>
      <c r="AB134" s="344">
        <f t="shared" si="178"/>
        <v>9430.7000000000007</v>
      </c>
      <c r="AC134" s="344">
        <f t="shared" si="178"/>
        <v>10303.700000000001</v>
      </c>
      <c r="AD134" s="344">
        <f t="shared" si="178"/>
        <v>9734.7999999999993</v>
      </c>
      <c r="AE134" s="344">
        <f t="shared" si="178"/>
        <v>10229.6</v>
      </c>
      <c r="AF134" s="344">
        <f t="shared" si="178"/>
        <v>10780.8</v>
      </c>
      <c r="AG134" s="344">
        <f t="shared" si="178"/>
        <v>12124.2</v>
      </c>
      <c r="AH134" s="344">
        <f t="shared" si="178"/>
        <v>12059.2</v>
      </c>
      <c r="AI134" s="344">
        <f t="shared" si="178"/>
        <v>13500</v>
      </c>
      <c r="AJ134" s="344">
        <f t="shared" si="178"/>
        <v>19712.400000000001</v>
      </c>
      <c r="AK134" s="344">
        <f t="shared" si="178"/>
        <v>17367.2</v>
      </c>
      <c r="AL134" s="344">
        <f t="shared" si="178"/>
        <v>29210.6</v>
      </c>
      <c r="AM134" s="344">
        <f t="shared" si="178"/>
        <v>37256.699999999997</v>
      </c>
      <c r="AN134" s="344">
        <f t="shared" si="178"/>
        <v>33307.200000000004</v>
      </c>
      <c r="AO134" s="344">
        <f t="shared" si="178"/>
        <v>21424.799999999999</v>
      </c>
      <c r="AP134" s="344">
        <f t="shared" si="178"/>
        <v>43853.599999999999</v>
      </c>
      <c r="AQ134" s="344">
        <f t="shared" si="178"/>
        <v>42181</v>
      </c>
      <c r="AR134" s="344">
        <f t="shared" si="178"/>
        <v>41497.199999999997</v>
      </c>
      <c r="AS134" s="344">
        <f t="shared" si="178"/>
        <v>50040.6</v>
      </c>
      <c r="AT134" s="344">
        <f t="shared" si="178"/>
        <v>24726.426600000003</v>
      </c>
      <c r="AU134" s="344">
        <f>((AU118+AU98+AU78+AU38+AU6)*1000)/1000</f>
        <v>25026.041499999999</v>
      </c>
      <c r="AV134" s="344">
        <f>((AV118+AV98+AV78+AV38+AV6)*1000)/1000</f>
        <v>27373.189899999998</v>
      </c>
      <c r="AW134" s="344">
        <f t="shared" ref="AW134:AY134" si="179">((AW118+AW98+AW78+AW38+AW6)*1000)/1000</f>
        <v>22961.983999999997</v>
      </c>
      <c r="AX134" s="344">
        <f t="shared" si="179"/>
        <v>24935.584300000002</v>
      </c>
      <c r="AY134" s="365">
        <f t="shared" si="179"/>
        <v>25866.9018</v>
      </c>
      <c r="AZ134" s="366">
        <f>AZ118+AZ98+AZ78+AZ38+AZ6</f>
        <v>25516.552099999997</v>
      </c>
      <c r="BA134" s="366">
        <f>AZ134-AY134</f>
        <v>-350.34970000000249</v>
      </c>
      <c r="BB134" s="371">
        <f>AY134-AX134</f>
        <v>931.31749999999738</v>
      </c>
      <c r="BC134" s="372">
        <f>AZ134-AX134</f>
        <v>580.9677999999949</v>
      </c>
      <c r="BD134" s="359">
        <f t="shared" si="83"/>
        <v>-0.13003975245727806</v>
      </c>
    </row>
    <row r="135" spans="1:60" ht="15" customHeight="1" thickTop="1">
      <c r="A135" s="339" t="s">
        <v>388</v>
      </c>
      <c r="B135" s="360"/>
      <c r="C135" s="360"/>
      <c r="D135" s="360"/>
      <c r="E135" s="360"/>
      <c r="F135" s="360"/>
      <c r="G135" s="360"/>
      <c r="H135" s="360"/>
      <c r="I135" s="360"/>
      <c r="J135" s="360"/>
      <c r="K135" s="360"/>
      <c r="L135" s="360"/>
      <c r="M135" s="360"/>
      <c r="N135" s="360"/>
      <c r="O135" s="360"/>
      <c r="P135" s="360"/>
      <c r="Q135" s="360"/>
      <c r="R135" s="360"/>
      <c r="S135" s="360"/>
      <c r="T135" s="360"/>
      <c r="U135" s="360"/>
      <c r="V135" s="360"/>
      <c r="W135" s="360"/>
      <c r="X135" s="360"/>
      <c r="Y135" s="360"/>
      <c r="Z135" s="360"/>
      <c r="AA135" s="360"/>
      <c r="AB135" s="360"/>
      <c r="AC135" s="360"/>
      <c r="AD135" s="360"/>
      <c r="AE135" s="360"/>
      <c r="AF135" s="360"/>
      <c r="AG135" s="360"/>
      <c r="AH135" s="360"/>
      <c r="AI135" s="360"/>
      <c r="AJ135" s="360"/>
      <c r="AK135" s="360"/>
      <c r="AL135" s="360"/>
      <c r="AM135" s="360"/>
      <c r="AN135" s="360"/>
      <c r="AO135" s="360"/>
      <c r="AP135" s="360"/>
      <c r="AQ135" s="360"/>
      <c r="AR135" s="360"/>
      <c r="AS135" s="361">
        <f>AY132-AS132</f>
        <v>-196.70000000000027</v>
      </c>
      <c r="AT135" s="360"/>
      <c r="AU135" s="360"/>
      <c r="AV135" s="360"/>
      <c r="AW135" s="360"/>
      <c r="AX135" s="360"/>
      <c r="AY135" s="360"/>
      <c r="AZ135" s="360"/>
      <c r="BA135" s="360"/>
      <c r="BB135" s="360"/>
      <c r="BC135" s="360"/>
      <c r="BD135" s="360"/>
    </row>
    <row r="136" spans="1:60">
      <c r="A136" s="342"/>
      <c r="B136" s="362"/>
      <c r="C136" s="362"/>
      <c r="D136" s="362"/>
      <c r="E136" s="362"/>
      <c r="F136" s="362"/>
      <c r="G136" s="362"/>
      <c r="H136" s="362"/>
      <c r="I136" s="362"/>
      <c r="J136" s="362"/>
      <c r="K136" s="362"/>
      <c r="L136" s="362"/>
      <c r="M136" s="362"/>
      <c r="N136" s="362"/>
      <c r="O136" s="362"/>
      <c r="P136" s="362"/>
      <c r="Q136" s="362"/>
      <c r="R136" s="362"/>
      <c r="S136" s="362"/>
      <c r="T136" s="362"/>
      <c r="U136" s="362"/>
      <c r="V136" s="362"/>
      <c r="W136" s="362"/>
      <c r="X136" s="362"/>
      <c r="Y136" s="362"/>
      <c r="Z136" s="362"/>
      <c r="AA136" s="362"/>
      <c r="AB136" s="362"/>
      <c r="AC136" s="362"/>
      <c r="AD136" s="362"/>
      <c r="AE136" s="362"/>
      <c r="AF136" s="362"/>
      <c r="AG136" s="362"/>
      <c r="AH136" s="362"/>
      <c r="AI136" s="362"/>
      <c r="AJ136" s="362"/>
      <c r="AK136" s="362"/>
      <c r="AL136" s="362"/>
      <c r="AM136" s="362"/>
      <c r="AN136" s="362"/>
      <c r="AO136" s="362"/>
      <c r="AP136" s="362"/>
      <c r="AQ136" s="362"/>
      <c r="AR136" s="362"/>
      <c r="AS136" s="362"/>
      <c r="AT136" s="362"/>
      <c r="AU136" s="362"/>
      <c r="AV136" s="362"/>
      <c r="AW136" s="362"/>
      <c r="AX136" s="362"/>
      <c r="AY136" s="362"/>
      <c r="AZ136" s="362"/>
      <c r="BA136" s="362"/>
      <c r="BB136" s="362"/>
      <c r="BC136" s="362"/>
      <c r="BD136" s="362"/>
    </row>
    <row r="137" spans="1:60">
      <c r="A137" s="342"/>
      <c r="B137" s="362"/>
      <c r="C137" s="362"/>
      <c r="D137" s="362"/>
      <c r="E137" s="362"/>
      <c r="F137" s="362"/>
      <c r="G137" s="362"/>
      <c r="H137" s="362"/>
      <c r="I137" s="362"/>
      <c r="J137" s="362"/>
      <c r="K137" s="362"/>
      <c r="L137" s="362"/>
      <c r="M137" s="362"/>
      <c r="N137" s="362"/>
      <c r="O137" s="362"/>
      <c r="P137" s="362"/>
      <c r="Q137" s="362"/>
      <c r="R137" s="362"/>
      <c r="S137" s="362"/>
      <c r="T137" s="362"/>
      <c r="U137" s="362"/>
      <c r="V137" s="362"/>
      <c r="W137" s="362"/>
      <c r="X137" s="362"/>
      <c r="Y137" s="362"/>
      <c r="Z137" s="362"/>
      <c r="AA137" s="362"/>
      <c r="AB137" s="362"/>
      <c r="AC137" s="362"/>
      <c r="AD137" s="362"/>
      <c r="AE137" s="362"/>
      <c r="AF137" s="362"/>
      <c r="AG137" s="362"/>
      <c r="AH137" s="362"/>
      <c r="AI137" s="362"/>
      <c r="AJ137" s="362"/>
      <c r="AK137" s="362"/>
      <c r="AL137" s="362"/>
      <c r="AM137" s="362"/>
      <c r="AN137" s="362"/>
      <c r="AO137" s="362"/>
      <c r="AP137" s="362"/>
      <c r="AQ137" s="362"/>
      <c r="AR137" s="362"/>
      <c r="AS137" s="362"/>
      <c r="AT137" s="362"/>
      <c r="AU137" s="362"/>
      <c r="AV137" s="362"/>
      <c r="AW137" s="362"/>
      <c r="AX137" s="362"/>
      <c r="AY137" s="362"/>
      <c r="AZ137" s="362"/>
      <c r="BA137" s="362"/>
      <c r="BB137" s="362"/>
      <c r="BC137" s="362"/>
      <c r="BD137" s="362"/>
    </row>
    <row r="138" spans="1:60">
      <c r="BD138" s="364"/>
    </row>
    <row r="139" spans="1:60">
      <c r="BD139" s="364"/>
    </row>
    <row r="140" spans="1:60">
      <c r="BD140" s="364"/>
    </row>
    <row r="141" spans="1:60">
      <c r="BD141" s="364"/>
    </row>
    <row r="142" spans="1:60">
      <c r="BD142" s="364"/>
    </row>
    <row r="143" spans="1:60">
      <c r="BD143" s="364"/>
    </row>
    <row r="144" spans="1:60">
      <c r="BD144" s="364"/>
    </row>
    <row r="145" spans="54:56">
      <c r="BD145" s="364"/>
    </row>
    <row r="146" spans="54:56">
      <c r="BD146" s="364"/>
    </row>
    <row r="147" spans="54:56">
      <c r="BB147" s="364"/>
      <c r="BC147" s="364"/>
      <c r="BD147" s="364"/>
    </row>
    <row r="148" spans="54:56">
      <c r="BB148" s="364"/>
      <c r="BC148" s="364"/>
      <c r="BD148" s="364"/>
    </row>
    <row r="149" spans="54:56">
      <c r="BB149" s="364"/>
      <c r="BC149" s="364"/>
      <c r="BD149" s="364"/>
    </row>
    <row r="150" spans="54:56">
      <c r="BB150" s="364"/>
      <c r="BC150" s="364"/>
      <c r="BD150" s="364"/>
    </row>
    <row r="151" spans="54:56">
      <c r="BB151" s="364"/>
      <c r="BC151" s="364"/>
      <c r="BD151" s="364"/>
    </row>
    <row r="152" spans="54:56">
      <c r="BB152" s="364"/>
      <c r="BC152" s="364"/>
      <c r="BD152" s="364"/>
    </row>
    <row r="153" spans="54:56">
      <c r="BB153" s="364"/>
      <c r="BC153" s="364"/>
      <c r="BD153" s="364"/>
    </row>
    <row r="154" spans="54:56">
      <c r="BB154" s="364"/>
      <c r="BC154" s="364"/>
      <c r="BD154" s="364"/>
    </row>
    <row r="155" spans="54:56">
      <c r="BB155" s="364"/>
      <c r="BC155" s="364"/>
      <c r="BD155" s="364"/>
    </row>
    <row r="156" spans="54:56">
      <c r="BB156" s="364"/>
      <c r="BC156" s="364"/>
      <c r="BD156" s="364"/>
    </row>
    <row r="157" spans="54:56">
      <c r="BB157" s="364"/>
      <c r="BC157" s="364"/>
      <c r="BD157" s="364"/>
    </row>
    <row r="158" spans="54:56">
      <c r="BB158" s="364"/>
      <c r="BC158" s="364"/>
      <c r="BD158" s="364"/>
    </row>
    <row r="159" spans="54:56">
      <c r="BB159" s="364"/>
      <c r="BC159" s="364"/>
      <c r="BD159" s="364"/>
    </row>
    <row r="160" spans="54:56">
      <c r="BB160" s="364"/>
      <c r="BC160" s="364"/>
      <c r="BD160" s="364"/>
    </row>
    <row r="161" spans="54:56">
      <c r="BB161" s="364"/>
      <c r="BC161" s="364"/>
      <c r="BD161" s="364"/>
    </row>
    <row r="162" spans="54:56">
      <c r="BB162" s="364"/>
      <c r="BC162" s="364"/>
      <c r="BD162" s="364"/>
    </row>
    <row r="163" spans="54:56">
      <c r="BB163" s="364"/>
      <c r="BC163" s="364"/>
      <c r="BD163" s="364"/>
    </row>
    <row r="164" spans="54:56">
      <c r="BB164" s="364"/>
      <c r="BC164" s="364"/>
      <c r="BD164" s="364"/>
    </row>
    <row r="165" spans="54:56">
      <c r="BB165" s="364"/>
      <c r="BC165" s="364"/>
      <c r="BD165" s="364"/>
    </row>
    <row r="166" spans="54:56">
      <c r="BB166" s="364"/>
      <c r="BC166" s="364"/>
      <c r="BD166" s="364"/>
    </row>
    <row r="167" spans="54:56">
      <c r="BB167" s="364"/>
      <c r="BC167" s="364"/>
      <c r="BD167" s="364"/>
    </row>
    <row r="168" spans="54:56">
      <c r="BB168" s="364"/>
      <c r="BC168" s="364"/>
      <c r="BD168" s="364"/>
    </row>
    <row r="169" spans="54:56">
      <c r="BB169" s="364"/>
      <c r="BC169" s="364"/>
      <c r="BD169" s="364"/>
    </row>
    <row r="170" spans="54:56">
      <c r="BB170" s="364"/>
      <c r="BC170" s="364"/>
      <c r="BD170" s="364"/>
    </row>
    <row r="171" spans="54:56">
      <c r="BB171" s="364"/>
      <c r="BC171" s="364"/>
      <c r="BD171" s="364"/>
    </row>
    <row r="172" spans="54:56">
      <c r="BB172" s="364"/>
      <c r="BC172" s="364"/>
      <c r="BD172" s="364"/>
    </row>
    <row r="173" spans="54:56">
      <c r="BB173" s="364"/>
      <c r="BC173" s="364"/>
      <c r="BD173" s="364"/>
    </row>
    <row r="174" spans="54:56">
      <c r="BB174" s="364"/>
      <c r="BC174" s="364"/>
      <c r="BD174" s="364"/>
    </row>
    <row r="175" spans="54:56">
      <c r="BB175" s="364"/>
      <c r="BC175" s="364"/>
      <c r="BD175" s="364"/>
    </row>
    <row r="176" spans="54:56">
      <c r="BB176" s="364"/>
      <c r="BC176" s="364"/>
      <c r="BD176" s="364"/>
    </row>
    <row r="177" spans="54:56">
      <c r="BB177" s="364"/>
      <c r="BC177" s="364"/>
      <c r="BD177" s="364"/>
    </row>
    <row r="178" spans="54:56">
      <c r="BB178" s="364"/>
      <c r="BC178" s="364"/>
      <c r="BD178" s="364"/>
    </row>
    <row r="179" spans="54:56"/>
    <row r="180" spans="54:56"/>
    <row r="181" spans="54:56"/>
    <row r="182" spans="54:56"/>
    <row r="183" spans="54:56"/>
    <row r="184" spans="54:56"/>
    <row r="185" spans="54:56"/>
    <row r="186" spans="54:56"/>
    <row r="187" spans="54:56"/>
    <row r="188" spans="54:56"/>
    <row r="189" spans="54:56"/>
    <row r="190" spans="54:56"/>
    <row r="191" spans="54:56"/>
    <row r="192" spans="54:56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mergeCells count="6">
    <mergeCell ref="BF1:BF3"/>
    <mergeCell ref="AY2:BA2"/>
    <mergeCell ref="BB1:BB3"/>
    <mergeCell ref="BC1:BC3"/>
    <mergeCell ref="BD1:BD3"/>
    <mergeCell ref="BE1:BE3"/>
  </mergeCells>
  <pageMargins left="0.7" right="0.7" top="0.75" bottom="0.75" header="0" footer="0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 xr2:uid="{2A43AC30-785C-4F3D-A409-A4357B497B85}">
          <x14:colorSeries rgb="FF376092"/>
          <x14:sparklines>
            <x14:sparkline>
              <xm:f>'BZ by State 1st Crop'!Y4:AY4</xm:f>
              <xm:sqref>BE4</xm:sqref>
            </x14:sparkline>
            <x14:sparkline>
              <xm:f>'BZ by State 1st Crop'!Y5:AY5</xm:f>
              <xm:sqref>BE5</xm:sqref>
            </x14:sparkline>
            <x14:sparkline>
              <xm:f>'BZ by State 1st Crop'!Y6:AY6</xm:f>
              <xm:sqref>BE6</xm:sqref>
            </x14:sparkline>
            <x14:sparkline>
              <xm:f>'BZ by State 1st Crop'!Y7:AY7</xm:f>
              <xm:sqref>BE7</xm:sqref>
            </x14:sparkline>
            <x14:sparkline>
              <xm:f>'BZ by State 1st Crop'!Y8:AY8</xm:f>
              <xm:sqref>BE8</xm:sqref>
            </x14:sparkline>
            <x14:sparkline>
              <xm:f>'BZ by State 1st Crop'!Y9:AY9</xm:f>
              <xm:sqref>BE9</xm:sqref>
            </x14:sparkline>
            <x14:sparkline>
              <xm:f>'BZ by State 1st Crop'!Y10:AY10</xm:f>
              <xm:sqref>BE10</xm:sqref>
            </x14:sparkline>
            <x14:sparkline>
              <xm:f>'BZ by State 1st Crop'!Y11:AY11</xm:f>
              <xm:sqref>BE11</xm:sqref>
            </x14:sparkline>
            <x14:sparkline>
              <xm:f>'BZ by State 1st Crop'!Y12:AY12</xm:f>
              <xm:sqref>BE12</xm:sqref>
            </x14:sparkline>
            <x14:sparkline>
              <xm:f>'BZ by State 1st Crop'!Y13:AY13</xm:f>
              <xm:sqref>BE13</xm:sqref>
            </x14:sparkline>
            <x14:sparkline>
              <xm:f>'BZ by State 1st Crop'!Y14:AY14</xm:f>
              <xm:sqref>BE14</xm:sqref>
            </x14:sparkline>
            <x14:sparkline>
              <xm:f>'BZ by State 1st Crop'!Y15:AY15</xm:f>
              <xm:sqref>BE15</xm:sqref>
            </x14:sparkline>
            <x14:sparkline>
              <xm:f>'BZ by State 1st Crop'!Y16:AY16</xm:f>
              <xm:sqref>BE16</xm:sqref>
            </x14:sparkline>
            <x14:sparkline>
              <xm:f>'BZ by State 1st Crop'!Y17:AY17</xm:f>
              <xm:sqref>BE17</xm:sqref>
            </x14:sparkline>
            <x14:sparkline>
              <xm:f>'BZ by State 1st Crop'!Y18:AY18</xm:f>
              <xm:sqref>BE18</xm:sqref>
            </x14:sparkline>
            <x14:sparkline>
              <xm:f>'BZ by State 1st Crop'!Y19:AY19</xm:f>
              <xm:sqref>BE19</xm:sqref>
            </x14:sparkline>
            <x14:sparkline>
              <xm:f>'BZ by State 1st Crop'!Y20:AY20</xm:f>
              <xm:sqref>BE20</xm:sqref>
            </x14:sparkline>
            <x14:sparkline>
              <xm:f>'BZ by State 1st Crop'!Y21:AY21</xm:f>
              <xm:sqref>BE21</xm:sqref>
            </x14:sparkline>
            <x14:sparkline>
              <xm:f>'BZ by State 1st Crop'!Y22:AY22</xm:f>
              <xm:sqref>BE22</xm:sqref>
            </x14:sparkline>
            <x14:sparkline>
              <xm:f>'BZ by State 1st Crop'!Y23:AY23</xm:f>
              <xm:sqref>BE23</xm:sqref>
            </x14:sparkline>
            <x14:sparkline>
              <xm:f>'BZ by State 1st Crop'!Y24:AY24</xm:f>
              <xm:sqref>BE24</xm:sqref>
            </x14:sparkline>
            <x14:sparkline>
              <xm:f>'BZ by State 1st Crop'!Y25:AY25</xm:f>
              <xm:sqref>BE25</xm:sqref>
            </x14:sparkline>
            <x14:sparkline>
              <xm:f>'BZ by State 1st Crop'!Y26:AY26</xm:f>
              <xm:sqref>BE26</xm:sqref>
            </x14:sparkline>
            <x14:sparkline>
              <xm:f>'BZ by State 1st Crop'!Y27:AY27</xm:f>
              <xm:sqref>BE27</xm:sqref>
            </x14:sparkline>
            <x14:sparkline>
              <xm:f>'BZ by State 1st Crop'!Y28:AY28</xm:f>
              <xm:sqref>BE28</xm:sqref>
            </x14:sparkline>
            <x14:sparkline>
              <xm:f>'BZ by State 1st Crop'!Y29:AY29</xm:f>
              <xm:sqref>BE29</xm:sqref>
            </x14:sparkline>
            <x14:sparkline>
              <xm:f>'BZ by State 1st Crop'!Y30:AY30</xm:f>
              <xm:sqref>BE30</xm:sqref>
            </x14:sparkline>
            <x14:sparkline>
              <xm:f>'BZ by State 1st Crop'!Y31:AY31</xm:f>
              <xm:sqref>BE31</xm:sqref>
            </x14:sparkline>
            <x14:sparkline>
              <xm:f>'BZ by State 1st Crop'!Y32:AY32</xm:f>
              <xm:sqref>BE32</xm:sqref>
            </x14:sparkline>
            <x14:sparkline>
              <xm:f>'BZ by State 1st Crop'!Y33:AY33</xm:f>
              <xm:sqref>BE33</xm:sqref>
            </x14:sparkline>
            <x14:sparkline>
              <xm:f>'BZ by State 1st Crop'!Y34:AY34</xm:f>
              <xm:sqref>BE34</xm:sqref>
            </x14:sparkline>
            <x14:sparkline>
              <xm:f>'BZ by State 1st Crop'!Y35:AY35</xm:f>
              <xm:sqref>BE35</xm:sqref>
            </x14:sparkline>
            <x14:sparkline>
              <xm:f>'BZ by State 1st Crop'!Y36:AY36</xm:f>
              <xm:sqref>BE36</xm:sqref>
            </x14:sparkline>
            <x14:sparkline>
              <xm:f>'BZ by State 1st Crop'!Y37:AY37</xm:f>
              <xm:sqref>BE37</xm:sqref>
            </x14:sparkline>
            <x14:sparkline>
              <xm:f>'BZ by State 1st Crop'!Y38:AY38</xm:f>
              <xm:sqref>BE38</xm:sqref>
            </x14:sparkline>
            <x14:sparkline>
              <xm:f>'BZ by State 1st Crop'!Y39:AY39</xm:f>
              <xm:sqref>BE39</xm:sqref>
            </x14:sparkline>
            <x14:sparkline>
              <xm:f>'BZ by State 1st Crop'!Y40:AY40</xm:f>
              <xm:sqref>BE40</xm:sqref>
            </x14:sparkline>
            <x14:sparkline>
              <xm:f>'BZ by State 1st Crop'!Y41:AY41</xm:f>
              <xm:sqref>BE41</xm:sqref>
            </x14:sparkline>
            <x14:sparkline>
              <xm:f>'BZ by State 1st Crop'!Y42:AY42</xm:f>
              <xm:sqref>BE42</xm:sqref>
            </x14:sparkline>
            <x14:sparkline>
              <xm:f>'BZ by State 1st Crop'!Y43:AY43</xm:f>
              <xm:sqref>BE43</xm:sqref>
            </x14:sparkline>
            <x14:sparkline>
              <xm:f>'BZ by State 1st Crop'!Y44:AY44</xm:f>
              <xm:sqref>BE44</xm:sqref>
            </x14:sparkline>
            <x14:sparkline>
              <xm:f>'BZ by State 1st Crop'!Y45:AY45</xm:f>
              <xm:sqref>BE45</xm:sqref>
            </x14:sparkline>
            <x14:sparkline>
              <xm:f>'BZ by State 1st Crop'!Y46:AY46</xm:f>
              <xm:sqref>BE46</xm:sqref>
            </x14:sparkline>
            <x14:sparkline>
              <xm:f>'BZ by State 1st Crop'!Y47:AY47</xm:f>
              <xm:sqref>BE47</xm:sqref>
            </x14:sparkline>
            <x14:sparkline>
              <xm:f>'BZ by State 1st Crop'!Y48:AY48</xm:f>
              <xm:sqref>BE48</xm:sqref>
            </x14:sparkline>
            <x14:sparkline>
              <xm:f>'BZ by State 1st Crop'!Y49:AY49</xm:f>
              <xm:sqref>BE49</xm:sqref>
            </x14:sparkline>
            <x14:sparkline>
              <xm:f>'BZ by State 1st Crop'!Y50:AY50</xm:f>
              <xm:sqref>BE50</xm:sqref>
            </x14:sparkline>
            <x14:sparkline>
              <xm:f>'BZ by State 1st Crop'!Y51:AY51</xm:f>
              <xm:sqref>BE51</xm:sqref>
            </x14:sparkline>
            <x14:sparkline>
              <xm:f>'BZ by State 1st Crop'!Y52:AY52</xm:f>
              <xm:sqref>BE52</xm:sqref>
            </x14:sparkline>
            <x14:sparkline>
              <xm:f>'BZ by State 1st Crop'!Y53:AY53</xm:f>
              <xm:sqref>BE53</xm:sqref>
            </x14:sparkline>
            <x14:sparkline>
              <xm:f>'BZ by State 1st Crop'!Y54:AY54</xm:f>
              <xm:sqref>BE54</xm:sqref>
            </x14:sparkline>
            <x14:sparkline>
              <xm:f>'BZ by State 1st Crop'!Y55:AY55</xm:f>
              <xm:sqref>BE55</xm:sqref>
            </x14:sparkline>
            <x14:sparkline>
              <xm:f>'BZ by State 1st Crop'!Y56:AY56</xm:f>
              <xm:sqref>BE56</xm:sqref>
            </x14:sparkline>
            <x14:sparkline>
              <xm:f>'BZ by State 1st Crop'!Y57:AY57</xm:f>
              <xm:sqref>BE57</xm:sqref>
            </x14:sparkline>
            <x14:sparkline>
              <xm:f>'BZ by State 1st Crop'!Y58:AY58</xm:f>
              <xm:sqref>BE58</xm:sqref>
            </x14:sparkline>
            <x14:sparkline>
              <xm:f>'BZ by State 1st Crop'!Y59:AY59</xm:f>
              <xm:sqref>BE59</xm:sqref>
            </x14:sparkline>
            <x14:sparkline>
              <xm:f>'BZ by State 1st Crop'!Y60:AY60</xm:f>
              <xm:sqref>BE60</xm:sqref>
            </x14:sparkline>
            <x14:sparkline>
              <xm:f>'BZ by State 1st Crop'!Y61:AY61</xm:f>
              <xm:sqref>BE61</xm:sqref>
            </x14:sparkline>
            <x14:sparkline>
              <xm:f>'BZ by State 1st Crop'!Y62:AY62</xm:f>
              <xm:sqref>BE62</xm:sqref>
            </x14:sparkline>
            <x14:sparkline>
              <xm:f>'BZ by State 1st Crop'!Y63:AY63</xm:f>
              <xm:sqref>BE63</xm:sqref>
            </x14:sparkline>
            <x14:sparkline>
              <xm:f>'BZ by State 1st Crop'!Y64:AY64</xm:f>
              <xm:sqref>BE64</xm:sqref>
            </x14:sparkline>
            <x14:sparkline>
              <xm:f>'BZ by State 1st Crop'!Y65:AY65</xm:f>
              <xm:sqref>BE65</xm:sqref>
            </x14:sparkline>
            <x14:sparkline>
              <xm:f>'BZ by State 1st Crop'!Y66:AY66</xm:f>
              <xm:sqref>BE66</xm:sqref>
            </x14:sparkline>
            <x14:sparkline>
              <xm:f>'BZ by State 1st Crop'!Y67:AY67</xm:f>
              <xm:sqref>BE67</xm:sqref>
            </x14:sparkline>
            <x14:sparkline>
              <xm:f>'BZ by State 1st Crop'!Y68:AY68</xm:f>
              <xm:sqref>BE68</xm:sqref>
            </x14:sparkline>
            <x14:sparkline>
              <xm:f>'BZ by State 1st Crop'!Y69:AY69</xm:f>
              <xm:sqref>BE69</xm:sqref>
            </x14:sparkline>
            <x14:sparkline>
              <xm:f>'BZ by State 1st Crop'!Y70:AY70</xm:f>
              <xm:sqref>BE70</xm:sqref>
            </x14:sparkline>
            <x14:sparkline>
              <xm:f>'BZ by State 1st Crop'!Y71:AY71</xm:f>
              <xm:sqref>BE71</xm:sqref>
            </x14:sparkline>
            <x14:sparkline>
              <xm:f>'BZ by State 1st Crop'!Y72:AY72</xm:f>
              <xm:sqref>BE72</xm:sqref>
            </x14:sparkline>
            <x14:sparkline>
              <xm:f>'BZ by State 1st Crop'!Y73:AY73</xm:f>
              <xm:sqref>BE73</xm:sqref>
            </x14:sparkline>
            <x14:sparkline>
              <xm:f>'BZ by State 1st Crop'!Y74:AY74</xm:f>
              <xm:sqref>BE74</xm:sqref>
            </x14:sparkline>
            <x14:sparkline>
              <xm:f>'BZ by State 1st Crop'!Y75:AY75</xm:f>
              <xm:sqref>BE75</xm:sqref>
            </x14:sparkline>
            <x14:sparkline>
              <xm:f>'BZ by State 1st Crop'!Y76:AY76</xm:f>
              <xm:sqref>BE76</xm:sqref>
            </x14:sparkline>
            <x14:sparkline>
              <xm:f>'BZ by State 1st Crop'!Y77:AY77</xm:f>
              <xm:sqref>BE77</xm:sqref>
            </x14:sparkline>
            <x14:sparkline>
              <xm:f>'BZ by State 1st Crop'!Y78:AY78</xm:f>
              <xm:sqref>BE78</xm:sqref>
            </x14:sparkline>
            <x14:sparkline>
              <xm:f>'BZ by State 1st Crop'!Y79:AY79</xm:f>
              <xm:sqref>BE79</xm:sqref>
            </x14:sparkline>
            <x14:sparkline>
              <xm:f>'BZ by State 1st Crop'!Y80:AY80</xm:f>
              <xm:sqref>BE80</xm:sqref>
            </x14:sparkline>
            <x14:sparkline>
              <xm:f>'BZ by State 1st Crop'!Y81:AY81</xm:f>
              <xm:sqref>BE81</xm:sqref>
            </x14:sparkline>
            <x14:sparkline>
              <xm:f>'BZ by State 1st Crop'!Y82:AY82</xm:f>
              <xm:sqref>BE82</xm:sqref>
            </x14:sparkline>
            <x14:sparkline>
              <xm:f>'BZ by State 1st Crop'!Y83:AY83</xm:f>
              <xm:sqref>BE83</xm:sqref>
            </x14:sparkline>
            <x14:sparkline>
              <xm:f>'BZ by State 1st Crop'!Y84:AY84</xm:f>
              <xm:sqref>BE84</xm:sqref>
            </x14:sparkline>
            <x14:sparkline>
              <xm:f>'BZ by State 1st Crop'!Y85:AY85</xm:f>
              <xm:sqref>BE85</xm:sqref>
            </x14:sparkline>
            <x14:sparkline>
              <xm:f>'BZ by State 1st Crop'!Y86:AY86</xm:f>
              <xm:sqref>BE86</xm:sqref>
            </x14:sparkline>
            <x14:sparkline>
              <xm:f>'BZ by State 1st Crop'!Y87:AY87</xm:f>
              <xm:sqref>BE87</xm:sqref>
            </x14:sparkline>
            <x14:sparkline>
              <xm:f>'BZ by State 1st Crop'!Y88:AY88</xm:f>
              <xm:sqref>BE88</xm:sqref>
            </x14:sparkline>
            <x14:sparkline>
              <xm:f>'BZ by State 1st Crop'!Y89:AY89</xm:f>
              <xm:sqref>BE89</xm:sqref>
            </x14:sparkline>
            <x14:sparkline>
              <xm:f>'BZ by State 1st Crop'!Y90:AY90</xm:f>
              <xm:sqref>BE90</xm:sqref>
            </x14:sparkline>
            <x14:sparkline>
              <xm:f>'BZ by State 1st Crop'!Y91:AY91</xm:f>
              <xm:sqref>BE91</xm:sqref>
            </x14:sparkline>
            <x14:sparkline>
              <xm:f>'BZ by State 1st Crop'!Y92:AY92</xm:f>
              <xm:sqref>BE92</xm:sqref>
            </x14:sparkline>
            <x14:sparkline>
              <xm:f>'BZ by State 1st Crop'!Y93:AY93</xm:f>
              <xm:sqref>BE93</xm:sqref>
            </x14:sparkline>
            <x14:sparkline>
              <xm:f>'BZ by State 1st Crop'!Y94:AY94</xm:f>
              <xm:sqref>BE94</xm:sqref>
            </x14:sparkline>
            <x14:sparkline>
              <xm:f>'BZ by State 1st Crop'!Y95:AY95</xm:f>
              <xm:sqref>BE95</xm:sqref>
            </x14:sparkline>
            <x14:sparkline>
              <xm:f>'BZ by State 1st Crop'!Y96:AY96</xm:f>
              <xm:sqref>BE96</xm:sqref>
            </x14:sparkline>
            <x14:sparkline>
              <xm:f>'BZ by State 1st Crop'!Y97:AY97</xm:f>
              <xm:sqref>BE97</xm:sqref>
            </x14:sparkline>
            <x14:sparkline>
              <xm:f>'BZ by State 1st Crop'!Y98:AY98</xm:f>
              <xm:sqref>BE98</xm:sqref>
            </x14:sparkline>
            <x14:sparkline>
              <xm:f>'BZ by State 1st Crop'!Y99:AY99</xm:f>
              <xm:sqref>BE99</xm:sqref>
            </x14:sparkline>
            <x14:sparkline>
              <xm:f>'BZ by State 1st Crop'!Y100:AY100</xm:f>
              <xm:sqref>BE100</xm:sqref>
            </x14:sparkline>
            <x14:sparkline>
              <xm:f>'BZ by State 1st Crop'!Y101:AY101</xm:f>
              <xm:sqref>BE101</xm:sqref>
            </x14:sparkline>
            <x14:sparkline>
              <xm:f>'BZ by State 1st Crop'!Y102:AY102</xm:f>
              <xm:sqref>BE102</xm:sqref>
            </x14:sparkline>
            <x14:sparkline>
              <xm:f>'BZ by State 1st Crop'!Y103:AY103</xm:f>
              <xm:sqref>BE103</xm:sqref>
            </x14:sparkline>
            <x14:sparkline>
              <xm:f>'BZ by State 1st Crop'!Y104:AY104</xm:f>
              <xm:sqref>BE104</xm:sqref>
            </x14:sparkline>
            <x14:sparkline>
              <xm:f>'BZ by State 1st Crop'!Y105:AY105</xm:f>
              <xm:sqref>BE105</xm:sqref>
            </x14:sparkline>
            <x14:sparkline>
              <xm:f>'BZ by State 1st Crop'!Y106:AY106</xm:f>
              <xm:sqref>BE106</xm:sqref>
            </x14:sparkline>
            <x14:sparkline>
              <xm:f>'BZ by State 1st Crop'!Y107:AY107</xm:f>
              <xm:sqref>BE107</xm:sqref>
            </x14:sparkline>
            <x14:sparkline>
              <xm:f>'BZ by State 1st Crop'!Y108:AY108</xm:f>
              <xm:sqref>BE108</xm:sqref>
            </x14:sparkline>
            <x14:sparkline>
              <xm:f>'BZ by State 1st Crop'!Y109:AY109</xm:f>
              <xm:sqref>BE109</xm:sqref>
            </x14:sparkline>
            <x14:sparkline>
              <xm:f>'BZ by State 1st Crop'!Y110:AY110</xm:f>
              <xm:sqref>BE110</xm:sqref>
            </x14:sparkline>
            <x14:sparkline>
              <xm:f>'BZ by State 1st Crop'!Y111:AY111</xm:f>
              <xm:sqref>BE111</xm:sqref>
            </x14:sparkline>
            <x14:sparkline>
              <xm:f>'BZ by State 1st Crop'!Y112:AY112</xm:f>
              <xm:sqref>BE112</xm:sqref>
            </x14:sparkline>
            <x14:sparkline>
              <xm:f>'BZ by State 1st Crop'!Y113:AY113</xm:f>
              <xm:sqref>BE113</xm:sqref>
            </x14:sparkline>
            <x14:sparkline>
              <xm:f>'BZ by State 1st Crop'!Y114:AY114</xm:f>
              <xm:sqref>BE114</xm:sqref>
            </x14:sparkline>
            <x14:sparkline>
              <xm:f>'BZ by State 1st Crop'!Y115:AY115</xm:f>
              <xm:sqref>BE115</xm:sqref>
            </x14:sparkline>
            <x14:sparkline>
              <xm:f>'BZ by State 1st Crop'!Y116:AY116</xm:f>
              <xm:sqref>BE116</xm:sqref>
            </x14:sparkline>
            <x14:sparkline>
              <xm:f>'BZ by State 1st Crop'!Y117:AY117</xm:f>
              <xm:sqref>BE117</xm:sqref>
            </x14:sparkline>
            <x14:sparkline>
              <xm:f>'BZ by State 1st Crop'!Y118:AY118</xm:f>
              <xm:sqref>BE118</xm:sqref>
            </x14:sparkline>
            <x14:sparkline>
              <xm:f>'BZ by State 1st Crop'!Y119:AY119</xm:f>
              <xm:sqref>BE119</xm:sqref>
            </x14:sparkline>
            <x14:sparkline>
              <xm:f>'BZ by State 1st Crop'!Y120:AY120</xm:f>
              <xm:sqref>BE120</xm:sqref>
            </x14:sparkline>
            <x14:sparkline>
              <xm:f>'BZ by State 1st Crop'!Y121:AY121</xm:f>
              <xm:sqref>BE121</xm:sqref>
            </x14:sparkline>
            <x14:sparkline>
              <xm:f>'BZ by State 1st Crop'!Y122:AY122</xm:f>
              <xm:sqref>BE122</xm:sqref>
            </x14:sparkline>
            <x14:sparkline>
              <xm:f>'BZ by State 1st Crop'!Y123:AY123</xm:f>
              <xm:sqref>BE123</xm:sqref>
            </x14:sparkline>
            <x14:sparkline>
              <xm:f>'BZ by State 1st Crop'!Y124:AY124</xm:f>
              <xm:sqref>BE124</xm:sqref>
            </x14:sparkline>
            <x14:sparkline>
              <xm:f>'BZ by State 1st Crop'!Y125:AY125</xm:f>
              <xm:sqref>BE125</xm:sqref>
            </x14:sparkline>
            <x14:sparkline>
              <xm:f>'BZ by State 1st Crop'!Y126:AY126</xm:f>
              <xm:sqref>BE126</xm:sqref>
            </x14:sparkline>
            <x14:sparkline>
              <xm:f>'BZ by State 1st Crop'!Y127:AY127</xm:f>
              <xm:sqref>BE127</xm:sqref>
            </x14:sparkline>
            <x14:sparkline>
              <xm:f>'BZ by State 1st Crop'!Y128:AY128</xm:f>
              <xm:sqref>BE128</xm:sqref>
            </x14:sparkline>
            <x14:sparkline>
              <xm:f>'BZ by State 1st Crop'!Y129:AY129</xm:f>
              <xm:sqref>BE129</xm:sqref>
            </x14:sparkline>
            <x14:sparkline>
              <xm:f>'BZ by State 1st Crop'!Y130:AY130</xm:f>
              <xm:sqref>BE130</xm:sqref>
            </x14:sparkline>
            <x14:sparkline>
              <xm:f>'BZ by State 1st Crop'!Y131:AY131</xm:f>
              <xm:sqref>BE131</xm:sqref>
            </x14:sparkline>
            <x14:sparkline>
              <xm:f>'BZ by State 1st Crop'!Y132:AY132</xm:f>
              <xm:sqref>BE132</xm:sqref>
            </x14:sparkline>
            <x14:sparkline>
              <xm:f>'BZ by State 1st Crop'!Y133:AY133</xm:f>
              <xm:sqref>BE133</xm:sqref>
            </x14:sparkline>
            <x14:sparkline>
              <xm:f>'BZ by State 1st Crop'!Y134:AY134</xm:f>
              <xm:sqref>BE134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D995-D6E4-48A1-B347-3DFA468F2AE9}">
  <dimension ref="A1:BK999"/>
  <sheetViews>
    <sheetView zoomScale="87" zoomScaleNormal="87" workbookViewId="0">
      <pane xSplit="1" ySplit="3" topLeftCell="B115" activePane="bottomRight" state="frozen"/>
      <selection pane="topRight" activeCell="B1" sqref="B1"/>
      <selection pane="bottomLeft" activeCell="A4" sqref="A4"/>
      <selection pane="bottomRight" activeCell="BD129" sqref="BD129"/>
    </sheetView>
  </sheetViews>
  <sheetFormatPr defaultColWidth="8.85546875" defaultRowHeight="15" customHeight="1"/>
  <cols>
    <col min="1" max="1" width="34.42578125" style="309" bestFit="1" customWidth="1"/>
    <col min="2" max="2" width="12.85546875" style="309" customWidth="1"/>
    <col min="3" max="32" width="12.85546875" style="309" hidden="1" customWidth="1"/>
    <col min="33" max="43" width="13" style="309" hidden="1" customWidth="1"/>
    <col min="44" max="44" width="10.28515625" style="309" hidden="1" customWidth="1"/>
    <col min="45" max="45" width="0.7109375" style="309" customWidth="1"/>
    <col min="46" max="48" width="13.140625" style="309" bestFit="1" customWidth="1"/>
    <col min="49" max="50" width="12.85546875" style="309" customWidth="1"/>
    <col min="51" max="53" width="13.42578125" style="309" customWidth="1"/>
    <col min="54" max="56" width="14.140625" style="309" customWidth="1"/>
    <col min="57" max="57" width="8.85546875" style="309"/>
    <col min="59" max="59" width="71.42578125" style="308" customWidth="1"/>
    <col min="60" max="60" width="14.85546875" style="309" bestFit="1" customWidth="1"/>
    <col min="61" max="61" width="9" style="309" bestFit="1" customWidth="1"/>
    <col min="62" max="16384" width="8.85546875" style="309"/>
  </cols>
  <sheetData>
    <row r="1" spans="1:63" ht="26.1" customHeight="1">
      <c r="A1" s="307" t="s">
        <v>305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  <c r="AN1" s="349"/>
      <c r="AO1" s="349"/>
      <c r="AP1" s="349"/>
      <c r="AQ1" s="349"/>
      <c r="AR1" s="349"/>
      <c r="AS1" s="349"/>
      <c r="AT1" s="349"/>
      <c r="AU1" s="349"/>
      <c r="AV1" s="349"/>
      <c r="AW1" s="349"/>
      <c r="AX1" s="349"/>
      <c r="AY1" s="349"/>
      <c r="AZ1" s="349"/>
      <c r="BA1" s="349"/>
      <c r="BB1" s="390" t="s">
        <v>306</v>
      </c>
      <c r="BC1" s="390" t="s">
        <v>307</v>
      </c>
      <c r="BD1" s="391" t="s">
        <v>308</v>
      </c>
      <c r="BE1" s="392" t="s">
        <v>309</v>
      </c>
      <c r="BF1" s="393" t="s">
        <v>310</v>
      </c>
    </row>
    <row r="2" spans="1:63" ht="16.5" customHeight="1" thickBot="1">
      <c r="A2" s="310" t="s">
        <v>311</v>
      </c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  <c r="AE2" s="349"/>
      <c r="AF2" s="349"/>
      <c r="AG2" s="349"/>
      <c r="AH2" s="349"/>
      <c r="AI2" s="349"/>
      <c r="AJ2" s="349"/>
      <c r="AK2" s="349"/>
      <c r="AL2" s="349"/>
      <c r="AM2" s="349"/>
      <c r="AN2" s="349"/>
      <c r="AO2" s="349"/>
      <c r="AP2" s="349"/>
      <c r="AQ2" s="349"/>
      <c r="AR2" s="349"/>
      <c r="AS2" s="349"/>
      <c r="AT2" s="349"/>
      <c r="AU2" s="349"/>
      <c r="AV2" s="349"/>
      <c r="AW2" s="349"/>
      <c r="AX2" s="349"/>
      <c r="AY2" s="389" t="s">
        <v>312</v>
      </c>
      <c r="AZ2" s="389"/>
      <c r="BA2" s="389"/>
      <c r="BB2" s="390"/>
      <c r="BC2" s="390"/>
      <c r="BD2" s="391"/>
      <c r="BE2" s="392"/>
      <c r="BF2" s="393"/>
      <c r="BH2" s="311"/>
      <c r="BI2" s="311"/>
      <c r="BJ2" s="311"/>
      <c r="BK2" s="311"/>
    </row>
    <row r="3" spans="1:63" ht="15.75" customHeight="1" thickBot="1">
      <c r="A3" s="312" t="s">
        <v>313</v>
      </c>
      <c r="B3" s="313" t="s">
        <v>314</v>
      </c>
      <c r="C3" s="313" t="s">
        <v>315</v>
      </c>
      <c r="D3" s="313" t="s">
        <v>316</v>
      </c>
      <c r="E3" s="313" t="s">
        <v>317</v>
      </c>
      <c r="F3" s="313" t="s">
        <v>318</v>
      </c>
      <c r="G3" s="313" t="s">
        <v>319</v>
      </c>
      <c r="H3" s="313" t="s">
        <v>320</v>
      </c>
      <c r="I3" s="313" t="s">
        <v>321</v>
      </c>
      <c r="J3" s="313" t="s">
        <v>322</v>
      </c>
      <c r="K3" s="313" t="s">
        <v>323</v>
      </c>
      <c r="L3" s="313" t="s">
        <v>324</v>
      </c>
      <c r="M3" s="313" t="s">
        <v>325</v>
      </c>
      <c r="N3" s="313" t="s">
        <v>326</v>
      </c>
      <c r="O3" s="313" t="s">
        <v>327</v>
      </c>
      <c r="P3" s="313" t="s">
        <v>328</v>
      </c>
      <c r="Q3" s="313" t="s">
        <v>329</v>
      </c>
      <c r="R3" s="313" t="s">
        <v>330</v>
      </c>
      <c r="S3" s="313" t="s">
        <v>331</v>
      </c>
      <c r="T3" s="313" t="s">
        <v>332</v>
      </c>
      <c r="U3" s="313" t="s">
        <v>333</v>
      </c>
      <c r="V3" s="313" t="s">
        <v>334</v>
      </c>
      <c r="W3" s="313" t="s">
        <v>335</v>
      </c>
      <c r="X3" s="313" t="s">
        <v>336</v>
      </c>
      <c r="Y3" s="313" t="s">
        <v>337</v>
      </c>
      <c r="Z3" s="313" t="s">
        <v>338</v>
      </c>
      <c r="AA3" s="313" t="s">
        <v>339</v>
      </c>
      <c r="AB3" s="313" t="s">
        <v>340</v>
      </c>
      <c r="AC3" s="313" t="s">
        <v>341</v>
      </c>
      <c r="AD3" s="313" t="s">
        <v>342</v>
      </c>
      <c r="AE3" s="314" t="s">
        <v>343</v>
      </c>
      <c r="AF3" s="314" t="s">
        <v>344</v>
      </c>
      <c r="AG3" s="314" t="s">
        <v>345</v>
      </c>
      <c r="AH3" s="314" t="s">
        <v>346</v>
      </c>
      <c r="AI3" s="314" t="s">
        <v>347</v>
      </c>
      <c r="AJ3" s="314" t="s">
        <v>146</v>
      </c>
      <c r="AK3" s="314" t="s">
        <v>147</v>
      </c>
      <c r="AL3" s="314" t="s">
        <v>148</v>
      </c>
      <c r="AM3" s="314" t="s">
        <v>149</v>
      </c>
      <c r="AN3" s="314" t="s">
        <v>150</v>
      </c>
      <c r="AO3" s="314" t="s">
        <v>151</v>
      </c>
      <c r="AP3" s="314" t="s">
        <v>152</v>
      </c>
      <c r="AQ3" s="314" t="s">
        <v>153</v>
      </c>
      <c r="AR3" s="314" t="s">
        <v>154</v>
      </c>
      <c r="AS3" s="314" t="s">
        <v>155</v>
      </c>
      <c r="AT3" s="314" t="s">
        <v>156</v>
      </c>
      <c r="AU3" s="314" t="s">
        <v>157</v>
      </c>
      <c r="AV3" s="314" t="s">
        <v>158</v>
      </c>
      <c r="AW3" s="314" t="s">
        <v>159</v>
      </c>
      <c r="AX3" s="314" t="s">
        <v>160</v>
      </c>
      <c r="AY3" s="315" t="s">
        <v>348</v>
      </c>
      <c r="AZ3" s="316" t="s">
        <v>349</v>
      </c>
      <c r="BA3" s="348" t="s">
        <v>350</v>
      </c>
      <c r="BB3" s="390"/>
      <c r="BC3" s="390"/>
      <c r="BD3" s="391"/>
      <c r="BE3" s="392"/>
      <c r="BF3" s="393"/>
      <c r="BG3" s="317" t="s">
        <v>351</v>
      </c>
    </row>
    <row r="4" spans="1:63" ht="15" customHeight="1">
      <c r="A4" s="318" t="s">
        <v>352</v>
      </c>
      <c r="B4" s="344">
        <f>B8+B12+B16+B20+B24+B28+B32</f>
        <v>0</v>
      </c>
      <c r="C4" s="344">
        <f t="shared" ref="C4:AY4" si="0">C8+C12+C16+C20+C24+C28+C32</f>
        <v>0</v>
      </c>
      <c r="D4" s="344">
        <f t="shared" si="0"/>
        <v>0</v>
      </c>
      <c r="E4" s="344">
        <f t="shared" si="0"/>
        <v>0</v>
      </c>
      <c r="F4" s="344">
        <f t="shared" si="0"/>
        <v>0</v>
      </c>
      <c r="G4" s="344">
        <f t="shared" si="0"/>
        <v>0</v>
      </c>
      <c r="H4" s="344">
        <f t="shared" si="0"/>
        <v>0</v>
      </c>
      <c r="I4" s="344">
        <f t="shared" si="0"/>
        <v>0</v>
      </c>
      <c r="J4" s="344">
        <f t="shared" si="0"/>
        <v>0</v>
      </c>
      <c r="K4" s="344">
        <f t="shared" si="0"/>
        <v>0</v>
      </c>
      <c r="L4" s="344">
        <f t="shared" si="0"/>
        <v>0</v>
      </c>
      <c r="M4" s="344">
        <f t="shared" si="0"/>
        <v>0</v>
      </c>
      <c r="N4" s="344">
        <f t="shared" si="0"/>
        <v>0</v>
      </c>
      <c r="O4" s="344">
        <f t="shared" si="0"/>
        <v>0</v>
      </c>
      <c r="P4" s="344">
        <f t="shared" si="0"/>
        <v>0</v>
      </c>
      <c r="Q4" s="344">
        <f t="shared" si="0"/>
        <v>0</v>
      </c>
      <c r="R4" s="344">
        <f t="shared" si="0"/>
        <v>0</v>
      </c>
      <c r="S4" s="344">
        <f t="shared" si="0"/>
        <v>0</v>
      </c>
      <c r="T4" s="344">
        <f t="shared" si="0"/>
        <v>0</v>
      </c>
      <c r="U4" s="344">
        <f t="shared" si="0"/>
        <v>0</v>
      </c>
      <c r="V4" s="344">
        <f t="shared" si="0"/>
        <v>0</v>
      </c>
      <c r="W4" s="344">
        <f t="shared" si="0"/>
        <v>0</v>
      </c>
      <c r="X4" s="344">
        <f t="shared" si="0"/>
        <v>0</v>
      </c>
      <c r="Y4" s="344">
        <f t="shared" si="0"/>
        <v>0</v>
      </c>
      <c r="Z4" s="344">
        <f t="shared" si="0"/>
        <v>0</v>
      </c>
      <c r="AA4" s="344">
        <f t="shared" si="0"/>
        <v>0</v>
      </c>
      <c r="AB4" s="344">
        <f t="shared" si="0"/>
        <v>0</v>
      </c>
      <c r="AC4" s="344">
        <f t="shared" si="0"/>
        <v>17.5</v>
      </c>
      <c r="AD4" s="344">
        <f t="shared" si="0"/>
        <v>14.1</v>
      </c>
      <c r="AE4" s="344">
        <f t="shared" si="0"/>
        <v>18.2</v>
      </c>
      <c r="AF4" s="344">
        <f t="shared" si="0"/>
        <v>29.200000000000003</v>
      </c>
      <c r="AG4" s="344">
        <f t="shared" si="0"/>
        <v>35.299999999999997</v>
      </c>
      <c r="AH4" s="344">
        <f t="shared" si="0"/>
        <v>40</v>
      </c>
      <c r="AI4" s="344">
        <f t="shared" si="0"/>
        <v>72.599999999999994</v>
      </c>
      <c r="AJ4" s="344">
        <f t="shared" si="0"/>
        <v>84.7</v>
      </c>
      <c r="AK4" s="344">
        <f t="shared" si="0"/>
        <v>112.80000000000001</v>
      </c>
      <c r="AL4" s="344">
        <f t="shared" si="0"/>
        <v>130.5</v>
      </c>
      <c r="AM4" s="344">
        <f t="shared" si="0"/>
        <v>189.3</v>
      </c>
      <c r="AN4" s="344">
        <f t="shared" si="0"/>
        <v>273.5</v>
      </c>
      <c r="AO4" s="344">
        <f t="shared" si="0"/>
        <v>246.2</v>
      </c>
      <c r="AP4" s="344">
        <f t="shared" si="0"/>
        <v>401.20000000000005</v>
      </c>
      <c r="AQ4" s="344">
        <f t="shared" si="0"/>
        <v>385.6</v>
      </c>
      <c r="AR4" s="344">
        <f t="shared" si="0"/>
        <v>481.5</v>
      </c>
      <c r="AS4" s="344">
        <f t="shared" si="0"/>
        <v>529.79999999999995</v>
      </c>
      <c r="AT4" s="344">
        <f t="shared" si="0"/>
        <v>619.29999999999995</v>
      </c>
      <c r="AU4" s="344">
        <f t="shared" si="0"/>
        <v>793.5</v>
      </c>
      <c r="AV4" s="344">
        <f t="shared" si="0"/>
        <v>937.9</v>
      </c>
      <c r="AW4" s="344">
        <f t="shared" si="0"/>
        <v>978.19999999999993</v>
      </c>
      <c r="AX4" s="344">
        <f t="shared" si="0"/>
        <v>1192.0999999999999</v>
      </c>
      <c r="AY4" s="369">
        <f t="shared" si="0"/>
        <v>1267.0999999999999</v>
      </c>
      <c r="AZ4" s="366">
        <f>AZ8+AZ12+AZ16+AZ20+AZ24+AZ28+AZ32</f>
        <v>1267.0999999999999</v>
      </c>
      <c r="BA4" s="373">
        <f>AZ4-AY4</f>
        <v>0</v>
      </c>
      <c r="BB4" s="374">
        <f>AY4-AX4</f>
        <v>75</v>
      </c>
      <c r="BC4" s="375">
        <f>AZ4-AX4</f>
        <v>75</v>
      </c>
      <c r="BD4" s="350">
        <f t="shared" ref="BD4:BD66" si="1">IFERROR((AX4/AS4)^(1/5)-1,0)</f>
        <v>0.1760888883800571</v>
      </c>
      <c r="BF4" s="319" t="b">
        <v>0</v>
      </c>
      <c r="BH4" s="311"/>
      <c r="BI4" s="311"/>
      <c r="BJ4" s="311"/>
      <c r="BK4" s="311"/>
    </row>
    <row r="5" spans="1:63" ht="15" customHeight="1">
      <c r="A5" s="318" t="s">
        <v>353</v>
      </c>
      <c r="B5" s="345">
        <f>IFERROR(B6/B4*1000,0)</f>
        <v>0</v>
      </c>
      <c r="C5" s="345" t="e">
        <f t="shared" ref="C5:AY5" si="2">C6/C4*1000</f>
        <v>#DIV/0!</v>
      </c>
      <c r="D5" s="345" t="e">
        <f t="shared" si="2"/>
        <v>#DIV/0!</v>
      </c>
      <c r="E5" s="345" t="e">
        <f t="shared" si="2"/>
        <v>#DIV/0!</v>
      </c>
      <c r="F5" s="345" t="e">
        <f t="shared" si="2"/>
        <v>#DIV/0!</v>
      </c>
      <c r="G5" s="345" t="e">
        <f t="shared" si="2"/>
        <v>#DIV/0!</v>
      </c>
      <c r="H5" s="345" t="e">
        <f t="shared" si="2"/>
        <v>#DIV/0!</v>
      </c>
      <c r="I5" s="345" t="e">
        <f t="shared" si="2"/>
        <v>#DIV/0!</v>
      </c>
      <c r="J5" s="345" t="e">
        <f t="shared" si="2"/>
        <v>#DIV/0!</v>
      </c>
      <c r="K5" s="345" t="e">
        <f t="shared" si="2"/>
        <v>#DIV/0!</v>
      </c>
      <c r="L5" s="345" t="e">
        <f t="shared" si="2"/>
        <v>#DIV/0!</v>
      </c>
      <c r="M5" s="345" t="e">
        <f t="shared" si="2"/>
        <v>#DIV/0!</v>
      </c>
      <c r="N5" s="345" t="e">
        <f t="shared" si="2"/>
        <v>#DIV/0!</v>
      </c>
      <c r="O5" s="345" t="e">
        <f t="shared" si="2"/>
        <v>#DIV/0!</v>
      </c>
      <c r="P5" s="345" t="e">
        <f t="shared" si="2"/>
        <v>#DIV/0!</v>
      </c>
      <c r="Q5" s="345" t="e">
        <f t="shared" si="2"/>
        <v>#DIV/0!</v>
      </c>
      <c r="R5" s="345" t="e">
        <f t="shared" si="2"/>
        <v>#DIV/0!</v>
      </c>
      <c r="S5" s="345" t="e">
        <f t="shared" si="2"/>
        <v>#DIV/0!</v>
      </c>
      <c r="T5" s="345" t="e">
        <f t="shared" si="2"/>
        <v>#DIV/0!</v>
      </c>
      <c r="U5" s="345" t="e">
        <f t="shared" si="2"/>
        <v>#DIV/0!</v>
      </c>
      <c r="V5" s="345" t="e">
        <f t="shared" si="2"/>
        <v>#DIV/0!</v>
      </c>
      <c r="W5" s="345" t="e">
        <f t="shared" si="2"/>
        <v>#DIV/0!</v>
      </c>
      <c r="X5" s="345" t="e">
        <f t="shared" si="2"/>
        <v>#DIV/0!</v>
      </c>
      <c r="Y5" s="345" t="e">
        <f t="shared" si="2"/>
        <v>#DIV/0!</v>
      </c>
      <c r="Z5" s="345" t="e">
        <f t="shared" si="2"/>
        <v>#DIV/0!</v>
      </c>
      <c r="AA5" s="345" t="e">
        <f t="shared" si="2"/>
        <v>#DIV/0!</v>
      </c>
      <c r="AB5" s="345" t="e">
        <f t="shared" si="2"/>
        <v>#DIV/0!</v>
      </c>
      <c r="AC5" s="345">
        <f t="shared" si="2"/>
        <v>96897.142857142855</v>
      </c>
      <c r="AD5" s="345">
        <f t="shared" si="2"/>
        <v>115801.41843971632</v>
      </c>
      <c r="AE5" s="345">
        <f t="shared" si="2"/>
        <v>95692.307692307702</v>
      </c>
      <c r="AF5" s="345">
        <f t="shared" si="2"/>
        <v>62972.602739726026</v>
      </c>
      <c r="AG5" s="345">
        <f t="shared" si="2"/>
        <v>65614.73087818698</v>
      </c>
      <c r="AH5" s="345">
        <f t="shared" si="2"/>
        <v>49429.999999999993</v>
      </c>
      <c r="AI5" s="345">
        <f t="shared" si="2"/>
        <v>31101.92837465565</v>
      </c>
      <c r="AJ5" s="345">
        <f t="shared" si="2"/>
        <v>25010.625737898466</v>
      </c>
      <c r="AK5" s="345">
        <f t="shared" si="2"/>
        <v>24248.226950354605</v>
      </c>
      <c r="AL5" s="345">
        <f t="shared" si="2"/>
        <v>23161.685823754786</v>
      </c>
      <c r="AM5" s="345">
        <f t="shared" si="2"/>
        <v>14467.511885895401</v>
      </c>
      <c r="AN5" s="345">
        <f t="shared" si="2"/>
        <v>14344.424131627056</v>
      </c>
      <c r="AO5" s="345">
        <f t="shared" si="2"/>
        <v>15990.251827782293</v>
      </c>
      <c r="AP5" s="345">
        <f t="shared" si="2"/>
        <v>12002.991026919242</v>
      </c>
      <c r="AQ5" s="345">
        <f t="shared" si="2"/>
        <v>11672.717842323651</v>
      </c>
      <c r="AR5" s="345">
        <f t="shared" si="2"/>
        <v>11728.348909657321</v>
      </c>
      <c r="AS5" s="345">
        <f t="shared" si="2"/>
        <v>11541.336353340885</v>
      </c>
      <c r="AT5" s="345">
        <f t="shared" si="2"/>
        <v>4166.2651380590987</v>
      </c>
      <c r="AU5" s="345">
        <f t="shared" si="2"/>
        <v>4507.9393068683057</v>
      </c>
      <c r="AV5" s="345">
        <f t="shared" si="2"/>
        <v>4477.4561253865022</v>
      </c>
      <c r="AW5" s="345">
        <f t="shared" si="2"/>
        <v>4708.9566550807604</v>
      </c>
      <c r="AX5" s="345">
        <f t="shared" si="2"/>
        <v>5202.5716802281686</v>
      </c>
      <c r="AY5" s="346">
        <f t="shared" si="2"/>
        <v>4839.8115381579992</v>
      </c>
      <c r="AZ5" s="347">
        <f>AZ6/AZ4*1000</f>
        <v>4888.1164864651573</v>
      </c>
      <c r="BA5" s="347">
        <f>AZ5-AY5</f>
        <v>48.304948307158156</v>
      </c>
      <c r="BB5" s="351">
        <f t="shared" ref="BB5:BB6" si="3">AY5-AX5</f>
        <v>-362.76014207016942</v>
      </c>
      <c r="BC5" s="352">
        <f t="shared" ref="BC5:BC6" si="4">AZ5-AX5</f>
        <v>-314.45519376301127</v>
      </c>
      <c r="BD5" s="353">
        <f t="shared" si="1"/>
        <v>-0.14730759459468734</v>
      </c>
    </row>
    <row r="6" spans="1:63" ht="15" customHeight="1">
      <c r="A6" s="318" t="s">
        <v>354</v>
      </c>
      <c r="B6" s="344">
        <f>B10+B14+B18+B22+B26+B30+B34</f>
        <v>0</v>
      </c>
      <c r="C6" s="344">
        <f t="shared" ref="C6:AY6" si="5">C10+C14+C18+C22+C26+C30+C34</f>
        <v>327</v>
      </c>
      <c r="D6" s="344">
        <f t="shared" si="5"/>
        <v>321</v>
      </c>
      <c r="E6" s="344">
        <f t="shared" si="5"/>
        <v>654</v>
      </c>
      <c r="F6" s="344">
        <f t="shared" si="5"/>
        <v>687</v>
      </c>
      <c r="G6" s="344">
        <f t="shared" si="5"/>
        <v>820</v>
      </c>
      <c r="H6" s="344">
        <f t="shared" si="5"/>
        <v>585</v>
      </c>
      <c r="I6" s="344">
        <f t="shared" si="5"/>
        <v>988</v>
      </c>
      <c r="J6" s="344">
        <f t="shared" si="5"/>
        <v>882</v>
      </c>
      <c r="K6" s="344">
        <f t="shared" si="5"/>
        <v>1146</v>
      </c>
      <c r="L6" s="344">
        <f t="shared" si="5"/>
        <v>1080</v>
      </c>
      <c r="M6" s="344">
        <f t="shared" si="5"/>
        <v>1226</v>
      </c>
      <c r="N6" s="344">
        <f t="shared" si="5"/>
        <v>1307</v>
      </c>
      <c r="O6" s="344">
        <f t="shared" si="5"/>
        <v>1233</v>
      </c>
      <c r="P6" s="344">
        <f t="shared" si="5"/>
        <v>1231.8999999999999</v>
      </c>
      <c r="Q6" s="344">
        <f t="shared" si="5"/>
        <v>1589.6</v>
      </c>
      <c r="R6" s="344">
        <f t="shared" si="5"/>
        <v>1797.8</v>
      </c>
      <c r="S6" s="344">
        <f t="shared" si="5"/>
        <v>2333.6</v>
      </c>
      <c r="T6" s="344">
        <f t="shared" si="5"/>
        <v>2305</v>
      </c>
      <c r="U6" s="344">
        <f t="shared" si="5"/>
        <v>2335.6</v>
      </c>
      <c r="V6" s="344">
        <f t="shared" si="5"/>
        <v>2334.4</v>
      </c>
      <c r="W6" s="344">
        <f t="shared" si="5"/>
        <v>1601.9999999999998</v>
      </c>
      <c r="X6" s="344">
        <f t="shared" si="5"/>
        <v>1322.7</v>
      </c>
      <c r="Y6" s="344">
        <f t="shared" si="5"/>
        <v>1365.9</v>
      </c>
      <c r="Z6" s="344">
        <f t="shared" si="5"/>
        <v>1254.3</v>
      </c>
      <c r="AA6" s="344">
        <f t="shared" si="5"/>
        <v>1104.5999999999999</v>
      </c>
      <c r="AB6" s="344">
        <f t="shared" si="5"/>
        <v>1146.7</v>
      </c>
      <c r="AC6" s="344">
        <f t="shared" si="5"/>
        <v>1695.6999999999998</v>
      </c>
      <c r="AD6" s="344">
        <f t="shared" si="5"/>
        <v>1632.8</v>
      </c>
      <c r="AE6" s="344">
        <f t="shared" si="5"/>
        <v>1741.6000000000001</v>
      </c>
      <c r="AF6" s="344">
        <f t="shared" si="5"/>
        <v>1838.8000000000002</v>
      </c>
      <c r="AG6" s="344">
        <f t="shared" si="5"/>
        <v>2316.2000000000003</v>
      </c>
      <c r="AH6" s="344">
        <f t="shared" si="5"/>
        <v>1977.1999999999998</v>
      </c>
      <c r="AI6" s="344">
        <f t="shared" si="5"/>
        <v>2258</v>
      </c>
      <c r="AJ6" s="344">
        <f t="shared" si="5"/>
        <v>2118.4</v>
      </c>
      <c r="AK6" s="344">
        <f t="shared" si="5"/>
        <v>2735.2</v>
      </c>
      <c r="AL6" s="344">
        <f t="shared" si="5"/>
        <v>3022.6</v>
      </c>
      <c r="AM6" s="344">
        <f t="shared" si="5"/>
        <v>2738.7</v>
      </c>
      <c r="AN6" s="344">
        <f t="shared" si="5"/>
        <v>3923.2</v>
      </c>
      <c r="AO6" s="344">
        <f t="shared" si="5"/>
        <v>3936.8</v>
      </c>
      <c r="AP6" s="344">
        <f t="shared" si="5"/>
        <v>4815.6000000000004</v>
      </c>
      <c r="AQ6" s="344">
        <f t="shared" si="5"/>
        <v>4501</v>
      </c>
      <c r="AR6" s="344">
        <f t="shared" si="5"/>
        <v>5647.2</v>
      </c>
      <c r="AS6" s="344">
        <f t="shared" si="5"/>
        <v>6114.6</v>
      </c>
      <c r="AT6" s="344">
        <f t="shared" si="5"/>
        <v>2580.1679999999997</v>
      </c>
      <c r="AU6" s="344">
        <f t="shared" si="5"/>
        <v>3577.0498400000001</v>
      </c>
      <c r="AV6" s="344">
        <f t="shared" si="5"/>
        <v>4199.4061000000002</v>
      </c>
      <c r="AW6" s="344">
        <f t="shared" si="5"/>
        <v>4606.3013999999994</v>
      </c>
      <c r="AX6" s="344">
        <f t="shared" si="5"/>
        <v>6201.9856999999993</v>
      </c>
      <c r="AY6" s="365">
        <f t="shared" si="5"/>
        <v>6132.5252</v>
      </c>
      <c r="AZ6" s="366">
        <f>AZ10+AZ14+AZ18+AZ22+AZ26+AZ30+AZ34</f>
        <v>6193.7323999999999</v>
      </c>
      <c r="BA6" s="366">
        <f>AZ6-AY6</f>
        <v>61.20719999999983</v>
      </c>
      <c r="BB6" s="367">
        <f t="shared" si="3"/>
        <v>-69.460499999999229</v>
      </c>
      <c r="BC6" s="368">
        <f t="shared" si="4"/>
        <v>-8.253299999999399</v>
      </c>
      <c r="BD6" s="353">
        <f t="shared" si="1"/>
        <v>2.8420632032510884E-3</v>
      </c>
      <c r="BH6" s="311"/>
      <c r="BI6" s="311"/>
      <c r="BJ6" s="311"/>
      <c r="BK6" s="311"/>
    </row>
    <row r="7" spans="1:63" s="311" customFormat="1" ht="15" customHeight="1">
      <c r="A7" s="320" t="s">
        <v>355</v>
      </c>
      <c r="B7" s="354"/>
      <c r="C7" s="354"/>
      <c r="D7" s="354"/>
      <c r="E7" s="354"/>
      <c r="F7" s="354"/>
      <c r="G7" s="354"/>
      <c r="H7" s="354"/>
      <c r="I7" s="354"/>
      <c r="J7" s="354"/>
      <c r="K7" s="354"/>
      <c r="L7" s="354"/>
      <c r="M7" s="354"/>
      <c r="N7" s="354"/>
      <c r="O7" s="354"/>
      <c r="P7" s="354"/>
      <c r="Q7" s="354"/>
      <c r="R7" s="354"/>
      <c r="S7" s="354"/>
      <c r="T7" s="354"/>
      <c r="U7" s="354"/>
      <c r="V7" s="354"/>
      <c r="W7" s="354"/>
      <c r="X7" s="354"/>
      <c r="Y7" s="354"/>
      <c r="Z7" s="354"/>
      <c r="AA7" s="354"/>
      <c r="AB7" s="354"/>
      <c r="AC7" s="354"/>
      <c r="AD7" s="354"/>
      <c r="AE7" s="354"/>
      <c r="AF7" s="354"/>
      <c r="AG7" s="354"/>
      <c r="AH7" s="354"/>
      <c r="AI7" s="354"/>
      <c r="AJ7" s="354"/>
      <c r="AK7" s="354"/>
      <c r="AL7" s="354"/>
      <c r="AM7" s="354"/>
      <c r="AN7" s="354"/>
      <c r="AO7" s="354"/>
      <c r="AP7" s="354"/>
      <c r="AQ7" s="354"/>
      <c r="AR7" s="354"/>
      <c r="AS7" s="354"/>
      <c r="AT7" s="322"/>
      <c r="AU7" s="322"/>
      <c r="AV7" s="322"/>
      <c r="AW7" s="322"/>
      <c r="AX7" s="328"/>
      <c r="AY7" s="321"/>
      <c r="AZ7" s="322"/>
      <c r="BA7" s="323"/>
      <c r="BB7" s="321"/>
      <c r="BC7" s="328"/>
      <c r="BD7" s="329"/>
      <c r="BE7" s="309"/>
      <c r="BF7"/>
      <c r="BG7" s="308"/>
      <c r="BH7" s="309"/>
      <c r="BI7" s="309"/>
      <c r="BJ7" s="309"/>
      <c r="BK7" s="309"/>
    </row>
    <row r="8" spans="1:63" ht="15" customHeight="1">
      <c r="A8" s="324" t="s">
        <v>352</v>
      </c>
      <c r="B8" s="344">
        <v>0</v>
      </c>
      <c r="C8" s="344">
        <v>0</v>
      </c>
      <c r="D8" s="344">
        <v>0</v>
      </c>
      <c r="E8" s="344">
        <v>0</v>
      </c>
      <c r="F8" s="344">
        <v>0</v>
      </c>
      <c r="G8" s="344">
        <v>0</v>
      </c>
      <c r="H8" s="344">
        <v>0</v>
      </c>
      <c r="I8" s="344">
        <v>0</v>
      </c>
      <c r="J8" s="344">
        <v>0</v>
      </c>
      <c r="K8" s="344">
        <v>0</v>
      </c>
      <c r="L8" s="344">
        <v>0</v>
      </c>
      <c r="M8" s="344">
        <v>0</v>
      </c>
      <c r="N8" s="344">
        <v>0</v>
      </c>
      <c r="O8" s="344">
        <v>0</v>
      </c>
      <c r="P8" s="344">
        <v>0</v>
      </c>
      <c r="Q8" s="344">
        <v>0</v>
      </c>
      <c r="R8" s="344">
        <v>0</v>
      </c>
      <c r="S8" s="344">
        <v>0</v>
      </c>
      <c r="T8" s="344">
        <v>0</v>
      </c>
      <c r="U8" s="344">
        <v>0</v>
      </c>
      <c r="V8" s="344">
        <v>0</v>
      </c>
      <c r="W8" s="344">
        <v>0</v>
      </c>
      <c r="X8" s="344">
        <v>0</v>
      </c>
      <c r="Y8" s="344">
        <v>0</v>
      </c>
      <c r="Z8" s="344">
        <v>0</v>
      </c>
      <c r="AA8" s="344">
        <v>0</v>
      </c>
      <c r="AB8" s="344">
        <v>0</v>
      </c>
      <c r="AC8" s="344">
        <v>0</v>
      </c>
      <c r="AD8" s="344">
        <v>0</v>
      </c>
      <c r="AE8" s="344">
        <v>0</v>
      </c>
      <c r="AF8" s="344">
        <v>0</v>
      </c>
      <c r="AG8" s="344">
        <v>0</v>
      </c>
      <c r="AH8" s="344">
        <v>0</v>
      </c>
      <c r="AI8" s="344">
        <v>0</v>
      </c>
      <c r="AJ8" s="344">
        <v>0</v>
      </c>
      <c r="AK8" s="344">
        <v>0</v>
      </c>
      <c r="AL8" s="344">
        <v>0</v>
      </c>
      <c r="AM8" s="344">
        <v>0</v>
      </c>
      <c r="AN8" s="344">
        <v>0</v>
      </c>
      <c r="AO8" s="344">
        <v>4.5999999999999996</v>
      </c>
      <c r="AP8" s="344">
        <v>7.6</v>
      </c>
      <c r="AQ8" s="344">
        <v>9.6</v>
      </c>
      <c r="AR8" s="344">
        <v>0</v>
      </c>
      <c r="AS8" s="344">
        <v>0</v>
      </c>
      <c r="AT8" s="344">
        <v>0</v>
      </c>
      <c r="AU8" s="344">
        <v>0</v>
      </c>
      <c r="AV8" s="344">
        <v>0</v>
      </c>
      <c r="AW8" s="344">
        <v>0</v>
      </c>
      <c r="AX8" s="344">
        <v>0</v>
      </c>
      <c r="AY8" s="369">
        <v>0</v>
      </c>
      <c r="AZ8" s="366">
        <v>0</v>
      </c>
      <c r="BA8" s="366">
        <f>AZ8-AY8</f>
        <v>0</v>
      </c>
      <c r="BB8" s="367">
        <f>AY8-AX8</f>
        <v>0</v>
      </c>
      <c r="BC8" s="368">
        <f>AZ8-AX8</f>
        <v>0</v>
      </c>
      <c r="BD8" s="353">
        <f t="shared" si="1"/>
        <v>0</v>
      </c>
      <c r="BF8" s="319" t="b">
        <v>0</v>
      </c>
      <c r="BH8" s="311"/>
      <c r="BI8" s="311"/>
      <c r="BJ8" s="311"/>
      <c r="BK8" s="311"/>
    </row>
    <row r="9" spans="1:63" ht="15" customHeight="1">
      <c r="A9" s="324" t="s">
        <v>353</v>
      </c>
      <c r="B9" s="345">
        <v>0</v>
      </c>
      <c r="C9" s="345">
        <v>0</v>
      </c>
      <c r="D9" s="345">
        <v>0</v>
      </c>
      <c r="E9" s="345">
        <v>0</v>
      </c>
      <c r="F9" s="345">
        <v>0</v>
      </c>
      <c r="G9" s="345">
        <v>0</v>
      </c>
      <c r="H9" s="345">
        <v>0</v>
      </c>
      <c r="I9" s="345">
        <v>0</v>
      </c>
      <c r="J9" s="345">
        <v>0</v>
      </c>
      <c r="K9" s="345">
        <v>0</v>
      </c>
      <c r="L9" s="345">
        <v>0</v>
      </c>
      <c r="M9" s="345">
        <v>0</v>
      </c>
      <c r="N9" s="345">
        <v>0</v>
      </c>
      <c r="O9" s="345">
        <v>0</v>
      </c>
      <c r="P9" s="345">
        <v>0</v>
      </c>
      <c r="Q9" s="345">
        <v>0</v>
      </c>
      <c r="R9" s="345">
        <v>0</v>
      </c>
      <c r="S9" s="345">
        <v>0</v>
      </c>
      <c r="T9" s="345">
        <v>0</v>
      </c>
      <c r="U9" s="345">
        <v>0</v>
      </c>
      <c r="V9" s="345">
        <v>0</v>
      </c>
      <c r="W9" s="345">
        <v>0</v>
      </c>
      <c r="X9" s="345">
        <v>0</v>
      </c>
      <c r="Y9" s="345">
        <v>0</v>
      </c>
      <c r="Z9" s="345">
        <v>0</v>
      </c>
      <c r="AA9" s="345">
        <v>0</v>
      </c>
      <c r="AB9" s="345">
        <v>0</v>
      </c>
      <c r="AC9" s="345">
        <v>0</v>
      </c>
      <c r="AD9" s="345">
        <v>0</v>
      </c>
      <c r="AE9" s="345">
        <v>0</v>
      </c>
      <c r="AF9" s="345">
        <v>0</v>
      </c>
      <c r="AG9" s="345">
        <v>0</v>
      </c>
      <c r="AH9" s="345">
        <v>0</v>
      </c>
      <c r="AI9" s="345">
        <v>0</v>
      </c>
      <c r="AJ9" s="345">
        <v>0</v>
      </c>
      <c r="AK9" s="345">
        <v>0</v>
      </c>
      <c r="AL9" s="345">
        <v>0</v>
      </c>
      <c r="AM9" s="345">
        <v>0</v>
      </c>
      <c r="AN9" s="345">
        <v>0</v>
      </c>
      <c r="AO9" s="345">
        <v>3036</v>
      </c>
      <c r="AP9" s="345">
        <v>6000</v>
      </c>
      <c r="AQ9" s="345">
        <v>4857</v>
      </c>
      <c r="AR9" s="345">
        <v>0</v>
      </c>
      <c r="AS9" s="345">
        <v>0</v>
      </c>
      <c r="AT9" s="345">
        <v>0</v>
      </c>
      <c r="AU9" s="345">
        <v>0</v>
      </c>
      <c r="AV9" s="345">
        <v>0</v>
      </c>
      <c r="AW9" s="345">
        <v>0</v>
      </c>
      <c r="AX9" s="345">
        <v>0</v>
      </c>
      <c r="AY9" s="346">
        <v>0</v>
      </c>
      <c r="AZ9" s="347">
        <v>0</v>
      </c>
      <c r="BA9" s="347">
        <f>AZ9-AY9</f>
        <v>0</v>
      </c>
      <c r="BB9" s="351">
        <f>AY9-AX9</f>
        <v>0</v>
      </c>
      <c r="BC9" s="352">
        <f>AZ9-AX9</f>
        <v>0</v>
      </c>
      <c r="BD9" s="353">
        <f t="shared" si="1"/>
        <v>0</v>
      </c>
    </row>
    <row r="10" spans="1:63" s="311" customFormat="1" ht="15" customHeight="1">
      <c r="A10" s="324" t="s">
        <v>354</v>
      </c>
      <c r="B10" s="344">
        <f>B9*B8/1000</f>
        <v>0</v>
      </c>
      <c r="C10" s="344">
        <v>3</v>
      </c>
      <c r="D10" s="344">
        <v>3</v>
      </c>
      <c r="E10" s="344">
        <v>6</v>
      </c>
      <c r="F10" s="344">
        <v>15</v>
      </c>
      <c r="G10" s="344">
        <v>4</v>
      </c>
      <c r="H10" s="344">
        <v>3</v>
      </c>
      <c r="I10" s="344">
        <v>4</v>
      </c>
      <c r="J10" s="344">
        <v>6</v>
      </c>
      <c r="K10" s="344">
        <v>6</v>
      </c>
      <c r="L10" s="344">
        <v>6</v>
      </c>
      <c r="M10" s="344">
        <v>2</v>
      </c>
      <c r="N10" s="344">
        <v>5</v>
      </c>
      <c r="O10" s="344">
        <v>3</v>
      </c>
      <c r="P10" s="344">
        <v>3.1</v>
      </c>
      <c r="Q10" s="344">
        <v>5</v>
      </c>
      <c r="R10" s="344">
        <v>5</v>
      </c>
      <c r="S10" s="344">
        <v>5</v>
      </c>
      <c r="T10" s="344">
        <v>15.4</v>
      </c>
      <c r="U10" s="344">
        <v>15.4</v>
      </c>
      <c r="V10" s="344">
        <v>15.4</v>
      </c>
      <c r="W10" s="344">
        <v>16.2</v>
      </c>
      <c r="X10" s="344">
        <v>19.5</v>
      </c>
      <c r="Y10" s="344">
        <v>19.5</v>
      </c>
      <c r="Z10" s="344">
        <v>16.5</v>
      </c>
      <c r="AA10" s="344">
        <v>34.200000000000003</v>
      </c>
      <c r="AB10" s="344">
        <v>42.7</v>
      </c>
      <c r="AC10" s="344">
        <v>43.3</v>
      </c>
      <c r="AD10" s="344">
        <v>26</v>
      </c>
      <c r="AE10" s="344">
        <v>24.4</v>
      </c>
      <c r="AF10" s="344">
        <v>24.4</v>
      </c>
      <c r="AG10" s="344">
        <v>12.8</v>
      </c>
      <c r="AH10" s="344">
        <v>12.8</v>
      </c>
      <c r="AI10" s="344">
        <v>12.8</v>
      </c>
      <c r="AJ10" s="344">
        <v>13</v>
      </c>
      <c r="AK10" s="344">
        <v>13</v>
      </c>
      <c r="AL10" s="344">
        <v>13</v>
      </c>
      <c r="AM10" s="344">
        <v>5.7</v>
      </c>
      <c r="AN10" s="344">
        <v>15.4</v>
      </c>
      <c r="AO10" s="344">
        <v>14</v>
      </c>
      <c r="AP10" s="344">
        <v>45.6</v>
      </c>
      <c r="AQ10" s="344">
        <v>46.6</v>
      </c>
      <c r="AR10" s="344">
        <v>78</v>
      </c>
      <c r="AS10" s="344">
        <v>90</v>
      </c>
      <c r="AT10" s="344">
        <f t="shared" ref="AT10:AY10" si="6">AT9*AT8/1000</f>
        <v>0</v>
      </c>
      <c r="AU10" s="344">
        <f t="shared" si="6"/>
        <v>0</v>
      </c>
      <c r="AV10" s="344">
        <f t="shared" si="6"/>
        <v>0</v>
      </c>
      <c r="AW10" s="344">
        <f t="shared" si="6"/>
        <v>0</v>
      </c>
      <c r="AX10" s="344">
        <f t="shared" si="6"/>
        <v>0</v>
      </c>
      <c r="AY10" s="365">
        <f t="shared" si="6"/>
        <v>0</v>
      </c>
      <c r="AZ10" s="366">
        <f>AZ8*AZ9/1000</f>
        <v>0</v>
      </c>
      <c r="BA10" s="366">
        <f>AZ10-AY10</f>
        <v>0</v>
      </c>
      <c r="BB10" s="367">
        <f>AY10-AX10</f>
        <v>0</v>
      </c>
      <c r="BC10" s="368">
        <f>AZ10-AX10</f>
        <v>0</v>
      </c>
      <c r="BD10" s="353">
        <f t="shared" si="1"/>
        <v>-1</v>
      </c>
      <c r="BE10" s="309"/>
      <c r="BF10"/>
      <c r="BG10" s="308"/>
    </row>
    <row r="11" spans="1:63" ht="15" customHeight="1">
      <c r="A11" s="320" t="s">
        <v>356</v>
      </c>
      <c r="B11" s="355"/>
      <c r="C11" s="355"/>
      <c r="D11" s="355"/>
      <c r="E11" s="355"/>
      <c r="F11" s="355"/>
      <c r="G11" s="355"/>
      <c r="H11" s="355"/>
      <c r="I11" s="355"/>
      <c r="J11" s="355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/>
      <c r="AA11" s="355"/>
      <c r="AB11" s="355"/>
      <c r="AC11" s="355"/>
      <c r="AD11" s="355"/>
      <c r="AE11" s="355"/>
      <c r="AF11" s="355"/>
      <c r="AG11" s="355"/>
      <c r="AH11" s="355"/>
      <c r="AI11" s="355"/>
      <c r="AJ11" s="355"/>
      <c r="AK11" s="355"/>
      <c r="AL11" s="355"/>
      <c r="AM11" s="355"/>
      <c r="AN11" s="355"/>
      <c r="AO11" s="355"/>
      <c r="AP11" s="355"/>
      <c r="AQ11" s="355"/>
      <c r="AR11" s="355"/>
      <c r="AS11" s="355"/>
      <c r="AT11" s="326"/>
      <c r="AU11" s="326"/>
      <c r="AV11" s="326"/>
      <c r="AW11" s="326"/>
      <c r="AX11" s="328"/>
      <c r="AY11" s="325"/>
      <c r="AZ11" s="326"/>
      <c r="BA11" s="327"/>
      <c r="BB11" s="325"/>
      <c r="BC11" s="326"/>
      <c r="BD11" s="327"/>
    </row>
    <row r="12" spans="1:63" ht="15" customHeight="1">
      <c r="A12" s="324" t="s">
        <v>352</v>
      </c>
      <c r="B12" s="344">
        <v>0</v>
      </c>
      <c r="C12" s="344">
        <v>0</v>
      </c>
      <c r="D12" s="344">
        <v>0</v>
      </c>
      <c r="E12" s="344">
        <v>0</v>
      </c>
      <c r="F12" s="344">
        <v>0</v>
      </c>
      <c r="G12" s="344">
        <v>0</v>
      </c>
      <c r="H12" s="344">
        <v>0</v>
      </c>
      <c r="I12" s="344">
        <v>0</v>
      </c>
      <c r="J12" s="344">
        <v>0</v>
      </c>
      <c r="K12" s="344">
        <v>0</v>
      </c>
      <c r="L12" s="344">
        <v>0</v>
      </c>
      <c r="M12" s="344">
        <v>0</v>
      </c>
      <c r="N12" s="344">
        <v>0</v>
      </c>
      <c r="O12" s="344">
        <v>0</v>
      </c>
      <c r="P12" s="344">
        <v>0</v>
      </c>
      <c r="Q12" s="344">
        <v>0</v>
      </c>
      <c r="R12" s="344">
        <v>0</v>
      </c>
      <c r="S12" s="344">
        <v>0</v>
      </c>
      <c r="T12" s="344">
        <v>0</v>
      </c>
      <c r="U12" s="344">
        <v>0</v>
      </c>
      <c r="V12" s="344">
        <v>0</v>
      </c>
      <c r="W12" s="344">
        <v>0</v>
      </c>
      <c r="X12" s="344">
        <v>0</v>
      </c>
      <c r="Y12" s="344">
        <v>0</v>
      </c>
      <c r="Z12" s="344">
        <v>0</v>
      </c>
      <c r="AA12" s="344">
        <v>0</v>
      </c>
      <c r="AB12" s="344">
        <v>0</v>
      </c>
      <c r="AC12" s="344">
        <v>15.5</v>
      </c>
      <c r="AD12" s="344">
        <v>13.2</v>
      </c>
      <c r="AE12" s="344">
        <v>17.3</v>
      </c>
      <c r="AF12" s="344">
        <v>19.3</v>
      </c>
      <c r="AG12" s="344">
        <v>24.7</v>
      </c>
      <c r="AH12" s="344">
        <v>30.3</v>
      </c>
      <c r="AI12" s="344">
        <v>61.8</v>
      </c>
      <c r="AJ12" s="344">
        <v>56</v>
      </c>
      <c r="AK12" s="344">
        <v>68.400000000000006</v>
      </c>
      <c r="AL12" s="344">
        <v>89.6</v>
      </c>
      <c r="AM12" s="344">
        <v>88.4</v>
      </c>
      <c r="AN12" s="344">
        <v>119.5</v>
      </c>
      <c r="AO12" s="344">
        <v>119.5</v>
      </c>
      <c r="AP12" s="344">
        <v>156.9</v>
      </c>
      <c r="AQ12" s="344">
        <v>149.1</v>
      </c>
      <c r="AR12" s="344">
        <v>178.8</v>
      </c>
      <c r="AS12" s="344">
        <v>186</v>
      </c>
      <c r="AT12" s="344">
        <v>200</v>
      </c>
      <c r="AU12" s="344">
        <v>239.8</v>
      </c>
      <c r="AV12" s="344">
        <v>288.7</v>
      </c>
      <c r="AW12" s="344">
        <v>317.89999999999998</v>
      </c>
      <c r="AX12" s="344">
        <v>477.2</v>
      </c>
      <c r="AY12" s="369">
        <v>472.4</v>
      </c>
      <c r="AZ12" s="366">
        <v>472.4</v>
      </c>
      <c r="BA12" s="366">
        <f>AZ12-AY12</f>
        <v>0</v>
      </c>
      <c r="BB12" s="367">
        <f>AY12-AX12</f>
        <v>-4.8000000000000114</v>
      </c>
      <c r="BC12" s="368">
        <f>AZ12-AX12</f>
        <v>-4.8000000000000114</v>
      </c>
      <c r="BD12" s="353">
        <f t="shared" si="1"/>
        <v>0.2073619867225398</v>
      </c>
      <c r="BF12" s="319" t="b">
        <v>0</v>
      </c>
      <c r="BH12" s="311"/>
      <c r="BI12" s="311"/>
      <c r="BJ12" s="311"/>
      <c r="BK12" s="311"/>
    </row>
    <row r="13" spans="1:63" ht="15" customHeight="1">
      <c r="A13" s="324" t="s">
        <v>353</v>
      </c>
      <c r="B13" s="345">
        <v>0</v>
      </c>
      <c r="C13" s="345">
        <v>0</v>
      </c>
      <c r="D13" s="345">
        <v>0</v>
      </c>
      <c r="E13" s="345">
        <v>0</v>
      </c>
      <c r="F13" s="345">
        <v>0</v>
      </c>
      <c r="G13" s="345">
        <v>0</v>
      </c>
      <c r="H13" s="345">
        <v>0</v>
      </c>
      <c r="I13" s="345">
        <v>0</v>
      </c>
      <c r="J13" s="345">
        <v>0</v>
      </c>
      <c r="K13" s="345">
        <v>0</v>
      </c>
      <c r="L13" s="345">
        <v>0</v>
      </c>
      <c r="M13" s="345">
        <v>0</v>
      </c>
      <c r="N13" s="345">
        <v>0</v>
      </c>
      <c r="O13" s="345">
        <v>0</v>
      </c>
      <c r="P13" s="345">
        <v>0</v>
      </c>
      <c r="Q13" s="345">
        <v>0</v>
      </c>
      <c r="R13" s="345">
        <v>0</v>
      </c>
      <c r="S13" s="345">
        <v>0</v>
      </c>
      <c r="T13" s="345">
        <v>0</v>
      </c>
      <c r="U13" s="345">
        <v>0</v>
      </c>
      <c r="V13" s="345">
        <v>0</v>
      </c>
      <c r="W13" s="345">
        <v>0</v>
      </c>
      <c r="X13" s="345">
        <v>0</v>
      </c>
      <c r="Y13" s="345">
        <v>0</v>
      </c>
      <c r="Z13" s="345">
        <v>0</v>
      </c>
      <c r="AA13" s="345">
        <v>0</v>
      </c>
      <c r="AB13" s="345">
        <v>0</v>
      </c>
      <c r="AC13" s="345">
        <v>2800</v>
      </c>
      <c r="AD13" s="345">
        <v>2800</v>
      </c>
      <c r="AE13" s="345">
        <v>2450</v>
      </c>
      <c r="AF13" s="345">
        <v>3234</v>
      </c>
      <c r="AG13" s="345">
        <v>3190</v>
      </c>
      <c r="AH13" s="345">
        <v>2950</v>
      </c>
      <c r="AI13" s="345">
        <v>2580</v>
      </c>
      <c r="AJ13" s="345">
        <v>2631</v>
      </c>
      <c r="AK13" s="345">
        <v>3612</v>
      </c>
      <c r="AL13" s="345">
        <v>3728</v>
      </c>
      <c r="AM13" s="345">
        <v>3751</v>
      </c>
      <c r="AN13" s="345">
        <v>4613</v>
      </c>
      <c r="AO13" s="345">
        <v>4613</v>
      </c>
      <c r="AP13" s="345">
        <v>4385</v>
      </c>
      <c r="AQ13" s="345">
        <v>4497</v>
      </c>
      <c r="AR13" s="345">
        <v>5034</v>
      </c>
      <c r="AS13" s="345">
        <v>5209</v>
      </c>
      <c r="AT13" s="345">
        <v>5190</v>
      </c>
      <c r="AU13" s="345">
        <v>5325.8</v>
      </c>
      <c r="AV13" s="345">
        <v>5281</v>
      </c>
      <c r="AW13" s="345">
        <v>5221</v>
      </c>
      <c r="AX13" s="345">
        <v>5332</v>
      </c>
      <c r="AY13" s="346">
        <v>5298</v>
      </c>
      <c r="AZ13" s="347">
        <v>5351</v>
      </c>
      <c r="BA13" s="347">
        <f>AZ13-AY13</f>
        <v>53</v>
      </c>
      <c r="BB13" s="351">
        <f>AY13-AX13</f>
        <v>-34</v>
      </c>
      <c r="BC13" s="352">
        <f>AZ13-AX13</f>
        <v>19</v>
      </c>
      <c r="BD13" s="353">
        <f t="shared" si="1"/>
        <v>4.6786113949748298E-3</v>
      </c>
    </row>
    <row r="14" spans="1:63" s="311" customFormat="1" ht="15" customHeight="1">
      <c r="A14" s="324" t="s">
        <v>354</v>
      </c>
      <c r="B14" s="344">
        <f>B13*B12/1000</f>
        <v>0</v>
      </c>
      <c r="C14" s="344">
        <v>54</v>
      </c>
      <c r="D14" s="344">
        <v>53</v>
      </c>
      <c r="E14" s="344">
        <v>108</v>
      </c>
      <c r="F14" s="344">
        <v>112</v>
      </c>
      <c r="G14" s="344">
        <v>136</v>
      </c>
      <c r="H14" s="344">
        <v>97</v>
      </c>
      <c r="I14" s="344">
        <v>164</v>
      </c>
      <c r="J14" s="344">
        <v>146</v>
      </c>
      <c r="K14" s="344">
        <v>190</v>
      </c>
      <c r="L14" s="344">
        <v>179</v>
      </c>
      <c r="M14" s="344">
        <v>204</v>
      </c>
      <c r="N14" s="344">
        <v>217</v>
      </c>
      <c r="O14" s="344">
        <v>205</v>
      </c>
      <c r="P14" s="344">
        <v>204.8</v>
      </c>
      <c r="Q14" s="344">
        <v>264.10000000000002</v>
      </c>
      <c r="R14" s="344">
        <v>298.8</v>
      </c>
      <c r="S14" s="344">
        <v>388.1</v>
      </c>
      <c r="T14" s="344">
        <v>381.6</v>
      </c>
      <c r="U14" s="344">
        <v>386.7</v>
      </c>
      <c r="V14" s="344">
        <v>386.5</v>
      </c>
      <c r="W14" s="344">
        <v>264.3</v>
      </c>
      <c r="X14" s="344">
        <v>217.2</v>
      </c>
      <c r="Y14" s="344">
        <v>224.4</v>
      </c>
      <c r="Z14" s="344">
        <v>206.3</v>
      </c>
      <c r="AA14" s="344">
        <v>178.4</v>
      </c>
      <c r="AB14" s="344">
        <v>184</v>
      </c>
      <c r="AC14" s="344">
        <v>275.39999999999998</v>
      </c>
      <c r="AD14" s="344">
        <v>267.8</v>
      </c>
      <c r="AE14" s="344">
        <v>286.2</v>
      </c>
      <c r="AF14" s="344">
        <v>302.39999999999998</v>
      </c>
      <c r="AG14" s="344">
        <v>383.9</v>
      </c>
      <c r="AH14" s="344">
        <v>327.39999999999998</v>
      </c>
      <c r="AI14" s="344">
        <v>374.2</v>
      </c>
      <c r="AJ14" s="344">
        <v>350.9</v>
      </c>
      <c r="AK14" s="344">
        <v>453.7</v>
      </c>
      <c r="AL14" s="344">
        <v>501.6</v>
      </c>
      <c r="AM14" s="344">
        <v>455.5</v>
      </c>
      <c r="AN14" s="344">
        <v>651.29999999999995</v>
      </c>
      <c r="AO14" s="344">
        <v>653.79999999999995</v>
      </c>
      <c r="AP14" s="344">
        <v>795</v>
      </c>
      <c r="AQ14" s="344">
        <v>742.4</v>
      </c>
      <c r="AR14" s="344">
        <v>928.2</v>
      </c>
      <c r="AS14" s="344">
        <v>1004.1</v>
      </c>
      <c r="AT14" s="344">
        <f t="shared" ref="AT14:AX14" si="7">AT13*AT12/1000</f>
        <v>1038</v>
      </c>
      <c r="AU14" s="344">
        <f t="shared" si="7"/>
        <v>1277.1268400000001</v>
      </c>
      <c r="AV14" s="344">
        <f t="shared" si="7"/>
        <v>1524.6246999999998</v>
      </c>
      <c r="AW14" s="344">
        <f t="shared" si="7"/>
        <v>1659.7558999999999</v>
      </c>
      <c r="AX14" s="344">
        <f t="shared" si="7"/>
        <v>2544.4303999999997</v>
      </c>
      <c r="AY14" s="365">
        <f>AY12*AY13/1000</f>
        <v>2502.7751999999996</v>
      </c>
      <c r="AZ14" s="366">
        <f>AZ12*AZ13/1000</f>
        <v>2527.8123999999998</v>
      </c>
      <c r="BA14" s="366">
        <f>AZ14-AY14</f>
        <v>25.037200000000212</v>
      </c>
      <c r="BB14" s="367">
        <f>AY14-AX14</f>
        <v>-41.65520000000015</v>
      </c>
      <c r="BC14" s="368">
        <f>AZ14-AX14</f>
        <v>-16.617999999999938</v>
      </c>
      <c r="BD14" s="353">
        <f t="shared" si="1"/>
        <v>0.20437774470687686</v>
      </c>
      <c r="BE14" s="309"/>
      <c r="BF14"/>
      <c r="BG14" s="308"/>
    </row>
    <row r="15" spans="1:63" ht="15" customHeight="1">
      <c r="A15" s="320" t="s">
        <v>357</v>
      </c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6"/>
      <c r="N15" s="356"/>
      <c r="O15" s="356"/>
      <c r="P15" s="356"/>
      <c r="Q15" s="356"/>
      <c r="R15" s="356"/>
      <c r="S15" s="356"/>
      <c r="T15" s="356"/>
      <c r="U15" s="356"/>
      <c r="V15" s="356"/>
      <c r="W15" s="356"/>
      <c r="X15" s="356"/>
      <c r="Y15" s="356"/>
      <c r="Z15" s="356"/>
      <c r="AA15" s="356"/>
      <c r="AB15" s="356"/>
      <c r="AC15" s="356"/>
      <c r="AD15" s="356"/>
      <c r="AE15" s="356"/>
      <c r="AF15" s="356"/>
      <c r="AG15" s="356"/>
      <c r="AH15" s="356"/>
      <c r="AI15" s="356"/>
      <c r="AJ15" s="356"/>
      <c r="AK15" s="356"/>
      <c r="AL15" s="356"/>
      <c r="AM15" s="356"/>
      <c r="AN15" s="356"/>
      <c r="AO15" s="356"/>
      <c r="AP15" s="356"/>
      <c r="AQ15" s="356"/>
      <c r="AR15" s="356"/>
      <c r="AS15" s="356"/>
      <c r="AT15" s="328"/>
      <c r="AU15" s="328"/>
      <c r="AV15" s="328"/>
      <c r="AW15" s="328"/>
      <c r="AX15" s="328"/>
      <c r="AY15" s="321"/>
      <c r="AZ15" s="328"/>
      <c r="BA15" s="329"/>
      <c r="BB15" s="321"/>
      <c r="BC15" s="328"/>
      <c r="BD15" s="329"/>
    </row>
    <row r="16" spans="1:63" ht="15" customHeight="1">
      <c r="A16" s="324" t="s">
        <v>352</v>
      </c>
      <c r="B16" s="344">
        <v>0</v>
      </c>
      <c r="C16" s="344">
        <v>0</v>
      </c>
      <c r="D16" s="344">
        <v>0</v>
      </c>
      <c r="E16" s="344">
        <v>0</v>
      </c>
      <c r="F16" s="344">
        <v>0</v>
      </c>
      <c r="G16" s="344">
        <v>0</v>
      </c>
      <c r="H16" s="344">
        <v>0</v>
      </c>
      <c r="I16" s="344">
        <v>0</v>
      </c>
      <c r="J16" s="344">
        <v>0</v>
      </c>
      <c r="K16" s="344">
        <v>0</v>
      </c>
      <c r="L16" s="344">
        <v>0</v>
      </c>
      <c r="M16" s="344">
        <v>0</v>
      </c>
      <c r="N16" s="344">
        <v>0</v>
      </c>
      <c r="O16" s="344">
        <v>0</v>
      </c>
      <c r="P16" s="344">
        <v>0</v>
      </c>
      <c r="Q16" s="344">
        <v>0</v>
      </c>
      <c r="R16" s="344">
        <v>0</v>
      </c>
      <c r="S16" s="344">
        <v>0</v>
      </c>
      <c r="T16" s="344">
        <v>0</v>
      </c>
      <c r="U16" s="344">
        <v>0</v>
      </c>
      <c r="V16" s="344">
        <v>0</v>
      </c>
      <c r="W16" s="344">
        <v>0</v>
      </c>
      <c r="X16" s="344">
        <v>0</v>
      </c>
      <c r="Y16" s="344">
        <v>0</v>
      </c>
      <c r="Z16" s="344">
        <v>0</v>
      </c>
      <c r="AA16" s="344">
        <v>0</v>
      </c>
      <c r="AB16" s="344">
        <v>0</v>
      </c>
      <c r="AC16" s="344">
        <v>0</v>
      </c>
      <c r="AD16" s="344">
        <v>0</v>
      </c>
      <c r="AE16" s="344">
        <v>0</v>
      </c>
      <c r="AF16" s="344">
        <v>0</v>
      </c>
      <c r="AG16" s="344">
        <v>0</v>
      </c>
      <c r="AH16" s="344">
        <v>0</v>
      </c>
      <c r="AI16" s="344">
        <v>0</v>
      </c>
      <c r="AJ16" s="344">
        <v>0</v>
      </c>
      <c r="AK16" s="344">
        <v>0</v>
      </c>
      <c r="AL16" s="344">
        <v>0</v>
      </c>
      <c r="AM16" s="344">
        <v>0</v>
      </c>
      <c r="AN16" s="344">
        <v>0</v>
      </c>
      <c r="AO16" s="344">
        <v>0</v>
      </c>
      <c r="AP16" s="344">
        <v>0</v>
      </c>
      <c r="AQ16" s="344">
        <v>0</v>
      </c>
      <c r="AR16" s="344">
        <v>2</v>
      </c>
      <c r="AS16" s="344">
        <v>2</v>
      </c>
      <c r="AT16" s="344">
        <v>5.5</v>
      </c>
      <c r="AU16" s="344">
        <v>8.1</v>
      </c>
      <c r="AV16" s="344">
        <v>11.6</v>
      </c>
      <c r="AW16" s="344">
        <v>8.9</v>
      </c>
      <c r="AX16" s="344">
        <v>11.3</v>
      </c>
      <c r="AY16" s="369">
        <v>11.3</v>
      </c>
      <c r="AZ16" s="366">
        <v>11.3</v>
      </c>
      <c r="BA16" s="366">
        <f>AZ16-AY16</f>
        <v>0</v>
      </c>
      <c r="BB16" s="367">
        <f>AY16-AX16</f>
        <v>0</v>
      </c>
      <c r="BC16" s="368">
        <f>AZ16-AX16</f>
        <v>0</v>
      </c>
      <c r="BD16" s="353">
        <f t="shared" si="1"/>
        <v>0.41387068367563162</v>
      </c>
      <c r="BF16" s="319" t="b">
        <v>0</v>
      </c>
      <c r="BH16" s="311"/>
      <c r="BI16" s="311"/>
      <c r="BJ16" s="311"/>
      <c r="BK16" s="311"/>
    </row>
    <row r="17" spans="1:63" ht="15" customHeight="1">
      <c r="A17" s="324" t="s">
        <v>353</v>
      </c>
      <c r="B17" s="345">
        <v>0</v>
      </c>
      <c r="C17" s="345">
        <v>0</v>
      </c>
      <c r="D17" s="345">
        <v>0</v>
      </c>
      <c r="E17" s="345">
        <v>0</v>
      </c>
      <c r="F17" s="345">
        <v>0</v>
      </c>
      <c r="G17" s="345">
        <v>0</v>
      </c>
      <c r="H17" s="345">
        <v>0</v>
      </c>
      <c r="I17" s="345">
        <v>0</v>
      </c>
      <c r="J17" s="345">
        <v>0</v>
      </c>
      <c r="K17" s="345">
        <v>0</v>
      </c>
      <c r="L17" s="345">
        <v>0</v>
      </c>
      <c r="M17" s="345">
        <v>0</v>
      </c>
      <c r="N17" s="345">
        <v>0</v>
      </c>
      <c r="O17" s="345">
        <v>0</v>
      </c>
      <c r="P17" s="345">
        <v>0</v>
      </c>
      <c r="Q17" s="345">
        <v>0</v>
      </c>
      <c r="R17" s="345">
        <v>0</v>
      </c>
      <c r="S17" s="345">
        <v>0</v>
      </c>
      <c r="T17" s="345">
        <v>0</v>
      </c>
      <c r="U17" s="345">
        <v>0</v>
      </c>
      <c r="V17" s="345">
        <v>0</v>
      </c>
      <c r="W17" s="345">
        <v>0</v>
      </c>
      <c r="X17" s="345">
        <v>0</v>
      </c>
      <c r="Y17" s="345">
        <v>0</v>
      </c>
      <c r="Z17" s="345">
        <v>0</v>
      </c>
      <c r="AA17" s="345">
        <v>0</v>
      </c>
      <c r="AB17" s="345">
        <v>0</v>
      </c>
      <c r="AC17" s="345">
        <v>0</v>
      </c>
      <c r="AD17" s="345">
        <v>0</v>
      </c>
      <c r="AE17" s="345">
        <v>0</v>
      </c>
      <c r="AF17" s="345">
        <v>0</v>
      </c>
      <c r="AG17" s="345"/>
      <c r="AH17" s="345"/>
      <c r="AI17" s="345">
        <v>0</v>
      </c>
      <c r="AJ17" s="345"/>
      <c r="AK17" s="345"/>
      <c r="AL17" s="345">
        <v>0</v>
      </c>
      <c r="AM17" s="345">
        <v>0</v>
      </c>
      <c r="AN17" s="345">
        <v>0</v>
      </c>
      <c r="AO17" s="345">
        <v>0</v>
      </c>
      <c r="AP17" s="345">
        <v>0</v>
      </c>
      <c r="AQ17" s="345">
        <v>0</v>
      </c>
      <c r="AR17" s="345">
        <v>2050</v>
      </c>
      <c r="AS17" s="345">
        <v>2050</v>
      </c>
      <c r="AT17" s="345">
        <v>2600</v>
      </c>
      <c r="AU17" s="345">
        <v>4148</v>
      </c>
      <c r="AV17" s="345">
        <v>4237</v>
      </c>
      <c r="AW17" s="345">
        <v>4362</v>
      </c>
      <c r="AX17" s="345">
        <v>4549</v>
      </c>
      <c r="AY17" s="346">
        <v>4362</v>
      </c>
      <c r="AZ17" s="347">
        <v>4406</v>
      </c>
      <c r="BA17" s="347">
        <f>AZ17-AY17</f>
        <v>44</v>
      </c>
      <c r="BB17" s="351">
        <f>AY17-AX17</f>
        <v>-187</v>
      </c>
      <c r="BC17" s="352">
        <f>AZ17-AX17</f>
        <v>-143</v>
      </c>
      <c r="BD17" s="353">
        <f t="shared" si="1"/>
        <v>0.1728228404288259</v>
      </c>
    </row>
    <row r="18" spans="1:63" s="311" customFormat="1" ht="15" customHeight="1">
      <c r="A18" s="324" t="s">
        <v>354</v>
      </c>
      <c r="B18" s="344">
        <f>B17*B16/1000</f>
        <v>0</v>
      </c>
      <c r="C18" s="344">
        <v>54</v>
      </c>
      <c r="D18" s="344">
        <v>53</v>
      </c>
      <c r="E18" s="344">
        <v>108</v>
      </c>
      <c r="F18" s="344">
        <v>112</v>
      </c>
      <c r="G18" s="344">
        <v>136</v>
      </c>
      <c r="H18" s="344">
        <v>97</v>
      </c>
      <c r="I18" s="344">
        <v>164</v>
      </c>
      <c r="J18" s="344">
        <v>146</v>
      </c>
      <c r="K18" s="344">
        <v>190</v>
      </c>
      <c r="L18" s="344">
        <v>179</v>
      </c>
      <c r="M18" s="344">
        <v>204</v>
      </c>
      <c r="N18" s="344">
        <v>217</v>
      </c>
      <c r="O18" s="344">
        <v>205</v>
      </c>
      <c r="P18" s="344">
        <v>204.8</v>
      </c>
      <c r="Q18" s="344">
        <v>264.10000000000002</v>
      </c>
      <c r="R18" s="344">
        <v>298.8</v>
      </c>
      <c r="S18" s="344">
        <v>388.1</v>
      </c>
      <c r="T18" s="344">
        <v>381.6</v>
      </c>
      <c r="U18" s="344">
        <v>386.7</v>
      </c>
      <c r="V18" s="344">
        <v>386.5</v>
      </c>
      <c r="W18" s="344">
        <v>264.3</v>
      </c>
      <c r="X18" s="344">
        <v>217.2</v>
      </c>
      <c r="Y18" s="344">
        <v>224.4</v>
      </c>
      <c r="Z18" s="344">
        <v>206.3</v>
      </c>
      <c r="AA18" s="344">
        <v>178.4</v>
      </c>
      <c r="AB18" s="344">
        <v>184</v>
      </c>
      <c r="AC18" s="344">
        <v>275.39999999999998</v>
      </c>
      <c r="AD18" s="344">
        <v>267.8</v>
      </c>
      <c r="AE18" s="344">
        <v>286.2</v>
      </c>
      <c r="AF18" s="344">
        <v>302.39999999999998</v>
      </c>
      <c r="AG18" s="344">
        <v>383.9</v>
      </c>
      <c r="AH18" s="344">
        <v>327.39999999999998</v>
      </c>
      <c r="AI18" s="344">
        <v>374.2</v>
      </c>
      <c r="AJ18" s="344">
        <v>350.9</v>
      </c>
      <c r="AK18" s="344">
        <v>453.7</v>
      </c>
      <c r="AL18" s="344">
        <v>501.6</v>
      </c>
      <c r="AM18" s="344">
        <v>455.5</v>
      </c>
      <c r="AN18" s="344">
        <v>651.29999999999995</v>
      </c>
      <c r="AO18" s="344">
        <v>653.79999999999995</v>
      </c>
      <c r="AP18" s="344">
        <v>795</v>
      </c>
      <c r="AQ18" s="344">
        <v>742.4</v>
      </c>
      <c r="AR18" s="344">
        <v>928.2</v>
      </c>
      <c r="AS18" s="344">
        <v>1004.1</v>
      </c>
      <c r="AT18" s="344">
        <f t="shared" ref="AT18:AX18" si="8">AT17*AT16/1000</f>
        <v>14.3</v>
      </c>
      <c r="AU18" s="344">
        <f t="shared" si="8"/>
        <v>33.598799999999997</v>
      </c>
      <c r="AV18" s="344">
        <f t="shared" si="8"/>
        <v>49.1492</v>
      </c>
      <c r="AW18" s="344">
        <f t="shared" si="8"/>
        <v>38.821800000000003</v>
      </c>
      <c r="AX18" s="344">
        <f t="shared" si="8"/>
        <v>51.403700000000008</v>
      </c>
      <c r="AY18" s="365">
        <f>AY16*AY17/1000</f>
        <v>49.290600000000005</v>
      </c>
      <c r="AZ18" s="366">
        <f>AZ16*AZ17/1000</f>
        <v>49.787800000000004</v>
      </c>
      <c r="BA18" s="366">
        <f>AZ18-AY18</f>
        <v>0.49719999999999942</v>
      </c>
      <c r="BB18" s="367">
        <f>AY18-AX18</f>
        <v>-2.1131000000000029</v>
      </c>
      <c r="BC18" s="368">
        <f>AZ18-AX18</f>
        <v>-1.6159000000000034</v>
      </c>
      <c r="BD18" s="353">
        <f t="shared" si="1"/>
        <v>-0.4481214905560772</v>
      </c>
      <c r="BE18" s="309"/>
      <c r="BF18"/>
      <c r="BG18" s="308"/>
    </row>
    <row r="19" spans="1:63" ht="15" customHeight="1">
      <c r="A19" s="320" t="s">
        <v>358</v>
      </c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356"/>
      <c r="AB19" s="356"/>
      <c r="AC19" s="356"/>
      <c r="AD19" s="356"/>
      <c r="AE19" s="356"/>
      <c r="AF19" s="356"/>
      <c r="AG19" s="356"/>
      <c r="AH19" s="356"/>
      <c r="AI19" s="356"/>
      <c r="AJ19" s="356"/>
      <c r="AK19" s="356"/>
      <c r="AL19" s="356"/>
      <c r="AM19" s="356"/>
      <c r="AN19" s="356"/>
      <c r="AO19" s="356"/>
      <c r="AP19" s="356"/>
      <c r="AQ19" s="356"/>
      <c r="AR19" s="356"/>
      <c r="AS19" s="356"/>
      <c r="AT19" s="328"/>
      <c r="AU19" s="328"/>
      <c r="AV19" s="328"/>
      <c r="AW19" s="328"/>
      <c r="AX19" s="328"/>
      <c r="AY19" s="321"/>
      <c r="AZ19" s="328"/>
      <c r="BA19" s="329"/>
      <c r="BB19" s="321"/>
      <c r="BC19" s="328"/>
      <c r="BD19" s="329"/>
    </row>
    <row r="20" spans="1:63" ht="15" customHeight="1">
      <c r="A20" s="324" t="s">
        <v>352</v>
      </c>
      <c r="B20" s="344">
        <v>0</v>
      </c>
      <c r="C20" s="344">
        <v>0</v>
      </c>
      <c r="D20" s="344">
        <v>0</v>
      </c>
      <c r="E20" s="344">
        <v>0</v>
      </c>
      <c r="F20" s="344">
        <v>0</v>
      </c>
      <c r="G20" s="344">
        <v>0</v>
      </c>
      <c r="H20" s="344">
        <v>0</v>
      </c>
      <c r="I20" s="344">
        <v>0</v>
      </c>
      <c r="J20" s="344">
        <v>0</v>
      </c>
      <c r="K20" s="344">
        <v>0</v>
      </c>
      <c r="L20" s="344">
        <v>0</v>
      </c>
      <c r="M20" s="344">
        <v>0</v>
      </c>
      <c r="N20" s="344">
        <v>0</v>
      </c>
      <c r="O20" s="344">
        <v>0</v>
      </c>
      <c r="P20" s="344">
        <v>0</v>
      </c>
      <c r="Q20" s="344">
        <v>0</v>
      </c>
      <c r="R20" s="344">
        <v>0</v>
      </c>
      <c r="S20" s="344">
        <v>0</v>
      </c>
      <c r="T20" s="344">
        <v>0</v>
      </c>
      <c r="U20" s="344">
        <v>0</v>
      </c>
      <c r="V20" s="344">
        <v>0</v>
      </c>
      <c r="W20" s="344">
        <v>0</v>
      </c>
      <c r="X20" s="344">
        <v>0</v>
      </c>
      <c r="Y20" s="344">
        <v>0</v>
      </c>
      <c r="Z20" s="344">
        <v>0</v>
      </c>
      <c r="AA20" s="344">
        <v>0</v>
      </c>
      <c r="AB20" s="344">
        <v>0</v>
      </c>
      <c r="AC20" s="344">
        <v>0</v>
      </c>
      <c r="AD20" s="344">
        <v>0</v>
      </c>
      <c r="AE20" s="344">
        <v>0</v>
      </c>
      <c r="AF20" s="344">
        <v>0</v>
      </c>
      <c r="AG20" s="344">
        <v>0</v>
      </c>
      <c r="AH20" s="344">
        <v>0</v>
      </c>
      <c r="AI20" s="344">
        <v>0</v>
      </c>
      <c r="AJ20" s="344">
        <v>0</v>
      </c>
      <c r="AK20" s="344">
        <v>0</v>
      </c>
      <c r="AL20" s="344">
        <v>0</v>
      </c>
      <c r="AM20" s="344">
        <v>0</v>
      </c>
      <c r="AN20" s="344">
        <v>0</v>
      </c>
      <c r="AO20" s="344">
        <v>0</v>
      </c>
      <c r="AP20" s="344">
        <v>0</v>
      </c>
      <c r="AQ20" s="344">
        <v>0</v>
      </c>
      <c r="AR20" s="344">
        <v>0</v>
      </c>
      <c r="AS20" s="344">
        <v>0</v>
      </c>
      <c r="AT20" s="344">
        <v>0</v>
      </c>
      <c r="AU20" s="344">
        <v>0</v>
      </c>
      <c r="AV20" s="344">
        <v>0</v>
      </c>
      <c r="AW20" s="344">
        <v>0</v>
      </c>
      <c r="AX20" s="344">
        <v>0</v>
      </c>
      <c r="AY20" s="369">
        <v>0</v>
      </c>
      <c r="AZ20" s="366">
        <v>0</v>
      </c>
      <c r="BA20" s="366">
        <f>AZ20-AY20</f>
        <v>0</v>
      </c>
      <c r="BB20" s="367">
        <f>AY20-AX20</f>
        <v>0</v>
      </c>
      <c r="BC20" s="368">
        <f>AZ20-AX20</f>
        <v>0</v>
      </c>
      <c r="BD20" s="353">
        <f t="shared" si="1"/>
        <v>0</v>
      </c>
      <c r="BF20" s="319" t="b">
        <v>0</v>
      </c>
      <c r="BH20" s="311"/>
      <c r="BI20" s="311"/>
      <c r="BJ20" s="311"/>
      <c r="BK20" s="311"/>
    </row>
    <row r="21" spans="1:63" ht="15" customHeight="1">
      <c r="A21" s="324" t="s">
        <v>353</v>
      </c>
      <c r="B21" s="345">
        <v>0</v>
      </c>
      <c r="C21" s="345">
        <v>0</v>
      </c>
      <c r="D21" s="345">
        <v>0</v>
      </c>
      <c r="E21" s="345">
        <v>0</v>
      </c>
      <c r="F21" s="345">
        <v>0</v>
      </c>
      <c r="G21" s="345">
        <v>0</v>
      </c>
      <c r="H21" s="345">
        <v>0</v>
      </c>
      <c r="I21" s="345">
        <v>0</v>
      </c>
      <c r="J21" s="345">
        <v>0</v>
      </c>
      <c r="K21" s="345">
        <v>0</v>
      </c>
      <c r="L21" s="345">
        <v>0</v>
      </c>
      <c r="M21" s="345">
        <v>0</v>
      </c>
      <c r="N21" s="345">
        <v>0</v>
      </c>
      <c r="O21" s="345">
        <v>0</v>
      </c>
      <c r="P21" s="345">
        <v>0</v>
      </c>
      <c r="Q21" s="345">
        <v>0</v>
      </c>
      <c r="R21" s="345">
        <v>0</v>
      </c>
      <c r="S21" s="345">
        <v>0</v>
      </c>
      <c r="T21" s="345">
        <v>0</v>
      </c>
      <c r="U21" s="345">
        <v>0</v>
      </c>
      <c r="V21" s="345">
        <v>0</v>
      </c>
      <c r="W21" s="345">
        <v>0</v>
      </c>
      <c r="X21" s="345">
        <v>0</v>
      </c>
      <c r="Y21" s="345">
        <v>0</v>
      </c>
      <c r="Z21" s="345">
        <v>0</v>
      </c>
      <c r="AA21" s="345">
        <v>0</v>
      </c>
      <c r="AB21" s="345">
        <v>0</v>
      </c>
      <c r="AC21" s="345">
        <v>0</v>
      </c>
      <c r="AD21" s="345">
        <v>0</v>
      </c>
      <c r="AE21" s="345">
        <v>0</v>
      </c>
      <c r="AF21" s="345">
        <v>0</v>
      </c>
      <c r="AG21" s="345"/>
      <c r="AH21" s="345"/>
      <c r="AI21" s="345">
        <v>0</v>
      </c>
      <c r="AJ21" s="345"/>
      <c r="AK21" s="345"/>
      <c r="AL21" s="345">
        <v>0</v>
      </c>
      <c r="AM21" s="345">
        <v>0</v>
      </c>
      <c r="AN21" s="345">
        <v>0</v>
      </c>
      <c r="AO21" s="345">
        <v>0</v>
      </c>
      <c r="AP21" s="345">
        <v>0</v>
      </c>
      <c r="AQ21" s="345">
        <v>0</v>
      </c>
      <c r="AR21" s="345">
        <v>0</v>
      </c>
      <c r="AS21" s="345">
        <v>0</v>
      </c>
      <c r="AT21" s="345"/>
      <c r="AU21" s="345"/>
      <c r="AV21" s="345"/>
      <c r="AW21" s="345"/>
      <c r="AX21" s="345"/>
      <c r="AY21" s="346"/>
      <c r="AZ21" s="347">
        <v>0</v>
      </c>
      <c r="BA21" s="347">
        <f>AZ21-AY21</f>
        <v>0</v>
      </c>
      <c r="BB21" s="351">
        <f>AY21-AX21</f>
        <v>0</v>
      </c>
      <c r="BC21" s="352">
        <f>AZ21-AX21</f>
        <v>0</v>
      </c>
      <c r="BD21" s="353">
        <f t="shared" si="1"/>
        <v>0</v>
      </c>
    </row>
    <row r="22" spans="1:63" s="311" customFormat="1" ht="15" customHeight="1">
      <c r="A22" s="324" t="s">
        <v>354</v>
      </c>
      <c r="B22" s="344">
        <f>B21*B20/1000</f>
        <v>0</v>
      </c>
      <c r="C22" s="344">
        <v>54</v>
      </c>
      <c r="D22" s="344">
        <v>53</v>
      </c>
      <c r="E22" s="344">
        <v>108</v>
      </c>
      <c r="F22" s="344">
        <v>112</v>
      </c>
      <c r="G22" s="344">
        <v>136</v>
      </c>
      <c r="H22" s="344">
        <v>97</v>
      </c>
      <c r="I22" s="344">
        <v>164</v>
      </c>
      <c r="J22" s="344">
        <v>146</v>
      </c>
      <c r="K22" s="344">
        <v>190</v>
      </c>
      <c r="L22" s="344">
        <v>179</v>
      </c>
      <c r="M22" s="344">
        <v>204</v>
      </c>
      <c r="N22" s="344">
        <v>217</v>
      </c>
      <c r="O22" s="344">
        <v>205</v>
      </c>
      <c r="P22" s="344">
        <v>204.8</v>
      </c>
      <c r="Q22" s="344">
        <v>264.10000000000002</v>
      </c>
      <c r="R22" s="344">
        <v>298.8</v>
      </c>
      <c r="S22" s="344">
        <v>388.1</v>
      </c>
      <c r="T22" s="344">
        <v>381.6</v>
      </c>
      <c r="U22" s="344">
        <v>386.7</v>
      </c>
      <c r="V22" s="344">
        <v>386.5</v>
      </c>
      <c r="W22" s="344">
        <v>264.3</v>
      </c>
      <c r="X22" s="344">
        <v>217.2</v>
      </c>
      <c r="Y22" s="344">
        <v>224.4</v>
      </c>
      <c r="Z22" s="344">
        <v>206.3</v>
      </c>
      <c r="AA22" s="344">
        <v>178.4</v>
      </c>
      <c r="AB22" s="344">
        <v>184</v>
      </c>
      <c r="AC22" s="344">
        <v>275.39999999999998</v>
      </c>
      <c r="AD22" s="344">
        <v>267.8</v>
      </c>
      <c r="AE22" s="344">
        <v>286.2</v>
      </c>
      <c r="AF22" s="344">
        <v>302.39999999999998</v>
      </c>
      <c r="AG22" s="344">
        <v>383.9</v>
      </c>
      <c r="AH22" s="344">
        <v>327.39999999999998</v>
      </c>
      <c r="AI22" s="344">
        <v>374.2</v>
      </c>
      <c r="AJ22" s="344">
        <v>350.9</v>
      </c>
      <c r="AK22" s="344">
        <v>453.7</v>
      </c>
      <c r="AL22" s="344">
        <v>501.6</v>
      </c>
      <c r="AM22" s="344">
        <v>455.5</v>
      </c>
      <c r="AN22" s="344">
        <v>651.29999999999995</v>
      </c>
      <c r="AO22" s="344">
        <v>653.79999999999995</v>
      </c>
      <c r="AP22" s="344">
        <v>795</v>
      </c>
      <c r="AQ22" s="344">
        <v>742.4</v>
      </c>
      <c r="AR22" s="344">
        <v>928.2</v>
      </c>
      <c r="AS22" s="344">
        <v>1004.1</v>
      </c>
      <c r="AT22" s="344">
        <f t="shared" ref="AT22:AX22" si="9">AT21*AT20/1000</f>
        <v>0</v>
      </c>
      <c r="AU22" s="344">
        <f t="shared" si="9"/>
        <v>0</v>
      </c>
      <c r="AV22" s="344">
        <f t="shared" si="9"/>
        <v>0</v>
      </c>
      <c r="AW22" s="344">
        <f t="shared" si="9"/>
        <v>0</v>
      </c>
      <c r="AX22" s="344">
        <f t="shared" si="9"/>
        <v>0</v>
      </c>
      <c r="AY22" s="365">
        <f>AY20*AY21/1000</f>
        <v>0</v>
      </c>
      <c r="AZ22" s="366">
        <f>AZ20*AZ21/1000</f>
        <v>0</v>
      </c>
      <c r="BA22" s="366">
        <f>AZ22-AY22</f>
        <v>0</v>
      </c>
      <c r="BB22" s="367">
        <f>AY22-AX22</f>
        <v>0</v>
      </c>
      <c r="BC22" s="368">
        <f>AZ22-AX22</f>
        <v>0</v>
      </c>
      <c r="BD22" s="353">
        <f t="shared" si="1"/>
        <v>-1</v>
      </c>
      <c r="BE22" s="309"/>
      <c r="BF22"/>
      <c r="BG22" s="308"/>
    </row>
    <row r="23" spans="1:63" ht="15" customHeight="1">
      <c r="A23" s="320" t="s">
        <v>359</v>
      </c>
      <c r="B23" s="356"/>
      <c r="C23" s="356"/>
      <c r="D23" s="356"/>
      <c r="E23" s="356"/>
      <c r="F23" s="356"/>
      <c r="G23" s="356"/>
      <c r="H23" s="356"/>
      <c r="I23" s="356"/>
      <c r="J23" s="356"/>
      <c r="K23" s="356"/>
      <c r="L23" s="356"/>
      <c r="M23" s="356"/>
      <c r="N23" s="356"/>
      <c r="O23" s="356"/>
      <c r="P23" s="356"/>
      <c r="Q23" s="356"/>
      <c r="R23" s="356"/>
      <c r="S23" s="356"/>
      <c r="T23" s="356"/>
      <c r="U23" s="356"/>
      <c r="V23" s="356"/>
      <c r="W23" s="356"/>
      <c r="X23" s="356"/>
      <c r="Y23" s="356"/>
      <c r="Z23" s="356"/>
      <c r="AA23" s="356"/>
      <c r="AB23" s="356"/>
      <c r="AC23" s="356"/>
      <c r="AD23" s="356"/>
      <c r="AE23" s="356"/>
      <c r="AF23" s="356"/>
      <c r="AG23" s="356"/>
      <c r="AH23" s="356"/>
      <c r="AI23" s="356"/>
      <c r="AJ23" s="356"/>
      <c r="AK23" s="356"/>
      <c r="AL23" s="356"/>
      <c r="AM23" s="356"/>
      <c r="AN23" s="356"/>
      <c r="AO23" s="356"/>
      <c r="AP23" s="356"/>
      <c r="AQ23" s="356"/>
      <c r="AR23" s="356"/>
      <c r="AS23" s="356"/>
      <c r="AT23" s="328"/>
      <c r="AU23" s="328"/>
      <c r="AV23" s="328"/>
      <c r="AW23" s="328"/>
      <c r="AX23" s="328"/>
      <c r="AY23" s="321"/>
      <c r="AZ23" s="328"/>
      <c r="BA23" s="329"/>
      <c r="BB23" s="321"/>
      <c r="BC23" s="328"/>
      <c r="BD23" s="329"/>
    </row>
    <row r="24" spans="1:63" ht="15" customHeight="1">
      <c r="A24" s="324" t="s">
        <v>352</v>
      </c>
      <c r="B24" s="344">
        <v>0</v>
      </c>
      <c r="C24" s="344">
        <v>0</v>
      </c>
      <c r="D24" s="344">
        <v>0</v>
      </c>
      <c r="E24" s="344">
        <v>0</v>
      </c>
      <c r="F24" s="344">
        <v>0</v>
      </c>
      <c r="G24" s="344">
        <v>0</v>
      </c>
      <c r="H24" s="344">
        <v>0</v>
      </c>
      <c r="I24" s="344">
        <v>0</v>
      </c>
      <c r="J24" s="344">
        <v>0</v>
      </c>
      <c r="K24" s="344">
        <v>0</v>
      </c>
      <c r="L24" s="344">
        <v>0</v>
      </c>
      <c r="M24" s="344">
        <v>0</v>
      </c>
      <c r="N24" s="344">
        <v>0</v>
      </c>
      <c r="O24" s="344">
        <v>0</v>
      </c>
      <c r="P24" s="344">
        <v>0</v>
      </c>
      <c r="Q24" s="344">
        <v>0</v>
      </c>
      <c r="R24" s="344">
        <v>0</v>
      </c>
      <c r="S24" s="344">
        <v>0</v>
      </c>
      <c r="T24" s="344">
        <v>0</v>
      </c>
      <c r="U24" s="344">
        <v>0</v>
      </c>
      <c r="V24" s="344">
        <v>0</v>
      </c>
      <c r="W24" s="344">
        <v>0</v>
      </c>
      <c r="X24" s="344">
        <v>0</v>
      </c>
      <c r="Y24" s="344">
        <v>0</v>
      </c>
      <c r="Z24" s="344">
        <v>0</v>
      </c>
      <c r="AA24" s="344">
        <v>0</v>
      </c>
      <c r="AB24" s="344">
        <v>0</v>
      </c>
      <c r="AC24" s="344">
        <v>0</v>
      </c>
      <c r="AD24" s="344">
        <v>0</v>
      </c>
      <c r="AE24" s="344">
        <v>0</v>
      </c>
      <c r="AF24" s="344">
        <v>0</v>
      </c>
      <c r="AG24" s="344">
        <v>0</v>
      </c>
      <c r="AH24" s="344">
        <v>0</v>
      </c>
      <c r="AI24" s="344">
        <v>0</v>
      </c>
      <c r="AJ24" s="344">
        <v>0</v>
      </c>
      <c r="AK24" s="344">
        <v>0</v>
      </c>
      <c r="AL24" s="344">
        <v>0</v>
      </c>
      <c r="AM24" s="344">
        <v>0</v>
      </c>
      <c r="AN24" s="344">
        <v>0</v>
      </c>
      <c r="AO24" s="344">
        <v>0</v>
      </c>
      <c r="AP24" s="344">
        <v>0</v>
      </c>
      <c r="AQ24" s="344">
        <v>0</v>
      </c>
      <c r="AR24" s="344">
        <v>1.4</v>
      </c>
      <c r="AS24" s="344">
        <v>0</v>
      </c>
      <c r="AT24" s="344">
        <v>0</v>
      </c>
      <c r="AU24" s="344">
        <v>0</v>
      </c>
      <c r="AV24" s="344">
        <v>0</v>
      </c>
      <c r="AW24" s="344">
        <v>0</v>
      </c>
      <c r="AX24" s="344">
        <v>0</v>
      </c>
      <c r="AY24" s="369">
        <v>0</v>
      </c>
      <c r="AZ24" s="366">
        <v>0</v>
      </c>
      <c r="BA24" s="366">
        <f>AZ24-AY24</f>
        <v>0</v>
      </c>
      <c r="BB24" s="367">
        <f>AY24-AX24</f>
        <v>0</v>
      </c>
      <c r="BC24" s="368">
        <f>AZ24-AX24</f>
        <v>0</v>
      </c>
      <c r="BD24" s="353">
        <f t="shared" si="1"/>
        <v>0</v>
      </c>
      <c r="BF24" s="319" t="b">
        <v>0</v>
      </c>
      <c r="BH24" s="311"/>
      <c r="BI24" s="311"/>
      <c r="BJ24" s="311"/>
      <c r="BK24" s="311"/>
    </row>
    <row r="25" spans="1:63" ht="15" customHeight="1">
      <c r="A25" s="324" t="s">
        <v>353</v>
      </c>
      <c r="B25" s="345">
        <v>0</v>
      </c>
      <c r="C25" s="345">
        <v>0</v>
      </c>
      <c r="D25" s="345">
        <v>0</v>
      </c>
      <c r="E25" s="345">
        <v>0</v>
      </c>
      <c r="F25" s="345">
        <v>0</v>
      </c>
      <c r="G25" s="345">
        <v>0</v>
      </c>
      <c r="H25" s="345">
        <v>0</v>
      </c>
      <c r="I25" s="345">
        <v>0</v>
      </c>
      <c r="J25" s="345">
        <v>0</v>
      </c>
      <c r="K25" s="345">
        <v>0</v>
      </c>
      <c r="L25" s="345">
        <v>0</v>
      </c>
      <c r="M25" s="345">
        <v>0</v>
      </c>
      <c r="N25" s="345">
        <v>0</v>
      </c>
      <c r="O25" s="345">
        <v>0</v>
      </c>
      <c r="P25" s="345">
        <v>0</v>
      </c>
      <c r="Q25" s="345">
        <v>0</v>
      </c>
      <c r="R25" s="345">
        <v>0</v>
      </c>
      <c r="S25" s="345">
        <v>0</v>
      </c>
      <c r="T25" s="345">
        <v>0</v>
      </c>
      <c r="U25" s="345">
        <v>0</v>
      </c>
      <c r="V25" s="345">
        <v>0</v>
      </c>
      <c r="W25" s="345">
        <v>0</v>
      </c>
      <c r="X25" s="345">
        <v>0</v>
      </c>
      <c r="Y25" s="345">
        <v>0</v>
      </c>
      <c r="Z25" s="345">
        <v>0</v>
      </c>
      <c r="AA25" s="345">
        <v>0</v>
      </c>
      <c r="AB25" s="345">
        <v>0</v>
      </c>
      <c r="AC25" s="345">
        <v>0</v>
      </c>
      <c r="AD25" s="345">
        <v>0</v>
      </c>
      <c r="AE25" s="345">
        <v>0</v>
      </c>
      <c r="AF25" s="345">
        <v>0</v>
      </c>
      <c r="AG25" s="345"/>
      <c r="AH25" s="345"/>
      <c r="AI25" s="345">
        <v>0</v>
      </c>
      <c r="AJ25" s="345"/>
      <c r="AK25" s="345"/>
      <c r="AL25" s="345">
        <v>0</v>
      </c>
      <c r="AM25" s="345">
        <v>0</v>
      </c>
      <c r="AN25" s="345">
        <v>0</v>
      </c>
      <c r="AO25" s="345">
        <v>0</v>
      </c>
      <c r="AP25" s="345">
        <v>0</v>
      </c>
      <c r="AQ25" s="345">
        <v>0</v>
      </c>
      <c r="AR25" s="345">
        <v>933</v>
      </c>
      <c r="AS25" s="345">
        <v>0</v>
      </c>
      <c r="AT25" s="345">
        <v>0</v>
      </c>
      <c r="AU25" s="345">
        <v>0</v>
      </c>
      <c r="AV25" s="345">
        <v>0</v>
      </c>
      <c r="AW25" s="345">
        <v>0</v>
      </c>
      <c r="AX25" s="345"/>
      <c r="AY25" s="346"/>
      <c r="AZ25" s="347">
        <v>0</v>
      </c>
      <c r="BA25" s="347">
        <f>AZ25-AY25</f>
        <v>0</v>
      </c>
      <c r="BB25" s="351">
        <f>AY25-AX25</f>
        <v>0</v>
      </c>
      <c r="BC25" s="352">
        <f>AZ25-AX25</f>
        <v>0</v>
      </c>
      <c r="BD25" s="353">
        <f t="shared" si="1"/>
        <v>0</v>
      </c>
    </row>
    <row r="26" spans="1:63" s="311" customFormat="1" ht="15" customHeight="1">
      <c r="A26" s="330" t="s">
        <v>354</v>
      </c>
      <c r="B26" s="344">
        <f>B25*B24/1000</f>
        <v>0</v>
      </c>
      <c r="C26" s="344">
        <v>54</v>
      </c>
      <c r="D26" s="344">
        <v>53</v>
      </c>
      <c r="E26" s="344">
        <v>108</v>
      </c>
      <c r="F26" s="344">
        <v>112</v>
      </c>
      <c r="G26" s="344">
        <v>136</v>
      </c>
      <c r="H26" s="344">
        <v>97</v>
      </c>
      <c r="I26" s="344">
        <v>164</v>
      </c>
      <c r="J26" s="344">
        <v>146</v>
      </c>
      <c r="K26" s="344">
        <v>190</v>
      </c>
      <c r="L26" s="344">
        <v>179</v>
      </c>
      <c r="M26" s="344">
        <v>204</v>
      </c>
      <c r="N26" s="344">
        <v>217</v>
      </c>
      <c r="O26" s="344">
        <v>205</v>
      </c>
      <c r="P26" s="344">
        <v>204.8</v>
      </c>
      <c r="Q26" s="344">
        <v>264.10000000000002</v>
      </c>
      <c r="R26" s="344">
        <v>298.8</v>
      </c>
      <c r="S26" s="344">
        <v>388.1</v>
      </c>
      <c r="T26" s="344">
        <v>381.6</v>
      </c>
      <c r="U26" s="344">
        <v>386.7</v>
      </c>
      <c r="V26" s="344">
        <v>386.5</v>
      </c>
      <c r="W26" s="344">
        <v>264.3</v>
      </c>
      <c r="X26" s="344">
        <v>217.2</v>
      </c>
      <c r="Y26" s="344">
        <v>224.4</v>
      </c>
      <c r="Z26" s="344">
        <v>206.3</v>
      </c>
      <c r="AA26" s="344">
        <v>178.4</v>
      </c>
      <c r="AB26" s="344">
        <v>184</v>
      </c>
      <c r="AC26" s="344">
        <v>275.39999999999998</v>
      </c>
      <c r="AD26" s="344">
        <v>267.8</v>
      </c>
      <c r="AE26" s="344">
        <v>286.2</v>
      </c>
      <c r="AF26" s="344">
        <v>302.39999999999998</v>
      </c>
      <c r="AG26" s="344">
        <v>383.9</v>
      </c>
      <c r="AH26" s="344">
        <v>327.39999999999998</v>
      </c>
      <c r="AI26" s="344">
        <v>374.2</v>
      </c>
      <c r="AJ26" s="344">
        <v>350.9</v>
      </c>
      <c r="AK26" s="344">
        <v>453.7</v>
      </c>
      <c r="AL26" s="344">
        <v>501.6</v>
      </c>
      <c r="AM26" s="344">
        <v>455.5</v>
      </c>
      <c r="AN26" s="344">
        <v>651.29999999999995</v>
      </c>
      <c r="AO26" s="344">
        <v>653.79999999999995</v>
      </c>
      <c r="AP26" s="344">
        <v>795</v>
      </c>
      <c r="AQ26" s="344">
        <v>742.4</v>
      </c>
      <c r="AR26" s="344">
        <v>928.2</v>
      </c>
      <c r="AS26" s="344">
        <v>1004.1</v>
      </c>
      <c r="AT26" s="344">
        <f t="shared" ref="AT26:AX26" si="10">AT25*AT24/1000</f>
        <v>0</v>
      </c>
      <c r="AU26" s="344">
        <f t="shared" si="10"/>
        <v>0</v>
      </c>
      <c r="AV26" s="344">
        <f t="shared" si="10"/>
        <v>0</v>
      </c>
      <c r="AW26" s="344">
        <f t="shared" si="10"/>
        <v>0</v>
      </c>
      <c r="AX26" s="344">
        <f t="shared" si="10"/>
        <v>0</v>
      </c>
      <c r="AY26" s="365">
        <f>AY24*AY25/1000</f>
        <v>0</v>
      </c>
      <c r="AZ26" s="366">
        <f>AZ24*AZ25/1000</f>
        <v>0</v>
      </c>
      <c r="BA26" s="366">
        <f>AZ26-AY26</f>
        <v>0</v>
      </c>
      <c r="BB26" s="367">
        <f>AY26-AX26</f>
        <v>0</v>
      </c>
      <c r="BC26" s="368">
        <f>AZ26-AX26</f>
        <v>0</v>
      </c>
      <c r="BD26" s="353">
        <f t="shared" si="1"/>
        <v>-1</v>
      </c>
      <c r="BE26" s="309"/>
      <c r="BF26"/>
      <c r="BG26" s="308"/>
    </row>
    <row r="27" spans="1:63" ht="15" customHeight="1">
      <c r="A27" s="320" t="s">
        <v>360</v>
      </c>
      <c r="B27" s="356"/>
      <c r="C27" s="356"/>
      <c r="D27" s="356"/>
      <c r="E27" s="356"/>
      <c r="F27" s="356"/>
      <c r="G27" s="356"/>
      <c r="H27" s="356"/>
      <c r="I27" s="356"/>
      <c r="J27" s="356"/>
      <c r="K27" s="356"/>
      <c r="L27" s="356"/>
      <c r="M27" s="356"/>
      <c r="N27" s="356"/>
      <c r="O27" s="356"/>
      <c r="P27" s="356"/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28"/>
      <c r="AU27" s="328"/>
      <c r="AV27" s="328"/>
      <c r="AW27" s="328"/>
      <c r="AX27" s="328"/>
      <c r="AY27" s="321"/>
      <c r="AZ27" s="328"/>
      <c r="BA27" s="329"/>
      <c r="BB27" s="321"/>
      <c r="BC27" s="328"/>
      <c r="BD27" s="329"/>
    </row>
    <row r="28" spans="1:63" ht="15" customHeight="1">
      <c r="A28" s="324" t="s">
        <v>352</v>
      </c>
      <c r="B28" s="344">
        <v>0</v>
      </c>
      <c r="C28" s="344">
        <v>0</v>
      </c>
      <c r="D28" s="344">
        <v>0</v>
      </c>
      <c r="E28" s="344">
        <v>0</v>
      </c>
      <c r="F28" s="344">
        <v>0</v>
      </c>
      <c r="G28" s="344">
        <v>0</v>
      </c>
      <c r="H28" s="344">
        <v>0</v>
      </c>
      <c r="I28" s="344">
        <v>0</v>
      </c>
      <c r="J28" s="344">
        <v>0</v>
      </c>
      <c r="K28" s="344">
        <v>0</v>
      </c>
      <c r="L28" s="344">
        <v>0</v>
      </c>
      <c r="M28" s="344">
        <v>0</v>
      </c>
      <c r="N28" s="344">
        <v>0</v>
      </c>
      <c r="O28" s="344">
        <v>0</v>
      </c>
      <c r="P28" s="344">
        <v>0</v>
      </c>
      <c r="Q28" s="344">
        <v>0</v>
      </c>
      <c r="R28" s="344">
        <v>0</v>
      </c>
      <c r="S28" s="344">
        <v>0</v>
      </c>
      <c r="T28" s="344">
        <v>0</v>
      </c>
      <c r="U28" s="344">
        <v>0</v>
      </c>
      <c r="V28" s="344">
        <v>0</v>
      </c>
      <c r="W28" s="344">
        <v>0</v>
      </c>
      <c r="X28" s="344">
        <v>0</v>
      </c>
      <c r="Y28" s="344">
        <v>0</v>
      </c>
      <c r="Z28" s="344">
        <v>0</v>
      </c>
      <c r="AA28" s="344">
        <v>0</v>
      </c>
      <c r="AB28" s="344">
        <v>0</v>
      </c>
      <c r="AC28" s="344">
        <v>0</v>
      </c>
      <c r="AD28" s="344">
        <v>0</v>
      </c>
      <c r="AE28" s="344">
        <v>0</v>
      </c>
      <c r="AF28" s="344">
        <v>0</v>
      </c>
      <c r="AG28" s="344">
        <v>0</v>
      </c>
      <c r="AH28" s="344">
        <v>0</v>
      </c>
      <c r="AI28" s="344">
        <v>0</v>
      </c>
      <c r="AJ28" s="344">
        <v>0</v>
      </c>
      <c r="AK28" s="344">
        <v>0</v>
      </c>
      <c r="AL28" s="344">
        <v>0</v>
      </c>
      <c r="AM28" s="344">
        <v>0</v>
      </c>
      <c r="AN28" s="344">
        <v>0</v>
      </c>
      <c r="AO28" s="344">
        <v>26.5</v>
      </c>
      <c r="AP28" s="344">
        <v>81.400000000000006</v>
      </c>
      <c r="AQ28" s="344">
        <v>69</v>
      </c>
      <c r="AR28" s="344">
        <v>97.4</v>
      </c>
      <c r="AS28" s="344">
        <v>101.1</v>
      </c>
      <c r="AT28" s="344">
        <v>188.5</v>
      </c>
      <c r="AU28" s="344">
        <v>220.9</v>
      </c>
      <c r="AV28" s="344">
        <v>264.2</v>
      </c>
      <c r="AW28" s="344">
        <v>316.5</v>
      </c>
      <c r="AX28" s="344">
        <v>289.3</v>
      </c>
      <c r="AY28" s="369">
        <v>337.6</v>
      </c>
      <c r="AZ28" s="366">
        <v>337.6</v>
      </c>
      <c r="BA28" s="366">
        <f>AZ28-AY28</f>
        <v>0</v>
      </c>
      <c r="BB28" s="367">
        <f>AY28-AX28</f>
        <v>48.300000000000011</v>
      </c>
      <c r="BC28" s="368">
        <f>AZ28-AX28</f>
        <v>48.300000000000011</v>
      </c>
      <c r="BD28" s="353">
        <f t="shared" si="1"/>
        <v>0.23401220642796505</v>
      </c>
      <c r="BF28" s="319" t="b">
        <v>0</v>
      </c>
      <c r="BH28" s="311"/>
      <c r="BI28" s="311"/>
      <c r="BJ28" s="311"/>
      <c r="BK28" s="311"/>
    </row>
    <row r="29" spans="1:63" ht="15" customHeight="1">
      <c r="A29" s="324" t="s">
        <v>353</v>
      </c>
      <c r="B29" s="345">
        <v>0</v>
      </c>
      <c r="C29" s="345">
        <v>0</v>
      </c>
      <c r="D29" s="345">
        <v>0</v>
      </c>
      <c r="E29" s="345">
        <v>0</v>
      </c>
      <c r="F29" s="345">
        <v>0</v>
      </c>
      <c r="G29" s="345">
        <v>0</v>
      </c>
      <c r="H29" s="345">
        <v>0</v>
      </c>
      <c r="I29" s="345">
        <v>0</v>
      </c>
      <c r="J29" s="345">
        <v>0</v>
      </c>
      <c r="K29" s="345">
        <v>0</v>
      </c>
      <c r="L29" s="345">
        <v>0</v>
      </c>
      <c r="M29" s="345">
        <v>0</v>
      </c>
      <c r="N29" s="345">
        <v>0</v>
      </c>
      <c r="O29" s="345">
        <v>0</v>
      </c>
      <c r="P29" s="345">
        <v>0</v>
      </c>
      <c r="Q29" s="345">
        <v>0</v>
      </c>
      <c r="R29" s="345">
        <v>0</v>
      </c>
      <c r="S29" s="345">
        <v>0</v>
      </c>
      <c r="T29" s="345">
        <v>0</v>
      </c>
      <c r="U29" s="345">
        <v>0</v>
      </c>
      <c r="V29" s="345">
        <v>0</v>
      </c>
      <c r="W29" s="345">
        <v>0</v>
      </c>
      <c r="X29" s="345">
        <v>0</v>
      </c>
      <c r="Y29" s="345">
        <v>0</v>
      </c>
      <c r="Z29" s="345">
        <v>0</v>
      </c>
      <c r="AA29" s="345">
        <v>0</v>
      </c>
      <c r="AB29" s="345">
        <v>0</v>
      </c>
      <c r="AC29" s="345">
        <v>0</v>
      </c>
      <c r="AD29" s="345">
        <v>0</v>
      </c>
      <c r="AE29" s="345">
        <v>0</v>
      </c>
      <c r="AF29" s="345">
        <v>0</v>
      </c>
      <c r="AG29" s="345"/>
      <c r="AH29" s="345"/>
      <c r="AI29" s="345">
        <v>0</v>
      </c>
      <c r="AJ29" s="345"/>
      <c r="AK29" s="345"/>
      <c r="AL29" s="345">
        <v>0</v>
      </c>
      <c r="AM29" s="345">
        <v>0</v>
      </c>
      <c r="AN29" s="345">
        <v>0</v>
      </c>
      <c r="AO29" s="345">
        <v>3072</v>
      </c>
      <c r="AP29" s="345">
        <v>3549</v>
      </c>
      <c r="AQ29" s="345">
        <v>3403</v>
      </c>
      <c r="AR29" s="345">
        <v>3288</v>
      </c>
      <c r="AS29" s="345">
        <v>3357</v>
      </c>
      <c r="AT29" s="345">
        <v>3199</v>
      </c>
      <c r="AU29" s="345">
        <v>2960</v>
      </c>
      <c r="AV29" s="345">
        <v>3547</v>
      </c>
      <c r="AW29" s="345">
        <v>3761</v>
      </c>
      <c r="AX29" s="345">
        <v>4666</v>
      </c>
      <c r="AY29" s="346">
        <v>3743</v>
      </c>
      <c r="AZ29" s="347">
        <v>3780</v>
      </c>
      <c r="BA29" s="347">
        <f>AZ29-AY29</f>
        <v>37</v>
      </c>
      <c r="BB29" s="351">
        <f>AY29-AX29</f>
        <v>-923</v>
      </c>
      <c r="BC29" s="352">
        <f>AZ29-AX29</f>
        <v>-886</v>
      </c>
      <c r="BD29" s="353">
        <f t="shared" si="1"/>
        <v>6.8067446951493693E-2</v>
      </c>
    </row>
    <row r="30" spans="1:63" s="311" customFormat="1" ht="15" customHeight="1">
      <c r="A30" s="324" t="s">
        <v>354</v>
      </c>
      <c r="B30" s="344">
        <f>B29*B28/1000</f>
        <v>0</v>
      </c>
      <c r="C30" s="344">
        <v>54</v>
      </c>
      <c r="D30" s="344">
        <v>53</v>
      </c>
      <c r="E30" s="344">
        <v>108</v>
      </c>
      <c r="F30" s="344">
        <v>112</v>
      </c>
      <c r="G30" s="344">
        <v>136</v>
      </c>
      <c r="H30" s="344">
        <v>97</v>
      </c>
      <c r="I30" s="344">
        <v>164</v>
      </c>
      <c r="J30" s="344">
        <v>146</v>
      </c>
      <c r="K30" s="344">
        <v>190</v>
      </c>
      <c r="L30" s="344">
        <v>179</v>
      </c>
      <c r="M30" s="344">
        <v>204</v>
      </c>
      <c r="N30" s="344">
        <v>217</v>
      </c>
      <c r="O30" s="344">
        <v>205</v>
      </c>
      <c r="P30" s="344">
        <v>204.8</v>
      </c>
      <c r="Q30" s="344">
        <v>264.10000000000002</v>
      </c>
      <c r="R30" s="344">
        <v>298.8</v>
      </c>
      <c r="S30" s="344">
        <v>388.1</v>
      </c>
      <c r="T30" s="344">
        <v>381.6</v>
      </c>
      <c r="U30" s="344">
        <v>386.7</v>
      </c>
      <c r="V30" s="344">
        <v>386.5</v>
      </c>
      <c r="W30" s="344">
        <v>264.3</v>
      </c>
      <c r="X30" s="344">
        <v>217.2</v>
      </c>
      <c r="Y30" s="344">
        <v>224.4</v>
      </c>
      <c r="Z30" s="344">
        <v>206.3</v>
      </c>
      <c r="AA30" s="344">
        <v>178.4</v>
      </c>
      <c r="AB30" s="344">
        <v>184</v>
      </c>
      <c r="AC30" s="344">
        <v>275.39999999999998</v>
      </c>
      <c r="AD30" s="344">
        <v>267.8</v>
      </c>
      <c r="AE30" s="344">
        <v>286.2</v>
      </c>
      <c r="AF30" s="344">
        <v>302.39999999999998</v>
      </c>
      <c r="AG30" s="344">
        <v>383.9</v>
      </c>
      <c r="AH30" s="344">
        <v>327.39999999999998</v>
      </c>
      <c r="AI30" s="344">
        <v>374.2</v>
      </c>
      <c r="AJ30" s="344">
        <v>350.9</v>
      </c>
      <c r="AK30" s="344">
        <v>453.7</v>
      </c>
      <c r="AL30" s="344">
        <v>501.6</v>
      </c>
      <c r="AM30" s="344">
        <v>455.5</v>
      </c>
      <c r="AN30" s="344">
        <v>651.29999999999995</v>
      </c>
      <c r="AO30" s="344">
        <v>653.79999999999995</v>
      </c>
      <c r="AP30" s="344">
        <v>795</v>
      </c>
      <c r="AQ30" s="344">
        <v>742.4</v>
      </c>
      <c r="AR30" s="344">
        <v>928.2</v>
      </c>
      <c r="AS30" s="344">
        <v>1004.1</v>
      </c>
      <c r="AT30" s="344">
        <f t="shared" ref="AT30:AX30" si="11">AT29*AT28/1000</f>
        <v>603.01149999999996</v>
      </c>
      <c r="AU30" s="344">
        <f t="shared" si="11"/>
        <v>653.86400000000003</v>
      </c>
      <c r="AV30" s="344">
        <f t="shared" si="11"/>
        <v>937.11739999999986</v>
      </c>
      <c r="AW30" s="344">
        <f t="shared" si="11"/>
        <v>1190.3565000000001</v>
      </c>
      <c r="AX30" s="344">
        <f t="shared" si="11"/>
        <v>1349.8738000000001</v>
      </c>
      <c r="AY30" s="365">
        <f>AY28*AY29/1000</f>
        <v>1263.6368</v>
      </c>
      <c r="AZ30" s="366">
        <f>AZ28*AZ29/1000</f>
        <v>1276.1279999999999</v>
      </c>
      <c r="BA30" s="366">
        <f>AZ30-AY30</f>
        <v>12.491199999999935</v>
      </c>
      <c r="BB30" s="367">
        <f>AY30-AX30</f>
        <v>-86.23700000000008</v>
      </c>
      <c r="BC30" s="368">
        <f>AZ30-AX30</f>
        <v>-73.745800000000145</v>
      </c>
      <c r="BD30" s="353">
        <f t="shared" si="1"/>
        <v>6.0970332846665976E-2</v>
      </c>
      <c r="BE30" s="309"/>
      <c r="BF30"/>
      <c r="BG30" s="308"/>
    </row>
    <row r="31" spans="1:63" ht="15" customHeight="1">
      <c r="A31" s="320" t="s">
        <v>361</v>
      </c>
      <c r="B31" s="356"/>
      <c r="C31" s="356"/>
      <c r="D31" s="356"/>
      <c r="E31" s="356"/>
      <c r="F31" s="356"/>
      <c r="G31" s="356"/>
      <c r="H31" s="356"/>
      <c r="I31" s="356"/>
      <c r="J31" s="356"/>
      <c r="K31" s="356"/>
      <c r="L31" s="356"/>
      <c r="M31" s="356"/>
      <c r="N31" s="356"/>
      <c r="O31" s="356"/>
      <c r="P31" s="356"/>
      <c r="Q31" s="356"/>
      <c r="R31" s="356"/>
      <c r="S31" s="356"/>
      <c r="T31" s="356"/>
      <c r="U31" s="356"/>
      <c r="V31" s="356"/>
      <c r="W31" s="356"/>
      <c r="X31" s="356"/>
      <c r="Y31" s="356"/>
      <c r="Z31" s="356"/>
      <c r="AA31" s="356"/>
      <c r="AB31" s="356"/>
      <c r="AC31" s="356"/>
      <c r="AD31" s="356"/>
      <c r="AE31" s="356"/>
      <c r="AF31" s="356"/>
      <c r="AG31" s="356"/>
      <c r="AH31" s="356"/>
      <c r="AI31" s="356"/>
      <c r="AJ31" s="356"/>
      <c r="AK31" s="356"/>
      <c r="AL31" s="356"/>
      <c r="AM31" s="356"/>
      <c r="AN31" s="356"/>
      <c r="AO31" s="356"/>
      <c r="AP31" s="356"/>
      <c r="AQ31" s="356"/>
      <c r="AR31" s="356"/>
      <c r="AS31" s="356"/>
      <c r="AT31" s="328"/>
      <c r="AU31" s="328"/>
      <c r="AV31" s="328"/>
      <c r="AW31" s="328"/>
      <c r="AX31" s="328"/>
      <c r="AY31" s="321"/>
      <c r="AZ31" s="328"/>
      <c r="BA31" s="329"/>
      <c r="BB31" s="321"/>
      <c r="BC31" s="328"/>
      <c r="BD31" s="329"/>
    </row>
    <row r="32" spans="1:63" ht="15" customHeight="1">
      <c r="A32" s="324" t="s">
        <v>352</v>
      </c>
      <c r="B32" s="344">
        <v>0</v>
      </c>
      <c r="C32" s="344">
        <v>0</v>
      </c>
      <c r="D32" s="344">
        <v>0</v>
      </c>
      <c r="E32" s="344">
        <v>0</v>
      </c>
      <c r="F32" s="344">
        <v>0</v>
      </c>
      <c r="G32" s="344">
        <v>0</v>
      </c>
      <c r="H32" s="344">
        <v>0</v>
      </c>
      <c r="I32" s="344">
        <v>0</v>
      </c>
      <c r="J32" s="344">
        <v>0</v>
      </c>
      <c r="K32" s="344">
        <v>0</v>
      </c>
      <c r="L32" s="344">
        <v>0</v>
      </c>
      <c r="M32" s="344">
        <v>0</v>
      </c>
      <c r="N32" s="344">
        <v>0</v>
      </c>
      <c r="O32" s="344">
        <v>0</v>
      </c>
      <c r="P32" s="344">
        <v>0</v>
      </c>
      <c r="Q32" s="344">
        <v>0</v>
      </c>
      <c r="R32" s="344">
        <v>0</v>
      </c>
      <c r="S32" s="344">
        <v>0</v>
      </c>
      <c r="T32" s="344">
        <v>0</v>
      </c>
      <c r="U32" s="344">
        <v>0</v>
      </c>
      <c r="V32" s="344">
        <v>0</v>
      </c>
      <c r="W32" s="344">
        <v>0</v>
      </c>
      <c r="X32" s="344">
        <v>0</v>
      </c>
      <c r="Y32" s="344">
        <v>0</v>
      </c>
      <c r="Z32" s="344">
        <v>0</v>
      </c>
      <c r="AA32" s="344">
        <v>0</v>
      </c>
      <c r="AB32" s="344">
        <v>0</v>
      </c>
      <c r="AC32" s="344">
        <v>2</v>
      </c>
      <c r="AD32" s="344">
        <v>0.9</v>
      </c>
      <c r="AE32" s="344">
        <v>0.9</v>
      </c>
      <c r="AF32" s="344">
        <v>9.9</v>
      </c>
      <c r="AG32" s="344">
        <v>10.6</v>
      </c>
      <c r="AH32" s="344">
        <v>9.6999999999999993</v>
      </c>
      <c r="AI32" s="344">
        <v>10.8</v>
      </c>
      <c r="AJ32" s="344">
        <v>28.7</v>
      </c>
      <c r="AK32" s="344">
        <v>44.4</v>
      </c>
      <c r="AL32" s="344">
        <v>40.9</v>
      </c>
      <c r="AM32" s="344">
        <v>100.9</v>
      </c>
      <c r="AN32" s="344">
        <v>154</v>
      </c>
      <c r="AO32" s="344">
        <v>95.6</v>
      </c>
      <c r="AP32" s="344">
        <v>155.30000000000001</v>
      </c>
      <c r="AQ32" s="344">
        <v>157.9</v>
      </c>
      <c r="AR32" s="344">
        <v>201.9</v>
      </c>
      <c r="AS32" s="344">
        <v>240.7</v>
      </c>
      <c r="AT32" s="344">
        <v>225.3</v>
      </c>
      <c r="AU32" s="344">
        <v>324.7</v>
      </c>
      <c r="AV32" s="344">
        <v>373.4</v>
      </c>
      <c r="AW32" s="344">
        <v>334.9</v>
      </c>
      <c r="AX32" s="344">
        <v>414.3</v>
      </c>
      <c r="AY32" s="369">
        <v>445.8</v>
      </c>
      <c r="AZ32" s="366">
        <v>445.8</v>
      </c>
      <c r="BA32" s="366">
        <f>AZ32-AY32</f>
        <v>0</v>
      </c>
      <c r="BB32" s="367">
        <f>AY32-AX32</f>
        <v>31.5</v>
      </c>
      <c r="BC32" s="368">
        <f>AZ32-AX32</f>
        <v>31.5</v>
      </c>
      <c r="BD32" s="353">
        <f t="shared" si="1"/>
        <v>0.11472507038143642</v>
      </c>
      <c r="BF32" s="319" t="b">
        <v>0</v>
      </c>
      <c r="BH32" s="311"/>
      <c r="BI32" s="311"/>
      <c r="BJ32" s="311"/>
      <c r="BK32" s="311"/>
    </row>
    <row r="33" spans="1:63" ht="15" customHeight="1">
      <c r="A33" s="324" t="s">
        <v>353</v>
      </c>
      <c r="B33" s="345">
        <v>0</v>
      </c>
      <c r="C33" s="345">
        <v>0</v>
      </c>
      <c r="D33" s="345">
        <v>0</v>
      </c>
      <c r="E33" s="345">
        <v>0</v>
      </c>
      <c r="F33" s="345">
        <v>0</v>
      </c>
      <c r="G33" s="345">
        <v>0</v>
      </c>
      <c r="H33" s="345">
        <v>0</v>
      </c>
      <c r="I33" s="345">
        <v>0</v>
      </c>
      <c r="J33" s="345">
        <v>0</v>
      </c>
      <c r="K33" s="345">
        <v>0</v>
      </c>
      <c r="L33" s="345">
        <v>0</v>
      </c>
      <c r="M33" s="345">
        <v>0</v>
      </c>
      <c r="N33" s="345">
        <v>0</v>
      </c>
      <c r="O33" s="345">
        <v>0</v>
      </c>
      <c r="P33" s="345">
        <v>0</v>
      </c>
      <c r="Q33" s="345">
        <v>0</v>
      </c>
      <c r="R33" s="345">
        <v>0</v>
      </c>
      <c r="S33" s="345">
        <v>0</v>
      </c>
      <c r="T33" s="345">
        <v>0</v>
      </c>
      <c r="U33" s="345">
        <v>0</v>
      </c>
      <c r="V33" s="345">
        <v>0</v>
      </c>
      <c r="W33" s="345">
        <v>0</v>
      </c>
      <c r="X33" s="345">
        <v>0</v>
      </c>
      <c r="Y33" s="345">
        <v>0</v>
      </c>
      <c r="Z33" s="345">
        <v>0</v>
      </c>
      <c r="AA33" s="345">
        <v>0</v>
      </c>
      <c r="AB33" s="345">
        <v>0</v>
      </c>
      <c r="AC33" s="345">
        <v>2700</v>
      </c>
      <c r="AD33" s="345">
        <v>3600</v>
      </c>
      <c r="AE33" s="345">
        <v>3190</v>
      </c>
      <c r="AF33" s="345">
        <v>3190</v>
      </c>
      <c r="AG33" s="345">
        <v>4057</v>
      </c>
      <c r="AH33" s="345">
        <v>5450</v>
      </c>
      <c r="AI33" s="345">
        <v>3091</v>
      </c>
      <c r="AJ33" s="345">
        <v>4691</v>
      </c>
      <c r="AK33" s="345">
        <v>4215</v>
      </c>
      <c r="AL33" s="345">
        <v>4710</v>
      </c>
      <c r="AM33" s="345">
        <v>4561</v>
      </c>
      <c r="AN33" s="345">
        <v>4768</v>
      </c>
      <c r="AO33" s="345">
        <v>3063</v>
      </c>
      <c r="AP33" s="345">
        <v>4402</v>
      </c>
      <c r="AQ33" s="345">
        <v>3374</v>
      </c>
      <c r="AR33" s="345">
        <v>4917</v>
      </c>
      <c r="AS33" s="345">
        <v>5084</v>
      </c>
      <c r="AT33" s="345">
        <v>4105</v>
      </c>
      <c r="AU33" s="345">
        <v>4966</v>
      </c>
      <c r="AV33" s="345">
        <v>4522</v>
      </c>
      <c r="AW33" s="345">
        <v>5128</v>
      </c>
      <c r="AX33" s="345">
        <v>5446</v>
      </c>
      <c r="AY33" s="346">
        <v>5197</v>
      </c>
      <c r="AZ33" s="347">
        <v>5249</v>
      </c>
      <c r="BA33" s="347">
        <f>AZ33-AY33</f>
        <v>52</v>
      </c>
      <c r="BB33" s="351">
        <f>AY33-AX33</f>
        <v>-249</v>
      </c>
      <c r="BC33" s="352">
        <f>AZ33-AX33</f>
        <v>-197</v>
      </c>
      <c r="BD33" s="353">
        <f t="shared" si="1"/>
        <v>1.3851665708797256E-2</v>
      </c>
    </row>
    <row r="34" spans="1:63" ht="15" customHeight="1" thickBot="1">
      <c r="A34" s="324" t="s">
        <v>354</v>
      </c>
      <c r="B34" s="344">
        <f>B33*B32/1000</f>
        <v>0</v>
      </c>
      <c r="C34" s="344">
        <v>54</v>
      </c>
      <c r="D34" s="344">
        <v>53</v>
      </c>
      <c r="E34" s="344">
        <v>108</v>
      </c>
      <c r="F34" s="344">
        <v>112</v>
      </c>
      <c r="G34" s="344">
        <v>136</v>
      </c>
      <c r="H34" s="344">
        <v>97</v>
      </c>
      <c r="I34" s="344">
        <v>164</v>
      </c>
      <c r="J34" s="344">
        <v>146</v>
      </c>
      <c r="K34" s="344">
        <v>190</v>
      </c>
      <c r="L34" s="344">
        <v>179</v>
      </c>
      <c r="M34" s="344">
        <v>204</v>
      </c>
      <c r="N34" s="344">
        <v>217</v>
      </c>
      <c r="O34" s="344">
        <v>205</v>
      </c>
      <c r="P34" s="344">
        <v>204.8</v>
      </c>
      <c r="Q34" s="344">
        <v>264.10000000000002</v>
      </c>
      <c r="R34" s="344">
        <v>298.8</v>
      </c>
      <c r="S34" s="344">
        <v>388.1</v>
      </c>
      <c r="T34" s="344">
        <v>381.6</v>
      </c>
      <c r="U34" s="344">
        <v>386.7</v>
      </c>
      <c r="V34" s="344">
        <v>386.5</v>
      </c>
      <c r="W34" s="344">
        <v>264.3</v>
      </c>
      <c r="X34" s="344">
        <v>217.2</v>
      </c>
      <c r="Y34" s="344">
        <v>224.4</v>
      </c>
      <c r="Z34" s="344">
        <v>206.3</v>
      </c>
      <c r="AA34" s="344">
        <v>178.4</v>
      </c>
      <c r="AB34" s="344">
        <v>184</v>
      </c>
      <c r="AC34" s="344">
        <v>275.39999999999998</v>
      </c>
      <c r="AD34" s="344">
        <v>267.8</v>
      </c>
      <c r="AE34" s="344">
        <v>286.2</v>
      </c>
      <c r="AF34" s="344">
        <v>302.39999999999998</v>
      </c>
      <c r="AG34" s="344">
        <v>383.9</v>
      </c>
      <c r="AH34" s="344">
        <v>327.39999999999998</v>
      </c>
      <c r="AI34" s="344">
        <v>374.2</v>
      </c>
      <c r="AJ34" s="344">
        <v>350.9</v>
      </c>
      <c r="AK34" s="344">
        <v>453.7</v>
      </c>
      <c r="AL34" s="344">
        <v>501.6</v>
      </c>
      <c r="AM34" s="344">
        <v>455.5</v>
      </c>
      <c r="AN34" s="344">
        <v>651.29999999999995</v>
      </c>
      <c r="AO34" s="344">
        <v>653.79999999999995</v>
      </c>
      <c r="AP34" s="344">
        <v>795</v>
      </c>
      <c r="AQ34" s="344">
        <v>742.4</v>
      </c>
      <c r="AR34" s="344">
        <v>928.2</v>
      </c>
      <c r="AS34" s="344">
        <v>1004.1</v>
      </c>
      <c r="AT34" s="344">
        <f t="shared" ref="AT34:AX34" si="12">AT33*AT32/1000</f>
        <v>924.85649999999998</v>
      </c>
      <c r="AU34" s="344">
        <f t="shared" si="12"/>
        <v>1612.4602</v>
      </c>
      <c r="AV34" s="344">
        <f t="shared" si="12"/>
        <v>1688.5147999999999</v>
      </c>
      <c r="AW34" s="344">
        <f t="shared" si="12"/>
        <v>1717.3671999999999</v>
      </c>
      <c r="AX34" s="344">
        <f t="shared" si="12"/>
        <v>2256.2778000000003</v>
      </c>
      <c r="AY34" s="365">
        <f>AY32*AY33/1000</f>
        <v>2316.8226</v>
      </c>
      <c r="AZ34" s="366">
        <f>AZ32*AZ33/1000</f>
        <v>2340.0042000000003</v>
      </c>
      <c r="BA34" s="366">
        <f>AZ34-AY34</f>
        <v>23.181600000000344</v>
      </c>
      <c r="BB34" s="367">
        <f>AY34-AX34</f>
        <v>60.544799999999668</v>
      </c>
      <c r="BC34" s="368">
        <f>AZ34-AX34</f>
        <v>83.726400000000012</v>
      </c>
      <c r="BD34" s="353">
        <f t="shared" si="1"/>
        <v>0.17577201900185591</v>
      </c>
      <c r="BH34" s="311"/>
      <c r="BI34" s="311"/>
      <c r="BJ34" s="311"/>
      <c r="BK34" s="311"/>
    </row>
    <row r="35" spans="1:63" s="311" customFormat="1" ht="15" customHeight="1" thickBot="1">
      <c r="A35" s="331" t="s">
        <v>362</v>
      </c>
      <c r="B35" s="357"/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357"/>
      <c r="N35" s="357"/>
      <c r="O35" s="357"/>
      <c r="P35" s="357"/>
      <c r="Q35" s="357"/>
      <c r="R35" s="357"/>
      <c r="S35" s="357"/>
      <c r="T35" s="357"/>
      <c r="U35" s="357"/>
      <c r="V35" s="357"/>
      <c r="W35" s="357"/>
      <c r="X35" s="357"/>
      <c r="Y35" s="357"/>
      <c r="Z35" s="357"/>
      <c r="AA35" s="357"/>
      <c r="AB35" s="357"/>
      <c r="AC35" s="357"/>
      <c r="AD35" s="357"/>
      <c r="AE35" s="357"/>
      <c r="AF35" s="358"/>
      <c r="AG35" s="358"/>
      <c r="AH35" s="358"/>
      <c r="AI35" s="358"/>
      <c r="AJ35" s="358"/>
      <c r="AK35" s="358"/>
      <c r="AL35" s="358"/>
      <c r="AM35" s="358"/>
      <c r="AN35" s="358"/>
      <c r="AO35" s="358"/>
      <c r="AP35" s="358"/>
      <c r="AQ35" s="358"/>
      <c r="AR35" s="358"/>
      <c r="AS35" s="358"/>
      <c r="AT35" s="333"/>
      <c r="AU35" s="333"/>
      <c r="AV35" s="333"/>
      <c r="AW35" s="333"/>
      <c r="AX35" s="333"/>
      <c r="AY35" s="332"/>
      <c r="AZ35" s="333"/>
      <c r="BA35" s="334"/>
      <c r="BB35" s="332"/>
      <c r="BC35" s="333"/>
      <c r="BD35" s="334"/>
      <c r="BE35" s="309"/>
      <c r="BF35"/>
      <c r="BG35" s="308"/>
      <c r="BH35" s="309"/>
      <c r="BI35" s="309"/>
      <c r="BJ35" s="309"/>
      <c r="BK35" s="309"/>
    </row>
    <row r="36" spans="1:63" s="311" customFormat="1" ht="15" customHeight="1">
      <c r="A36" s="324" t="s">
        <v>352</v>
      </c>
      <c r="B36" s="344">
        <f>B40+B44+B48+B52+B56+B60+B64+B68+B72</f>
        <v>0</v>
      </c>
      <c r="C36" s="344">
        <f t="shared" ref="C36:AY36" si="13">C40+C44+C48+C52+C56+C60+C64+C68+C72</f>
        <v>0</v>
      </c>
      <c r="D36" s="344">
        <f t="shared" si="13"/>
        <v>0</v>
      </c>
      <c r="E36" s="344">
        <f t="shared" si="13"/>
        <v>146</v>
      </c>
      <c r="F36" s="344">
        <f t="shared" si="13"/>
        <v>243</v>
      </c>
      <c r="G36" s="344">
        <f t="shared" si="13"/>
        <v>228</v>
      </c>
      <c r="H36" s="344">
        <f t="shared" si="13"/>
        <v>103.9</v>
      </c>
      <c r="I36" s="344">
        <f t="shared" si="13"/>
        <v>165</v>
      </c>
      <c r="J36" s="344">
        <f t="shared" si="13"/>
        <v>173</v>
      </c>
      <c r="K36" s="344">
        <f t="shared" si="13"/>
        <v>260</v>
      </c>
      <c r="L36" s="344">
        <f t="shared" si="13"/>
        <v>309</v>
      </c>
      <c r="M36" s="344">
        <f t="shared" si="13"/>
        <v>358</v>
      </c>
      <c r="N36" s="344">
        <f t="shared" si="13"/>
        <v>320.8</v>
      </c>
      <c r="O36" s="344">
        <f t="shared" si="13"/>
        <v>261.89999999999998</v>
      </c>
      <c r="P36" s="344">
        <f t="shared" si="13"/>
        <v>295</v>
      </c>
      <c r="Q36" s="344">
        <f t="shared" si="13"/>
        <v>295</v>
      </c>
      <c r="R36" s="344">
        <f t="shared" si="13"/>
        <v>90</v>
      </c>
      <c r="S36" s="344">
        <f t="shared" si="13"/>
        <v>109.3</v>
      </c>
      <c r="T36" s="344">
        <f t="shared" si="13"/>
        <v>214</v>
      </c>
      <c r="U36" s="344">
        <f t="shared" si="13"/>
        <v>214</v>
      </c>
      <c r="V36" s="344">
        <f t="shared" si="13"/>
        <v>310</v>
      </c>
      <c r="W36" s="344">
        <f t="shared" si="13"/>
        <v>207.7</v>
      </c>
      <c r="X36" s="344">
        <f t="shared" si="13"/>
        <v>319.89999999999998</v>
      </c>
      <c r="Y36" s="344">
        <f t="shared" si="13"/>
        <v>303.89999999999998</v>
      </c>
      <c r="Z36" s="344">
        <f t="shared" si="13"/>
        <v>280.5</v>
      </c>
      <c r="AA36" s="344">
        <f t="shared" si="13"/>
        <v>322.60000000000002</v>
      </c>
      <c r="AB36" s="344">
        <f t="shared" si="13"/>
        <v>317.8</v>
      </c>
      <c r="AC36" s="344">
        <f t="shared" si="13"/>
        <v>298.60000000000002</v>
      </c>
      <c r="AD36" s="344">
        <f t="shared" si="13"/>
        <v>386.7</v>
      </c>
      <c r="AE36" s="344">
        <f t="shared" si="13"/>
        <v>382.8</v>
      </c>
      <c r="AF36" s="344">
        <f t="shared" si="13"/>
        <v>386.6</v>
      </c>
      <c r="AG36" s="344">
        <f t="shared" si="13"/>
        <v>353.6</v>
      </c>
      <c r="AH36" s="344">
        <f t="shared" si="13"/>
        <v>305.89999999999998</v>
      </c>
      <c r="AI36" s="344">
        <f t="shared" si="13"/>
        <v>355</v>
      </c>
      <c r="AJ36" s="344">
        <f t="shared" si="13"/>
        <v>643.5</v>
      </c>
      <c r="AK36" s="344">
        <f t="shared" si="13"/>
        <v>504.2</v>
      </c>
      <c r="AL36" s="344">
        <f t="shared" si="13"/>
        <v>629.79999999999995</v>
      </c>
      <c r="AM36" s="344">
        <f t="shared" si="13"/>
        <v>786.4</v>
      </c>
      <c r="AN36" s="344">
        <f t="shared" si="13"/>
        <v>618.9</v>
      </c>
      <c r="AO36" s="344">
        <f t="shared" si="13"/>
        <v>560</v>
      </c>
      <c r="AP36" s="344">
        <f t="shared" si="13"/>
        <v>796.30000000000007</v>
      </c>
      <c r="AQ36" s="344">
        <f t="shared" si="13"/>
        <v>715.4</v>
      </c>
      <c r="AR36" s="344">
        <f t="shared" si="13"/>
        <v>1055</v>
      </c>
      <c r="AS36" s="344">
        <f t="shared" si="13"/>
        <v>1041.1000000000001</v>
      </c>
      <c r="AT36" s="344">
        <f t="shared" si="13"/>
        <v>1189</v>
      </c>
      <c r="AU36" s="344">
        <f t="shared" si="13"/>
        <v>1328.6999999999998</v>
      </c>
      <c r="AV36" s="344">
        <f t="shared" si="13"/>
        <v>1402.6000000000001</v>
      </c>
      <c r="AW36" s="344">
        <f t="shared" si="13"/>
        <v>1281.8</v>
      </c>
      <c r="AX36" s="344">
        <f t="shared" si="13"/>
        <v>1353.2000000000003</v>
      </c>
      <c r="AY36" s="369">
        <f t="shared" si="13"/>
        <v>1381.8000000000002</v>
      </c>
      <c r="AZ36" s="366">
        <f>AZ40+AZ44+AZ48+AZ52+AZ56+AZ60+AZ64+AZ68+AZ72</f>
        <v>1381.8000000000002</v>
      </c>
      <c r="BA36" s="366">
        <f>AZ36-AY36</f>
        <v>0</v>
      </c>
      <c r="BB36" s="367">
        <f>AY36-AX36</f>
        <v>28.599999999999909</v>
      </c>
      <c r="BC36" s="368">
        <f>AZ36-AX36</f>
        <v>28.599999999999909</v>
      </c>
      <c r="BD36" s="353">
        <f t="shared" si="1"/>
        <v>5.3838130853846478E-2</v>
      </c>
      <c r="BE36" s="309"/>
      <c r="BF36" s="319" t="b">
        <v>0</v>
      </c>
      <c r="BG36" s="308"/>
    </row>
    <row r="37" spans="1:63" s="311" customFormat="1" ht="15" customHeight="1">
      <c r="A37" s="318" t="s">
        <v>353</v>
      </c>
      <c r="B37" s="345" t="e">
        <f>B38/B36*1000</f>
        <v>#DIV/0!</v>
      </c>
      <c r="C37" s="345" t="e">
        <f t="shared" ref="C37:AY37" si="14">C38/C36*1000</f>
        <v>#DIV/0!</v>
      </c>
      <c r="D37" s="345" t="e">
        <f t="shared" si="14"/>
        <v>#DIV/0!</v>
      </c>
      <c r="E37" s="345">
        <f t="shared" si="14"/>
        <v>16397.260273972603</v>
      </c>
      <c r="F37" s="345">
        <f t="shared" si="14"/>
        <v>6555.5555555555557</v>
      </c>
      <c r="G37" s="345">
        <f t="shared" si="14"/>
        <v>11960.526315789475</v>
      </c>
      <c r="H37" s="345">
        <f t="shared" si="14"/>
        <v>8229.0664100096237</v>
      </c>
      <c r="I37" s="345">
        <f t="shared" si="14"/>
        <v>17890.909090909092</v>
      </c>
      <c r="J37" s="345">
        <f t="shared" si="14"/>
        <v>6554.9132947976877</v>
      </c>
      <c r="K37" s="345">
        <f t="shared" si="14"/>
        <v>10038.461538461539</v>
      </c>
      <c r="L37" s="345">
        <f t="shared" si="14"/>
        <v>3378.6407766990292</v>
      </c>
      <c r="M37" s="345">
        <f t="shared" si="14"/>
        <v>8673.1843575418989</v>
      </c>
      <c r="N37" s="345">
        <f t="shared" si="14"/>
        <v>9594.7630922693261</v>
      </c>
      <c r="O37" s="345">
        <f t="shared" si="14"/>
        <v>5945.0171821305848</v>
      </c>
      <c r="P37" s="345">
        <f t="shared" si="14"/>
        <v>10821.355932203387</v>
      </c>
      <c r="Q37" s="345">
        <f t="shared" si="14"/>
        <v>7236.610169491526</v>
      </c>
      <c r="R37" s="345">
        <f t="shared" si="14"/>
        <v>19740.000000000007</v>
      </c>
      <c r="S37" s="345">
        <f t="shared" si="14"/>
        <v>34015.553522415365</v>
      </c>
      <c r="T37" s="345">
        <f t="shared" si="14"/>
        <v>17768.691588785045</v>
      </c>
      <c r="U37" s="345">
        <f t="shared" si="14"/>
        <v>19135.514018691589</v>
      </c>
      <c r="V37" s="345">
        <f t="shared" si="14"/>
        <v>10529.999999999998</v>
      </c>
      <c r="W37" s="345">
        <f t="shared" si="14"/>
        <v>9095.3298025999065</v>
      </c>
      <c r="X37" s="345">
        <f t="shared" si="14"/>
        <v>8274.1481713035319</v>
      </c>
      <c r="Y37" s="345">
        <f t="shared" si="14"/>
        <v>9287.2655478775905</v>
      </c>
      <c r="Z37" s="345">
        <f t="shared" si="14"/>
        <v>9946.5240641711243</v>
      </c>
      <c r="AA37" s="345">
        <f t="shared" si="14"/>
        <v>9053.0068195908243</v>
      </c>
      <c r="AB37" s="345">
        <f t="shared" si="14"/>
        <v>11730.018879798612</v>
      </c>
      <c r="AC37" s="345">
        <f t="shared" si="14"/>
        <v>12972.538513060952</v>
      </c>
      <c r="AD37" s="345">
        <f t="shared" si="14"/>
        <v>9428.2389449185393</v>
      </c>
      <c r="AE37" s="345">
        <f t="shared" si="14"/>
        <v>9978.0564263322885</v>
      </c>
      <c r="AF37" s="345">
        <f t="shared" si="14"/>
        <v>10408.432488360062</v>
      </c>
      <c r="AG37" s="345">
        <f t="shared" si="14"/>
        <v>12481.900452488688</v>
      </c>
      <c r="AH37" s="345">
        <f t="shared" si="14"/>
        <v>14831.317423994771</v>
      </c>
      <c r="AI37" s="345">
        <f t="shared" si="14"/>
        <v>14250.42253521127</v>
      </c>
      <c r="AJ37" s="345">
        <f t="shared" si="14"/>
        <v>12303.496503496503</v>
      </c>
      <c r="AK37" s="345">
        <f t="shared" si="14"/>
        <v>13059.103530345104</v>
      </c>
      <c r="AL37" s="345">
        <f t="shared" si="14"/>
        <v>18711.654493489994</v>
      </c>
      <c r="AM37" s="345">
        <f t="shared" si="14"/>
        <v>19752.161749745675</v>
      </c>
      <c r="AN37" s="345">
        <f t="shared" si="14"/>
        <v>21365.002423654878</v>
      </c>
      <c r="AO37" s="345">
        <f t="shared" si="14"/>
        <v>14052.857142857141</v>
      </c>
      <c r="AP37" s="345">
        <f t="shared" si="14"/>
        <v>22060.906693457237</v>
      </c>
      <c r="AQ37" s="345">
        <f t="shared" si="14"/>
        <v>23701.425775789769</v>
      </c>
      <c r="AR37" s="345">
        <f t="shared" si="14"/>
        <v>15291.469194312796</v>
      </c>
      <c r="AS37" s="345">
        <f t="shared" si="14"/>
        <v>18986.360580155597</v>
      </c>
      <c r="AT37" s="345">
        <f t="shared" si="14"/>
        <v>1860.181244743482</v>
      </c>
      <c r="AU37" s="345">
        <f t="shared" si="14"/>
        <v>2171.3720930232557</v>
      </c>
      <c r="AV37" s="345">
        <f t="shared" si="14"/>
        <v>2183.194995009268</v>
      </c>
      <c r="AW37" s="345">
        <f t="shared" si="14"/>
        <v>1872.321266968326</v>
      </c>
      <c r="AX37" s="345">
        <f t="shared" si="14"/>
        <v>2336.8604788649127</v>
      </c>
      <c r="AY37" s="346">
        <f t="shared" si="14"/>
        <v>2258.3692285424804</v>
      </c>
      <c r="AZ37" s="347">
        <f>AZ38/AZ36*1000</f>
        <v>2258.3692285424804</v>
      </c>
      <c r="BA37" s="347">
        <f>AZ37-AY37</f>
        <v>0</v>
      </c>
      <c r="BB37" s="351">
        <f>AY37-AX37</f>
        <v>-78.491250322432279</v>
      </c>
      <c r="BC37" s="352">
        <f>AZ37-AX37</f>
        <v>-78.491250322432279</v>
      </c>
      <c r="BD37" s="353">
        <f t="shared" si="1"/>
        <v>-0.34228429538132754</v>
      </c>
      <c r="BE37" s="309"/>
      <c r="BF37"/>
      <c r="BG37" s="308"/>
      <c r="BH37" s="309"/>
      <c r="BI37" s="309"/>
      <c r="BJ37" s="309"/>
      <c r="BK37" s="309"/>
    </row>
    <row r="38" spans="1:63" s="311" customFormat="1" ht="15" customHeight="1">
      <c r="A38" s="318" t="s">
        <v>354</v>
      </c>
      <c r="B38" s="344">
        <f>B42+B46+B50+B54+B58+B62+B66+B70+B74</f>
        <v>0</v>
      </c>
      <c r="C38" s="344">
        <f t="shared" ref="C38:AY38" si="15">C42+C46+C50+C54+C58+C62+C66+C70+C74</f>
        <v>2295</v>
      </c>
      <c r="D38" s="344">
        <f t="shared" si="15"/>
        <v>2016</v>
      </c>
      <c r="E38" s="344">
        <f t="shared" si="15"/>
        <v>2394</v>
      </c>
      <c r="F38" s="344">
        <f t="shared" si="15"/>
        <v>1593</v>
      </c>
      <c r="G38" s="344">
        <f t="shared" si="15"/>
        <v>2727</v>
      </c>
      <c r="H38" s="344">
        <f t="shared" si="15"/>
        <v>855</v>
      </c>
      <c r="I38" s="344">
        <f t="shared" si="15"/>
        <v>2952</v>
      </c>
      <c r="J38" s="344">
        <f t="shared" si="15"/>
        <v>1134</v>
      </c>
      <c r="K38" s="344">
        <f t="shared" si="15"/>
        <v>2610</v>
      </c>
      <c r="L38" s="344">
        <f t="shared" si="15"/>
        <v>1044</v>
      </c>
      <c r="M38" s="344">
        <f t="shared" si="15"/>
        <v>3105</v>
      </c>
      <c r="N38" s="344">
        <f t="shared" si="15"/>
        <v>3078</v>
      </c>
      <c r="O38" s="344">
        <f t="shared" si="15"/>
        <v>1557</v>
      </c>
      <c r="P38" s="344">
        <f t="shared" si="15"/>
        <v>3192.2999999999993</v>
      </c>
      <c r="Q38" s="344">
        <f t="shared" si="15"/>
        <v>2134.8000000000002</v>
      </c>
      <c r="R38" s="344">
        <f t="shared" si="15"/>
        <v>1776.6000000000004</v>
      </c>
      <c r="S38" s="344">
        <f t="shared" si="15"/>
        <v>3717.8999999999996</v>
      </c>
      <c r="T38" s="344">
        <f t="shared" si="15"/>
        <v>3802.5</v>
      </c>
      <c r="U38" s="344">
        <f t="shared" si="15"/>
        <v>4095</v>
      </c>
      <c r="V38" s="344">
        <f t="shared" si="15"/>
        <v>3264.2999999999993</v>
      </c>
      <c r="W38" s="344">
        <f t="shared" si="15"/>
        <v>1889.1000000000004</v>
      </c>
      <c r="X38" s="344">
        <f t="shared" si="15"/>
        <v>2646.8999999999996</v>
      </c>
      <c r="Y38" s="344">
        <f t="shared" si="15"/>
        <v>2822.3999999999996</v>
      </c>
      <c r="Z38" s="344">
        <f t="shared" si="15"/>
        <v>2790</v>
      </c>
      <c r="AA38" s="344">
        <f t="shared" si="15"/>
        <v>2920.5</v>
      </c>
      <c r="AB38" s="344">
        <f t="shared" si="15"/>
        <v>3727.7999999999993</v>
      </c>
      <c r="AC38" s="344">
        <f t="shared" si="15"/>
        <v>3873.6000000000004</v>
      </c>
      <c r="AD38" s="344">
        <f t="shared" si="15"/>
        <v>3645.8999999999996</v>
      </c>
      <c r="AE38" s="344">
        <f t="shared" si="15"/>
        <v>3819.6000000000004</v>
      </c>
      <c r="AF38" s="344">
        <f t="shared" si="15"/>
        <v>4023.8999999999996</v>
      </c>
      <c r="AG38" s="344">
        <f t="shared" si="15"/>
        <v>4413.6000000000004</v>
      </c>
      <c r="AH38" s="344">
        <f t="shared" si="15"/>
        <v>4536.8999999999996</v>
      </c>
      <c r="AI38" s="344">
        <f t="shared" si="15"/>
        <v>5058.9000000000005</v>
      </c>
      <c r="AJ38" s="344">
        <f t="shared" si="15"/>
        <v>7917.2999999999993</v>
      </c>
      <c r="AK38" s="344">
        <f t="shared" si="15"/>
        <v>6584.4000000000015</v>
      </c>
      <c r="AL38" s="344">
        <f t="shared" si="15"/>
        <v>11784.599999999999</v>
      </c>
      <c r="AM38" s="344">
        <f t="shared" si="15"/>
        <v>15533.099999999999</v>
      </c>
      <c r="AN38" s="344">
        <f t="shared" si="15"/>
        <v>13222.800000000003</v>
      </c>
      <c r="AO38" s="344">
        <f t="shared" si="15"/>
        <v>7869.5999999999985</v>
      </c>
      <c r="AP38" s="344">
        <f t="shared" si="15"/>
        <v>17567.099999999999</v>
      </c>
      <c r="AQ38" s="344">
        <f t="shared" si="15"/>
        <v>16956</v>
      </c>
      <c r="AR38" s="344">
        <f t="shared" si="15"/>
        <v>16132.5</v>
      </c>
      <c r="AS38" s="344">
        <f t="shared" si="15"/>
        <v>19766.699999999997</v>
      </c>
      <c r="AT38" s="344">
        <f t="shared" si="15"/>
        <v>2211.7555000000002</v>
      </c>
      <c r="AU38" s="344">
        <f t="shared" si="15"/>
        <v>2885.1020999999996</v>
      </c>
      <c r="AV38" s="344">
        <f t="shared" si="15"/>
        <v>3062.1492999999996</v>
      </c>
      <c r="AW38" s="344">
        <f t="shared" si="15"/>
        <v>2399.9414000000002</v>
      </c>
      <c r="AX38" s="344">
        <f t="shared" si="15"/>
        <v>3162.2396000000003</v>
      </c>
      <c r="AY38" s="365">
        <f t="shared" si="15"/>
        <v>3120.6145999999999</v>
      </c>
      <c r="AZ38" s="366">
        <f>AZ42+AZ46+AZ50+AZ54+AZ58+AZ62+AZ66+AZ70+AZ74</f>
        <v>3120.6145999999999</v>
      </c>
      <c r="BA38" s="366">
        <f>AZ38-AY38</f>
        <v>0</v>
      </c>
      <c r="BB38" s="367">
        <f>AY38-AX38</f>
        <v>-41.625000000000455</v>
      </c>
      <c r="BC38" s="368">
        <f>AZ38-AX38</f>
        <v>-41.625000000000455</v>
      </c>
      <c r="BD38" s="353">
        <f t="shared" si="1"/>
        <v>-0.30687411121143759</v>
      </c>
      <c r="BE38" s="309"/>
      <c r="BF38"/>
      <c r="BG38" s="308"/>
    </row>
    <row r="39" spans="1:63" ht="15" customHeight="1">
      <c r="A39" s="320" t="s">
        <v>363</v>
      </c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356"/>
      <c r="AB39" s="356"/>
      <c r="AC39" s="356"/>
      <c r="AD39" s="356"/>
      <c r="AE39" s="356"/>
      <c r="AF39" s="356"/>
      <c r="AG39" s="356"/>
      <c r="AH39" s="356"/>
      <c r="AI39" s="356"/>
      <c r="AJ39" s="356"/>
      <c r="AK39" s="356"/>
      <c r="AL39" s="356"/>
      <c r="AM39" s="356"/>
      <c r="AN39" s="356"/>
      <c r="AO39" s="356"/>
      <c r="AP39" s="356"/>
      <c r="AQ39" s="356"/>
      <c r="AR39" s="356"/>
      <c r="AS39" s="356"/>
      <c r="AT39" s="328"/>
      <c r="AU39" s="328"/>
      <c r="AV39" s="328"/>
      <c r="AW39" s="328"/>
      <c r="AX39" s="328"/>
      <c r="AY39" s="321"/>
      <c r="AZ39" s="328"/>
      <c r="BA39" s="329"/>
      <c r="BB39" s="321"/>
      <c r="BC39" s="328"/>
      <c r="BD39" s="329"/>
    </row>
    <row r="40" spans="1:63" ht="15" customHeight="1">
      <c r="A40" s="324" t="s">
        <v>352</v>
      </c>
      <c r="B40" s="344">
        <v>0</v>
      </c>
      <c r="C40" s="344">
        <v>0</v>
      </c>
      <c r="D40" s="344">
        <v>0</v>
      </c>
      <c r="E40" s="344">
        <v>0</v>
      </c>
      <c r="F40" s="344">
        <v>0</v>
      </c>
      <c r="G40" s="344">
        <v>0</v>
      </c>
      <c r="H40" s="344">
        <v>0</v>
      </c>
      <c r="I40" s="344">
        <v>0</v>
      </c>
      <c r="J40" s="344">
        <v>0</v>
      </c>
      <c r="K40" s="344">
        <v>0</v>
      </c>
      <c r="L40" s="344">
        <v>0</v>
      </c>
      <c r="M40" s="344">
        <v>0</v>
      </c>
      <c r="N40" s="344">
        <v>0</v>
      </c>
      <c r="O40" s="344">
        <v>0</v>
      </c>
      <c r="P40" s="344">
        <v>0</v>
      </c>
      <c r="Q40" s="344">
        <v>0</v>
      </c>
      <c r="R40" s="344">
        <v>0</v>
      </c>
      <c r="S40" s="344">
        <v>0</v>
      </c>
      <c r="T40" s="344">
        <v>0</v>
      </c>
      <c r="U40" s="344">
        <v>0</v>
      </c>
      <c r="V40" s="344">
        <v>0</v>
      </c>
      <c r="W40" s="344">
        <v>0</v>
      </c>
      <c r="X40" s="344">
        <v>0</v>
      </c>
      <c r="Y40" s="344">
        <v>0</v>
      </c>
      <c r="Z40" s="344">
        <v>0</v>
      </c>
      <c r="AA40" s="344">
        <v>0</v>
      </c>
      <c r="AB40" s="344">
        <v>0</v>
      </c>
      <c r="AC40" s="344">
        <v>0</v>
      </c>
      <c r="AD40" s="344">
        <v>0</v>
      </c>
      <c r="AE40" s="344">
        <v>0</v>
      </c>
      <c r="AF40" s="344">
        <v>0</v>
      </c>
      <c r="AG40" s="344">
        <v>0</v>
      </c>
      <c r="AH40" s="344">
        <v>0</v>
      </c>
      <c r="AI40" s="344">
        <v>0</v>
      </c>
      <c r="AJ40" s="344">
        <v>0</v>
      </c>
      <c r="AK40" s="344">
        <v>70.599999999999994</v>
      </c>
      <c r="AL40" s="344">
        <v>133.69999999999999</v>
      </c>
      <c r="AM40" s="344">
        <v>227.4</v>
      </c>
      <c r="AN40" s="344">
        <v>134.19999999999999</v>
      </c>
      <c r="AO40" s="344">
        <v>85.9</v>
      </c>
      <c r="AP40" s="344">
        <v>198.9</v>
      </c>
      <c r="AQ40" s="344">
        <v>172.4</v>
      </c>
      <c r="AR40" s="344">
        <v>192.2</v>
      </c>
      <c r="AS40" s="344">
        <v>182.4</v>
      </c>
      <c r="AT40" s="344">
        <v>200.8</v>
      </c>
      <c r="AU40" s="344">
        <v>264.3</v>
      </c>
      <c r="AV40" s="344">
        <v>304.2</v>
      </c>
      <c r="AW40" s="344">
        <v>260.7</v>
      </c>
      <c r="AX40" s="344">
        <v>299</v>
      </c>
      <c r="AY40" s="369">
        <v>305</v>
      </c>
      <c r="AZ40" s="366">
        <v>305</v>
      </c>
      <c r="BA40" s="366">
        <f>AZ40-AY40</f>
        <v>0</v>
      </c>
      <c r="BB40" s="367">
        <f>AY40-AX40</f>
        <v>6</v>
      </c>
      <c r="BC40" s="368">
        <f>AZ40-AX40</f>
        <v>6</v>
      </c>
      <c r="BD40" s="353">
        <f t="shared" si="1"/>
        <v>0.10389882446626109</v>
      </c>
      <c r="BF40" s="319" t="b">
        <v>0</v>
      </c>
      <c r="BH40" s="311"/>
      <c r="BI40" s="311"/>
      <c r="BJ40" s="311"/>
      <c r="BK40" s="311"/>
    </row>
    <row r="41" spans="1:63" ht="15" customHeight="1">
      <c r="A41" s="324" t="s">
        <v>353</v>
      </c>
      <c r="B41" s="345">
        <v>0</v>
      </c>
      <c r="C41" s="345">
        <v>0</v>
      </c>
      <c r="D41" s="345">
        <v>0</v>
      </c>
      <c r="E41" s="345">
        <v>0</v>
      </c>
      <c r="F41" s="345">
        <v>0</v>
      </c>
      <c r="G41" s="345">
        <v>0</v>
      </c>
      <c r="H41" s="345">
        <v>0</v>
      </c>
      <c r="I41" s="345">
        <v>0</v>
      </c>
      <c r="J41" s="345">
        <v>0</v>
      </c>
      <c r="K41" s="345">
        <v>0</v>
      </c>
      <c r="L41" s="345">
        <v>0</v>
      </c>
      <c r="M41" s="345">
        <v>0</v>
      </c>
      <c r="N41" s="345">
        <v>0</v>
      </c>
      <c r="O41" s="345">
        <v>0</v>
      </c>
      <c r="P41" s="345">
        <v>0</v>
      </c>
      <c r="Q41" s="345">
        <v>0</v>
      </c>
      <c r="R41" s="345">
        <v>0</v>
      </c>
      <c r="S41" s="345">
        <v>0</v>
      </c>
      <c r="T41" s="345">
        <v>0</v>
      </c>
      <c r="U41" s="345">
        <v>0</v>
      </c>
      <c r="V41" s="345">
        <v>0</v>
      </c>
      <c r="W41" s="345">
        <v>0</v>
      </c>
      <c r="X41" s="345">
        <v>0</v>
      </c>
      <c r="Y41" s="345">
        <v>0</v>
      </c>
      <c r="Z41" s="345">
        <v>0</v>
      </c>
      <c r="AA41" s="345">
        <v>0</v>
      </c>
      <c r="AB41" s="345">
        <v>0</v>
      </c>
      <c r="AC41" s="345">
        <v>0</v>
      </c>
      <c r="AD41" s="345">
        <v>0</v>
      </c>
      <c r="AE41" s="345">
        <v>0</v>
      </c>
      <c r="AF41" s="345">
        <v>0</v>
      </c>
      <c r="AG41" s="345">
        <v>0</v>
      </c>
      <c r="AH41" s="345">
        <v>0</v>
      </c>
      <c r="AI41" s="345">
        <v>0</v>
      </c>
      <c r="AJ41" s="345">
        <v>0</v>
      </c>
      <c r="AK41" s="345">
        <v>2879</v>
      </c>
      <c r="AL41" s="345">
        <v>4214</v>
      </c>
      <c r="AM41" s="345">
        <v>3813</v>
      </c>
      <c r="AN41" s="345">
        <v>3867</v>
      </c>
      <c r="AO41" s="345">
        <v>1784</v>
      </c>
      <c r="AP41" s="345">
        <v>3572</v>
      </c>
      <c r="AQ41" s="345">
        <v>2172</v>
      </c>
      <c r="AR41" s="345">
        <v>4184</v>
      </c>
      <c r="AS41" s="345">
        <v>5358</v>
      </c>
      <c r="AT41" s="345">
        <v>5358</v>
      </c>
      <c r="AU41" s="345">
        <v>5171</v>
      </c>
      <c r="AV41" s="345">
        <v>5198</v>
      </c>
      <c r="AW41" s="345">
        <v>4981</v>
      </c>
      <c r="AX41" s="345">
        <v>6300</v>
      </c>
      <c r="AY41" s="346">
        <v>5094</v>
      </c>
      <c r="AZ41" s="347">
        <v>5094</v>
      </c>
      <c r="BA41" s="347">
        <f>AZ41-AY41</f>
        <v>0</v>
      </c>
      <c r="BB41" s="351">
        <f>AY41-AX41</f>
        <v>-1206</v>
      </c>
      <c r="BC41" s="352">
        <f>AZ41-AX41</f>
        <v>-1206</v>
      </c>
      <c r="BD41" s="353">
        <f t="shared" si="1"/>
        <v>3.2922096471679207E-2</v>
      </c>
    </row>
    <row r="42" spans="1:63" s="311" customFormat="1" ht="15" customHeight="1">
      <c r="A42" s="324" t="s">
        <v>354</v>
      </c>
      <c r="B42" s="344">
        <f>B41*B40/1000</f>
        <v>0</v>
      </c>
      <c r="C42" s="344">
        <v>255</v>
      </c>
      <c r="D42" s="344">
        <v>224</v>
      </c>
      <c r="E42" s="344">
        <v>266</v>
      </c>
      <c r="F42" s="344">
        <v>177</v>
      </c>
      <c r="G42" s="344">
        <v>303</v>
      </c>
      <c r="H42" s="344">
        <v>95</v>
      </c>
      <c r="I42" s="344">
        <v>328</v>
      </c>
      <c r="J42" s="344">
        <v>126</v>
      </c>
      <c r="K42" s="344">
        <v>290</v>
      </c>
      <c r="L42" s="344">
        <v>116</v>
      </c>
      <c r="M42" s="344">
        <v>345</v>
      </c>
      <c r="N42" s="344">
        <v>342</v>
      </c>
      <c r="O42" s="344">
        <v>173</v>
      </c>
      <c r="P42" s="344">
        <v>354.7</v>
      </c>
      <c r="Q42" s="344">
        <v>237.2</v>
      </c>
      <c r="R42" s="344">
        <v>197.4</v>
      </c>
      <c r="S42" s="344">
        <v>413.1</v>
      </c>
      <c r="T42" s="344">
        <v>422.5</v>
      </c>
      <c r="U42" s="344">
        <v>455</v>
      </c>
      <c r="V42" s="344">
        <v>362.7</v>
      </c>
      <c r="W42" s="344">
        <v>209.9</v>
      </c>
      <c r="X42" s="344">
        <v>294.10000000000002</v>
      </c>
      <c r="Y42" s="344">
        <v>313.60000000000002</v>
      </c>
      <c r="Z42" s="344">
        <v>310</v>
      </c>
      <c r="AA42" s="344">
        <v>324.5</v>
      </c>
      <c r="AB42" s="344">
        <v>414.2</v>
      </c>
      <c r="AC42" s="344">
        <v>430.4</v>
      </c>
      <c r="AD42" s="344">
        <v>405.1</v>
      </c>
      <c r="AE42" s="344">
        <v>424.4</v>
      </c>
      <c r="AF42" s="344">
        <v>447.1</v>
      </c>
      <c r="AG42" s="344">
        <v>490.4</v>
      </c>
      <c r="AH42" s="344">
        <v>504.1</v>
      </c>
      <c r="AI42" s="344">
        <v>562.1</v>
      </c>
      <c r="AJ42" s="344">
        <v>879.7</v>
      </c>
      <c r="AK42" s="344">
        <v>731.6</v>
      </c>
      <c r="AL42" s="344">
        <v>1309.4000000000001</v>
      </c>
      <c r="AM42" s="344">
        <v>1725.9</v>
      </c>
      <c r="AN42" s="344">
        <v>1469.2</v>
      </c>
      <c r="AO42" s="344">
        <v>874.4</v>
      </c>
      <c r="AP42" s="344">
        <v>1951.9</v>
      </c>
      <c r="AQ42" s="344">
        <v>1884</v>
      </c>
      <c r="AR42" s="344">
        <v>1792.5</v>
      </c>
      <c r="AS42" s="344">
        <v>2196.3000000000002</v>
      </c>
      <c r="AT42" s="344">
        <f t="shared" ref="AT42:AY42" si="16">AT41*AT40/1000</f>
        <v>1075.8864000000001</v>
      </c>
      <c r="AU42" s="344">
        <f t="shared" si="16"/>
        <v>1366.6953000000001</v>
      </c>
      <c r="AV42" s="344">
        <f t="shared" si="16"/>
        <v>1581.2315999999998</v>
      </c>
      <c r="AW42" s="344">
        <f t="shared" si="16"/>
        <v>1298.5466999999999</v>
      </c>
      <c r="AX42" s="344">
        <f t="shared" si="16"/>
        <v>1883.7</v>
      </c>
      <c r="AY42" s="365">
        <f t="shared" si="16"/>
        <v>1553.67</v>
      </c>
      <c r="AZ42" s="366">
        <f>AZ40*AZ41/1000</f>
        <v>1553.67</v>
      </c>
      <c r="BA42" s="366">
        <f>AZ42-AY42</f>
        <v>0</v>
      </c>
      <c r="BB42" s="367">
        <f>AY42-AX42</f>
        <v>-330.03</v>
      </c>
      <c r="BC42" s="368">
        <f>AZ42-AX42</f>
        <v>-330.03</v>
      </c>
      <c r="BD42" s="353">
        <f t="shared" si="1"/>
        <v>-3.0240561420419088E-2</v>
      </c>
      <c r="BE42" s="309"/>
      <c r="BF42"/>
      <c r="BG42" s="308"/>
    </row>
    <row r="43" spans="1:63" ht="15" customHeight="1">
      <c r="A43" s="320" t="s">
        <v>364</v>
      </c>
      <c r="B43" s="356"/>
      <c r="C43" s="356"/>
      <c r="D43" s="356"/>
      <c r="E43" s="356"/>
      <c r="F43" s="356"/>
      <c r="G43" s="356"/>
      <c r="H43" s="356"/>
      <c r="I43" s="356"/>
      <c r="J43" s="356"/>
      <c r="K43" s="356"/>
      <c r="L43" s="356"/>
      <c r="M43" s="356"/>
      <c r="N43" s="356"/>
      <c r="O43" s="356"/>
      <c r="P43" s="356"/>
      <c r="Q43" s="356"/>
      <c r="R43" s="356"/>
      <c r="S43" s="356"/>
      <c r="T43" s="356"/>
      <c r="U43" s="356"/>
      <c r="V43" s="356"/>
      <c r="W43" s="356"/>
      <c r="X43" s="356"/>
      <c r="Y43" s="356"/>
      <c r="Z43" s="356"/>
      <c r="AA43" s="356"/>
      <c r="AB43" s="356"/>
      <c r="AC43" s="356"/>
      <c r="AD43" s="356"/>
      <c r="AE43" s="356"/>
      <c r="AF43" s="356"/>
      <c r="AG43" s="356"/>
      <c r="AH43" s="356"/>
      <c r="AI43" s="356"/>
      <c r="AJ43" s="356"/>
      <c r="AK43" s="356"/>
      <c r="AL43" s="356"/>
      <c r="AM43" s="356"/>
      <c r="AN43" s="356"/>
      <c r="AO43" s="356"/>
      <c r="AP43" s="356"/>
      <c r="AQ43" s="356"/>
      <c r="AR43" s="356"/>
      <c r="AS43" s="356"/>
      <c r="AT43" s="328"/>
      <c r="AU43" s="328"/>
      <c r="AV43" s="328"/>
      <c r="AW43" s="328"/>
      <c r="AX43" s="328"/>
      <c r="AY43" s="321"/>
      <c r="AZ43" s="328"/>
      <c r="BA43" s="329"/>
      <c r="BB43" s="321"/>
      <c r="BC43" s="328"/>
      <c r="BD43" s="329"/>
    </row>
    <row r="44" spans="1:63" ht="15" customHeight="1">
      <c r="A44" s="324" t="s">
        <v>352</v>
      </c>
      <c r="B44" s="344">
        <v>0</v>
      </c>
      <c r="C44" s="344">
        <v>0</v>
      </c>
      <c r="D44" s="344">
        <v>0</v>
      </c>
      <c r="E44" s="344">
        <v>0</v>
      </c>
      <c r="F44" s="344">
        <v>0</v>
      </c>
      <c r="G44" s="344">
        <v>0</v>
      </c>
      <c r="H44" s="344">
        <v>0</v>
      </c>
      <c r="I44" s="344">
        <v>0</v>
      </c>
      <c r="J44" s="344">
        <v>0</v>
      </c>
      <c r="K44" s="344">
        <v>0</v>
      </c>
      <c r="L44" s="344">
        <v>0</v>
      </c>
      <c r="M44" s="344">
        <v>0</v>
      </c>
      <c r="N44" s="344">
        <v>0</v>
      </c>
      <c r="O44" s="344">
        <v>0</v>
      </c>
      <c r="P44" s="344">
        <v>0</v>
      </c>
      <c r="Q44" s="344">
        <v>0</v>
      </c>
      <c r="R44" s="344">
        <v>0</v>
      </c>
      <c r="S44" s="344">
        <v>0</v>
      </c>
      <c r="T44" s="344">
        <v>0</v>
      </c>
      <c r="U44" s="344">
        <v>0</v>
      </c>
      <c r="V44" s="344">
        <v>0</v>
      </c>
      <c r="W44" s="344">
        <v>0</v>
      </c>
      <c r="X44" s="344">
        <v>0</v>
      </c>
      <c r="Y44" s="344">
        <v>0</v>
      </c>
      <c r="Z44" s="344">
        <v>0</v>
      </c>
      <c r="AA44" s="344">
        <v>0</v>
      </c>
      <c r="AB44" s="344">
        <v>0</v>
      </c>
      <c r="AC44" s="344">
        <v>0</v>
      </c>
      <c r="AD44" s="344">
        <v>0</v>
      </c>
      <c r="AE44" s="344">
        <v>0</v>
      </c>
      <c r="AF44" s="344">
        <v>0</v>
      </c>
      <c r="AG44" s="344">
        <v>0</v>
      </c>
      <c r="AH44" s="344">
        <v>0</v>
      </c>
      <c r="AI44" s="344">
        <v>0</v>
      </c>
      <c r="AJ44" s="344">
        <v>0</v>
      </c>
      <c r="AK44" s="344">
        <v>20.9</v>
      </c>
      <c r="AL44" s="344">
        <v>13.7</v>
      </c>
      <c r="AM44" s="344">
        <v>33.4</v>
      </c>
      <c r="AN44" s="344">
        <v>25.9</v>
      </c>
      <c r="AO44" s="344">
        <v>21.5</v>
      </c>
      <c r="AP44" s="344">
        <v>49.2</v>
      </c>
      <c r="AQ44" s="344">
        <v>63.2</v>
      </c>
      <c r="AR44" s="344">
        <v>77.8</v>
      </c>
      <c r="AS44" s="344">
        <v>32.1</v>
      </c>
      <c r="AT44" s="344">
        <v>94.9</v>
      </c>
      <c r="AU44" s="344">
        <v>130</v>
      </c>
      <c r="AV44" s="344">
        <v>166.1</v>
      </c>
      <c r="AW44" s="344">
        <v>75.900000000000006</v>
      </c>
      <c r="AX44" s="344">
        <v>103.8</v>
      </c>
      <c r="AY44" s="369">
        <v>127.8</v>
      </c>
      <c r="AZ44" s="366">
        <v>127.8</v>
      </c>
      <c r="BA44" s="366">
        <f>AZ44-AY44</f>
        <v>0</v>
      </c>
      <c r="BB44" s="367">
        <f>AY44-AX44</f>
        <v>24</v>
      </c>
      <c r="BC44" s="368">
        <f>AZ44-AX44</f>
        <v>24</v>
      </c>
      <c r="BD44" s="353">
        <f t="shared" si="1"/>
        <v>0.2645571579452628</v>
      </c>
      <c r="BF44" s="319" t="b">
        <v>0</v>
      </c>
      <c r="BH44" s="311"/>
      <c r="BI44" s="311"/>
      <c r="BJ44" s="311"/>
      <c r="BK44" s="311"/>
    </row>
    <row r="45" spans="1:63" ht="15" customHeight="1">
      <c r="A45" s="324" t="s">
        <v>353</v>
      </c>
      <c r="B45" s="345">
        <v>0</v>
      </c>
      <c r="C45" s="345">
        <v>0</v>
      </c>
      <c r="D45" s="345">
        <v>0</v>
      </c>
      <c r="E45" s="345">
        <v>0</v>
      </c>
      <c r="F45" s="345">
        <v>0</v>
      </c>
      <c r="G45" s="345">
        <v>0</v>
      </c>
      <c r="H45" s="345">
        <v>0</v>
      </c>
      <c r="I45" s="345">
        <v>0</v>
      </c>
      <c r="J45" s="345">
        <v>0</v>
      </c>
      <c r="K45" s="345">
        <v>0</v>
      </c>
      <c r="L45" s="345">
        <v>0</v>
      </c>
      <c r="M45" s="345">
        <v>0</v>
      </c>
      <c r="N45" s="345">
        <v>0</v>
      </c>
      <c r="O45" s="345">
        <v>0</v>
      </c>
      <c r="P45" s="345">
        <v>0</v>
      </c>
      <c r="Q45" s="345">
        <v>0</v>
      </c>
      <c r="R45" s="345">
        <v>0</v>
      </c>
      <c r="S45" s="345">
        <v>0</v>
      </c>
      <c r="T45" s="345">
        <v>0</v>
      </c>
      <c r="U45" s="345">
        <v>0</v>
      </c>
      <c r="V45" s="345">
        <v>0</v>
      </c>
      <c r="W45" s="345">
        <v>0</v>
      </c>
      <c r="X45" s="345">
        <v>0</v>
      </c>
      <c r="Y45" s="345">
        <v>0</v>
      </c>
      <c r="Z45" s="345">
        <v>0</v>
      </c>
      <c r="AA45" s="345">
        <v>0</v>
      </c>
      <c r="AB45" s="345">
        <v>0</v>
      </c>
      <c r="AC45" s="345">
        <v>0</v>
      </c>
      <c r="AD45" s="345">
        <v>0</v>
      </c>
      <c r="AE45" s="345">
        <v>0</v>
      </c>
      <c r="AF45" s="345">
        <v>0</v>
      </c>
      <c r="AG45" s="345">
        <v>0</v>
      </c>
      <c r="AH45" s="345">
        <v>0</v>
      </c>
      <c r="AI45" s="345">
        <v>0</v>
      </c>
      <c r="AJ45" s="345">
        <v>0</v>
      </c>
      <c r="AK45" s="345">
        <v>4311</v>
      </c>
      <c r="AL45" s="345">
        <v>3891</v>
      </c>
      <c r="AM45" s="345">
        <v>4998</v>
      </c>
      <c r="AN45" s="345">
        <v>4437</v>
      </c>
      <c r="AO45" s="345">
        <v>1756</v>
      </c>
      <c r="AP45" s="345">
        <v>2363</v>
      </c>
      <c r="AQ45" s="345">
        <v>1289</v>
      </c>
      <c r="AR45" s="345">
        <v>4661</v>
      </c>
      <c r="AS45" s="345">
        <v>4567</v>
      </c>
      <c r="AT45" s="345">
        <v>3009</v>
      </c>
      <c r="AU45" s="345">
        <v>4973</v>
      </c>
      <c r="AV45" s="345">
        <v>4603</v>
      </c>
      <c r="AW45" s="345">
        <v>4089</v>
      </c>
      <c r="AX45" s="345">
        <v>5668</v>
      </c>
      <c r="AY45" s="346">
        <v>5194</v>
      </c>
      <c r="AZ45" s="347">
        <v>5194</v>
      </c>
      <c r="BA45" s="347">
        <f>AZ45-AY45</f>
        <v>0</v>
      </c>
      <c r="BB45" s="351">
        <f>AY45-AX45</f>
        <v>-474</v>
      </c>
      <c r="BC45" s="352">
        <f>AZ45-AX45</f>
        <v>-474</v>
      </c>
      <c r="BD45" s="353">
        <f t="shared" si="1"/>
        <v>4.4142482381439141E-2</v>
      </c>
    </row>
    <row r="46" spans="1:63" s="311" customFormat="1" ht="15" customHeight="1">
      <c r="A46" s="324" t="s">
        <v>354</v>
      </c>
      <c r="B46" s="344">
        <f>B45*B44/1000</f>
        <v>0</v>
      </c>
      <c r="C46" s="344">
        <v>255</v>
      </c>
      <c r="D46" s="344">
        <v>224</v>
      </c>
      <c r="E46" s="344">
        <v>266</v>
      </c>
      <c r="F46" s="344">
        <v>177</v>
      </c>
      <c r="G46" s="344">
        <v>303</v>
      </c>
      <c r="H46" s="344">
        <v>95</v>
      </c>
      <c r="I46" s="344">
        <v>328</v>
      </c>
      <c r="J46" s="344">
        <v>126</v>
      </c>
      <c r="K46" s="344">
        <v>290</v>
      </c>
      <c r="L46" s="344">
        <v>116</v>
      </c>
      <c r="M46" s="344">
        <v>345</v>
      </c>
      <c r="N46" s="344">
        <v>342</v>
      </c>
      <c r="O46" s="344">
        <v>173</v>
      </c>
      <c r="P46" s="344">
        <v>354.7</v>
      </c>
      <c r="Q46" s="344">
        <v>237.2</v>
      </c>
      <c r="R46" s="344">
        <v>197.4</v>
      </c>
      <c r="S46" s="344">
        <v>413.1</v>
      </c>
      <c r="T46" s="344">
        <v>422.5</v>
      </c>
      <c r="U46" s="344">
        <v>455</v>
      </c>
      <c r="V46" s="344">
        <v>362.7</v>
      </c>
      <c r="W46" s="344">
        <v>209.9</v>
      </c>
      <c r="X46" s="344">
        <v>294.10000000000002</v>
      </c>
      <c r="Y46" s="344">
        <v>313.60000000000002</v>
      </c>
      <c r="Z46" s="344">
        <v>310</v>
      </c>
      <c r="AA46" s="344">
        <v>324.5</v>
      </c>
      <c r="AB46" s="344">
        <v>414.2</v>
      </c>
      <c r="AC46" s="344">
        <v>430.4</v>
      </c>
      <c r="AD46" s="344">
        <v>405.1</v>
      </c>
      <c r="AE46" s="344">
        <v>424.4</v>
      </c>
      <c r="AF46" s="344">
        <v>447.1</v>
      </c>
      <c r="AG46" s="344">
        <v>490.4</v>
      </c>
      <c r="AH46" s="344">
        <v>504.1</v>
      </c>
      <c r="AI46" s="344">
        <v>562.1</v>
      </c>
      <c r="AJ46" s="344">
        <v>879.7</v>
      </c>
      <c r="AK46" s="344">
        <v>731.6</v>
      </c>
      <c r="AL46" s="344">
        <v>1309.4000000000001</v>
      </c>
      <c r="AM46" s="344">
        <v>1725.9</v>
      </c>
      <c r="AN46" s="344">
        <v>1469.2</v>
      </c>
      <c r="AO46" s="344">
        <v>874.4</v>
      </c>
      <c r="AP46" s="344">
        <v>1951.9</v>
      </c>
      <c r="AQ46" s="344">
        <v>1884</v>
      </c>
      <c r="AR46" s="344">
        <v>1792.5</v>
      </c>
      <c r="AS46" s="344">
        <v>2196.3000000000002</v>
      </c>
      <c r="AT46" s="344">
        <f t="shared" ref="AT46:AY46" si="17">AT45*AT44/1000</f>
        <v>285.55410000000006</v>
      </c>
      <c r="AU46" s="344">
        <f t="shared" si="17"/>
        <v>646.49</v>
      </c>
      <c r="AV46" s="344">
        <f t="shared" si="17"/>
        <v>764.55829999999992</v>
      </c>
      <c r="AW46" s="344">
        <f t="shared" si="17"/>
        <v>310.35510000000005</v>
      </c>
      <c r="AX46" s="344">
        <f t="shared" si="17"/>
        <v>588.33839999999998</v>
      </c>
      <c r="AY46" s="365">
        <f t="shared" si="17"/>
        <v>663.79319999999996</v>
      </c>
      <c r="AZ46" s="366">
        <f>AZ44*AZ45/1000</f>
        <v>663.79319999999996</v>
      </c>
      <c r="BA46" s="366">
        <f>AZ46-AY46</f>
        <v>0</v>
      </c>
      <c r="BB46" s="367">
        <f>AY46-AX46</f>
        <v>75.454799999999977</v>
      </c>
      <c r="BC46" s="368">
        <f>AZ46-AX46</f>
        <v>75.454799999999977</v>
      </c>
      <c r="BD46" s="353">
        <f t="shared" si="1"/>
        <v>-0.23160044141828862</v>
      </c>
      <c r="BE46" s="309"/>
      <c r="BF46"/>
      <c r="BG46" s="308"/>
    </row>
    <row r="47" spans="1:63" ht="15" customHeight="1">
      <c r="A47" s="320" t="s">
        <v>365</v>
      </c>
      <c r="B47" s="356"/>
      <c r="C47" s="356"/>
      <c r="D47" s="356"/>
      <c r="E47" s="356"/>
      <c r="F47" s="356"/>
      <c r="G47" s="356"/>
      <c r="H47" s="356"/>
      <c r="I47" s="356"/>
      <c r="J47" s="356"/>
      <c r="K47" s="356"/>
      <c r="L47" s="356"/>
      <c r="M47" s="356"/>
      <c r="N47" s="356"/>
      <c r="O47" s="356"/>
      <c r="P47" s="356"/>
      <c r="Q47" s="356"/>
      <c r="R47" s="356"/>
      <c r="S47" s="356"/>
      <c r="T47" s="356"/>
      <c r="U47" s="356"/>
      <c r="V47" s="356"/>
      <c r="W47" s="356"/>
      <c r="X47" s="356"/>
      <c r="Y47" s="356"/>
      <c r="Z47" s="356"/>
      <c r="AA47" s="356"/>
      <c r="AB47" s="356"/>
      <c r="AC47" s="356"/>
      <c r="AD47" s="356"/>
      <c r="AE47" s="356"/>
      <c r="AF47" s="356"/>
      <c r="AG47" s="356"/>
      <c r="AH47" s="356"/>
      <c r="AI47" s="356"/>
      <c r="AJ47" s="356"/>
      <c r="AK47" s="356"/>
      <c r="AL47" s="356"/>
      <c r="AM47" s="356"/>
      <c r="AN47" s="356"/>
      <c r="AO47" s="356"/>
      <c r="AP47" s="356"/>
      <c r="AQ47" s="356"/>
      <c r="AR47" s="356"/>
      <c r="AS47" s="356"/>
      <c r="AT47" s="328"/>
      <c r="AU47" s="328"/>
      <c r="AV47" s="328"/>
      <c r="AW47" s="328"/>
      <c r="AX47" s="328"/>
      <c r="AY47" s="321"/>
      <c r="AZ47" s="328"/>
      <c r="BA47" s="329"/>
      <c r="BB47" s="321"/>
      <c r="BC47" s="328"/>
      <c r="BD47" s="329"/>
    </row>
    <row r="48" spans="1:63" ht="15" customHeight="1">
      <c r="A48" s="324" t="s">
        <v>352</v>
      </c>
      <c r="B48" s="344">
        <v>0</v>
      </c>
      <c r="C48" s="344">
        <v>0</v>
      </c>
      <c r="D48" s="344">
        <v>0</v>
      </c>
      <c r="E48" s="344">
        <v>0</v>
      </c>
      <c r="F48" s="344">
        <v>0</v>
      </c>
      <c r="G48" s="344">
        <v>0</v>
      </c>
      <c r="H48" s="344">
        <v>0</v>
      </c>
      <c r="I48" s="344">
        <v>0</v>
      </c>
      <c r="J48" s="344">
        <v>0</v>
      </c>
      <c r="K48" s="344">
        <v>0</v>
      </c>
      <c r="L48" s="344">
        <v>0</v>
      </c>
      <c r="M48" s="344">
        <v>0</v>
      </c>
      <c r="N48" s="344">
        <v>0</v>
      </c>
      <c r="O48" s="344">
        <v>0</v>
      </c>
      <c r="P48" s="344">
        <v>0</v>
      </c>
      <c r="Q48" s="344">
        <v>0</v>
      </c>
      <c r="R48" s="344">
        <v>0</v>
      </c>
      <c r="S48" s="344">
        <v>0</v>
      </c>
      <c r="T48" s="344">
        <v>0</v>
      </c>
      <c r="U48" s="344">
        <v>0</v>
      </c>
      <c r="V48" s="344">
        <v>0</v>
      </c>
      <c r="W48" s="344">
        <v>0</v>
      </c>
      <c r="X48" s="344">
        <v>0</v>
      </c>
      <c r="Y48" s="344">
        <v>0</v>
      </c>
      <c r="Z48" s="344">
        <v>0</v>
      </c>
      <c r="AA48" s="344">
        <v>0</v>
      </c>
      <c r="AB48" s="344">
        <v>0</v>
      </c>
      <c r="AC48" s="344">
        <v>0</v>
      </c>
      <c r="AD48" s="344">
        <v>0</v>
      </c>
      <c r="AE48" s="344">
        <v>0</v>
      </c>
      <c r="AF48" s="344">
        <v>0</v>
      </c>
      <c r="AG48" s="344">
        <v>0</v>
      </c>
      <c r="AH48" s="344">
        <v>0</v>
      </c>
      <c r="AI48" s="344">
        <v>0</v>
      </c>
      <c r="AJ48" s="344">
        <v>0</v>
      </c>
      <c r="AK48" s="344">
        <v>0</v>
      </c>
      <c r="AL48" s="344">
        <v>0</v>
      </c>
      <c r="AM48" s="344">
        <v>0</v>
      </c>
      <c r="AN48" s="344">
        <v>0</v>
      </c>
      <c r="AO48" s="344">
        <v>0</v>
      </c>
      <c r="AP48" s="344">
        <v>0</v>
      </c>
      <c r="AQ48" s="344">
        <v>0</v>
      </c>
      <c r="AR48" s="344">
        <v>501.9</v>
      </c>
      <c r="AS48" s="344">
        <v>519.5</v>
      </c>
      <c r="AT48" s="344">
        <v>543.9</v>
      </c>
      <c r="AU48" s="344">
        <v>560.79999999999995</v>
      </c>
      <c r="AV48" s="344">
        <v>584</v>
      </c>
      <c r="AW48" s="344">
        <v>602.5</v>
      </c>
      <c r="AX48" s="344">
        <v>588.6</v>
      </c>
      <c r="AY48" s="369">
        <v>590.4</v>
      </c>
      <c r="AZ48" s="366">
        <v>590.4</v>
      </c>
      <c r="BA48" s="366">
        <f>AZ48-AY48</f>
        <v>0</v>
      </c>
      <c r="BB48" s="367">
        <f>AY48-AX48</f>
        <v>1.7999999999999545</v>
      </c>
      <c r="BC48" s="368">
        <f>AZ48-AX48</f>
        <v>1.7999999999999545</v>
      </c>
      <c r="BD48" s="353">
        <f t="shared" si="1"/>
        <v>2.5290518436610787E-2</v>
      </c>
      <c r="BF48" s="319" t="b">
        <v>0</v>
      </c>
      <c r="BH48" s="311"/>
      <c r="BI48" s="311"/>
      <c r="BJ48" s="311"/>
      <c r="BK48" s="311"/>
    </row>
    <row r="49" spans="1:63" ht="15" customHeight="1">
      <c r="A49" s="324" t="s">
        <v>353</v>
      </c>
      <c r="B49" s="345">
        <v>0</v>
      </c>
      <c r="C49" s="345">
        <v>0</v>
      </c>
      <c r="D49" s="345">
        <v>0</v>
      </c>
      <c r="E49" s="345">
        <v>0</v>
      </c>
      <c r="F49" s="345">
        <v>0</v>
      </c>
      <c r="G49" s="345">
        <v>0</v>
      </c>
      <c r="H49" s="345">
        <v>0</v>
      </c>
      <c r="I49" s="345">
        <v>0</v>
      </c>
      <c r="J49" s="345">
        <v>0</v>
      </c>
      <c r="K49" s="345">
        <v>0</v>
      </c>
      <c r="L49" s="345">
        <v>0</v>
      </c>
      <c r="M49" s="345">
        <v>0</v>
      </c>
      <c r="N49" s="345">
        <v>0</v>
      </c>
      <c r="O49" s="345">
        <v>0</v>
      </c>
      <c r="P49" s="345">
        <v>0</v>
      </c>
      <c r="Q49" s="345">
        <v>0</v>
      </c>
      <c r="R49" s="345">
        <v>0</v>
      </c>
      <c r="S49" s="345">
        <v>0</v>
      </c>
      <c r="T49" s="345">
        <v>0</v>
      </c>
      <c r="U49" s="345">
        <v>0</v>
      </c>
      <c r="V49" s="345">
        <v>0</v>
      </c>
      <c r="W49" s="345">
        <v>0</v>
      </c>
      <c r="X49" s="345">
        <v>0</v>
      </c>
      <c r="Y49" s="345">
        <v>0</v>
      </c>
      <c r="Z49" s="345">
        <v>0</v>
      </c>
      <c r="AA49" s="345">
        <v>0</v>
      </c>
      <c r="AB49" s="345">
        <v>0</v>
      </c>
      <c r="AC49" s="345">
        <v>0</v>
      </c>
      <c r="AD49" s="345">
        <v>0</v>
      </c>
      <c r="AE49" s="345">
        <v>0</v>
      </c>
      <c r="AF49" s="345">
        <v>0</v>
      </c>
      <c r="AG49" s="345">
        <v>0</v>
      </c>
      <c r="AH49" s="345">
        <v>0</v>
      </c>
      <c r="AI49" s="345">
        <v>0</v>
      </c>
      <c r="AJ49" s="345">
        <v>0</v>
      </c>
      <c r="AK49" s="345">
        <v>0</v>
      </c>
      <c r="AL49" s="345">
        <v>0</v>
      </c>
      <c r="AM49" s="345">
        <v>0</v>
      </c>
      <c r="AN49" s="345">
        <v>0</v>
      </c>
      <c r="AO49" s="345">
        <v>0</v>
      </c>
      <c r="AP49" s="345">
        <v>0</v>
      </c>
      <c r="AQ49" s="345">
        <v>0</v>
      </c>
      <c r="AR49" s="345">
        <v>792</v>
      </c>
      <c r="AS49" s="345">
        <v>1232</v>
      </c>
      <c r="AT49" s="345">
        <v>842</v>
      </c>
      <c r="AU49" s="345">
        <v>929</v>
      </c>
      <c r="AV49" s="345">
        <v>619</v>
      </c>
      <c r="AW49" s="345">
        <v>804</v>
      </c>
      <c r="AX49" s="345">
        <v>541</v>
      </c>
      <c r="AY49" s="346">
        <v>842</v>
      </c>
      <c r="AZ49" s="347">
        <v>842</v>
      </c>
      <c r="BA49" s="347">
        <f>AZ49-AY49</f>
        <v>0</v>
      </c>
      <c r="BB49" s="351">
        <f>AY49-AX49</f>
        <v>301</v>
      </c>
      <c r="BC49" s="352">
        <f>AZ49-AX49</f>
        <v>301</v>
      </c>
      <c r="BD49" s="353">
        <f t="shared" si="1"/>
        <v>-0.15176280655415386</v>
      </c>
    </row>
    <row r="50" spans="1:63" s="311" customFormat="1" ht="15" customHeight="1">
      <c r="A50" s="324" t="s">
        <v>354</v>
      </c>
      <c r="B50" s="344">
        <f>B49*B48/1000</f>
        <v>0</v>
      </c>
      <c r="C50" s="344">
        <v>255</v>
      </c>
      <c r="D50" s="344">
        <v>224</v>
      </c>
      <c r="E50" s="344">
        <v>266</v>
      </c>
      <c r="F50" s="344">
        <v>177</v>
      </c>
      <c r="G50" s="344">
        <v>303</v>
      </c>
      <c r="H50" s="344">
        <v>95</v>
      </c>
      <c r="I50" s="344">
        <v>328</v>
      </c>
      <c r="J50" s="344">
        <v>126</v>
      </c>
      <c r="K50" s="344">
        <v>290</v>
      </c>
      <c r="L50" s="344">
        <v>116</v>
      </c>
      <c r="M50" s="344">
        <v>345</v>
      </c>
      <c r="N50" s="344">
        <v>342</v>
      </c>
      <c r="O50" s="344">
        <v>173</v>
      </c>
      <c r="P50" s="344">
        <v>354.7</v>
      </c>
      <c r="Q50" s="344">
        <v>237.2</v>
      </c>
      <c r="R50" s="344">
        <v>197.4</v>
      </c>
      <c r="S50" s="344">
        <v>413.1</v>
      </c>
      <c r="T50" s="344">
        <v>422.5</v>
      </c>
      <c r="U50" s="344">
        <v>455</v>
      </c>
      <c r="V50" s="344">
        <v>362.7</v>
      </c>
      <c r="W50" s="344">
        <v>209.9</v>
      </c>
      <c r="X50" s="344">
        <v>294.10000000000002</v>
      </c>
      <c r="Y50" s="344">
        <v>313.60000000000002</v>
      </c>
      <c r="Z50" s="344">
        <v>310</v>
      </c>
      <c r="AA50" s="344">
        <v>324.5</v>
      </c>
      <c r="AB50" s="344">
        <v>414.2</v>
      </c>
      <c r="AC50" s="344">
        <v>430.4</v>
      </c>
      <c r="AD50" s="344">
        <v>405.1</v>
      </c>
      <c r="AE50" s="344">
        <v>424.4</v>
      </c>
      <c r="AF50" s="344">
        <v>447.1</v>
      </c>
      <c r="AG50" s="344">
        <v>490.4</v>
      </c>
      <c r="AH50" s="344">
        <v>504.1</v>
      </c>
      <c r="AI50" s="344">
        <v>562.1</v>
      </c>
      <c r="AJ50" s="344">
        <v>879.7</v>
      </c>
      <c r="AK50" s="344">
        <v>731.6</v>
      </c>
      <c r="AL50" s="344">
        <v>1309.4000000000001</v>
      </c>
      <c r="AM50" s="344">
        <v>1725.9</v>
      </c>
      <c r="AN50" s="344">
        <v>1469.2</v>
      </c>
      <c r="AO50" s="344">
        <v>874.4</v>
      </c>
      <c r="AP50" s="344">
        <v>1951.9</v>
      </c>
      <c r="AQ50" s="344">
        <v>1884</v>
      </c>
      <c r="AR50" s="344">
        <v>1792.5</v>
      </c>
      <c r="AS50" s="344">
        <v>2196.3000000000002</v>
      </c>
      <c r="AT50" s="344">
        <f t="shared" ref="AT50:AY50" si="18">AT49*AT48/1000</f>
        <v>457.96379999999999</v>
      </c>
      <c r="AU50" s="344">
        <f t="shared" si="18"/>
        <v>520.9831999999999</v>
      </c>
      <c r="AV50" s="344">
        <f t="shared" si="18"/>
        <v>361.49599999999998</v>
      </c>
      <c r="AW50" s="344">
        <f t="shared" si="18"/>
        <v>484.41</v>
      </c>
      <c r="AX50" s="344">
        <f t="shared" si="18"/>
        <v>318.43260000000004</v>
      </c>
      <c r="AY50" s="365">
        <f t="shared" si="18"/>
        <v>497.11680000000001</v>
      </c>
      <c r="AZ50" s="366">
        <f>AZ48*AZ49/1000</f>
        <v>497.11680000000001</v>
      </c>
      <c r="BA50" s="366">
        <f>AZ50-AY50</f>
        <v>0</v>
      </c>
      <c r="BB50" s="367">
        <f>AY50-AX50</f>
        <v>178.68419999999998</v>
      </c>
      <c r="BC50" s="368">
        <f>AZ50-AX50</f>
        <v>178.68419999999998</v>
      </c>
      <c r="BD50" s="353">
        <f t="shared" si="1"/>
        <v>-0.32038153144714432</v>
      </c>
      <c r="BE50" s="309"/>
      <c r="BF50"/>
      <c r="BG50" s="308"/>
    </row>
    <row r="51" spans="1:63" ht="15" customHeight="1">
      <c r="A51" s="320" t="s">
        <v>366</v>
      </c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356"/>
      <c r="AB51" s="356"/>
      <c r="AC51" s="356"/>
      <c r="AD51" s="356"/>
      <c r="AE51" s="356"/>
      <c r="AF51" s="356"/>
      <c r="AG51" s="356"/>
      <c r="AH51" s="356"/>
      <c r="AI51" s="356"/>
      <c r="AJ51" s="356"/>
      <c r="AK51" s="356"/>
      <c r="AL51" s="356"/>
      <c r="AM51" s="356"/>
      <c r="AN51" s="356"/>
      <c r="AO51" s="356"/>
      <c r="AP51" s="356"/>
      <c r="AQ51" s="356"/>
      <c r="AR51" s="356"/>
      <c r="AS51" s="356"/>
      <c r="AT51" s="328"/>
      <c r="AU51" s="328"/>
      <c r="AV51" s="328"/>
      <c r="AW51" s="328"/>
      <c r="AX51" s="328"/>
      <c r="AY51" s="321"/>
      <c r="AZ51" s="328"/>
      <c r="BA51" s="329"/>
      <c r="BB51" s="321"/>
      <c r="BC51" s="328"/>
      <c r="BD51" s="329"/>
    </row>
    <row r="52" spans="1:63" ht="15" customHeight="1">
      <c r="A52" s="324" t="s">
        <v>352</v>
      </c>
      <c r="B52" s="344">
        <v>0</v>
      </c>
      <c r="C52" s="344">
        <v>0</v>
      </c>
      <c r="D52" s="344">
        <v>0</v>
      </c>
      <c r="E52" s="344">
        <v>0</v>
      </c>
      <c r="F52" s="344">
        <v>0</v>
      </c>
      <c r="G52" s="344">
        <v>0</v>
      </c>
      <c r="H52" s="344">
        <v>0</v>
      </c>
      <c r="I52" s="344">
        <v>0</v>
      </c>
      <c r="J52" s="344">
        <v>0</v>
      </c>
      <c r="K52" s="344">
        <v>0</v>
      </c>
      <c r="L52" s="344">
        <v>0</v>
      </c>
      <c r="M52" s="344">
        <v>0</v>
      </c>
      <c r="N52" s="344">
        <v>0</v>
      </c>
      <c r="O52" s="344">
        <v>0</v>
      </c>
      <c r="P52" s="344">
        <v>0</v>
      </c>
      <c r="Q52" s="344">
        <v>0</v>
      </c>
      <c r="R52" s="344">
        <v>0</v>
      </c>
      <c r="S52" s="344">
        <v>0</v>
      </c>
      <c r="T52" s="344">
        <v>0</v>
      </c>
      <c r="U52" s="344">
        <v>0</v>
      </c>
      <c r="V52" s="344">
        <v>0</v>
      </c>
      <c r="W52" s="344">
        <v>0</v>
      </c>
      <c r="X52" s="344">
        <v>0</v>
      </c>
      <c r="Y52" s="344">
        <v>0</v>
      </c>
      <c r="Z52" s="344">
        <v>0</v>
      </c>
      <c r="AA52" s="344">
        <v>0</v>
      </c>
      <c r="AB52" s="344">
        <v>0</v>
      </c>
      <c r="AC52" s="344">
        <v>0</v>
      </c>
      <c r="AD52" s="344">
        <v>0</v>
      </c>
      <c r="AE52" s="344">
        <v>0</v>
      </c>
      <c r="AF52" s="344">
        <v>0</v>
      </c>
      <c r="AG52" s="344">
        <v>0</v>
      </c>
      <c r="AH52" s="344">
        <v>0</v>
      </c>
      <c r="AI52" s="344">
        <v>0</v>
      </c>
      <c r="AJ52" s="344">
        <v>0</v>
      </c>
      <c r="AK52" s="344">
        <v>0</v>
      </c>
      <c r="AL52" s="344">
        <v>0</v>
      </c>
      <c r="AM52" s="344">
        <v>0</v>
      </c>
      <c r="AN52" s="344">
        <v>0</v>
      </c>
      <c r="AO52" s="344">
        <v>0</v>
      </c>
      <c r="AP52" s="344">
        <v>0</v>
      </c>
      <c r="AQ52" s="344">
        <v>0</v>
      </c>
      <c r="AR52" s="344">
        <v>53.7</v>
      </c>
      <c r="AS52" s="344">
        <v>59.7</v>
      </c>
      <c r="AT52" s="344">
        <v>52.9</v>
      </c>
      <c r="AU52" s="344">
        <v>52.3</v>
      </c>
      <c r="AV52" s="344">
        <v>50.5</v>
      </c>
      <c r="AW52" s="344">
        <v>67.400000000000006</v>
      </c>
      <c r="AX52" s="344">
        <v>64.2</v>
      </c>
      <c r="AY52" s="369">
        <v>61</v>
      </c>
      <c r="AZ52" s="366">
        <v>61</v>
      </c>
      <c r="BA52" s="366">
        <f>AZ52-AY52</f>
        <v>0</v>
      </c>
      <c r="BB52" s="367">
        <f>AY52-AX52</f>
        <v>-3.2000000000000028</v>
      </c>
      <c r="BC52" s="368">
        <f>AZ52-AX52</f>
        <v>-3.2000000000000028</v>
      </c>
      <c r="BD52" s="353">
        <f t="shared" si="1"/>
        <v>1.4640373674158491E-2</v>
      </c>
      <c r="BH52" s="311"/>
      <c r="BI52" s="311"/>
      <c r="BJ52" s="311"/>
      <c r="BK52" s="311"/>
    </row>
    <row r="53" spans="1:63" ht="15" customHeight="1">
      <c r="A53" s="324" t="s">
        <v>353</v>
      </c>
      <c r="B53" s="345">
        <v>0</v>
      </c>
      <c r="C53" s="345">
        <v>0</v>
      </c>
      <c r="D53" s="345">
        <v>0</v>
      </c>
      <c r="E53" s="345">
        <v>0</v>
      </c>
      <c r="F53" s="345">
        <v>0</v>
      </c>
      <c r="G53" s="345">
        <v>0</v>
      </c>
      <c r="H53" s="345">
        <v>0</v>
      </c>
      <c r="I53" s="345">
        <v>0</v>
      </c>
      <c r="J53" s="345">
        <v>0</v>
      </c>
      <c r="K53" s="345">
        <v>0</v>
      </c>
      <c r="L53" s="345">
        <v>0</v>
      </c>
      <c r="M53" s="345">
        <v>0</v>
      </c>
      <c r="N53" s="345">
        <v>0</v>
      </c>
      <c r="O53" s="345">
        <v>0</v>
      </c>
      <c r="P53" s="345">
        <v>0</v>
      </c>
      <c r="Q53" s="345">
        <v>0</v>
      </c>
      <c r="R53" s="345">
        <v>0</v>
      </c>
      <c r="S53" s="345">
        <v>0</v>
      </c>
      <c r="T53" s="345">
        <v>0</v>
      </c>
      <c r="U53" s="345">
        <v>0</v>
      </c>
      <c r="V53" s="345">
        <v>0</v>
      </c>
      <c r="W53" s="345">
        <v>0</v>
      </c>
      <c r="X53" s="345">
        <v>0</v>
      </c>
      <c r="Y53" s="345">
        <v>0</v>
      </c>
      <c r="Z53" s="345">
        <v>0</v>
      </c>
      <c r="AA53" s="345">
        <v>0</v>
      </c>
      <c r="AB53" s="345">
        <v>0</v>
      </c>
      <c r="AC53" s="345">
        <v>0</v>
      </c>
      <c r="AD53" s="345">
        <v>0</v>
      </c>
      <c r="AE53" s="345">
        <v>0</v>
      </c>
      <c r="AF53" s="345">
        <v>0</v>
      </c>
      <c r="AG53" s="345">
        <v>0</v>
      </c>
      <c r="AH53" s="345">
        <v>0</v>
      </c>
      <c r="AI53" s="345">
        <v>0</v>
      </c>
      <c r="AJ53" s="345">
        <v>0</v>
      </c>
      <c r="AK53" s="345">
        <v>0</v>
      </c>
      <c r="AL53" s="345">
        <v>0</v>
      </c>
      <c r="AM53" s="345">
        <v>0</v>
      </c>
      <c r="AN53" s="345">
        <v>0</v>
      </c>
      <c r="AO53" s="345">
        <v>0</v>
      </c>
      <c r="AP53" s="345">
        <v>0</v>
      </c>
      <c r="AQ53" s="345">
        <v>0</v>
      </c>
      <c r="AR53" s="345">
        <v>645</v>
      </c>
      <c r="AS53" s="345">
        <v>574</v>
      </c>
      <c r="AT53" s="345">
        <v>523</v>
      </c>
      <c r="AU53" s="345">
        <v>485</v>
      </c>
      <c r="AV53" s="345">
        <v>550</v>
      </c>
      <c r="AW53" s="345">
        <v>342</v>
      </c>
      <c r="AX53" s="345">
        <v>321</v>
      </c>
      <c r="AY53" s="346">
        <v>523</v>
      </c>
      <c r="AZ53" s="347">
        <v>523</v>
      </c>
      <c r="BA53" s="347">
        <f>AZ53-AY53</f>
        <v>0</v>
      </c>
      <c r="BB53" s="351">
        <f>AY53-AX53</f>
        <v>202</v>
      </c>
      <c r="BC53" s="352">
        <f>AZ53-AX53</f>
        <v>202</v>
      </c>
      <c r="BD53" s="353">
        <f t="shared" si="1"/>
        <v>-0.10973637712438133</v>
      </c>
    </row>
    <row r="54" spans="1:63" s="311" customFormat="1" ht="15" customHeight="1">
      <c r="A54" s="324" t="s">
        <v>354</v>
      </c>
      <c r="B54" s="344">
        <f>B53*B52/1000</f>
        <v>0</v>
      </c>
      <c r="C54" s="344">
        <v>255</v>
      </c>
      <c r="D54" s="344">
        <v>224</v>
      </c>
      <c r="E54" s="344">
        <v>266</v>
      </c>
      <c r="F54" s="344">
        <v>177</v>
      </c>
      <c r="G54" s="344">
        <v>303</v>
      </c>
      <c r="H54" s="344">
        <v>95</v>
      </c>
      <c r="I54" s="344">
        <v>328</v>
      </c>
      <c r="J54" s="344">
        <v>126</v>
      </c>
      <c r="K54" s="344">
        <v>290</v>
      </c>
      <c r="L54" s="344">
        <v>116</v>
      </c>
      <c r="M54" s="344">
        <v>345</v>
      </c>
      <c r="N54" s="344">
        <v>342</v>
      </c>
      <c r="O54" s="344">
        <v>173</v>
      </c>
      <c r="P54" s="344">
        <v>354.7</v>
      </c>
      <c r="Q54" s="344">
        <v>237.2</v>
      </c>
      <c r="R54" s="344">
        <v>197.4</v>
      </c>
      <c r="S54" s="344">
        <v>413.1</v>
      </c>
      <c r="T54" s="344">
        <v>422.5</v>
      </c>
      <c r="U54" s="344">
        <v>455</v>
      </c>
      <c r="V54" s="344">
        <v>362.7</v>
      </c>
      <c r="W54" s="344">
        <v>209.9</v>
      </c>
      <c r="X54" s="344">
        <v>294.10000000000002</v>
      </c>
      <c r="Y54" s="344">
        <v>313.60000000000002</v>
      </c>
      <c r="Z54" s="344">
        <v>310</v>
      </c>
      <c r="AA54" s="344">
        <v>324.5</v>
      </c>
      <c r="AB54" s="344">
        <v>414.2</v>
      </c>
      <c r="AC54" s="344">
        <v>430.4</v>
      </c>
      <c r="AD54" s="344">
        <v>405.1</v>
      </c>
      <c r="AE54" s="344">
        <v>424.4</v>
      </c>
      <c r="AF54" s="344">
        <v>447.1</v>
      </c>
      <c r="AG54" s="344">
        <v>490.4</v>
      </c>
      <c r="AH54" s="344">
        <v>504.1</v>
      </c>
      <c r="AI54" s="344">
        <v>562.1</v>
      </c>
      <c r="AJ54" s="344">
        <v>879.7</v>
      </c>
      <c r="AK54" s="344">
        <v>731.6</v>
      </c>
      <c r="AL54" s="344">
        <v>1309.4000000000001</v>
      </c>
      <c r="AM54" s="344">
        <v>1725.9</v>
      </c>
      <c r="AN54" s="344">
        <v>1469.2</v>
      </c>
      <c r="AO54" s="344">
        <v>874.4</v>
      </c>
      <c r="AP54" s="344">
        <v>1951.9</v>
      </c>
      <c r="AQ54" s="344">
        <v>1884</v>
      </c>
      <c r="AR54" s="344">
        <v>1792.5</v>
      </c>
      <c r="AS54" s="344">
        <v>2196.3000000000002</v>
      </c>
      <c r="AT54" s="344">
        <f t="shared" ref="AT54:AY54" si="19">AT53*AT52/1000</f>
        <v>27.666700000000002</v>
      </c>
      <c r="AU54" s="344">
        <f t="shared" si="19"/>
        <v>25.365500000000001</v>
      </c>
      <c r="AV54" s="344">
        <f t="shared" si="19"/>
        <v>27.774999999999999</v>
      </c>
      <c r="AW54" s="344">
        <f t="shared" si="19"/>
        <v>23.050800000000002</v>
      </c>
      <c r="AX54" s="344">
        <f t="shared" si="19"/>
        <v>20.6082</v>
      </c>
      <c r="AY54" s="365">
        <f t="shared" si="19"/>
        <v>31.902999999999999</v>
      </c>
      <c r="AZ54" s="366">
        <f>AZ52*AZ53/1000</f>
        <v>31.902999999999999</v>
      </c>
      <c r="BA54" s="366">
        <f>AZ54-AY54</f>
        <v>0</v>
      </c>
      <c r="BB54" s="367">
        <f>AY54-AX54</f>
        <v>11.294799999999999</v>
      </c>
      <c r="BC54" s="368">
        <f>AZ54-AX54</f>
        <v>11.294799999999999</v>
      </c>
      <c r="BD54" s="353">
        <f t="shared" si="1"/>
        <v>-0.6069301981740105</v>
      </c>
      <c r="BE54" s="309"/>
      <c r="BF54"/>
      <c r="BG54" s="308"/>
    </row>
    <row r="55" spans="1:63" ht="15" customHeight="1">
      <c r="A55" s="320" t="s">
        <v>367</v>
      </c>
      <c r="B55" s="356"/>
      <c r="C55" s="356"/>
      <c r="D55" s="356"/>
      <c r="E55" s="356"/>
      <c r="F55" s="356"/>
      <c r="G55" s="356"/>
      <c r="H55" s="356"/>
      <c r="I55" s="356"/>
      <c r="J55" s="356"/>
      <c r="K55" s="356"/>
      <c r="L55" s="356"/>
      <c r="M55" s="356"/>
      <c r="N55" s="356"/>
      <c r="O55" s="356"/>
      <c r="P55" s="356"/>
      <c r="Q55" s="356"/>
      <c r="R55" s="356"/>
      <c r="S55" s="356"/>
      <c r="T55" s="356"/>
      <c r="U55" s="356"/>
      <c r="V55" s="356"/>
      <c r="W55" s="356"/>
      <c r="X55" s="356"/>
      <c r="Y55" s="356"/>
      <c r="Z55" s="356"/>
      <c r="AA55" s="356"/>
      <c r="AB55" s="356"/>
      <c r="AC55" s="356"/>
      <c r="AD55" s="356"/>
      <c r="AE55" s="356"/>
      <c r="AF55" s="356"/>
      <c r="AG55" s="356"/>
      <c r="AH55" s="356"/>
      <c r="AI55" s="356"/>
      <c r="AJ55" s="356"/>
      <c r="AK55" s="356"/>
      <c r="AL55" s="356"/>
      <c r="AM55" s="356"/>
      <c r="AN55" s="356"/>
      <c r="AO55" s="356"/>
      <c r="AP55" s="356"/>
      <c r="AQ55" s="356"/>
      <c r="AR55" s="356"/>
      <c r="AS55" s="356"/>
      <c r="AT55" s="328"/>
      <c r="AU55" s="328"/>
      <c r="AV55" s="328"/>
      <c r="AW55" s="328"/>
      <c r="AX55" s="328"/>
      <c r="AY55" s="321"/>
      <c r="AZ55" s="328"/>
      <c r="BA55" s="329"/>
      <c r="BB55" s="321"/>
      <c r="BC55" s="328"/>
      <c r="BD55" s="329"/>
    </row>
    <row r="56" spans="1:63" ht="15" customHeight="1">
      <c r="A56" s="324" t="s">
        <v>352</v>
      </c>
      <c r="B56" s="344">
        <v>0</v>
      </c>
      <c r="C56" s="344">
        <v>0</v>
      </c>
      <c r="D56" s="344">
        <v>0</v>
      </c>
      <c r="E56" s="344">
        <v>0</v>
      </c>
      <c r="F56" s="344">
        <v>0</v>
      </c>
      <c r="G56" s="344">
        <v>0</v>
      </c>
      <c r="H56" s="344">
        <v>0</v>
      </c>
      <c r="I56" s="344">
        <v>0</v>
      </c>
      <c r="J56" s="344">
        <v>0</v>
      </c>
      <c r="K56" s="344">
        <v>0</v>
      </c>
      <c r="L56" s="344">
        <v>0</v>
      </c>
      <c r="M56" s="344">
        <v>0</v>
      </c>
      <c r="N56" s="344">
        <v>0</v>
      </c>
      <c r="O56" s="344">
        <v>0</v>
      </c>
      <c r="P56" s="344">
        <v>0</v>
      </c>
      <c r="Q56" s="344">
        <v>0</v>
      </c>
      <c r="R56" s="344">
        <v>0</v>
      </c>
      <c r="S56" s="344">
        <v>0</v>
      </c>
      <c r="T56" s="344">
        <v>0</v>
      </c>
      <c r="U56" s="344">
        <v>0</v>
      </c>
      <c r="V56" s="344">
        <v>0</v>
      </c>
      <c r="W56" s="344">
        <v>0</v>
      </c>
      <c r="X56" s="344">
        <v>0</v>
      </c>
      <c r="Y56" s="344">
        <v>0</v>
      </c>
      <c r="Z56" s="344">
        <v>0</v>
      </c>
      <c r="AA56" s="344">
        <v>0</v>
      </c>
      <c r="AB56" s="344">
        <v>0</v>
      </c>
      <c r="AC56" s="344">
        <v>0</v>
      </c>
      <c r="AD56" s="344">
        <v>0</v>
      </c>
      <c r="AE56" s="344">
        <v>0</v>
      </c>
      <c r="AF56" s="344">
        <v>0</v>
      </c>
      <c r="AG56" s="344">
        <v>0</v>
      </c>
      <c r="AH56" s="344">
        <v>0</v>
      </c>
      <c r="AI56" s="344">
        <v>0</v>
      </c>
      <c r="AJ56" s="344">
        <v>0</v>
      </c>
      <c r="AK56" s="344">
        <v>0</v>
      </c>
      <c r="AL56" s="344">
        <v>0</v>
      </c>
      <c r="AM56" s="344">
        <v>0</v>
      </c>
      <c r="AN56" s="344">
        <v>0</v>
      </c>
      <c r="AO56" s="344">
        <v>0</v>
      </c>
      <c r="AP56" s="344">
        <v>0</v>
      </c>
      <c r="AQ56" s="344">
        <v>0</v>
      </c>
      <c r="AR56" s="344">
        <v>96.1</v>
      </c>
      <c r="AS56" s="344">
        <v>107.6</v>
      </c>
      <c r="AT56" s="344">
        <v>96.3</v>
      </c>
      <c r="AU56" s="344">
        <v>116.1</v>
      </c>
      <c r="AV56" s="344">
        <v>120.4</v>
      </c>
      <c r="AW56" s="344">
        <v>117</v>
      </c>
      <c r="AX56" s="344">
        <v>117.2</v>
      </c>
      <c r="AY56" s="369">
        <v>117.2</v>
      </c>
      <c r="AZ56" s="366">
        <v>117.2</v>
      </c>
      <c r="BA56" s="366">
        <f>AZ56-AY56</f>
        <v>0</v>
      </c>
      <c r="BB56" s="367">
        <f>AY56-AX56</f>
        <v>0</v>
      </c>
      <c r="BC56" s="368">
        <f>AZ56-AX56</f>
        <v>0</v>
      </c>
      <c r="BD56" s="353">
        <f t="shared" si="1"/>
        <v>1.72391541214163E-2</v>
      </c>
      <c r="BH56" s="311"/>
      <c r="BI56" s="311"/>
      <c r="BJ56" s="311"/>
      <c r="BK56" s="311"/>
    </row>
    <row r="57" spans="1:63" ht="15" customHeight="1">
      <c r="A57" s="324" t="s">
        <v>353</v>
      </c>
      <c r="B57" s="345">
        <v>0</v>
      </c>
      <c r="C57" s="345">
        <v>0</v>
      </c>
      <c r="D57" s="345">
        <v>0</v>
      </c>
      <c r="E57" s="345">
        <v>0</v>
      </c>
      <c r="F57" s="345">
        <v>0</v>
      </c>
      <c r="G57" s="345">
        <v>0</v>
      </c>
      <c r="H57" s="345">
        <v>0</v>
      </c>
      <c r="I57" s="345">
        <v>0</v>
      </c>
      <c r="J57" s="345">
        <v>0</v>
      </c>
      <c r="K57" s="345">
        <v>0</v>
      </c>
      <c r="L57" s="345">
        <v>0</v>
      </c>
      <c r="M57" s="345">
        <v>0</v>
      </c>
      <c r="N57" s="345">
        <v>0</v>
      </c>
      <c r="O57" s="345">
        <v>0</v>
      </c>
      <c r="P57" s="345">
        <v>0</v>
      </c>
      <c r="Q57" s="345">
        <v>0</v>
      </c>
      <c r="R57" s="345">
        <v>0</v>
      </c>
      <c r="S57" s="345">
        <v>0</v>
      </c>
      <c r="T57" s="345">
        <v>0</v>
      </c>
      <c r="U57" s="345">
        <v>0</v>
      </c>
      <c r="V57" s="345">
        <v>0</v>
      </c>
      <c r="W57" s="345">
        <v>0</v>
      </c>
      <c r="X57" s="345">
        <v>0</v>
      </c>
      <c r="Y57" s="345">
        <v>0</v>
      </c>
      <c r="Z57" s="345">
        <v>0</v>
      </c>
      <c r="AA57" s="345">
        <v>0</v>
      </c>
      <c r="AB57" s="345">
        <v>0</v>
      </c>
      <c r="AC57" s="345">
        <v>0</v>
      </c>
      <c r="AD57" s="345">
        <v>0</v>
      </c>
      <c r="AE57" s="345">
        <v>0</v>
      </c>
      <c r="AF57" s="345">
        <v>0</v>
      </c>
      <c r="AG57" s="345">
        <v>0</v>
      </c>
      <c r="AH57" s="345">
        <v>0</v>
      </c>
      <c r="AI57" s="345">
        <v>0</v>
      </c>
      <c r="AJ57" s="345">
        <v>0</v>
      </c>
      <c r="AK57" s="345">
        <v>0</v>
      </c>
      <c r="AL57" s="345">
        <v>0</v>
      </c>
      <c r="AM57" s="345">
        <v>0</v>
      </c>
      <c r="AN57" s="345">
        <v>0</v>
      </c>
      <c r="AO57" s="345">
        <v>0</v>
      </c>
      <c r="AP57" s="345">
        <v>0</v>
      </c>
      <c r="AQ57" s="345">
        <v>0</v>
      </c>
      <c r="AR57" s="345">
        <v>480</v>
      </c>
      <c r="AS57" s="345">
        <v>827</v>
      </c>
      <c r="AT57" s="345">
        <v>515</v>
      </c>
      <c r="AU57" s="345">
        <v>641</v>
      </c>
      <c r="AV57" s="345">
        <v>818</v>
      </c>
      <c r="AW57" s="345">
        <v>565</v>
      </c>
      <c r="AX57" s="345">
        <v>449</v>
      </c>
      <c r="AY57" s="346">
        <v>645</v>
      </c>
      <c r="AZ57" s="347">
        <v>645</v>
      </c>
      <c r="BA57" s="347">
        <f>AZ57-AY57</f>
        <v>0</v>
      </c>
      <c r="BB57" s="351">
        <f>AY57-AX57</f>
        <v>196</v>
      </c>
      <c r="BC57" s="352">
        <f>AZ57-AX57</f>
        <v>196</v>
      </c>
      <c r="BD57" s="353">
        <f t="shared" si="1"/>
        <v>-0.11499002376541212</v>
      </c>
    </row>
    <row r="58" spans="1:63" s="311" customFormat="1" ht="15" customHeight="1">
      <c r="A58" s="324" t="s">
        <v>354</v>
      </c>
      <c r="B58" s="344">
        <f>B57*B56/1000</f>
        <v>0</v>
      </c>
      <c r="C58" s="344">
        <v>255</v>
      </c>
      <c r="D58" s="344">
        <v>224</v>
      </c>
      <c r="E58" s="344">
        <v>266</v>
      </c>
      <c r="F58" s="344">
        <v>177</v>
      </c>
      <c r="G58" s="344">
        <v>303</v>
      </c>
      <c r="H58" s="344">
        <v>95</v>
      </c>
      <c r="I58" s="344">
        <v>328</v>
      </c>
      <c r="J58" s="344">
        <v>126</v>
      </c>
      <c r="K58" s="344">
        <v>290</v>
      </c>
      <c r="L58" s="344">
        <v>116</v>
      </c>
      <c r="M58" s="344">
        <v>345</v>
      </c>
      <c r="N58" s="344">
        <v>342</v>
      </c>
      <c r="O58" s="344">
        <v>173</v>
      </c>
      <c r="P58" s="344">
        <v>354.7</v>
      </c>
      <c r="Q58" s="344">
        <v>237.2</v>
      </c>
      <c r="R58" s="344">
        <v>197.4</v>
      </c>
      <c r="S58" s="344">
        <v>413.1</v>
      </c>
      <c r="T58" s="344">
        <v>422.5</v>
      </c>
      <c r="U58" s="344">
        <v>455</v>
      </c>
      <c r="V58" s="344">
        <v>362.7</v>
      </c>
      <c r="W58" s="344">
        <v>209.9</v>
      </c>
      <c r="X58" s="344">
        <v>294.10000000000002</v>
      </c>
      <c r="Y58" s="344">
        <v>313.60000000000002</v>
      </c>
      <c r="Z58" s="344">
        <v>310</v>
      </c>
      <c r="AA58" s="344">
        <v>324.5</v>
      </c>
      <c r="AB58" s="344">
        <v>414.2</v>
      </c>
      <c r="AC58" s="344">
        <v>430.4</v>
      </c>
      <c r="AD58" s="344">
        <v>405.1</v>
      </c>
      <c r="AE58" s="344">
        <v>424.4</v>
      </c>
      <c r="AF58" s="344">
        <v>447.1</v>
      </c>
      <c r="AG58" s="344">
        <v>490.4</v>
      </c>
      <c r="AH58" s="344">
        <v>504.1</v>
      </c>
      <c r="AI58" s="344">
        <v>562.1</v>
      </c>
      <c r="AJ58" s="344">
        <v>879.7</v>
      </c>
      <c r="AK58" s="344">
        <v>731.6</v>
      </c>
      <c r="AL58" s="344">
        <v>1309.4000000000001</v>
      </c>
      <c r="AM58" s="344">
        <v>1725.9</v>
      </c>
      <c r="AN58" s="344">
        <v>1469.2</v>
      </c>
      <c r="AO58" s="344">
        <v>874.4</v>
      </c>
      <c r="AP58" s="344">
        <v>1951.9</v>
      </c>
      <c r="AQ58" s="344">
        <v>1884</v>
      </c>
      <c r="AR58" s="344">
        <v>1792.5</v>
      </c>
      <c r="AS58" s="344">
        <v>2196.3000000000002</v>
      </c>
      <c r="AT58" s="344">
        <f t="shared" ref="AT58:AY58" si="20">AT57*AT56/1000</f>
        <v>49.594499999999996</v>
      </c>
      <c r="AU58" s="344">
        <f t="shared" si="20"/>
        <v>74.420099999999991</v>
      </c>
      <c r="AV58" s="344">
        <f t="shared" si="20"/>
        <v>98.487200000000016</v>
      </c>
      <c r="AW58" s="344">
        <f t="shared" si="20"/>
        <v>66.105000000000004</v>
      </c>
      <c r="AX58" s="344">
        <f t="shared" si="20"/>
        <v>52.622800000000005</v>
      </c>
      <c r="AY58" s="365">
        <f t="shared" si="20"/>
        <v>75.593999999999994</v>
      </c>
      <c r="AZ58" s="366">
        <f>AZ56*AZ57/1000</f>
        <v>75.593999999999994</v>
      </c>
      <c r="BA58" s="366">
        <f>AZ58-AY58</f>
        <v>0</v>
      </c>
      <c r="BB58" s="367">
        <f>AY58-AX58</f>
        <v>22.971199999999989</v>
      </c>
      <c r="BC58" s="368">
        <f>AZ58-AX58</f>
        <v>22.971199999999989</v>
      </c>
      <c r="BD58" s="353">
        <f t="shared" si="1"/>
        <v>-0.52587106707436049</v>
      </c>
      <c r="BE58" s="309"/>
      <c r="BF58"/>
      <c r="BG58" s="308"/>
    </row>
    <row r="59" spans="1:63" ht="15" customHeight="1">
      <c r="A59" s="320" t="s">
        <v>368</v>
      </c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28"/>
      <c r="AU59" s="328"/>
      <c r="AV59" s="328"/>
      <c r="AW59" s="328"/>
      <c r="AX59" s="328"/>
      <c r="AY59" s="321"/>
      <c r="AZ59" s="328"/>
      <c r="BA59" s="329"/>
      <c r="BB59" s="321"/>
      <c r="BC59" s="328"/>
      <c r="BD59" s="329"/>
    </row>
    <row r="60" spans="1:63" ht="15" customHeight="1">
      <c r="A60" s="324" t="s">
        <v>352</v>
      </c>
      <c r="B60" s="344">
        <v>0</v>
      </c>
      <c r="C60" s="344">
        <v>0</v>
      </c>
      <c r="D60" s="344">
        <v>0</v>
      </c>
      <c r="E60" s="344">
        <v>0</v>
      </c>
      <c r="F60" s="344">
        <v>0</v>
      </c>
      <c r="G60" s="344">
        <v>0</v>
      </c>
      <c r="H60" s="344">
        <v>0</v>
      </c>
      <c r="I60" s="344">
        <v>0</v>
      </c>
      <c r="J60" s="344">
        <v>0</v>
      </c>
      <c r="K60" s="344">
        <v>0</v>
      </c>
      <c r="L60" s="344">
        <v>0</v>
      </c>
      <c r="M60" s="344">
        <v>0</v>
      </c>
      <c r="N60" s="344">
        <v>0</v>
      </c>
      <c r="O60" s="344">
        <v>0</v>
      </c>
      <c r="P60" s="344">
        <v>0</v>
      </c>
      <c r="Q60" s="344">
        <v>0</v>
      </c>
      <c r="R60" s="344">
        <v>0</v>
      </c>
      <c r="S60" s="344">
        <v>0</v>
      </c>
      <c r="T60" s="344">
        <v>0</v>
      </c>
      <c r="U60" s="344">
        <v>0</v>
      </c>
      <c r="V60" s="344">
        <v>0</v>
      </c>
      <c r="W60" s="344">
        <v>0</v>
      </c>
      <c r="X60" s="344">
        <v>0</v>
      </c>
      <c r="Y60" s="344">
        <v>0</v>
      </c>
      <c r="Z60" s="344">
        <v>0</v>
      </c>
      <c r="AA60" s="344">
        <v>0</v>
      </c>
      <c r="AB60" s="344">
        <v>0</v>
      </c>
      <c r="AC60" s="344">
        <v>0</v>
      </c>
      <c r="AD60" s="344">
        <v>0</v>
      </c>
      <c r="AE60" s="344">
        <v>0</v>
      </c>
      <c r="AF60" s="344">
        <v>0</v>
      </c>
      <c r="AG60" s="344">
        <v>0</v>
      </c>
      <c r="AH60" s="344">
        <v>0</v>
      </c>
      <c r="AI60" s="344">
        <v>0</v>
      </c>
      <c r="AJ60" s="344">
        <v>0</v>
      </c>
      <c r="AK60" s="344">
        <v>0</v>
      </c>
      <c r="AL60" s="344">
        <v>0</v>
      </c>
      <c r="AM60" s="344">
        <v>0</v>
      </c>
      <c r="AN60" s="344">
        <v>0</v>
      </c>
      <c r="AO60" s="344">
        <v>0</v>
      </c>
      <c r="AP60" s="344">
        <v>73.900000000000006</v>
      </c>
      <c r="AQ60" s="344">
        <v>79.7</v>
      </c>
      <c r="AR60" s="344">
        <v>133.30000000000001</v>
      </c>
      <c r="AS60" s="344">
        <v>139.80000000000001</v>
      </c>
      <c r="AT60" s="344">
        <v>140.19999999999999</v>
      </c>
      <c r="AU60" s="344">
        <v>145.19999999999999</v>
      </c>
      <c r="AV60" s="344">
        <v>137.4</v>
      </c>
      <c r="AW60" s="344">
        <v>128.30000000000001</v>
      </c>
      <c r="AX60" s="344">
        <v>130.4</v>
      </c>
      <c r="AY60" s="369">
        <v>130.4</v>
      </c>
      <c r="AZ60" s="366">
        <v>130.4</v>
      </c>
      <c r="BA60" s="366">
        <f>AZ60-AY60</f>
        <v>0</v>
      </c>
      <c r="BB60" s="367">
        <f>AY60-AX60</f>
        <v>0</v>
      </c>
      <c r="BC60" s="368">
        <f>AZ60-AX60</f>
        <v>0</v>
      </c>
      <c r="BD60" s="353">
        <f t="shared" si="1"/>
        <v>-1.3824783751903658E-2</v>
      </c>
      <c r="BH60" s="311"/>
      <c r="BI60" s="311"/>
      <c r="BJ60" s="311"/>
      <c r="BK60" s="311"/>
    </row>
    <row r="61" spans="1:63" ht="15" customHeight="1">
      <c r="A61" s="324" t="s">
        <v>353</v>
      </c>
      <c r="B61" s="345">
        <v>0</v>
      </c>
      <c r="C61" s="345">
        <v>0</v>
      </c>
      <c r="D61" s="345">
        <v>0</v>
      </c>
      <c r="E61" s="345">
        <v>0</v>
      </c>
      <c r="F61" s="345">
        <v>0</v>
      </c>
      <c r="G61" s="345">
        <v>0</v>
      </c>
      <c r="H61" s="345">
        <v>0</v>
      </c>
      <c r="I61" s="345">
        <v>0</v>
      </c>
      <c r="J61" s="345">
        <v>0</v>
      </c>
      <c r="K61" s="345">
        <v>0</v>
      </c>
      <c r="L61" s="345">
        <v>0</v>
      </c>
      <c r="M61" s="345">
        <v>0</v>
      </c>
      <c r="N61" s="345">
        <v>0</v>
      </c>
      <c r="O61" s="345">
        <v>0</v>
      </c>
      <c r="P61" s="345">
        <v>0</v>
      </c>
      <c r="Q61" s="345">
        <v>0</v>
      </c>
      <c r="R61" s="345">
        <v>0</v>
      </c>
      <c r="S61" s="345">
        <v>0</v>
      </c>
      <c r="T61" s="345">
        <v>0</v>
      </c>
      <c r="U61" s="345">
        <v>0</v>
      </c>
      <c r="V61" s="345">
        <v>0</v>
      </c>
      <c r="W61" s="345">
        <v>0</v>
      </c>
      <c r="X61" s="345">
        <v>0</v>
      </c>
      <c r="Y61" s="345">
        <v>0</v>
      </c>
      <c r="Z61" s="345">
        <v>0</v>
      </c>
      <c r="AA61" s="345">
        <v>0</v>
      </c>
      <c r="AB61" s="345">
        <v>0</v>
      </c>
      <c r="AC61" s="345">
        <v>0</v>
      </c>
      <c r="AD61" s="345">
        <v>0</v>
      </c>
      <c r="AE61" s="345">
        <v>0</v>
      </c>
      <c r="AF61" s="345">
        <v>0</v>
      </c>
      <c r="AG61" s="345">
        <v>0</v>
      </c>
      <c r="AH61" s="345">
        <v>0</v>
      </c>
      <c r="AI61" s="345">
        <v>0</v>
      </c>
      <c r="AJ61" s="345">
        <v>0</v>
      </c>
      <c r="AK61" s="345">
        <v>0</v>
      </c>
      <c r="AL61" s="345">
        <v>0</v>
      </c>
      <c r="AM61" s="345">
        <v>0</v>
      </c>
      <c r="AN61" s="345">
        <v>0</v>
      </c>
      <c r="AO61" s="345">
        <v>0</v>
      </c>
      <c r="AP61" s="345">
        <v>654</v>
      </c>
      <c r="AQ61" s="345">
        <v>600</v>
      </c>
      <c r="AR61" s="345">
        <v>470</v>
      </c>
      <c r="AS61" s="345">
        <v>800</v>
      </c>
      <c r="AT61" s="345">
        <v>450</v>
      </c>
      <c r="AU61" s="345">
        <v>490</v>
      </c>
      <c r="AV61" s="345">
        <v>738</v>
      </c>
      <c r="AW61" s="345">
        <v>886</v>
      </c>
      <c r="AX61" s="345">
        <v>794</v>
      </c>
      <c r="AY61" s="346">
        <v>794</v>
      </c>
      <c r="AZ61" s="347">
        <v>794</v>
      </c>
      <c r="BA61" s="347">
        <f>AZ61-AY61</f>
        <v>0</v>
      </c>
      <c r="BB61" s="351">
        <f>AY61-AX61</f>
        <v>0</v>
      </c>
      <c r="BC61" s="352">
        <f>AZ61-AX61</f>
        <v>0</v>
      </c>
      <c r="BD61" s="353">
        <f t="shared" si="1"/>
        <v>-1.5045203569221677E-3</v>
      </c>
    </row>
    <row r="62" spans="1:63" s="311" customFormat="1" ht="15" customHeight="1">
      <c r="A62" s="324" t="s">
        <v>354</v>
      </c>
      <c r="B62" s="344">
        <f>B61*B60/1000</f>
        <v>0</v>
      </c>
      <c r="C62" s="344">
        <v>255</v>
      </c>
      <c r="D62" s="344">
        <v>224</v>
      </c>
      <c r="E62" s="344">
        <v>266</v>
      </c>
      <c r="F62" s="344">
        <v>177</v>
      </c>
      <c r="G62" s="344">
        <v>303</v>
      </c>
      <c r="H62" s="344">
        <v>95</v>
      </c>
      <c r="I62" s="344">
        <v>328</v>
      </c>
      <c r="J62" s="344">
        <v>126</v>
      </c>
      <c r="K62" s="344">
        <v>290</v>
      </c>
      <c r="L62" s="344">
        <v>116</v>
      </c>
      <c r="M62" s="344">
        <v>345</v>
      </c>
      <c r="N62" s="344">
        <v>342</v>
      </c>
      <c r="O62" s="344">
        <v>173</v>
      </c>
      <c r="P62" s="344">
        <v>354.7</v>
      </c>
      <c r="Q62" s="344">
        <v>237.2</v>
      </c>
      <c r="R62" s="344">
        <v>197.4</v>
      </c>
      <c r="S62" s="344">
        <v>413.1</v>
      </c>
      <c r="T62" s="344">
        <v>422.5</v>
      </c>
      <c r="U62" s="344">
        <v>455</v>
      </c>
      <c r="V62" s="344">
        <v>362.7</v>
      </c>
      <c r="W62" s="344">
        <v>209.9</v>
      </c>
      <c r="X62" s="344">
        <v>294.10000000000002</v>
      </c>
      <c r="Y62" s="344">
        <v>313.60000000000002</v>
      </c>
      <c r="Z62" s="344">
        <v>310</v>
      </c>
      <c r="AA62" s="344">
        <v>324.5</v>
      </c>
      <c r="AB62" s="344">
        <v>414.2</v>
      </c>
      <c r="AC62" s="344">
        <v>430.4</v>
      </c>
      <c r="AD62" s="344">
        <v>405.1</v>
      </c>
      <c r="AE62" s="344">
        <v>424.4</v>
      </c>
      <c r="AF62" s="344">
        <v>447.1</v>
      </c>
      <c r="AG62" s="344">
        <v>490.4</v>
      </c>
      <c r="AH62" s="344">
        <v>504.1</v>
      </c>
      <c r="AI62" s="344">
        <v>562.1</v>
      </c>
      <c r="AJ62" s="344">
        <v>879.7</v>
      </c>
      <c r="AK62" s="344">
        <v>731.6</v>
      </c>
      <c r="AL62" s="344">
        <v>1309.4000000000001</v>
      </c>
      <c r="AM62" s="344">
        <v>1725.9</v>
      </c>
      <c r="AN62" s="344">
        <v>1469.2</v>
      </c>
      <c r="AO62" s="344">
        <v>874.4</v>
      </c>
      <c r="AP62" s="344">
        <v>1951.9</v>
      </c>
      <c r="AQ62" s="344">
        <v>1884</v>
      </c>
      <c r="AR62" s="344">
        <v>1792.5</v>
      </c>
      <c r="AS62" s="344">
        <v>2196.3000000000002</v>
      </c>
      <c r="AT62" s="344">
        <f t="shared" ref="AT62:AY62" si="21">AT61*AT60/1000</f>
        <v>63.089999999999989</v>
      </c>
      <c r="AU62" s="344">
        <f t="shared" si="21"/>
        <v>71.147999999999996</v>
      </c>
      <c r="AV62" s="344">
        <f t="shared" si="21"/>
        <v>101.4012</v>
      </c>
      <c r="AW62" s="344">
        <f t="shared" si="21"/>
        <v>113.6738</v>
      </c>
      <c r="AX62" s="344">
        <f t="shared" si="21"/>
        <v>103.53760000000001</v>
      </c>
      <c r="AY62" s="365">
        <f t="shared" si="21"/>
        <v>103.53760000000001</v>
      </c>
      <c r="AZ62" s="366">
        <f>AZ60*AZ61/1000</f>
        <v>103.53760000000001</v>
      </c>
      <c r="BA62" s="366">
        <f>AZ62-AY62</f>
        <v>0</v>
      </c>
      <c r="BB62" s="367">
        <f>AY62-AX62</f>
        <v>0</v>
      </c>
      <c r="BC62" s="368">
        <f>AZ62-AX62</f>
        <v>0</v>
      </c>
      <c r="BD62" s="353">
        <f t="shared" si="1"/>
        <v>-0.4571481946995738</v>
      </c>
      <c r="BE62" s="309"/>
      <c r="BF62"/>
      <c r="BG62" s="308"/>
    </row>
    <row r="63" spans="1:63" ht="15" customHeight="1">
      <c r="A63" s="320" t="s">
        <v>369</v>
      </c>
      <c r="B63" s="356"/>
      <c r="C63" s="356"/>
      <c r="D63" s="356"/>
      <c r="E63" s="356"/>
      <c r="F63" s="356"/>
      <c r="G63" s="356"/>
      <c r="H63" s="356"/>
      <c r="I63" s="356"/>
      <c r="J63" s="356"/>
      <c r="K63" s="356"/>
      <c r="L63" s="356"/>
      <c r="M63" s="356"/>
      <c r="N63" s="356"/>
      <c r="O63" s="356"/>
      <c r="P63" s="356"/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28"/>
      <c r="AU63" s="328"/>
      <c r="AV63" s="328"/>
      <c r="AW63" s="328"/>
      <c r="AX63" s="328"/>
      <c r="AY63" s="321"/>
      <c r="AZ63" s="328"/>
      <c r="BA63" s="329"/>
      <c r="BB63" s="321"/>
      <c r="BC63" s="328"/>
      <c r="BD63" s="329"/>
    </row>
    <row r="64" spans="1:63" ht="15" customHeight="1">
      <c r="A64" s="324" t="s">
        <v>352</v>
      </c>
      <c r="B64" s="344">
        <v>0</v>
      </c>
      <c r="C64" s="344">
        <v>0</v>
      </c>
      <c r="D64" s="344">
        <v>0</v>
      </c>
      <c r="E64" s="344">
        <v>0</v>
      </c>
      <c r="F64" s="344">
        <v>0</v>
      </c>
      <c r="G64" s="344">
        <v>0</v>
      </c>
      <c r="H64" s="344">
        <v>0</v>
      </c>
      <c r="I64" s="344">
        <v>0</v>
      </c>
      <c r="J64" s="344">
        <v>0</v>
      </c>
      <c r="K64" s="344">
        <v>0</v>
      </c>
      <c r="L64" s="344">
        <v>0</v>
      </c>
      <c r="M64" s="344">
        <v>0</v>
      </c>
      <c r="N64" s="344">
        <v>0</v>
      </c>
      <c r="O64" s="344">
        <v>0</v>
      </c>
      <c r="P64" s="344">
        <v>0</v>
      </c>
      <c r="Q64" s="344">
        <v>0</v>
      </c>
      <c r="R64" s="344">
        <v>0</v>
      </c>
      <c r="S64" s="344">
        <v>0</v>
      </c>
      <c r="T64" s="344">
        <v>0</v>
      </c>
      <c r="U64" s="344">
        <v>0</v>
      </c>
      <c r="V64" s="344">
        <v>0</v>
      </c>
      <c r="W64" s="344">
        <v>0</v>
      </c>
      <c r="X64" s="344">
        <v>0</v>
      </c>
      <c r="Y64" s="344">
        <v>0</v>
      </c>
      <c r="Z64" s="344">
        <v>0</v>
      </c>
      <c r="AA64" s="344">
        <v>0</v>
      </c>
      <c r="AB64" s="344">
        <v>0</v>
      </c>
      <c r="AC64" s="344">
        <v>0</v>
      </c>
      <c r="AD64" s="344">
        <v>0</v>
      </c>
      <c r="AE64" s="344">
        <v>0</v>
      </c>
      <c r="AF64" s="344">
        <v>0</v>
      </c>
      <c r="AG64" s="344">
        <v>0</v>
      </c>
      <c r="AH64" s="344">
        <v>0</v>
      </c>
      <c r="AI64" s="344">
        <v>0</v>
      </c>
      <c r="AJ64" s="344">
        <v>57.2</v>
      </c>
      <c r="AK64" s="344">
        <v>29.7</v>
      </c>
      <c r="AL64" s="344">
        <v>34.4</v>
      </c>
      <c r="AM64" s="344">
        <v>31</v>
      </c>
      <c r="AN64" s="344">
        <v>30.1</v>
      </c>
      <c r="AO64" s="344">
        <v>28.3</v>
      </c>
      <c r="AP64" s="344">
        <v>37.200000000000003</v>
      </c>
      <c r="AQ64" s="344">
        <v>26.2</v>
      </c>
      <c r="AR64" s="344">
        <v>0</v>
      </c>
      <c r="AS64" s="344">
        <v>0</v>
      </c>
      <c r="AT64" s="344">
        <v>0</v>
      </c>
      <c r="AU64" s="344">
        <v>0</v>
      </c>
      <c r="AV64" s="344">
        <v>0</v>
      </c>
      <c r="AW64" s="344">
        <v>0</v>
      </c>
      <c r="AX64" s="344">
        <v>0</v>
      </c>
      <c r="AY64" s="369">
        <v>0</v>
      </c>
      <c r="AZ64" s="366">
        <v>0</v>
      </c>
      <c r="BA64" s="366">
        <f>AZ64-AY64</f>
        <v>0</v>
      </c>
      <c r="BB64" s="367">
        <f>AY64-AX64</f>
        <v>0</v>
      </c>
      <c r="BC64" s="368">
        <f>AZ64-AX64</f>
        <v>0</v>
      </c>
      <c r="BD64" s="353">
        <f t="shared" si="1"/>
        <v>0</v>
      </c>
      <c r="BF64" s="319" t="b">
        <v>0</v>
      </c>
      <c r="BH64" s="311"/>
      <c r="BI64" s="311"/>
      <c r="BJ64" s="311"/>
      <c r="BK64" s="311"/>
    </row>
    <row r="65" spans="1:63" ht="15" customHeight="1">
      <c r="A65" s="324" t="s">
        <v>353</v>
      </c>
      <c r="B65" s="345">
        <v>0</v>
      </c>
      <c r="C65" s="345">
        <v>0</v>
      </c>
      <c r="D65" s="345">
        <v>0</v>
      </c>
      <c r="E65" s="345">
        <v>0</v>
      </c>
      <c r="F65" s="345">
        <v>0</v>
      </c>
      <c r="G65" s="345">
        <v>0</v>
      </c>
      <c r="H65" s="345">
        <v>0</v>
      </c>
      <c r="I65" s="345">
        <v>0</v>
      </c>
      <c r="J65" s="345">
        <v>0</v>
      </c>
      <c r="K65" s="345">
        <v>0</v>
      </c>
      <c r="L65" s="345">
        <v>0</v>
      </c>
      <c r="M65" s="345">
        <v>0</v>
      </c>
      <c r="N65" s="345">
        <v>0</v>
      </c>
      <c r="O65" s="345">
        <v>0</v>
      </c>
      <c r="P65" s="345">
        <v>0</v>
      </c>
      <c r="Q65" s="345">
        <v>0</v>
      </c>
      <c r="R65" s="345">
        <v>0</v>
      </c>
      <c r="S65" s="345">
        <v>0</v>
      </c>
      <c r="T65" s="345">
        <v>0</v>
      </c>
      <c r="U65" s="345">
        <v>0</v>
      </c>
      <c r="V65" s="345">
        <v>0</v>
      </c>
      <c r="W65" s="345">
        <v>0</v>
      </c>
      <c r="X65" s="345">
        <v>0</v>
      </c>
      <c r="Y65" s="345">
        <v>0</v>
      </c>
      <c r="Z65" s="345">
        <v>0</v>
      </c>
      <c r="AA65" s="345">
        <v>0</v>
      </c>
      <c r="AB65" s="345">
        <v>0</v>
      </c>
      <c r="AC65" s="345">
        <v>0</v>
      </c>
      <c r="AD65" s="345">
        <v>0</v>
      </c>
      <c r="AE65" s="345">
        <v>0</v>
      </c>
      <c r="AF65" s="345">
        <v>0</v>
      </c>
      <c r="AG65" s="345">
        <v>0</v>
      </c>
      <c r="AH65" s="345">
        <v>0</v>
      </c>
      <c r="AI65" s="345">
        <v>0</v>
      </c>
      <c r="AJ65" s="345">
        <v>893</v>
      </c>
      <c r="AK65" s="345">
        <v>754</v>
      </c>
      <c r="AL65" s="345">
        <v>637</v>
      </c>
      <c r="AM65" s="345">
        <v>887</v>
      </c>
      <c r="AN65" s="345">
        <v>1007</v>
      </c>
      <c r="AO65" s="345">
        <v>674</v>
      </c>
      <c r="AP65" s="345">
        <v>674</v>
      </c>
      <c r="AQ65" s="345">
        <v>1091</v>
      </c>
      <c r="AR65" s="345">
        <v>0</v>
      </c>
      <c r="AS65" s="345">
        <v>0</v>
      </c>
      <c r="AT65" s="345">
        <v>0</v>
      </c>
      <c r="AU65" s="345">
        <v>0</v>
      </c>
      <c r="AV65" s="345">
        <v>0</v>
      </c>
      <c r="AW65" s="345"/>
      <c r="AX65" s="345"/>
      <c r="AY65" s="346"/>
      <c r="AZ65" s="347">
        <v>0</v>
      </c>
      <c r="BA65" s="347">
        <f>AZ65-AY65</f>
        <v>0</v>
      </c>
      <c r="BB65" s="351">
        <f>AY65-AX65</f>
        <v>0</v>
      </c>
      <c r="BC65" s="352">
        <f>AZ65-AX65</f>
        <v>0</v>
      </c>
      <c r="BD65" s="353">
        <f t="shared" si="1"/>
        <v>0</v>
      </c>
    </row>
    <row r="66" spans="1:63" s="311" customFormat="1" ht="15" customHeight="1">
      <c r="A66" s="324" t="s">
        <v>354</v>
      </c>
      <c r="B66" s="344">
        <f>B65*B64/1000</f>
        <v>0</v>
      </c>
      <c r="C66" s="344">
        <v>255</v>
      </c>
      <c r="D66" s="344">
        <v>224</v>
      </c>
      <c r="E66" s="344">
        <v>266</v>
      </c>
      <c r="F66" s="344">
        <v>177</v>
      </c>
      <c r="G66" s="344">
        <v>303</v>
      </c>
      <c r="H66" s="344">
        <v>95</v>
      </c>
      <c r="I66" s="344">
        <v>328</v>
      </c>
      <c r="J66" s="344">
        <v>126</v>
      </c>
      <c r="K66" s="344">
        <v>290</v>
      </c>
      <c r="L66" s="344">
        <v>116</v>
      </c>
      <c r="M66" s="344">
        <v>345</v>
      </c>
      <c r="N66" s="344">
        <v>342</v>
      </c>
      <c r="O66" s="344">
        <v>173</v>
      </c>
      <c r="P66" s="344">
        <v>354.7</v>
      </c>
      <c r="Q66" s="344">
        <v>237.2</v>
      </c>
      <c r="R66" s="344">
        <v>197.4</v>
      </c>
      <c r="S66" s="344">
        <v>413.1</v>
      </c>
      <c r="T66" s="344">
        <v>422.5</v>
      </c>
      <c r="U66" s="344">
        <v>455</v>
      </c>
      <c r="V66" s="344">
        <v>362.7</v>
      </c>
      <c r="W66" s="344">
        <v>209.9</v>
      </c>
      <c r="X66" s="344">
        <v>294.10000000000002</v>
      </c>
      <c r="Y66" s="344">
        <v>313.60000000000002</v>
      </c>
      <c r="Z66" s="344">
        <v>310</v>
      </c>
      <c r="AA66" s="344">
        <v>324.5</v>
      </c>
      <c r="AB66" s="344">
        <v>414.2</v>
      </c>
      <c r="AC66" s="344">
        <v>430.4</v>
      </c>
      <c r="AD66" s="344">
        <v>405.1</v>
      </c>
      <c r="AE66" s="344">
        <v>424.4</v>
      </c>
      <c r="AF66" s="344">
        <v>447.1</v>
      </c>
      <c r="AG66" s="344">
        <v>490.4</v>
      </c>
      <c r="AH66" s="344">
        <v>504.1</v>
      </c>
      <c r="AI66" s="344">
        <v>562.1</v>
      </c>
      <c r="AJ66" s="344">
        <v>879.7</v>
      </c>
      <c r="AK66" s="344">
        <v>731.6</v>
      </c>
      <c r="AL66" s="344">
        <v>1309.4000000000001</v>
      </c>
      <c r="AM66" s="344">
        <v>1725.9</v>
      </c>
      <c r="AN66" s="344">
        <v>1469.2</v>
      </c>
      <c r="AO66" s="344">
        <v>874.4</v>
      </c>
      <c r="AP66" s="344">
        <v>1951.9</v>
      </c>
      <c r="AQ66" s="344">
        <v>1884</v>
      </c>
      <c r="AR66" s="344">
        <v>1792.5</v>
      </c>
      <c r="AS66" s="344">
        <v>2196.3000000000002</v>
      </c>
      <c r="AT66" s="344">
        <f t="shared" ref="AT66:AY66" si="22">AT65*AT64/1000</f>
        <v>0</v>
      </c>
      <c r="AU66" s="344">
        <f t="shared" si="22"/>
        <v>0</v>
      </c>
      <c r="AV66" s="344">
        <f t="shared" si="22"/>
        <v>0</v>
      </c>
      <c r="AW66" s="344">
        <f t="shared" si="22"/>
        <v>0</v>
      </c>
      <c r="AX66" s="344">
        <f t="shared" si="22"/>
        <v>0</v>
      </c>
      <c r="AY66" s="365">
        <f t="shared" si="22"/>
        <v>0</v>
      </c>
      <c r="AZ66" s="366">
        <f>AZ64*AZ65/1000</f>
        <v>0</v>
      </c>
      <c r="BA66" s="366">
        <f>AZ66-AY66</f>
        <v>0</v>
      </c>
      <c r="BB66" s="367">
        <f>AY66-AX66</f>
        <v>0</v>
      </c>
      <c r="BC66" s="368">
        <f>AZ66-AX66</f>
        <v>0</v>
      </c>
      <c r="BD66" s="353">
        <f t="shared" si="1"/>
        <v>-1</v>
      </c>
      <c r="BE66" s="309"/>
      <c r="BF66"/>
      <c r="BG66" s="308"/>
    </row>
    <row r="67" spans="1:63" ht="15" customHeight="1">
      <c r="A67" s="320" t="s">
        <v>370</v>
      </c>
      <c r="B67" s="356"/>
      <c r="C67" s="356"/>
      <c r="D67" s="356"/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6"/>
      <c r="Q67" s="356"/>
      <c r="R67" s="356"/>
      <c r="S67" s="356"/>
      <c r="T67" s="356"/>
      <c r="U67" s="356"/>
      <c r="V67" s="356"/>
      <c r="W67" s="356"/>
      <c r="X67" s="356"/>
      <c r="Y67" s="356"/>
      <c r="Z67" s="356"/>
      <c r="AA67" s="356"/>
      <c r="AB67" s="356"/>
      <c r="AC67" s="356"/>
      <c r="AD67" s="356"/>
      <c r="AE67" s="356"/>
      <c r="AF67" s="356"/>
      <c r="AG67" s="356"/>
      <c r="AH67" s="356"/>
      <c r="AI67" s="356"/>
      <c r="AJ67" s="356"/>
      <c r="AK67" s="356"/>
      <c r="AL67" s="356"/>
      <c r="AM67" s="356"/>
      <c r="AN67" s="356"/>
      <c r="AO67" s="356"/>
      <c r="AP67" s="356"/>
      <c r="AQ67" s="356"/>
      <c r="AR67" s="356"/>
      <c r="AS67" s="356"/>
      <c r="AT67" s="328"/>
      <c r="AU67" s="328"/>
      <c r="AV67" s="328"/>
      <c r="AW67" s="328"/>
      <c r="AX67" s="328"/>
      <c r="AY67" s="321"/>
      <c r="AZ67" s="328"/>
      <c r="BA67" s="329"/>
      <c r="BB67" s="321"/>
      <c r="BC67" s="328"/>
      <c r="BD67" s="329"/>
    </row>
    <row r="68" spans="1:63" ht="15" customHeight="1">
      <c r="A68" s="324" t="s">
        <v>352</v>
      </c>
      <c r="B68" s="344">
        <v>0</v>
      </c>
      <c r="C68" s="344">
        <v>0</v>
      </c>
      <c r="D68" s="344">
        <v>0</v>
      </c>
      <c r="E68" s="344">
        <v>0</v>
      </c>
      <c r="F68" s="344">
        <v>0</v>
      </c>
      <c r="G68" s="344">
        <v>0</v>
      </c>
      <c r="H68" s="344">
        <v>0</v>
      </c>
      <c r="I68" s="344">
        <v>0</v>
      </c>
      <c r="J68" s="344">
        <v>0</v>
      </c>
      <c r="K68" s="344">
        <v>0</v>
      </c>
      <c r="L68" s="344">
        <v>0</v>
      </c>
      <c r="M68" s="344">
        <v>0</v>
      </c>
      <c r="N68" s="344">
        <v>0</v>
      </c>
      <c r="O68" s="344">
        <v>0</v>
      </c>
      <c r="P68" s="344">
        <v>0</v>
      </c>
      <c r="Q68" s="344">
        <v>0</v>
      </c>
      <c r="R68" s="344">
        <v>0</v>
      </c>
      <c r="S68" s="344">
        <v>0</v>
      </c>
      <c r="T68" s="344">
        <v>0</v>
      </c>
      <c r="U68" s="344">
        <v>0</v>
      </c>
      <c r="V68" s="344">
        <v>0</v>
      </c>
      <c r="W68" s="344">
        <v>0</v>
      </c>
      <c r="X68" s="344">
        <v>0</v>
      </c>
      <c r="Y68" s="344">
        <v>0</v>
      </c>
      <c r="Z68" s="344">
        <v>0</v>
      </c>
      <c r="AA68" s="344">
        <v>0</v>
      </c>
      <c r="AB68" s="344">
        <v>0</v>
      </c>
      <c r="AC68" s="344">
        <v>0</v>
      </c>
      <c r="AD68" s="344">
        <v>0</v>
      </c>
      <c r="AE68" s="344">
        <v>0</v>
      </c>
      <c r="AF68" s="344">
        <v>0</v>
      </c>
      <c r="AG68" s="344">
        <v>0</v>
      </c>
      <c r="AH68" s="344">
        <v>0</v>
      </c>
      <c r="AI68" s="344">
        <v>0</v>
      </c>
      <c r="AJ68" s="344">
        <v>221.4</v>
      </c>
      <c r="AK68" s="344">
        <v>206.8</v>
      </c>
      <c r="AL68" s="344">
        <v>206.6</v>
      </c>
      <c r="AM68" s="344">
        <v>226.6</v>
      </c>
      <c r="AN68" s="344">
        <v>176.2</v>
      </c>
      <c r="AO68" s="344">
        <v>177</v>
      </c>
      <c r="AP68" s="344">
        <v>172</v>
      </c>
      <c r="AQ68" s="344">
        <v>143</v>
      </c>
      <c r="AR68" s="344">
        <v>0</v>
      </c>
      <c r="AS68" s="344">
        <v>0</v>
      </c>
      <c r="AT68" s="344">
        <v>0</v>
      </c>
      <c r="AU68" s="344">
        <v>0</v>
      </c>
      <c r="AV68" s="344">
        <v>0</v>
      </c>
      <c r="AW68" s="344">
        <v>0</v>
      </c>
      <c r="AX68" s="344">
        <v>0</v>
      </c>
      <c r="AY68" s="369">
        <v>0</v>
      </c>
      <c r="AZ68" s="366">
        <v>0</v>
      </c>
      <c r="BA68" s="366">
        <f>AZ68-AY68</f>
        <v>0</v>
      </c>
      <c r="BB68" s="367">
        <f>AY68-AX68</f>
        <v>0</v>
      </c>
      <c r="BC68" s="368">
        <f>AZ68-AX68</f>
        <v>0</v>
      </c>
      <c r="BD68" s="353">
        <f t="shared" ref="BD68:BD130" si="23">IFERROR((AX68/AS68)^(1/5)-1,0)</f>
        <v>0</v>
      </c>
      <c r="BH68" s="311"/>
      <c r="BI68" s="311"/>
      <c r="BJ68" s="311"/>
      <c r="BK68" s="311"/>
    </row>
    <row r="69" spans="1:63" ht="15" customHeight="1">
      <c r="A69" s="324" t="s">
        <v>353</v>
      </c>
      <c r="B69" s="345">
        <v>0</v>
      </c>
      <c r="C69" s="345">
        <v>0</v>
      </c>
      <c r="D69" s="345">
        <v>0</v>
      </c>
      <c r="E69" s="345">
        <v>0</v>
      </c>
      <c r="F69" s="345">
        <v>0</v>
      </c>
      <c r="G69" s="345">
        <v>0</v>
      </c>
      <c r="H69" s="345">
        <v>0</v>
      </c>
      <c r="I69" s="345">
        <v>0</v>
      </c>
      <c r="J69" s="345">
        <v>0</v>
      </c>
      <c r="K69" s="345">
        <v>0</v>
      </c>
      <c r="L69" s="345">
        <v>0</v>
      </c>
      <c r="M69" s="345">
        <v>0</v>
      </c>
      <c r="N69" s="345">
        <v>0</v>
      </c>
      <c r="O69" s="345">
        <v>0</v>
      </c>
      <c r="P69" s="345">
        <v>0</v>
      </c>
      <c r="Q69" s="345">
        <v>0</v>
      </c>
      <c r="R69" s="345">
        <v>0</v>
      </c>
      <c r="S69" s="345">
        <v>0</v>
      </c>
      <c r="T69" s="345">
        <v>0</v>
      </c>
      <c r="U69" s="345">
        <v>0</v>
      </c>
      <c r="V69" s="345">
        <v>0</v>
      </c>
      <c r="W69" s="345">
        <v>0</v>
      </c>
      <c r="X69" s="345">
        <v>0</v>
      </c>
      <c r="Y69" s="345">
        <v>0</v>
      </c>
      <c r="Z69" s="345">
        <v>0</v>
      </c>
      <c r="AA69" s="345">
        <v>0</v>
      </c>
      <c r="AB69" s="345">
        <v>0</v>
      </c>
      <c r="AC69" s="345">
        <v>0</v>
      </c>
      <c r="AD69" s="345">
        <v>0</v>
      </c>
      <c r="AE69" s="345">
        <v>0</v>
      </c>
      <c r="AF69" s="345">
        <v>0</v>
      </c>
      <c r="AG69" s="345">
        <v>0</v>
      </c>
      <c r="AH69" s="345">
        <v>0</v>
      </c>
      <c r="AI69" s="345">
        <v>0</v>
      </c>
      <c r="AJ69" s="345">
        <v>4192</v>
      </c>
      <c r="AK69" s="345">
        <v>2629</v>
      </c>
      <c r="AL69" s="345">
        <v>4557</v>
      </c>
      <c r="AM69" s="345">
        <v>4670</v>
      </c>
      <c r="AN69" s="345">
        <v>3794</v>
      </c>
      <c r="AO69" s="345">
        <v>795</v>
      </c>
      <c r="AP69" s="345">
        <v>4721</v>
      </c>
      <c r="AQ69" s="345">
        <v>808</v>
      </c>
      <c r="AR69" s="345">
        <v>0</v>
      </c>
      <c r="AS69" s="345">
        <v>0</v>
      </c>
      <c r="AT69" s="345">
        <v>0</v>
      </c>
      <c r="AU69" s="345">
        <v>0</v>
      </c>
      <c r="AV69" s="345">
        <v>0</v>
      </c>
      <c r="AW69" s="345"/>
      <c r="AX69" s="345"/>
      <c r="AY69" s="346"/>
      <c r="AZ69" s="347">
        <v>0</v>
      </c>
      <c r="BA69" s="347">
        <f>AZ69-AY69</f>
        <v>0</v>
      </c>
      <c r="BB69" s="351">
        <f>AY69-AX69</f>
        <v>0</v>
      </c>
      <c r="BC69" s="352">
        <f>AZ69-AX69</f>
        <v>0</v>
      </c>
      <c r="BD69" s="353">
        <f t="shared" si="23"/>
        <v>0</v>
      </c>
    </row>
    <row r="70" spans="1:63" s="311" customFormat="1" ht="15" customHeight="1">
      <c r="A70" s="324" t="s">
        <v>354</v>
      </c>
      <c r="B70" s="344">
        <f>B69*B68/1000</f>
        <v>0</v>
      </c>
      <c r="C70" s="344">
        <v>255</v>
      </c>
      <c r="D70" s="344">
        <v>224</v>
      </c>
      <c r="E70" s="344">
        <v>266</v>
      </c>
      <c r="F70" s="344">
        <v>177</v>
      </c>
      <c r="G70" s="344">
        <v>303</v>
      </c>
      <c r="H70" s="344">
        <v>95</v>
      </c>
      <c r="I70" s="344">
        <v>328</v>
      </c>
      <c r="J70" s="344">
        <v>126</v>
      </c>
      <c r="K70" s="344">
        <v>290</v>
      </c>
      <c r="L70" s="344">
        <v>116</v>
      </c>
      <c r="M70" s="344">
        <v>345</v>
      </c>
      <c r="N70" s="344">
        <v>342</v>
      </c>
      <c r="O70" s="344">
        <v>173</v>
      </c>
      <c r="P70" s="344">
        <v>354.7</v>
      </c>
      <c r="Q70" s="344">
        <v>237.2</v>
      </c>
      <c r="R70" s="344">
        <v>197.4</v>
      </c>
      <c r="S70" s="344">
        <v>413.1</v>
      </c>
      <c r="T70" s="344">
        <v>422.5</v>
      </c>
      <c r="U70" s="344">
        <v>455</v>
      </c>
      <c r="V70" s="344">
        <v>362.7</v>
      </c>
      <c r="W70" s="344">
        <v>209.9</v>
      </c>
      <c r="X70" s="344">
        <v>294.10000000000002</v>
      </c>
      <c r="Y70" s="344">
        <v>313.60000000000002</v>
      </c>
      <c r="Z70" s="344">
        <v>310</v>
      </c>
      <c r="AA70" s="344">
        <v>324.5</v>
      </c>
      <c r="AB70" s="344">
        <v>414.2</v>
      </c>
      <c r="AC70" s="344">
        <v>430.4</v>
      </c>
      <c r="AD70" s="344">
        <v>405.1</v>
      </c>
      <c r="AE70" s="344">
        <v>424.4</v>
      </c>
      <c r="AF70" s="344">
        <v>447.1</v>
      </c>
      <c r="AG70" s="344">
        <v>490.4</v>
      </c>
      <c r="AH70" s="344">
        <v>504.1</v>
      </c>
      <c r="AI70" s="344">
        <v>562.1</v>
      </c>
      <c r="AJ70" s="344">
        <v>879.7</v>
      </c>
      <c r="AK70" s="344">
        <v>731.6</v>
      </c>
      <c r="AL70" s="344">
        <v>1309.4000000000001</v>
      </c>
      <c r="AM70" s="344">
        <v>1725.9</v>
      </c>
      <c r="AN70" s="344">
        <v>1469.2</v>
      </c>
      <c r="AO70" s="344">
        <v>874.4</v>
      </c>
      <c r="AP70" s="344">
        <v>1951.9</v>
      </c>
      <c r="AQ70" s="344">
        <v>1884</v>
      </c>
      <c r="AR70" s="344">
        <v>1792.5</v>
      </c>
      <c r="AS70" s="344">
        <v>2196.3000000000002</v>
      </c>
      <c r="AT70" s="344">
        <f t="shared" ref="AT70:AY70" si="24">AT69*AT68/1000</f>
        <v>0</v>
      </c>
      <c r="AU70" s="344">
        <f t="shared" si="24"/>
        <v>0</v>
      </c>
      <c r="AV70" s="344">
        <f t="shared" si="24"/>
        <v>0</v>
      </c>
      <c r="AW70" s="344">
        <f t="shared" si="24"/>
        <v>0</v>
      </c>
      <c r="AX70" s="344">
        <f t="shared" si="24"/>
        <v>0</v>
      </c>
      <c r="AY70" s="365">
        <f t="shared" si="24"/>
        <v>0</v>
      </c>
      <c r="AZ70" s="366">
        <f>AZ68*AZ69/1000</f>
        <v>0</v>
      </c>
      <c r="BA70" s="366">
        <f>AZ70-AY70</f>
        <v>0</v>
      </c>
      <c r="BB70" s="367">
        <f>AY70-AX70</f>
        <v>0</v>
      </c>
      <c r="BC70" s="368">
        <f>AZ70-AX70</f>
        <v>0</v>
      </c>
      <c r="BD70" s="353">
        <f t="shared" si="23"/>
        <v>-1</v>
      </c>
      <c r="BE70" s="309"/>
      <c r="BF70"/>
      <c r="BG70" s="308"/>
    </row>
    <row r="71" spans="1:63" ht="15" customHeight="1">
      <c r="A71" s="320" t="s">
        <v>371</v>
      </c>
      <c r="B71" s="356"/>
      <c r="C71" s="356"/>
      <c r="D71" s="356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6"/>
      <c r="P71" s="356"/>
      <c r="Q71" s="356"/>
      <c r="R71" s="356"/>
      <c r="S71" s="356"/>
      <c r="T71" s="356"/>
      <c r="U71" s="356"/>
      <c r="V71" s="356"/>
      <c r="W71" s="356"/>
      <c r="X71" s="356"/>
      <c r="Y71" s="356"/>
      <c r="Z71" s="356"/>
      <c r="AA71" s="356"/>
      <c r="AB71" s="356"/>
      <c r="AC71" s="356"/>
      <c r="AD71" s="356"/>
      <c r="AE71" s="356"/>
      <c r="AF71" s="356"/>
      <c r="AG71" s="356"/>
      <c r="AH71" s="356"/>
      <c r="AI71" s="356"/>
      <c r="AJ71" s="356"/>
      <c r="AK71" s="356"/>
      <c r="AL71" s="356"/>
      <c r="AM71" s="356"/>
      <c r="AN71" s="356"/>
      <c r="AO71" s="356"/>
      <c r="AP71" s="356"/>
      <c r="AQ71" s="356"/>
      <c r="AR71" s="356"/>
      <c r="AS71" s="356"/>
      <c r="AT71" s="328"/>
      <c r="AU71" s="328"/>
      <c r="AV71" s="328"/>
      <c r="AW71" s="328"/>
      <c r="AX71" s="328"/>
      <c r="AY71" s="321"/>
      <c r="AZ71" s="328"/>
      <c r="BA71" s="329"/>
      <c r="BB71" s="321"/>
      <c r="BC71" s="328"/>
      <c r="BD71" s="329"/>
    </row>
    <row r="72" spans="1:63" ht="15" customHeight="1">
      <c r="A72" s="324" t="s">
        <v>352</v>
      </c>
      <c r="B72" s="344">
        <v>0</v>
      </c>
      <c r="C72" s="344">
        <v>0</v>
      </c>
      <c r="D72" s="344">
        <v>0</v>
      </c>
      <c r="E72" s="344">
        <v>146</v>
      </c>
      <c r="F72" s="344">
        <v>243</v>
      </c>
      <c r="G72" s="344">
        <v>228</v>
      </c>
      <c r="H72" s="344">
        <v>103.9</v>
      </c>
      <c r="I72" s="344">
        <v>165</v>
      </c>
      <c r="J72" s="344">
        <v>173</v>
      </c>
      <c r="K72" s="344">
        <v>260</v>
      </c>
      <c r="L72" s="344">
        <v>309</v>
      </c>
      <c r="M72" s="344">
        <v>358</v>
      </c>
      <c r="N72" s="344">
        <v>320.8</v>
      </c>
      <c r="O72" s="344">
        <v>261.89999999999998</v>
      </c>
      <c r="P72" s="344">
        <v>295</v>
      </c>
      <c r="Q72" s="344">
        <v>295</v>
      </c>
      <c r="R72" s="344">
        <v>90</v>
      </c>
      <c r="S72" s="344">
        <v>109.3</v>
      </c>
      <c r="T72" s="344">
        <v>214</v>
      </c>
      <c r="U72" s="344">
        <v>214</v>
      </c>
      <c r="V72" s="344">
        <v>310</v>
      </c>
      <c r="W72" s="344">
        <v>207.7</v>
      </c>
      <c r="X72" s="344">
        <v>319.89999999999998</v>
      </c>
      <c r="Y72" s="344">
        <v>303.89999999999998</v>
      </c>
      <c r="Z72" s="344">
        <v>280.5</v>
      </c>
      <c r="AA72" s="344">
        <v>322.60000000000002</v>
      </c>
      <c r="AB72" s="344">
        <v>317.8</v>
      </c>
      <c r="AC72" s="344">
        <v>298.60000000000002</v>
      </c>
      <c r="AD72" s="344">
        <v>386.7</v>
      </c>
      <c r="AE72" s="344">
        <v>382.8</v>
      </c>
      <c r="AF72" s="344">
        <v>386.6</v>
      </c>
      <c r="AG72" s="344">
        <v>353.6</v>
      </c>
      <c r="AH72" s="344">
        <v>305.89999999999998</v>
      </c>
      <c r="AI72" s="344">
        <v>355</v>
      </c>
      <c r="AJ72" s="344">
        <v>364.9</v>
      </c>
      <c r="AK72" s="344">
        <v>176.2</v>
      </c>
      <c r="AL72" s="344">
        <v>241.4</v>
      </c>
      <c r="AM72" s="344">
        <v>268</v>
      </c>
      <c r="AN72" s="344">
        <v>252.5</v>
      </c>
      <c r="AO72" s="344">
        <v>247.3</v>
      </c>
      <c r="AP72" s="344">
        <v>265.10000000000002</v>
      </c>
      <c r="AQ72" s="344">
        <v>230.9</v>
      </c>
      <c r="AR72" s="344">
        <v>0</v>
      </c>
      <c r="AS72" s="344">
        <v>0</v>
      </c>
      <c r="AT72" s="344">
        <v>60</v>
      </c>
      <c r="AU72" s="344">
        <v>60</v>
      </c>
      <c r="AV72" s="344">
        <v>40</v>
      </c>
      <c r="AW72" s="344">
        <v>30</v>
      </c>
      <c r="AX72" s="344">
        <v>50</v>
      </c>
      <c r="AY72" s="369">
        <v>50</v>
      </c>
      <c r="AZ72" s="366">
        <v>50</v>
      </c>
      <c r="BA72" s="366">
        <f>AZ72-AY72</f>
        <v>0</v>
      </c>
      <c r="BB72" s="367">
        <f>AY72-AX72</f>
        <v>0</v>
      </c>
      <c r="BC72" s="368">
        <f>AZ72-AX72</f>
        <v>0</v>
      </c>
      <c r="BD72" s="353">
        <f t="shared" si="23"/>
        <v>0</v>
      </c>
      <c r="BF72" s="319" t="b">
        <v>0</v>
      </c>
      <c r="BH72" s="311"/>
      <c r="BI72" s="311"/>
      <c r="BJ72" s="311"/>
      <c r="BK72" s="311"/>
    </row>
    <row r="73" spans="1:63" ht="15" customHeight="1">
      <c r="A73" s="324" t="s">
        <v>353</v>
      </c>
      <c r="B73" s="345">
        <v>0</v>
      </c>
      <c r="C73" s="345">
        <v>0</v>
      </c>
      <c r="D73" s="345">
        <v>0</v>
      </c>
      <c r="E73" s="345">
        <v>539.72602739726028</v>
      </c>
      <c r="F73" s="345">
        <v>522.63374485596705</v>
      </c>
      <c r="G73" s="345">
        <v>500</v>
      </c>
      <c r="H73" s="345">
        <v>319.53801732435034</v>
      </c>
      <c r="I73" s="345">
        <v>469.69696969696975</v>
      </c>
      <c r="J73" s="345">
        <v>600</v>
      </c>
      <c r="K73" s="345">
        <v>500</v>
      </c>
      <c r="L73" s="345">
        <v>400</v>
      </c>
      <c r="M73" s="345">
        <v>660.05586592178781</v>
      </c>
      <c r="N73" s="345">
        <v>590.08728179551133</v>
      </c>
      <c r="O73" s="345">
        <v>190.14891179839634</v>
      </c>
      <c r="P73" s="345">
        <v>450</v>
      </c>
      <c r="Q73" s="345">
        <v>300</v>
      </c>
      <c r="R73" s="345">
        <v>150</v>
      </c>
      <c r="S73" s="345">
        <v>832</v>
      </c>
      <c r="T73" s="345">
        <v>830</v>
      </c>
      <c r="U73" s="345">
        <v>1119</v>
      </c>
      <c r="V73" s="345">
        <v>760</v>
      </c>
      <c r="W73" s="345">
        <v>613</v>
      </c>
      <c r="X73" s="345">
        <v>800</v>
      </c>
      <c r="Y73" s="345">
        <v>840</v>
      </c>
      <c r="Z73" s="345">
        <v>430</v>
      </c>
      <c r="AA73" s="345">
        <v>820</v>
      </c>
      <c r="AB73" s="345">
        <v>800</v>
      </c>
      <c r="AC73" s="345">
        <v>734</v>
      </c>
      <c r="AD73" s="345">
        <v>1080</v>
      </c>
      <c r="AE73" s="345">
        <v>1235</v>
      </c>
      <c r="AF73" s="345">
        <v>1245</v>
      </c>
      <c r="AG73" s="345">
        <v>1415</v>
      </c>
      <c r="AH73" s="345">
        <v>1510</v>
      </c>
      <c r="AI73" s="345">
        <v>1852</v>
      </c>
      <c r="AJ73" s="345">
        <v>1029</v>
      </c>
      <c r="AK73" s="345">
        <v>1250</v>
      </c>
      <c r="AL73" s="345">
        <v>2071</v>
      </c>
      <c r="AM73" s="345">
        <v>2630</v>
      </c>
      <c r="AN73" s="345">
        <v>1812</v>
      </c>
      <c r="AO73" s="345">
        <v>881</v>
      </c>
      <c r="AP73" s="345">
        <v>1918</v>
      </c>
      <c r="AQ73" s="345">
        <v>875</v>
      </c>
      <c r="AR73" s="345">
        <v>0</v>
      </c>
      <c r="AS73" s="345">
        <v>0</v>
      </c>
      <c r="AT73" s="345">
        <v>4200</v>
      </c>
      <c r="AU73" s="345">
        <v>3000</v>
      </c>
      <c r="AV73" s="345">
        <v>3180</v>
      </c>
      <c r="AW73" s="345">
        <v>3460</v>
      </c>
      <c r="AX73" s="345">
        <v>3900</v>
      </c>
      <c r="AY73" s="346">
        <v>3900</v>
      </c>
      <c r="AZ73" s="347">
        <v>3900</v>
      </c>
      <c r="BA73" s="347">
        <f>AZ73-AY73</f>
        <v>0</v>
      </c>
      <c r="BB73" s="351">
        <f>AY73-AX73</f>
        <v>0</v>
      </c>
      <c r="BC73" s="352">
        <f>AZ73-AX73</f>
        <v>0</v>
      </c>
      <c r="BD73" s="353">
        <f t="shared" si="23"/>
        <v>0</v>
      </c>
    </row>
    <row r="74" spans="1:63" ht="15" customHeight="1" thickBot="1">
      <c r="A74" s="324" t="s">
        <v>354</v>
      </c>
      <c r="B74" s="344">
        <f>B73*B72/1000</f>
        <v>0</v>
      </c>
      <c r="C74" s="344">
        <v>255</v>
      </c>
      <c r="D74" s="344">
        <v>224</v>
      </c>
      <c r="E74" s="344">
        <v>266</v>
      </c>
      <c r="F74" s="344">
        <v>177</v>
      </c>
      <c r="G74" s="344">
        <v>303</v>
      </c>
      <c r="H74" s="344">
        <v>95</v>
      </c>
      <c r="I74" s="344">
        <v>328</v>
      </c>
      <c r="J74" s="344">
        <v>126</v>
      </c>
      <c r="K74" s="344">
        <v>290</v>
      </c>
      <c r="L74" s="344">
        <v>116</v>
      </c>
      <c r="M74" s="344">
        <v>345</v>
      </c>
      <c r="N74" s="344">
        <v>342</v>
      </c>
      <c r="O74" s="344">
        <v>173</v>
      </c>
      <c r="P74" s="344">
        <v>354.7</v>
      </c>
      <c r="Q74" s="344">
        <v>237.2</v>
      </c>
      <c r="R74" s="344">
        <v>197.4</v>
      </c>
      <c r="S74" s="344">
        <v>413.1</v>
      </c>
      <c r="T74" s="344">
        <v>422.5</v>
      </c>
      <c r="U74" s="344">
        <v>455</v>
      </c>
      <c r="V74" s="344">
        <v>362.7</v>
      </c>
      <c r="W74" s="344">
        <v>209.9</v>
      </c>
      <c r="X74" s="344">
        <v>294.10000000000002</v>
      </c>
      <c r="Y74" s="344">
        <v>313.60000000000002</v>
      </c>
      <c r="Z74" s="344">
        <v>310</v>
      </c>
      <c r="AA74" s="344">
        <v>324.5</v>
      </c>
      <c r="AB74" s="344">
        <v>414.2</v>
      </c>
      <c r="AC74" s="344">
        <v>430.4</v>
      </c>
      <c r="AD74" s="344">
        <v>405.1</v>
      </c>
      <c r="AE74" s="344">
        <v>424.4</v>
      </c>
      <c r="AF74" s="344">
        <v>447.1</v>
      </c>
      <c r="AG74" s="344">
        <v>490.4</v>
      </c>
      <c r="AH74" s="344">
        <v>504.1</v>
      </c>
      <c r="AI74" s="344">
        <v>562.1</v>
      </c>
      <c r="AJ74" s="344">
        <v>879.7</v>
      </c>
      <c r="AK74" s="344">
        <v>731.6</v>
      </c>
      <c r="AL74" s="344">
        <v>1309.4000000000001</v>
      </c>
      <c r="AM74" s="344">
        <v>1725.9</v>
      </c>
      <c r="AN74" s="344">
        <v>1469.2</v>
      </c>
      <c r="AO74" s="344">
        <v>874.4</v>
      </c>
      <c r="AP74" s="344">
        <v>1951.9</v>
      </c>
      <c r="AQ74" s="344">
        <v>1884</v>
      </c>
      <c r="AR74" s="344">
        <v>1792.5</v>
      </c>
      <c r="AS74" s="344">
        <v>2196.3000000000002</v>
      </c>
      <c r="AT74" s="344">
        <f t="shared" ref="AT74:AY74" si="25">AT73*AT72/1000</f>
        <v>252</v>
      </c>
      <c r="AU74" s="344">
        <f t="shared" si="25"/>
        <v>180</v>
      </c>
      <c r="AV74" s="344">
        <f t="shared" si="25"/>
        <v>127.2</v>
      </c>
      <c r="AW74" s="344">
        <f t="shared" si="25"/>
        <v>103.8</v>
      </c>
      <c r="AX74" s="344">
        <f t="shared" si="25"/>
        <v>195</v>
      </c>
      <c r="AY74" s="365">
        <f t="shared" si="25"/>
        <v>195</v>
      </c>
      <c r="AZ74" s="366">
        <f>AZ72*AZ73/1000</f>
        <v>195</v>
      </c>
      <c r="BA74" s="366">
        <f>AZ74-AY74</f>
        <v>0</v>
      </c>
      <c r="BB74" s="367">
        <f>AY74-AX74</f>
        <v>0</v>
      </c>
      <c r="BC74" s="368">
        <f>AZ74-AX74</f>
        <v>0</v>
      </c>
      <c r="BD74" s="353">
        <f t="shared" si="23"/>
        <v>-0.38387534219252417</v>
      </c>
      <c r="BH74" s="311"/>
      <c r="BI74" s="311"/>
      <c r="BJ74" s="311"/>
      <c r="BK74" s="311"/>
    </row>
    <row r="75" spans="1:63" s="311" customFormat="1" ht="15" customHeight="1" thickBot="1">
      <c r="A75" s="335" t="s">
        <v>372</v>
      </c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358"/>
      <c r="AB75" s="358"/>
      <c r="AC75" s="358"/>
      <c r="AD75" s="358"/>
      <c r="AE75" s="358"/>
      <c r="AF75" s="358"/>
      <c r="AG75" s="358"/>
      <c r="AH75" s="358"/>
      <c r="AI75" s="358"/>
      <c r="AJ75" s="358"/>
      <c r="AK75" s="358"/>
      <c r="AL75" s="358"/>
      <c r="AM75" s="358"/>
      <c r="AN75" s="358"/>
      <c r="AO75" s="358"/>
      <c r="AP75" s="358"/>
      <c r="AQ75" s="358"/>
      <c r="AR75" s="358"/>
      <c r="AS75" s="358"/>
      <c r="AT75" s="333"/>
      <c r="AU75" s="333"/>
      <c r="AV75" s="333"/>
      <c r="AW75" s="333"/>
      <c r="AX75" s="333"/>
      <c r="AY75" s="332"/>
      <c r="AZ75" s="333"/>
      <c r="BA75" s="334"/>
      <c r="BB75" s="332"/>
      <c r="BC75" s="333"/>
      <c r="BD75" s="334"/>
      <c r="BE75" s="309"/>
      <c r="BF75"/>
      <c r="BG75" s="308"/>
      <c r="BH75" s="309"/>
      <c r="BI75" s="309"/>
      <c r="BJ75" s="309"/>
      <c r="BK75" s="309"/>
    </row>
    <row r="76" spans="1:63" s="311" customFormat="1" ht="15" customHeight="1">
      <c r="A76" s="324" t="s">
        <v>352</v>
      </c>
      <c r="B76" s="344">
        <f>B80+B84+B88+B92</f>
        <v>0</v>
      </c>
      <c r="C76" s="344">
        <f t="shared" ref="C76:AY76" si="26">C80+C84+C88+C92</f>
        <v>0</v>
      </c>
      <c r="D76" s="344">
        <f t="shared" si="26"/>
        <v>0</v>
      </c>
      <c r="E76" s="344">
        <f t="shared" si="26"/>
        <v>0</v>
      </c>
      <c r="F76" s="344">
        <f t="shared" si="26"/>
        <v>0</v>
      </c>
      <c r="G76" s="344">
        <f t="shared" si="26"/>
        <v>0</v>
      </c>
      <c r="H76" s="344">
        <f t="shared" si="26"/>
        <v>0</v>
      </c>
      <c r="I76" s="344">
        <f t="shared" si="26"/>
        <v>0</v>
      </c>
      <c r="J76" s="344">
        <f t="shared" si="26"/>
        <v>0</v>
      </c>
      <c r="K76" s="344">
        <f t="shared" si="26"/>
        <v>0</v>
      </c>
      <c r="L76" s="344">
        <f t="shared" si="26"/>
        <v>0</v>
      </c>
      <c r="M76" s="344">
        <f t="shared" si="26"/>
        <v>0</v>
      </c>
      <c r="N76" s="344">
        <f t="shared" si="26"/>
        <v>0</v>
      </c>
      <c r="O76" s="344">
        <f t="shared" si="26"/>
        <v>6.5</v>
      </c>
      <c r="P76" s="344">
        <f t="shared" si="26"/>
        <v>45</v>
      </c>
      <c r="Q76" s="344">
        <f t="shared" si="26"/>
        <v>108</v>
      </c>
      <c r="R76" s="344">
        <f t="shared" si="26"/>
        <v>275.40000000000003</v>
      </c>
      <c r="S76" s="344">
        <f t="shared" si="26"/>
        <v>569</v>
      </c>
      <c r="T76" s="344">
        <f t="shared" si="26"/>
        <v>481.5</v>
      </c>
      <c r="U76" s="344">
        <f t="shared" si="26"/>
        <v>564.40000000000009</v>
      </c>
      <c r="V76" s="344">
        <f t="shared" si="26"/>
        <v>816.09999999999991</v>
      </c>
      <c r="W76" s="344">
        <f t="shared" si="26"/>
        <v>882.00000000000011</v>
      </c>
      <c r="X76" s="344">
        <f t="shared" si="26"/>
        <v>896.6</v>
      </c>
      <c r="Y76" s="344">
        <f t="shared" si="26"/>
        <v>1010</v>
      </c>
      <c r="Z76" s="344">
        <f t="shared" si="26"/>
        <v>822.6</v>
      </c>
      <c r="AA76" s="344">
        <f t="shared" si="26"/>
        <v>1191.1000000000001</v>
      </c>
      <c r="AB76" s="344">
        <f t="shared" si="26"/>
        <v>1531.2</v>
      </c>
      <c r="AC76" s="344">
        <f t="shared" si="26"/>
        <v>1551.3</v>
      </c>
      <c r="AD76" s="344">
        <f t="shared" si="26"/>
        <v>1594.9</v>
      </c>
      <c r="AE76" s="344">
        <f t="shared" si="26"/>
        <v>1640.8000000000002</v>
      </c>
      <c r="AF76" s="344">
        <f t="shared" si="26"/>
        <v>2413.8999999999996</v>
      </c>
      <c r="AG76" s="344">
        <f t="shared" si="26"/>
        <v>2825.9000000000005</v>
      </c>
      <c r="AH76" s="344">
        <f t="shared" si="26"/>
        <v>2739.3</v>
      </c>
      <c r="AI76" s="344">
        <f t="shared" si="26"/>
        <v>3177.3</v>
      </c>
      <c r="AJ76" s="344">
        <f t="shared" si="26"/>
        <v>3327.2999999999997</v>
      </c>
      <c r="AK76" s="344">
        <f t="shared" si="26"/>
        <v>4548.2</v>
      </c>
      <c r="AL76" s="344">
        <f t="shared" si="26"/>
        <v>5667.1</v>
      </c>
      <c r="AM76" s="344">
        <f t="shared" si="26"/>
        <v>5780</v>
      </c>
      <c r="AN76" s="344">
        <f t="shared" si="26"/>
        <v>6118.5999999999995</v>
      </c>
      <c r="AO76" s="344">
        <f t="shared" si="26"/>
        <v>6747.0999999999995</v>
      </c>
      <c r="AP76" s="344">
        <f t="shared" si="26"/>
        <v>7664.7</v>
      </c>
      <c r="AQ76" s="344">
        <f t="shared" si="26"/>
        <v>7457.4000000000005</v>
      </c>
      <c r="AR76" s="344">
        <f t="shared" si="26"/>
        <v>8179.2000000000007</v>
      </c>
      <c r="AS76" s="344">
        <f t="shared" si="26"/>
        <v>8926.2000000000007</v>
      </c>
      <c r="AT76" s="344">
        <f t="shared" si="26"/>
        <v>9641</v>
      </c>
      <c r="AU76" s="344">
        <f t="shared" si="26"/>
        <v>10436.799999999999</v>
      </c>
      <c r="AV76" s="344">
        <f t="shared" si="26"/>
        <v>11389.6</v>
      </c>
      <c r="AW76" s="344">
        <f t="shared" si="26"/>
        <v>10733.9</v>
      </c>
      <c r="AX76" s="344">
        <f t="shared" si="26"/>
        <v>11146.900000000001</v>
      </c>
      <c r="AY76" s="369">
        <f t="shared" si="26"/>
        <v>11625.800000000001</v>
      </c>
      <c r="AZ76" s="366">
        <f>AZ80+AZ84+AZ88+AZ92</f>
        <v>11625.800000000001</v>
      </c>
      <c r="BA76" s="366">
        <f>AZ76-AY76</f>
        <v>0</v>
      </c>
      <c r="BB76" s="367">
        <f>AY76-AX76</f>
        <v>478.89999999999964</v>
      </c>
      <c r="BC76" s="368">
        <f>AZ76-AX76</f>
        <v>478.89999999999964</v>
      </c>
      <c r="BD76" s="353">
        <f t="shared" si="23"/>
        <v>4.5436113642922882E-2</v>
      </c>
      <c r="BE76" s="309"/>
      <c r="BF76" s="319" t="b">
        <v>0</v>
      </c>
      <c r="BG76" s="308"/>
    </row>
    <row r="77" spans="1:63" s="311" customFormat="1" ht="15" customHeight="1">
      <c r="A77" s="318" t="s">
        <v>353</v>
      </c>
      <c r="B77" s="345" t="e">
        <f>B78/B76*1000</f>
        <v>#DIV/0!</v>
      </c>
      <c r="C77" s="345" t="e">
        <f t="shared" ref="C77:AY77" si="27">C78/C76*1000</f>
        <v>#DIV/0!</v>
      </c>
      <c r="D77" s="345" t="e">
        <f t="shared" si="27"/>
        <v>#DIV/0!</v>
      </c>
      <c r="E77" s="345" t="e">
        <f t="shared" si="27"/>
        <v>#DIV/0!</v>
      </c>
      <c r="F77" s="345" t="e">
        <f t="shared" si="27"/>
        <v>#DIV/0!</v>
      </c>
      <c r="G77" s="345" t="e">
        <f t="shared" si="27"/>
        <v>#DIV/0!</v>
      </c>
      <c r="H77" s="345" t="e">
        <f t="shared" si="27"/>
        <v>#DIV/0!</v>
      </c>
      <c r="I77" s="345" t="e">
        <f t="shared" si="27"/>
        <v>#DIV/0!</v>
      </c>
      <c r="J77" s="345" t="e">
        <f t="shared" si="27"/>
        <v>#DIV/0!</v>
      </c>
      <c r="K77" s="345" t="e">
        <f t="shared" si="27"/>
        <v>#DIV/0!</v>
      </c>
      <c r="L77" s="345" t="e">
        <f t="shared" si="27"/>
        <v>#DIV/0!</v>
      </c>
      <c r="M77" s="345" t="e">
        <f t="shared" si="27"/>
        <v>#DIV/0!</v>
      </c>
      <c r="N77" s="345" t="e">
        <f t="shared" si="27"/>
        <v>#DIV/0!</v>
      </c>
      <c r="O77" s="345">
        <f t="shared" si="27"/>
        <v>106461.53846153847</v>
      </c>
      <c r="P77" s="345">
        <f t="shared" si="27"/>
        <v>31528.888888888887</v>
      </c>
      <c r="Q77" s="345">
        <f t="shared" si="27"/>
        <v>8785.1851851851843</v>
      </c>
      <c r="R77" s="345">
        <f t="shared" si="27"/>
        <v>2867.1023965141612</v>
      </c>
      <c r="S77" s="345">
        <f t="shared" si="27"/>
        <v>2904.0421792618631</v>
      </c>
      <c r="T77" s="345">
        <f t="shared" si="27"/>
        <v>3509.8650051921081</v>
      </c>
      <c r="U77" s="345">
        <f t="shared" si="27"/>
        <v>3224.6633593196311</v>
      </c>
      <c r="V77" s="345">
        <f t="shared" si="27"/>
        <v>1777.7233182208063</v>
      </c>
      <c r="W77" s="345">
        <f t="shared" si="27"/>
        <v>951.92743764172326</v>
      </c>
      <c r="X77" s="345">
        <f t="shared" si="27"/>
        <v>1312.0678117332145</v>
      </c>
      <c r="Y77" s="345">
        <f t="shared" si="27"/>
        <v>1241.9801980198019</v>
      </c>
      <c r="Z77" s="345">
        <f t="shared" si="27"/>
        <v>1507.4155117918792</v>
      </c>
      <c r="AA77" s="345">
        <f t="shared" si="27"/>
        <v>1089.7489715389136</v>
      </c>
      <c r="AB77" s="345">
        <f t="shared" si="27"/>
        <v>1082.0271682340647</v>
      </c>
      <c r="AC77" s="345">
        <f t="shared" si="27"/>
        <v>1109.7788951202217</v>
      </c>
      <c r="AD77" s="345">
        <f t="shared" si="27"/>
        <v>1015.9884632265346</v>
      </c>
      <c r="AE77" s="345">
        <f t="shared" si="27"/>
        <v>1034.6172598732323</v>
      </c>
      <c r="AF77" s="345">
        <f t="shared" si="27"/>
        <v>740.87576121628922</v>
      </c>
      <c r="AG77" s="345">
        <f t="shared" si="27"/>
        <v>694.15053611238886</v>
      </c>
      <c r="AH77" s="345">
        <f t="shared" si="27"/>
        <v>736.10046362209323</v>
      </c>
      <c r="AI77" s="345">
        <f t="shared" si="27"/>
        <v>707.64485569508702</v>
      </c>
      <c r="AJ77" s="345">
        <f t="shared" si="27"/>
        <v>1057.5541730532266</v>
      </c>
      <c r="AK77" s="345">
        <f t="shared" si="27"/>
        <v>643.41937469768266</v>
      </c>
      <c r="AL77" s="345">
        <f t="shared" si="27"/>
        <v>924.2116779305112</v>
      </c>
      <c r="AM77" s="345">
        <f t="shared" si="27"/>
        <v>1194.39446366782</v>
      </c>
      <c r="AN77" s="345">
        <f t="shared" si="27"/>
        <v>960.48115581995899</v>
      </c>
      <c r="AO77" s="345">
        <f t="shared" si="27"/>
        <v>518.38567680929589</v>
      </c>
      <c r="AP77" s="345">
        <f t="shared" si="27"/>
        <v>1018.6439130037705</v>
      </c>
      <c r="AQ77" s="345">
        <f t="shared" si="27"/>
        <v>1010.5398664413869</v>
      </c>
      <c r="AR77" s="345">
        <f t="shared" si="27"/>
        <v>876.61384976525812</v>
      </c>
      <c r="AS77" s="345">
        <f t="shared" si="27"/>
        <v>984.20380453048324</v>
      </c>
      <c r="AT77" s="345">
        <f t="shared" si="27"/>
        <v>4777.577585312727</v>
      </c>
      <c r="AU77" s="345">
        <f t="shared" si="27"/>
        <v>5892.6256036332979</v>
      </c>
      <c r="AV77" s="345">
        <f t="shared" si="27"/>
        <v>6582.0825314321828</v>
      </c>
      <c r="AW77" s="345">
        <f t="shared" si="27"/>
        <v>6175.2153271411144</v>
      </c>
      <c r="AX77" s="345">
        <f t="shared" si="27"/>
        <v>7275.3592658048419</v>
      </c>
      <c r="AY77" s="346">
        <f t="shared" si="27"/>
        <v>6798.6398785459915</v>
      </c>
      <c r="AZ77" s="347">
        <f>AZ78/AZ76*1000</f>
        <v>6662.7839202463492</v>
      </c>
      <c r="BA77" s="347">
        <f>AZ77-AY77</f>
        <v>-135.85595829964223</v>
      </c>
      <c r="BB77" s="351">
        <f>AY77-AX77</f>
        <v>-476.71938725885047</v>
      </c>
      <c r="BC77" s="352">
        <f>AZ77-AX77</f>
        <v>-612.5753455584927</v>
      </c>
      <c r="BD77" s="353">
        <f t="shared" si="23"/>
        <v>0.49194866757772049</v>
      </c>
      <c r="BE77" s="309"/>
      <c r="BF77"/>
      <c r="BG77" s="308"/>
      <c r="BH77" s="309"/>
      <c r="BI77" s="309"/>
      <c r="BJ77" s="309"/>
      <c r="BK77" s="309"/>
    </row>
    <row r="78" spans="1:63" s="311" customFormat="1" ht="15" customHeight="1">
      <c r="A78" s="318" t="s">
        <v>354</v>
      </c>
      <c r="B78" s="344">
        <f>B82+B86+B90+B94</f>
        <v>0</v>
      </c>
      <c r="C78" s="344">
        <f t="shared" ref="C78:AY78" si="28">C82+C86+C90+C94</f>
        <v>1020</v>
      </c>
      <c r="D78" s="344">
        <f t="shared" si="28"/>
        <v>896</v>
      </c>
      <c r="E78" s="344">
        <f t="shared" si="28"/>
        <v>1064</v>
      </c>
      <c r="F78" s="344">
        <f t="shared" si="28"/>
        <v>708</v>
      </c>
      <c r="G78" s="344">
        <f t="shared" si="28"/>
        <v>1212</v>
      </c>
      <c r="H78" s="344">
        <f t="shared" si="28"/>
        <v>380</v>
      </c>
      <c r="I78" s="344">
        <f t="shared" si="28"/>
        <v>1312</v>
      </c>
      <c r="J78" s="344">
        <f t="shared" si="28"/>
        <v>504</v>
      </c>
      <c r="K78" s="344">
        <f t="shared" si="28"/>
        <v>1160</v>
      </c>
      <c r="L78" s="344">
        <f t="shared" si="28"/>
        <v>464</v>
      </c>
      <c r="M78" s="344">
        <f t="shared" si="28"/>
        <v>1380</v>
      </c>
      <c r="N78" s="344">
        <f t="shared" si="28"/>
        <v>1368</v>
      </c>
      <c r="O78" s="344">
        <f t="shared" si="28"/>
        <v>692</v>
      </c>
      <c r="P78" s="344">
        <f t="shared" si="28"/>
        <v>1418.8</v>
      </c>
      <c r="Q78" s="344">
        <f t="shared" si="28"/>
        <v>948.8</v>
      </c>
      <c r="R78" s="344">
        <f t="shared" si="28"/>
        <v>789.6</v>
      </c>
      <c r="S78" s="344">
        <f t="shared" si="28"/>
        <v>1652.4</v>
      </c>
      <c r="T78" s="344">
        <f t="shared" si="28"/>
        <v>1690</v>
      </c>
      <c r="U78" s="344">
        <f t="shared" si="28"/>
        <v>1820</v>
      </c>
      <c r="V78" s="344">
        <f t="shared" si="28"/>
        <v>1450.8</v>
      </c>
      <c r="W78" s="344">
        <f t="shared" si="28"/>
        <v>839.6</v>
      </c>
      <c r="X78" s="344">
        <f t="shared" si="28"/>
        <v>1176.4000000000001</v>
      </c>
      <c r="Y78" s="344">
        <f t="shared" si="28"/>
        <v>1254.4000000000001</v>
      </c>
      <c r="Z78" s="344">
        <f t="shared" si="28"/>
        <v>1240</v>
      </c>
      <c r="AA78" s="344">
        <f t="shared" si="28"/>
        <v>1298</v>
      </c>
      <c r="AB78" s="344">
        <f t="shared" si="28"/>
        <v>1656.8</v>
      </c>
      <c r="AC78" s="344">
        <f t="shared" si="28"/>
        <v>1721.6</v>
      </c>
      <c r="AD78" s="344">
        <f t="shared" si="28"/>
        <v>1620.4</v>
      </c>
      <c r="AE78" s="344">
        <f t="shared" si="28"/>
        <v>1697.6</v>
      </c>
      <c r="AF78" s="344">
        <f t="shared" si="28"/>
        <v>1788.4</v>
      </c>
      <c r="AG78" s="344">
        <f t="shared" si="28"/>
        <v>1961.6</v>
      </c>
      <c r="AH78" s="344">
        <f t="shared" si="28"/>
        <v>2016.4</v>
      </c>
      <c r="AI78" s="344">
        <f t="shared" si="28"/>
        <v>2248.4</v>
      </c>
      <c r="AJ78" s="344">
        <f t="shared" si="28"/>
        <v>3518.8</v>
      </c>
      <c r="AK78" s="344">
        <f t="shared" si="28"/>
        <v>2926.4</v>
      </c>
      <c r="AL78" s="344">
        <f t="shared" si="28"/>
        <v>5237.6000000000004</v>
      </c>
      <c r="AM78" s="344">
        <f t="shared" si="28"/>
        <v>6903.6</v>
      </c>
      <c r="AN78" s="344">
        <f t="shared" si="28"/>
        <v>5876.8</v>
      </c>
      <c r="AO78" s="344">
        <f t="shared" si="28"/>
        <v>3497.6</v>
      </c>
      <c r="AP78" s="344">
        <f t="shared" si="28"/>
        <v>7807.6</v>
      </c>
      <c r="AQ78" s="344">
        <f t="shared" si="28"/>
        <v>7536</v>
      </c>
      <c r="AR78" s="344">
        <f t="shared" si="28"/>
        <v>7170</v>
      </c>
      <c r="AS78" s="344">
        <f t="shared" si="28"/>
        <v>8785.2000000000007</v>
      </c>
      <c r="AT78" s="344">
        <f t="shared" si="28"/>
        <v>46060.625500000002</v>
      </c>
      <c r="AU78" s="344">
        <f t="shared" si="28"/>
        <v>61500.154899999994</v>
      </c>
      <c r="AV78" s="344">
        <f t="shared" si="28"/>
        <v>74967.287199999992</v>
      </c>
      <c r="AW78" s="344">
        <f t="shared" si="28"/>
        <v>66284.143800000005</v>
      </c>
      <c r="AX78" s="344">
        <f t="shared" si="28"/>
        <v>81097.7022</v>
      </c>
      <c r="AY78" s="365">
        <f t="shared" si="28"/>
        <v>79039.627499999988</v>
      </c>
      <c r="AZ78" s="366">
        <f>AZ82+AZ86+AZ90+AZ94</f>
        <v>77460.193300000014</v>
      </c>
      <c r="BA78" s="366">
        <f>AZ78-AY78</f>
        <v>-1579.4341999999742</v>
      </c>
      <c r="BB78" s="367">
        <f>AY78-AX78</f>
        <v>-2058.0747000000119</v>
      </c>
      <c r="BC78" s="368">
        <f>AZ78-AX78</f>
        <v>-3637.5088999999862</v>
      </c>
      <c r="BD78" s="353">
        <f t="shared" si="23"/>
        <v>0.55973701678718912</v>
      </c>
      <c r="BE78" s="309"/>
      <c r="BF78"/>
      <c r="BG78" s="308"/>
    </row>
    <row r="79" spans="1:63" ht="15" customHeight="1">
      <c r="A79" s="320" t="s">
        <v>373</v>
      </c>
      <c r="B79" s="356"/>
      <c r="C79" s="356"/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356"/>
      <c r="AB79" s="356"/>
      <c r="AC79" s="356"/>
      <c r="AD79" s="356"/>
      <c r="AE79" s="356"/>
      <c r="AF79" s="356"/>
      <c r="AG79" s="356"/>
      <c r="AH79" s="356"/>
      <c r="AI79" s="356"/>
      <c r="AJ79" s="356"/>
      <c r="AK79" s="356"/>
      <c r="AL79" s="356"/>
      <c r="AM79" s="356"/>
      <c r="AN79" s="356"/>
      <c r="AO79" s="356"/>
      <c r="AP79" s="356"/>
      <c r="AQ79" s="356"/>
      <c r="AR79" s="356"/>
      <c r="AS79" s="356"/>
      <c r="AT79" s="328"/>
      <c r="AU79" s="328"/>
      <c r="AV79" s="328"/>
      <c r="AW79" s="328"/>
      <c r="AX79" s="328"/>
      <c r="AY79" s="321"/>
      <c r="AZ79" s="328"/>
      <c r="BA79" s="329"/>
      <c r="BB79" s="321"/>
      <c r="BC79" s="328"/>
      <c r="BD79" s="329"/>
    </row>
    <row r="80" spans="1:63" ht="15" customHeight="1">
      <c r="A80" s="324" t="s">
        <v>352</v>
      </c>
      <c r="B80" s="344">
        <v>0</v>
      </c>
      <c r="C80" s="344">
        <v>0</v>
      </c>
      <c r="D80" s="344">
        <v>0</v>
      </c>
      <c r="E80" s="344">
        <v>0</v>
      </c>
      <c r="F80" s="344">
        <v>0</v>
      </c>
      <c r="G80" s="344">
        <v>0</v>
      </c>
      <c r="H80" s="344">
        <v>0</v>
      </c>
      <c r="I80" s="344">
        <v>0</v>
      </c>
      <c r="J80" s="344">
        <v>0</v>
      </c>
      <c r="K80" s="344">
        <v>0</v>
      </c>
      <c r="L80" s="344">
        <v>0</v>
      </c>
      <c r="M80" s="344">
        <v>0</v>
      </c>
      <c r="N80" s="344">
        <v>0</v>
      </c>
      <c r="O80" s="344">
        <v>0</v>
      </c>
      <c r="P80" s="344">
        <v>0</v>
      </c>
      <c r="Q80" s="344">
        <v>35</v>
      </c>
      <c r="R80" s="344">
        <v>93.4</v>
      </c>
      <c r="S80" s="344">
        <v>170</v>
      </c>
      <c r="T80" s="344">
        <v>185</v>
      </c>
      <c r="U80" s="344">
        <v>251.6</v>
      </c>
      <c r="V80" s="344">
        <v>352.2</v>
      </c>
      <c r="W80" s="344">
        <v>366.3</v>
      </c>
      <c r="X80" s="344">
        <v>362.6</v>
      </c>
      <c r="Y80" s="344">
        <v>366.2</v>
      </c>
      <c r="Z80" s="344">
        <v>322.89999999999998</v>
      </c>
      <c r="AA80" s="344">
        <v>558.6</v>
      </c>
      <c r="AB80" s="344">
        <v>703.8</v>
      </c>
      <c r="AC80" s="344">
        <v>809.4</v>
      </c>
      <c r="AD80" s="344">
        <v>925</v>
      </c>
      <c r="AE80" s="344">
        <v>911.1</v>
      </c>
      <c r="AF80" s="344">
        <v>1421.3</v>
      </c>
      <c r="AG80" s="344">
        <v>1656</v>
      </c>
      <c r="AH80" s="344">
        <v>1509.3</v>
      </c>
      <c r="AI80" s="344">
        <v>1904.9</v>
      </c>
      <c r="AJ80" s="344">
        <v>1836.3</v>
      </c>
      <c r="AK80" s="344">
        <v>2645.4</v>
      </c>
      <c r="AL80" s="344">
        <v>3349.1</v>
      </c>
      <c r="AM80" s="344">
        <v>3230.2</v>
      </c>
      <c r="AN80" s="344">
        <v>3352.9</v>
      </c>
      <c r="AO80" s="344">
        <v>3769</v>
      </c>
      <c r="AP80" s="344">
        <v>4605.7</v>
      </c>
      <c r="AQ80" s="344">
        <v>4471.2</v>
      </c>
      <c r="AR80" s="344">
        <v>4869.1000000000004</v>
      </c>
      <c r="AS80" s="344">
        <v>5414.4</v>
      </c>
      <c r="AT80" s="344">
        <v>5832.1</v>
      </c>
      <c r="AU80" s="344">
        <v>6485.3</v>
      </c>
      <c r="AV80" s="344">
        <v>7367.3</v>
      </c>
      <c r="AW80" s="344">
        <v>6984.2</v>
      </c>
      <c r="AX80" s="344">
        <v>7214.7</v>
      </c>
      <c r="AY80" s="369">
        <v>7488.9</v>
      </c>
      <c r="AZ80" s="366">
        <v>7488.9</v>
      </c>
      <c r="BA80" s="366">
        <f>AZ80-AY80</f>
        <v>0</v>
      </c>
      <c r="BB80" s="367">
        <f>AY80-AX80</f>
        <v>274.19999999999982</v>
      </c>
      <c r="BC80" s="368">
        <f>AZ80-AX80</f>
        <v>274.19999999999982</v>
      </c>
      <c r="BD80" s="353">
        <f t="shared" si="23"/>
        <v>5.9091757267035971E-2</v>
      </c>
      <c r="BF80" s="319" t="b">
        <v>0</v>
      </c>
      <c r="BH80" s="311"/>
      <c r="BI80" s="311"/>
      <c r="BJ80" s="311"/>
      <c r="BK80" s="311"/>
    </row>
    <row r="81" spans="1:63" ht="15" customHeight="1">
      <c r="A81" s="324" t="s">
        <v>353</v>
      </c>
      <c r="B81" s="345">
        <v>0</v>
      </c>
      <c r="C81" s="345">
        <v>0</v>
      </c>
      <c r="D81" s="345">
        <v>0</v>
      </c>
      <c r="E81" s="345">
        <v>0</v>
      </c>
      <c r="F81" s="345">
        <v>0</v>
      </c>
      <c r="G81" s="345">
        <v>0</v>
      </c>
      <c r="H81" s="345">
        <v>0</v>
      </c>
      <c r="I81" s="345">
        <v>0</v>
      </c>
      <c r="J81" s="345">
        <v>0</v>
      </c>
      <c r="K81" s="345">
        <v>0</v>
      </c>
      <c r="L81" s="345">
        <v>0</v>
      </c>
      <c r="M81" s="345">
        <v>0</v>
      </c>
      <c r="N81" s="345">
        <v>0</v>
      </c>
      <c r="O81" s="345">
        <v>0</v>
      </c>
      <c r="P81" s="345">
        <v>0</v>
      </c>
      <c r="Q81" s="345">
        <v>1500</v>
      </c>
      <c r="R81" s="345">
        <v>1340</v>
      </c>
      <c r="S81" s="345">
        <v>1800</v>
      </c>
      <c r="T81" s="345">
        <v>2140</v>
      </c>
      <c r="U81" s="345">
        <v>1850</v>
      </c>
      <c r="V81" s="345">
        <v>2100</v>
      </c>
      <c r="W81" s="345">
        <v>2150</v>
      </c>
      <c r="X81" s="345">
        <v>1500</v>
      </c>
      <c r="Y81" s="345">
        <v>2100</v>
      </c>
      <c r="Z81" s="345">
        <v>2950</v>
      </c>
      <c r="AA81" s="345">
        <v>2720</v>
      </c>
      <c r="AB81" s="345">
        <v>3489</v>
      </c>
      <c r="AC81" s="345">
        <v>3420</v>
      </c>
      <c r="AD81" s="345">
        <v>3150</v>
      </c>
      <c r="AE81" s="345">
        <v>3900</v>
      </c>
      <c r="AF81" s="345">
        <v>3570</v>
      </c>
      <c r="AG81" s="345">
        <v>4237</v>
      </c>
      <c r="AH81" s="345">
        <v>5003</v>
      </c>
      <c r="AI81" s="345">
        <v>4047</v>
      </c>
      <c r="AJ81" s="345">
        <v>3950</v>
      </c>
      <c r="AK81" s="345">
        <v>5680</v>
      </c>
      <c r="AL81" s="345">
        <v>5780</v>
      </c>
      <c r="AM81" s="345">
        <v>5457</v>
      </c>
      <c r="AN81" s="345">
        <v>6056</v>
      </c>
      <c r="AO81" s="345">
        <v>3999</v>
      </c>
      <c r="AP81" s="345">
        <v>6212</v>
      </c>
      <c r="AQ81" s="345">
        <v>5860</v>
      </c>
      <c r="AR81" s="345">
        <v>6376</v>
      </c>
      <c r="AS81" s="345">
        <v>6392</v>
      </c>
      <c r="AT81" s="345">
        <v>5625</v>
      </c>
      <c r="AU81" s="345">
        <v>6338</v>
      </c>
      <c r="AV81" s="345">
        <v>6886</v>
      </c>
      <c r="AW81" s="345">
        <v>6902</v>
      </c>
      <c r="AX81" s="345">
        <v>7613</v>
      </c>
      <c r="AY81" s="346">
        <v>7154</v>
      </c>
      <c r="AZ81" s="347">
        <v>7011</v>
      </c>
      <c r="BA81" s="347">
        <f>AZ81-AY81</f>
        <v>-143</v>
      </c>
      <c r="BB81" s="351">
        <f>AY81-AX81</f>
        <v>-459</v>
      </c>
      <c r="BC81" s="352">
        <f>AZ81-AX81</f>
        <v>-602</v>
      </c>
      <c r="BD81" s="353">
        <f t="shared" si="23"/>
        <v>3.5580377509493388E-2</v>
      </c>
    </row>
    <row r="82" spans="1:63" s="311" customFormat="1" ht="15" customHeight="1">
      <c r="A82" s="324" t="s">
        <v>354</v>
      </c>
      <c r="B82" s="344">
        <f>B81*B80/1000</f>
        <v>0</v>
      </c>
      <c r="C82" s="344">
        <v>255</v>
      </c>
      <c r="D82" s="344">
        <v>224</v>
      </c>
      <c r="E82" s="344">
        <v>266</v>
      </c>
      <c r="F82" s="344">
        <v>177</v>
      </c>
      <c r="G82" s="344">
        <v>303</v>
      </c>
      <c r="H82" s="344">
        <v>95</v>
      </c>
      <c r="I82" s="344">
        <v>328</v>
      </c>
      <c r="J82" s="344">
        <v>126</v>
      </c>
      <c r="K82" s="344">
        <v>290</v>
      </c>
      <c r="L82" s="344">
        <v>116</v>
      </c>
      <c r="M82" s="344">
        <v>345</v>
      </c>
      <c r="N82" s="344">
        <v>342</v>
      </c>
      <c r="O82" s="344">
        <v>173</v>
      </c>
      <c r="P82" s="344">
        <v>354.7</v>
      </c>
      <c r="Q82" s="344">
        <v>237.2</v>
      </c>
      <c r="R82" s="344">
        <v>197.4</v>
      </c>
      <c r="S82" s="344">
        <v>413.1</v>
      </c>
      <c r="T82" s="344">
        <v>422.5</v>
      </c>
      <c r="U82" s="344">
        <v>455</v>
      </c>
      <c r="V82" s="344">
        <v>362.7</v>
      </c>
      <c r="W82" s="344">
        <v>209.9</v>
      </c>
      <c r="X82" s="344">
        <v>294.10000000000002</v>
      </c>
      <c r="Y82" s="344">
        <v>313.60000000000002</v>
      </c>
      <c r="Z82" s="344">
        <v>310</v>
      </c>
      <c r="AA82" s="344">
        <v>324.5</v>
      </c>
      <c r="AB82" s="344">
        <v>414.2</v>
      </c>
      <c r="AC82" s="344">
        <v>430.4</v>
      </c>
      <c r="AD82" s="344">
        <v>405.1</v>
      </c>
      <c r="AE82" s="344">
        <v>424.4</v>
      </c>
      <c r="AF82" s="344">
        <v>447.1</v>
      </c>
      <c r="AG82" s="344">
        <v>490.4</v>
      </c>
      <c r="AH82" s="344">
        <v>504.1</v>
      </c>
      <c r="AI82" s="344">
        <v>562.1</v>
      </c>
      <c r="AJ82" s="344">
        <v>879.7</v>
      </c>
      <c r="AK82" s="344">
        <v>731.6</v>
      </c>
      <c r="AL82" s="344">
        <v>1309.4000000000001</v>
      </c>
      <c r="AM82" s="344">
        <v>1725.9</v>
      </c>
      <c r="AN82" s="344">
        <v>1469.2</v>
      </c>
      <c r="AO82" s="344">
        <v>874.4</v>
      </c>
      <c r="AP82" s="344">
        <v>1951.9</v>
      </c>
      <c r="AQ82" s="344">
        <v>1884</v>
      </c>
      <c r="AR82" s="344">
        <v>1792.5</v>
      </c>
      <c r="AS82" s="344">
        <v>2196.3000000000002</v>
      </c>
      <c r="AT82" s="344">
        <f t="shared" ref="AT82:AY82" si="29">AT81*AT80/1000</f>
        <v>32805.562500000007</v>
      </c>
      <c r="AU82" s="344">
        <f t="shared" si="29"/>
        <v>41103.831399999995</v>
      </c>
      <c r="AV82" s="344">
        <f t="shared" si="29"/>
        <v>50731.227800000008</v>
      </c>
      <c r="AW82" s="344">
        <f t="shared" si="29"/>
        <v>48204.948400000001</v>
      </c>
      <c r="AX82" s="344">
        <f t="shared" si="29"/>
        <v>54925.511100000003</v>
      </c>
      <c r="AY82" s="365">
        <f t="shared" si="29"/>
        <v>53575.590599999996</v>
      </c>
      <c r="AZ82" s="366">
        <f>AZ81*AZ80/1000</f>
        <v>52504.677899999995</v>
      </c>
      <c r="BA82" s="366">
        <f>AZ82-AY82</f>
        <v>-1070.9127000000008</v>
      </c>
      <c r="BB82" s="367">
        <f>AY82-AX82</f>
        <v>-1349.9205000000075</v>
      </c>
      <c r="BC82" s="368">
        <f>AZ82-AX82</f>
        <v>-2420.8332000000082</v>
      </c>
      <c r="BD82" s="353">
        <f t="shared" si="23"/>
        <v>0.90377881201566335</v>
      </c>
      <c r="BE82" s="309"/>
      <c r="BF82"/>
      <c r="BG82" s="308"/>
    </row>
    <row r="83" spans="1:63" ht="15" customHeight="1">
      <c r="A83" s="320" t="s">
        <v>374</v>
      </c>
      <c r="B83" s="356"/>
      <c r="C83" s="356"/>
      <c r="D83" s="356"/>
      <c r="E83" s="356"/>
      <c r="F83" s="356"/>
      <c r="G83" s="356"/>
      <c r="H83" s="356"/>
      <c r="I83" s="356"/>
      <c r="J83" s="356"/>
      <c r="K83" s="356"/>
      <c r="L83" s="356"/>
      <c r="M83" s="356"/>
      <c r="N83" s="356"/>
      <c r="O83" s="356"/>
      <c r="P83" s="356"/>
      <c r="Q83" s="356"/>
      <c r="R83" s="356"/>
      <c r="S83" s="356"/>
      <c r="T83" s="356"/>
      <c r="U83" s="356"/>
      <c r="V83" s="356"/>
      <c r="W83" s="356"/>
      <c r="X83" s="356"/>
      <c r="Y83" s="356"/>
      <c r="Z83" s="356"/>
      <c r="AA83" s="356"/>
      <c r="AB83" s="356"/>
      <c r="AC83" s="356"/>
      <c r="AD83" s="356"/>
      <c r="AE83" s="356"/>
      <c r="AF83" s="356"/>
      <c r="AG83" s="356"/>
      <c r="AH83" s="356"/>
      <c r="AI83" s="356"/>
      <c r="AJ83" s="356"/>
      <c r="AK83" s="356"/>
      <c r="AL83" s="356"/>
      <c r="AM83" s="356"/>
      <c r="AN83" s="356"/>
      <c r="AO83" s="356"/>
      <c r="AP83" s="356"/>
      <c r="AQ83" s="356"/>
      <c r="AR83" s="356"/>
      <c r="AS83" s="356"/>
      <c r="AT83" s="328"/>
      <c r="AU83" s="328"/>
      <c r="AV83" s="328"/>
      <c r="AW83" s="328"/>
      <c r="AX83" s="328"/>
      <c r="AY83" s="321"/>
      <c r="AZ83" s="328"/>
      <c r="BA83" s="329"/>
      <c r="BB83" s="321"/>
      <c r="BC83" s="328"/>
      <c r="BD83" s="329"/>
    </row>
    <row r="84" spans="1:63" ht="15" customHeight="1">
      <c r="A84" s="324" t="s">
        <v>352</v>
      </c>
      <c r="B84" s="344">
        <v>0</v>
      </c>
      <c r="C84" s="344">
        <v>0</v>
      </c>
      <c r="D84" s="344">
        <v>0</v>
      </c>
      <c r="E84" s="344">
        <v>0</v>
      </c>
      <c r="F84" s="344">
        <v>0</v>
      </c>
      <c r="G84" s="344">
        <v>0</v>
      </c>
      <c r="H84" s="344">
        <v>0</v>
      </c>
      <c r="I84" s="344">
        <v>0</v>
      </c>
      <c r="J84" s="344">
        <v>0</v>
      </c>
      <c r="K84" s="344">
        <v>0</v>
      </c>
      <c r="L84" s="344">
        <v>0</v>
      </c>
      <c r="M84" s="344">
        <v>0</v>
      </c>
      <c r="N84" s="344">
        <v>0</v>
      </c>
      <c r="O84" s="344">
        <v>6.5</v>
      </c>
      <c r="P84" s="344">
        <v>45</v>
      </c>
      <c r="Q84" s="344">
        <v>61</v>
      </c>
      <c r="R84" s="344">
        <v>137.9</v>
      </c>
      <c r="S84" s="344">
        <v>264</v>
      </c>
      <c r="T84" s="344">
        <v>210</v>
      </c>
      <c r="U84" s="344">
        <v>183</v>
      </c>
      <c r="V84" s="344">
        <v>256.2</v>
      </c>
      <c r="W84" s="344">
        <v>307.39999999999998</v>
      </c>
      <c r="X84" s="344">
        <v>292</v>
      </c>
      <c r="Y84" s="344">
        <v>373.8</v>
      </c>
      <c r="Z84" s="344">
        <v>328.9</v>
      </c>
      <c r="AA84" s="344">
        <v>361.8</v>
      </c>
      <c r="AB84" s="344">
        <v>582.5</v>
      </c>
      <c r="AC84" s="344">
        <v>530.4</v>
      </c>
      <c r="AD84" s="344">
        <v>482.7</v>
      </c>
      <c r="AE84" s="344">
        <v>521.29999999999995</v>
      </c>
      <c r="AF84" s="344">
        <v>740.2</v>
      </c>
      <c r="AG84" s="344">
        <v>890.3</v>
      </c>
      <c r="AH84" s="344">
        <v>853.8</v>
      </c>
      <c r="AI84" s="344">
        <v>830</v>
      </c>
      <c r="AJ84" s="344">
        <v>946.8</v>
      </c>
      <c r="AK84" s="344">
        <v>1199.5</v>
      </c>
      <c r="AL84" s="344">
        <v>1461</v>
      </c>
      <c r="AM84" s="344">
        <v>1547.5</v>
      </c>
      <c r="AN84" s="344">
        <v>1615</v>
      </c>
      <c r="AO84" s="344">
        <v>1665</v>
      </c>
      <c r="AP84" s="344">
        <v>1759.9</v>
      </c>
      <c r="AQ84" s="344">
        <v>1720</v>
      </c>
      <c r="AR84" s="344">
        <v>1860</v>
      </c>
      <c r="AS84" s="344">
        <v>1840</v>
      </c>
      <c r="AT84" s="344">
        <v>2114.1999999999998</v>
      </c>
      <c r="AU84" s="344">
        <v>2161.5</v>
      </c>
      <c r="AV84" s="344">
        <v>2245.8000000000002</v>
      </c>
      <c r="AW84" s="344">
        <v>2122.3000000000002</v>
      </c>
      <c r="AX84" s="344">
        <v>2071.4</v>
      </c>
      <c r="AY84" s="369">
        <v>2183.3000000000002</v>
      </c>
      <c r="AZ84" s="366">
        <v>2183.3000000000002</v>
      </c>
      <c r="BA84" s="366">
        <f>AZ84-AY84</f>
        <v>0</v>
      </c>
      <c r="BB84" s="367">
        <f>AY84-AX84</f>
        <v>111.90000000000009</v>
      </c>
      <c r="BC84" s="368">
        <f>AZ84-AX84</f>
        <v>111.90000000000009</v>
      </c>
      <c r="BD84" s="353">
        <f t="shared" si="23"/>
        <v>2.3974708017217239E-2</v>
      </c>
      <c r="BF84" s="319" t="b">
        <v>0</v>
      </c>
      <c r="BH84" s="311"/>
      <c r="BI84" s="311"/>
      <c r="BJ84" s="311"/>
      <c r="BK84" s="311"/>
    </row>
    <row r="85" spans="1:63" ht="15" customHeight="1">
      <c r="A85" s="324" t="s">
        <v>375</v>
      </c>
      <c r="B85" s="345">
        <v>0</v>
      </c>
      <c r="C85" s="345">
        <v>0</v>
      </c>
      <c r="D85" s="345">
        <v>0</v>
      </c>
      <c r="E85" s="345">
        <v>0</v>
      </c>
      <c r="F85" s="345">
        <v>0</v>
      </c>
      <c r="G85" s="345">
        <v>0</v>
      </c>
      <c r="H85" s="345">
        <v>0</v>
      </c>
      <c r="I85" s="345">
        <v>0</v>
      </c>
      <c r="J85" s="345">
        <v>0</v>
      </c>
      <c r="K85" s="345">
        <v>0</v>
      </c>
      <c r="L85" s="345">
        <v>0</v>
      </c>
      <c r="M85" s="345">
        <v>0</v>
      </c>
      <c r="N85" s="345">
        <v>0</v>
      </c>
      <c r="O85" s="345">
        <v>1892.3076923076924</v>
      </c>
      <c r="P85" s="345">
        <v>1700</v>
      </c>
      <c r="Q85" s="345">
        <v>1600</v>
      </c>
      <c r="R85" s="345">
        <v>1300</v>
      </c>
      <c r="S85" s="345">
        <v>985</v>
      </c>
      <c r="T85" s="345">
        <v>1700</v>
      </c>
      <c r="U85" s="345">
        <v>1800</v>
      </c>
      <c r="V85" s="345">
        <v>2630</v>
      </c>
      <c r="W85" s="345">
        <v>2450</v>
      </c>
      <c r="X85" s="345">
        <v>2345</v>
      </c>
      <c r="Y85" s="345">
        <v>1695</v>
      </c>
      <c r="Z85" s="345">
        <v>2950</v>
      </c>
      <c r="AA85" s="345">
        <v>1957</v>
      </c>
      <c r="AB85" s="345">
        <v>4050</v>
      </c>
      <c r="AC85" s="345">
        <v>3421</v>
      </c>
      <c r="AD85" s="345">
        <v>1980</v>
      </c>
      <c r="AE85" s="345">
        <v>3300</v>
      </c>
      <c r="AF85" s="345">
        <v>3230</v>
      </c>
      <c r="AG85" s="345">
        <v>3255</v>
      </c>
      <c r="AH85" s="345">
        <v>2120</v>
      </c>
      <c r="AI85" s="345">
        <v>4050</v>
      </c>
      <c r="AJ85" s="345">
        <v>3290</v>
      </c>
      <c r="AK85" s="345">
        <v>5100</v>
      </c>
      <c r="AL85" s="345">
        <v>5100</v>
      </c>
      <c r="AM85" s="345">
        <v>5140</v>
      </c>
      <c r="AN85" s="345">
        <v>5640</v>
      </c>
      <c r="AO85" s="345">
        <v>3679</v>
      </c>
      <c r="AP85" s="345">
        <v>5460</v>
      </c>
      <c r="AQ85" s="345">
        <v>3685</v>
      </c>
      <c r="AR85" s="345">
        <v>5040</v>
      </c>
      <c r="AS85" s="345">
        <v>4700</v>
      </c>
      <c r="AT85" s="345">
        <v>2980</v>
      </c>
      <c r="AU85" s="345">
        <v>5669</v>
      </c>
      <c r="AV85" s="345">
        <v>5758</v>
      </c>
      <c r="AW85" s="345">
        <v>3746</v>
      </c>
      <c r="AX85" s="345">
        <v>6366</v>
      </c>
      <c r="AY85" s="346">
        <v>5712</v>
      </c>
      <c r="AZ85" s="347">
        <v>5598</v>
      </c>
      <c r="BA85" s="347">
        <f>AZ85-AY85</f>
        <v>-114</v>
      </c>
      <c r="BB85" s="351">
        <f>AY85-AX85</f>
        <v>-654</v>
      </c>
      <c r="BC85" s="352">
        <f>AZ85-AX85</f>
        <v>-768</v>
      </c>
      <c r="BD85" s="353">
        <f t="shared" si="23"/>
        <v>6.2560715335302053E-2</v>
      </c>
    </row>
    <row r="86" spans="1:63" s="311" customFormat="1" ht="15" customHeight="1">
      <c r="A86" s="324" t="s">
        <v>376</v>
      </c>
      <c r="B86" s="344">
        <f>B85*B84/1000</f>
        <v>0</v>
      </c>
      <c r="C86" s="344">
        <v>255</v>
      </c>
      <c r="D86" s="344">
        <v>224</v>
      </c>
      <c r="E86" s="344">
        <v>266</v>
      </c>
      <c r="F86" s="344">
        <v>177</v>
      </c>
      <c r="G86" s="344">
        <v>303</v>
      </c>
      <c r="H86" s="344">
        <v>95</v>
      </c>
      <c r="I86" s="344">
        <v>328</v>
      </c>
      <c r="J86" s="344">
        <v>126</v>
      </c>
      <c r="K86" s="344">
        <v>290</v>
      </c>
      <c r="L86" s="344">
        <v>116</v>
      </c>
      <c r="M86" s="344">
        <v>345</v>
      </c>
      <c r="N86" s="344">
        <v>342</v>
      </c>
      <c r="O86" s="344">
        <v>173</v>
      </c>
      <c r="P86" s="344">
        <v>354.7</v>
      </c>
      <c r="Q86" s="344">
        <v>237.2</v>
      </c>
      <c r="R86" s="344">
        <v>197.4</v>
      </c>
      <c r="S86" s="344">
        <v>413.1</v>
      </c>
      <c r="T86" s="344">
        <v>422.5</v>
      </c>
      <c r="U86" s="344">
        <v>455</v>
      </c>
      <c r="V86" s="344">
        <v>362.7</v>
      </c>
      <c r="W86" s="344">
        <v>209.9</v>
      </c>
      <c r="X86" s="344">
        <v>294.10000000000002</v>
      </c>
      <c r="Y86" s="344">
        <v>313.60000000000002</v>
      </c>
      <c r="Z86" s="344">
        <v>310</v>
      </c>
      <c r="AA86" s="344">
        <v>324.5</v>
      </c>
      <c r="AB86" s="344">
        <v>414.2</v>
      </c>
      <c r="AC86" s="344">
        <v>430.4</v>
      </c>
      <c r="AD86" s="344">
        <v>405.1</v>
      </c>
      <c r="AE86" s="344">
        <v>424.4</v>
      </c>
      <c r="AF86" s="344">
        <v>447.1</v>
      </c>
      <c r="AG86" s="344">
        <v>490.4</v>
      </c>
      <c r="AH86" s="344">
        <v>504.1</v>
      </c>
      <c r="AI86" s="344">
        <v>562.1</v>
      </c>
      <c r="AJ86" s="344">
        <v>879.7</v>
      </c>
      <c r="AK86" s="344">
        <v>731.6</v>
      </c>
      <c r="AL86" s="344">
        <v>1309.4000000000001</v>
      </c>
      <c r="AM86" s="344">
        <v>1725.9</v>
      </c>
      <c r="AN86" s="344">
        <v>1469.2</v>
      </c>
      <c r="AO86" s="344">
        <v>874.4</v>
      </c>
      <c r="AP86" s="344">
        <v>1951.9</v>
      </c>
      <c r="AQ86" s="344">
        <v>1884</v>
      </c>
      <c r="AR86" s="344">
        <v>1792.5</v>
      </c>
      <c r="AS86" s="344">
        <v>2196.3000000000002</v>
      </c>
      <c r="AT86" s="344">
        <f t="shared" ref="AT86:AY86" si="30">AT85*AT84/1000</f>
        <v>6300.3159999999989</v>
      </c>
      <c r="AU86" s="344">
        <f t="shared" si="30"/>
        <v>12253.5435</v>
      </c>
      <c r="AV86" s="344">
        <f t="shared" si="30"/>
        <v>12931.3164</v>
      </c>
      <c r="AW86" s="344">
        <f t="shared" si="30"/>
        <v>7950.1358000000009</v>
      </c>
      <c r="AX86" s="344">
        <f t="shared" si="30"/>
        <v>13186.5324</v>
      </c>
      <c r="AY86" s="365">
        <f t="shared" si="30"/>
        <v>12471.009600000001</v>
      </c>
      <c r="AZ86" s="366">
        <f>AZ85*AZ84/1000</f>
        <v>12222.1134</v>
      </c>
      <c r="BA86" s="366">
        <f>AZ86-AY86</f>
        <v>-248.89620000000104</v>
      </c>
      <c r="BB86" s="367">
        <f>AY86-AX86</f>
        <v>-715.52279999999882</v>
      </c>
      <c r="BC86" s="368">
        <f>AZ86-AX86</f>
        <v>-964.41899999999987</v>
      </c>
      <c r="BD86" s="353">
        <f t="shared" si="23"/>
        <v>0.43115868002973845</v>
      </c>
      <c r="BE86" s="309"/>
      <c r="BF86"/>
      <c r="BG86" s="308"/>
    </row>
    <row r="87" spans="1:63" ht="15" customHeight="1">
      <c r="A87" s="320" t="s">
        <v>377</v>
      </c>
      <c r="B87" s="356"/>
      <c r="C87" s="356"/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56"/>
      <c r="Z87" s="356"/>
      <c r="AA87" s="356"/>
      <c r="AB87" s="356"/>
      <c r="AC87" s="356"/>
      <c r="AD87" s="356"/>
      <c r="AE87" s="356"/>
      <c r="AF87" s="356"/>
      <c r="AG87" s="356"/>
      <c r="AH87" s="356"/>
      <c r="AI87" s="356"/>
      <c r="AJ87" s="356"/>
      <c r="AK87" s="356"/>
      <c r="AL87" s="356"/>
      <c r="AM87" s="356"/>
      <c r="AN87" s="356"/>
      <c r="AO87" s="356"/>
      <c r="AP87" s="356"/>
      <c r="AQ87" s="356"/>
      <c r="AR87" s="356"/>
      <c r="AS87" s="356"/>
      <c r="AT87" s="328"/>
      <c r="AU87" s="328"/>
      <c r="AV87" s="328"/>
      <c r="AW87" s="328"/>
      <c r="AX87" s="328"/>
      <c r="AY87" s="321"/>
      <c r="AZ87" s="328"/>
      <c r="BA87" s="329"/>
      <c r="BB87" s="321"/>
      <c r="BC87" s="328"/>
      <c r="BD87" s="329"/>
    </row>
    <row r="88" spans="1:63" ht="15" customHeight="1">
      <c r="A88" s="324" t="s">
        <v>352</v>
      </c>
      <c r="B88" s="344">
        <v>0</v>
      </c>
      <c r="C88" s="344">
        <v>0</v>
      </c>
      <c r="D88" s="344">
        <v>0</v>
      </c>
      <c r="E88" s="344">
        <v>0</v>
      </c>
      <c r="F88" s="344">
        <v>0</v>
      </c>
      <c r="G88" s="344">
        <v>0</v>
      </c>
      <c r="H88" s="344">
        <v>0</v>
      </c>
      <c r="I88" s="344">
        <v>0</v>
      </c>
      <c r="J88" s="344">
        <v>0</v>
      </c>
      <c r="K88" s="344">
        <v>0</v>
      </c>
      <c r="L88" s="344">
        <v>0</v>
      </c>
      <c r="M88" s="344">
        <v>0</v>
      </c>
      <c r="N88" s="344">
        <v>0</v>
      </c>
      <c r="O88" s="344">
        <v>0</v>
      </c>
      <c r="P88" s="344">
        <v>0</v>
      </c>
      <c r="Q88" s="344">
        <v>12</v>
      </c>
      <c r="R88" s="344">
        <v>44.1</v>
      </c>
      <c r="S88" s="344">
        <v>135</v>
      </c>
      <c r="T88" s="344">
        <v>86.5</v>
      </c>
      <c r="U88" s="344">
        <v>129.80000000000001</v>
      </c>
      <c r="V88" s="344">
        <v>207.7</v>
      </c>
      <c r="W88" s="344">
        <v>205.6</v>
      </c>
      <c r="X88" s="344">
        <v>236.4</v>
      </c>
      <c r="Y88" s="344">
        <v>264.8</v>
      </c>
      <c r="Z88" s="344">
        <v>165.6</v>
      </c>
      <c r="AA88" s="344">
        <v>265</v>
      </c>
      <c r="AB88" s="344">
        <v>238.5</v>
      </c>
      <c r="AC88" s="344">
        <v>205.1</v>
      </c>
      <c r="AD88" s="344">
        <v>180.5</v>
      </c>
      <c r="AE88" s="344">
        <v>202.2</v>
      </c>
      <c r="AF88" s="344">
        <v>244.7</v>
      </c>
      <c r="AG88" s="344">
        <v>271.3</v>
      </c>
      <c r="AH88" s="344">
        <v>371.4</v>
      </c>
      <c r="AI88" s="344">
        <v>434.9</v>
      </c>
      <c r="AJ88" s="344">
        <v>539.29999999999995</v>
      </c>
      <c r="AK88" s="344">
        <v>694.6</v>
      </c>
      <c r="AL88" s="344">
        <v>838.6</v>
      </c>
      <c r="AM88" s="344">
        <v>952.3</v>
      </c>
      <c r="AN88" s="344">
        <v>1112.3</v>
      </c>
      <c r="AO88" s="344">
        <v>1274.7</v>
      </c>
      <c r="AP88" s="344">
        <v>1260.7</v>
      </c>
      <c r="AQ88" s="344">
        <v>1230.4000000000001</v>
      </c>
      <c r="AR88" s="344">
        <v>1412</v>
      </c>
      <c r="AS88" s="344">
        <v>1633.7</v>
      </c>
      <c r="AT88" s="344">
        <v>1656.6</v>
      </c>
      <c r="AU88" s="344">
        <v>1740</v>
      </c>
      <c r="AV88" s="344">
        <v>1736.5</v>
      </c>
      <c r="AW88" s="344">
        <v>1592.4</v>
      </c>
      <c r="AX88" s="344">
        <v>1820.1</v>
      </c>
      <c r="AY88" s="369">
        <v>1912.9</v>
      </c>
      <c r="AZ88" s="366">
        <v>1912.9</v>
      </c>
      <c r="BA88" s="366">
        <f>AZ88-AY88</f>
        <v>0</v>
      </c>
      <c r="BB88" s="367">
        <f>AY88-AX88</f>
        <v>92.800000000000182</v>
      </c>
      <c r="BC88" s="368">
        <f>AZ88-AX88</f>
        <v>92.800000000000182</v>
      </c>
      <c r="BD88" s="353">
        <f t="shared" si="23"/>
        <v>2.1843973907105019E-2</v>
      </c>
      <c r="BF88" s="319" t="b">
        <v>0</v>
      </c>
      <c r="BH88" s="311"/>
      <c r="BI88" s="311"/>
      <c r="BJ88" s="311"/>
      <c r="BK88" s="311"/>
    </row>
    <row r="89" spans="1:63" ht="15" customHeight="1">
      <c r="A89" s="324" t="s">
        <v>375</v>
      </c>
      <c r="B89" s="345">
        <v>0</v>
      </c>
      <c r="C89" s="345">
        <v>0</v>
      </c>
      <c r="D89" s="345">
        <v>0</v>
      </c>
      <c r="E89" s="345">
        <v>0</v>
      </c>
      <c r="F89" s="345">
        <v>0</v>
      </c>
      <c r="G89" s="345">
        <v>0</v>
      </c>
      <c r="H89" s="345">
        <v>0</v>
      </c>
      <c r="I89" s="345">
        <v>0</v>
      </c>
      <c r="J89" s="345">
        <v>0</v>
      </c>
      <c r="K89" s="345">
        <v>0</v>
      </c>
      <c r="L89" s="345">
        <v>0</v>
      </c>
      <c r="M89" s="345">
        <v>0</v>
      </c>
      <c r="N89" s="345">
        <v>0</v>
      </c>
      <c r="O89" s="345">
        <v>0</v>
      </c>
      <c r="P89" s="345">
        <v>0</v>
      </c>
      <c r="Q89" s="345">
        <v>2780</v>
      </c>
      <c r="R89" s="345">
        <v>1575</v>
      </c>
      <c r="S89" s="345">
        <v>2395</v>
      </c>
      <c r="T89" s="345">
        <v>2500</v>
      </c>
      <c r="U89" s="345">
        <v>2500</v>
      </c>
      <c r="V89" s="345">
        <v>3100</v>
      </c>
      <c r="W89" s="345">
        <v>3200</v>
      </c>
      <c r="X89" s="345">
        <v>2400</v>
      </c>
      <c r="Y89" s="345">
        <v>2600</v>
      </c>
      <c r="Z89" s="345">
        <v>3400</v>
      </c>
      <c r="AA89" s="345">
        <v>3620</v>
      </c>
      <c r="AB89" s="345">
        <v>4200</v>
      </c>
      <c r="AC89" s="345">
        <v>4368</v>
      </c>
      <c r="AD89" s="345">
        <v>3525</v>
      </c>
      <c r="AE89" s="345">
        <v>4000</v>
      </c>
      <c r="AF89" s="345">
        <v>3765</v>
      </c>
      <c r="AG89" s="345">
        <v>4670</v>
      </c>
      <c r="AH89" s="345">
        <v>4569</v>
      </c>
      <c r="AI89" s="345">
        <v>4950</v>
      </c>
      <c r="AJ89" s="345">
        <v>5400</v>
      </c>
      <c r="AK89" s="345">
        <v>6043</v>
      </c>
      <c r="AL89" s="345">
        <v>5744</v>
      </c>
      <c r="AM89" s="345">
        <v>6130</v>
      </c>
      <c r="AN89" s="345">
        <v>6578</v>
      </c>
      <c r="AO89" s="345">
        <v>3537</v>
      </c>
      <c r="AP89" s="345">
        <v>6000</v>
      </c>
      <c r="AQ89" s="345">
        <v>5200</v>
      </c>
      <c r="AR89" s="345">
        <v>6720</v>
      </c>
      <c r="AS89" s="345">
        <v>6365</v>
      </c>
      <c r="AT89" s="345">
        <v>4100</v>
      </c>
      <c r="AU89" s="345">
        <v>4547</v>
      </c>
      <c r="AV89" s="345">
        <v>6382</v>
      </c>
      <c r="AW89" s="345">
        <v>6229</v>
      </c>
      <c r="AX89" s="345">
        <v>6987</v>
      </c>
      <c r="AY89" s="346">
        <v>6656</v>
      </c>
      <c r="AZ89" s="347">
        <v>6523</v>
      </c>
      <c r="BA89" s="347">
        <f>AZ89-AY89</f>
        <v>-133</v>
      </c>
      <c r="BB89" s="351">
        <f>AY89-AX89</f>
        <v>-331</v>
      </c>
      <c r="BC89" s="352">
        <f>AZ89-AX89</f>
        <v>-464</v>
      </c>
      <c r="BD89" s="353">
        <f t="shared" si="23"/>
        <v>1.8822358207666312E-2</v>
      </c>
    </row>
    <row r="90" spans="1:63" s="311" customFormat="1" ht="15" customHeight="1">
      <c r="A90" s="324" t="s">
        <v>376</v>
      </c>
      <c r="B90" s="344">
        <f>B89*B88/1000</f>
        <v>0</v>
      </c>
      <c r="C90" s="344">
        <v>255</v>
      </c>
      <c r="D90" s="344">
        <v>224</v>
      </c>
      <c r="E90" s="344">
        <v>266</v>
      </c>
      <c r="F90" s="344">
        <v>177</v>
      </c>
      <c r="G90" s="344">
        <v>303</v>
      </c>
      <c r="H90" s="344">
        <v>95</v>
      </c>
      <c r="I90" s="344">
        <v>328</v>
      </c>
      <c r="J90" s="344">
        <v>126</v>
      </c>
      <c r="K90" s="344">
        <v>290</v>
      </c>
      <c r="L90" s="344">
        <v>116</v>
      </c>
      <c r="M90" s="344">
        <v>345</v>
      </c>
      <c r="N90" s="344">
        <v>342</v>
      </c>
      <c r="O90" s="344">
        <v>173</v>
      </c>
      <c r="P90" s="344">
        <v>354.7</v>
      </c>
      <c r="Q90" s="344">
        <v>237.2</v>
      </c>
      <c r="R90" s="344">
        <v>197.4</v>
      </c>
      <c r="S90" s="344">
        <v>413.1</v>
      </c>
      <c r="T90" s="344">
        <v>422.5</v>
      </c>
      <c r="U90" s="344">
        <v>455</v>
      </c>
      <c r="V90" s="344">
        <v>362.7</v>
      </c>
      <c r="W90" s="344">
        <v>209.9</v>
      </c>
      <c r="X90" s="344">
        <v>294.10000000000002</v>
      </c>
      <c r="Y90" s="344">
        <v>313.60000000000002</v>
      </c>
      <c r="Z90" s="344">
        <v>310</v>
      </c>
      <c r="AA90" s="344">
        <v>324.5</v>
      </c>
      <c r="AB90" s="344">
        <v>414.2</v>
      </c>
      <c r="AC90" s="344">
        <v>430.4</v>
      </c>
      <c r="AD90" s="344">
        <v>405.1</v>
      </c>
      <c r="AE90" s="344">
        <v>424.4</v>
      </c>
      <c r="AF90" s="344">
        <v>447.1</v>
      </c>
      <c r="AG90" s="344">
        <v>490.4</v>
      </c>
      <c r="AH90" s="344">
        <v>504.1</v>
      </c>
      <c r="AI90" s="344">
        <v>562.1</v>
      </c>
      <c r="AJ90" s="344">
        <v>879.7</v>
      </c>
      <c r="AK90" s="344">
        <v>731.6</v>
      </c>
      <c r="AL90" s="344">
        <v>1309.4000000000001</v>
      </c>
      <c r="AM90" s="344">
        <v>1725.9</v>
      </c>
      <c r="AN90" s="344">
        <v>1469.2</v>
      </c>
      <c r="AO90" s="344">
        <v>874.4</v>
      </c>
      <c r="AP90" s="344">
        <v>1951.9</v>
      </c>
      <c r="AQ90" s="344">
        <v>1884</v>
      </c>
      <c r="AR90" s="344">
        <v>1792.5</v>
      </c>
      <c r="AS90" s="344">
        <v>2196.3000000000002</v>
      </c>
      <c r="AT90" s="344">
        <f t="shared" ref="AT90:AY90" si="31">AT89*AT88/1000</f>
        <v>6792.06</v>
      </c>
      <c r="AU90" s="344">
        <f t="shared" si="31"/>
        <v>7911.78</v>
      </c>
      <c r="AV90" s="344">
        <f t="shared" si="31"/>
        <v>11082.343000000001</v>
      </c>
      <c r="AW90" s="344">
        <f t="shared" si="31"/>
        <v>9919.0596000000023</v>
      </c>
      <c r="AX90" s="344">
        <f t="shared" si="31"/>
        <v>12717.038699999999</v>
      </c>
      <c r="AY90" s="365">
        <f t="shared" si="31"/>
        <v>12732.2624</v>
      </c>
      <c r="AZ90" s="366">
        <f>AZ89*AZ88/1000</f>
        <v>12477.846700000002</v>
      </c>
      <c r="BA90" s="366">
        <f>AZ90-AY90</f>
        <v>-254.41569999999774</v>
      </c>
      <c r="BB90" s="367">
        <f>AY90-AX90</f>
        <v>15.223700000000463</v>
      </c>
      <c r="BC90" s="368">
        <f>AZ90-AX90</f>
        <v>-239.19199999999728</v>
      </c>
      <c r="BD90" s="353">
        <f t="shared" si="23"/>
        <v>0.42081936040370294</v>
      </c>
      <c r="BE90" s="309"/>
      <c r="BF90"/>
      <c r="BG90" s="308"/>
    </row>
    <row r="91" spans="1:63" ht="15" customHeight="1">
      <c r="A91" s="320" t="s">
        <v>378</v>
      </c>
      <c r="B91" s="356"/>
      <c r="C91" s="356"/>
      <c r="D91" s="356"/>
      <c r="E91" s="356"/>
      <c r="F91" s="356"/>
      <c r="G91" s="356"/>
      <c r="H91" s="356"/>
      <c r="I91" s="356"/>
      <c r="J91" s="356"/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56"/>
      <c r="Z91" s="356"/>
      <c r="AA91" s="356"/>
      <c r="AB91" s="356"/>
      <c r="AC91" s="356"/>
      <c r="AD91" s="356"/>
      <c r="AE91" s="356"/>
      <c r="AF91" s="356"/>
      <c r="AG91" s="356"/>
      <c r="AH91" s="356"/>
      <c r="AI91" s="356"/>
      <c r="AJ91" s="356"/>
      <c r="AK91" s="356"/>
      <c r="AL91" s="356"/>
      <c r="AM91" s="356"/>
      <c r="AN91" s="356"/>
      <c r="AO91" s="356"/>
      <c r="AP91" s="356"/>
      <c r="AQ91" s="356"/>
      <c r="AR91" s="356"/>
      <c r="AS91" s="356"/>
      <c r="AT91" s="328"/>
      <c r="AU91" s="328"/>
      <c r="AV91" s="328"/>
      <c r="AW91" s="328"/>
      <c r="AX91" s="328"/>
      <c r="AY91" s="321"/>
      <c r="AZ91" s="328"/>
      <c r="BA91" s="329"/>
      <c r="BB91" s="321"/>
      <c r="BC91" s="328"/>
      <c r="BD91" s="329"/>
    </row>
    <row r="92" spans="1:63" ht="15" customHeight="1">
      <c r="A92" s="324" t="s">
        <v>352</v>
      </c>
      <c r="B92" s="344">
        <v>0</v>
      </c>
      <c r="C92" s="344">
        <v>0</v>
      </c>
      <c r="D92" s="344">
        <v>0</v>
      </c>
      <c r="E92" s="344">
        <v>0</v>
      </c>
      <c r="F92" s="344">
        <v>0</v>
      </c>
      <c r="G92" s="344">
        <v>0</v>
      </c>
      <c r="H92" s="344">
        <v>0</v>
      </c>
      <c r="I92" s="344">
        <v>0</v>
      </c>
      <c r="J92" s="344">
        <v>0</v>
      </c>
      <c r="K92" s="344">
        <v>0</v>
      </c>
      <c r="L92" s="344">
        <v>0</v>
      </c>
      <c r="M92" s="344">
        <v>0</v>
      </c>
      <c r="N92" s="344">
        <v>0</v>
      </c>
      <c r="O92" s="344">
        <v>0</v>
      </c>
      <c r="P92" s="344">
        <v>0</v>
      </c>
      <c r="Q92" s="344">
        <v>0</v>
      </c>
      <c r="R92" s="344">
        <v>0</v>
      </c>
      <c r="S92" s="344">
        <v>0</v>
      </c>
      <c r="T92" s="344">
        <v>0</v>
      </c>
      <c r="U92" s="344">
        <v>0</v>
      </c>
      <c r="V92" s="344">
        <v>0</v>
      </c>
      <c r="W92" s="344">
        <v>2.7</v>
      </c>
      <c r="X92" s="344">
        <v>5.6</v>
      </c>
      <c r="Y92" s="344">
        <v>5.2</v>
      </c>
      <c r="Z92" s="344">
        <v>5.2</v>
      </c>
      <c r="AA92" s="344">
        <v>5.7</v>
      </c>
      <c r="AB92" s="344">
        <v>6.4</v>
      </c>
      <c r="AC92" s="344">
        <v>6.4</v>
      </c>
      <c r="AD92" s="344">
        <v>6.7</v>
      </c>
      <c r="AE92" s="344">
        <v>6.2</v>
      </c>
      <c r="AF92" s="344">
        <v>7.7</v>
      </c>
      <c r="AG92" s="344">
        <v>8.3000000000000007</v>
      </c>
      <c r="AH92" s="344">
        <v>4.8</v>
      </c>
      <c r="AI92" s="344">
        <v>7.5</v>
      </c>
      <c r="AJ92" s="344">
        <v>4.9000000000000004</v>
      </c>
      <c r="AK92" s="344">
        <v>8.6999999999999993</v>
      </c>
      <c r="AL92" s="344">
        <v>18.399999999999999</v>
      </c>
      <c r="AM92" s="344">
        <v>50</v>
      </c>
      <c r="AN92" s="344">
        <v>38.4</v>
      </c>
      <c r="AO92" s="344">
        <v>38.4</v>
      </c>
      <c r="AP92" s="344">
        <v>38.4</v>
      </c>
      <c r="AQ92" s="344">
        <v>35.799999999999997</v>
      </c>
      <c r="AR92" s="344">
        <v>38.1</v>
      </c>
      <c r="AS92" s="344">
        <v>38.1</v>
      </c>
      <c r="AT92" s="344">
        <v>38.1</v>
      </c>
      <c r="AU92" s="344">
        <v>50</v>
      </c>
      <c r="AV92" s="344">
        <v>40</v>
      </c>
      <c r="AW92" s="344">
        <v>35</v>
      </c>
      <c r="AX92" s="344">
        <v>40.700000000000003</v>
      </c>
      <c r="AY92" s="369">
        <v>40.700000000000003</v>
      </c>
      <c r="AZ92" s="366">
        <v>40.700000000000003</v>
      </c>
      <c r="BA92" s="366">
        <f>AZ92-AY92</f>
        <v>0</v>
      </c>
      <c r="BB92" s="367">
        <f>AY92-AX92</f>
        <v>0</v>
      </c>
      <c r="BC92" s="368">
        <f>AZ92-AX92</f>
        <v>0</v>
      </c>
      <c r="BD92" s="353">
        <f t="shared" si="23"/>
        <v>1.3290303364300593E-2</v>
      </c>
      <c r="BF92" s="319" t="b">
        <v>0</v>
      </c>
      <c r="BH92" s="311"/>
      <c r="BI92" s="311"/>
      <c r="BJ92" s="311"/>
      <c r="BK92" s="311"/>
    </row>
    <row r="93" spans="1:63" ht="15" customHeight="1">
      <c r="A93" s="324" t="s">
        <v>353</v>
      </c>
      <c r="B93" s="345">
        <v>0</v>
      </c>
      <c r="C93" s="345">
        <v>0</v>
      </c>
      <c r="D93" s="345">
        <v>0</v>
      </c>
      <c r="E93" s="345">
        <v>0</v>
      </c>
      <c r="F93" s="345">
        <v>0</v>
      </c>
      <c r="G93" s="345">
        <v>0</v>
      </c>
      <c r="H93" s="345">
        <v>0</v>
      </c>
      <c r="I93" s="345">
        <v>0</v>
      </c>
      <c r="J93" s="345">
        <v>0</v>
      </c>
      <c r="K93" s="345">
        <v>0</v>
      </c>
      <c r="L93" s="345">
        <v>0</v>
      </c>
      <c r="M93" s="345">
        <v>0</v>
      </c>
      <c r="N93" s="345">
        <v>0</v>
      </c>
      <c r="O93" s="345">
        <v>0</v>
      </c>
      <c r="P93" s="345">
        <v>0</v>
      </c>
      <c r="Q93" s="345">
        <v>0</v>
      </c>
      <c r="R93" s="345">
        <v>0</v>
      </c>
      <c r="S93" s="345">
        <v>0</v>
      </c>
      <c r="T93" s="345">
        <v>0</v>
      </c>
      <c r="U93" s="345">
        <v>0</v>
      </c>
      <c r="V93" s="345">
        <v>0</v>
      </c>
      <c r="W93" s="345">
        <v>3393</v>
      </c>
      <c r="X93" s="345">
        <v>2602</v>
      </c>
      <c r="Y93" s="345">
        <v>2210</v>
      </c>
      <c r="Z93" s="345">
        <v>3000</v>
      </c>
      <c r="AA93" s="345">
        <v>3000</v>
      </c>
      <c r="AB93" s="345">
        <v>4150</v>
      </c>
      <c r="AC93" s="345">
        <v>3800</v>
      </c>
      <c r="AD93" s="345">
        <v>4647</v>
      </c>
      <c r="AE93" s="345">
        <v>4891</v>
      </c>
      <c r="AF93" s="345">
        <v>3188</v>
      </c>
      <c r="AG93" s="345">
        <v>5635</v>
      </c>
      <c r="AH93" s="345">
        <v>5350</v>
      </c>
      <c r="AI93" s="345">
        <v>7304</v>
      </c>
      <c r="AJ93" s="345">
        <v>6900</v>
      </c>
      <c r="AK93" s="345">
        <v>6000</v>
      </c>
      <c r="AL93" s="345">
        <v>9261</v>
      </c>
      <c r="AM93" s="345">
        <v>9000</v>
      </c>
      <c r="AN93" s="345">
        <v>9000</v>
      </c>
      <c r="AO93" s="345">
        <v>2400</v>
      </c>
      <c r="AP93" s="345">
        <v>7000</v>
      </c>
      <c r="AQ93" s="345">
        <v>6500</v>
      </c>
      <c r="AR93" s="345">
        <v>7300</v>
      </c>
      <c r="AS93" s="345">
        <v>6880</v>
      </c>
      <c r="AT93" s="345">
        <v>4270</v>
      </c>
      <c r="AU93" s="345">
        <v>4620</v>
      </c>
      <c r="AV93" s="345">
        <v>5560</v>
      </c>
      <c r="AW93" s="345">
        <v>6000</v>
      </c>
      <c r="AX93" s="345">
        <v>6600</v>
      </c>
      <c r="AY93" s="346">
        <v>6407</v>
      </c>
      <c r="AZ93" s="347">
        <v>6279</v>
      </c>
      <c r="BA93" s="347">
        <f>AZ93-AY93</f>
        <v>-128</v>
      </c>
      <c r="BB93" s="351">
        <f>AY93-AX93</f>
        <v>-193</v>
      </c>
      <c r="BC93" s="352">
        <f>AZ93-AX93</f>
        <v>-321</v>
      </c>
      <c r="BD93" s="353">
        <f t="shared" si="23"/>
        <v>-8.2753696271776755E-3</v>
      </c>
    </row>
    <row r="94" spans="1:63" ht="15" customHeight="1" thickBot="1">
      <c r="A94" s="324" t="s">
        <v>354</v>
      </c>
      <c r="B94" s="344">
        <f>B93*B92/1000</f>
        <v>0</v>
      </c>
      <c r="C94" s="344">
        <v>255</v>
      </c>
      <c r="D94" s="344">
        <v>224</v>
      </c>
      <c r="E94" s="344">
        <v>266</v>
      </c>
      <c r="F94" s="344">
        <v>177</v>
      </c>
      <c r="G94" s="344">
        <v>303</v>
      </c>
      <c r="H94" s="344">
        <v>95</v>
      </c>
      <c r="I94" s="344">
        <v>328</v>
      </c>
      <c r="J94" s="344">
        <v>126</v>
      </c>
      <c r="K94" s="344">
        <v>290</v>
      </c>
      <c r="L94" s="344">
        <v>116</v>
      </c>
      <c r="M94" s="344">
        <v>345</v>
      </c>
      <c r="N94" s="344">
        <v>342</v>
      </c>
      <c r="O94" s="344">
        <v>173</v>
      </c>
      <c r="P94" s="344">
        <v>354.7</v>
      </c>
      <c r="Q94" s="344">
        <v>237.2</v>
      </c>
      <c r="R94" s="344">
        <v>197.4</v>
      </c>
      <c r="S94" s="344">
        <v>413.1</v>
      </c>
      <c r="T94" s="344">
        <v>422.5</v>
      </c>
      <c r="U94" s="344">
        <v>455</v>
      </c>
      <c r="V94" s="344">
        <v>362.7</v>
      </c>
      <c r="W94" s="344">
        <v>209.9</v>
      </c>
      <c r="X94" s="344">
        <v>294.10000000000002</v>
      </c>
      <c r="Y94" s="344">
        <v>313.60000000000002</v>
      </c>
      <c r="Z94" s="344">
        <v>310</v>
      </c>
      <c r="AA94" s="344">
        <v>324.5</v>
      </c>
      <c r="AB94" s="344">
        <v>414.2</v>
      </c>
      <c r="AC94" s="344">
        <v>430.4</v>
      </c>
      <c r="AD94" s="344">
        <v>405.1</v>
      </c>
      <c r="AE94" s="344">
        <v>424.4</v>
      </c>
      <c r="AF94" s="344">
        <v>447.1</v>
      </c>
      <c r="AG94" s="344">
        <v>490.4</v>
      </c>
      <c r="AH94" s="344">
        <v>504.1</v>
      </c>
      <c r="AI94" s="344">
        <v>562.1</v>
      </c>
      <c r="AJ94" s="344">
        <v>879.7</v>
      </c>
      <c r="AK94" s="344">
        <v>731.6</v>
      </c>
      <c r="AL94" s="344">
        <v>1309.4000000000001</v>
      </c>
      <c r="AM94" s="344">
        <v>1725.9</v>
      </c>
      <c r="AN94" s="344">
        <v>1469.2</v>
      </c>
      <c r="AO94" s="344">
        <v>874.4</v>
      </c>
      <c r="AP94" s="344">
        <v>1951.9</v>
      </c>
      <c r="AQ94" s="344">
        <v>1884</v>
      </c>
      <c r="AR94" s="344">
        <v>1792.5</v>
      </c>
      <c r="AS94" s="344">
        <v>2196.3000000000002</v>
      </c>
      <c r="AT94" s="344">
        <f t="shared" ref="AT94:AY94" si="32">AT93*AT92/1000</f>
        <v>162.68700000000001</v>
      </c>
      <c r="AU94" s="344">
        <f t="shared" si="32"/>
        <v>231</v>
      </c>
      <c r="AV94" s="344">
        <f t="shared" si="32"/>
        <v>222.4</v>
      </c>
      <c r="AW94" s="344">
        <f t="shared" si="32"/>
        <v>210</v>
      </c>
      <c r="AX94" s="344">
        <f t="shared" si="32"/>
        <v>268.62</v>
      </c>
      <c r="AY94" s="365">
        <f t="shared" si="32"/>
        <v>260.76490000000001</v>
      </c>
      <c r="AZ94" s="366">
        <f>AZ93*AZ92/1000</f>
        <v>255.55530000000002</v>
      </c>
      <c r="BA94" s="366">
        <f>AZ94-AY94</f>
        <v>-5.2095999999999947</v>
      </c>
      <c r="BB94" s="367">
        <f>AY94-AX94</f>
        <v>-7.8550999999999931</v>
      </c>
      <c r="BC94" s="368">
        <f>AZ94-AX94</f>
        <v>-13.064699999999988</v>
      </c>
      <c r="BD94" s="353">
        <f t="shared" si="23"/>
        <v>-0.34311501241363584</v>
      </c>
      <c r="BH94" s="311"/>
      <c r="BI94" s="311"/>
      <c r="BJ94" s="311"/>
      <c r="BK94" s="311"/>
    </row>
    <row r="95" spans="1:63" s="311" customFormat="1" ht="15" customHeight="1" thickBot="1">
      <c r="A95" s="335" t="s">
        <v>379</v>
      </c>
      <c r="B95" s="358"/>
      <c r="C95" s="358"/>
      <c r="D95" s="358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  <c r="AA95" s="358"/>
      <c r="AB95" s="358"/>
      <c r="AC95" s="358"/>
      <c r="AD95" s="358"/>
      <c r="AE95" s="358"/>
      <c r="AF95" s="358"/>
      <c r="AG95" s="358"/>
      <c r="AH95" s="358"/>
      <c r="AI95" s="358"/>
      <c r="AJ95" s="358"/>
      <c r="AK95" s="358"/>
      <c r="AL95" s="358"/>
      <c r="AM95" s="358"/>
      <c r="AN95" s="358"/>
      <c r="AO95" s="358"/>
      <c r="AP95" s="358"/>
      <c r="AQ95" s="358"/>
      <c r="AR95" s="358"/>
      <c r="AS95" s="358"/>
      <c r="AT95" s="333"/>
      <c r="AU95" s="333"/>
      <c r="AV95" s="333"/>
      <c r="AW95" s="333"/>
      <c r="AX95" s="333"/>
      <c r="AY95" s="332"/>
      <c r="AZ95" s="333"/>
      <c r="BA95" s="334"/>
      <c r="BB95" s="321"/>
      <c r="BC95" s="328"/>
      <c r="BD95" s="329"/>
      <c r="BE95" s="309"/>
      <c r="BF95"/>
      <c r="BG95" s="308"/>
      <c r="BH95" s="309"/>
      <c r="BI95" s="309"/>
      <c r="BJ95" s="309"/>
      <c r="BK95" s="309"/>
    </row>
    <row r="96" spans="1:63" s="311" customFormat="1" ht="15" customHeight="1">
      <c r="A96" s="324" t="s">
        <v>352</v>
      </c>
      <c r="B96" s="344">
        <f>B100+B104+B108+B112</f>
        <v>0</v>
      </c>
      <c r="C96" s="344">
        <f t="shared" ref="C96:AY96" si="33">C100+C104+C108+C112</f>
        <v>0</v>
      </c>
      <c r="D96" s="344">
        <f t="shared" si="33"/>
        <v>0</v>
      </c>
      <c r="E96" s="344">
        <f t="shared" si="33"/>
        <v>0</v>
      </c>
      <c r="F96" s="344">
        <f t="shared" si="33"/>
        <v>0</v>
      </c>
      <c r="G96" s="344">
        <f t="shared" si="33"/>
        <v>0</v>
      </c>
      <c r="H96" s="344">
        <f t="shared" si="33"/>
        <v>0</v>
      </c>
      <c r="I96" s="344">
        <f t="shared" si="33"/>
        <v>0</v>
      </c>
      <c r="J96" s="344">
        <f t="shared" si="33"/>
        <v>0</v>
      </c>
      <c r="K96" s="344">
        <f t="shared" si="33"/>
        <v>0</v>
      </c>
      <c r="L96" s="344">
        <f t="shared" si="33"/>
        <v>0</v>
      </c>
      <c r="M96" s="344">
        <f t="shared" si="33"/>
        <v>0</v>
      </c>
      <c r="N96" s="344">
        <f t="shared" si="33"/>
        <v>100</v>
      </c>
      <c r="O96" s="344">
        <f t="shared" si="33"/>
        <v>65</v>
      </c>
      <c r="P96" s="344">
        <f t="shared" si="33"/>
        <v>226.6</v>
      </c>
      <c r="Q96" s="344">
        <f t="shared" si="33"/>
        <v>283.2</v>
      </c>
      <c r="R96" s="344">
        <f t="shared" si="33"/>
        <v>365</v>
      </c>
      <c r="S96" s="344">
        <f t="shared" si="33"/>
        <v>372.3</v>
      </c>
      <c r="T96" s="344">
        <f t="shared" si="33"/>
        <v>369</v>
      </c>
      <c r="U96" s="344">
        <f t="shared" si="33"/>
        <v>372.7</v>
      </c>
      <c r="V96" s="344">
        <f t="shared" si="33"/>
        <v>399.2</v>
      </c>
      <c r="W96" s="344">
        <f t="shared" si="33"/>
        <v>436.9</v>
      </c>
      <c r="X96" s="344">
        <f t="shared" si="33"/>
        <v>465.2</v>
      </c>
      <c r="Y96" s="344">
        <f t="shared" si="33"/>
        <v>469.3</v>
      </c>
      <c r="Z96" s="344">
        <f t="shared" si="33"/>
        <v>378.4</v>
      </c>
      <c r="AA96" s="344">
        <f t="shared" si="33"/>
        <v>369.7</v>
      </c>
      <c r="AB96" s="344">
        <f t="shared" si="33"/>
        <v>361.5</v>
      </c>
      <c r="AC96" s="344">
        <f t="shared" si="33"/>
        <v>355</v>
      </c>
      <c r="AD96" s="344">
        <f t="shared" si="33"/>
        <v>341.8</v>
      </c>
      <c r="AE96" s="344">
        <f t="shared" si="33"/>
        <v>293.09999999999997</v>
      </c>
      <c r="AF96" s="344">
        <f t="shared" si="33"/>
        <v>276.8</v>
      </c>
      <c r="AG96" s="344">
        <f t="shared" si="33"/>
        <v>310.7</v>
      </c>
      <c r="AH96" s="344">
        <f t="shared" si="33"/>
        <v>302</v>
      </c>
      <c r="AI96" s="344">
        <f t="shared" si="33"/>
        <v>309</v>
      </c>
      <c r="AJ96" s="344">
        <f t="shared" si="33"/>
        <v>395.09999999999997</v>
      </c>
      <c r="AK96" s="344">
        <f t="shared" si="33"/>
        <v>429.3</v>
      </c>
      <c r="AL96" s="344">
        <f t="shared" si="33"/>
        <v>449.6</v>
      </c>
      <c r="AM96" s="344">
        <f t="shared" si="33"/>
        <v>554.5</v>
      </c>
      <c r="AN96" s="344">
        <f t="shared" si="33"/>
        <v>625.29999999999995</v>
      </c>
      <c r="AO96" s="344">
        <f t="shared" si="33"/>
        <v>814.3</v>
      </c>
      <c r="AP96" s="344">
        <f t="shared" si="33"/>
        <v>837.7</v>
      </c>
      <c r="AQ96" s="344">
        <f t="shared" si="33"/>
        <v>875</v>
      </c>
      <c r="AR96" s="344">
        <f t="shared" si="33"/>
        <v>914.3</v>
      </c>
      <c r="AS96" s="344">
        <f t="shared" si="33"/>
        <v>981.59999999999991</v>
      </c>
      <c r="AT96" s="344">
        <f t="shared" si="33"/>
        <v>1045.4000000000001</v>
      </c>
      <c r="AU96" s="344">
        <f t="shared" si="33"/>
        <v>1092.5</v>
      </c>
      <c r="AV96" s="344">
        <f t="shared" si="33"/>
        <v>992.09999999999991</v>
      </c>
      <c r="AW96" s="344">
        <f t="shared" si="33"/>
        <v>931.4</v>
      </c>
      <c r="AX96" s="344">
        <f t="shared" si="33"/>
        <v>946.8</v>
      </c>
      <c r="AY96" s="369">
        <f t="shared" si="33"/>
        <v>987.7</v>
      </c>
      <c r="AZ96" s="366">
        <f>AZ100+AZ104+AZ108+AZ112</f>
        <v>987.7</v>
      </c>
      <c r="BA96" s="366">
        <f>AZ96-AY96</f>
        <v>0</v>
      </c>
      <c r="BB96" s="367">
        <f>AY96-AX96</f>
        <v>40.900000000000091</v>
      </c>
      <c r="BC96" s="368">
        <f>AZ96-AX96</f>
        <v>40.900000000000091</v>
      </c>
      <c r="BD96" s="353">
        <f t="shared" si="23"/>
        <v>-7.1932072983680317E-3</v>
      </c>
      <c r="BE96" s="309"/>
      <c r="BF96" s="319" t="b">
        <v>0</v>
      </c>
      <c r="BG96" s="308"/>
    </row>
    <row r="97" spans="1:63" s="311" customFormat="1" ht="15" customHeight="1">
      <c r="A97" s="318" t="s">
        <v>353</v>
      </c>
      <c r="B97" s="345" t="e">
        <f>B98/B96*1000</f>
        <v>#DIV/0!</v>
      </c>
      <c r="C97" s="345" t="e">
        <f t="shared" ref="C97:AY97" si="34">C98/C96*1000</f>
        <v>#DIV/0!</v>
      </c>
      <c r="D97" s="345" t="e">
        <f t="shared" si="34"/>
        <v>#DIV/0!</v>
      </c>
      <c r="E97" s="345" t="e">
        <f t="shared" si="34"/>
        <v>#DIV/0!</v>
      </c>
      <c r="F97" s="345" t="e">
        <f t="shared" si="34"/>
        <v>#DIV/0!</v>
      </c>
      <c r="G97" s="345" t="e">
        <f t="shared" si="34"/>
        <v>#DIV/0!</v>
      </c>
      <c r="H97" s="345" t="e">
        <f t="shared" si="34"/>
        <v>#DIV/0!</v>
      </c>
      <c r="I97" s="345" t="e">
        <f t="shared" si="34"/>
        <v>#DIV/0!</v>
      </c>
      <c r="J97" s="345" t="e">
        <f t="shared" si="34"/>
        <v>#DIV/0!</v>
      </c>
      <c r="K97" s="345" t="e">
        <f t="shared" si="34"/>
        <v>#DIV/0!</v>
      </c>
      <c r="L97" s="345" t="e">
        <f t="shared" si="34"/>
        <v>#DIV/0!</v>
      </c>
      <c r="M97" s="345" t="e">
        <f t="shared" si="34"/>
        <v>#DIV/0!</v>
      </c>
      <c r="N97" s="345">
        <f t="shared" si="34"/>
        <v>13680</v>
      </c>
      <c r="O97" s="345">
        <f t="shared" si="34"/>
        <v>10646.153846153846</v>
      </c>
      <c r="P97" s="345">
        <f t="shared" si="34"/>
        <v>6261.253309796999</v>
      </c>
      <c r="Q97" s="345">
        <f t="shared" si="34"/>
        <v>3350.2824858757062</v>
      </c>
      <c r="R97" s="345">
        <f t="shared" si="34"/>
        <v>2163.2876712328766</v>
      </c>
      <c r="S97" s="345">
        <f t="shared" si="34"/>
        <v>4438.3561643835619</v>
      </c>
      <c r="T97" s="345">
        <f t="shared" si="34"/>
        <v>4579.9457994579943</v>
      </c>
      <c r="U97" s="345">
        <f t="shared" si="34"/>
        <v>4883.2841427421517</v>
      </c>
      <c r="V97" s="345">
        <f t="shared" si="34"/>
        <v>3634.2685370741483</v>
      </c>
      <c r="W97" s="345">
        <f t="shared" si="34"/>
        <v>1921.7212176699475</v>
      </c>
      <c r="X97" s="345">
        <f t="shared" si="34"/>
        <v>2528.8048151332764</v>
      </c>
      <c r="Y97" s="345">
        <f t="shared" si="34"/>
        <v>2672.917110590241</v>
      </c>
      <c r="Z97" s="345">
        <f t="shared" si="34"/>
        <v>3276.955602536998</v>
      </c>
      <c r="AA97" s="345">
        <f t="shared" si="34"/>
        <v>3510.9548282391129</v>
      </c>
      <c r="AB97" s="345">
        <f t="shared" si="34"/>
        <v>4583.1258644536647</v>
      </c>
      <c r="AC97" s="345">
        <f t="shared" si="34"/>
        <v>4849.577464788732</v>
      </c>
      <c r="AD97" s="345">
        <f t="shared" si="34"/>
        <v>4740.7840842598016</v>
      </c>
      <c r="AE97" s="345">
        <f t="shared" si="34"/>
        <v>5791.8799044694642</v>
      </c>
      <c r="AF97" s="345">
        <f t="shared" si="34"/>
        <v>6460.9826589595377</v>
      </c>
      <c r="AG97" s="345">
        <f t="shared" si="34"/>
        <v>6313.4856775024145</v>
      </c>
      <c r="AH97" s="345">
        <f t="shared" si="34"/>
        <v>6676.8211920529802</v>
      </c>
      <c r="AI97" s="345">
        <f t="shared" si="34"/>
        <v>7276.3754045307451</v>
      </c>
      <c r="AJ97" s="345">
        <f t="shared" si="34"/>
        <v>8906.0997215894713</v>
      </c>
      <c r="AK97" s="345">
        <f t="shared" si="34"/>
        <v>6816.6783135336591</v>
      </c>
      <c r="AL97" s="345">
        <f t="shared" si="34"/>
        <v>11649.466192170818</v>
      </c>
      <c r="AM97" s="345">
        <f t="shared" si="34"/>
        <v>12450.135256988278</v>
      </c>
      <c r="AN97" s="345">
        <f t="shared" si="34"/>
        <v>9398.3687829841674</v>
      </c>
      <c r="AO97" s="345">
        <f t="shared" si="34"/>
        <v>4295.222890826476</v>
      </c>
      <c r="AP97" s="345">
        <f t="shared" si="34"/>
        <v>9320.2817237674572</v>
      </c>
      <c r="AQ97" s="345">
        <f t="shared" si="34"/>
        <v>8612.5714285714275</v>
      </c>
      <c r="AR97" s="345">
        <f t="shared" si="34"/>
        <v>7842.0649677348792</v>
      </c>
      <c r="AS97" s="345">
        <f t="shared" si="34"/>
        <v>8949.8777506112492</v>
      </c>
      <c r="AT97" s="345">
        <f t="shared" si="34"/>
        <v>3251.2502391429116</v>
      </c>
      <c r="AU97" s="345">
        <f t="shared" si="34"/>
        <v>4122.783066361555</v>
      </c>
      <c r="AV97" s="345">
        <f t="shared" si="34"/>
        <v>5500</v>
      </c>
      <c r="AW97" s="345">
        <f t="shared" si="34"/>
        <v>4611.716555722568</v>
      </c>
      <c r="AX97" s="345">
        <f t="shared" si="34"/>
        <v>5872.5716096324468</v>
      </c>
      <c r="AY97" s="346">
        <f t="shared" si="34"/>
        <v>5415.3179102966487</v>
      </c>
      <c r="AZ97" s="347">
        <f>AZ98/AZ96*1000</f>
        <v>5252.9134352536194</v>
      </c>
      <c r="BA97" s="347">
        <f>AZ97-AY97</f>
        <v>-162.40447504302938</v>
      </c>
      <c r="BB97" s="351">
        <f>AY97-AX97</f>
        <v>-457.25369933579805</v>
      </c>
      <c r="BC97" s="352">
        <f>AZ97-AX97</f>
        <v>-619.65817437882743</v>
      </c>
      <c r="BD97" s="353">
        <f t="shared" si="23"/>
        <v>-8.0816449721214489E-2</v>
      </c>
      <c r="BE97" s="309"/>
      <c r="BF97"/>
      <c r="BG97" s="308"/>
      <c r="BH97" s="309"/>
      <c r="BI97" s="309"/>
      <c r="BJ97" s="309"/>
      <c r="BK97" s="309"/>
    </row>
    <row r="98" spans="1:63" s="311" customFormat="1" ht="15" customHeight="1">
      <c r="A98" s="318" t="s">
        <v>354</v>
      </c>
      <c r="B98" s="344">
        <f>B102+B106+B110+B114</f>
        <v>0</v>
      </c>
      <c r="C98" s="344">
        <f t="shared" ref="C98:AY98" si="35">C102+C106+C110+C114</f>
        <v>1020</v>
      </c>
      <c r="D98" s="344">
        <f t="shared" si="35"/>
        <v>896</v>
      </c>
      <c r="E98" s="344">
        <f t="shared" si="35"/>
        <v>1064</v>
      </c>
      <c r="F98" s="344">
        <f t="shared" si="35"/>
        <v>708</v>
      </c>
      <c r="G98" s="344">
        <f t="shared" si="35"/>
        <v>1212</v>
      </c>
      <c r="H98" s="344">
        <f t="shared" si="35"/>
        <v>380</v>
      </c>
      <c r="I98" s="344">
        <f t="shared" si="35"/>
        <v>1312</v>
      </c>
      <c r="J98" s="344">
        <f t="shared" si="35"/>
        <v>504</v>
      </c>
      <c r="K98" s="344">
        <f t="shared" si="35"/>
        <v>1160</v>
      </c>
      <c r="L98" s="344">
        <f t="shared" si="35"/>
        <v>464</v>
      </c>
      <c r="M98" s="344">
        <f t="shared" si="35"/>
        <v>1380</v>
      </c>
      <c r="N98" s="344">
        <f t="shared" si="35"/>
        <v>1368</v>
      </c>
      <c r="O98" s="344">
        <f t="shared" si="35"/>
        <v>692</v>
      </c>
      <c r="P98" s="344">
        <f t="shared" si="35"/>
        <v>1418.8</v>
      </c>
      <c r="Q98" s="344">
        <f t="shared" si="35"/>
        <v>948.8</v>
      </c>
      <c r="R98" s="344">
        <f t="shared" si="35"/>
        <v>789.6</v>
      </c>
      <c r="S98" s="344">
        <f t="shared" si="35"/>
        <v>1652.4</v>
      </c>
      <c r="T98" s="344">
        <f t="shared" si="35"/>
        <v>1690</v>
      </c>
      <c r="U98" s="344">
        <f t="shared" si="35"/>
        <v>1820</v>
      </c>
      <c r="V98" s="344">
        <f t="shared" si="35"/>
        <v>1450.8</v>
      </c>
      <c r="W98" s="344">
        <f t="shared" si="35"/>
        <v>839.6</v>
      </c>
      <c r="X98" s="344">
        <f t="shared" si="35"/>
        <v>1176.4000000000001</v>
      </c>
      <c r="Y98" s="344">
        <f t="shared" si="35"/>
        <v>1254.4000000000001</v>
      </c>
      <c r="Z98" s="344">
        <f t="shared" si="35"/>
        <v>1240</v>
      </c>
      <c r="AA98" s="344">
        <f t="shared" si="35"/>
        <v>1298</v>
      </c>
      <c r="AB98" s="344">
        <f t="shared" si="35"/>
        <v>1656.8</v>
      </c>
      <c r="AC98" s="344">
        <f t="shared" si="35"/>
        <v>1721.6</v>
      </c>
      <c r="AD98" s="344">
        <f t="shared" si="35"/>
        <v>1620.4</v>
      </c>
      <c r="AE98" s="344">
        <f t="shared" si="35"/>
        <v>1697.6</v>
      </c>
      <c r="AF98" s="344">
        <f t="shared" si="35"/>
        <v>1788.4</v>
      </c>
      <c r="AG98" s="344">
        <f t="shared" si="35"/>
        <v>1961.6</v>
      </c>
      <c r="AH98" s="344">
        <f t="shared" si="35"/>
        <v>2016.4</v>
      </c>
      <c r="AI98" s="344">
        <f t="shared" si="35"/>
        <v>2248.4</v>
      </c>
      <c r="AJ98" s="344">
        <f t="shared" si="35"/>
        <v>3518.8</v>
      </c>
      <c r="AK98" s="344">
        <f t="shared" si="35"/>
        <v>2926.4</v>
      </c>
      <c r="AL98" s="344">
        <f t="shared" si="35"/>
        <v>5237.6000000000004</v>
      </c>
      <c r="AM98" s="344">
        <f t="shared" si="35"/>
        <v>6903.6</v>
      </c>
      <c r="AN98" s="344">
        <f t="shared" si="35"/>
        <v>5876.8</v>
      </c>
      <c r="AO98" s="344">
        <f t="shared" si="35"/>
        <v>3497.6</v>
      </c>
      <c r="AP98" s="344">
        <f t="shared" si="35"/>
        <v>7807.6</v>
      </c>
      <c r="AQ98" s="344">
        <f t="shared" si="35"/>
        <v>7536</v>
      </c>
      <c r="AR98" s="344">
        <f t="shared" si="35"/>
        <v>7170</v>
      </c>
      <c r="AS98" s="344">
        <f t="shared" si="35"/>
        <v>8785.2000000000007</v>
      </c>
      <c r="AT98" s="344">
        <f t="shared" si="35"/>
        <v>3398.857</v>
      </c>
      <c r="AU98" s="344">
        <f t="shared" si="35"/>
        <v>4504.1404999999995</v>
      </c>
      <c r="AV98" s="344">
        <f t="shared" si="35"/>
        <v>5456.5499999999993</v>
      </c>
      <c r="AW98" s="344">
        <f t="shared" si="35"/>
        <v>4295.3527999999997</v>
      </c>
      <c r="AX98" s="344">
        <f t="shared" si="35"/>
        <v>5560.1508000000003</v>
      </c>
      <c r="AY98" s="365">
        <f t="shared" si="35"/>
        <v>5348.7094999999999</v>
      </c>
      <c r="AZ98" s="366">
        <f>AZ102+AZ106+AZ110+AZ114</f>
        <v>5188.3026</v>
      </c>
      <c r="BA98" s="366">
        <f>AZ98-AY98</f>
        <v>-160.40689999999995</v>
      </c>
      <c r="BB98" s="367">
        <f>AY98-AX98</f>
        <v>-211.44130000000041</v>
      </c>
      <c r="BC98" s="368">
        <f>AZ98-AX98</f>
        <v>-371.84820000000036</v>
      </c>
      <c r="BD98" s="353">
        <f t="shared" si="23"/>
        <v>-8.7428327543619733E-2</v>
      </c>
      <c r="BE98" s="309"/>
      <c r="BF98"/>
      <c r="BG98" s="308"/>
    </row>
    <row r="99" spans="1:63" ht="15" customHeight="1">
      <c r="A99" s="320" t="s">
        <v>380</v>
      </c>
      <c r="B99" s="356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356"/>
      <c r="S99" s="356"/>
      <c r="T99" s="356"/>
      <c r="U99" s="356"/>
      <c r="V99" s="356"/>
      <c r="W99" s="356"/>
      <c r="X99" s="356"/>
      <c r="Y99" s="356"/>
      <c r="Z99" s="356"/>
      <c r="AA99" s="356"/>
      <c r="AB99" s="356"/>
      <c r="AC99" s="356"/>
      <c r="AD99" s="356"/>
      <c r="AE99" s="356"/>
      <c r="AF99" s="356"/>
      <c r="AG99" s="356"/>
      <c r="AH99" s="356"/>
      <c r="AI99" s="356"/>
      <c r="AJ99" s="356"/>
      <c r="AK99" s="356"/>
      <c r="AL99" s="356"/>
      <c r="AM99" s="356"/>
      <c r="AN99" s="356"/>
      <c r="AO99" s="356"/>
      <c r="AP99" s="356"/>
      <c r="AQ99" s="356"/>
      <c r="AR99" s="356"/>
      <c r="AS99" s="356"/>
      <c r="AT99" s="328"/>
      <c r="AU99" s="328"/>
      <c r="AV99" s="328"/>
      <c r="AW99" s="328"/>
      <c r="AX99" s="328"/>
      <c r="AY99" s="321"/>
      <c r="AZ99" s="328"/>
      <c r="BA99" s="329"/>
      <c r="BB99" s="321"/>
      <c r="BC99" s="328"/>
      <c r="BD99" s="329"/>
    </row>
    <row r="100" spans="1:63" ht="15" customHeight="1">
      <c r="A100" s="324" t="s">
        <v>352</v>
      </c>
      <c r="B100" s="344">
        <v>0</v>
      </c>
      <c r="C100" s="344">
        <v>0</v>
      </c>
      <c r="D100" s="344">
        <v>0</v>
      </c>
      <c r="E100" s="344">
        <v>0</v>
      </c>
      <c r="F100" s="344">
        <v>0</v>
      </c>
      <c r="G100" s="344">
        <v>0</v>
      </c>
      <c r="H100" s="344">
        <v>0</v>
      </c>
      <c r="I100" s="344">
        <v>0</v>
      </c>
      <c r="J100" s="344">
        <v>0</v>
      </c>
      <c r="K100" s="344">
        <v>0</v>
      </c>
      <c r="L100" s="344">
        <v>0</v>
      </c>
      <c r="M100" s="344">
        <v>0</v>
      </c>
      <c r="N100" s="344">
        <v>0</v>
      </c>
      <c r="O100" s="344">
        <v>0</v>
      </c>
      <c r="P100" s="344">
        <v>0</v>
      </c>
      <c r="Q100" s="344">
        <v>0</v>
      </c>
      <c r="R100" s="344">
        <v>0</v>
      </c>
      <c r="S100" s="344">
        <v>0</v>
      </c>
      <c r="T100" s="344">
        <v>0</v>
      </c>
      <c r="U100" s="344">
        <v>0</v>
      </c>
      <c r="V100" s="344">
        <v>7.9</v>
      </c>
      <c r="W100" s="344">
        <v>33.9</v>
      </c>
      <c r="X100" s="344">
        <v>42</v>
      </c>
      <c r="Y100" s="344">
        <v>63</v>
      </c>
      <c r="Z100" s="344">
        <v>24.9</v>
      </c>
      <c r="AA100" s="344">
        <v>37.4</v>
      </c>
      <c r="AB100" s="344">
        <v>29.2</v>
      </c>
      <c r="AC100" s="344">
        <v>26</v>
      </c>
      <c r="AD100" s="344">
        <v>26</v>
      </c>
      <c r="AE100" s="344">
        <v>24.7</v>
      </c>
      <c r="AF100" s="344">
        <v>29.9</v>
      </c>
      <c r="AG100" s="344">
        <v>39.700000000000003</v>
      </c>
      <c r="AH100" s="344">
        <v>31</v>
      </c>
      <c r="AI100" s="344">
        <v>27.4</v>
      </c>
      <c r="AJ100" s="344">
        <v>57.4</v>
      </c>
      <c r="AK100" s="344">
        <v>94.3</v>
      </c>
      <c r="AL100" s="344">
        <v>118.8</v>
      </c>
      <c r="AM100" s="344">
        <v>228</v>
      </c>
      <c r="AN100" s="344">
        <v>255.2</v>
      </c>
      <c r="AO100" s="344">
        <v>371</v>
      </c>
      <c r="AP100" s="344">
        <v>357.6</v>
      </c>
      <c r="AQ100" s="344">
        <v>339.4</v>
      </c>
      <c r="AR100" s="344">
        <v>420.5</v>
      </c>
      <c r="AS100" s="344">
        <v>450.8</v>
      </c>
      <c r="AT100" s="344">
        <v>495.5</v>
      </c>
      <c r="AU100" s="344">
        <v>554.5</v>
      </c>
      <c r="AV100" s="344">
        <v>507.4</v>
      </c>
      <c r="AW100" s="344">
        <v>459.2</v>
      </c>
      <c r="AX100" s="344">
        <v>464.7</v>
      </c>
      <c r="AY100" s="369">
        <v>490.7</v>
      </c>
      <c r="AZ100" s="366">
        <v>490.7</v>
      </c>
      <c r="BA100" s="366">
        <f>AZ100-AY100</f>
        <v>0</v>
      </c>
      <c r="BB100" s="367">
        <f>AY100-AX100</f>
        <v>26</v>
      </c>
      <c r="BC100" s="368">
        <f>AZ100-AX100</f>
        <v>26</v>
      </c>
      <c r="BD100" s="353">
        <f t="shared" si="23"/>
        <v>6.0921328008154418E-3</v>
      </c>
      <c r="BF100" s="319" t="b">
        <v>0</v>
      </c>
      <c r="BH100" s="311"/>
      <c r="BI100" s="311"/>
      <c r="BJ100" s="311"/>
      <c r="BK100" s="311"/>
    </row>
    <row r="101" spans="1:63" ht="15" customHeight="1">
      <c r="A101" s="324" t="s">
        <v>353</v>
      </c>
      <c r="B101" s="345">
        <v>0</v>
      </c>
      <c r="C101" s="345">
        <v>0</v>
      </c>
      <c r="D101" s="345">
        <v>0</v>
      </c>
      <c r="E101" s="345">
        <v>0</v>
      </c>
      <c r="F101" s="345">
        <v>0</v>
      </c>
      <c r="G101" s="345">
        <v>0</v>
      </c>
      <c r="H101" s="345">
        <v>0</v>
      </c>
      <c r="I101" s="345">
        <v>0</v>
      </c>
      <c r="J101" s="345">
        <v>0</v>
      </c>
      <c r="K101" s="345">
        <v>0</v>
      </c>
      <c r="L101" s="345">
        <v>0</v>
      </c>
      <c r="M101" s="345">
        <v>0</v>
      </c>
      <c r="N101" s="345">
        <v>0</v>
      </c>
      <c r="O101" s="345">
        <v>0</v>
      </c>
      <c r="P101" s="345">
        <v>0</v>
      </c>
      <c r="Q101" s="345">
        <v>0</v>
      </c>
      <c r="R101" s="345">
        <v>0</v>
      </c>
      <c r="S101" s="345">
        <v>0</v>
      </c>
      <c r="T101" s="345">
        <v>0</v>
      </c>
      <c r="U101" s="345">
        <v>0</v>
      </c>
      <c r="V101" s="345">
        <v>1620</v>
      </c>
      <c r="W101" s="345">
        <v>2275</v>
      </c>
      <c r="X101" s="345">
        <v>1740</v>
      </c>
      <c r="Y101" s="345">
        <v>1000</v>
      </c>
      <c r="Z101" s="345">
        <v>3000</v>
      </c>
      <c r="AA101" s="345">
        <v>3500</v>
      </c>
      <c r="AB101" s="345">
        <v>4100</v>
      </c>
      <c r="AC101" s="345">
        <v>3760</v>
      </c>
      <c r="AD101" s="345">
        <v>4000</v>
      </c>
      <c r="AE101" s="345">
        <v>3840</v>
      </c>
      <c r="AF101" s="345">
        <v>3280</v>
      </c>
      <c r="AG101" s="345">
        <v>5448</v>
      </c>
      <c r="AH101" s="345">
        <v>5677</v>
      </c>
      <c r="AI101" s="345">
        <v>5971</v>
      </c>
      <c r="AJ101" s="345">
        <v>5726</v>
      </c>
      <c r="AK101" s="345">
        <v>5548</v>
      </c>
      <c r="AL101" s="345">
        <v>5200</v>
      </c>
      <c r="AM101" s="345">
        <v>5265</v>
      </c>
      <c r="AN101" s="345">
        <v>5505</v>
      </c>
      <c r="AO101" s="345">
        <v>2191</v>
      </c>
      <c r="AP101" s="345">
        <v>4822</v>
      </c>
      <c r="AQ101" s="345">
        <v>4981</v>
      </c>
      <c r="AR101" s="345">
        <v>6982</v>
      </c>
      <c r="AS101" s="345">
        <v>6326</v>
      </c>
      <c r="AT101" s="345">
        <v>3974</v>
      </c>
      <c r="AU101" s="345">
        <v>3913</v>
      </c>
      <c r="AV101" s="345">
        <v>5500</v>
      </c>
      <c r="AW101" s="345">
        <v>4849</v>
      </c>
      <c r="AX101" s="345">
        <v>5904</v>
      </c>
      <c r="AY101" s="346">
        <v>5565</v>
      </c>
      <c r="AZ101" s="347">
        <v>5398</v>
      </c>
      <c r="BA101" s="347">
        <f>AZ101-AY101</f>
        <v>-167</v>
      </c>
      <c r="BB101" s="351">
        <f>AY101-AX101</f>
        <v>-339</v>
      </c>
      <c r="BC101" s="352">
        <f>AZ101-AX101</f>
        <v>-506</v>
      </c>
      <c r="BD101" s="353">
        <f t="shared" si="23"/>
        <v>-1.3712719730868073E-2</v>
      </c>
    </row>
    <row r="102" spans="1:63" s="311" customFormat="1" ht="15" customHeight="1">
      <c r="A102" s="324" t="s">
        <v>354</v>
      </c>
      <c r="B102" s="344">
        <f>B101*B100/1000</f>
        <v>0</v>
      </c>
      <c r="C102" s="344">
        <v>255</v>
      </c>
      <c r="D102" s="344">
        <v>224</v>
      </c>
      <c r="E102" s="344">
        <v>266</v>
      </c>
      <c r="F102" s="344">
        <v>177</v>
      </c>
      <c r="G102" s="344">
        <v>303</v>
      </c>
      <c r="H102" s="344">
        <v>95</v>
      </c>
      <c r="I102" s="344">
        <v>328</v>
      </c>
      <c r="J102" s="344">
        <v>126</v>
      </c>
      <c r="K102" s="344">
        <v>290</v>
      </c>
      <c r="L102" s="344">
        <v>116</v>
      </c>
      <c r="M102" s="344">
        <v>345</v>
      </c>
      <c r="N102" s="344">
        <v>342</v>
      </c>
      <c r="O102" s="344">
        <v>173</v>
      </c>
      <c r="P102" s="344">
        <v>354.7</v>
      </c>
      <c r="Q102" s="344">
        <v>237.2</v>
      </c>
      <c r="R102" s="344">
        <v>197.4</v>
      </c>
      <c r="S102" s="344">
        <v>413.1</v>
      </c>
      <c r="T102" s="344">
        <v>422.5</v>
      </c>
      <c r="U102" s="344">
        <v>455</v>
      </c>
      <c r="V102" s="344">
        <v>362.7</v>
      </c>
      <c r="W102" s="344">
        <v>209.9</v>
      </c>
      <c r="X102" s="344">
        <v>294.10000000000002</v>
      </c>
      <c r="Y102" s="344">
        <v>313.60000000000002</v>
      </c>
      <c r="Z102" s="344">
        <v>310</v>
      </c>
      <c r="AA102" s="344">
        <v>324.5</v>
      </c>
      <c r="AB102" s="344">
        <v>414.2</v>
      </c>
      <c r="AC102" s="344">
        <v>430.4</v>
      </c>
      <c r="AD102" s="344">
        <v>405.1</v>
      </c>
      <c r="AE102" s="344">
        <v>424.4</v>
      </c>
      <c r="AF102" s="344">
        <v>447.1</v>
      </c>
      <c r="AG102" s="344">
        <v>490.4</v>
      </c>
      <c r="AH102" s="344">
        <v>504.1</v>
      </c>
      <c r="AI102" s="344">
        <v>562.1</v>
      </c>
      <c r="AJ102" s="344">
        <v>879.7</v>
      </c>
      <c r="AK102" s="344">
        <v>731.6</v>
      </c>
      <c r="AL102" s="344">
        <v>1309.4000000000001</v>
      </c>
      <c r="AM102" s="344">
        <v>1725.9</v>
      </c>
      <c r="AN102" s="344">
        <v>1469.2</v>
      </c>
      <c r="AO102" s="344">
        <v>874.4</v>
      </c>
      <c r="AP102" s="344">
        <v>1951.9</v>
      </c>
      <c r="AQ102" s="344">
        <v>1884</v>
      </c>
      <c r="AR102" s="344">
        <v>1792.5</v>
      </c>
      <c r="AS102" s="344">
        <v>2196.3000000000002</v>
      </c>
      <c r="AT102" s="344">
        <f t="shared" ref="AT102:AY102" si="36">AT101*AT100/1000</f>
        <v>1969.117</v>
      </c>
      <c r="AU102" s="344">
        <f t="shared" si="36"/>
        <v>2169.7584999999999</v>
      </c>
      <c r="AV102" s="344">
        <f t="shared" si="36"/>
        <v>2790.7</v>
      </c>
      <c r="AW102" s="344">
        <f t="shared" si="36"/>
        <v>2226.6607999999997</v>
      </c>
      <c r="AX102" s="344">
        <f t="shared" si="36"/>
        <v>2743.5888</v>
      </c>
      <c r="AY102" s="365">
        <f t="shared" si="36"/>
        <v>2730.7455</v>
      </c>
      <c r="AZ102" s="366">
        <f>AZ101*AZ100/1000</f>
        <v>2648.7986000000001</v>
      </c>
      <c r="BA102" s="366">
        <f>AZ102-AY102</f>
        <v>-81.946899999999914</v>
      </c>
      <c r="BB102" s="367">
        <f>AY102-AX102</f>
        <v>-12.843299999999999</v>
      </c>
      <c r="BC102" s="368">
        <f>AZ102-AX102</f>
        <v>-94.790199999999913</v>
      </c>
      <c r="BD102" s="353">
        <f t="shared" si="23"/>
        <v>4.550345405241818E-2</v>
      </c>
      <c r="BE102" s="309"/>
      <c r="BF102"/>
      <c r="BG102" s="308"/>
    </row>
    <row r="103" spans="1:63" ht="15" customHeight="1">
      <c r="A103" s="320" t="s">
        <v>381</v>
      </c>
      <c r="B103" s="356"/>
      <c r="C103" s="356"/>
      <c r="D103" s="356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6"/>
      <c r="P103" s="356"/>
      <c r="Q103" s="356"/>
      <c r="R103" s="356"/>
      <c r="S103" s="356"/>
      <c r="T103" s="356"/>
      <c r="U103" s="356"/>
      <c r="V103" s="356"/>
      <c r="W103" s="356"/>
      <c r="X103" s="356"/>
      <c r="Y103" s="356"/>
      <c r="Z103" s="356"/>
      <c r="AA103" s="356"/>
      <c r="AB103" s="356"/>
      <c r="AC103" s="356"/>
      <c r="AD103" s="356"/>
      <c r="AE103" s="356"/>
      <c r="AF103" s="356"/>
      <c r="AG103" s="356"/>
      <c r="AH103" s="356"/>
      <c r="AI103" s="356"/>
      <c r="AJ103" s="356"/>
      <c r="AK103" s="356"/>
      <c r="AL103" s="356"/>
      <c r="AM103" s="356"/>
      <c r="AN103" s="356"/>
      <c r="AO103" s="356"/>
      <c r="AP103" s="356"/>
      <c r="AQ103" s="356"/>
      <c r="AR103" s="356"/>
      <c r="AS103" s="356"/>
      <c r="AT103" s="328"/>
      <c r="AU103" s="328"/>
      <c r="AV103" s="328"/>
      <c r="AW103" s="328"/>
      <c r="AX103" s="328"/>
      <c r="AY103" s="321"/>
      <c r="AZ103" s="328"/>
      <c r="BA103" s="329"/>
      <c r="BB103" s="321"/>
      <c r="BC103" s="328"/>
      <c r="BD103" s="329"/>
    </row>
    <row r="104" spans="1:63" ht="15" customHeight="1">
      <c r="A104" s="324" t="s">
        <v>352</v>
      </c>
      <c r="B104" s="344">
        <v>0</v>
      </c>
      <c r="C104" s="344">
        <v>0</v>
      </c>
      <c r="D104" s="344">
        <v>0</v>
      </c>
      <c r="E104" s="344">
        <v>0</v>
      </c>
      <c r="F104" s="344">
        <v>0</v>
      </c>
      <c r="G104" s="344">
        <v>0</v>
      </c>
      <c r="H104" s="344">
        <v>0</v>
      </c>
      <c r="I104" s="344">
        <v>0</v>
      </c>
      <c r="J104" s="344">
        <v>0</v>
      </c>
      <c r="K104" s="344">
        <v>0</v>
      </c>
      <c r="L104" s="344">
        <v>0</v>
      </c>
      <c r="M104" s="344">
        <v>0</v>
      </c>
      <c r="N104" s="344">
        <v>0</v>
      </c>
      <c r="O104" s="344">
        <v>0</v>
      </c>
      <c r="P104" s="344">
        <v>0</v>
      </c>
      <c r="Q104" s="344">
        <v>0</v>
      </c>
      <c r="R104" s="344">
        <v>0</v>
      </c>
      <c r="S104" s="344">
        <v>0</v>
      </c>
      <c r="T104" s="344">
        <v>0</v>
      </c>
      <c r="U104" s="344">
        <v>0</v>
      </c>
      <c r="V104" s="344">
        <v>0</v>
      </c>
      <c r="W104" s="344">
        <v>0</v>
      </c>
      <c r="X104" s="344">
        <v>0</v>
      </c>
      <c r="Y104" s="344">
        <v>0</v>
      </c>
      <c r="Z104" s="344">
        <v>0</v>
      </c>
      <c r="AA104" s="344">
        <v>0</v>
      </c>
      <c r="AB104" s="344">
        <v>0</v>
      </c>
      <c r="AC104" s="344">
        <v>0</v>
      </c>
      <c r="AD104" s="344">
        <v>0</v>
      </c>
      <c r="AE104" s="344">
        <v>0</v>
      </c>
      <c r="AF104" s="344">
        <v>0</v>
      </c>
      <c r="AG104" s="344">
        <v>0</v>
      </c>
      <c r="AH104" s="344">
        <v>0</v>
      </c>
      <c r="AI104" s="344">
        <v>0</v>
      </c>
      <c r="AJ104" s="344">
        <v>0</v>
      </c>
      <c r="AK104" s="344">
        <v>0</v>
      </c>
      <c r="AL104" s="344">
        <v>0</v>
      </c>
      <c r="AM104" s="344">
        <v>0</v>
      </c>
      <c r="AN104" s="344">
        <v>0</v>
      </c>
      <c r="AO104" s="344">
        <v>0</v>
      </c>
      <c r="AP104" s="344">
        <v>0</v>
      </c>
      <c r="AQ104" s="344">
        <v>0</v>
      </c>
      <c r="AR104" s="344">
        <v>0</v>
      </c>
      <c r="AS104" s="344">
        <v>0</v>
      </c>
      <c r="AT104" s="344">
        <v>0</v>
      </c>
      <c r="AU104" s="344">
        <v>0</v>
      </c>
      <c r="AV104" s="344">
        <v>0</v>
      </c>
      <c r="AW104" s="344">
        <v>3</v>
      </c>
      <c r="AX104" s="344">
        <v>3</v>
      </c>
      <c r="AY104" s="369">
        <v>3</v>
      </c>
      <c r="AZ104" s="366">
        <v>3</v>
      </c>
      <c r="BA104" s="366">
        <f>AZ104-AY104</f>
        <v>0</v>
      </c>
      <c r="BB104" s="367">
        <f>AY104-AX104</f>
        <v>0</v>
      </c>
      <c r="BC104" s="368">
        <f>AZ104-AX104</f>
        <v>0</v>
      </c>
      <c r="BD104" s="353">
        <f t="shared" si="23"/>
        <v>0</v>
      </c>
    </row>
    <row r="105" spans="1:63" ht="15" customHeight="1">
      <c r="A105" s="324" t="s">
        <v>353</v>
      </c>
      <c r="B105" s="345">
        <v>0</v>
      </c>
      <c r="C105" s="345">
        <v>0</v>
      </c>
      <c r="D105" s="345">
        <v>0</v>
      </c>
      <c r="E105" s="345">
        <v>0</v>
      </c>
      <c r="F105" s="345">
        <v>0</v>
      </c>
      <c r="G105" s="345">
        <v>0</v>
      </c>
      <c r="H105" s="345">
        <v>0</v>
      </c>
      <c r="I105" s="345">
        <v>0</v>
      </c>
      <c r="J105" s="345">
        <v>0</v>
      </c>
      <c r="K105" s="345">
        <v>0</v>
      </c>
      <c r="L105" s="345">
        <v>0</v>
      </c>
      <c r="M105" s="345">
        <v>0</v>
      </c>
      <c r="N105" s="345">
        <v>0</v>
      </c>
      <c r="O105" s="345">
        <v>0</v>
      </c>
      <c r="P105" s="345">
        <v>0</v>
      </c>
      <c r="Q105" s="345">
        <v>0</v>
      </c>
      <c r="R105" s="345">
        <v>0</v>
      </c>
      <c r="S105" s="345">
        <v>0</v>
      </c>
      <c r="T105" s="345">
        <v>0</v>
      </c>
      <c r="U105" s="345">
        <v>0</v>
      </c>
      <c r="V105" s="345">
        <v>0</v>
      </c>
      <c r="W105" s="345">
        <v>0</v>
      </c>
      <c r="X105" s="345">
        <v>0</v>
      </c>
      <c r="Y105" s="345">
        <v>0</v>
      </c>
      <c r="Z105" s="345">
        <v>0</v>
      </c>
      <c r="AA105" s="345">
        <v>0</v>
      </c>
      <c r="AB105" s="345">
        <v>0</v>
      </c>
      <c r="AC105" s="345">
        <v>0</v>
      </c>
      <c r="AD105" s="345">
        <v>0</v>
      </c>
      <c r="AE105" s="345">
        <v>0</v>
      </c>
      <c r="AF105" s="345">
        <v>0</v>
      </c>
      <c r="AG105" s="345">
        <v>0</v>
      </c>
      <c r="AH105" s="345">
        <v>0</v>
      </c>
      <c r="AI105" s="345">
        <v>0</v>
      </c>
      <c r="AJ105" s="345">
        <v>0</v>
      </c>
      <c r="AK105" s="345">
        <v>0</v>
      </c>
      <c r="AL105" s="345">
        <v>0</v>
      </c>
      <c r="AM105" s="345">
        <v>0</v>
      </c>
      <c r="AN105" s="345">
        <v>0</v>
      </c>
      <c r="AO105" s="345">
        <v>0</v>
      </c>
      <c r="AP105" s="345">
        <v>0</v>
      </c>
      <c r="AQ105" s="345">
        <v>0</v>
      </c>
      <c r="AR105" s="345">
        <v>0</v>
      </c>
      <c r="AS105" s="345">
        <v>0</v>
      </c>
      <c r="AT105" s="345"/>
      <c r="AU105" s="345"/>
      <c r="AV105" s="345"/>
      <c r="AW105" s="345">
        <v>4532</v>
      </c>
      <c r="AX105" s="345">
        <v>4609</v>
      </c>
      <c r="AY105" s="346">
        <v>4532</v>
      </c>
      <c r="AZ105" s="347">
        <v>4396</v>
      </c>
      <c r="BA105" s="347">
        <f>AZ105-AY105</f>
        <v>-136</v>
      </c>
      <c r="BB105" s="351">
        <f>AY105-AX105</f>
        <v>-77</v>
      </c>
      <c r="BC105" s="352">
        <f>AZ105-AX105</f>
        <v>-213</v>
      </c>
      <c r="BD105" s="353">
        <f t="shared" si="23"/>
        <v>0</v>
      </c>
    </row>
    <row r="106" spans="1:63" s="311" customFormat="1" ht="15" customHeight="1">
      <c r="A106" s="324" t="s">
        <v>354</v>
      </c>
      <c r="B106" s="344">
        <f>B105*B104/1000</f>
        <v>0</v>
      </c>
      <c r="C106" s="344">
        <v>255</v>
      </c>
      <c r="D106" s="344">
        <v>224</v>
      </c>
      <c r="E106" s="344">
        <v>266</v>
      </c>
      <c r="F106" s="344">
        <v>177</v>
      </c>
      <c r="G106" s="344">
        <v>303</v>
      </c>
      <c r="H106" s="344">
        <v>95</v>
      </c>
      <c r="I106" s="344">
        <v>328</v>
      </c>
      <c r="J106" s="344">
        <v>126</v>
      </c>
      <c r="K106" s="344">
        <v>290</v>
      </c>
      <c r="L106" s="344">
        <v>116</v>
      </c>
      <c r="M106" s="344">
        <v>345</v>
      </c>
      <c r="N106" s="344">
        <v>342</v>
      </c>
      <c r="O106" s="344">
        <v>173</v>
      </c>
      <c r="P106" s="344">
        <v>354.7</v>
      </c>
      <c r="Q106" s="344">
        <v>237.2</v>
      </c>
      <c r="R106" s="344">
        <v>197.4</v>
      </c>
      <c r="S106" s="344">
        <v>413.1</v>
      </c>
      <c r="T106" s="344">
        <v>422.5</v>
      </c>
      <c r="U106" s="344">
        <v>455</v>
      </c>
      <c r="V106" s="344">
        <v>362.7</v>
      </c>
      <c r="W106" s="344">
        <v>209.9</v>
      </c>
      <c r="X106" s="344">
        <v>294.10000000000002</v>
      </c>
      <c r="Y106" s="344">
        <v>313.60000000000002</v>
      </c>
      <c r="Z106" s="344">
        <v>310</v>
      </c>
      <c r="AA106" s="344">
        <v>324.5</v>
      </c>
      <c r="AB106" s="344">
        <v>414.2</v>
      </c>
      <c r="AC106" s="344">
        <v>430.4</v>
      </c>
      <c r="AD106" s="344">
        <v>405.1</v>
      </c>
      <c r="AE106" s="344">
        <v>424.4</v>
      </c>
      <c r="AF106" s="344">
        <v>447.1</v>
      </c>
      <c r="AG106" s="344">
        <v>490.4</v>
      </c>
      <c r="AH106" s="344">
        <v>504.1</v>
      </c>
      <c r="AI106" s="344">
        <v>562.1</v>
      </c>
      <c r="AJ106" s="344">
        <v>879.7</v>
      </c>
      <c r="AK106" s="344">
        <v>731.6</v>
      </c>
      <c r="AL106" s="344">
        <v>1309.4000000000001</v>
      </c>
      <c r="AM106" s="344">
        <v>1725.9</v>
      </c>
      <c r="AN106" s="344">
        <v>1469.2</v>
      </c>
      <c r="AO106" s="344">
        <v>874.4</v>
      </c>
      <c r="AP106" s="344">
        <v>1951.9</v>
      </c>
      <c r="AQ106" s="344">
        <v>1884</v>
      </c>
      <c r="AR106" s="344">
        <v>1792.5</v>
      </c>
      <c r="AS106" s="344">
        <v>2196.3000000000002</v>
      </c>
      <c r="AT106" s="344">
        <f t="shared" ref="AT106:AY106" si="37">AT105*AT104/1000</f>
        <v>0</v>
      </c>
      <c r="AU106" s="344">
        <f t="shared" si="37"/>
        <v>0</v>
      </c>
      <c r="AV106" s="344">
        <f t="shared" si="37"/>
        <v>0</v>
      </c>
      <c r="AW106" s="344">
        <f t="shared" si="37"/>
        <v>13.596</v>
      </c>
      <c r="AX106" s="344">
        <f t="shared" si="37"/>
        <v>13.827</v>
      </c>
      <c r="AY106" s="365">
        <f t="shared" si="37"/>
        <v>13.596</v>
      </c>
      <c r="AZ106" s="366">
        <f>AZ105*AZ104/1000</f>
        <v>13.188000000000001</v>
      </c>
      <c r="BA106" s="366">
        <f>AZ106-AY106</f>
        <v>-0.40799999999999947</v>
      </c>
      <c r="BB106" s="367">
        <f>AY106-AX106</f>
        <v>-0.23099999999999987</v>
      </c>
      <c r="BC106" s="368">
        <f>AZ106-AX106</f>
        <v>-0.63899999999999935</v>
      </c>
      <c r="BD106" s="353">
        <f t="shared" si="23"/>
        <v>-0.63708304339884247</v>
      </c>
      <c r="BE106" s="309"/>
      <c r="BF106"/>
      <c r="BG106" s="308"/>
    </row>
    <row r="107" spans="1:63" ht="15" customHeight="1">
      <c r="A107" s="320" t="s">
        <v>382</v>
      </c>
      <c r="B107" s="356"/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  <c r="Z107" s="356"/>
      <c r="AA107" s="356"/>
      <c r="AB107" s="356"/>
      <c r="AC107" s="356"/>
      <c r="AD107" s="356"/>
      <c r="AE107" s="356"/>
      <c r="AF107" s="356"/>
      <c r="AG107" s="356"/>
      <c r="AH107" s="356"/>
      <c r="AI107" s="356"/>
      <c r="AJ107" s="356"/>
      <c r="AK107" s="356"/>
      <c r="AL107" s="356"/>
      <c r="AM107" s="356"/>
      <c r="AN107" s="356"/>
      <c r="AO107" s="356"/>
      <c r="AP107" s="356"/>
      <c r="AQ107" s="356"/>
      <c r="AR107" s="356"/>
      <c r="AS107" s="356"/>
      <c r="AT107" s="328"/>
      <c r="AU107" s="328"/>
      <c r="AV107" s="328"/>
      <c r="AW107" s="328"/>
      <c r="AX107" s="328"/>
      <c r="AY107" s="321"/>
      <c r="AZ107" s="328"/>
      <c r="BA107" s="329"/>
      <c r="BB107" s="321"/>
      <c r="BC107" s="328"/>
      <c r="BD107" s="329"/>
    </row>
    <row r="108" spans="1:63" ht="15" customHeight="1">
      <c r="A108" s="324" t="s">
        <v>352</v>
      </c>
      <c r="B108" s="344">
        <v>0</v>
      </c>
      <c r="C108" s="344">
        <v>0</v>
      </c>
      <c r="D108" s="344">
        <v>0</v>
      </c>
      <c r="E108" s="344">
        <v>0</v>
      </c>
      <c r="F108" s="344">
        <v>0</v>
      </c>
      <c r="G108" s="344">
        <v>0</v>
      </c>
      <c r="H108" s="344">
        <v>0</v>
      </c>
      <c r="I108" s="344">
        <v>0</v>
      </c>
      <c r="J108" s="344">
        <v>0</v>
      </c>
      <c r="K108" s="344">
        <v>0</v>
      </c>
      <c r="L108" s="344">
        <v>0</v>
      </c>
      <c r="M108" s="344">
        <v>0</v>
      </c>
      <c r="N108" s="344">
        <v>0</v>
      </c>
      <c r="O108" s="344">
        <v>0</v>
      </c>
      <c r="P108" s="344">
        <v>0</v>
      </c>
      <c r="Q108" s="344">
        <v>0</v>
      </c>
      <c r="R108" s="344">
        <v>0</v>
      </c>
      <c r="S108" s="344">
        <v>0</v>
      </c>
      <c r="T108" s="344">
        <v>0</v>
      </c>
      <c r="U108" s="344">
        <v>0</v>
      </c>
      <c r="V108" s="344">
        <v>0</v>
      </c>
      <c r="W108" s="344">
        <v>0</v>
      </c>
      <c r="X108" s="344">
        <v>0</v>
      </c>
      <c r="Y108" s="344">
        <v>0</v>
      </c>
      <c r="Z108" s="344">
        <v>0</v>
      </c>
      <c r="AA108" s="344">
        <v>0</v>
      </c>
      <c r="AB108" s="344">
        <v>0</v>
      </c>
      <c r="AC108" s="344">
        <v>0</v>
      </c>
      <c r="AD108" s="344">
        <v>0</v>
      </c>
      <c r="AE108" s="344">
        <v>0</v>
      </c>
      <c r="AF108" s="344">
        <v>0</v>
      </c>
      <c r="AG108" s="344">
        <v>0</v>
      </c>
      <c r="AH108" s="344">
        <v>0</v>
      </c>
      <c r="AI108" s="344">
        <v>0</v>
      </c>
      <c r="AJ108" s="344">
        <v>0</v>
      </c>
      <c r="AK108" s="344">
        <v>0</v>
      </c>
      <c r="AL108" s="344">
        <v>0</v>
      </c>
      <c r="AM108" s="344">
        <v>0</v>
      </c>
      <c r="AN108" s="344">
        <v>0</v>
      </c>
      <c r="AO108" s="344">
        <v>0</v>
      </c>
      <c r="AP108" s="344">
        <v>0</v>
      </c>
      <c r="AQ108" s="344">
        <v>0</v>
      </c>
      <c r="AR108" s="344">
        <v>0</v>
      </c>
      <c r="AS108" s="344">
        <v>0</v>
      </c>
      <c r="AT108" s="344">
        <v>0</v>
      </c>
      <c r="AU108" s="344">
        <v>0</v>
      </c>
      <c r="AV108" s="344">
        <v>0</v>
      </c>
      <c r="AW108" s="344">
        <v>0</v>
      </c>
      <c r="AX108" s="344">
        <v>0</v>
      </c>
      <c r="AY108" s="369">
        <v>0</v>
      </c>
      <c r="AZ108" s="366">
        <v>0</v>
      </c>
      <c r="BA108" s="366">
        <f>AZ108-AY108</f>
        <v>0</v>
      </c>
      <c r="BB108" s="367">
        <f>AY108-AX108</f>
        <v>0</v>
      </c>
      <c r="BC108" s="368">
        <f>AZ108-AX108</f>
        <v>0</v>
      </c>
      <c r="BD108" s="353">
        <f t="shared" si="23"/>
        <v>0</v>
      </c>
    </row>
    <row r="109" spans="1:63" ht="15" customHeight="1">
      <c r="A109" s="324" t="s">
        <v>353</v>
      </c>
      <c r="B109" s="345">
        <v>0</v>
      </c>
      <c r="C109" s="345">
        <v>0</v>
      </c>
      <c r="D109" s="345">
        <v>0</v>
      </c>
      <c r="E109" s="345">
        <v>0</v>
      </c>
      <c r="F109" s="345">
        <v>0</v>
      </c>
      <c r="G109" s="345">
        <v>0</v>
      </c>
      <c r="H109" s="345">
        <v>0</v>
      </c>
      <c r="I109" s="345">
        <v>0</v>
      </c>
      <c r="J109" s="345">
        <v>0</v>
      </c>
      <c r="K109" s="345">
        <v>0</v>
      </c>
      <c r="L109" s="345">
        <v>0</v>
      </c>
      <c r="M109" s="345">
        <v>0</v>
      </c>
      <c r="N109" s="345">
        <v>0</v>
      </c>
      <c r="O109" s="345">
        <v>0</v>
      </c>
      <c r="P109" s="345">
        <v>0</v>
      </c>
      <c r="Q109" s="345">
        <v>0</v>
      </c>
      <c r="R109" s="345">
        <v>0</v>
      </c>
      <c r="S109" s="345">
        <v>0</v>
      </c>
      <c r="T109" s="345">
        <v>0</v>
      </c>
      <c r="U109" s="345">
        <v>0</v>
      </c>
      <c r="V109" s="345">
        <v>0</v>
      </c>
      <c r="W109" s="345">
        <v>0</v>
      </c>
      <c r="X109" s="345">
        <v>0</v>
      </c>
      <c r="Y109" s="345">
        <v>0</v>
      </c>
      <c r="Z109" s="345">
        <v>0</v>
      </c>
      <c r="AA109" s="345">
        <v>0</v>
      </c>
      <c r="AB109" s="345">
        <v>0</v>
      </c>
      <c r="AC109" s="345">
        <v>0</v>
      </c>
      <c r="AD109" s="345">
        <v>0</v>
      </c>
      <c r="AE109" s="345">
        <v>0</v>
      </c>
      <c r="AF109" s="345">
        <v>0</v>
      </c>
      <c r="AG109" s="345">
        <v>0</v>
      </c>
      <c r="AH109" s="345">
        <v>0</v>
      </c>
      <c r="AI109" s="345">
        <v>0</v>
      </c>
      <c r="AJ109" s="345">
        <v>0</v>
      </c>
      <c r="AK109" s="345">
        <v>0</v>
      </c>
      <c r="AL109" s="345">
        <v>0</v>
      </c>
      <c r="AM109" s="345">
        <v>0</v>
      </c>
      <c r="AN109" s="345">
        <v>0</v>
      </c>
      <c r="AO109" s="345">
        <v>0</v>
      </c>
      <c r="AP109" s="345">
        <v>0</v>
      </c>
      <c r="AQ109" s="345">
        <v>0</v>
      </c>
      <c r="AR109" s="345">
        <v>0</v>
      </c>
      <c r="AS109" s="345">
        <v>0</v>
      </c>
      <c r="AT109" s="345"/>
      <c r="AU109" s="345"/>
      <c r="AV109" s="345"/>
      <c r="AW109" s="345">
        <v>0</v>
      </c>
      <c r="AX109" s="345"/>
      <c r="AY109" s="346"/>
      <c r="AZ109" s="347">
        <v>0</v>
      </c>
      <c r="BA109" s="347">
        <f>AZ109-AY109</f>
        <v>0</v>
      </c>
      <c r="BB109" s="351">
        <f>AY109-AX109</f>
        <v>0</v>
      </c>
      <c r="BC109" s="352">
        <f>AZ109-AX109</f>
        <v>0</v>
      </c>
      <c r="BD109" s="353">
        <f t="shared" si="23"/>
        <v>0</v>
      </c>
    </row>
    <row r="110" spans="1:63" s="311" customFormat="1" ht="15" customHeight="1">
      <c r="A110" s="324" t="s">
        <v>354</v>
      </c>
      <c r="B110" s="344">
        <f>B109*B108/1000</f>
        <v>0</v>
      </c>
      <c r="C110" s="344">
        <v>255</v>
      </c>
      <c r="D110" s="344">
        <v>224</v>
      </c>
      <c r="E110" s="344">
        <v>266</v>
      </c>
      <c r="F110" s="344">
        <v>177</v>
      </c>
      <c r="G110" s="344">
        <v>303</v>
      </c>
      <c r="H110" s="344">
        <v>95</v>
      </c>
      <c r="I110" s="344">
        <v>328</v>
      </c>
      <c r="J110" s="344">
        <v>126</v>
      </c>
      <c r="K110" s="344">
        <v>290</v>
      </c>
      <c r="L110" s="344">
        <v>116</v>
      </c>
      <c r="M110" s="344">
        <v>345</v>
      </c>
      <c r="N110" s="344">
        <v>342</v>
      </c>
      <c r="O110" s="344">
        <v>173</v>
      </c>
      <c r="P110" s="344">
        <v>354.7</v>
      </c>
      <c r="Q110" s="344">
        <v>237.2</v>
      </c>
      <c r="R110" s="344">
        <v>197.4</v>
      </c>
      <c r="S110" s="344">
        <v>413.1</v>
      </c>
      <c r="T110" s="344">
        <v>422.5</v>
      </c>
      <c r="U110" s="344">
        <v>455</v>
      </c>
      <c r="V110" s="344">
        <v>362.7</v>
      </c>
      <c r="W110" s="344">
        <v>209.9</v>
      </c>
      <c r="X110" s="344">
        <v>294.10000000000002</v>
      </c>
      <c r="Y110" s="344">
        <v>313.60000000000002</v>
      </c>
      <c r="Z110" s="344">
        <v>310</v>
      </c>
      <c r="AA110" s="344">
        <v>324.5</v>
      </c>
      <c r="AB110" s="344">
        <v>414.2</v>
      </c>
      <c r="AC110" s="344">
        <v>430.4</v>
      </c>
      <c r="AD110" s="344">
        <v>405.1</v>
      </c>
      <c r="AE110" s="344">
        <v>424.4</v>
      </c>
      <c r="AF110" s="344">
        <v>447.1</v>
      </c>
      <c r="AG110" s="344">
        <v>490.4</v>
      </c>
      <c r="AH110" s="344">
        <v>504.1</v>
      </c>
      <c r="AI110" s="344">
        <v>562.1</v>
      </c>
      <c r="AJ110" s="344">
        <v>879.7</v>
      </c>
      <c r="AK110" s="344">
        <v>731.6</v>
      </c>
      <c r="AL110" s="344">
        <v>1309.4000000000001</v>
      </c>
      <c r="AM110" s="344">
        <v>1725.9</v>
      </c>
      <c r="AN110" s="344">
        <v>1469.2</v>
      </c>
      <c r="AO110" s="344">
        <v>874.4</v>
      </c>
      <c r="AP110" s="344">
        <v>1951.9</v>
      </c>
      <c r="AQ110" s="344">
        <v>1884</v>
      </c>
      <c r="AR110" s="344">
        <v>1792.5</v>
      </c>
      <c r="AS110" s="344">
        <v>2196.3000000000002</v>
      </c>
      <c r="AT110" s="344">
        <f t="shared" ref="AT110:AY110" si="38">AT109*AT108/1000</f>
        <v>0</v>
      </c>
      <c r="AU110" s="344">
        <f t="shared" si="38"/>
        <v>0</v>
      </c>
      <c r="AV110" s="344">
        <f t="shared" si="38"/>
        <v>0</v>
      </c>
      <c r="AW110" s="344">
        <f t="shared" si="38"/>
        <v>0</v>
      </c>
      <c r="AX110" s="344">
        <f t="shared" si="38"/>
        <v>0</v>
      </c>
      <c r="AY110" s="365">
        <f t="shared" si="38"/>
        <v>0</v>
      </c>
      <c r="AZ110" s="366">
        <f>AZ109*AZ108/1000</f>
        <v>0</v>
      </c>
      <c r="BA110" s="366">
        <f>AZ110-AY110</f>
        <v>0</v>
      </c>
      <c r="BB110" s="367">
        <f>AY110-AX110</f>
        <v>0</v>
      </c>
      <c r="BC110" s="368">
        <f>AZ110-AX110</f>
        <v>0</v>
      </c>
      <c r="BD110" s="353">
        <f t="shared" si="23"/>
        <v>-1</v>
      </c>
      <c r="BE110" s="309"/>
      <c r="BF110"/>
      <c r="BG110" s="308"/>
    </row>
    <row r="111" spans="1:63" ht="15" customHeight="1">
      <c r="A111" s="320" t="s">
        <v>383</v>
      </c>
      <c r="B111" s="356"/>
      <c r="C111" s="356"/>
      <c r="D111" s="356"/>
      <c r="E111" s="356"/>
      <c r="F111" s="356"/>
      <c r="G111" s="356"/>
      <c r="H111" s="356"/>
      <c r="I111" s="356"/>
      <c r="J111" s="356"/>
      <c r="K111" s="356"/>
      <c r="L111" s="356"/>
      <c r="M111" s="356"/>
      <c r="N111" s="356"/>
      <c r="O111" s="356"/>
      <c r="P111" s="356"/>
      <c r="Q111" s="356"/>
      <c r="R111" s="356"/>
      <c r="S111" s="356"/>
      <c r="T111" s="356"/>
      <c r="U111" s="356"/>
      <c r="V111" s="356"/>
      <c r="W111" s="356"/>
      <c r="X111" s="356"/>
      <c r="Y111" s="356"/>
      <c r="Z111" s="356"/>
      <c r="AA111" s="356"/>
      <c r="AB111" s="356"/>
      <c r="AC111" s="356"/>
      <c r="AD111" s="356"/>
      <c r="AE111" s="356"/>
      <c r="AF111" s="356"/>
      <c r="AG111" s="356"/>
      <c r="AH111" s="356"/>
      <c r="AI111" s="356"/>
      <c r="AJ111" s="356"/>
      <c r="AK111" s="356"/>
      <c r="AL111" s="356"/>
      <c r="AM111" s="356"/>
      <c r="AN111" s="356"/>
      <c r="AO111" s="356"/>
      <c r="AP111" s="356"/>
      <c r="AQ111" s="356"/>
      <c r="AR111" s="356"/>
      <c r="AS111" s="356"/>
      <c r="AT111" s="328"/>
      <c r="AU111" s="328"/>
      <c r="AV111" s="328"/>
      <c r="AW111" s="328"/>
      <c r="AX111" s="328"/>
      <c r="AY111" s="321"/>
      <c r="AZ111" s="328"/>
      <c r="BA111" s="329"/>
      <c r="BB111" s="321"/>
      <c r="BC111" s="328"/>
      <c r="BD111" s="329"/>
    </row>
    <row r="112" spans="1:63" ht="15" customHeight="1">
      <c r="A112" s="324" t="s">
        <v>352</v>
      </c>
      <c r="B112" s="344">
        <v>0</v>
      </c>
      <c r="C112" s="344">
        <v>0</v>
      </c>
      <c r="D112" s="344">
        <v>0</v>
      </c>
      <c r="E112" s="344">
        <v>0</v>
      </c>
      <c r="F112" s="344">
        <v>0</v>
      </c>
      <c r="G112" s="344">
        <v>0</v>
      </c>
      <c r="H112" s="344">
        <v>0</v>
      </c>
      <c r="I112" s="344">
        <v>0</v>
      </c>
      <c r="J112" s="344">
        <v>0</v>
      </c>
      <c r="K112" s="344">
        <v>0</v>
      </c>
      <c r="L112" s="344">
        <v>0</v>
      </c>
      <c r="M112" s="344">
        <v>0</v>
      </c>
      <c r="N112" s="344">
        <v>100</v>
      </c>
      <c r="O112" s="344">
        <v>65</v>
      </c>
      <c r="P112" s="344">
        <v>226.6</v>
      </c>
      <c r="Q112" s="344">
        <v>283.2</v>
      </c>
      <c r="R112" s="344">
        <v>365</v>
      </c>
      <c r="S112" s="344">
        <v>372.3</v>
      </c>
      <c r="T112" s="344">
        <v>369</v>
      </c>
      <c r="U112" s="344">
        <v>372.7</v>
      </c>
      <c r="V112" s="344">
        <v>391.3</v>
      </c>
      <c r="W112" s="344">
        <v>403</v>
      </c>
      <c r="X112" s="344">
        <v>423.2</v>
      </c>
      <c r="Y112" s="344">
        <v>406.3</v>
      </c>
      <c r="Z112" s="344">
        <v>353.5</v>
      </c>
      <c r="AA112" s="344">
        <v>332.3</v>
      </c>
      <c r="AB112" s="344">
        <v>332.3</v>
      </c>
      <c r="AC112" s="344">
        <v>329</v>
      </c>
      <c r="AD112" s="344">
        <v>315.8</v>
      </c>
      <c r="AE112" s="344">
        <v>268.39999999999998</v>
      </c>
      <c r="AF112" s="344">
        <v>246.9</v>
      </c>
      <c r="AG112" s="344">
        <v>271</v>
      </c>
      <c r="AH112" s="344">
        <v>271</v>
      </c>
      <c r="AI112" s="344">
        <v>281.60000000000002</v>
      </c>
      <c r="AJ112" s="344">
        <v>337.7</v>
      </c>
      <c r="AK112" s="344">
        <v>335</v>
      </c>
      <c r="AL112" s="344">
        <v>330.8</v>
      </c>
      <c r="AM112" s="344">
        <v>326.5</v>
      </c>
      <c r="AN112" s="344">
        <v>370.1</v>
      </c>
      <c r="AO112" s="344">
        <v>443.3</v>
      </c>
      <c r="AP112" s="344">
        <v>480.1</v>
      </c>
      <c r="AQ112" s="344">
        <v>535.6</v>
      </c>
      <c r="AR112" s="344">
        <v>493.8</v>
      </c>
      <c r="AS112" s="344">
        <v>530.79999999999995</v>
      </c>
      <c r="AT112" s="344">
        <v>549.9</v>
      </c>
      <c r="AU112" s="344">
        <v>538</v>
      </c>
      <c r="AV112" s="344">
        <v>484.7</v>
      </c>
      <c r="AW112" s="344">
        <v>469.2</v>
      </c>
      <c r="AX112" s="344">
        <v>479.1</v>
      </c>
      <c r="AY112" s="369">
        <v>494</v>
      </c>
      <c r="AZ112" s="366">
        <v>494</v>
      </c>
      <c r="BA112" s="366">
        <f>AZ112-AY112</f>
        <v>0</v>
      </c>
      <c r="BB112" s="367">
        <f>AY112-AX112</f>
        <v>14.899999999999977</v>
      </c>
      <c r="BC112" s="368">
        <f>AZ112-AX112</f>
        <v>14.899999999999977</v>
      </c>
      <c r="BD112" s="353">
        <f t="shared" si="23"/>
        <v>-2.0286592794346858E-2</v>
      </c>
      <c r="BF112" s="319" t="b">
        <v>0</v>
      </c>
    </row>
    <row r="113" spans="1:59" ht="15" customHeight="1">
      <c r="A113" s="324" t="s">
        <v>353</v>
      </c>
      <c r="B113" s="345">
        <v>0</v>
      </c>
      <c r="C113" s="345">
        <v>0</v>
      </c>
      <c r="D113" s="345">
        <v>0</v>
      </c>
      <c r="E113" s="345">
        <v>0</v>
      </c>
      <c r="F113" s="345">
        <v>0</v>
      </c>
      <c r="G113" s="345">
        <v>0</v>
      </c>
      <c r="H113" s="345">
        <v>0</v>
      </c>
      <c r="I113" s="345">
        <v>0</v>
      </c>
      <c r="J113" s="345">
        <v>0</v>
      </c>
      <c r="K113" s="345">
        <v>0</v>
      </c>
      <c r="L113" s="345">
        <v>0</v>
      </c>
      <c r="M113" s="345">
        <v>0</v>
      </c>
      <c r="N113" s="345">
        <v>1250</v>
      </c>
      <c r="O113" s="345">
        <v>2195.3846153846152</v>
      </c>
      <c r="P113" s="345">
        <v>2110</v>
      </c>
      <c r="Q113" s="345">
        <v>2110</v>
      </c>
      <c r="R113" s="345">
        <v>2400</v>
      </c>
      <c r="S113" s="345">
        <v>1470</v>
      </c>
      <c r="T113" s="345">
        <v>2320</v>
      </c>
      <c r="U113" s="345">
        <v>2100</v>
      </c>
      <c r="V113" s="345">
        <v>1950</v>
      </c>
      <c r="W113" s="345">
        <v>2900</v>
      </c>
      <c r="X113" s="345">
        <v>2100</v>
      </c>
      <c r="Y113" s="345">
        <v>740</v>
      </c>
      <c r="Z113" s="345">
        <v>2350</v>
      </c>
      <c r="AA113" s="345">
        <v>1800</v>
      </c>
      <c r="AB113" s="345">
        <v>3200</v>
      </c>
      <c r="AC113" s="345">
        <v>3150</v>
      </c>
      <c r="AD113" s="345">
        <v>2320</v>
      </c>
      <c r="AE113" s="345">
        <v>2100</v>
      </c>
      <c r="AF113" s="345">
        <v>2600</v>
      </c>
      <c r="AG113" s="345">
        <v>3550</v>
      </c>
      <c r="AH113" s="345">
        <v>3345</v>
      </c>
      <c r="AI113" s="345">
        <v>3800</v>
      </c>
      <c r="AJ113" s="345">
        <v>2900</v>
      </c>
      <c r="AK113" s="345">
        <v>4490</v>
      </c>
      <c r="AL113" s="345">
        <v>4300</v>
      </c>
      <c r="AM113" s="345">
        <v>4493</v>
      </c>
      <c r="AN113" s="345">
        <v>5010</v>
      </c>
      <c r="AO113" s="345">
        <v>3297</v>
      </c>
      <c r="AP113" s="345">
        <v>5274</v>
      </c>
      <c r="AQ113" s="345">
        <v>3235</v>
      </c>
      <c r="AR113" s="345">
        <v>5330</v>
      </c>
      <c r="AS113" s="345">
        <v>4400</v>
      </c>
      <c r="AT113" s="345">
        <v>2600</v>
      </c>
      <c r="AU113" s="345">
        <v>4339</v>
      </c>
      <c r="AV113" s="345">
        <v>5500</v>
      </c>
      <c r="AW113" s="345">
        <v>4380</v>
      </c>
      <c r="AX113" s="345">
        <v>5850</v>
      </c>
      <c r="AY113" s="346">
        <v>5272</v>
      </c>
      <c r="AZ113" s="347">
        <v>5114</v>
      </c>
      <c r="BA113" s="347">
        <f>AZ113-AY113</f>
        <v>-158</v>
      </c>
      <c r="BB113" s="351">
        <f>AY113-AX113</f>
        <v>-578</v>
      </c>
      <c r="BC113" s="352">
        <f>AZ113-AX113</f>
        <v>-736</v>
      </c>
      <c r="BD113" s="353">
        <f t="shared" si="23"/>
        <v>5.8621324253191442E-2</v>
      </c>
    </row>
    <row r="114" spans="1:59" ht="15" customHeight="1" thickBot="1">
      <c r="A114" s="324" t="s">
        <v>354</v>
      </c>
      <c r="B114" s="344">
        <f>B113*B112/1000</f>
        <v>0</v>
      </c>
      <c r="C114" s="344">
        <v>255</v>
      </c>
      <c r="D114" s="344">
        <v>224</v>
      </c>
      <c r="E114" s="344">
        <v>266</v>
      </c>
      <c r="F114" s="344">
        <v>177</v>
      </c>
      <c r="G114" s="344">
        <v>303</v>
      </c>
      <c r="H114" s="344">
        <v>95</v>
      </c>
      <c r="I114" s="344">
        <v>328</v>
      </c>
      <c r="J114" s="344">
        <v>126</v>
      </c>
      <c r="K114" s="344">
        <v>290</v>
      </c>
      <c r="L114" s="344">
        <v>116</v>
      </c>
      <c r="M114" s="344">
        <v>345</v>
      </c>
      <c r="N114" s="344">
        <v>342</v>
      </c>
      <c r="O114" s="344">
        <v>173</v>
      </c>
      <c r="P114" s="344">
        <v>354.7</v>
      </c>
      <c r="Q114" s="344">
        <v>237.2</v>
      </c>
      <c r="R114" s="344">
        <v>197.4</v>
      </c>
      <c r="S114" s="344">
        <v>413.1</v>
      </c>
      <c r="T114" s="344">
        <v>422.5</v>
      </c>
      <c r="U114" s="344">
        <v>455</v>
      </c>
      <c r="V114" s="344">
        <v>362.7</v>
      </c>
      <c r="W114" s="344">
        <v>209.9</v>
      </c>
      <c r="X114" s="344">
        <v>294.10000000000002</v>
      </c>
      <c r="Y114" s="344">
        <v>313.60000000000002</v>
      </c>
      <c r="Z114" s="344">
        <v>310</v>
      </c>
      <c r="AA114" s="344">
        <v>324.5</v>
      </c>
      <c r="AB114" s="344">
        <v>414.2</v>
      </c>
      <c r="AC114" s="344">
        <v>430.4</v>
      </c>
      <c r="AD114" s="344">
        <v>405.1</v>
      </c>
      <c r="AE114" s="344">
        <v>424.4</v>
      </c>
      <c r="AF114" s="344">
        <v>447.1</v>
      </c>
      <c r="AG114" s="344">
        <v>490.4</v>
      </c>
      <c r="AH114" s="344">
        <v>504.1</v>
      </c>
      <c r="AI114" s="344">
        <v>562.1</v>
      </c>
      <c r="AJ114" s="344">
        <v>879.7</v>
      </c>
      <c r="AK114" s="344">
        <v>731.6</v>
      </c>
      <c r="AL114" s="344">
        <v>1309.4000000000001</v>
      </c>
      <c r="AM114" s="344">
        <v>1725.9</v>
      </c>
      <c r="AN114" s="344">
        <v>1469.2</v>
      </c>
      <c r="AO114" s="344">
        <v>874.4</v>
      </c>
      <c r="AP114" s="344">
        <v>1951.9</v>
      </c>
      <c r="AQ114" s="344">
        <v>1884</v>
      </c>
      <c r="AR114" s="344">
        <v>1792.5</v>
      </c>
      <c r="AS114" s="344">
        <v>2196.3000000000002</v>
      </c>
      <c r="AT114" s="344">
        <f t="shared" ref="AT114:AY114" si="39">AT113*AT112/1000</f>
        <v>1429.74</v>
      </c>
      <c r="AU114" s="344">
        <f t="shared" si="39"/>
        <v>2334.3820000000001</v>
      </c>
      <c r="AV114" s="344">
        <f t="shared" si="39"/>
        <v>2665.85</v>
      </c>
      <c r="AW114" s="344">
        <f t="shared" si="39"/>
        <v>2055.096</v>
      </c>
      <c r="AX114" s="344">
        <f t="shared" si="39"/>
        <v>2802.7350000000001</v>
      </c>
      <c r="AY114" s="365">
        <f t="shared" si="39"/>
        <v>2604.3679999999999</v>
      </c>
      <c r="AZ114" s="366">
        <f>AZ113*AZ112/1000</f>
        <v>2526.3159999999998</v>
      </c>
      <c r="BA114" s="366">
        <f>AZ114-AY114</f>
        <v>-78.052000000000135</v>
      </c>
      <c r="BB114" s="367">
        <f>AY114-AX114</f>
        <v>-198.36700000000019</v>
      </c>
      <c r="BC114" s="368">
        <f>AZ114-AX114</f>
        <v>-276.41900000000032</v>
      </c>
      <c r="BD114" s="353">
        <f t="shared" si="23"/>
        <v>4.9972863933301248E-2</v>
      </c>
    </row>
    <row r="115" spans="1:59" s="311" customFormat="1" ht="15" customHeight="1" thickBot="1">
      <c r="A115" s="335" t="s">
        <v>384</v>
      </c>
      <c r="B115" s="358"/>
      <c r="C115" s="358"/>
      <c r="D115" s="358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  <c r="AA115" s="358"/>
      <c r="AB115" s="358"/>
      <c r="AC115" s="358"/>
      <c r="AD115" s="358"/>
      <c r="AE115" s="358"/>
      <c r="AF115" s="358"/>
      <c r="AG115" s="358"/>
      <c r="AH115" s="358"/>
      <c r="AI115" s="358"/>
      <c r="AJ115" s="358"/>
      <c r="AK115" s="358"/>
      <c r="AL115" s="358"/>
      <c r="AM115" s="358"/>
      <c r="AN115" s="358"/>
      <c r="AO115" s="358"/>
      <c r="AP115" s="358"/>
      <c r="AQ115" s="358"/>
      <c r="AR115" s="358"/>
      <c r="AS115" s="358"/>
      <c r="AT115" s="333"/>
      <c r="AU115" s="333"/>
      <c r="AV115" s="333"/>
      <c r="AW115" s="333"/>
      <c r="AX115" s="333"/>
      <c r="AY115" s="332"/>
      <c r="AZ115" s="333"/>
      <c r="BA115" s="333"/>
      <c r="BB115" s="332"/>
      <c r="BC115" s="333"/>
      <c r="BD115" s="334"/>
      <c r="BE115" s="309"/>
      <c r="BF115"/>
      <c r="BG115" s="308"/>
    </row>
    <row r="116" spans="1:59" s="311" customFormat="1" ht="15" customHeight="1">
      <c r="A116" s="324" t="s">
        <v>352</v>
      </c>
      <c r="B116" s="344">
        <f>B120+B124+B128</f>
        <v>0</v>
      </c>
      <c r="C116" s="344">
        <f t="shared" ref="C116:AY116" si="40">C120+C124+C128</f>
        <v>0</v>
      </c>
      <c r="D116" s="344">
        <f t="shared" si="40"/>
        <v>0</v>
      </c>
      <c r="E116" s="344">
        <f t="shared" si="40"/>
        <v>0</v>
      </c>
      <c r="F116" s="344">
        <f t="shared" si="40"/>
        <v>0</v>
      </c>
      <c r="G116" s="344">
        <f t="shared" si="40"/>
        <v>0</v>
      </c>
      <c r="H116" s="344">
        <f t="shared" si="40"/>
        <v>0</v>
      </c>
      <c r="I116" s="344">
        <f t="shared" si="40"/>
        <v>160</v>
      </c>
      <c r="J116" s="344">
        <f t="shared" si="40"/>
        <v>200</v>
      </c>
      <c r="K116" s="344">
        <f t="shared" si="40"/>
        <v>200</v>
      </c>
      <c r="L116" s="344">
        <f t="shared" si="40"/>
        <v>240</v>
      </c>
      <c r="M116" s="344">
        <f t="shared" si="40"/>
        <v>168</v>
      </c>
      <c r="N116" s="344">
        <f t="shared" si="40"/>
        <v>245</v>
      </c>
      <c r="O116" s="344">
        <f t="shared" si="40"/>
        <v>185</v>
      </c>
      <c r="P116" s="344">
        <f t="shared" si="40"/>
        <v>233</v>
      </c>
      <c r="Q116" s="344">
        <f t="shared" si="40"/>
        <v>304.10000000000002</v>
      </c>
      <c r="R116" s="344">
        <f t="shared" si="40"/>
        <v>553.29999999999995</v>
      </c>
      <c r="S116" s="344">
        <f t="shared" si="40"/>
        <v>703.3</v>
      </c>
      <c r="T116" s="344">
        <f t="shared" si="40"/>
        <v>603.29999999999995</v>
      </c>
      <c r="U116" s="344">
        <f t="shared" si="40"/>
        <v>570</v>
      </c>
      <c r="V116" s="344">
        <f t="shared" si="40"/>
        <v>673.2</v>
      </c>
      <c r="W116" s="344">
        <f t="shared" si="40"/>
        <v>794.4</v>
      </c>
      <c r="X116" s="344">
        <f t="shared" si="40"/>
        <v>1008.9</v>
      </c>
      <c r="Y116" s="344">
        <f t="shared" si="40"/>
        <v>1124.9000000000001</v>
      </c>
      <c r="Z116" s="344">
        <f t="shared" si="40"/>
        <v>944.9</v>
      </c>
      <c r="AA116" s="344">
        <f t="shared" si="40"/>
        <v>1001.6</v>
      </c>
      <c r="AB116" s="344">
        <f t="shared" si="40"/>
        <v>1352.2</v>
      </c>
      <c r="AC116" s="344">
        <f t="shared" si="40"/>
        <v>1095.3</v>
      </c>
      <c r="AD116" s="344">
        <f t="shared" si="40"/>
        <v>848.9</v>
      </c>
      <c r="AE116" s="344">
        <f t="shared" si="40"/>
        <v>976.2</v>
      </c>
      <c r="AF116" s="344">
        <f t="shared" si="40"/>
        <v>1454.5</v>
      </c>
      <c r="AG116" s="344">
        <f t="shared" si="40"/>
        <v>1604.6</v>
      </c>
      <c r="AH116" s="344">
        <f t="shared" si="40"/>
        <v>1514.1</v>
      </c>
      <c r="AI116" s="344">
        <f t="shared" si="40"/>
        <v>1356</v>
      </c>
      <c r="AJ116" s="344">
        <f t="shared" si="40"/>
        <v>1717.8</v>
      </c>
      <c r="AK116" s="344">
        <f t="shared" si="40"/>
        <v>2025.1</v>
      </c>
      <c r="AL116" s="344">
        <f t="shared" si="40"/>
        <v>2169.1999999999998</v>
      </c>
      <c r="AM116" s="344">
        <f t="shared" si="40"/>
        <v>1901</v>
      </c>
      <c r="AN116" s="344">
        <f t="shared" si="40"/>
        <v>1914.3</v>
      </c>
      <c r="AO116" s="344">
        <f t="shared" si="40"/>
        <v>2198.3000000000002</v>
      </c>
      <c r="AP116" s="344">
        <f t="shared" si="40"/>
        <v>2409.3000000000002</v>
      </c>
      <c r="AQ116" s="344">
        <f t="shared" si="40"/>
        <v>2100.9</v>
      </c>
      <c r="AR116" s="344">
        <f t="shared" si="40"/>
        <v>2248</v>
      </c>
      <c r="AS116" s="344">
        <f t="shared" si="40"/>
        <v>2277.1999999999998</v>
      </c>
      <c r="AT116" s="344">
        <f t="shared" si="40"/>
        <v>2504.9</v>
      </c>
      <c r="AU116" s="344">
        <f t="shared" si="40"/>
        <v>2717.8</v>
      </c>
      <c r="AV116" s="344">
        <f t="shared" si="40"/>
        <v>2470.5</v>
      </c>
      <c r="AW116" s="344">
        <f t="shared" si="40"/>
        <v>2512.5</v>
      </c>
      <c r="AX116" s="344">
        <f t="shared" si="40"/>
        <v>2788.9</v>
      </c>
      <c r="AY116" s="369">
        <f t="shared" si="40"/>
        <v>2827.9</v>
      </c>
      <c r="AZ116" s="366">
        <f>AZ120+AZ124+AZ128</f>
        <v>2827.9</v>
      </c>
      <c r="BA116" s="366">
        <f>AZ116-AY116</f>
        <v>0</v>
      </c>
      <c r="BB116" s="367">
        <f>AY116-AX116</f>
        <v>39</v>
      </c>
      <c r="BC116" s="368">
        <f>AZ116-AX116</f>
        <v>39</v>
      </c>
      <c r="BD116" s="353">
        <f t="shared" si="23"/>
        <v>4.1373095992899067E-2</v>
      </c>
      <c r="BE116" s="309"/>
      <c r="BF116" s="319" t="b">
        <v>0</v>
      </c>
      <c r="BG116" s="308"/>
    </row>
    <row r="117" spans="1:59" s="311" customFormat="1" ht="15" customHeight="1">
      <c r="A117" s="318" t="s">
        <v>353</v>
      </c>
      <c r="B117" s="345" t="e">
        <f>B118/B116*1000</f>
        <v>#DIV/0!</v>
      </c>
      <c r="C117" s="345" t="e">
        <f t="shared" ref="C117:AY117" si="41">C118/C116*1000</f>
        <v>#DIV/0!</v>
      </c>
      <c r="D117" s="345" t="e">
        <f t="shared" si="41"/>
        <v>#DIV/0!</v>
      </c>
      <c r="E117" s="345" t="e">
        <f t="shared" si="41"/>
        <v>#DIV/0!</v>
      </c>
      <c r="F117" s="345" t="e">
        <f t="shared" si="41"/>
        <v>#DIV/0!</v>
      </c>
      <c r="G117" s="345" t="e">
        <f t="shared" si="41"/>
        <v>#DIV/0!</v>
      </c>
      <c r="H117" s="345" t="e">
        <f t="shared" si="41"/>
        <v>#DIV/0!</v>
      </c>
      <c r="I117" s="345">
        <f t="shared" si="41"/>
        <v>6150</v>
      </c>
      <c r="J117" s="345">
        <f t="shared" si="41"/>
        <v>1890</v>
      </c>
      <c r="K117" s="345">
        <f t="shared" si="41"/>
        <v>4350</v>
      </c>
      <c r="L117" s="345">
        <f t="shared" si="41"/>
        <v>1450</v>
      </c>
      <c r="M117" s="345">
        <f t="shared" si="41"/>
        <v>6160.7142857142853</v>
      </c>
      <c r="N117" s="345">
        <f t="shared" si="41"/>
        <v>4187.7551020408155</v>
      </c>
      <c r="O117" s="345">
        <f t="shared" si="41"/>
        <v>2805.4054054054054</v>
      </c>
      <c r="P117" s="345">
        <f t="shared" si="41"/>
        <v>4566.9527896995705</v>
      </c>
      <c r="Q117" s="345">
        <f t="shared" si="41"/>
        <v>2340.0197303518576</v>
      </c>
      <c r="R117" s="345">
        <f t="shared" si="41"/>
        <v>1070.3054400867525</v>
      </c>
      <c r="S117" s="345">
        <f t="shared" si="41"/>
        <v>1762.1214275558089</v>
      </c>
      <c r="T117" s="345">
        <f t="shared" si="41"/>
        <v>2100.9448035803089</v>
      </c>
      <c r="U117" s="345">
        <f t="shared" si="41"/>
        <v>2394.7368421052633</v>
      </c>
      <c r="V117" s="345">
        <f t="shared" si="41"/>
        <v>1616.3101604278072</v>
      </c>
      <c r="W117" s="345">
        <f t="shared" si="41"/>
        <v>792.6737160120847</v>
      </c>
      <c r="X117" s="345">
        <f t="shared" si="41"/>
        <v>874.51680047576576</v>
      </c>
      <c r="Y117" s="345">
        <f t="shared" si="41"/>
        <v>836.34100808960795</v>
      </c>
      <c r="Z117" s="345">
        <f t="shared" si="41"/>
        <v>984.23113556990165</v>
      </c>
      <c r="AA117" s="345">
        <f t="shared" si="41"/>
        <v>971.94488817891363</v>
      </c>
      <c r="AB117" s="345">
        <f t="shared" si="41"/>
        <v>918.94690134595464</v>
      </c>
      <c r="AC117" s="345">
        <f t="shared" si="41"/>
        <v>1178.8551081895371</v>
      </c>
      <c r="AD117" s="345">
        <f t="shared" si="41"/>
        <v>1431.6173872069739</v>
      </c>
      <c r="AE117" s="345">
        <f t="shared" si="41"/>
        <v>1304.2409342347876</v>
      </c>
      <c r="AF117" s="345">
        <f t="shared" si="41"/>
        <v>922.17256789274677</v>
      </c>
      <c r="AG117" s="345">
        <f t="shared" si="41"/>
        <v>916.86401595413179</v>
      </c>
      <c r="AH117" s="345">
        <f t="shared" si="41"/>
        <v>998.81117495541923</v>
      </c>
      <c r="AI117" s="345">
        <f t="shared" si="41"/>
        <v>1243.5840707964603</v>
      </c>
      <c r="AJ117" s="345">
        <f t="shared" si="41"/>
        <v>1536.3255326580511</v>
      </c>
      <c r="AK117" s="345">
        <f t="shared" si="41"/>
        <v>1083.7983309466201</v>
      </c>
      <c r="AL117" s="345">
        <f t="shared" si="41"/>
        <v>1810.898026922368</v>
      </c>
      <c r="AM117" s="345">
        <f t="shared" si="41"/>
        <v>2723.6717517096267</v>
      </c>
      <c r="AN117" s="345">
        <f t="shared" si="41"/>
        <v>2302.4604293997809</v>
      </c>
      <c r="AO117" s="345">
        <f t="shared" si="41"/>
        <v>1193.2857207842421</v>
      </c>
      <c r="AP117" s="345">
        <f t="shared" si="41"/>
        <v>2430.4569792055781</v>
      </c>
      <c r="AQ117" s="345">
        <f t="shared" si="41"/>
        <v>2690.2755961730686</v>
      </c>
      <c r="AR117" s="345">
        <f t="shared" si="41"/>
        <v>2392.126334519573</v>
      </c>
      <c r="AS117" s="345">
        <f t="shared" si="41"/>
        <v>2893.4217460038649</v>
      </c>
      <c r="AT117" s="345">
        <f t="shared" si="41"/>
        <v>2591</v>
      </c>
      <c r="AU117" s="345">
        <f t="shared" si="41"/>
        <v>4939.9999999999991</v>
      </c>
      <c r="AV117" s="345">
        <f t="shared" si="41"/>
        <v>5942</v>
      </c>
      <c r="AW117" s="345">
        <f t="shared" si="41"/>
        <v>4963.9999999999991</v>
      </c>
      <c r="AX117" s="345">
        <f t="shared" si="41"/>
        <v>6185</v>
      </c>
      <c r="AY117" s="346">
        <f t="shared" si="41"/>
        <v>5947</v>
      </c>
      <c r="AZ117" s="347">
        <f>AZ118/AZ116*1000</f>
        <v>5649.9999999999991</v>
      </c>
      <c r="BA117" s="347">
        <f>AZ117-AY117</f>
        <v>-297.00000000000091</v>
      </c>
      <c r="BB117" s="351">
        <f>AY117-AX117</f>
        <v>-238</v>
      </c>
      <c r="BC117" s="352">
        <f>AZ117-AX117</f>
        <v>-535.00000000000091</v>
      </c>
      <c r="BD117" s="353">
        <f t="shared" si="23"/>
        <v>0.16408741092544821</v>
      </c>
      <c r="BE117" s="309"/>
      <c r="BF117"/>
      <c r="BG117" s="308"/>
    </row>
    <row r="118" spans="1:59" s="311" customFormat="1" ht="15" customHeight="1">
      <c r="A118" s="318" t="s">
        <v>354</v>
      </c>
      <c r="B118" s="344">
        <f>B122+B126+B130</f>
        <v>0</v>
      </c>
      <c r="C118" s="344">
        <f t="shared" ref="C118:AY118" si="42">C122+C126+C130</f>
        <v>765</v>
      </c>
      <c r="D118" s="344">
        <f t="shared" si="42"/>
        <v>672</v>
      </c>
      <c r="E118" s="344">
        <f t="shared" si="42"/>
        <v>798</v>
      </c>
      <c r="F118" s="344">
        <f t="shared" si="42"/>
        <v>531</v>
      </c>
      <c r="G118" s="344">
        <f t="shared" si="42"/>
        <v>909</v>
      </c>
      <c r="H118" s="344">
        <f t="shared" si="42"/>
        <v>285</v>
      </c>
      <c r="I118" s="344">
        <f t="shared" si="42"/>
        <v>984</v>
      </c>
      <c r="J118" s="344">
        <f t="shared" si="42"/>
        <v>378</v>
      </c>
      <c r="K118" s="344">
        <f t="shared" si="42"/>
        <v>870</v>
      </c>
      <c r="L118" s="344">
        <f t="shared" si="42"/>
        <v>348</v>
      </c>
      <c r="M118" s="344">
        <f t="shared" si="42"/>
        <v>1035</v>
      </c>
      <c r="N118" s="344">
        <f t="shared" si="42"/>
        <v>1026</v>
      </c>
      <c r="O118" s="344">
        <f t="shared" si="42"/>
        <v>519</v>
      </c>
      <c r="P118" s="344">
        <f t="shared" si="42"/>
        <v>1064.0999999999999</v>
      </c>
      <c r="Q118" s="344">
        <f t="shared" si="42"/>
        <v>711.59999999999991</v>
      </c>
      <c r="R118" s="344">
        <f t="shared" si="42"/>
        <v>592.20000000000005</v>
      </c>
      <c r="S118" s="344">
        <f t="shared" si="42"/>
        <v>1239.3000000000002</v>
      </c>
      <c r="T118" s="344">
        <f t="shared" si="42"/>
        <v>1267.5</v>
      </c>
      <c r="U118" s="344">
        <f t="shared" si="42"/>
        <v>1365</v>
      </c>
      <c r="V118" s="344">
        <f t="shared" si="42"/>
        <v>1088.0999999999999</v>
      </c>
      <c r="W118" s="344">
        <f t="shared" si="42"/>
        <v>629.70000000000005</v>
      </c>
      <c r="X118" s="344">
        <f t="shared" si="42"/>
        <v>882.30000000000007</v>
      </c>
      <c r="Y118" s="344">
        <f t="shared" si="42"/>
        <v>940.80000000000007</v>
      </c>
      <c r="Z118" s="344">
        <f t="shared" si="42"/>
        <v>930</v>
      </c>
      <c r="AA118" s="344">
        <f t="shared" si="42"/>
        <v>973.5</v>
      </c>
      <c r="AB118" s="344">
        <f t="shared" si="42"/>
        <v>1242.5999999999999</v>
      </c>
      <c r="AC118" s="344">
        <f t="shared" si="42"/>
        <v>1291.1999999999998</v>
      </c>
      <c r="AD118" s="344">
        <f t="shared" si="42"/>
        <v>1215.3000000000002</v>
      </c>
      <c r="AE118" s="344">
        <f t="shared" si="42"/>
        <v>1273.1999999999998</v>
      </c>
      <c r="AF118" s="344">
        <f t="shared" si="42"/>
        <v>1341.3000000000002</v>
      </c>
      <c r="AG118" s="344">
        <f t="shared" si="42"/>
        <v>1471.1999999999998</v>
      </c>
      <c r="AH118" s="344">
        <f t="shared" si="42"/>
        <v>1512.3000000000002</v>
      </c>
      <c r="AI118" s="344">
        <f t="shared" si="42"/>
        <v>1686.3000000000002</v>
      </c>
      <c r="AJ118" s="344">
        <f t="shared" si="42"/>
        <v>2639.1000000000004</v>
      </c>
      <c r="AK118" s="344">
        <f t="shared" si="42"/>
        <v>2194.8000000000002</v>
      </c>
      <c r="AL118" s="344">
        <f t="shared" si="42"/>
        <v>3928.2000000000003</v>
      </c>
      <c r="AM118" s="344">
        <f t="shared" si="42"/>
        <v>5177.7000000000007</v>
      </c>
      <c r="AN118" s="344">
        <f t="shared" si="42"/>
        <v>4407.6000000000004</v>
      </c>
      <c r="AO118" s="344">
        <f t="shared" si="42"/>
        <v>2623.2</v>
      </c>
      <c r="AP118" s="344">
        <f t="shared" si="42"/>
        <v>5855.7000000000007</v>
      </c>
      <c r="AQ118" s="344">
        <f t="shared" si="42"/>
        <v>5652</v>
      </c>
      <c r="AR118" s="344">
        <f t="shared" si="42"/>
        <v>5377.5</v>
      </c>
      <c r="AS118" s="344">
        <f t="shared" si="42"/>
        <v>6588.9000000000005</v>
      </c>
      <c r="AT118" s="344">
        <f t="shared" si="42"/>
        <v>6490.1959000000006</v>
      </c>
      <c r="AU118" s="344">
        <f t="shared" si="42"/>
        <v>13425.932000000001</v>
      </c>
      <c r="AV118" s="344">
        <f t="shared" si="42"/>
        <v>14679.710999999999</v>
      </c>
      <c r="AW118" s="344">
        <f t="shared" si="42"/>
        <v>12472.05</v>
      </c>
      <c r="AX118" s="344">
        <f t="shared" si="42"/>
        <v>17249.3465</v>
      </c>
      <c r="AY118" s="365">
        <f t="shared" si="42"/>
        <v>16817.5213</v>
      </c>
      <c r="AZ118" s="366">
        <f>AZ122+AZ126+AZ130</f>
        <v>15977.635</v>
      </c>
      <c r="BA118" s="366">
        <f>AZ118-AY118</f>
        <v>-839.88630000000012</v>
      </c>
      <c r="BB118" s="367">
        <f>AY118-AX118</f>
        <v>-431.82519999999931</v>
      </c>
      <c r="BC118" s="368">
        <f>AZ118-AX118</f>
        <v>-1271.7114999999994</v>
      </c>
      <c r="BD118" s="353">
        <f t="shared" si="23"/>
        <v>0.21224931112179224</v>
      </c>
      <c r="BE118" s="309"/>
      <c r="BF118"/>
      <c r="BG118" s="308"/>
    </row>
    <row r="119" spans="1:59" ht="15" customHeight="1">
      <c r="A119" s="320" t="s">
        <v>385</v>
      </c>
      <c r="B119" s="356"/>
      <c r="C119" s="356"/>
      <c r="D119" s="356"/>
      <c r="E119" s="356"/>
      <c r="F119" s="356"/>
      <c r="G119" s="356"/>
      <c r="H119" s="356"/>
      <c r="I119" s="356"/>
      <c r="J119" s="356"/>
      <c r="K119" s="356"/>
      <c r="L119" s="356"/>
      <c r="M119" s="356"/>
      <c r="N119" s="356"/>
      <c r="O119" s="356"/>
      <c r="P119" s="356"/>
      <c r="Q119" s="356"/>
      <c r="R119" s="356"/>
      <c r="S119" s="356"/>
      <c r="T119" s="356"/>
      <c r="U119" s="356"/>
      <c r="V119" s="356"/>
      <c r="W119" s="356"/>
      <c r="X119" s="356"/>
      <c r="Y119" s="356"/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28"/>
      <c r="AU119" s="328"/>
      <c r="AV119" s="328"/>
      <c r="AW119" s="328"/>
      <c r="AX119" s="328"/>
      <c r="AY119" s="321"/>
      <c r="AZ119" s="328"/>
      <c r="BA119" s="328"/>
      <c r="BB119" s="321"/>
      <c r="BC119" s="328"/>
      <c r="BD119" s="329"/>
    </row>
    <row r="120" spans="1:59" ht="15" customHeight="1">
      <c r="A120" s="324" t="s">
        <v>352</v>
      </c>
      <c r="B120" s="344">
        <v>0</v>
      </c>
      <c r="C120" s="344">
        <v>0</v>
      </c>
      <c r="D120" s="344">
        <v>0</v>
      </c>
      <c r="E120" s="344">
        <v>0</v>
      </c>
      <c r="F120" s="344">
        <v>0</v>
      </c>
      <c r="G120" s="344">
        <v>0</v>
      </c>
      <c r="H120" s="344">
        <v>0</v>
      </c>
      <c r="I120" s="344">
        <v>160</v>
      </c>
      <c r="J120" s="344">
        <v>200</v>
      </c>
      <c r="K120" s="344">
        <v>200</v>
      </c>
      <c r="L120" s="344">
        <v>240</v>
      </c>
      <c r="M120" s="344">
        <v>168</v>
      </c>
      <c r="N120" s="344">
        <v>245</v>
      </c>
      <c r="O120" s="344">
        <v>185</v>
      </c>
      <c r="P120" s="344">
        <v>233</v>
      </c>
      <c r="Q120" s="344">
        <v>300</v>
      </c>
      <c r="R120" s="344">
        <v>550</v>
      </c>
      <c r="S120" s="344">
        <v>700</v>
      </c>
      <c r="T120" s="344">
        <v>600</v>
      </c>
      <c r="U120" s="344">
        <v>570</v>
      </c>
      <c r="V120" s="344">
        <v>673.2</v>
      </c>
      <c r="W120" s="344">
        <v>794.4</v>
      </c>
      <c r="X120" s="344">
        <v>1008.9</v>
      </c>
      <c r="Y120" s="344">
        <v>1124.9000000000001</v>
      </c>
      <c r="Z120" s="344">
        <v>944.9</v>
      </c>
      <c r="AA120" s="344">
        <v>1001.6</v>
      </c>
      <c r="AB120" s="344">
        <v>1352.2</v>
      </c>
      <c r="AC120" s="344">
        <v>1095.3</v>
      </c>
      <c r="AD120" s="344">
        <v>848.9</v>
      </c>
      <c r="AE120" s="344">
        <v>976.2</v>
      </c>
      <c r="AF120" s="344">
        <v>1454.5</v>
      </c>
      <c r="AG120" s="344">
        <v>1604.6</v>
      </c>
      <c r="AH120" s="344">
        <v>1514.1</v>
      </c>
      <c r="AI120" s="344">
        <v>1356</v>
      </c>
      <c r="AJ120" s="344">
        <v>1717.8</v>
      </c>
      <c r="AK120" s="344">
        <v>2025.1</v>
      </c>
      <c r="AL120" s="344">
        <v>2169.1999999999998</v>
      </c>
      <c r="AM120" s="344">
        <v>1901</v>
      </c>
      <c r="AN120" s="344">
        <v>1914.3</v>
      </c>
      <c r="AO120" s="344">
        <v>2198.3000000000002</v>
      </c>
      <c r="AP120" s="344">
        <v>2409.3000000000002</v>
      </c>
      <c r="AQ120" s="344">
        <v>2100.9</v>
      </c>
      <c r="AR120" s="344">
        <v>2248</v>
      </c>
      <c r="AS120" s="344">
        <v>2277.1999999999998</v>
      </c>
      <c r="AT120" s="344">
        <v>2504.9</v>
      </c>
      <c r="AU120" s="344">
        <v>2717.8</v>
      </c>
      <c r="AV120" s="344">
        <v>2470.5</v>
      </c>
      <c r="AW120" s="344">
        <v>2512.5</v>
      </c>
      <c r="AX120" s="344">
        <v>2788.9</v>
      </c>
      <c r="AY120" s="369">
        <v>2827.9</v>
      </c>
      <c r="AZ120" s="366">
        <v>2827.9</v>
      </c>
      <c r="BA120" s="366">
        <f>AZ120-AY120</f>
        <v>0</v>
      </c>
      <c r="BB120" s="367">
        <f>AY120-AX120</f>
        <v>39</v>
      </c>
      <c r="BC120" s="368">
        <f>AZ120-AX120</f>
        <v>39</v>
      </c>
      <c r="BD120" s="353">
        <f t="shared" si="23"/>
        <v>4.1373095992899067E-2</v>
      </c>
      <c r="BF120" s="319" t="b">
        <v>0</v>
      </c>
    </row>
    <row r="121" spans="1:59" ht="15" customHeight="1">
      <c r="A121" s="324" t="s">
        <v>353</v>
      </c>
      <c r="B121" s="345">
        <v>0</v>
      </c>
      <c r="C121" s="345">
        <v>0</v>
      </c>
      <c r="D121" s="345">
        <v>0</v>
      </c>
      <c r="E121" s="345">
        <v>0</v>
      </c>
      <c r="F121" s="345">
        <v>0</v>
      </c>
      <c r="G121" s="345">
        <v>0</v>
      </c>
      <c r="H121" s="345">
        <v>0</v>
      </c>
      <c r="I121" s="345">
        <v>1900</v>
      </c>
      <c r="J121" s="345">
        <v>1900</v>
      </c>
      <c r="K121" s="345">
        <v>1900</v>
      </c>
      <c r="L121" s="345">
        <v>1900</v>
      </c>
      <c r="M121" s="345">
        <v>1250</v>
      </c>
      <c r="N121" s="345">
        <v>1250.2040816326532</v>
      </c>
      <c r="O121" s="345">
        <v>1600</v>
      </c>
      <c r="P121" s="345">
        <v>1580</v>
      </c>
      <c r="Q121" s="345">
        <v>2165</v>
      </c>
      <c r="R121" s="345">
        <v>2054</v>
      </c>
      <c r="S121" s="345">
        <v>1020</v>
      </c>
      <c r="T121" s="345">
        <v>2400</v>
      </c>
      <c r="U121" s="345">
        <v>2400</v>
      </c>
      <c r="V121" s="345">
        <v>1400</v>
      </c>
      <c r="W121" s="345">
        <v>2520</v>
      </c>
      <c r="X121" s="345">
        <v>2600</v>
      </c>
      <c r="Y121" s="345">
        <v>1070</v>
      </c>
      <c r="Z121" s="345">
        <v>3100</v>
      </c>
      <c r="AA121" s="345">
        <v>1980</v>
      </c>
      <c r="AB121" s="345">
        <v>4080</v>
      </c>
      <c r="AC121" s="345">
        <v>3350</v>
      </c>
      <c r="AD121" s="345">
        <v>2211</v>
      </c>
      <c r="AE121" s="345">
        <v>3500</v>
      </c>
      <c r="AF121" s="345">
        <v>3470</v>
      </c>
      <c r="AG121" s="345">
        <v>3527</v>
      </c>
      <c r="AH121" s="345">
        <v>3024</v>
      </c>
      <c r="AI121" s="345">
        <v>4850</v>
      </c>
      <c r="AJ121" s="345">
        <v>3610</v>
      </c>
      <c r="AK121" s="345">
        <v>5026</v>
      </c>
      <c r="AL121" s="345">
        <v>4834</v>
      </c>
      <c r="AM121" s="345">
        <v>5390</v>
      </c>
      <c r="AN121" s="345">
        <v>5840</v>
      </c>
      <c r="AO121" s="345">
        <v>5091</v>
      </c>
      <c r="AP121" s="345">
        <v>5456</v>
      </c>
      <c r="AQ121" s="345">
        <v>4270</v>
      </c>
      <c r="AR121" s="345">
        <v>6004</v>
      </c>
      <c r="AS121" s="345">
        <v>5012</v>
      </c>
      <c r="AT121" s="345">
        <v>2591</v>
      </c>
      <c r="AU121" s="345">
        <v>4940</v>
      </c>
      <c r="AV121" s="345">
        <v>5942</v>
      </c>
      <c r="AW121" s="345">
        <v>4964</v>
      </c>
      <c r="AX121" s="345">
        <v>6185</v>
      </c>
      <c r="AY121" s="346">
        <v>5947</v>
      </c>
      <c r="AZ121" s="347">
        <v>5650</v>
      </c>
      <c r="BA121" s="347">
        <f>AZ121-AY121</f>
        <v>-297</v>
      </c>
      <c r="BB121" s="351">
        <f>AY121-AX121</f>
        <v>-238</v>
      </c>
      <c r="BC121" s="352">
        <f>AZ121-AX121</f>
        <v>-535</v>
      </c>
      <c r="BD121" s="353">
        <f t="shared" si="23"/>
        <v>4.2955379060959586E-2</v>
      </c>
    </row>
    <row r="122" spans="1:59" s="311" customFormat="1" ht="15" customHeight="1">
      <c r="A122" s="324" t="s">
        <v>354</v>
      </c>
      <c r="B122" s="344">
        <f>B121*B120/1000</f>
        <v>0</v>
      </c>
      <c r="C122" s="344">
        <v>255</v>
      </c>
      <c r="D122" s="344">
        <v>224</v>
      </c>
      <c r="E122" s="344">
        <v>266</v>
      </c>
      <c r="F122" s="344">
        <v>177</v>
      </c>
      <c r="G122" s="344">
        <v>303</v>
      </c>
      <c r="H122" s="344">
        <v>95</v>
      </c>
      <c r="I122" s="344">
        <v>328</v>
      </c>
      <c r="J122" s="344">
        <v>126</v>
      </c>
      <c r="K122" s="344">
        <v>290</v>
      </c>
      <c r="L122" s="344">
        <v>116</v>
      </c>
      <c r="M122" s="344">
        <v>345</v>
      </c>
      <c r="N122" s="344">
        <v>342</v>
      </c>
      <c r="O122" s="344">
        <v>173</v>
      </c>
      <c r="P122" s="344">
        <v>354.7</v>
      </c>
      <c r="Q122" s="344">
        <v>237.2</v>
      </c>
      <c r="R122" s="344">
        <v>197.4</v>
      </c>
      <c r="S122" s="344">
        <v>413.1</v>
      </c>
      <c r="T122" s="344">
        <v>422.5</v>
      </c>
      <c r="U122" s="344">
        <v>455</v>
      </c>
      <c r="V122" s="344">
        <v>362.7</v>
      </c>
      <c r="W122" s="344">
        <v>209.9</v>
      </c>
      <c r="X122" s="344">
        <v>294.10000000000002</v>
      </c>
      <c r="Y122" s="344">
        <v>313.60000000000002</v>
      </c>
      <c r="Z122" s="344">
        <v>310</v>
      </c>
      <c r="AA122" s="344">
        <v>324.5</v>
      </c>
      <c r="AB122" s="344">
        <v>414.2</v>
      </c>
      <c r="AC122" s="344">
        <v>430.4</v>
      </c>
      <c r="AD122" s="344">
        <v>405.1</v>
      </c>
      <c r="AE122" s="344">
        <v>424.4</v>
      </c>
      <c r="AF122" s="344">
        <v>447.1</v>
      </c>
      <c r="AG122" s="344">
        <v>490.4</v>
      </c>
      <c r="AH122" s="344">
        <v>504.1</v>
      </c>
      <c r="AI122" s="344">
        <v>562.1</v>
      </c>
      <c r="AJ122" s="344">
        <v>879.7</v>
      </c>
      <c r="AK122" s="344">
        <v>731.6</v>
      </c>
      <c r="AL122" s="344">
        <v>1309.4000000000001</v>
      </c>
      <c r="AM122" s="344">
        <v>1725.9</v>
      </c>
      <c r="AN122" s="344">
        <v>1469.2</v>
      </c>
      <c r="AO122" s="344">
        <v>874.4</v>
      </c>
      <c r="AP122" s="344">
        <v>1951.9</v>
      </c>
      <c r="AQ122" s="344">
        <v>1884</v>
      </c>
      <c r="AR122" s="344">
        <v>1792.5</v>
      </c>
      <c r="AS122" s="344">
        <v>2196.3000000000002</v>
      </c>
      <c r="AT122" s="344">
        <f t="shared" ref="AT122:AY122" si="43">AT121*AT120/1000</f>
        <v>6490.1959000000006</v>
      </c>
      <c r="AU122" s="344">
        <f t="shared" si="43"/>
        <v>13425.932000000001</v>
      </c>
      <c r="AV122" s="344">
        <f t="shared" si="43"/>
        <v>14679.710999999999</v>
      </c>
      <c r="AW122" s="344">
        <f t="shared" si="43"/>
        <v>12472.05</v>
      </c>
      <c r="AX122" s="344">
        <f t="shared" si="43"/>
        <v>17249.3465</v>
      </c>
      <c r="AY122" s="365">
        <f t="shared" si="43"/>
        <v>16817.5213</v>
      </c>
      <c r="AZ122" s="366">
        <f>AZ121*AZ120/1000</f>
        <v>15977.635</v>
      </c>
      <c r="BA122" s="366">
        <f>AZ122-AY122</f>
        <v>-839.88630000000012</v>
      </c>
      <c r="BB122" s="367">
        <f>AY122-AX122</f>
        <v>-431.82519999999931</v>
      </c>
      <c r="BC122" s="368">
        <f>AZ122-AX122</f>
        <v>-1271.7114999999994</v>
      </c>
      <c r="BD122" s="353">
        <f t="shared" si="23"/>
        <v>0.51013647339201396</v>
      </c>
      <c r="BE122" s="309"/>
      <c r="BF122"/>
      <c r="BG122" s="308"/>
    </row>
    <row r="123" spans="1:59" ht="15" customHeight="1">
      <c r="A123" s="320" t="s">
        <v>386</v>
      </c>
      <c r="B123" s="356"/>
      <c r="C123" s="356"/>
      <c r="D123" s="356"/>
      <c r="E123" s="356"/>
      <c r="F123" s="356"/>
      <c r="G123" s="356"/>
      <c r="H123" s="356"/>
      <c r="I123" s="356"/>
      <c r="J123" s="356"/>
      <c r="K123" s="356"/>
      <c r="L123" s="356"/>
      <c r="M123" s="356"/>
      <c r="N123" s="356"/>
      <c r="O123" s="356"/>
      <c r="P123" s="356"/>
      <c r="Q123" s="356"/>
      <c r="R123" s="356"/>
      <c r="S123" s="356"/>
      <c r="T123" s="356"/>
      <c r="U123" s="356"/>
      <c r="V123" s="356"/>
      <c r="W123" s="356"/>
      <c r="X123" s="356"/>
      <c r="Y123" s="356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28"/>
      <c r="AU123" s="328"/>
      <c r="AV123" s="328"/>
      <c r="AW123" s="328"/>
      <c r="AX123" s="328"/>
      <c r="AY123" s="321"/>
      <c r="AZ123" s="328"/>
      <c r="BA123" s="328"/>
      <c r="BB123" s="321"/>
      <c r="BC123" s="328"/>
      <c r="BD123" s="329"/>
    </row>
    <row r="124" spans="1:59" ht="15" customHeight="1">
      <c r="A124" s="324" t="s">
        <v>352</v>
      </c>
      <c r="B124" s="344">
        <v>0</v>
      </c>
      <c r="C124" s="344">
        <v>0</v>
      </c>
      <c r="D124" s="344">
        <v>0</v>
      </c>
      <c r="E124" s="344">
        <v>0</v>
      </c>
      <c r="F124" s="344">
        <v>0</v>
      </c>
      <c r="G124" s="344">
        <v>0</v>
      </c>
      <c r="H124" s="344">
        <v>0</v>
      </c>
      <c r="I124" s="344">
        <v>0</v>
      </c>
      <c r="J124" s="344">
        <v>0</v>
      </c>
      <c r="K124" s="344">
        <v>0</v>
      </c>
      <c r="L124" s="344">
        <v>0</v>
      </c>
      <c r="M124" s="344">
        <v>0</v>
      </c>
      <c r="N124" s="344">
        <v>0</v>
      </c>
      <c r="O124" s="344">
        <v>0</v>
      </c>
      <c r="P124" s="344">
        <v>0</v>
      </c>
      <c r="Q124" s="344">
        <v>4.0999999999999996</v>
      </c>
      <c r="R124" s="344">
        <v>3.3</v>
      </c>
      <c r="S124" s="344">
        <v>3.3</v>
      </c>
      <c r="T124" s="344">
        <v>3.3</v>
      </c>
      <c r="U124" s="344">
        <v>0</v>
      </c>
      <c r="V124" s="344">
        <v>0</v>
      </c>
      <c r="W124" s="344">
        <v>0</v>
      </c>
      <c r="X124" s="344">
        <v>0</v>
      </c>
      <c r="Y124" s="344">
        <v>0</v>
      </c>
      <c r="Z124" s="344">
        <v>0</v>
      </c>
      <c r="AA124" s="344">
        <v>0</v>
      </c>
      <c r="AB124" s="344">
        <v>0</v>
      </c>
      <c r="AC124" s="344">
        <v>0</v>
      </c>
      <c r="AD124" s="344">
        <v>0</v>
      </c>
      <c r="AE124" s="344">
        <v>0</v>
      </c>
      <c r="AF124" s="344">
        <v>0</v>
      </c>
      <c r="AG124" s="344">
        <v>0</v>
      </c>
      <c r="AH124" s="344">
        <v>0</v>
      </c>
      <c r="AI124" s="344">
        <v>0</v>
      </c>
      <c r="AJ124" s="344">
        <v>0</v>
      </c>
      <c r="AK124" s="344">
        <v>0</v>
      </c>
      <c r="AL124" s="344">
        <v>0</v>
      </c>
      <c r="AM124" s="344">
        <v>0</v>
      </c>
      <c r="AN124" s="344">
        <v>0</v>
      </c>
      <c r="AO124" s="344">
        <v>0</v>
      </c>
      <c r="AP124" s="344">
        <v>0</v>
      </c>
      <c r="AQ124" s="344">
        <v>0</v>
      </c>
      <c r="AR124" s="344">
        <v>0</v>
      </c>
      <c r="AS124" s="344">
        <v>0</v>
      </c>
      <c r="AT124" s="344">
        <v>0</v>
      </c>
      <c r="AU124" s="344">
        <v>0</v>
      </c>
      <c r="AV124" s="344">
        <v>0</v>
      </c>
      <c r="AW124" s="344">
        <v>0</v>
      </c>
      <c r="AX124" s="344">
        <v>0</v>
      </c>
      <c r="AY124" s="369">
        <v>0</v>
      </c>
      <c r="AZ124" s="366">
        <v>0</v>
      </c>
      <c r="BA124" s="366">
        <f>AZ124-AY124</f>
        <v>0</v>
      </c>
      <c r="BB124" s="367">
        <f>AY124-AX124</f>
        <v>0</v>
      </c>
      <c r="BC124" s="368">
        <f>AZ124-AX124</f>
        <v>0</v>
      </c>
      <c r="BD124" s="353">
        <f t="shared" si="23"/>
        <v>0</v>
      </c>
      <c r="BF124" s="319" t="b">
        <v>0</v>
      </c>
    </row>
    <row r="125" spans="1:59" ht="15" customHeight="1">
      <c r="A125" s="324" t="s">
        <v>353</v>
      </c>
      <c r="B125" s="345">
        <v>0</v>
      </c>
      <c r="C125" s="345">
        <v>0</v>
      </c>
      <c r="D125" s="345">
        <v>0</v>
      </c>
      <c r="E125" s="345">
        <v>0</v>
      </c>
      <c r="F125" s="345">
        <v>0</v>
      </c>
      <c r="G125" s="345">
        <v>0</v>
      </c>
      <c r="H125" s="345">
        <v>0</v>
      </c>
      <c r="I125" s="345">
        <v>0</v>
      </c>
      <c r="J125" s="345">
        <v>0</v>
      </c>
      <c r="K125" s="345">
        <v>0</v>
      </c>
      <c r="L125" s="345">
        <v>0</v>
      </c>
      <c r="M125" s="345">
        <v>0</v>
      </c>
      <c r="N125" s="345">
        <v>0</v>
      </c>
      <c r="O125" s="345">
        <v>0</v>
      </c>
      <c r="P125" s="345">
        <v>0</v>
      </c>
      <c r="Q125" s="345">
        <v>2500</v>
      </c>
      <c r="R125" s="345">
        <v>2500</v>
      </c>
      <c r="S125" s="345">
        <v>2500</v>
      </c>
      <c r="T125" s="345">
        <v>2500</v>
      </c>
      <c r="U125" s="345">
        <v>0</v>
      </c>
      <c r="V125" s="345">
        <v>0</v>
      </c>
      <c r="W125" s="345">
        <v>0</v>
      </c>
      <c r="X125" s="345">
        <v>0</v>
      </c>
      <c r="Y125" s="345">
        <v>0</v>
      </c>
      <c r="Z125" s="345">
        <v>0</v>
      </c>
      <c r="AA125" s="345">
        <v>0</v>
      </c>
      <c r="AB125" s="345">
        <v>0</v>
      </c>
      <c r="AC125" s="345">
        <v>0</v>
      </c>
      <c r="AD125" s="345">
        <v>0</v>
      </c>
      <c r="AE125" s="345">
        <v>0</v>
      </c>
      <c r="AF125" s="345">
        <v>0</v>
      </c>
      <c r="AG125" s="345">
        <v>0</v>
      </c>
      <c r="AH125" s="345">
        <v>0</v>
      </c>
      <c r="AI125" s="345">
        <v>0</v>
      </c>
      <c r="AJ125" s="345">
        <v>0</v>
      </c>
      <c r="AK125" s="345">
        <v>0</v>
      </c>
      <c r="AL125" s="345">
        <v>0</v>
      </c>
      <c r="AM125" s="345">
        <v>0</v>
      </c>
      <c r="AN125" s="345">
        <v>0</v>
      </c>
      <c r="AO125" s="345">
        <v>0</v>
      </c>
      <c r="AP125" s="345">
        <v>0</v>
      </c>
      <c r="AQ125" s="345">
        <v>0</v>
      </c>
      <c r="AR125" s="345">
        <v>0</v>
      </c>
      <c r="AS125" s="345">
        <v>0</v>
      </c>
      <c r="AT125" s="345">
        <v>0</v>
      </c>
      <c r="AU125" s="345">
        <v>0</v>
      </c>
      <c r="AV125" s="345">
        <v>0</v>
      </c>
      <c r="AW125" s="345">
        <v>0</v>
      </c>
      <c r="AX125" s="345">
        <v>0</v>
      </c>
      <c r="AY125" s="346">
        <v>0</v>
      </c>
      <c r="AZ125" s="347">
        <v>0</v>
      </c>
      <c r="BA125" s="347">
        <f>AZ125-AY125</f>
        <v>0</v>
      </c>
      <c r="BB125" s="351">
        <f>AY125-AX125</f>
        <v>0</v>
      </c>
      <c r="BC125" s="352">
        <f>AZ125-AX125</f>
        <v>0</v>
      </c>
      <c r="BD125" s="353">
        <f t="shared" si="23"/>
        <v>0</v>
      </c>
    </row>
    <row r="126" spans="1:59" s="311" customFormat="1" ht="15" customHeight="1">
      <c r="A126" s="324" t="s">
        <v>354</v>
      </c>
      <c r="B126" s="344">
        <f>B125*B124/1000</f>
        <v>0</v>
      </c>
      <c r="C126" s="344">
        <v>255</v>
      </c>
      <c r="D126" s="344">
        <v>224</v>
      </c>
      <c r="E126" s="344">
        <v>266</v>
      </c>
      <c r="F126" s="344">
        <v>177</v>
      </c>
      <c r="G126" s="344">
        <v>303</v>
      </c>
      <c r="H126" s="344">
        <v>95</v>
      </c>
      <c r="I126" s="344">
        <v>328</v>
      </c>
      <c r="J126" s="344">
        <v>126</v>
      </c>
      <c r="K126" s="344">
        <v>290</v>
      </c>
      <c r="L126" s="344">
        <v>116</v>
      </c>
      <c r="M126" s="344">
        <v>345</v>
      </c>
      <c r="N126" s="344">
        <v>342</v>
      </c>
      <c r="O126" s="344">
        <v>173</v>
      </c>
      <c r="P126" s="344">
        <v>354.7</v>
      </c>
      <c r="Q126" s="344">
        <v>237.2</v>
      </c>
      <c r="R126" s="344">
        <v>197.4</v>
      </c>
      <c r="S126" s="344">
        <v>413.1</v>
      </c>
      <c r="T126" s="344">
        <v>422.5</v>
      </c>
      <c r="U126" s="344">
        <v>455</v>
      </c>
      <c r="V126" s="344">
        <v>362.7</v>
      </c>
      <c r="W126" s="344">
        <v>209.9</v>
      </c>
      <c r="X126" s="344">
        <v>294.10000000000002</v>
      </c>
      <c r="Y126" s="344">
        <v>313.60000000000002</v>
      </c>
      <c r="Z126" s="344">
        <v>310</v>
      </c>
      <c r="AA126" s="344">
        <v>324.5</v>
      </c>
      <c r="AB126" s="344">
        <v>414.2</v>
      </c>
      <c r="AC126" s="344">
        <v>430.4</v>
      </c>
      <c r="AD126" s="344">
        <v>405.1</v>
      </c>
      <c r="AE126" s="344">
        <v>424.4</v>
      </c>
      <c r="AF126" s="344">
        <v>447.1</v>
      </c>
      <c r="AG126" s="344">
        <v>490.4</v>
      </c>
      <c r="AH126" s="344">
        <v>504.1</v>
      </c>
      <c r="AI126" s="344">
        <v>562.1</v>
      </c>
      <c r="AJ126" s="344">
        <v>879.7</v>
      </c>
      <c r="AK126" s="344">
        <v>731.6</v>
      </c>
      <c r="AL126" s="344">
        <v>1309.4000000000001</v>
      </c>
      <c r="AM126" s="344">
        <v>1725.9</v>
      </c>
      <c r="AN126" s="344">
        <v>1469.2</v>
      </c>
      <c r="AO126" s="344">
        <v>874.4</v>
      </c>
      <c r="AP126" s="344">
        <v>1951.9</v>
      </c>
      <c r="AQ126" s="344">
        <v>1884</v>
      </c>
      <c r="AR126" s="344">
        <v>1792.5</v>
      </c>
      <c r="AS126" s="344">
        <v>2196.3000000000002</v>
      </c>
      <c r="AT126" s="344">
        <f t="shared" ref="AT126:AY126" si="44">AT125*AT124/1000</f>
        <v>0</v>
      </c>
      <c r="AU126" s="344">
        <f t="shared" si="44"/>
        <v>0</v>
      </c>
      <c r="AV126" s="344">
        <f t="shared" si="44"/>
        <v>0</v>
      </c>
      <c r="AW126" s="344">
        <f t="shared" si="44"/>
        <v>0</v>
      </c>
      <c r="AX126" s="344">
        <f t="shared" si="44"/>
        <v>0</v>
      </c>
      <c r="AY126" s="365">
        <f t="shared" si="44"/>
        <v>0</v>
      </c>
      <c r="AZ126" s="366">
        <f>AZ125*AZ124/1000</f>
        <v>0</v>
      </c>
      <c r="BA126" s="366">
        <f>AZ126-AY126</f>
        <v>0</v>
      </c>
      <c r="BB126" s="367">
        <f>AY126-AX126</f>
        <v>0</v>
      </c>
      <c r="BC126" s="368">
        <f>AZ126-AX126</f>
        <v>0</v>
      </c>
      <c r="BD126" s="353">
        <f t="shared" si="23"/>
        <v>-1</v>
      </c>
      <c r="BE126" s="309"/>
      <c r="BF126"/>
      <c r="BG126" s="308"/>
    </row>
    <row r="127" spans="1:59" ht="15" customHeight="1">
      <c r="A127" s="320" t="s">
        <v>387</v>
      </c>
      <c r="B127" s="356"/>
      <c r="C127" s="356"/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6"/>
      <c r="Q127" s="356"/>
      <c r="R127" s="356"/>
      <c r="S127" s="356"/>
      <c r="T127" s="356"/>
      <c r="U127" s="356"/>
      <c r="V127" s="356"/>
      <c r="W127" s="356"/>
      <c r="X127" s="356"/>
      <c r="Y127" s="356"/>
      <c r="Z127" s="356"/>
      <c r="AA127" s="356"/>
      <c r="AB127" s="356"/>
      <c r="AC127" s="356"/>
      <c r="AD127" s="356"/>
      <c r="AE127" s="356"/>
      <c r="AF127" s="356"/>
      <c r="AG127" s="356"/>
      <c r="AH127" s="356"/>
      <c r="AI127" s="356"/>
      <c r="AJ127" s="356"/>
      <c r="AK127" s="356"/>
      <c r="AL127" s="356"/>
      <c r="AM127" s="356"/>
      <c r="AN127" s="356"/>
      <c r="AO127" s="356"/>
      <c r="AP127" s="356"/>
      <c r="AQ127" s="356"/>
      <c r="AR127" s="356"/>
      <c r="AS127" s="356"/>
      <c r="AT127" s="328"/>
      <c r="AU127" s="328"/>
      <c r="AV127" s="328"/>
      <c r="AW127" s="328"/>
      <c r="AX127" s="328"/>
      <c r="AY127" s="321"/>
      <c r="AZ127" s="328"/>
      <c r="BA127" s="328"/>
      <c r="BB127" s="321"/>
      <c r="BC127" s="328"/>
      <c r="BD127" s="329"/>
    </row>
    <row r="128" spans="1:59" ht="15" customHeight="1">
      <c r="A128" s="324" t="s">
        <v>352</v>
      </c>
      <c r="B128" s="344">
        <v>0</v>
      </c>
      <c r="C128" s="344">
        <v>0</v>
      </c>
      <c r="D128" s="344">
        <v>0</v>
      </c>
      <c r="E128" s="344">
        <v>0</v>
      </c>
      <c r="F128" s="344">
        <v>0</v>
      </c>
      <c r="G128" s="344">
        <v>0</v>
      </c>
      <c r="H128" s="344">
        <v>0</v>
      </c>
      <c r="I128" s="344">
        <v>0</v>
      </c>
      <c r="J128" s="344">
        <v>0</v>
      </c>
      <c r="K128" s="344">
        <v>0</v>
      </c>
      <c r="L128" s="344">
        <v>0</v>
      </c>
      <c r="M128" s="344">
        <v>0</v>
      </c>
      <c r="N128" s="344">
        <v>0</v>
      </c>
      <c r="O128" s="344">
        <v>0</v>
      </c>
      <c r="P128" s="344">
        <v>0</v>
      </c>
      <c r="Q128" s="344">
        <v>0</v>
      </c>
      <c r="R128" s="344">
        <v>0</v>
      </c>
      <c r="S128" s="344">
        <v>0</v>
      </c>
      <c r="T128" s="344">
        <v>0</v>
      </c>
      <c r="U128" s="344">
        <v>0</v>
      </c>
      <c r="V128" s="344">
        <v>0</v>
      </c>
      <c r="W128" s="344">
        <v>0</v>
      </c>
      <c r="X128" s="344">
        <v>0</v>
      </c>
      <c r="Y128" s="344">
        <v>0</v>
      </c>
      <c r="Z128" s="344">
        <v>0</v>
      </c>
      <c r="AA128" s="344">
        <v>0</v>
      </c>
      <c r="AB128" s="344">
        <v>0</v>
      </c>
      <c r="AC128" s="344">
        <v>0</v>
      </c>
      <c r="AD128" s="344">
        <v>0</v>
      </c>
      <c r="AE128" s="344">
        <v>0</v>
      </c>
      <c r="AF128" s="344">
        <v>0</v>
      </c>
      <c r="AG128" s="344">
        <v>0</v>
      </c>
      <c r="AH128" s="344">
        <v>0</v>
      </c>
      <c r="AI128" s="344">
        <v>0</v>
      </c>
      <c r="AJ128" s="344">
        <v>0</v>
      </c>
      <c r="AK128" s="344">
        <v>0</v>
      </c>
      <c r="AL128" s="344">
        <v>0</v>
      </c>
      <c r="AM128" s="344">
        <v>0</v>
      </c>
      <c r="AN128" s="344">
        <v>0</v>
      </c>
      <c r="AO128" s="344">
        <v>0</v>
      </c>
      <c r="AP128" s="344">
        <v>0</v>
      </c>
      <c r="AQ128" s="344">
        <v>0</v>
      </c>
      <c r="AR128" s="344">
        <v>0</v>
      </c>
      <c r="AS128" s="344">
        <v>0</v>
      </c>
      <c r="AT128" s="344">
        <v>0</v>
      </c>
      <c r="AU128" s="344">
        <v>0</v>
      </c>
      <c r="AV128" s="344">
        <v>0</v>
      </c>
      <c r="AW128" s="344">
        <v>0</v>
      </c>
      <c r="AX128" s="344">
        <v>0</v>
      </c>
      <c r="AY128" s="369">
        <v>0</v>
      </c>
      <c r="AZ128" s="366">
        <v>0</v>
      </c>
      <c r="BA128" s="366">
        <f>AZ128-AY128</f>
        <v>0</v>
      </c>
      <c r="BB128" s="367">
        <f>AY128-AX128</f>
        <v>0</v>
      </c>
      <c r="BC128" s="368">
        <f>AZ128-AX128</f>
        <v>0</v>
      </c>
      <c r="BD128" s="353">
        <f t="shared" si="23"/>
        <v>0</v>
      </c>
      <c r="BF128" s="319" t="b">
        <v>0</v>
      </c>
    </row>
    <row r="129" spans="1:60" ht="15" customHeight="1">
      <c r="A129" s="324" t="s">
        <v>353</v>
      </c>
      <c r="B129" s="345">
        <v>0</v>
      </c>
      <c r="C129" s="345">
        <v>0</v>
      </c>
      <c r="D129" s="345">
        <v>0</v>
      </c>
      <c r="E129" s="345">
        <v>0</v>
      </c>
      <c r="F129" s="345">
        <v>0</v>
      </c>
      <c r="G129" s="345">
        <v>0</v>
      </c>
      <c r="H129" s="345">
        <v>0</v>
      </c>
      <c r="I129" s="345">
        <v>0</v>
      </c>
      <c r="J129" s="345">
        <v>0</v>
      </c>
      <c r="K129" s="345">
        <v>0</v>
      </c>
      <c r="L129" s="345">
        <v>0</v>
      </c>
      <c r="M129" s="345">
        <v>0</v>
      </c>
      <c r="N129" s="345">
        <v>0</v>
      </c>
      <c r="O129" s="345">
        <v>0</v>
      </c>
      <c r="P129" s="345">
        <v>0</v>
      </c>
      <c r="Q129" s="345">
        <v>0</v>
      </c>
      <c r="R129" s="345">
        <v>0</v>
      </c>
      <c r="S129" s="345">
        <v>0</v>
      </c>
      <c r="T129" s="345">
        <v>0</v>
      </c>
      <c r="U129" s="345">
        <v>0</v>
      </c>
      <c r="V129" s="345">
        <v>0</v>
      </c>
      <c r="W129" s="345">
        <v>0</v>
      </c>
      <c r="X129" s="345">
        <v>0</v>
      </c>
      <c r="Y129" s="345">
        <v>0</v>
      </c>
      <c r="Z129" s="345">
        <v>0</v>
      </c>
      <c r="AA129" s="345">
        <v>0</v>
      </c>
      <c r="AB129" s="345">
        <v>0</v>
      </c>
      <c r="AC129" s="345">
        <v>0</v>
      </c>
      <c r="AD129" s="345">
        <v>0</v>
      </c>
      <c r="AE129" s="345">
        <v>0</v>
      </c>
      <c r="AF129" s="345">
        <v>0</v>
      </c>
      <c r="AG129" s="345">
        <v>0</v>
      </c>
      <c r="AH129" s="345">
        <v>0</v>
      </c>
      <c r="AI129" s="345">
        <v>0</v>
      </c>
      <c r="AJ129" s="345">
        <v>0</v>
      </c>
      <c r="AK129" s="345">
        <v>0</v>
      </c>
      <c r="AL129" s="345">
        <v>0</v>
      </c>
      <c r="AM129" s="345">
        <v>0</v>
      </c>
      <c r="AN129" s="345">
        <v>0</v>
      </c>
      <c r="AO129" s="345">
        <v>0</v>
      </c>
      <c r="AP129" s="345">
        <v>0</v>
      </c>
      <c r="AQ129" s="345">
        <v>0</v>
      </c>
      <c r="AR129" s="345">
        <v>0</v>
      </c>
      <c r="AS129" s="345">
        <v>0</v>
      </c>
      <c r="AT129" s="345">
        <v>0</v>
      </c>
      <c r="AU129" s="345">
        <v>0</v>
      </c>
      <c r="AV129" s="345">
        <v>0</v>
      </c>
      <c r="AW129" s="345">
        <v>0</v>
      </c>
      <c r="AX129" s="345">
        <v>0</v>
      </c>
      <c r="AY129" s="346">
        <v>0</v>
      </c>
      <c r="AZ129" s="347">
        <v>0</v>
      </c>
      <c r="BA129" s="347">
        <f>AZ129-AY129</f>
        <v>0</v>
      </c>
      <c r="BB129" s="351">
        <f>AY129-AX129</f>
        <v>0</v>
      </c>
      <c r="BC129" s="352">
        <f>AZ129-AX129</f>
        <v>0</v>
      </c>
      <c r="BD129" s="353">
        <f t="shared" si="23"/>
        <v>0</v>
      </c>
    </row>
    <row r="130" spans="1:60" s="311" customFormat="1" ht="15" customHeight="1" thickBot="1">
      <c r="A130" s="324" t="s">
        <v>354</v>
      </c>
      <c r="B130" s="344">
        <f>B129*B128/1000</f>
        <v>0</v>
      </c>
      <c r="C130" s="344">
        <v>255</v>
      </c>
      <c r="D130" s="344">
        <v>224</v>
      </c>
      <c r="E130" s="344">
        <v>266</v>
      </c>
      <c r="F130" s="344">
        <v>177</v>
      </c>
      <c r="G130" s="344">
        <v>303</v>
      </c>
      <c r="H130" s="344">
        <v>95</v>
      </c>
      <c r="I130" s="344">
        <v>328</v>
      </c>
      <c r="J130" s="344">
        <v>126</v>
      </c>
      <c r="K130" s="344">
        <v>290</v>
      </c>
      <c r="L130" s="344">
        <v>116</v>
      </c>
      <c r="M130" s="344">
        <v>345</v>
      </c>
      <c r="N130" s="344">
        <v>342</v>
      </c>
      <c r="O130" s="344">
        <v>173</v>
      </c>
      <c r="P130" s="344">
        <v>354.7</v>
      </c>
      <c r="Q130" s="344">
        <v>237.2</v>
      </c>
      <c r="R130" s="344">
        <v>197.4</v>
      </c>
      <c r="S130" s="344">
        <v>413.1</v>
      </c>
      <c r="T130" s="344">
        <v>422.5</v>
      </c>
      <c r="U130" s="344">
        <v>455</v>
      </c>
      <c r="V130" s="344">
        <v>362.7</v>
      </c>
      <c r="W130" s="344">
        <v>209.9</v>
      </c>
      <c r="X130" s="344">
        <v>294.10000000000002</v>
      </c>
      <c r="Y130" s="344">
        <v>313.60000000000002</v>
      </c>
      <c r="Z130" s="344">
        <v>310</v>
      </c>
      <c r="AA130" s="344">
        <v>324.5</v>
      </c>
      <c r="AB130" s="344">
        <v>414.2</v>
      </c>
      <c r="AC130" s="344">
        <v>430.4</v>
      </c>
      <c r="AD130" s="344">
        <v>405.1</v>
      </c>
      <c r="AE130" s="344">
        <v>424.4</v>
      </c>
      <c r="AF130" s="344">
        <v>447.1</v>
      </c>
      <c r="AG130" s="344">
        <v>490.4</v>
      </c>
      <c r="AH130" s="344">
        <v>504.1</v>
      </c>
      <c r="AI130" s="344">
        <v>562.1</v>
      </c>
      <c r="AJ130" s="344">
        <v>879.7</v>
      </c>
      <c r="AK130" s="344">
        <v>731.6</v>
      </c>
      <c r="AL130" s="344">
        <v>1309.4000000000001</v>
      </c>
      <c r="AM130" s="344">
        <v>1725.9</v>
      </c>
      <c r="AN130" s="344">
        <v>1469.2</v>
      </c>
      <c r="AO130" s="344">
        <v>874.4</v>
      </c>
      <c r="AP130" s="344">
        <v>1951.9</v>
      </c>
      <c r="AQ130" s="344">
        <v>1884</v>
      </c>
      <c r="AR130" s="344">
        <v>1792.5</v>
      </c>
      <c r="AS130" s="344">
        <v>2196.3000000000002</v>
      </c>
      <c r="AT130" s="344">
        <f t="shared" ref="AT130:AY130" si="45">AT129*AT128/1000</f>
        <v>0</v>
      </c>
      <c r="AU130" s="344">
        <f t="shared" si="45"/>
        <v>0</v>
      </c>
      <c r="AV130" s="344">
        <f t="shared" si="45"/>
        <v>0</v>
      </c>
      <c r="AW130" s="344">
        <f t="shared" si="45"/>
        <v>0</v>
      </c>
      <c r="AX130" s="344">
        <f t="shared" si="45"/>
        <v>0</v>
      </c>
      <c r="AY130" s="365">
        <f t="shared" si="45"/>
        <v>0</v>
      </c>
      <c r="AZ130" s="366">
        <f>AZ129*AZ128/1000</f>
        <v>0</v>
      </c>
      <c r="BA130" s="366">
        <f>AZ130-AY130</f>
        <v>0</v>
      </c>
      <c r="BB130" s="367">
        <f>AY130-AX130</f>
        <v>0</v>
      </c>
      <c r="BC130" s="368">
        <f>AZ130-AX130</f>
        <v>0</v>
      </c>
      <c r="BD130" s="353">
        <f t="shared" si="23"/>
        <v>-1</v>
      </c>
      <c r="BE130" s="309"/>
      <c r="BF130"/>
      <c r="BG130" s="308"/>
      <c r="BH130" s="336">
        <v>0</v>
      </c>
    </row>
    <row r="131" spans="1:60" ht="21.75" thickBot="1">
      <c r="A131" s="337" t="s">
        <v>27</v>
      </c>
      <c r="B131" s="358"/>
      <c r="C131" s="358"/>
      <c r="D131" s="358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  <c r="AA131" s="358"/>
      <c r="AB131" s="358"/>
      <c r="AC131" s="358"/>
      <c r="AD131" s="358"/>
      <c r="AE131" s="358"/>
      <c r="AF131" s="358"/>
      <c r="AG131" s="358"/>
      <c r="AH131" s="358"/>
      <c r="AI131" s="358"/>
      <c r="AJ131" s="358"/>
      <c r="AK131" s="358"/>
      <c r="AL131" s="358"/>
      <c r="AM131" s="358"/>
      <c r="AN131" s="358"/>
      <c r="AO131" s="358"/>
      <c r="AP131" s="358"/>
      <c r="AQ131" s="358"/>
      <c r="AR131" s="358"/>
      <c r="AS131" s="358"/>
      <c r="AT131" s="333"/>
      <c r="AU131" s="333"/>
      <c r="AV131" s="333"/>
      <c r="AW131" s="333"/>
      <c r="AX131" s="333"/>
      <c r="AY131" s="332"/>
      <c r="AZ131" s="333"/>
      <c r="BA131" s="333"/>
      <c r="BB131" s="332"/>
      <c r="BC131" s="333"/>
      <c r="BD131" s="334"/>
      <c r="BF131" s="319" t="b">
        <v>1</v>
      </c>
    </row>
    <row r="132" spans="1:60" ht="15" customHeight="1">
      <c r="A132" s="338" t="s">
        <v>352</v>
      </c>
      <c r="B132" s="344">
        <f>B116+B96+B76+B36+B4</f>
        <v>0</v>
      </c>
      <c r="C132" s="344">
        <f t="shared" ref="C132:AT132" si="46">C116+C96+C76+C36+C4</f>
        <v>0</v>
      </c>
      <c r="D132" s="344">
        <f t="shared" si="46"/>
        <v>0</v>
      </c>
      <c r="E132" s="344">
        <f t="shared" si="46"/>
        <v>146</v>
      </c>
      <c r="F132" s="344">
        <f t="shared" si="46"/>
        <v>243</v>
      </c>
      <c r="G132" s="344">
        <f t="shared" si="46"/>
        <v>228</v>
      </c>
      <c r="H132" s="344">
        <f t="shared" si="46"/>
        <v>103.9</v>
      </c>
      <c r="I132" s="344">
        <f t="shared" si="46"/>
        <v>325</v>
      </c>
      <c r="J132" s="344">
        <f t="shared" si="46"/>
        <v>373</v>
      </c>
      <c r="K132" s="344">
        <f t="shared" si="46"/>
        <v>460</v>
      </c>
      <c r="L132" s="344">
        <f t="shared" si="46"/>
        <v>549</v>
      </c>
      <c r="M132" s="344">
        <f t="shared" si="46"/>
        <v>526</v>
      </c>
      <c r="N132" s="344">
        <f t="shared" si="46"/>
        <v>665.8</v>
      </c>
      <c r="O132" s="344">
        <f t="shared" si="46"/>
        <v>518.4</v>
      </c>
      <c r="P132" s="344">
        <f t="shared" si="46"/>
        <v>799.6</v>
      </c>
      <c r="Q132" s="344">
        <f t="shared" si="46"/>
        <v>990.3</v>
      </c>
      <c r="R132" s="344">
        <f t="shared" si="46"/>
        <v>1283.7</v>
      </c>
      <c r="S132" s="344">
        <f t="shared" si="46"/>
        <v>1753.8999999999999</v>
      </c>
      <c r="T132" s="344">
        <f t="shared" si="46"/>
        <v>1667.8</v>
      </c>
      <c r="U132" s="344">
        <f t="shared" si="46"/>
        <v>1721.1000000000001</v>
      </c>
      <c r="V132" s="344">
        <f t="shared" si="46"/>
        <v>2198.5</v>
      </c>
      <c r="W132" s="344">
        <f t="shared" si="46"/>
        <v>2321</v>
      </c>
      <c r="X132" s="344">
        <f t="shared" si="46"/>
        <v>2690.6</v>
      </c>
      <c r="Y132" s="344">
        <f t="shared" si="46"/>
        <v>2908.1</v>
      </c>
      <c r="Z132" s="344">
        <f t="shared" si="46"/>
        <v>2426.4</v>
      </c>
      <c r="AA132" s="344">
        <f t="shared" si="46"/>
        <v>2885</v>
      </c>
      <c r="AB132" s="344">
        <f t="shared" si="46"/>
        <v>3562.7000000000003</v>
      </c>
      <c r="AC132" s="344">
        <f t="shared" si="46"/>
        <v>3317.7</v>
      </c>
      <c r="AD132" s="344">
        <f t="shared" si="46"/>
        <v>3186.4</v>
      </c>
      <c r="AE132" s="344">
        <f t="shared" si="46"/>
        <v>3311.1000000000004</v>
      </c>
      <c r="AF132" s="344">
        <f t="shared" si="46"/>
        <v>4561</v>
      </c>
      <c r="AG132" s="344">
        <f t="shared" si="46"/>
        <v>5130.1000000000013</v>
      </c>
      <c r="AH132" s="344">
        <f t="shared" si="46"/>
        <v>4901.2999999999993</v>
      </c>
      <c r="AI132" s="344">
        <f t="shared" si="46"/>
        <v>5269.9000000000005</v>
      </c>
      <c r="AJ132" s="344">
        <f t="shared" si="46"/>
        <v>6168.4</v>
      </c>
      <c r="AK132" s="344">
        <f t="shared" si="46"/>
        <v>7619.6</v>
      </c>
      <c r="AL132" s="344">
        <f t="shared" si="46"/>
        <v>9046.1999999999989</v>
      </c>
      <c r="AM132" s="344">
        <f t="shared" si="46"/>
        <v>9211.1999999999989</v>
      </c>
      <c r="AN132" s="344">
        <f t="shared" si="46"/>
        <v>9550.5999999999985</v>
      </c>
      <c r="AO132" s="344">
        <f t="shared" si="46"/>
        <v>10565.900000000001</v>
      </c>
      <c r="AP132" s="344">
        <f t="shared" si="46"/>
        <v>12109.2</v>
      </c>
      <c r="AQ132" s="344">
        <f t="shared" si="46"/>
        <v>11534.300000000001</v>
      </c>
      <c r="AR132" s="344">
        <f t="shared" si="46"/>
        <v>12878</v>
      </c>
      <c r="AS132" s="344">
        <f t="shared" si="46"/>
        <v>13755.9</v>
      </c>
      <c r="AT132" s="344">
        <f t="shared" si="46"/>
        <v>14999.599999999999</v>
      </c>
      <c r="AU132" s="344">
        <f>AU116+AU96+AU76+AU36+AU4</f>
        <v>16369.3</v>
      </c>
      <c r="AV132" s="344">
        <f>AV116+AV96+AV76+AV36+AV4</f>
        <v>17192.7</v>
      </c>
      <c r="AW132" s="344">
        <f t="shared" ref="AW132:AY132" si="47">AW116+AW96+AW76+AW36+AW4</f>
        <v>16437.8</v>
      </c>
      <c r="AX132" s="344">
        <f t="shared" si="47"/>
        <v>17427.900000000001</v>
      </c>
      <c r="AY132" s="369">
        <f t="shared" si="47"/>
        <v>18090.3</v>
      </c>
      <c r="AZ132" s="366">
        <f>AZ116+AZ96+AZ76+AZ36+AZ4</f>
        <v>18090.3</v>
      </c>
      <c r="BA132" s="366">
        <f>AZ132-AY132</f>
        <v>0</v>
      </c>
      <c r="BB132" s="367">
        <f>AY132-AX132</f>
        <v>662.39999999999782</v>
      </c>
      <c r="BC132" s="368">
        <f>AZ132-AX132</f>
        <v>662.39999999999782</v>
      </c>
      <c r="BD132" s="353">
        <f t="shared" ref="BD132:BD134" si="48">IFERROR((AX132/AS132)^(1/5)-1,0)</f>
        <v>4.8458415334682758E-2</v>
      </c>
    </row>
    <row r="133" spans="1:60" ht="15" customHeight="1">
      <c r="A133" s="324" t="s">
        <v>353</v>
      </c>
      <c r="B133" s="345" t="e">
        <f t="shared" ref="B133:AY133" si="49">B134/B132*1000</f>
        <v>#DIV/0!</v>
      </c>
      <c r="C133" s="345" t="e">
        <f t="shared" si="49"/>
        <v>#DIV/0!</v>
      </c>
      <c r="D133" s="345" t="e">
        <f t="shared" si="49"/>
        <v>#DIV/0!</v>
      </c>
      <c r="E133" s="345">
        <f t="shared" si="49"/>
        <v>40917.808219178085</v>
      </c>
      <c r="F133" s="345">
        <f t="shared" si="49"/>
        <v>17395.061728395063</v>
      </c>
      <c r="G133" s="345">
        <f t="shared" si="49"/>
        <v>30175.438596491229</v>
      </c>
      <c r="H133" s="345">
        <f t="shared" si="49"/>
        <v>23917.228103946101</v>
      </c>
      <c r="I133" s="345">
        <f t="shared" si="49"/>
        <v>23224.615384615383</v>
      </c>
      <c r="J133" s="345">
        <f t="shared" si="49"/>
        <v>9120.643431635388</v>
      </c>
      <c r="K133" s="345">
        <f t="shared" si="49"/>
        <v>15100</v>
      </c>
      <c r="L133" s="345">
        <f t="shared" si="49"/>
        <v>6193.0783242258658</v>
      </c>
      <c r="M133" s="345">
        <f t="shared" si="49"/>
        <v>15448.669201520912</v>
      </c>
      <c r="N133" s="345">
        <f t="shared" si="49"/>
        <v>12236.407329528389</v>
      </c>
      <c r="O133" s="345">
        <f t="shared" si="49"/>
        <v>9052.8549382716064</v>
      </c>
      <c r="P133" s="345">
        <f t="shared" si="49"/>
        <v>10412.581290645323</v>
      </c>
      <c r="Q133" s="345">
        <f t="shared" si="49"/>
        <v>6395.6376855498347</v>
      </c>
      <c r="R133" s="345">
        <f t="shared" si="49"/>
        <v>4475.9679052738175</v>
      </c>
      <c r="S133" s="345">
        <f t="shared" si="49"/>
        <v>6041.1654028165804</v>
      </c>
      <c r="T133" s="345">
        <f t="shared" si="49"/>
        <v>6448.6149418395498</v>
      </c>
      <c r="U133" s="345">
        <f t="shared" si="49"/>
        <v>6644.3553541339834</v>
      </c>
      <c r="V133" s="345">
        <f t="shared" si="49"/>
        <v>4361.337275415056</v>
      </c>
      <c r="W133" s="345">
        <f t="shared" si="49"/>
        <v>2498.9228780697977</v>
      </c>
      <c r="X133" s="345">
        <f t="shared" si="49"/>
        <v>2677.7298743774622</v>
      </c>
      <c r="Y133" s="345">
        <f t="shared" si="49"/>
        <v>2626.422750249304</v>
      </c>
      <c r="Z133" s="345">
        <f t="shared" si="49"/>
        <v>3072.1645235740193</v>
      </c>
      <c r="AA133" s="345">
        <f t="shared" si="49"/>
        <v>2632.4436741767763</v>
      </c>
      <c r="AB133" s="345">
        <f t="shared" si="49"/>
        <v>2647.0654279058017</v>
      </c>
      <c r="AC133" s="345">
        <f t="shared" si="49"/>
        <v>3105.6756186514758</v>
      </c>
      <c r="AD133" s="345">
        <f t="shared" si="49"/>
        <v>3055.1092141601807</v>
      </c>
      <c r="AE133" s="345">
        <f t="shared" si="49"/>
        <v>3089.4868774727429</v>
      </c>
      <c r="AF133" s="345">
        <f t="shared" si="49"/>
        <v>2363.6921727691297</v>
      </c>
      <c r="AG133" s="345">
        <f t="shared" si="49"/>
        <v>2363.3457437476845</v>
      </c>
      <c r="AH133" s="345">
        <f t="shared" si="49"/>
        <v>2460.4084630608208</v>
      </c>
      <c r="AI133" s="345">
        <f t="shared" si="49"/>
        <v>2561.7184386800504</v>
      </c>
      <c r="AJ133" s="345">
        <f t="shared" si="49"/>
        <v>3195.7071525841388</v>
      </c>
      <c r="AK133" s="345">
        <f t="shared" si="49"/>
        <v>2279.2797522179644</v>
      </c>
      <c r="AL133" s="345">
        <f t="shared" si="49"/>
        <v>3229.0464504432803</v>
      </c>
      <c r="AM133" s="345">
        <f t="shared" si="49"/>
        <v>4044.717300677436</v>
      </c>
      <c r="AN133" s="345">
        <f t="shared" si="49"/>
        <v>3487.4458149226239</v>
      </c>
      <c r="AO133" s="345">
        <f t="shared" si="49"/>
        <v>2027.730718632582</v>
      </c>
      <c r="AP133" s="345">
        <f t="shared" si="49"/>
        <v>3621.5109173190626</v>
      </c>
      <c r="AQ133" s="345">
        <f t="shared" si="49"/>
        <v>3657.0056266960278</v>
      </c>
      <c r="AR133" s="345">
        <f t="shared" si="49"/>
        <v>3222.3326603509859</v>
      </c>
      <c r="AS133" s="345">
        <f t="shared" si="49"/>
        <v>3637.7554358493444</v>
      </c>
      <c r="AT133" s="345">
        <f t="shared" si="49"/>
        <v>4049.5481146163897</v>
      </c>
      <c r="AU133" s="345">
        <f t="shared" si="49"/>
        <v>5247.1626361542658</v>
      </c>
      <c r="AV133" s="345">
        <f>AV134/AV132*1000</f>
        <v>5953.986494267916</v>
      </c>
      <c r="AW133" s="345">
        <f t="shared" si="49"/>
        <v>5478.7008845465944</v>
      </c>
      <c r="AX133" s="345">
        <f t="shared" si="49"/>
        <v>6499.4304993716969</v>
      </c>
      <c r="AY133" s="346">
        <f t="shared" si="49"/>
        <v>6105.979342520578</v>
      </c>
      <c r="AZ133" s="347">
        <f>AZ134/AZ132*1000</f>
        <v>5966.7599708130883</v>
      </c>
      <c r="BA133" s="347">
        <f>AZ133-AY133</f>
        <v>-139.2193717074897</v>
      </c>
      <c r="BB133" s="351">
        <f>AY133-AX133</f>
        <v>-393.45115685111887</v>
      </c>
      <c r="BC133" s="352">
        <f>AZ133-AX133</f>
        <v>-532.67052855860857</v>
      </c>
      <c r="BD133" s="353">
        <f t="shared" si="48"/>
        <v>0.12307396902284395</v>
      </c>
    </row>
    <row r="134" spans="1:60" ht="15" customHeight="1" thickBot="1">
      <c r="A134" s="324" t="s">
        <v>354</v>
      </c>
      <c r="B134" s="344">
        <f>B118+B98+B78+B38+B6</f>
        <v>0</v>
      </c>
      <c r="C134" s="344">
        <f t="shared" ref="C134:AT134" si="50">C118+C98+C78+C38+C6</f>
        <v>5427</v>
      </c>
      <c r="D134" s="344">
        <f t="shared" si="50"/>
        <v>4801</v>
      </c>
      <c r="E134" s="344">
        <f t="shared" si="50"/>
        <v>5974</v>
      </c>
      <c r="F134" s="344">
        <f t="shared" si="50"/>
        <v>4227</v>
      </c>
      <c r="G134" s="344">
        <f t="shared" si="50"/>
        <v>6880</v>
      </c>
      <c r="H134" s="344">
        <f t="shared" si="50"/>
        <v>2485</v>
      </c>
      <c r="I134" s="344">
        <f t="shared" si="50"/>
        <v>7548</v>
      </c>
      <c r="J134" s="344">
        <f t="shared" si="50"/>
        <v>3402</v>
      </c>
      <c r="K134" s="344">
        <f t="shared" si="50"/>
        <v>6946</v>
      </c>
      <c r="L134" s="344">
        <f t="shared" si="50"/>
        <v>3400</v>
      </c>
      <c r="M134" s="344">
        <f t="shared" si="50"/>
        <v>8126</v>
      </c>
      <c r="N134" s="344">
        <f t="shared" si="50"/>
        <v>8147</v>
      </c>
      <c r="O134" s="344">
        <f t="shared" si="50"/>
        <v>4693</v>
      </c>
      <c r="P134" s="344">
        <f t="shared" si="50"/>
        <v>8325.9</v>
      </c>
      <c r="Q134" s="344">
        <f t="shared" si="50"/>
        <v>6333.6</v>
      </c>
      <c r="R134" s="344">
        <f t="shared" si="50"/>
        <v>5745.8</v>
      </c>
      <c r="S134" s="344">
        <f t="shared" si="50"/>
        <v>10595.6</v>
      </c>
      <c r="T134" s="344">
        <f t="shared" si="50"/>
        <v>10755</v>
      </c>
      <c r="U134" s="344">
        <f t="shared" si="50"/>
        <v>11435.6</v>
      </c>
      <c r="V134" s="344">
        <f t="shared" si="50"/>
        <v>9588.4</v>
      </c>
      <c r="W134" s="344">
        <f t="shared" si="50"/>
        <v>5800</v>
      </c>
      <c r="X134" s="344">
        <f t="shared" si="50"/>
        <v>7204.7</v>
      </c>
      <c r="Y134" s="344">
        <f t="shared" si="50"/>
        <v>7637.9</v>
      </c>
      <c r="Z134" s="344">
        <f t="shared" si="50"/>
        <v>7454.3</v>
      </c>
      <c r="AA134" s="344">
        <f t="shared" si="50"/>
        <v>7594.6</v>
      </c>
      <c r="AB134" s="344">
        <f t="shared" si="50"/>
        <v>9430.7000000000007</v>
      </c>
      <c r="AC134" s="344">
        <f t="shared" si="50"/>
        <v>10303.700000000001</v>
      </c>
      <c r="AD134" s="344">
        <f t="shared" si="50"/>
        <v>9734.7999999999993</v>
      </c>
      <c r="AE134" s="344">
        <f t="shared" si="50"/>
        <v>10229.6</v>
      </c>
      <c r="AF134" s="344">
        <f t="shared" si="50"/>
        <v>10780.8</v>
      </c>
      <c r="AG134" s="344">
        <f t="shared" si="50"/>
        <v>12124.2</v>
      </c>
      <c r="AH134" s="344">
        <f t="shared" si="50"/>
        <v>12059.2</v>
      </c>
      <c r="AI134" s="344">
        <f t="shared" si="50"/>
        <v>13500</v>
      </c>
      <c r="AJ134" s="344">
        <f t="shared" si="50"/>
        <v>19712.400000000001</v>
      </c>
      <c r="AK134" s="344">
        <f t="shared" si="50"/>
        <v>17367.2</v>
      </c>
      <c r="AL134" s="344">
        <f t="shared" si="50"/>
        <v>29210.6</v>
      </c>
      <c r="AM134" s="344">
        <f t="shared" si="50"/>
        <v>37256.699999999997</v>
      </c>
      <c r="AN134" s="344">
        <f t="shared" si="50"/>
        <v>33307.200000000004</v>
      </c>
      <c r="AO134" s="344">
        <f t="shared" si="50"/>
        <v>21424.799999999999</v>
      </c>
      <c r="AP134" s="344">
        <f t="shared" si="50"/>
        <v>43853.599999999999</v>
      </c>
      <c r="AQ134" s="344">
        <f t="shared" si="50"/>
        <v>42181</v>
      </c>
      <c r="AR134" s="344">
        <f t="shared" si="50"/>
        <v>41497.199999999997</v>
      </c>
      <c r="AS134" s="344">
        <f t="shared" si="50"/>
        <v>50040.6</v>
      </c>
      <c r="AT134" s="344">
        <f t="shared" si="50"/>
        <v>60741.601900000001</v>
      </c>
      <c r="AU134" s="344">
        <f>((AU118+AU98+AU78+AU38+AU6)*1000)/1000</f>
        <v>85892.379340000014</v>
      </c>
      <c r="AV134" s="344">
        <f>((AV118+AV98+AV78+AV38+AV6)*1000)/1000</f>
        <v>102365.1036</v>
      </c>
      <c r="AW134" s="344">
        <f t="shared" ref="AW134:AY134" si="51">((AW118+AW98+AW78+AW38+AW6)*1000)/1000</f>
        <v>90057.789399999994</v>
      </c>
      <c r="AX134" s="344">
        <f t="shared" si="51"/>
        <v>113271.42480000001</v>
      </c>
      <c r="AY134" s="365">
        <f t="shared" si="51"/>
        <v>110458.9981</v>
      </c>
      <c r="AZ134" s="366">
        <f>AZ118+AZ98+AZ78+AZ38+AZ6</f>
        <v>107940.47790000001</v>
      </c>
      <c r="BA134" s="366">
        <f>AZ134-AY134</f>
        <v>-2518.5201999999845</v>
      </c>
      <c r="BB134" s="371">
        <f>AY134-AX134</f>
        <v>-2812.4267000000109</v>
      </c>
      <c r="BC134" s="372">
        <f>AZ134-AX134</f>
        <v>-5330.9468999999954</v>
      </c>
      <c r="BD134" s="359">
        <f t="shared" si="48"/>
        <v>0.17749635386532336</v>
      </c>
    </row>
    <row r="135" spans="1:60" ht="15" customHeight="1" thickTop="1">
      <c r="A135" s="339" t="s">
        <v>388</v>
      </c>
      <c r="B135" s="340"/>
      <c r="C135" s="340"/>
      <c r="D135" s="340"/>
      <c r="E135" s="340"/>
      <c r="F135" s="340"/>
      <c r="G135" s="340"/>
      <c r="H135" s="340"/>
      <c r="I135" s="340"/>
      <c r="J135" s="340"/>
      <c r="K135" s="340"/>
      <c r="L135" s="340"/>
      <c r="M135" s="340"/>
      <c r="N135" s="340"/>
      <c r="O135" s="340"/>
      <c r="P135" s="340"/>
      <c r="Q135" s="340"/>
      <c r="R135" s="340"/>
      <c r="S135" s="340"/>
      <c r="T135" s="340"/>
      <c r="U135" s="340"/>
      <c r="V135" s="340"/>
      <c r="W135" s="340"/>
      <c r="X135" s="340"/>
      <c r="Y135" s="340"/>
      <c r="Z135" s="340"/>
      <c r="AA135" s="340"/>
      <c r="AB135" s="340"/>
      <c r="AC135" s="340"/>
      <c r="AD135" s="340"/>
      <c r="AE135" s="340"/>
      <c r="AF135" s="340"/>
      <c r="AG135" s="340"/>
      <c r="AH135" s="340"/>
      <c r="AI135" s="340"/>
      <c r="AJ135" s="340"/>
      <c r="AK135" s="340"/>
      <c r="AL135" s="340"/>
      <c r="AM135" s="340"/>
      <c r="AN135" s="340"/>
      <c r="AO135" s="340"/>
      <c r="AP135" s="340"/>
      <c r="AQ135" s="340"/>
      <c r="AR135" s="340"/>
      <c r="AS135" s="341">
        <f>AY132-AS132</f>
        <v>4334.3999999999996</v>
      </c>
      <c r="AT135" s="340"/>
      <c r="AU135" s="340"/>
      <c r="AV135" s="340"/>
      <c r="AW135" s="340"/>
      <c r="AX135" s="340"/>
      <c r="AY135" s="340"/>
      <c r="AZ135" s="340"/>
      <c r="BA135" s="340"/>
      <c r="BB135" s="340"/>
      <c r="BC135" s="340"/>
      <c r="BD135" s="340"/>
    </row>
    <row r="136" spans="1:60">
      <c r="A136" s="342"/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  <c r="AA136" s="342"/>
      <c r="AB136" s="342"/>
      <c r="AC136" s="342"/>
      <c r="AD136" s="342"/>
      <c r="AE136" s="342"/>
      <c r="AF136" s="342"/>
      <c r="AG136" s="342"/>
      <c r="AH136" s="342"/>
      <c r="AI136" s="342"/>
      <c r="AJ136" s="342"/>
      <c r="AK136" s="342"/>
      <c r="AL136" s="342"/>
      <c r="AM136" s="342"/>
      <c r="AN136" s="342"/>
      <c r="AO136" s="342"/>
      <c r="AP136" s="342"/>
      <c r="AQ136" s="342"/>
      <c r="AR136" s="342"/>
      <c r="AS136" s="342"/>
      <c r="AT136" s="342"/>
      <c r="AU136" s="342"/>
      <c r="AV136" s="342"/>
      <c r="AW136" s="342"/>
      <c r="AX136" s="342"/>
      <c r="AY136" s="342"/>
      <c r="AZ136" s="342"/>
      <c r="BA136" s="342"/>
      <c r="BB136" s="342"/>
      <c r="BC136" s="342"/>
      <c r="BD136" s="342"/>
    </row>
    <row r="137" spans="1:60">
      <c r="A137" s="342"/>
      <c r="B137" s="342"/>
      <c r="C137" s="342"/>
      <c r="D137" s="342"/>
      <c r="E137" s="342"/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P137" s="342"/>
      <c r="Q137" s="342"/>
      <c r="R137" s="342"/>
      <c r="S137" s="342"/>
      <c r="T137" s="342"/>
      <c r="U137" s="342"/>
      <c r="V137" s="342"/>
      <c r="W137" s="342"/>
      <c r="X137" s="342"/>
      <c r="Y137" s="342"/>
      <c r="Z137" s="342"/>
      <c r="AA137" s="342"/>
      <c r="AB137" s="342"/>
      <c r="AC137" s="342"/>
      <c r="AD137" s="342"/>
      <c r="AE137" s="342"/>
      <c r="AF137" s="342"/>
      <c r="AG137" s="342"/>
      <c r="AH137" s="342"/>
      <c r="AI137" s="342"/>
      <c r="AJ137" s="342"/>
      <c r="AK137" s="342"/>
      <c r="AL137" s="342"/>
      <c r="AM137" s="342"/>
      <c r="AN137" s="342"/>
      <c r="AO137" s="342"/>
      <c r="AP137" s="342"/>
      <c r="AQ137" s="342"/>
      <c r="AR137" s="342"/>
      <c r="AS137" s="342"/>
      <c r="AT137" s="342"/>
      <c r="AU137" s="342"/>
      <c r="AV137" s="342"/>
      <c r="AW137" s="342"/>
      <c r="AX137" s="342"/>
      <c r="AY137" s="342"/>
      <c r="AZ137" s="342"/>
      <c r="BA137" s="342"/>
      <c r="BB137" s="342"/>
      <c r="BC137" s="342"/>
      <c r="BD137" s="342"/>
    </row>
    <row r="138" spans="1:60">
      <c r="BD138" s="343"/>
    </row>
    <row r="139" spans="1:60">
      <c r="BD139" s="343"/>
    </row>
    <row r="140" spans="1:60">
      <c r="BD140" s="343"/>
    </row>
    <row r="141" spans="1:60">
      <c r="BD141" s="343"/>
    </row>
    <row r="142" spans="1:60">
      <c r="BD142" s="343"/>
    </row>
    <row r="143" spans="1:60">
      <c r="BD143" s="343"/>
    </row>
    <row r="144" spans="1:60">
      <c r="BD144" s="343"/>
    </row>
    <row r="145" spans="54:56">
      <c r="BD145" s="343"/>
    </row>
    <row r="146" spans="54:56">
      <c r="BD146" s="343"/>
    </row>
    <row r="147" spans="54:56">
      <c r="BB147" s="343"/>
      <c r="BC147" s="343"/>
      <c r="BD147" s="343"/>
    </row>
    <row r="148" spans="54:56">
      <c r="BB148" s="343"/>
      <c r="BC148" s="343"/>
      <c r="BD148" s="343"/>
    </row>
    <row r="149" spans="54:56">
      <c r="BB149" s="343"/>
      <c r="BC149" s="343"/>
      <c r="BD149" s="343"/>
    </row>
    <row r="150" spans="54:56">
      <c r="BB150" s="343"/>
      <c r="BC150" s="343"/>
      <c r="BD150" s="343"/>
    </row>
    <row r="151" spans="54:56">
      <c r="BB151" s="343"/>
      <c r="BC151" s="343"/>
      <c r="BD151" s="343"/>
    </row>
    <row r="152" spans="54:56">
      <c r="BB152" s="343"/>
      <c r="BC152" s="343"/>
      <c r="BD152" s="343"/>
    </row>
    <row r="153" spans="54:56">
      <c r="BB153" s="343"/>
      <c r="BC153" s="343"/>
      <c r="BD153" s="343"/>
    </row>
    <row r="154" spans="54:56">
      <c r="BB154" s="343"/>
      <c r="BC154" s="343"/>
      <c r="BD154" s="343"/>
    </row>
    <row r="155" spans="54:56">
      <c r="BB155" s="343"/>
      <c r="BC155" s="343"/>
      <c r="BD155" s="343"/>
    </row>
    <row r="156" spans="54:56">
      <c r="BB156" s="343"/>
      <c r="BC156" s="343"/>
      <c r="BD156" s="343"/>
    </row>
    <row r="157" spans="54:56">
      <c r="BB157" s="343"/>
      <c r="BC157" s="343"/>
      <c r="BD157" s="343"/>
    </row>
    <row r="158" spans="54:56">
      <c r="BB158" s="343"/>
      <c r="BC158" s="343"/>
      <c r="BD158" s="343"/>
    </row>
    <row r="159" spans="54:56">
      <c r="BB159" s="343"/>
      <c r="BC159" s="343"/>
      <c r="BD159" s="343"/>
    </row>
    <row r="160" spans="54:56">
      <c r="BB160" s="343"/>
      <c r="BC160" s="343"/>
      <c r="BD160" s="343"/>
    </row>
    <row r="161" spans="54:56">
      <c r="BB161" s="343"/>
      <c r="BC161" s="343"/>
      <c r="BD161" s="343"/>
    </row>
    <row r="162" spans="54:56">
      <c r="BB162" s="343"/>
      <c r="BC162" s="343"/>
      <c r="BD162" s="343"/>
    </row>
    <row r="163" spans="54:56">
      <c r="BB163" s="343"/>
      <c r="BC163" s="343"/>
      <c r="BD163" s="343"/>
    </row>
    <row r="164" spans="54:56">
      <c r="BB164" s="343"/>
      <c r="BC164" s="343"/>
      <c r="BD164" s="343"/>
    </row>
    <row r="165" spans="54:56">
      <c r="BB165" s="343"/>
      <c r="BC165" s="343"/>
      <c r="BD165" s="343"/>
    </row>
    <row r="166" spans="54:56">
      <c r="BB166" s="343"/>
      <c r="BC166" s="343"/>
      <c r="BD166" s="343"/>
    </row>
    <row r="167" spans="54:56">
      <c r="BB167" s="343"/>
      <c r="BC167" s="343"/>
      <c r="BD167" s="343"/>
    </row>
    <row r="168" spans="54:56">
      <c r="BB168" s="343"/>
      <c r="BC168" s="343"/>
      <c r="BD168" s="343"/>
    </row>
    <row r="169" spans="54:56">
      <c r="BB169" s="343"/>
      <c r="BC169" s="343"/>
      <c r="BD169" s="343"/>
    </row>
    <row r="170" spans="54:56">
      <c r="BB170" s="343"/>
      <c r="BC170" s="343"/>
      <c r="BD170" s="343"/>
    </row>
    <row r="171" spans="54:56">
      <c r="BB171" s="343"/>
      <c r="BC171" s="343"/>
      <c r="BD171" s="343"/>
    </row>
    <row r="172" spans="54:56">
      <c r="BB172" s="343"/>
      <c r="BC172" s="343"/>
      <c r="BD172" s="343"/>
    </row>
    <row r="173" spans="54:56">
      <c r="BB173" s="343"/>
      <c r="BC173" s="343"/>
      <c r="BD173" s="343"/>
    </row>
    <row r="174" spans="54:56">
      <c r="BB174" s="343"/>
      <c r="BC174" s="343"/>
      <c r="BD174" s="343"/>
    </row>
    <row r="175" spans="54:56">
      <c r="BB175" s="343"/>
      <c r="BC175" s="343"/>
      <c r="BD175" s="343"/>
    </row>
    <row r="176" spans="54:56">
      <c r="BB176" s="343"/>
      <c r="BC176" s="343"/>
      <c r="BD176" s="343"/>
    </row>
    <row r="177" spans="54:56">
      <c r="BB177" s="343"/>
      <c r="BC177" s="343"/>
      <c r="BD177" s="343"/>
    </row>
    <row r="178" spans="54:56">
      <c r="BB178" s="343"/>
      <c r="BC178" s="343"/>
      <c r="BD178" s="343"/>
    </row>
    <row r="179" spans="54:56"/>
    <row r="180" spans="54:56"/>
    <row r="181" spans="54:56"/>
    <row r="182" spans="54:56"/>
    <row r="183" spans="54:56"/>
    <row r="184" spans="54:56"/>
    <row r="185" spans="54:56"/>
    <row r="186" spans="54:56"/>
    <row r="187" spans="54:56"/>
    <row r="188" spans="54:56"/>
    <row r="189" spans="54:56"/>
    <row r="190" spans="54:56"/>
    <row r="191" spans="54:56"/>
    <row r="192" spans="54:56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mergeCells count="6">
    <mergeCell ref="BF1:BF3"/>
    <mergeCell ref="AY2:BA2"/>
    <mergeCell ref="BB1:BB3"/>
    <mergeCell ref="BC1:BC3"/>
    <mergeCell ref="BD1:BD3"/>
    <mergeCell ref="BE1:BE3"/>
  </mergeCells>
  <pageMargins left="0.7" right="0.7" top="0.75" bottom="0.75" header="0" footer="0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 xr2:uid="{72151AF6-B2A7-4636-B3C0-E40AC45C35BB}">
          <x14:colorSeries rgb="FF376092"/>
          <x14:sparklines>
            <x14:sparkline>
              <xm:f>'BZ by State 2nd Crop'!Y4:AY4</xm:f>
              <xm:sqref>BE4</xm:sqref>
            </x14:sparkline>
            <x14:sparkline>
              <xm:f>'BZ by State 2nd Crop'!Y5:AY5</xm:f>
              <xm:sqref>BE5</xm:sqref>
            </x14:sparkline>
            <x14:sparkline>
              <xm:f>'BZ by State 2nd Crop'!Y6:AY6</xm:f>
              <xm:sqref>BE6</xm:sqref>
            </x14:sparkline>
            <x14:sparkline>
              <xm:f>'BZ by State 2nd Crop'!Y7:AY7</xm:f>
              <xm:sqref>BE7</xm:sqref>
            </x14:sparkline>
            <x14:sparkline>
              <xm:f>'BZ by State 2nd Crop'!Y8:AY8</xm:f>
              <xm:sqref>BE8</xm:sqref>
            </x14:sparkline>
            <x14:sparkline>
              <xm:f>'BZ by State 2nd Crop'!Y9:AY9</xm:f>
              <xm:sqref>BE9</xm:sqref>
            </x14:sparkline>
            <x14:sparkline>
              <xm:f>'BZ by State 2nd Crop'!Y10:AY10</xm:f>
              <xm:sqref>BE10</xm:sqref>
            </x14:sparkline>
            <x14:sparkline>
              <xm:f>'BZ by State 2nd Crop'!Y11:AY11</xm:f>
              <xm:sqref>BE11</xm:sqref>
            </x14:sparkline>
            <x14:sparkline>
              <xm:f>'BZ by State 2nd Crop'!Y12:AY12</xm:f>
              <xm:sqref>BE12</xm:sqref>
            </x14:sparkline>
            <x14:sparkline>
              <xm:f>'BZ by State 2nd Crop'!Y13:AY13</xm:f>
              <xm:sqref>BE13</xm:sqref>
            </x14:sparkline>
            <x14:sparkline>
              <xm:f>'BZ by State 2nd Crop'!Y14:AY14</xm:f>
              <xm:sqref>BE14</xm:sqref>
            </x14:sparkline>
            <x14:sparkline>
              <xm:f>'BZ by State 2nd Crop'!Y15:AY15</xm:f>
              <xm:sqref>BE15</xm:sqref>
            </x14:sparkline>
            <x14:sparkline>
              <xm:f>'BZ by State 2nd Crop'!Y16:AY16</xm:f>
              <xm:sqref>BE16</xm:sqref>
            </x14:sparkline>
            <x14:sparkline>
              <xm:f>'BZ by State 2nd Crop'!Y17:AY17</xm:f>
              <xm:sqref>BE17</xm:sqref>
            </x14:sparkline>
            <x14:sparkline>
              <xm:f>'BZ by State 2nd Crop'!Y18:AY18</xm:f>
              <xm:sqref>BE18</xm:sqref>
            </x14:sparkline>
            <x14:sparkline>
              <xm:f>'BZ by State 2nd Crop'!Y19:AY19</xm:f>
              <xm:sqref>BE19</xm:sqref>
            </x14:sparkline>
            <x14:sparkline>
              <xm:f>'BZ by State 2nd Crop'!Y20:AY20</xm:f>
              <xm:sqref>BE20</xm:sqref>
            </x14:sparkline>
            <x14:sparkline>
              <xm:f>'BZ by State 2nd Crop'!Y21:AY21</xm:f>
              <xm:sqref>BE21</xm:sqref>
            </x14:sparkline>
            <x14:sparkline>
              <xm:f>'BZ by State 2nd Crop'!Y22:AY22</xm:f>
              <xm:sqref>BE22</xm:sqref>
            </x14:sparkline>
            <x14:sparkline>
              <xm:f>'BZ by State 2nd Crop'!Y23:AY23</xm:f>
              <xm:sqref>BE23</xm:sqref>
            </x14:sparkline>
            <x14:sparkline>
              <xm:f>'BZ by State 2nd Crop'!Y24:AY24</xm:f>
              <xm:sqref>BE24</xm:sqref>
            </x14:sparkline>
            <x14:sparkline>
              <xm:f>'BZ by State 2nd Crop'!Y25:AY25</xm:f>
              <xm:sqref>BE25</xm:sqref>
            </x14:sparkline>
            <x14:sparkline>
              <xm:f>'BZ by State 2nd Crop'!Y26:AY26</xm:f>
              <xm:sqref>BE26</xm:sqref>
            </x14:sparkline>
            <x14:sparkline>
              <xm:f>'BZ by State 2nd Crop'!Y27:AY27</xm:f>
              <xm:sqref>BE27</xm:sqref>
            </x14:sparkline>
            <x14:sparkline>
              <xm:f>'BZ by State 2nd Crop'!Y28:AY28</xm:f>
              <xm:sqref>BE28</xm:sqref>
            </x14:sparkline>
            <x14:sparkline>
              <xm:f>'BZ by State 2nd Crop'!Y29:AY29</xm:f>
              <xm:sqref>BE29</xm:sqref>
            </x14:sparkline>
            <x14:sparkline>
              <xm:f>'BZ by State 2nd Crop'!Y30:AY30</xm:f>
              <xm:sqref>BE30</xm:sqref>
            </x14:sparkline>
            <x14:sparkline>
              <xm:f>'BZ by State 2nd Crop'!Y31:AY31</xm:f>
              <xm:sqref>BE31</xm:sqref>
            </x14:sparkline>
            <x14:sparkline>
              <xm:f>'BZ by State 2nd Crop'!Y32:AY32</xm:f>
              <xm:sqref>BE32</xm:sqref>
            </x14:sparkline>
            <x14:sparkline>
              <xm:f>'BZ by State 2nd Crop'!Y33:AY33</xm:f>
              <xm:sqref>BE33</xm:sqref>
            </x14:sparkline>
            <x14:sparkline>
              <xm:f>'BZ by State 2nd Crop'!Y34:AY34</xm:f>
              <xm:sqref>BE34</xm:sqref>
            </x14:sparkline>
            <x14:sparkline>
              <xm:f>'BZ by State 2nd Crop'!Y35:AY35</xm:f>
              <xm:sqref>BE35</xm:sqref>
            </x14:sparkline>
            <x14:sparkline>
              <xm:f>'BZ by State 2nd Crop'!Y36:AY36</xm:f>
              <xm:sqref>BE36</xm:sqref>
            </x14:sparkline>
            <x14:sparkline>
              <xm:f>'BZ by State 2nd Crop'!Y37:AY37</xm:f>
              <xm:sqref>BE37</xm:sqref>
            </x14:sparkline>
            <x14:sparkline>
              <xm:f>'BZ by State 2nd Crop'!Y38:AY38</xm:f>
              <xm:sqref>BE38</xm:sqref>
            </x14:sparkline>
            <x14:sparkline>
              <xm:f>'BZ by State 2nd Crop'!Y39:AY39</xm:f>
              <xm:sqref>BE39</xm:sqref>
            </x14:sparkline>
            <x14:sparkline>
              <xm:f>'BZ by State 2nd Crop'!Y40:AY40</xm:f>
              <xm:sqref>BE40</xm:sqref>
            </x14:sparkline>
            <x14:sparkline>
              <xm:f>'BZ by State 2nd Crop'!Y41:AY41</xm:f>
              <xm:sqref>BE41</xm:sqref>
            </x14:sparkline>
            <x14:sparkline>
              <xm:f>'BZ by State 2nd Crop'!Y42:AY42</xm:f>
              <xm:sqref>BE42</xm:sqref>
            </x14:sparkline>
            <x14:sparkline>
              <xm:f>'BZ by State 2nd Crop'!Y43:AY43</xm:f>
              <xm:sqref>BE43</xm:sqref>
            </x14:sparkline>
            <x14:sparkline>
              <xm:f>'BZ by State 2nd Crop'!Y44:AY44</xm:f>
              <xm:sqref>BE44</xm:sqref>
            </x14:sparkline>
            <x14:sparkline>
              <xm:f>'BZ by State 2nd Crop'!Y45:AY45</xm:f>
              <xm:sqref>BE45</xm:sqref>
            </x14:sparkline>
            <x14:sparkline>
              <xm:f>'BZ by State 2nd Crop'!Y46:AY46</xm:f>
              <xm:sqref>BE46</xm:sqref>
            </x14:sparkline>
            <x14:sparkline>
              <xm:f>'BZ by State 2nd Crop'!Y47:AY47</xm:f>
              <xm:sqref>BE47</xm:sqref>
            </x14:sparkline>
            <x14:sparkline>
              <xm:f>'BZ by State 2nd Crop'!Y48:AY48</xm:f>
              <xm:sqref>BE48</xm:sqref>
            </x14:sparkline>
            <x14:sparkline>
              <xm:f>'BZ by State 2nd Crop'!Y49:AY49</xm:f>
              <xm:sqref>BE49</xm:sqref>
            </x14:sparkline>
            <x14:sparkline>
              <xm:f>'BZ by State 2nd Crop'!Y50:AY50</xm:f>
              <xm:sqref>BE50</xm:sqref>
            </x14:sparkline>
            <x14:sparkline>
              <xm:f>'BZ by State 2nd Crop'!Y51:AY51</xm:f>
              <xm:sqref>BE51</xm:sqref>
            </x14:sparkline>
            <x14:sparkline>
              <xm:f>'BZ by State 2nd Crop'!Y52:AY52</xm:f>
              <xm:sqref>BE52</xm:sqref>
            </x14:sparkline>
            <x14:sparkline>
              <xm:f>'BZ by State 2nd Crop'!Y53:AY53</xm:f>
              <xm:sqref>BE53</xm:sqref>
            </x14:sparkline>
            <x14:sparkline>
              <xm:f>'BZ by State 2nd Crop'!Y54:AY54</xm:f>
              <xm:sqref>BE54</xm:sqref>
            </x14:sparkline>
            <x14:sparkline>
              <xm:f>'BZ by State 2nd Crop'!Y55:AY55</xm:f>
              <xm:sqref>BE55</xm:sqref>
            </x14:sparkline>
            <x14:sparkline>
              <xm:f>'BZ by State 2nd Crop'!Y56:AY56</xm:f>
              <xm:sqref>BE56</xm:sqref>
            </x14:sparkline>
            <x14:sparkline>
              <xm:f>'BZ by State 2nd Crop'!Y57:AY57</xm:f>
              <xm:sqref>BE57</xm:sqref>
            </x14:sparkline>
            <x14:sparkline>
              <xm:f>'BZ by State 2nd Crop'!Y58:AY58</xm:f>
              <xm:sqref>BE58</xm:sqref>
            </x14:sparkline>
            <x14:sparkline>
              <xm:f>'BZ by State 2nd Crop'!Y59:AY59</xm:f>
              <xm:sqref>BE59</xm:sqref>
            </x14:sparkline>
            <x14:sparkline>
              <xm:f>'BZ by State 2nd Crop'!Y60:AY60</xm:f>
              <xm:sqref>BE60</xm:sqref>
            </x14:sparkline>
            <x14:sparkline>
              <xm:f>'BZ by State 2nd Crop'!Y61:AY61</xm:f>
              <xm:sqref>BE61</xm:sqref>
            </x14:sparkline>
            <x14:sparkline>
              <xm:f>'BZ by State 2nd Crop'!Y62:AY62</xm:f>
              <xm:sqref>BE62</xm:sqref>
            </x14:sparkline>
            <x14:sparkline>
              <xm:f>'BZ by State 2nd Crop'!Y63:AY63</xm:f>
              <xm:sqref>BE63</xm:sqref>
            </x14:sparkline>
            <x14:sparkline>
              <xm:f>'BZ by State 2nd Crop'!Y64:AY64</xm:f>
              <xm:sqref>BE64</xm:sqref>
            </x14:sparkline>
            <x14:sparkline>
              <xm:f>'BZ by State 2nd Crop'!Y65:AY65</xm:f>
              <xm:sqref>BE65</xm:sqref>
            </x14:sparkline>
            <x14:sparkline>
              <xm:f>'BZ by State 2nd Crop'!Y66:AY66</xm:f>
              <xm:sqref>BE66</xm:sqref>
            </x14:sparkline>
            <x14:sparkline>
              <xm:f>'BZ by State 2nd Crop'!Y67:AY67</xm:f>
              <xm:sqref>BE67</xm:sqref>
            </x14:sparkline>
            <x14:sparkline>
              <xm:f>'BZ by State 2nd Crop'!Y68:AY68</xm:f>
              <xm:sqref>BE68</xm:sqref>
            </x14:sparkline>
            <x14:sparkline>
              <xm:f>'BZ by State 2nd Crop'!Y69:AY69</xm:f>
              <xm:sqref>BE69</xm:sqref>
            </x14:sparkline>
            <x14:sparkline>
              <xm:f>'BZ by State 2nd Crop'!Y70:AY70</xm:f>
              <xm:sqref>BE70</xm:sqref>
            </x14:sparkline>
            <x14:sparkline>
              <xm:f>'BZ by State 2nd Crop'!Y71:AY71</xm:f>
              <xm:sqref>BE71</xm:sqref>
            </x14:sparkline>
            <x14:sparkline>
              <xm:f>'BZ by State 2nd Crop'!Y72:AY72</xm:f>
              <xm:sqref>BE72</xm:sqref>
            </x14:sparkline>
            <x14:sparkline>
              <xm:f>'BZ by State 2nd Crop'!Y73:AY73</xm:f>
              <xm:sqref>BE73</xm:sqref>
            </x14:sparkline>
            <x14:sparkline>
              <xm:f>'BZ by State 2nd Crop'!Y74:AY74</xm:f>
              <xm:sqref>BE74</xm:sqref>
            </x14:sparkline>
            <x14:sparkline>
              <xm:f>'BZ by State 2nd Crop'!Y75:AY75</xm:f>
              <xm:sqref>BE75</xm:sqref>
            </x14:sparkline>
            <x14:sparkline>
              <xm:f>'BZ by State 2nd Crop'!Y76:AY76</xm:f>
              <xm:sqref>BE76</xm:sqref>
            </x14:sparkline>
            <x14:sparkline>
              <xm:f>'BZ by State 2nd Crop'!Y77:AY77</xm:f>
              <xm:sqref>BE77</xm:sqref>
            </x14:sparkline>
            <x14:sparkline>
              <xm:f>'BZ by State 2nd Crop'!Y78:AY78</xm:f>
              <xm:sqref>BE78</xm:sqref>
            </x14:sparkline>
            <x14:sparkline>
              <xm:f>'BZ by State 2nd Crop'!Y79:AY79</xm:f>
              <xm:sqref>BE79</xm:sqref>
            </x14:sparkline>
            <x14:sparkline>
              <xm:f>'BZ by State 2nd Crop'!Y80:AY80</xm:f>
              <xm:sqref>BE80</xm:sqref>
            </x14:sparkline>
            <x14:sparkline>
              <xm:f>'BZ by State 2nd Crop'!Y81:AY81</xm:f>
              <xm:sqref>BE81</xm:sqref>
            </x14:sparkline>
            <x14:sparkline>
              <xm:f>'BZ by State 2nd Crop'!Y82:AY82</xm:f>
              <xm:sqref>BE82</xm:sqref>
            </x14:sparkline>
            <x14:sparkline>
              <xm:f>'BZ by State 2nd Crop'!Y83:AY83</xm:f>
              <xm:sqref>BE83</xm:sqref>
            </x14:sparkline>
            <x14:sparkline>
              <xm:f>'BZ by State 2nd Crop'!Y84:AY84</xm:f>
              <xm:sqref>BE84</xm:sqref>
            </x14:sparkline>
            <x14:sparkline>
              <xm:f>'BZ by State 2nd Crop'!Y85:AY85</xm:f>
              <xm:sqref>BE85</xm:sqref>
            </x14:sparkline>
            <x14:sparkline>
              <xm:f>'BZ by State 2nd Crop'!Y86:AY86</xm:f>
              <xm:sqref>BE86</xm:sqref>
            </x14:sparkline>
            <x14:sparkline>
              <xm:f>'BZ by State 2nd Crop'!Y87:AY87</xm:f>
              <xm:sqref>BE87</xm:sqref>
            </x14:sparkline>
            <x14:sparkline>
              <xm:f>'BZ by State 2nd Crop'!Y88:AY88</xm:f>
              <xm:sqref>BE88</xm:sqref>
            </x14:sparkline>
            <x14:sparkline>
              <xm:f>'BZ by State 2nd Crop'!Y89:AY89</xm:f>
              <xm:sqref>BE89</xm:sqref>
            </x14:sparkline>
            <x14:sparkline>
              <xm:f>'BZ by State 2nd Crop'!Y90:AY90</xm:f>
              <xm:sqref>BE90</xm:sqref>
            </x14:sparkline>
            <x14:sparkline>
              <xm:f>'BZ by State 2nd Crop'!Y91:AY91</xm:f>
              <xm:sqref>BE91</xm:sqref>
            </x14:sparkline>
            <x14:sparkline>
              <xm:f>'BZ by State 2nd Crop'!Y92:AY92</xm:f>
              <xm:sqref>BE92</xm:sqref>
            </x14:sparkline>
            <x14:sparkline>
              <xm:f>'BZ by State 2nd Crop'!Y93:AY93</xm:f>
              <xm:sqref>BE93</xm:sqref>
            </x14:sparkline>
            <x14:sparkline>
              <xm:f>'BZ by State 2nd Crop'!Y94:AY94</xm:f>
              <xm:sqref>BE94</xm:sqref>
            </x14:sparkline>
            <x14:sparkline>
              <xm:f>'BZ by State 2nd Crop'!Y95:AY95</xm:f>
              <xm:sqref>BE95</xm:sqref>
            </x14:sparkline>
            <x14:sparkline>
              <xm:f>'BZ by State 2nd Crop'!Y96:AY96</xm:f>
              <xm:sqref>BE96</xm:sqref>
            </x14:sparkline>
            <x14:sparkline>
              <xm:f>'BZ by State 2nd Crop'!Y97:AY97</xm:f>
              <xm:sqref>BE97</xm:sqref>
            </x14:sparkline>
            <x14:sparkline>
              <xm:f>'BZ by State 2nd Crop'!Y98:AY98</xm:f>
              <xm:sqref>BE98</xm:sqref>
            </x14:sparkline>
            <x14:sparkline>
              <xm:f>'BZ by State 2nd Crop'!Y99:AY99</xm:f>
              <xm:sqref>BE99</xm:sqref>
            </x14:sparkline>
            <x14:sparkline>
              <xm:f>'BZ by State 2nd Crop'!Y100:AY100</xm:f>
              <xm:sqref>BE100</xm:sqref>
            </x14:sparkline>
            <x14:sparkline>
              <xm:f>'BZ by State 2nd Crop'!Y101:AY101</xm:f>
              <xm:sqref>BE101</xm:sqref>
            </x14:sparkline>
            <x14:sparkline>
              <xm:f>'BZ by State 2nd Crop'!Y102:AY102</xm:f>
              <xm:sqref>BE102</xm:sqref>
            </x14:sparkline>
            <x14:sparkline>
              <xm:f>'BZ by State 2nd Crop'!Y103:AY103</xm:f>
              <xm:sqref>BE103</xm:sqref>
            </x14:sparkline>
            <x14:sparkline>
              <xm:f>'BZ by State 2nd Crop'!Y104:AY104</xm:f>
              <xm:sqref>BE104</xm:sqref>
            </x14:sparkline>
            <x14:sparkline>
              <xm:f>'BZ by State 2nd Crop'!Y105:AY105</xm:f>
              <xm:sqref>BE105</xm:sqref>
            </x14:sparkline>
            <x14:sparkline>
              <xm:f>'BZ by State 2nd Crop'!Y106:AY106</xm:f>
              <xm:sqref>BE106</xm:sqref>
            </x14:sparkline>
            <x14:sparkline>
              <xm:f>'BZ by State 2nd Crop'!Y107:AY107</xm:f>
              <xm:sqref>BE107</xm:sqref>
            </x14:sparkline>
            <x14:sparkline>
              <xm:f>'BZ by State 2nd Crop'!Y108:AY108</xm:f>
              <xm:sqref>BE108</xm:sqref>
            </x14:sparkline>
            <x14:sparkline>
              <xm:f>'BZ by State 2nd Crop'!Y109:AY109</xm:f>
              <xm:sqref>BE109</xm:sqref>
            </x14:sparkline>
            <x14:sparkline>
              <xm:f>'BZ by State 2nd Crop'!Y110:AY110</xm:f>
              <xm:sqref>BE110</xm:sqref>
            </x14:sparkline>
            <x14:sparkline>
              <xm:f>'BZ by State 2nd Crop'!Y111:AY111</xm:f>
              <xm:sqref>BE111</xm:sqref>
            </x14:sparkline>
            <x14:sparkline>
              <xm:f>'BZ by State 2nd Crop'!Y112:AY112</xm:f>
              <xm:sqref>BE112</xm:sqref>
            </x14:sparkline>
            <x14:sparkline>
              <xm:f>'BZ by State 2nd Crop'!Y113:AY113</xm:f>
              <xm:sqref>BE113</xm:sqref>
            </x14:sparkline>
            <x14:sparkline>
              <xm:f>'BZ by State 2nd Crop'!Y114:AY114</xm:f>
              <xm:sqref>BE114</xm:sqref>
            </x14:sparkline>
            <x14:sparkline>
              <xm:f>'BZ by State 2nd Crop'!Y115:AY115</xm:f>
              <xm:sqref>BE115</xm:sqref>
            </x14:sparkline>
            <x14:sparkline>
              <xm:f>'BZ by State 2nd Crop'!Y116:AY116</xm:f>
              <xm:sqref>BE116</xm:sqref>
            </x14:sparkline>
            <x14:sparkline>
              <xm:f>'BZ by State 2nd Crop'!Y117:AY117</xm:f>
              <xm:sqref>BE117</xm:sqref>
            </x14:sparkline>
            <x14:sparkline>
              <xm:f>'BZ by State 2nd Crop'!Y118:AY118</xm:f>
              <xm:sqref>BE118</xm:sqref>
            </x14:sparkline>
            <x14:sparkline>
              <xm:f>'BZ by State 2nd Crop'!Y119:AY119</xm:f>
              <xm:sqref>BE119</xm:sqref>
            </x14:sparkline>
            <x14:sparkline>
              <xm:f>'BZ by State 2nd Crop'!Y120:AY120</xm:f>
              <xm:sqref>BE120</xm:sqref>
            </x14:sparkline>
            <x14:sparkline>
              <xm:f>'BZ by State 2nd Crop'!Y121:AY121</xm:f>
              <xm:sqref>BE121</xm:sqref>
            </x14:sparkline>
            <x14:sparkline>
              <xm:f>'BZ by State 2nd Crop'!Y122:AY122</xm:f>
              <xm:sqref>BE122</xm:sqref>
            </x14:sparkline>
            <x14:sparkline>
              <xm:f>'BZ by State 2nd Crop'!Y123:AY123</xm:f>
              <xm:sqref>BE123</xm:sqref>
            </x14:sparkline>
            <x14:sparkline>
              <xm:f>'BZ by State 2nd Crop'!Y124:AY124</xm:f>
              <xm:sqref>BE124</xm:sqref>
            </x14:sparkline>
            <x14:sparkline>
              <xm:f>'BZ by State 2nd Crop'!Y125:AY125</xm:f>
              <xm:sqref>BE125</xm:sqref>
            </x14:sparkline>
            <x14:sparkline>
              <xm:f>'BZ by State 2nd Crop'!Y126:AY126</xm:f>
              <xm:sqref>BE126</xm:sqref>
            </x14:sparkline>
            <x14:sparkline>
              <xm:f>'BZ by State 2nd Crop'!Y127:AY127</xm:f>
              <xm:sqref>BE127</xm:sqref>
            </x14:sparkline>
            <x14:sparkline>
              <xm:f>'BZ by State 2nd Crop'!Y128:AY128</xm:f>
              <xm:sqref>BE128</xm:sqref>
            </x14:sparkline>
            <x14:sparkline>
              <xm:f>'BZ by State 2nd Crop'!Y129:AY129</xm:f>
              <xm:sqref>BE129</xm:sqref>
            </x14:sparkline>
            <x14:sparkline>
              <xm:f>'BZ by State 2nd Crop'!Y130:AY130</xm:f>
              <xm:sqref>BE130</xm:sqref>
            </x14:sparkline>
            <x14:sparkline>
              <xm:f>'BZ by State 2nd Crop'!Y131:AY131</xm:f>
              <xm:sqref>BE131</xm:sqref>
            </x14:sparkline>
            <x14:sparkline>
              <xm:f>'BZ by State 2nd Crop'!Y132:AY132</xm:f>
              <xm:sqref>BE132</xm:sqref>
            </x14:sparkline>
            <x14:sparkline>
              <xm:f>'BZ by State 2nd Crop'!Y133:AY133</xm:f>
              <xm:sqref>BE133</xm:sqref>
            </x14:sparkline>
            <x14:sparkline>
              <xm:f>'BZ by State 2nd Crop'!Y134:AY134</xm:f>
              <xm:sqref>BE134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8D3A-4912-4A72-90CA-9F63C9569A16}">
  <dimension ref="A1:BK999"/>
  <sheetViews>
    <sheetView zoomScale="87" zoomScaleNormal="87" workbookViewId="0">
      <pane xSplit="1" ySplit="3" topLeftCell="B122" activePane="bottomRight" state="frozen"/>
      <selection pane="topRight" activeCell="B1" sqref="B1"/>
      <selection pane="bottomLeft" activeCell="A4" sqref="A4"/>
      <selection pane="bottomRight" activeCell="BF131" sqref="BF131"/>
    </sheetView>
  </sheetViews>
  <sheetFormatPr defaultColWidth="8.85546875" defaultRowHeight="15" customHeight="1"/>
  <cols>
    <col min="1" max="1" width="34.42578125" style="309" bestFit="1" customWidth="1"/>
    <col min="2" max="2" width="12.85546875" style="309" customWidth="1"/>
    <col min="3" max="32" width="12.85546875" style="309" hidden="1" customWidth="1"/>
    <col min="33" max="45" width="13" style="309" hidden="1" customWidth="1"/>
    <col min="46" max="48" width="13.140625" style="309" bestFit="1" customWidth="1"/>
    <col min="49" max="50" width="12.85546875" style="309" customWidth="1"/>
    <col min="51" max="53" width="13.42578125" style="309" customWidth="1"/>
    <col min="54" max="56" width="14.140625" style="309" customWidth="1"/>
    <col min="57" max="57" width="8.85546875" style="309"/>
    <col min="59" max="59" width="71.42578125" style="308" customWidth="1"/>
    <col min="60" max="60" width="14.85546875" style="309" bestFit="1" customWidth="1"/>
    <col min="61" max="61" width="9" style="309" bestFit="1" customWidth="1"/>
    <col min="62" max="16384" width="8.85546875" style="309"/>
  </cols>
  <sheetData>
    <row r="1" spans="1:63" ht="26.1" customHeight="1">
      <c r="A1" s="307" t="s">
        <v>305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  <c r="AN1" s="349"/>
      <c r="AO1" s="349"/>
      <c r="AP1" s="349"/>
      <c r="AQ1" s="349"/>
      <c r="AR1" s="349"/>
      <c r="AS1" s="349"/>
      <c r="AT1" s="349"/>
      <c r="AU1" s="349"/>
      <c r="AV1" s="349"/>
      <c r="AW1" s="349"/>
      <c r="AX1" s="349"/>
      <c r="AY1" s="349"/>
      <c r="AZ1" s="349"/>
      <c r="BA1" s="349"/>
      <c r="BB1" s="390" t="s">
        <v>306</v>
      </c>
      <c r="BC1" s="390" t="s">
        <v>307</v>
      </c>
      <c r="BD1" s="391" t="s">
        <v>308</v>
      </c>
      <c r="BE1" s="392" t="s">
        <v>309</v>
      </c>
      <c r="BF1" s="393" t="s">
        <v>310</v>
      </c>
    </row>
    <row r="2" spans="1:63" ht="16.5" customHeight="1" thickBot="1">
      <c r="A2" s="310" t="s">
        <v>311</v>
      </c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  <c r="AE2" s="349"/>
      <c r="AF2" s="349"/>
      <c r="AG2" s="349"/>
      <c r="AH2" s="349"/>
      <c r="AI2" s="349"/>
      <c r="AJ2" s="349"/>
      <c r="AK2" s="349"/>
      <c r="AL2" s="349"/>
      <c r="AM2" s="349"/>
      <c r="AN2" s="349"/>
      <c r="AO2" s="349"/>
      <c r="AP2" s="349"/>
      <c r="AQ2" s="349"/>
      <c r="AR2" s="349"/>
      <c r="AS2" s="349"/>
      <c r="AT2" s="349"/>
      <c r="AU2" s="349"/>
      <c r="AV2" s="349"/>
      <c r="AW2" s="349"/>
      <c r="AX2" s="349"/>
      <c r="AY2" s="389" t="s">
        <v>312</v>
      </c>
      <c r="AZ2" s="389"/>
      <c r="BA2" s="389"/>
      <c r="BB2" s="390"/>
      <c r="BC2" s="390"/>
      <c r="BD2" s="391"/>
      <c r="BE2" s="392"/>
      <c r="BF2" s="393"/>
      <c r="BH2" s="311"/>
      <c r="BI2" s="311"/>
      <c r="BJ2" s="311"/>
      <c r="BK2" s="311"/>
    </row>
    <row r="3" spans="1:63" ht="15.75" thickBot="1">
      <c r="A3" s="312" t="s">
        <v>313</v>
      </c>
      <c r="B3" s="313" t="s">
        <v>314</v>
      </c>
      <c r="C3" s="313" t="s">
        <v>315</v>
      </c>
      <c r="D3" s="313" t="s">
        <v>316</v>
      </c>
      <c r="E3" s="313" t="s">
        <v>317</v>
      </c>
      <c r="F3" s="313" t="s">
        <v>318</v>
      </c>
      <c r="G3" s="313" t="s">
        <v>319</v>
      </c>
      <c r="H3" s="313" t="s">
        <v>320</v>
      </c>
      <c r="I3" s="313" t="s">
        <v>321</v>
      </c>
      <c r="J3" s="313" t="s">
        <v>322</v>
      </c>
      <c r="K3" s="313" t="s">
        <v>323</v>
      </c>
      <c r="L3" s="313" t="s">
        <v>324</v>
      </c>
      <c r="M3" s="313" t="s">
        <v>325</v>
      </c>
      <c r="N3" s="313" t="s">
        <v>326</v>
      </c>
      <c r="O3" s="313" t="s">
        <v>327</v>
      </c>
      <c r="P3" s="313" t="s">
        <v>328</v>
      </c>
      <c r="Q3" s="313" t="s">
        <v>329</v>
      </c>
      <c r="R3" s="313" t="s">
        <v>330</v>
      </c>
      <c r="S3" s="313" t="s">
        <v>331</v>
      </c>
      <c r="T3" s="313" t="s">
        <v>332</v>
      </c>
      <c r="U3" s="313" t="s">
        <v>333</v>
      </c>
      <c r="V3" s="313" t="s">
        <v>334</v>
      </c>
      <c r="W3" s="313" t="s">
        <v>335</v>
      </c>
      <c r="X3" s="313" t="s">
        <v>336</v>
      </c>
      <c r="Y3" s="313" t="s">
        <v>337</v>
      </c>
      <c r="Z3" s="313" t="s">
        <v>338</v>
      </c>
      <c r="AA3" s="313" t="s">
        <v>339</v>
      </c>
      <c r="AB3" s="313" t="s">
        <v>340</v>
      </c>
      <c r="AC3" s="313" t="s">
        <v>341</v>
      </c>
      <c r="AD3" s="313" t="s">
        <v>342</v>
      </c>
      <c r="AE3" s="314" t="s">
        <v>343</v>
      </c>
      <c r="AF3" s="314" t="s">
        <v>344</v>
      </c>
      <c r="AG3" s="314" t="s">
        <v>345</v>
      </c>
      <c r="AH3" s="314" t="s">
        <v>346</v>
      </c>
      <c r="AI3" s="314" t="s">
        <v>347</v>
      </c>
      <c r="AJ3" s="314" t="s">
        <v>146</v>
      </c>
      <c r="AK3" s="314" t="s">
        <v>147</v>
      </c>
      <c r="AL3" s="314" t="s">
        <v>148</v>
      </c>
      <c r="AM3" s="314" t="s">
        <v>149</v>
      </c>
      <c r="AN3" s="314" t="s">
        <v>150</v>
      </c>
      <c r="AO3" s="314" t="s">
        <v>151</v>
      </c>
      <c r="AP3" s="314" t="s">
        <v>152</v>
      </c>
      <c r="AQ3" s="314" t="s">
        <v>153</v>
      </c>
      <c r="AR3" s="314" t="s">
        <v>154</v>
      </c>
      <c r="AS3" s="314" t="s">
        <v>155</v>
      </c>
      <c r="AT3" s="314" t="s">
        <v>156</v>
      </c>
      <c r="AU3" s="314" t="s">
        <v>157</v>
      </c>
      <c r="AV3" s="314" t="s">
        <v>158</v>
      </c>
      <c r="AW3" s="314" t="s">
        <v>159</v>
      </c>
      <c r="AX3" s="314" t="s">
        <v>160</v>
      </c>
      <c r="AY3" s="315" t="s">
        <v>348</v>
      </c>
      <c r="AZ3" s="316" t="s">
        <v>349</v>
      </c>
      <c r="BA3" s="348" t="s">
        <v>350</v>
      </c>
      <c r="BB3" s="390"/>
      <c r="BC3" s="390"/>
      <c r="BD3" s="391"/>
      <c r="BE3" s="392"/>
      <c r="BF3" s="393"/>
      <c r="BG3" s="317" t="s">
        <v>351</v>
      </c>
    </row>
    <row r="4" spans="1:63" ht="15" customHeight="1">
      <c r="A4" s="318" t="s">
        <v>352</v>
      </c>
      <c r="B4" s="344">
        <f>B8+B12+B16+B20+B24+B28+B32</f>
        <v>0</v>
      </c>
      <c r="C4" s="344">
        <f t="shared" ref="C4:AY4" si="0">C8+C12+C16+C20+C24+C28+C32</f>
        <v>0</v>
      </c>
      <c r="D4" s="344">
        <f t="shared" si="0"/>
        <v>0</v>
      </c>
      <c r="E4" s="344">
        <f t="shared" si="0"/>
        <v>0</v>
      </c>
      <c r="F4" s="344">
        <f t="shared" si="0"/>
        <v>0</v>
      </c>
      <c r="G4" s="344">
        <f t="shared" si="0"/>
        <v>0</v>
      </c>
      <c r="H4" s="344">
        <f t="shared" si="0"/>
        <v>0</v>
      </c>
      <c r="I4" s="344">
        <f t="shared" si="0"/>
        <v>0</v>
      </c>
      <c r="J4" s="344">
        <f t="shared" si="0"/>
        <v>0</v>
      </c>
      <c r="K4" s="344">
        <f t="shared" si="0"/>
        <v>0</v>
      </c>
      <c r="L4" s="344">
        <f t="shared" si="0"/>
        <v>0</v>
      </c>
      <c r="M4" s="344">
        <f t="shared" si="0"/>
        <v>0</v>
      </c>
      <c r="N4" s="344">
        <f t="shared" si="0"/>
        <v>0</v>
      </c>
      <c r="O4" s="344">
        <f t="shared" si="0"/>
        <v>0</v>
      </c>
      <c r="P4" s="344">
        <f t="shared" si="0"/>
        <v>0</v>
      </c>
      <c r="Q4" s="344">
        <f t="shared" si="0"/>
        <v>0</v>
      </c>
      <c r="R4" s="344">
        <f t="shared" si="0"/>
        <v>0</v>
      </c>
      <c r="S4" s="344">
        <f t="shared" si="0"/>
        <v>0</v>
      </c>
      <c r="T4" s="344">
        <f t="shared" si="0"/>
        <v>0</v>
      </c>
      <c r="U4" s="344">
        <f t="shared" si="0"/>
        <v>0</v>
      </c>
      <c r="V4" s="344">
        <f t="shared" si="0"/>
        <v>0</v>
      </c>
      <c r="W4" s="344">
        <f t="shared" si="0"/>
        <v>0</v>
      </c>
      <c r="X4" s="344">
        <f t="shared" si="0"/>
        <v>0</v>
      </c>
      <c r="Y4" s="344">
        <f t="shared" si="0"/>
        <v>0</v>
      </c>
      <c r="Z4" s="344">
        <f t="shared" si="0"/>
        <v>0</v>
      </c>
      <c r="AA4" s="344">
        <f t="shared" si="0"/>
        <v>0</v>
      </c>
      <c r="AB4" s="344">
        <f t="shared" si="0"/>
        <v>0</v>
      </c>
      <c r="AC4" s="344">
        <f t="shared" si="0"/>
        <v>0</v>
      </c>
      <c r="AD4" s="344">
        <f t="shared" si="0"/>
        <v>0</v>
      </c>
      <c r="AE4" s="344">
        <f t="shared" si="0"/>
        <v>0</v>
      </c>
      <c r="AF4" s="344">
        <f t="shared" si="0"/>
        <v>0</v>
      </c>
      <c r="AG4" s="344">
        <f t="shared" si="0"/>
        <v>0</v>
      </c>
      <c r="AH4" s="344">
        <f t="shared" si="0"/>
        <v>0</v>
      </c>
      <c r="AI4" s="344">
        <f t="shared" si="0"/>
        <v>0</v>
      </c>
      <c r="AJ4" s="344">
        <f t="shared" si="0"/>
        <v>0</v>
      </c>
      <c r="AK4" s="344">
        <f t="shared" si="0"/>
        <v>0</v>
      </c>
      <c r="AL4" s="344">
        <f t="shared" si="0"/>
        <v>0</v>
      </c>
      <c r="AM4" s="344">
        <f t="shared" si="0"/>
        <v>0</v>
      </c>
      <c r="AN4" s="344">
        <f t="shared" si="0"/>
        <v>0</v>
      </c>
      <c r="AO4" s="344">
        <f t="shared" si="0"/>
        <v>0</v>
      </c>
      <c r="AP4" s="344">
        <f t="shared" si="0"/>
        <v>0</v>
      </c>
      <c r="AQ4" s="344">
        <f t="shared" si="0"/>
        <v>0</v>
      </c>
      <c r="AR4" s="344">
        <f t="shared" si="0"/>
        <v>13</v>
      </c>
      <c r="AS4" s="344">
        <f t="shared" si="0"/>
        <v>16.399999999999999</v>
      </c>
      <c r="AT4" s="344">
        <f t="shared" si="0"/>
        <v>16.3</v>
      </c>
      <c r="AU4" s="344">
        <f t="shared" si="0"/>
        <v>17.5</v>
      </c>
      <c r="AV4" s="344">
        <f t="shared" si="0"/>
        <v>11.8</v>
      </c>
      <c r="AW4" s="344">
        <f>AW8+AW12+AW16+AW20+AW24+AW28+AW32</f>
        <v>11.3</v>
      </c>
      <c r="AX4" s="344">
        <f t="shared" si="0"/>
        <v>22</v>
      </c>
      <c r="AY4" s="369">
        <f t="shared" si="0"/>
        <v>22</v>
      </c>
      <c r="AZ4" s="366">
        <f>AZ8+AZ12+AZ16+AZ20+AZ24+AZ28+AZ32</f>
        <v>22</v>
      </c>
      <c r="BA4" s="373">
        <f>AZ4-AY4</f>
        <v>0</v>
      </c>
      <c r="BB4" s="374">
        <f>AY4-AX4</f>
        <v>0</v>
      </c>
      <c r="BC4" s="375">
        <f>AZ4-AX4</f>
        <v>0</v>
      </c>
      <c r="BD4" s="350">
        <f t="shared" ref="BD4:BD66" si="1">IFERROR((AX4/AS4)^(1/5)-1,0)</f>
        <v>6.0512438341298491E-2</v>
      </c>
      <c r="BF4" s="319" t="b">
        <v>0</v>
      </c>
      <c r="BH4" s="311"/>
      <c r="BI4" s="311"/>
      <c r="BJ4" s="311"/>
      <c r="BK4" s="311"/>
    </row>
    <row r="5" spans="1:63" ht="15" customHeight="1">
      <c r="A5" s="318" t="s">
        <v>353</v>
      </c>
      <c r="B5" s="345" t="e">
        <f>B6/B4*1000</f>
        <v>#DIV/0!</v>
      </c>
      <c r="C5" s="345" t="e">
        <f t="shared" ref="C5:AY5" si="2">C6/C4*1000</f>
        <v>#DIV/0!</v>
      </c>
      <c r="D5" s="345" t="e">
        <f t="shared" si="2"/>
        <v>#DIV/0!</v>
      </c>
      <c r="E5" s="345" t="e">
        <f t="shared" si="2"/>
        <v>#DIV/0!</v>
      </c>
      <c r="F5" s="345" t="e">
        <f t="shared" si="2"/>
        <v>#DIV/0!</v>
      </c>
      <c r="G5" s="345" t="e">
        <f t="shared" si="2"/>
        <v>#DIV/0!</v>
      </c>
      <c r="H5" s="345" t="e">
        <f t="shared" si="2"/>
        <v>#DIV/0!</v>
      </c>
      <c r="I5" s="345" t="e">
        <f t="shared" si="2"/>
        <v>#DIV/0!</v>
      </c>
      <c r="J5" s="345" t="e">
        <f t="shared" si="2"/>
        <v>#DIV/0!</v>
      </c>
      <c r="K5" s="345" t="e">
        <f t="shared" si="2"/>
        <v>#DIV/0!</v>
      </c>
      <c r="L5" s="345" t="e">
        <f t="shared" si="2"/>
        <v>#DIV/0!</v>
      </c>
      <c r="M5" s="345" t="e">
        <f t="shared" si="2"/>
        <v>#DIV/0!</v>
      </c>
      <c r="N5" s="345" t="e">
        <f t="shared" si="2"/>
        <v>#DIV/0!</v>
      </c>
      <c r="O5" s="345" t="e">
        <f t="shared" si="2"/>
        <v>#DIV/0!</v>
      </c>
      <c r="P5" s="345" t="e">
        <f t="shared" si="2"/>
        <v>#DIV/0!</v>
      </c>
      <c r="Q5" s="345" t="e">
        <f t="shared" si="2"/>
        <v>#DIV/0!</v>
      </c>
      <c r="R5" s="345" t="e">
        <f t="shared" si="2"/>
        <v>#DIV/0!</v>
      </c>
      <c r="S5" s="345" t="e">
        <f t="shared" si="2"/>
        <v>#DIV/0!</v>
      </c>
      <c r="T5" s="345" t="e">
        <f t="shared" si="2"/>
        <v>#DIV/0!</v>
      </c>
      <c r="U5" s="345" t="e">
        <f t="shared" si="2"/>
        <v>#DIV/0!</v>
      </c>
      <c r="V5" s="345" t="e">
        <f t="shared" si="2"/>
        <v>#DIV/0!</v>
      </c>
      <c r="W5" s="345" t="e">
        <f t="shared" si="2"/>
        <v>#DIV/0!</v>
      </c>
      <c r="X5" s="345" t="e">
        <f t="shared" si="2"/>
        <v>#DIV/0!</v>
      </c>
      <c r="Y5" s="345" t="e">
        <f t="shared" si="2"/>
        <v>#DIV/0!</v>
      </c>
      <c r="Z5" s="345" t="e">
        <f t="shared" si="2"/>
        <v>#DIV/0!</v>
      </c>
      <c r="AA5" s="345" t="e">
        <f t="shared" si="2"/>
        <v>#DIV/0!</v>
      </c>
      <c r="AB5" s="345" t="e">
        <f t="shared" si="2"/>
        <v>#DIV/0!</v>
      </c>
      <c r="AC5" s="345" t="e">
        <f t="shared" si="2"/>
        <v>#DIV/0!</v>
      </c>
      <c r="AD5" s="345" t="e">
        <f t="shared" si="2"/>
        <v>#DIV/0!</v>
      </c>
      <c r="AE5" s="345" t="e">
        <f t="shared" si="2"/>
        <v>#DIV/0!</v>
      </c>
      <c r="AF5" s="345" t="e">
        <f t="shared" si="2"/>
        <v>#DIV/0!</v>
      </c>
      <c r="AG5" s="345" t="e">
        <f t="shared" si="2"/>
        <v>#DIV/0!</v>
      </c>
      <c r="AH5" s="345" t="e">
        <f t="shared" si="2"/>
        <v>#DIV/0!</v>
      </c>
      <c r="AI5" s="345" t="e">
        <f t="shared" si="2"/>
        <v>#DIV/0!</v>
      </c>
      <c r="AJ5" s="345" t="e">
        <f t="shared" si="2"/>
        <v>#DIV/0!</v>
      </c>
      <c r="AK5" s="345" t="e">
        <f t="shared" si="2"/>
        <v>#DIV/0!</v>
      </c>
      <c r="AL5" s="345" t="e">
        <f t="shared" si="2"/>
        <v>#DIV/0!</v>
      </c>
      <c r="AM5" s="345" t="e">
        <f t="shared" si="2"/>
        <v>#DIV/0!</v>
      </c>
      <c r="AN5" s="345" t="e">
        <f t="shared" si="2"/>
        <v>#DIV/0!</v>
      </c>
      <c r="AO5" s="345" t="e">
        <f t="shared" si="2"/>
        <v>#DIV/0!</v>
      </c>
      <c r="AP5" s="345" t="e">
        <f t="shared" si="2"/>
        <v>#DIV/0!</v>
      </c>
      <c r="AQ5" s="345" t="e">
        <f t="shared" si="2"/>
        <v>#DIV/0!</v>
      </c>
      <c r="AR5" s="345">
        <f t="shared" si="2"/>
        <v>434400</v>
      </c>
      <c r="AS5" s="345">
        <f t="shared" si="2"/>
        <v>372841.46341463417</v>
      </c>
      <c r="AT5" s="345">
        <f t="shared" si="2"/>
        <v>5593.6503067484664</v>
      </c>
      <c r="AU5" s="345">
        <f t="shared" si="2"/>
        <v>5277.7142857142853</v>
      </c>
      <c r="AV5" s="345">
        <f t="shared" si="2"/>
        <v>5348.4745762711855</v>
      </c>
      <c r="AW5" s="345">
        <f t="shared" si="2"/>
        <v>4977.6194690265493</v>
      </c>
      <c r="AX5" s="345">
        <f t="shared" si="2"/>
        <v>5542.636363636364</v>
      </c>
      <c r="AY5" s="346">
        <f t="shared" si="2"/>
        <v>5543.363636363636</v>
      </c>
      <c r="AZ5" s="347">
        <f>AZ6/AZ4*1000</f>
        <v>5543.363636363636</v>
      </c>
      <c r="BA5" s="347">
        <f>AZ5-AY5</f>
        <v>0</v>
      </c>
      <c r="BB5" s="351">
        <f t="shared" ref="BB5:BB6" si="3">AY5-AX5</f>
        <v>0.72727272727206582</v>
      </c>
      <c r="BC5" s="352">
        <f t="shared" ref="BC5:BC6" si="4">AZ5-AX5</f>
        <v>0.72727272727206582</v>
      </c>
      <c r="BD5" s="353">
        <f t="shared" si="1"/>
        <v>-0.5690385372938811</v>
      </c>
    </row>
    <row r="6" spans="1:63" ht="15" customHeight="1">
      <c r="A6" s="318" t="s">
        <v>354</v>
      </c>
      <c r="B6" s="344">
        <f>B10+B14+B18+B22+B26+B30+B34</f>
        <v>0</v>
      </c>
      <c r="C6" s="344">
        <f t="shared" ref="C6:AY6" si="5">C10+C14+C18+C22+C26+C30+C34</f>
        <v>327</v>
      </c>
      <c r="D6" s="344">
        <f t="shared" si="5"/>
        <v>321</v>
      </c>
      <c r="E6" s="344">
        <f t="shared" si="5"/>
        <v>654</v>
      </c>
      <c r="F6" s="344">
        <f t="shared" si="5"/>
        <v>687</v>
      </c>
      <c r="G6" s="344">
        <f t="shared" si="5"/>
        <v>820</v>
      </c>
      <c r="H6" s="344">
        <f t="shared" si="5"/>
        <v>585</v>
      </c>
      <c r="I6" s="344">
        <f t="shared" si="5"/>
        <v>988</v>
      </c>
      <c r="J6" s="344">
        <f t="shared" si="5"/>
        <v>882</v>
      </c>
      <c r="K6" s="344">
        <f t="shared" si="5"/>
        <v>1146</v>
      </c>
      <c r="L6" s="344">
        <f t="shared" si="5"/>
        <v>1080</v>
      </c>
      <c r="M6" s="344">
        <f t="shared" si="5"/>
        <v>1226</v>
      </c>
      <c r="N6" s="344">
        <f t="shared" si="5"/>
        <v>1307</v>
      </c>
      <c r="O6" s="344">
        <f t="shared" si="5"/>
        <v>1233</v>
      </c>
      <c r="P6" s="344">
        <f t="shared" si="5"/>
        <v>1231.8999999999999</v>
      </c>
      <c r="Q6" s="344">
        <f t="shared" si="5"/>
        <v>1589.6</v>
      </c>
      <c r="R6" s="344">
        <f t="shared" si="5"/>
        <v>1797.8</v>
      </c>
      <c r="S6" s="344">
        <f t="shared" si="5"/>
        <v>2333.6</v>
      </c>
      <c r="T6" s="344">
        <f t="shared" si="5"/>
        <v>2305</v>
      </c>
      <c r="U6" s="344">
        <f t="shared" si="5"/>
        <v>2335.6</v>
      </c>
      <c r="V6" s="344">
        <f t="shared" si="5"/>
        <v>2334.4</v>
      </c>
      <c r="W6" s="344">
        <f t="shared" si="5"/>
        <v>1601.9999999999998</v>
      </c>
      <c r="X6" s="344">
        <f t="shared" si="5"/>
        <v>1322.7</v>
      </c>
      <c r="Y6" s="344">
        <f t="shared" si="5"/>
        <v>1365.9</v>
      </c>
      <c r="Z6" s="344">
        <f t="shared" si="5"/>
        <v>1254.3</v>
      </c>
      <c r="AA6" s="344">
        <f t="shared" si="5"/>
        <v>1104.5999999999999</v>
      </c>
      <c r="AB6" s="344">
        <f t="shared" si="5"/>
        <v>1146.7</v>
      </c>
      <c r="AC6" s="344">
        <f t="shared" si="5"/>
        <v>1695.6999999999998</v>
      </c>
      <c r="AD6" s="344">
        <f t="shared" si="5"/>
        <v>1632.8</v>
      </c>
      <c r="AE6" s="344">
        <f t="shared" si="5"/>
        <v>1741.6000000000001</v>
      </c>
      <c r="AF6" s="344">
        <f t="shared" si="5"/>
        <v>1838.8000000000002</v>
      </c>
      <c r="AG6" s="344">
        <f t="shared" si="5"/>
        <v>2316.2000000000003</v>
      </c>
      <c r="AH6" s="344">
        <f t="shared" si="5"/>
        <v>1977.1999999999998</v>
      </c>
      <c r="AI6" s="344">
        <f t="shared" si="5"/>
        <v>2258</v>
      </c>
      <c r="AJ6" s="344">
        <f t="shared" si="5"/>
        <v>2118.4</v>
      </c>
      <c r="AK6" s="344">
        <f t="shared" si="5"/>
        <v>2735.2</v>
      </c>
      <c r="AL6" s="344">
        <f t="shared" si="5"/>
        <v>3022.6</v>
      </c>
      <c r="AM6" s="344">
        <f t="shared" si="5"/>
        <v>2738.7</v>
      </c>
      <c r="AN6" s="344">
        <f t="shared" si="5"/>
        <v>3923.2</v>
      </c>
      <c r="AO6" s="344">
        <f t="shared" si="5"/>
        <v>3936.8</v>
      </c>
      <c r="AP6" s="344">
        <f t="shared" si="5"/>
        <v>4815.6000000000004</v>
      </c>
      <c r="AQ6" s="344">
        <f t="shared" si="5"/>
        <v>4501</v>
      </c>
      <c r="AR6" s="344">
        <f t="shared" si="5"/>
        <v>5647.2</v>
      </c>
      <c r="AS6" s="344">
        <f t="shared" si="5"/>
        <v>6114.6</v>
      </c>
      <c r="AT6" s="344">
        <f t="shared" si="5"/>
        <v>91.176500000000004</v>
      </c>
      <c r="AU6" s="344">
        <f t="shared" si="5"/>
        <v>92.36</v>
      </c>
      <c r="AV6" s="344">
        <f t="shared" si="5"/>
        <v>63.111999999999995</v>
      </c>
      <c r="AW6" s="344">
        <f t="shared" si="5"/>
        <v>56.247100000000003</v>
      </c>
      <c r="AX6" s="344">
        <f t="shared" si="5"/>
        <v>121.938</v>
      </c>
      <c r="AY6" s="365">
        <f t="shared" si="5"/>
        <v>121.95399999999999</v>
      </c>
      <c r="AZ6" s="366">
        <f>AZ10+AZ14+AZ18+AZ22+AZ26+AZ30+AZ34</f>
        <v>121.95399999999999</v>
      </c>
      <c r="BA6" s="366">
        <f>AZ6-AY6</f>
        <v>0</v>
      </c>
      <c r="BB6" s="367">
        <f t="shared" si="3"/>
        <v>1.5999999999991132E-2</v>
      </c>
      <c r="BC6" s="368">
        <f t="shared" si="4"/>
        <v>1.5999999999991132E-2</v>
      </c>
      <c r="BD6" s="353">
        <f t="shared" si="1"/>
        <v>-0.54296000835440128</v>
      </c>
      <c r="BH6" s="311"/>
      <c r="BI6" s="311"/>
      <c r="BJ6" s="311"/>
      <c r="BK6" s="311"/>
    </row>
    <row r="7" spans="1:63" s="311" customFormat="1" ht="15" customHeight="1">
      <c r="A7" s="320" t="s">
        <v>355</v>
      </c>
      <c r="B7" s="354"/>
      <c r="C7" s="354"/>
      <c r="D7" s="354"/>
      <c r="E7" s="354"/>
      <c r="F7" s="354"/>
      <c r="G7" s="354"/>
      <c r="H7" s="354"/>
      <c r="I7" s="354"/>
      <c r="J7" s="354"/>
      <c r="K7" s="354"/>
      <c r="L7" s="354"/>
      <c r="M7" s="354"/>
      <c r="N7" s="354"/>
      <c r="O7" s="354"/>
      <c r="P7" s="354"/>
      <c r="Q7" s="354"/>
      <c r="R7" s="354"/>
      <c r="S7" s="354"/>
      <c r="T7" s="354"/>
      <c r="U7" s="354"/>
      <c r="V7" s="354"/>
      <c r="W7" s="354"/>
      <c r="X7" s="354"/>
      <c r="Y7" s="354"/>
      <c r="Z7" s="354"/>
      <c r="AA7" s="354"/>
      <c r="AB7" s="354"/>
      <c r="AC7" s="354"/>
      <c r="AD7" s="354"/>
      <c r="AE7" s="354"/>
      <c r="AF7" s="354"/>
      <c r="AG7" s="354"/>
      <c r="AH7" s="354"/>
      <c r="AI7" s="354"/>
      <c r="AJ7" s="354"/>
      <c r="AK7" s="354"/>
      <c r="AL7" s="354"/>
      <c r="AM7" s="354"/>
      <c r="AN7" s="354"/>
      <c r="AO7" s="354"/>
      <c r="AP7" s="354"/>
      <c r="AQ7" s="354"/>
      <c r="AR7" s="354"/>
      <c r="AS7" s="354"/>
      <c r="AT7" s="322"/>
      <c r="AU7" s="322"/>
      <c r="AV7" s="322"/>
      <c r="AW7" s="322"/>
      <c r="AX7" s="328"/>
      <c r="AY7" s="321"/>
      <c r="AZ7" s="322"/>
      <c r="BA7" s="323"/>
      <c r="BB7" s="321"/>
      <c r="BC7" s="328"/>
      <c r="BD7" s="329"/>
      <c r="BE7" s="309"/>
      <c r="BF7"/>
      <c r="BG7" s="308"/>
      <c r="BH7" s="309"/>
      <c r="BI7" s="309"/>
      <c r="BJ7" s="309"/>
      <c r="BK7" s="309"/>
    </row>
    <row r="8" spans="1:63" ht="15" customHeight="1">
      <c r="A8" s="324" t="s">
        <v>352</v>
      </c>
      <c r="B8" s="344">
        <v>0</v>
      </c>
      <c r="C8" s="344"/>
      <c r="D8" s="344"/>
      <c r="E8" s="344"/>
      <c r="F8" s="344"/>
      <c r="G8" s="344"/>
      <c r="H8" s="344"/>
      <c r="I8" s="344"/>
      <c r="J8" s="344"/>
      <c r="K8" s="344"/>
      <c r="L8" s="344"/>
      <c r="M8" s="344"/>
      <c r="N8" s="344"/>
      <c r="O8" s="344"/>
      <c r="P8" s="344"/>
      <c r="Q8" s="344"/>
      <c r="R8" s="344"/>
      <c r="S8" s="344"/>
      <c r="T8" s="344"/>
      <c r="U8" s="344"/>
      <c r="V8" s="344"/>
      <c r="W8" s="344"/>
      <c r="X8" s="344"/>
      <c r="Y8" s="344"/>
      <c r="Z8" s="344"/>
      <c r="AA8" s="344"/>
      <c r="AB8" s="344"/>
      <c r="AC8" s="344"/>
      <c r="AD8" s="344"/>
      <c r="AE8" s="344"/>
      <c r="AF8" s="344"/>
      <c r="AG8" s="344"/>
      <c r="AH8" s="344"/>
      <c r="AI8" s="344"/>
      <c r="AJ8" s="344"/>
      <c r="AK8" s="344"/>
      <c r="AL8" s="344"/>
      <c r="AM8" s="344"/>
      <c r="AN8" s="344"/>
      <c r="AO8" s="344"/>
      <c r="AP8" s="344"/>
      <c r="AQ8" s="344"/>
      <c r="AR8" s="344">
        <v>13</v>
      </c>
      <c r="AS8" s="344">
        <v>15</v>
      </c>
      <c r="AT8" s="344">
        <v>15</v>
      </c>
      <c r="AU8" s="344">
        <v>15</v>
      </c>
      <c r="AV8" s="344">
        <v>9</v>
      </c>
      <c r="AW8" s="344">
        <v>9</v>
      </c>
      <c r="AX8" s="344">
        <v>20</v>
      </c>
      <c r="AY8" s="369">
        <v>20</v>
      </c>
      <c r="AZ8" s="366">
        <v>20</v>
      </c>
      <c r="BA8" s="366">
        <f>AZ8-AY8</f>
        <v>0</v>
      </c>
      <c r="BB8" s="367">
        <f>AY8-AX8</f>
        <v>0</v>
      </c>
      <c r="BC8" s="368">
        <f>AZ8-AX8</f>
        <v>0</v>
      </c>
      <c r="BD8" s="353">
        <f t="shared" si="1"/>
        <v>5.9223841048812176E-2</v>
      </c>
      <c r="BF8" s="319" t="b">
        <v>0</v>
      </c>
      <c r="BH8" s="311"/>
      <c r="BI8" s="311"/>
      <c r="BJ8" s="311"/>
      <c r="BK8" s="311"/>
    </row>
    <row r="9" spans="1:63" ht="15" customHeight="1">
      <c r="A9" s="324" t="s">
        <v>353</v>
      </c>
      <c r="B9" s="345">
        <v>0</v>
      </c>
      <c r="C9" s="345"/>
      <c r="D9" s="345"/>
      <c r="E9" s="345"/>
      <c r="F9" s="345"/>
      <c r="G9" s="345"/>
      <c r="H9" s="345"/>
      <c r="I9" s="345"/>
      <c r="J9" s="345"/>
      <c r="K9" s="345"/>
      <c r="L9" s="345"/>
      <c r="M9" s="345"/>
      <c r="N9" s="345"/>
      <c r="O9" s="345"/>
      <c r="P9" s="345"/>
      <c r="Q9" s="345"/>
      <c r="R9" s="345"/>
      <c r="S9" s="345"/>
      <c r="T9" s="345"/>
      <c r="U9" s="345"/>
      <c r="V9" s="345"/>
      <c r="W9" s="345"/>
      <c r="X9" s="345"/>
      <c r="Y9" s="345"/>
      <c r="Z9" s="345"/>
      <c r="AA9" s="345"/>
      <c r="AB9" s="345"/>
      <c r="AC9" s="345"/>
      <c r="AD9" s="345"/>
      <c r="AE9" s="345"/>
      <c r="AF9" s="345"/>
      <c r="AG9" s="345"/>
      <c r="AH9" s="345"/>
      <c r="AI9" s="345"/>
      <c r="AJ9" s="345"/>
      <c r="AK9" s="345"/>
      <c r="AL9" s="345"/>
      <c r="AM9" s="345"/>
      <c r="AN9" s="345"/>
      <c r="AO9" s="345"/>
      <c r="AP9" s="345"/>
      <c r="AQ9" s="345"/>
      <c r="AR9" s="345">
        <v>6000</v>
      </c>
      <c r="AS9" s="345">
        <v>6000</v>
      </c>
      <c r="AT9" s="345">
        <v>6000</v>
      </c>
      <c r="AU9" s="345">
        <v>6000</v>
      </c>
      <c r="AV9" s="345">
        <v>6720</v>
      </c>
      <c r="AW9" s="345">
        <v>6000</v>
      </c>
      <c r="AX9" s="345">
        <v>6000</v>
      </c>
      <c r="AY9" s="346">
        <v>6000</v>
      </c>
      <c r="AZ9" s="347">
        <v>6000</v>
      </c>
      <c r="BA9" s="347">
        <f>AZ9-AY9</f>
        <v>0</v>
      </c>
      <c r="BB9" s="351">
        <f>AY9-AX9</f>
        <v>0</v>
      </c>
      <c r="BC9" s="352">
        <f>AZ9-AX9</f>
        <v>0</v>
      </c>
      <c r="BD9" s="353">
        <f t="shared" si="1"/>
        <v>0</v>
      </c>
    </row>
    <row r="10" spans="1:63" s="311" customFormat="1" ht="15" customHeight="1">
      <c r="A10" s="324" t="s">
        <v>354</v>
      </c>
      <c r="B10" s="344">
        <f>B9*B8/1000</f>
        <v>0</v>
      </c>
      <c r="C10" s="344">
        <v>3</v>
      </c>
      <c r="D10" s="344">
        <v>3</v>
      </c>
      <c r="E10" s="344">
        <v>6</v>
      </c>
      <c r="F10" s="344">
        <v>15</v>
      </c>
      <c r="G10" s="344">
        <v>4</v>
      </c>
      <c r="H10" s="344">
        <v>3</v>
      </c>
      <c r="I10" s="344">
        <v>4</v>
      </c>
      <c r="J10" s="344">
        <v>6</v>
      </c>
      <c r="K10" s="344">
        <v>6</v>
      </c>
      <c r="L10" s="344">
        <v>6</v>
      </c>
      <c r="M10" s="344">
        <v>2</v>
      </c>
      <c r="N10" s="344">
        <v>5</v>
      </c>
      <c r="O10" s="344">
        <v>3</v>
      </c>
      <c r="P10" s="344">
        <v>3.1</v>
      </c>
      <c r="Q10" s="344">
        <v>5</v>
      </c>
      <c r="R10" s="344">
        <v>5</v>
      </c>
      <c r="S10" s="344">
        <v>5</v>
      </c>
      <c r="T10" s="344">
        <v>15.4</v>
      </c>
      <c r="U10" s="344">
        <v>15.4</v>
      </c>
      <c r="V10" s="344">
        <v>15.4</v>
      </c>
      <c r="W10" s="344">
        <v>16.2</v>
      </c>
      <c r="X10" s="344">
        <v>19.5</v>
      </c>
      <c r="Y10" s="344">
        <v>19.5</v>
      </c>
      <c r="Z10" s="344">
        <v>16.5</v>
      </c>
      <c r="AA10" s="344">
        <v>34.200000000000003</v>
      </c>
      <c r="AB10" s="344">
        <v>42.7</v>
      </c>
      <c r="AC10" s="344">
        <v>43.3</v>
      </c>
      <c r="AD10" s="344">
        <v>26</v>
      </c>
      <c r="AE10" s="344">
        <v>24.4</v>
      </c>
      <c r="AF10" s="344">
        <v>24.4</v>
      </c>
      <c r="AG10" s="344">
        <v>12.8</v>
      </c>
      <c r="AH10" s="344">
        <v>12.8</v>
      </c>
      <c r="AI10" s="344">
        <v>12.8</v>
      </c>
      <c r="AJ10" s="344">
        <v>13</v>
      </c>
      <c r="AK10" s="344">
        <v>13</v>
      </c>
      <c r="AL10" s="344">
        <v>13</v>
      </c>
      <c r="AM10" s="344">
        <v>5.7</v>
      </c>
      <c r="AN10" s="344">
        <v>15.4</v>
      </c>
      <c r="AO10" s="344">
        <v>14</v>
      </c>
      <c r="AP10" s="344">
        <v>45.6</v>
      </c>
      <c r="AQ10" s="344">
        <v>46.6</v>
      </c>
      <c r="AR10" s="344">
        <v>78</v>
      </c>
      <c r="AS10" s="344">
        <v>90</v>
      </c>
      <c r="AT10" s="344">
        <f t="shared" ref="AT10:AY10" si="6">AT9*AT8/1000</f>
        <v>90</v>
      </c>
      <c r="AU10" s="344">
        <f t="shared" si="6"/>
        <v>90</v>
      </c>
      <c r="AV10" s="344">
        <f t="shared" si="6"/>
        <v>60.48</v>
      </c>
      <c r="AW10" s="344">
        <f t="shared" si="6"/>
        <v>54</v>
      </c>
      <c r="AX10" s="344">
        <f t="shared" si="6"/>
        <v>120</v>
      </c>
      <c r="AY10" s="365">
        <f t="shared" si="6"/>
        <v>120</v>
      </c>
      <c r="AZ10" s="366">
        <f>AZ8*AZ9/1000</f>
        <v>120</v>
      </c>
      <c r="BA10" s="366">
        <f>AZ10-AY10</f>
        <v>0</v>
      </c>
      <c r="BB10" s="367">
        <f>AY10-AX10</f>
        <v>0</v>
      </c>
      <c r="BC10" s="368">
        <f>AZ10-AX10</f>
        <v>0</v>
      </c>
      <c r="BD10" s="353">
        <f t="shared" si="1"/>
        <v>5.9223841048812176E-2</v>
      </c>
      <c r="BE10" s="309"/>
      <c r="BF10"/>
      <c r="BG10" s="308"/>
    </row>
    <row r="11" spans="1:63" ht="15" customHeight="1">
      <c r="A11" s="320" t="s">
        <v>356</v>
      </c>
      <c r="B11" s="355"/>
      <c r="C11" s="355"/>
      <c r="D11" s="355"/>
      <c r="E11" s="355"/>
      <c r="F11" s="355"/>
      <c r="G11" s="355"/>
      <c r="H11" s="355"/>
      <c r="I11" s="355"/>
      <c r="J11" s="355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/>
      <c r="AA11" s="355"/>
      <c r="AB11" s="355"/>
      <c r="AC11" s="355"/>
      <c r="AD11" s="355"/>
      <c r="AE11" s="355"/>
      <c r="AF11" s="355"/>
      <c r="AG11" s="355"/>
      <c r="AH11" s="355"/>
      <c r="AI11" s="355"/>
      <c r="AJ11" s="355"/>
      <c r="AK11" s="355"/>
      <c r="AL11" s="355"/>
      <c r="AM11" s="355"/>
      <c r="AN11" s="355"/>
      <c r="AO11" s="355"/>
      <c r="AP11" s="355"/>
      <c r="AQ11" s="355"/>
      <c r="AR11" s="355"/>
      <c r="AS11" s="355"/>
      <c r="AT11" s="326"/>
      <c r="AU11" s="326"/>
      <c r="AV11" s="326"/>
      <c r="AW11" s="326"/>
      <c r="AX11" s="328"/>
      <c r="AY11" s="325"/>
      <c r="AZ11" s="326"/>
      <c r="BA11" s="327"/>
      <c r="BB11" s="325"/>
      <c r="BC11" s="326"/>
      <c r="BD11" s="327"/>
    </row>
    <row r="12" spans="1:63" ht="15" customHeight="1">
      <c r="A12" s="324" t="s">
        <v>352</v>
      </c>
      <c r="B12" s="344">
        <v>0</v>
      </c>
      <c r="C12" s="344"/>
      <c r="D12" s="344"/>
      <c r="E12" s="344"/>
      <c r="F12" s="344"/>
      <c r="G12" s="344"/>
      <c r="H12" s="344"/>
      <c r="I12" s="344"/>
      <c r="J12" s="344"/>
      <c r="K12" s="344"/>
      <c r="L12" s="344"/>
      <c r="M12" s="344"/>
      <c r="N12" s="344"/>
      <c r="O12" s="344"/>
      <c r="P12" s="344"/>
      <c r="Q12" s="344"/>
      <c r="R12" s="344"/>
      <c r="S12" s="344"/>
      <c r="T12" s="344"/>
      <c r="U12" s="344"/>
      <c r="V12" s="344"/>
      <c r="W12" s="344"/>
      <c r="X12" s="344"/>
      <c r="Y12" s="344"/>
      <c r="Z12" s="344"/>
      <c r="AA12" s="344"/>
      <c r="AB12" s="344"/>
      <c r="AC12" s="344"/>
      <c r="AD12" s="344"/>
      <c r="AE12" s="344"/>
      <c r="AF12" s="344"/>
      <c r="AG12" s="344"/>
      <c r="AH12" s="344"/>
      <c r="AI12" s="344"/>
      <c r="AJ12" s="344"/>
      <c r="AK12" s="344"/>
      <c r="AL12" s="344"/>
      <c r="AM12" s="344"/>
      <c r="AN12" s="344"/>
      <c r="AO12" s="344"/>
      <c r="AP12" s="344"/>
      <c r="AQ12" s="344"/>
      <c r="AR12" s="344"/>
      <c r="AS12" s="344">
        <v>0</v>
      </c>
      <c r="AT12" s="344">
        <v>0</v>
      </c>
      <c r="AU12" s="344">
        <v>0</v>
      </c>
      <c r="AV12" s="344">
        <v>0</v>
      </c>
      <c r="AW12" s="344">
        <v>0</v>
      </c>
      <c r="AX12" s="344">
        <v>0</v>
      </c>
      <c r="AY12" s="369">
        <v>0</v>
      </c>
      <c r="AZ12" s="366">
        <v>0</v>
      </c>
      <c r="BA12" s="366">
        <f>AZ12-AY12</f>
        <v>0</v>
      </c>
      <c r="BB12" s="367">
        <f>AY12-AX12</f>
        <v>0</v>
      </c>
      <c r="BC12" s="368">
        <f>AZ12-AX12</f>
        <v>0</v>
      </c>
      <c r="BD12" s="353">
        <f t="shared" si="1"/>
        <v>0</v>
      </c>
      <c r="BF12" s="319" t="b">
        <v>0</v>
      </c>
      <c r="BH12" s="311"/>
      <c r="BI12" s="311"/>
      <c r="BJ12" s="311"/>
      <c r="BK12" s="311"/>
    </row>
    <row r="13" spans="1:63" ht="15" customHeight="1">
      <c r="A13" s="324" t="s">
        <v>353</v>
      </c>
      <c r="B13" s="345">
        <v>0</v>
      </c>
      <c r="C13" s="345"/>
      <c r="D13" s="345"/>
      <c r="E13" s="345"/>
      <c r="F13" s="345"/>
      <c r="G13" s="345"/>
      <c r="H13" s="345"/>
      <c r="I13" s="345"/>
      <c r="J13" s="345"/>
      <c r="K13" s="345"/>
      <c r="L13" s="345"/>
      <c r="M13" s="345"/>
      <c r="N13" s="345"/>
      <c r="O13" s="345"/>
      <c r="P13" s="345"/>
      <c r="Q13" s="345"/>
      <c r="R13" s="345"/>
      <c r="S13" s="345"/>
      <c r="T13" s="345"/>
      <c r="U13" s="345"/>
      <c r="V13" s="345"/>
      <c r="W13" s="345"/>
      <c r="X13" s="345"/>
      <c r="Y13" s="345"/>
      <c r="Z13" s="345"/>
      <c r="AA13" s="345"/>
      <c r="AB13" s="345"/>
      <c r="AC13" s="345"/>
      <c r="AD13" s="345"/>
      <c r="AE13" s="345"/>
      <c r="AF13" s="345"/>
      <c r="AG13" s="345"/>
      <c r="AH13" s="345"/>
      <c r="AI13" s="345"/>
      <c r="AJ13" s="345"/>
      <c r="AK13" s="345"/>
      <c r="AL13" s="345"/>
      <c r="AM13" s="345"/>
      <c r="AN13" s="345"/>
      <c r="AO13" s="345"/>
      <c r="AP13" s="345"/>
      <c r="AQ13" s="345"/>
      <c r="AR13" s="345"/>
      <c r="AS13" s="345"/>
      <c r="AT13" s="345">
        <v>0</v>
      </c>
      <c r="AU13" s="345">
        <v>0</v>
      </c>
      <c r="AV13" s="345">
        <v>0</v>
      </c>
      <c r="AW13" s="345">
        <v>0</v>
      </c>
      <c r="AX13" s="345">
        <v>0</v>
      </c>
      <c r="AY13" s="346">
        <v>0</v>
      </c>
      <c r="AZ13" s="347">
        <v>0</v>
      </c>
      <c r="BA13" s="347">
        <f>AZ13-AY13</f>
        <v>0</v>
      </c>
      <c r="BB13" s="351">
        <f>AY13-AX13</f>
        <v>0</v>
      </c>
      <c r="BC13" s="352">
        <f>AZ13-AX13</f>
        <v>0</v>
      </c>
      <c r="BD13" s="353">
        <f t="shared" si="1"/>
        <v>0</v>
      </c>
    </row>
    <row r="14" spans="1:63" s="311" customFormat="1" ht="15" customHeight="1">
      <c r="A14" s="324" t="s">
        <v>354</v>
      </c>
      <c r="B14" s="344">
        <f>B13*B12/1000</f>
        <v>0</v>
      </c>
      <c r="C14" s="344">
        <v>54</v>
      </c>
      <c r="D14" s="344">
        <v>53</v>
      </c>
      <c r="E14" s="344">
        <v>108</v>
      </c>
      <c r="F14" s="344">
        <v>112</v>
      </c>
      <c r="G14" s="344">
        <v>136</v>
      </c>
      <c r="H14" s="344">
        <v>97</v>
      </c>
      <c r="I14" s="344">
        <v>164</v>
      </c>
      <c r="J14" s="344">
        <v>146</v>
      </c>
      <c r="K14" s="344">
        <v>190</v>
      </c>
      <c r="L14" s="344">
        <v>179</v>
      </c>
      <c r="M14" s="344">
        <v>204</v>
      </c>
      <c r="N14" s="344">
        <v>217</v>
      </c>
      <c r="O14" s="344">
        <v>205</v>
      </c>
      <c r="P14" s="344">
        <v>204.8</v>
      </c>
      <c r="Q14" s="344">
        <v>264.10000000000002</v>
      </c>
      <c r="R14" s="344">
        <v>298.8</v>
      </c>
      <c r="S14" s="344">
        <v>388.1</v>
      </c>
      <c r="T14" s="344">
        <v>381.6</v>
      </c>
      <c r="U14" s="344">
        <v>386.7</v>
      </c>
      <c r="V14" s="344">
        <v>386.5</v>
      </c>
      <c r="W14" s="344">
        <v>264.3</v>
      </c>
      <c r="X14" s="344">
        <v>217.2</v>
      </c>
      <c r="Y14" s="344">
        <v>224.4</v>
      </c>
      <c r="Z14" s="344">
        <v>206.3</v>
      </c>
      <c r="AA14" s="344">
        <v>178.4</v>
      </c>
      <c r="AB14" s="344">
        <v>184</v>
      </c>
      <c r="AC14" s="344">
        <v>275.39999999999998</v>
      </c>
      <c r="AD14" s="344">
        <v>267.8</v>
      </c>
      <c r="AE14" s="344">
        <v>286.2</v>
      </c>
      <c r="AF14" s="344">
        <v>302.39999999999998</v>
      </c>
      <c r="AG14" s="344">
        <v>383.9</v>
      </c>
      <c r="AH14" s="344">
        <v>327.39999999999998</v>
      </c>
      <c r="AI14" s="344">
        <v>374.2</v>
      </c>
      <c r="AJ14" s="344">
        <v>350.9</v>
      </c>
      <c r="AK14" s="344">
        <v>453.7</v>
      </c>
      <c r="AL14" s="344">
        <v>501.6</v>
      </c>
      <c r="AM14" s="344">
        <v>455.5</v>
      </c>
      <c r="AN14" s="344">
        <v>651.29999999999995</v>
      </c>
      <c r="AO14" s="344">
        <v>653.79999999999995</v>
      </c>
      <c r="AP14" s="344">
        <v>795</v>
      </c>
      <c r="AQ14" s="344">
        <v>742.4</v>
      </c>
      <c r="AR14" s="344">
        <v>928.2</v>
      </c>
      <c r="AS14" s="344">
        <v>1004.1</v>
      </c>
      <c r="AT14" s="344">
        <f t="shared" ref="AT14:AX14" si="7">AT13*AT12/1000</f>
        <v>0</v>
      </c>
      <c r="AU14" s="344">
        <f t="shared" si="7"/>
        <v>0</v>
      </c>
      <c r="AV14" s="344">
        <f t="shared" si="7"/>
        <v>0</v>
      </c>
      <c r="AW14" s="344">
        <f>AW13*AW12/1000</f>
        <v>0</v>
      </c>
      <c r="AX14" s="344">
        <f t="shared" si="7"/>
        <v>0</v>
      </c>
      <c r="AY14" s="365">
        <f>AY12*AY13/1000</f>
        <v>0</v>
      </c>
      <c r="AZ14" s="366">
        <f>AZ12*AZ13/1000</f>
        <v>0</v>
      </c>
      <c r="BA14" s="366">
        <f>AZ14-AY14</f>
        <v>0</v>
      </c>
      <c r="BB14" s="367">
        <f>AY14-AX14</f>
        <v>0</v>
      </c>
      <c r="BC14" s="368">
        <f>AZ14-AX14</f>
        <v>0</v>
      </c>
      <c r="BD14" s="353">
        <f t="shared" si="1"/>
        <v>-1</v>
      </c>
      <c r="BE14" s="309"/>
      <c r="BF14"/>
      <c r="BG14" s="308"/>
    </row>
    <row r="15" spans="1:63" ht="15" customHeight="1">
      <c r="A15" s="320" t="s">
        <v>357</v>
      </c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6"/>
      <c r="N15" s="356"/>
      <c r="O15" s="356"/>
      <c r="P15" s="356"/>
      <c r="Q15" s="356"/>
      <c r="R15" s="356"/>
      <c r="S15" s="356"/>
      <c r="T15" s="356"/>
      <c r="U15" s="356"/>
      <c r="V15" s="356"/>
      <c r="W15" s="356"/>
      <c r="X15" s="356"/>
      <c r="Y15" s="356"/>
      <c r="Z15" s="356"/>
      <c r="AA15" s="356"/>
      <c r="AB15" s="356"/>
      <c r="AC15" s="356"/>
      <c r="AD15" s="356"/>
      <c r="AE15" s="356"/>
      <c r="AF15" s="356"/>
      <c r="AG15" s="356"/>
      <c r="AH15" s="356"/>
      <c r="AI15" s="356"/>
      <c r="AJ15" s="356"/>
      <c r="AK15" s="356"/>
      <c r="AL15" s="356"/>
      <c r="AM15" s="356"/>
      <c r="AN15" s="356"/>
      <c r="AO15" s="356"/>
      <c r="AP15" s="356"/>
      <c r="AQ15" s="356"/>
      <c r="AR15" s="356"/>
      <c r="AS15" s="356"/>
      <c r="AT15" s="328"/>
      <c r="AU15" s="328"/>
      <c r="AV15" s="328"/>
      <c r="AW15" s="328"/>
      <c r="AX15" s="328"/>
      <c r="AY15" s="321"/>
      <c r="AZ15" s="328"/>
      <c r="BA15" s="329"/>
      <c r="BB15" s="321"/>
      <c r="BC15" s="328"/>
      <c r="BD15" s="329"/>
    </row>
    <row r="16" spans="1:63" ht="15" customHeight="1">
      <c r="A16" s="324" t="s">
        <v>352</v>
      </c>
      <c r="B16" s="344">
        <v>0</v>
      </c>
      <c r="C16" s="344"/>
      <c r="D16" s="344"/>
      <c r="E16" s="344"/>
      <c r="F16" s="344"/>
      <c r="G16" s="344"/>
      <c r="H16" s="344"/>
      <c r="I16" s="344"/>
      <c r="J16" s="344"/>
      <c r="K16" s="344"/>
      <c r="L16" s="344"/>
      <c r="M16" s="344"/>
      <c r="N16" s="344"/>
      <c r="O16" s="344"/>
      <c r="P16" s="344"/>
      <c r="Q16" s="344"/>
      <c r="R16" s="344"/>
      <c r="S16" s="344"/>
      <c r="T16" s="344"/>
      <c r="U16" s="344"/>
      <c r="V16" s="344"/>
      <c r="W16" s="344"/>
      <c r="X16" s="344"/>
      <c r="Y16" s="344"/>
      <c r="Z16" s="344"/>
      <c r="AA16" s="344"/>
      <c r="AB16" s="344"/>
      <c r="AC16" s="344"/>
      <c r="AD16" s="344"/>
      <c r="AE16" s="344"/>
      <c r="AF16" s="344"/>
      <c r="AG16" s="344"/>
      <c r="AH16" s="344"/>
      <c r="AI16" s="344"/>
      <c r="AJ16" s="344"/>
      <c r="AK16" s="344"/>
      <c r="AL16" s="344"/>
      <c r="AM16" s="344"/>
      <c r="AN16" s="344"/>
      <c r="AO16" s="344"/>
      <c r="AP16" s="344"/>
      <c r="AQ16" s="344"/>
      <c r="AR16" s="344"/>
      <c r="AS16" s="344">
        <v>0</v>
      </c>
      <c r="AT16" s="344">
        <v>0</v>
      </c>
      <c r="AU16" s="344">
        <v>0</v>
      </c>
      <c r="AV16" s="344">
        <v>0</v>
      </c>
      <c r="AW16" s="344">
        <v>0</v>
      </c>
      <c r="AX16" s="344">
        <v>0</v>
      </c>
      <c r="AY16" s="369">
        <v>0</v>
      </c>
      <c r="AZ16" s="366">
        <v>0</v>
      </c>
      <c r="BA16" s="366">
        <f>AZ16-AY16</f>
        <v>0</v>
      </c>
      <c r="BB16" s="367">
        <f>AY16-AX16</f>
        <v>0</v>
      </c>
      <c r="BC16" s="368">
        <f>AZ16-AX16</f>
        <v>0</v>
      </c>
      <c r="BD16" s="353">
        <f t="shared" si="1"/>
        <v>0</v>
      </c>
      <c r="BF16" s="319" t="b">
        <v>0</v>
      </c>
      <c r="BH16" s="311"/>
      <c r="BI16" s="311"/>
      <c r="BJ16" s="311"/>
      <c r="BK16" s="311"/>
    </row>
    <row r="17" spans="1:63" ht="15" customHeight="1">
      <c r="A17" s="324" t="s">
        <v>353</v>
      </c>
      <c r="B17" s="345">
        <v>0</v>
      </c>
      <c r="C17" s="345"/>
      <c r="D17" s="345"/>
      <c r="E17" s="345"/>
      <c r="F17" s="345"/>
      <c r="G17" s="345"/>
      <c r="H17" s="345"/>
      <c r="I17" s="345"/>
      <c r="J17" s="345"/>
      <c r="K17" s="345"/>
      <c r="L17" s="345"/>
      <c r="M17" s="345"/>
      <c r="N17" s="345"/>
      <c r="O17" s="345"/>
      <c r="P17" s="345"/>
      <c r="Q17" s="345"/>
      <c r="R17" s="345"/>
      <c r="S17" s="345"/>
      <c r="T17" s="345"/>
      <c r="U17" s="345"/>
      <c r="V17" s="345"/>
      <c r="W17" s="345"/>
      <c r="X17" s="345"/>
      <c r="Y17" s="345"/>
      <c r="Z17" s="345"/>
      <c r="AA17" s="345"/>
      <c r="AB17" s="345"/>
      <c r="AC17" s="345"/>
      <c r="AD17" s="345"/>
      <c r="AE17" s="345"/>
      <c r="AF17" s="345"/>
      <c r="AG17" s="345"/>
      <c r="AH17" s="345"/>
      <c r="AI17" s="345"/>
      <c r="AJ17" s="345"/>
      <c r="AK17" s="345"/>
      <c r="AL17" s="345"/>
      <c r="AM17" s="345"/>
      <c r="AN17" s="345"/>
      <c r="AO17" s="345"/>
      <c r="AP17" s="345"/>
      <c r="AQ17" s="345"/>
      <c r="AR17" s="345"/>
      <c r="AS17" s="345"/>
      <c r="AT17" s="345">
        <v>0</v>
      </c>
      <c r="AU17" s="345">
        <v>0</v>
      </c>
      <c r="AV17" s="345">
        <v>0</v>
      </c>
      <c r="AW17" s="345">
        <v>0</v>
      </c>
      <c r="AX17" s="345">
        <v>0</v>
      </c>
      <c r="AY17" s="346">
        <v>0</v>
      </c>
      <c r="AZ17" s="347">
        <v>0</v>
      </c>
      <c r="BA17" s="347">
        <f>AZ17-AY17</f>
        <v>0</v>
      </c>
      <c r="BB17" s="351">
        <f>AY17-AX17</f>
        <v>0</v>
      </c>
      <c r="BC17" s="352">
        <f>AZ17-AX17</f>
        <v>0</v>
      </c>
      <c r="BD17" s="353">
        <f t="shared" si="1"/>
        <v>0</v>
      </c>
    </row>
    <row r="18" spans="1:63" s="311" customFormat="1" ht="15" customHeight="1">
      <c r="A18" s="324" t="s">
        <v>354</v>
      </c>
      <c r="B18" s="344">
        <f>B17*B16/1000</f>
        <v>0</v>
      </c>
      <c r="C18" s="344">
        <v>54</v>
      </c>
      <c r="D18" s="344">
        <v>53</v>
      </c>
      <c r="E18" s="344">
        <v>108</v>
      </c>
      <c r="F18" s="344">
        <v>112</v>
      </c>
      <c r="G18" s="344">
        <v>136</v>
      </c>
      <c r="H18" s="344">
        <v>97</v>
      </c>
      <c r="I18" s="344">
        <v>164</v>
      </c>
      <c r="J18" s="344">
        <v>146</v>
      </c>
      <c r="K18" s="344">
        <v>190</v>
      </c>
      <c r="L18" s="344">
        <v>179</v>
      </c>
      <c r="M18" s="344">
        <v>204</v>
      </c>
      <c r="N18" s="344">
        <v>217</v>
      </c>
      <c r="O18" s="344">
        <v>205</v>
      </c>
      <c r="P18" s="344">
        <v>204.8</v>
      </c>
      <c r="Q18" s="344">
        <v>264.10000000000002</v>
      </c>
      <c r="R18" s="344">
        <v>298.8</v>
      </c>
      <c r="S18" s="344">
        <v>388.1</v>
      </c>
      <c r="T18" s="344">
        <v>381.6</v>
      </c>
      <c r="U18" s="344">
        <v>386.7</v>
      </c>
      <c r="V18" s="344">
        <v>386.5</v>
      </c>
      <c r="W18" s="344">
        <v>264.3</v>
      </c>
      <c r="X18" s="344">
        <v>217.2</v>
      </c>
      <c r="Y18" s="344">
        <v>224.4</v>
      </c>
      <c r="Z18" s="344">
        <v>206.3</v>
      </c>
      <c r="AA18" s="344">
        <v>178.4</v>
      </c>
      <c r="AB18" s="344">
        <v>184</v>
      </c>
      <c r="AC18" s="344">
        <v>275.39999999999998</v>
      </c>
      <c r="AD18" s="344">
        <v>267.8</v>
      </c>
      <c r="AE18" s="344">
        <v>286.2</v>
      </c>
      <c r="AF18" s="344">
        <v>302.39999999999998</v>
      </c>
      <c r="AG18" s="344">
        <v>383.9</v>
      </c>
      <c r="AH18" s="344">
        <v>327.39999999999998</v>
      </c>
      <c r="AI18" s="344">
        <v>374.2</v>
      </c>
      <c r="AJ18" s="344">
        <v>350.9</v>
      </c>
      <c r="AK18" s="344">
        <v>453.7</v>
      </c>
      <c r="AL18" s="344">
        <v>501.6</v>
      </c>
      <c r="AM18" s="344">
        <v>455.5</v>
      </c>
      <c r="AN18" s="344">
        <v>651.29999999999995</v>
      </c>
      <c r="AO18" s="344">
        <v>653.79999999999995</v>
      </c>
      <c r="AP18" s="344">
        <v>795</v>
      </c>
      <c r="AQ18" s="344">
        <v>742.4</v>
      </c>
      <c r="AR18" s="344">
        <v>928.2</v>
      </c>
      <c r="AS18" s="344">
        <v>1004.1</v>
      </c>
      <c r="AT18" s="344">
        <f t="shared" ref="AT18:AX18" si="8">AT17*AT16/1000</f>
        <v>0</v>
      </c>
      <c r="AU18" s="344">
        <f t="shared" si="8"/>
        <v>0</v>
      </c>
      <c r="AV18" s="344">
        <f t="shared" si="8"/>
        <v>0</v>
      </c>
      <c r="AW18" s="344">
        <f t="shared" si="8"/>
        <v>0</v>
      </c>
      <c r="AX18" s="344">
        <f t="shared" si="8"/>
        <v>0</v>
      </c>
      <c r="AY18" s="365">
        <f>AY16*AY17/1000</f>
        <v>0</v>
      </c>
      <c r="AZ18" s="366">
        <f>AZ16*AZ17/1000</f>
        <v>0</v>
      </c>
      <c r="BA18" s="366">
        <f>AZ18-AY18</f>
        <v>0</v>
      </c>
      <c r="BB18" s="367">
        <f>AY18-AX18</f>
        <v>0</v>
      </c>
      <c r="BC18" s="368">
        <f>AZ18-AX18</f>
        <v>0</v>
      </c>
      <c r="BD18" s="353">
        <f t="shared" si="1"/>
        <v>-1</v>
      </c>
      <c r="BE18" s="309"/>
      <c r="BF18"/>
      <c r="BG18" s="308"/>
    </row>
    <row r="19" spans="1:63" ht="15" customHeight="1">
      <c r="A19" s="320" t="s">
        <v>358</v>
      </c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356"/>
      <c r="AB19" s="356"/>
      <c r="AC19" s="356"/>
      <c r="AD19" s="356"/>
      <c r="AE19" s="356"/>
      <c r="AF19" s="356"/>
      <c r="AG19" s="356"/>
      <c r="AH19" s="356"/>
      <c r="AI19" s="356"/>
      <c r="AJ19" s="356"/>
      <c r="AK19" s="356"/>
      <c r="AL19" s="356"/>
      <c r="AM19" s="356"/>
      <c r="AN19" s="356"/>
      <c r="AO19" s="356"/>
      <c r="AP19" s="356"/>
      <c r="AQ19" s="356"/>
      <c r="AR19" s="356"/>
      <c r="AS19" s="356"/>
      <c r="AT19" s="328"/>
      <c r="AU19" s="328"/>
      <c r="AV19" s="328"/>
      <c r="AW19" s="328"/>
      <c r="AX19" s="328"/>
      <c r="AY19" s="321"/>
      <c r="AZ19" s="328"/>
      <c r="BA19" s="329"/>
      <c r="BB19" s="321"/>
      <c r="BC19" s="328"/>
      <c r="BD19" s="329"/>
    </row>
    <row r="20" spans="1:63" ht="15" customHeight="1">
      <c r="A20" s="324" t="s">
        <v>352</v>
      </c>
      <c r="B20" s="344">
        <v>0</v>
      </c>
      <c r="C20" s="344"/>
      <c r="D20" s="344"/>
      <c r="E20" s="344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  <c r="Y20" s="344"/>
      <c r="Z20" s="344"/>
      <c r="AA20" s="344"/>
      <c r="AB20" s="344"/>
      <c r="AC20" s="344"/>
      <c r="AD20" s="344"/>
      <c r="AE20" s="344"/>
      <c r="AF20" s="344"/>
      <c r="AG20" s="344"/>
      <c r="AH20" s="344"/>
      <c r="AI20" s="344"/>
      <c r="AJ20" s="344"/>
      <c r="AK20" s="344"/>
      <c r="AL20" s="344"/>
      <c r="AM20" s="344"/>
      <c r="AN20" s="344"/>
      <c r="AO20" s="344"/>
      <c r="AP20" s="344"/>
      <c r="AQ20" s="344"/>
      <c r="AR20" s="344"/>
      <c r="AS20" s="344">
        <v>0</v>
      </c>
      <c r="AT20" s="344">
        <v>0</v>
      </c>
      <c r="AU20" s="344">
        <v>0</v>
      </c>
      <c r="AV20" s="344">
        <v>0</v>
      </c>
      <c r="AW20" s="344">
        <v>0</v>
      </c>
      <c r="AX20" s="344">
        <v>0</v>
      </c>
      <c r="AY20" s="369">
        <v>0</v>
      </c>
      <c r="AZ20" s="366">
        <v>0</v>
      </c>
      <c r="BA20" s="366">
        <f>AZ20-AY20</f>
        <v>0</v>
      </c>
      <c r="BB20" s="367">
        <f>AY20-AX20</f>
        <v>0</v>
      </c>
      <c r="BC20" s="368">
        <f>AZ20-AX20</f>
        <v>0</v>
      </c>
      <c r="BD20" s="353">
        <f t="shared" si="1"/>
        <v>0</v>
      </c>
      <c r="BF20" s="319" t="b">
        <v>0</v>
      </c>
      <c r="BH20" s="311"/>
      <c r="BI20" s="311"/>
      <c r="BJ20" s="311"/>
      <c r="BK20" s="311"/>
    </row>
    <row r="21" spans="1:63" ht="15" customHeight="1">
      <c r="A21" s="324" t="s">
        <v>353</v>
      </c>
      <c r="B21" s="345">
        <v>0</v>
      </c>
      <c r="C21" s="345"/>
      <c r="D21" s="345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345"/>
      <c r="AB21" s="345"/>
      <c r="AC21" s="345"/>
      <c r="AD21" s="345"/>
      <c r="AE21" s="345"/>
      <c r="AF21" s="345"/>
      <c r="AG21" s="345"/>
      <c r="AH21" s="345"/>
      <c r="AI21" s="345"/>
      <c r="AJ21" s="345"/>
      <c r="AK21" s="345"/>
      <c r="AL21" s="345"/>
      <c r="AM21" s="345"/>
      <c r="AN21" s="345"/>
      <c r="AO21" s="345"/>
      <c r="AP21" s="345"/>
      <c r="AQ21" s="345"/>
      <c r="AR21" s="345"/>
      <c r="AS21" s="345"/>
      <c r="AT21" s="345">
        <v>0</v>
      </c>
      <c r="AU21" s="345">
        <v>0</v>
      </c>
      <c r="AV21" s="345">
        <v>0</v>
      </c>
      <c r="AW21" s="345">
        <v>0</v>
      </c>
      <c r="AX21" s="345">
        <v>0</v>
      </c>
      <c r="AY21" s="346">
        <v>0</v>
      </c>
      <c r="AZ21" s="347">
        <v>0</v>
      </c>
      <c r="BA21" s="347">
        <f>AZ21-AY21</f>
        <v>0</v>
      </c>
      <c r="BB21" s="351">
        <f>AY21-AX21</f>
        <v>0</v>
      </c>
      <c r="BC21" s="352">
        <f>AZ21-AX21</f>
        <v>0</v>
      </c>
      <c r="BD21" s="353">
        <f t="shared" si="1"/>
        <v>0</v>
      </c>
    </row>
    <row r="22" spans="1:63" s="311" customFormat="1" ht="15" customHeight="1">
      <c r="A22" s="324" t="s">
        <v>354</v>
      </c>
      <c r="B22" s="344">
        <f>B21*B20/1000</f>
        <v>0</v>
      </c>
      <c r="C22" s="344">
        <v>54</v>
      </c>
      <c r="D22" s="344">
        <v>53</v>
      </c>
      <c r="E22" s="344">
        <v>108</v>
      </c>
      <c r="F22" s="344">
        <v>112</v>
      </c>
      <c r="G22" s="344">
        <v>136</v>
      </c>
      <c r="H22" s="344">
        <v>97</v>
      </c>
      <c r="I22" s="344">
        <v>164</v>
      </c>
      <c r="J22" s="344">
        <v>146</v>
      </c>
      <c r="K22" s="344">
        <v>190</v>
      </c>
      <c r="L22" s="344">
        <v>179</v>
      </c>
      <c r="M22" s="344">
        <v>204</v>
      </c>
      <c r="N22" s="344">
        <v>217</v>
      </c>
      <c r="O22" s="344">
        <v>205</v>
      </c>
      <c r="P22" s="344">
        <v>204.8</v>
      </c>
      <c r="Q22" s="344">
        <v>264.10000000000002</v>
      </c>
      <c r="R22" s="344">
        <v>298.8</v>
      </c>
      <c r="S22" s="344">
        <v>388.1</v>
      </c>
      <c r="T22" s="344">
        <v>381.6</v>
      </c>
      <c r="U22" s="344">
        <v>386.7</v>
      </c>
      <c r="V22" s="344">
        <v>386.5</v>
      </c>
      <c r="W22" s="344">
        <v>264.3</v>
      </c>
      <c r="X22" s="344">
        <v>217.2</v>
      </c>
      <c r="Y22" s="344">
        <v>224.4</v>
      </c>
      <c r="Z22" s="344">
        <v>206.3</v>
      </c>
      <c r="AA22" s="344">
        <v>178.4</v>
      </c>
      <c r="AB22" s="344">
        <v>184</v>
      </c>
      <c r="AC22" s="344">
        <v>275.39999999999998</v>
      </c>
      <c r="AD22" s="344">
        <v>267.8</v>
      </c>
      <c r="AE22" s="344">
        <v>286.2</v>
      </c>
      <c r="AF22" s="344">
        <v>302.39999999999998</v>
      </c>
      <c r="AG22" s="344">
        <v>383.9</v>
      </c>
      <c r="AH22" s="344">
        <v>327.39999999999998</v>
      </c>
      <c r="AI22" s="344">
        <v>374.2</v>
      </c>
      <c r="AJ22" s="344">
        <v>350.9</v>
      </c>
      <c r="AK22" s="344">
        <v>453.7</v>
      </c>
      <c r="AL22" s="344">
        <v>501.6</v>
      </c>
      <c r="AM22" s="344">
        <v>455.5</v>
      </c>
      <c r="AN22" s="344">
        <v>651.29999999999995</v>
      </c>
      <c r="AO22" s="344">
        <v>653.79999999999995</v>
      </c>
      <c r="AP22" s="344">
        <v>795</v>
      </c>
      <c r="AQ22" s="344">
        <v>742.4</v>
      </c>
      <c r="AR22" s="344">
        <v>928.2</v>
      </c>
      <c r="AS22" s="344">
        <v>1004.1</v>
      </c>
      <c r="AT22" s="344">
        <f t="shared" ref="AT22:AX22" si="9">AT21*AT20/1000</f>
        <v>0</v>
      </c>
      <c r="AU22" s="344">
        <f t="shared" si="9"/>
        <v>0</v>
      </c>
      <c r="AV22" s="344">
        <f t="shared" si="9"/>
        <v>0</v>
      </c>
      <c r="AW22" s="344">
        <f t="shared" si="9"/>
        <v>0</v>
      </c>
      <c r="AX22" s="344">
        <f t="shared" si="9"/>
        <v>0</v>
      </c>
      <c r="AY22" s="365">
        <f>AY20*AY21/1000</f>
        <v>0</v>
      </c>
      <c r="AZ22" s="366">
        <f>AZ20*AZ21/1000</f>
        <v>0</v>
      </c>
      <c r="BA22" s="366">
        <f>AZ22-AY22</f>
        <v>0</v>
      </c>
      <c r="BB22" s="367">
        <f>AY22-AX22</f>
        <v>0</v>
      </c>
      <c r="BC22" s="368">
        <f>AZ22-AX22</f>
        <v>0</v>
      </c>
      <c r="BD22" s="353">
        <f t="shared" si="1"/>
        <v>-1</v>
      </c>
      <c r="BE22" s="309"/>
      <c r="BF22"/>
      <c r="BG22" s="308"/>
    </row>
    <row r="23" spans="1:63" ht="15" customHeight="1">
      <c r="A23" s="320" t="s">
        <v>359</v>
      </c>
      <c r="B23" s="356"/>
      <c r="C23" s="356"/>
      <c r="D23" s="356"/>
      <c r="E23" s="356"/>
      <c r="F23" s="356"/>
      <c r="G23" s="356"/>
      <c r="H23" s="356"/>
      <c r="I23" s="356"/>
      <c r="J23" s="356"/>
      <c r="K23" s="356"/>
      <c r="L23" s="356"/>
      <c r="M23" s="356"/>
      <c r="N23" s="356"/>
      <c r="O23" s="356"/>
      <c r="P23" s="356"/>
      <c r="Q23" s="356"/>
      <c r="R23" s="356"/>
      <c r="S23" s="356"/>
      <c r="T23" s="356"/>
      <c r="U23" s="356"/>
      <c r="V23" s="356"/>
      <c r="W23" s="356"/>
      <c r="X23" s="356"/>
      <c r="Y23" s="356"/>
      <c r="Z23" s="356"/>
      <c r="AA23" s="356"/>
      <c r="AB23" s="356"/>
      <c r="AC23" s="356"/>
      <c r="AD23" s="356"/>
      <c r="AE23" s="356"/>
      <c r="AF23" s="356"/>
      <c r="AG23" s="356"/>
      <c r="AH23" s="356"/>
      <c r="AI23" s="356"/>
      <c r="AJ23" s="356"/>
      <c r="AK23" s="356"/>
      <c r="AL23" s="356"/>
      <c r="AM23" s="356"/>
      <c r="AN23" s="356"/>
      <c r="AO23" s="356"/>
      <c r="AP23" s="356"/>
      <c r="AQ23" s="356"/>
      <c r="AR23" s="356"/>
      <c r="AS23" s="356"/>
      <c r="AT23" s="328"/>
      <c r="AU23" s="328"/>
      <c r="AV23" s="328"/>
      <c r="AW23" s="328"/>
      <c r="AX23" s="328"/>
      <c r="AY23" s="321"/>
      <c r="AZ23" s="328"/>
      <c r="BA23" s="329"/>
      <c r="BB23" s="321"/>
      <c r="BC23" s="328"/>
      <c r="BD23" s="329"/>
    </row>
    <row r="24" spans="1:63" ht="15" customHeight="1">
      <c r="A24" s="324" t="s">
        <v>352</v>
      </c>
      <c r="B24" s="344">
        <v>0</v>
      </c>
      <c r="C24" s="344"/>
      <c r="D24" s="344"/>
      <c r="E24" s="344"/>
      <c r="F24" s="344"/>
      <c r="G24" s="344"/>
      <c r="H24" s="344"/>
      <c r="I24" s="344"/>
      <c r="J24" s="344"/>
      <c r="K24" s="344"/>
      <c r="L24" s="344"/>
      <c r="M24" s="344"/>
      <c r="N24" s="344"/>
      <c r="O24" s="344"/>
      <c r="P24" s="344"/>
      <c r="Q24" s="344"/>
      <c r="R24" s="344"/>
      <c r="S24" s="344"/>
      <c r="T24" s="344"/>
      <c r="U24" s="344"/>
      <c r="V24" s="344"/>
      <c r="W24" s="344"/>
      <c r="X24" s="344"/>
      <c r="Y24" s="344"/>
      <c r="Z24" s="344"/>
      <c r="AA24" s="344"/>
      <c r="AB24" s="344"/>
      <c r="AC24" s="344"/>
      <c r="AD24" s="344"/>
      <c r="AE24" s="344"/>
      <c r="AF24" s="344"/>
      <c r="AG24" s="344"/>
      <c r="AH24" s="344"/>
      <c r="AI24" s="344"/>
      <c r="AJ24" s="344"/>
      <c r="AK24" s="344"/>
      <c r="AL24" s="344"/>
      <c r="AM24" s="344"/>
      <c r="AN24" s="344"/>
      <c r="AO24" s="344"/>
      <c r="AP24" s="344"/>
      <c r="AQ24" s="344"/>
      <c r="AR24" s="344"/>
      <c r="AS24" s="344">
        <v>1.4</v>
      </c>
      <c r="AT24" s="344">
        <v>1.3</v>
      </c>
      <c r="AU24" s="344">
        <v>2.5</v>
      </c>
      <c r="AV24" s="344">
        <v>2.8</v>
      </c>
      <c r="AW24" s="344">
        <v>2.2999999999999998</v>
      </c>
      <c r="AX24" s="344">
        <v>2</v>
      </c>
      <c r="AY24" s="369">
        <v>2</v>
      </c>
      <c r="AZ24" s="366">
        <v>2</v>
      </c>
      <c r="BA24" s="366">
        <f>AZ24-AY24</f>
        <v>0</v>
      </c>
      <c r="BB24" s="367">
        <f>AY24-AX24</f>
        <v>0</v>
      </c>
      <c r="BC24" s="368">
        <f>AZ24-AX24</f>
        <v>0</v>
      </c>
      <c r="BD24" s="353">
        <f t="shared" si="1"/>
        <v>7.3940923785779322E-2</v>
      </c>
      <c r="BF24" s="319" t="b">
        <v>0</v>
      </c>
      <c r="BH24" s="311"/>
      <c r="BI24" s="311"/>
      <c r="BJ24" s="311"/>
      <c r="BK24" s="311"/>
    </row>
    <row r="25" spans="1:63" ht="15" customHeight="1">
      <c r="A25" s="324" t="s">
        <v>353</v>
      </c>
      <c r="B25" s="345">
        <v>0</v>
      </c>
      <c r="C25" s="345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  <c r="AC25" s="345"/>
      <c r="AD25" s="345"/>
      <c r="AE25" s="345"/>
      <c r="AF25" s="345"/>
      <c r="AG25" s="345"/>
      <c r="AH25" s="345"/>
      <c r="AI25" s="345"/>
      <c r="AJ25" s="345"/>
      <c r="AK25" s="345"/>
      <c r="AL25" s="345"/>
      <c r="AM25" s="345"/>
      <c r="AN25" s="345"/>
      <c r="AO25" s="345"/>
      <c r="AP25" s="345"/>
      <c r="AQ25" s="345"/>
      <c r="AR25" s="345"/>
      <c r="AS25" s="345">
        <v>972</v>
      </c>
      <c r="AT25" s="345">
        <v>905</v>
      </c>
      <c r="AU25" s="345">
        <v>944</v>
      </c>
      <c r="AV25" s="345">
        <v>940</v>
      </c>
      <c r="AW25" s="345">
        <v>977</v>
      </c>
      <c r="AX25" s="345">
        <v>969</v>
      </c>
      <c r="AY25" s="346">
        <v>977</v>
      </c>
      <c r="AZ25" s="347">
        <v>977</v>
      </c>
      <c r="BA25" s="347">
        <f>AZ25-AY25</f>
        <v>0</v>
      </c>
      <c r="BB25" s="351">
        <f>AY25-AX25</f>
        <v>8</v>
      </c>
      <c r="BC25" s="352">
        <f>AZ25-AX25</f>
        <v>8</v>
      </c>
      <c r="BD25" s="353">
        <f t="shared" si="1"/>
        <v>-6.1804744388216371E-4</v>
      </c>
    </row>
    <row r="26" spans="1:63" s="311" customFormat="1" ht="15" customHeight="1">
      <c r="A26" s="330" t="s">
        <v>354</v>
      </c>
      <c r="B26" s="344">
        <f>B25*B24/1000</f>
        <v>0</v>
      </c>
      <c r="C26" s="344">
        <v>54</v>
      </c>
      <c r="D26" s="344">
        <v>53</v>
      </c>
      <c r="E26" s="344">
        <v>108</v>
      </c>
      <c r="F26" s="344">
        <v>112</v>
      </c>
      <c r="G26" s="344">
        <v>136</v>
      </c>
      <c r="H26" s="344">
        <v>97</v>
      </c>
      <c r="I26" s="344">
        <v>164</v>
      </c>
      <c r="J26" s="344">
        <v>146</v>
      </c>
      <c r="K26" s="344">
        <v>190</v>
      </c>
      <c r="L26" s="344">
        <v>179</v>
      </c>
      <c r="M26" s="344">
        <v>204</v>
      </c>
      <c r="N26" s="344">
        <v>217</v>
      </c>
      <c r="O26" s="344">
        <v>205</v>
      </c>
      <c r="P26" s="344">
        <v>204.8</v>
      </c>
      <c r="Q26" s="344">
        <v>264.10000000000002</v>
      </c>
      <c r="R26" s="344">
        <v>298.8</v>
      </c>
      <c r="S26" s="344">
        <v>388.1</v>
      </c>
      <c r="T26" s="344">
        <v>381.6</v>
      </c>
      <c r="U26" s="344">
        <v>386.7</v>
      </c>
      <c r="V26" s="344">
        <v>386.5</v>
      </c>
      <c r="W26" s="344">
        <v>264.3</v>
      </c>
      <c r="X26" s="344">
        <v>217.2</v>
      </c>
      <c r="Y26" s="344">
        <v>224.4</v>
      </c>
      <c r="Z26" s="344">
        <v>206.3</v>
      </c>
      <c r="AA26" s="344">
        <v>178.4</v>
      </c>
      <c r="AB26" s="344">
        <v>184</v>
      </c>
      <c r="AC26" s="344">
        <v>275.39999999999998</v>
      </c>
      <c r="AD26" s="344">
        <v>267.8</v>
      </c>
      <c r="AE26" s="344">
        <v>286.2</v>
      </c>
      <c r="AF26" s="344">
        <v>302.39999999999998</v>
      </c>
      <c r="AG26" s="344">
        <v>383.9</v>
      </c>
      <c r="AH26" s="344">
        <v>327.39999999999998</v>
      </c>
      <c r="AI26" s="344">
        <v>374.2</v>
      </c>
      <c r="AJ26" s="344">
        <v>350.9</v>
      </c>
      <c r="AK26" s="344">
        <v>453.7</v>
      </c>
      <c r="AL26" s="344">
        <v>501.6</v>
      </c>
      <c r="AM26" s="344">
        <v>455.5</v>
      </c>
      <c r="AN26" s="344">
        <v>651.29999999999995</v>
      </c>
      <c r="AO26" s="344">
        <v>653.79999999999995</v>
      </c>
      <c r="AP26" s="344">
        <v>795</v>
      </c>
      <c r="AQ26" s="344">
        <v>742.4</v>
      </c>
      <c r="AR26" s="344">
        <v>928.2</v>
      </c>
      <c r="AS26" s="344">
        <v>1004.1</v>
      </c>
      <c r="AT26" s="344">
        <f t="shared" ref="AT26:AX26" si="10">AT25*AT24/1000</f>
        <v>1.1765000000000001</v>
      </c>
      <c r="AU26" s="344">
        <f t="shared" si="10"/>
        <v>2.36</v>
      </c>
      <c r="AV26" s="344">
        <f t="shared" si="10"/>
        <v>2.6320000000000001</v>
      </c>
      <c r="AW26" s="344">
        <f t="shared" si="10"/>
        <v>2.2471000000000001</v>
      </c>
      <c r="AX26" s="344">
        <f t="shared" si="10"/>
        <v>1.9379999999999999</v>
      </c>
      <c r="AY26" s="365">
        <f>AY24*AY25/1000</f>
        <v>1.954</v>
      </c>
      <c r="AZ26" s="366">
        <f>AZ24*AZ25/1000</f>
        <v>1.954</v>
      </c>
      <c r="BA26" s="366">
        <f>AZ26-AY26</f>
        <v>0</v>
      </c>
      <c r="BB26" s="367">
        <f>AY26-AX26</f>
        <v>1.6000000000000014E-2</v>
      </c>
      <c r="BC26" s="368">
        <f>AZ26-AX26</f>
        <v>1.6000000000000014E-2</v>
      </c>
      <c r="BD26" s="353">
        <f t="shared" si="1"/>
        <v>-0.7135061120845525</v>
      </c>
      <c r="BE26" s="309"/>
      <c r="BF26"/>
      <c r="BG26" s="308"/>
    </row>
    <row r="27" spans="1:63" ht="15" customHeight="1">
      <c r="A27" s="320" t="s">
        <v>360</v>
      </c>
      <c r="B27" s="356"/>
      <c r="C27" s="356"/>
      <c r="D27" s="356"/>
      <c r="E27" s="356"/>
      <c r="F27" s="356"/>
      <c r="G27" s="356"/>
      <c r="H27" s="356"/>
      <c r="I27" s="356"/>
      <c r="J27" s="356"/>
      <c r="K27" s="356"/>
      <c r="L27" s="356"/>
      <c r="M27" s="356"/>
      <c r="N27" s="356"/>
      <c r="O27" s="356"/>
      <c r="P27" s="356"/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28"/>
      <c r="AU27" s="328"/>
      <c r="AV27" s="328"/>
      <c r="AW27" s="328"/>
      <c r="AX27" s="328"/>
      <c r="AY27" s="321"/>
      <c r="AZ27" s="328"/>
      <c r="BA27" s="329"/>
      <c r="BB27" s="321"/>
      <c r="BC27" s="328"/>
      <c r="BD27" s="329"/>
    </row>
    <row r="28" spans="1:63" ht="15" customHeight="1">
      <c r="A28" s="324" t="s">
        <v>352</v>
      </c>
      <c r="B28" s="344">
        <v>0</v>
      </c>
      <c r="C28" s="344"/>
      <c r="D28" s="344"/>
      <c r="E28" s="344"/>
      <c r="F28" s="344"/>
      <c r="G28" s="344"/>
      <c r="H28" s="344"/>
      <c r="I28" s="344"/>
      <c r="J28" s="344"/>
      <c r="K28" s="344"/>
      <c r="L28" s="344"/>
      <c r="M28" s="344"/>
      <c r="N28" s="344"/>
      <c r="O28" s="344"/>
      <c r="P28" s="344"/>
      <c r="Q28" s="344"/>
      <c r="R28" s="344"/>
      <c r="S28" s="344"/>
      <c r="T28" s="344"/>
      <c r="U28" s="344"/>
      <c r="V28" s="344"/>
      <c r="W28" s="344"/>
      <c r="X28" s="344"/>
      <c r="Y28" s="344"/>
      <c r="Z28" s="344"/>
      <c r="AA28" s="344"/>
      <c r="AB28" s="344"/>
      <c r="AC28" s="344"/>
      <c r="AD28" s="344"/>
      <c r="AE28" s="344"/>
      <c r="AF28" s="344"/>
      <c r="AG28" s="344"/>
      <c r="AH28" s="344"/>
      <c r="AI28" s="344"/>
      <c r="AJ28" s="344"/>
      <c r="AK28" s="344"/>
      <c r="AL28" s="344"/>
      <c r="AM28" s="344"/>
      <c r="AN28" s="344"/>
      <c r="AO28" s="344"/>
      <c r="AP28" s="344"/>
      <c r="AQ28" s="344"/>
      <c r="AR28" s="344"/>
      <c r="AS28" s="344">
        <v>0</v>
      </c>
      <c r="AT28" s="344">
        <v>0</v>
      </c>
      <c r="AU28" s="344">
        <v>0</v>
      </c>
      <c r="AV28" s="344">
        <v>0</v>
      </c>
      <c r="AW28" s="344">
        <v>0</v>
      </c>
      <c r="AX28" s="344">
        <v>0</v>
      </c>
      <c r="AY28" s="369">
        <v>0</v>
      </c>
      <c r="AZ28" s="366">
        <v>0</v>
      </c>
      <c r="BA28" s="366">
        <f>AZ28-AY28</f>
        <v>0</v>
      </c>
      <c r="BB28" s="367">
        <f>AY28-AX28</f>
        <v>0</v>
      </c>
      <c r="BC28" s="368">
        <f>AZ28-AX28</f>
        <v>0</v>
      </c>
      <c r="BD28" s="353">
        <f t="shared" si="1"/>
        <v>0</v>
      </c>
      <c r="BF28" s="319" t="b">
        <v>0</v>
      </c>
      <c r="BH28" s="311"/>
      <c r="BI28" s="311"/>
      <c r="BJ28" s="311"/>
      <c r="BK28" s="311"/>
    </row>
    <row r="29" spans="1:63" ht="15" customHeight="1">
      <c r="A29" s="324" t="s">
        <v>353</v>
      </c>
      <c r="B29" s="345">
        <v>0</v>
      </c>
      <c r="C29" s="345"/>
      <c r="D29" s="345"/>
      <c r="E29" s="345"/>
      <c r="F29" s="345"/>
      <c r="G29" s="345"/>
      <c r="H29" s="345"/>
      <c r="I29" s="345"/>
      <c r="J29" s="345"/>
      <c r="K29" s="345"/>
      <c r="L29" s="345"/>
      <c r="M29" s="345"/>
      <c r="N29" s="345"/>
      <c r="O29" s="345"/>
      <c r="P29" s="345"/>
      <c r="Q29" s="345"/>
      <c r="R29" s="345"/>
      <c r="S29" s="345"/>
      <c r="T29" s="345"/>
      <c r="U29" s="345"/>
      <c r="V29" s="345"/>
      <c r="W29" s="345"/>
      <c r="X29" s="345"/>
      <c r="Y29" s="345"/>
      <c r="Z29" s="345"/>
      <c r="AA29" s="345"/>
      <c r="AB29" s="345"/>
      <c r="AC29" s="345"/>
      <c r="AD29" s="345"/>
      <c r="AE29" s="345"/>
      <c r="AF29" s="345"/>
      <c r="AG29" s="345"/>
      <c r="AH29" s="345"/>
      <c r="AI29" s="345"/>
      <c r="AJ29" s="345"/>
      <c r="AK29" s="345"/>
      <c r="AL29" s="345"/>
      <c r="AM29" s="345"/>
      <c r="AN29" s="345"/>
      <c r="AO29" s="345"/>
      <c r="AP29" s="345"/>
      <c r="AQ29" s="345"/>
      <c r="AR29" s="345"/>
      <c r="AS29" s="345"/>
      <c r="AT29" s="345">
        <v>0</v>
      </c>
      <c r="AU29" s="345">
        <v>0</v>
      </c>
      <c r="AV29" s="345">
        <v>0</v>
      </c>
      <c r="AW29" s="345">
        <v>0</v>
      </c>
      <c r="AX29" s="345">
        <v>0</v>
      </c>
      <c r="AY29" s="346">
        <v>0</v>
      </c>
      <c r="AZ29" s="347">
        <v>0</v>
      </c>
      <c r="BA29" s="347">
        <f>AZ29-AY29</f>
        <v>0</v>
      </c>
      <c r="BB29" s="351">
        <f>AY29-AX29</f>
        <v>0</v>
      </c>
      <c r="BC29" s="352">
        <f>AZ29-AX29</f>
        <v>0</v>
      </c>
      <c r="BD29" s="353">
        <f t="shared" si="1"/>
        <v>0</v>
      </c>
    </row>
    <row r="30" spans="1:63" s="311" customFormat="1" ht="15" customHeight="1">
      <c r="A30" s="324" t="s">
        <v>354</v>
      </c>
      <c r="B30" s="344">
        <f>B29*B28/1000</f>
        <v>0</v>
      </c>
      <c r="C30" s="344">
        <v>54</v>
      </c>
      <c r="D30" s="344">
        <v>53</v>
      </c>
      <c r="E30" s="344">
        <v>108</v>
      </c>
      <c r="F30" s="344">
        <v>112</v>
      </c>
      <c r="G30" s="344">
        <v>136</v>
      </c>
      <c r="H30" s="344">
        <v>97</v>
      </c>
      <c r="I30" s="344">
        <v>164</v>
      </c>
      <c r="J30" s="344">
        <v>146</v>
      </c>
      <c r="K30" s="344">
        <v>190</v>
      </c>
      <c r="L30" s="344">
        <v>179</v>
      </c>
      <c r="M30" s="344">
        <v>204</v>
      </c>
      <c r="N30" s="344">
        <v>217</v>
      </c>
      <c r="O30" s="344">
        <v>205</v>
      </c>
      <c r="P30" s="344">
        <v>204.8</v>
      </c>
      <c r="Q30" s="344">
        <v>264.10000000000002</v>
      </c>
      <c r="R30" s="344">
        <v>298.8</v>
      </c>
      <c r="S30" s="344">
        <v>388.1</v>
      </c>
      <c r="T30" s="344">
        <v>381.6</v>
      </c>
      <c r="U30" s="344">
        <v>386.7</v>
      </c>
      <c r="V30" s="344">
        <v>386.5</v>
      </c>
      <c r="W30" s="344">
        <v>264.3</v>
      </c>
      <c r="X30" s="344">
        <v>217.2</v>
      </c>
      <c r="Y30" s="344">
        <v>224.4</v>
      </c>
      <c r="Z30" s="344">
        <v>206.3</v>
      </c>
      <c r="AA30" s="344">
        <v>178.4</v>
      </c>
      <c r="AB30" s="344">
        <v>184</v>
      </c>
      <c r="AC30" s="344">
        <v>275.39999999999998</v>
      </c>
      <c r="AD30" s="344">
        <v>267.8</v>
      </c>
      <c r="AE30" s="344">
        <v>286.2</v>
      </c>
      <c r="AF30" s="344">
        <v>302.39999999999998</v>
      </c>
      <c r="AG30" s="344">
        <v>383.9</v>
      </c>
      <c r="AH30" s="344">
        <v>327.39999999999998</v>
      </c>
      <c r="AI30" s="344">
        <v>374.2</v>
      </c>
      <c r="AJ30" s="344">
        <v>350.9</v>
      </c>
      <c r="AK30" s="344">
        <v>453.7</v>
      </c>
      <c r="AL30" s="344">
        <v>501.6</v>
      </c>
      <c r="AM30" s="344">
        <v>455.5</v>
      </c>
      <c r="AN30" s="344">
        <v>651.29999999999995</v>
      </c>
      <c r="AO30" s="344">
        <v>653.79999999999995</v>
      </c>
      <c r="AP30" s="344">
        <v>795</v>
      </c>
      <c r="AQ30" s="344">
        <v>742.4</v>
      </c>
      <c r="AR30" s="344">
        <v>928.2</v>
      </c>
      <c r="AS30" s="344">
        <v>1004.1</v>
      </c>
      <c r="AT30" s="344">
        <f t="shared" ref="AT30:AX30" si="11">AT29*AT28/1000</f>
        <v>0</v>
      </c>
      <c r="AU30" s="344">
        <f t="shared" si="11"/>
        <v>0</v>
      </c>
      <c r="AV30" s="344">
        <f t="shared" si="11"/>
        <v>0</v>
      </c>
      <c r="AW30" s="344">
        <f t="shared" si="11"/>
        <v>0</v>
      </c>
      <c r="AX30" s="344">
        <f t="shared" si="11"/>
        <v>0</v>
      </c>
      <c r="AY30" s="365">
        <f>AY28*AY29/1000</f>
        <v>0</v>
      </c>
      <c r="AZ30" s="366">
        <f>AZ28*AZ29/1000</f>
        <v>0</v>
      </c>
      <c r="BA30" s="366">
        <f>AZ30-AY30</f>
        <v>0</v>
      </c>
      <c r="BB30" s="367">
        <f>AY30-AX30</f>
        <v>0</v>
      </c>
      <c r="BC30" s="368">
        <f>AZ30-AX30</f>
        <v>0</v>
      </c>
      <c r="BD30" s="353">
        <f t="shared" si="1"/>
        <v>-1</v>
      </c>
      <c r="BE30" s="309"/>
      <c r="BF30"/>
      <c r="BG30" s="308"/>
    </row>
    <row r="31" spans="1:63" ht="15" customHeight="1">
      <c r="A31" s="320" t="s">
        <v>361</v>
      </c>
      <c r="B31" s="356"/>
      <c r="C31" s="356"/>
      <c r="D31" s="356"/>
      <c r="E31" s="356"/>
      <c r="F31" s="356"/>
      <c r="G31" s="356"/>
      <c r="H31" s="356"/>
      <c r="I31" s="356"/>
      <c r="J31" s="356"/>
      <c r="K31" s="356"/>
      <c r="L31" s="356"/>
      <c r="M31" s="356"/>
      <c r="N31" s="356"/>
      <c r="O31" s="356"/>
      <c r="P31" s="356"/>
      <c r="Q31" s="356"/>
      <c r="R31" s="356"/>
      <c r="S31" s="356"/>
      <c r="T31" s="356"/>
      <c r="U31" s="356"/>
      <c r="V31" s="356"/>
      <c r="W31" s="356"/>
      <c r="X31" s="356"/>
      <c r="Y31" s="356"/>
      <c r="Z31" s="356"/>
      <c r="AA31" s="356"/>
      <c r="AB31" s="356"/>
      <c r="AC31" s="356"/>
      <c r="AD31" s="356"/>
      <c r="AE31" s="356"/>
      <c r="AF31" s="356"/>
      <c r="AG31" s="356"/>
      <c r="AH31" s="356"/>
      <c r="AI31" s="356"/>
      <c r="AJ31" s="356"/>
      <c r="AK31" s="356"/>
      <c r="AL31" s="356"/>
      <c r="AM31" s="356"/>
      <c r="AN31" s="356"/>
      <c r="AO31" s="356"/>
      <c r="AP31" s="356"/>
      <c r="AQ31" s="356"/>
      <c r="AR31" s="356"/>
      <c r="AS31" s="356"/>
      <c r="AT31" s="328"/>
      <c r="AU31" s="328"/>
      <c r="AV31" s="328"/>
      <c r="AW31" s="328"/>
      <c r="AX31" s="328"/>
      <c r="AY31" s="321"/>
      <c r="AZ31" s="328"/>
      <c r="BA31" s="329"/>
      <c r="BB31" s="321"/>
      <c r="BC31" s="328"/>
      <c r="BD31" s="329"/>
    </row>
    <row r="32" spans="1:63" ht="15" customHeight="1">
      <c r="A32" s="324" t="s">
        <v>352</v>
      </c>
      <c r="B32" s="344">
        <v>0</v>
      </c>
      <c r="C32" s="344"/>
      <c r="D32" s="344"/>
      <c r="E32" s="344"/>
      <c r="F32" s="344"/>
      <c r="G32" s="344"/>
      <c r="H32" s="344"/>
      <c r="I32" s="344"/>
      <c r="J32" s="344"/>
      <c r="K32" s="344"/>
      <c r="L32" s="344"/>
      <c r="M32" s="344"/>
      <c r="N32" s="344"/>
      <c r="O32" s="344"/>
      <c r="P32" s="344"/>
      <c r="Q32" s="344"/>
      <c r="R32" s="344"/>
      <c r="S32" s="344"/>
      <c r="T32" s="344"/>
      <c r="U32" s="344"/>
      <c r="V32" s="344"/>
      <c r="W32" s="344"/>
      <c r="X32" s="344"/>
      <c r="Y32" s="344"/>
      <c r="Z32" s="344"/>
      <c r="AA32" s="344"/>
      <c r="AB32" s="344"/>
      <c r="AC32" s="344"/>
      <c r="AD32" s="344"/>
      <c r="AE32" s="344"/>
      <c r="AF32" s="344"/>
      <c r="AG32" s="344"/>
      <c r="AH32" s="344"/>
      <c r="AI32" s="344"/>
      <c r="AJ32" s="344"/>
      <c r="AK32" s="344"/>
      <c r="AL32" s="344"/>
      <c r="AM32" s="344"/>
      <c r="AN32" s="344"/>
      <c r="AO32" s="344"/>
      <c r="AP32" s="344"/>
      <c r="AQ32" s="344"/>
      <c r="AR32" s="344"/>
      <c r="AS32" s="344">
        <v>0</v>
      </c>
      <c r="AT32" s="344">
        <v>0</v>
      </c>
      <c r="AU32" s="344">
        <v>0</v>
      </c>
      <c r="AV32" s="344">
        <v>0</v>
      </c>
      <c r="AW32" s="344">
        <v>0</v>
      </c>
      <c r="AX32" s="344">
        <v>0</v>
      </c>
      <c r="AY32" s="369">
        <v>0</v>
      </c>
      <c r="AZ32" s="366">
        <v>0</v>
      </c>
      <c r="BA32" s="366">
        <f>AZ32-AY32</f>
        <v>0</v>
      </c>
      <c r="BB32" s="367">
        <f>AY32-AX32</f>
        <v>0</v>
      </c>
      <c r="BC32" s="368">
        <f>AZ32-AX32</f>
        <v>0</v>
      </c>
      <c r="BD32" s="353">
        <f t="shared" si="1"/>
        <v>0</v>
      </c>
      <c r="BF32" s="319" t="b">
        <v>0</v>
      </c>
      <c r="BH32" s="311"/>
      <c r="BI32" s="311"/>
      <c r="BJ32" s="311"/>
      <c r="BK32" s="311"/>
    </row>
    <row r="33" spans="1:63" ht="15" customHeight="1">
      <c r="A33" s="324" t="s">
        <v>353</v>
      </c>
      <c r="B33" s="345">
        <v>0</v>
      </c>
      <c r="C33" s="345"/>
      <c r="D33" s="345"/>
      <c r="E33" s="345"/>
      <c r="F33" s="345"/>
      <c r="G33" s="345"/>
      <c r="H33" s="345"/>
      <c r="I33" s="345"/>
      <c r="J33" s="345"/>
      <c r="K33" s="345"/>
      <c r="L33" s="345"/>
      <c r="M33" s="345"/>
      <c r="N33" s="345"/>
      <c r="O33" s="345"/>
      <c r="P33" s="345"/>
      <c r="Q33" s="345"/>
      <c r="R33" s="345"/>
      <c r="S33" s="345"/>
      <c r="T33" s="345"/>
      <c r="U33" s="345"/>
      <c r="V33" s="345"/>
      <c r="W33" s="345"/>
      <c r="X33" s="345"/>
      <c r="Y33" s="345"/>
      <c r="Z33" s="345"/>
      <c r="AA33" s="345"/>
      <c r="AB33" s="345"/>
      <c r="AC33" s="345"/>
      <c r="AD33" s="345"/>
      <c r="AE33" s="345"/>
      <c r="AF33" s="345"/>
      <c r="AG33" s="345"/>
      <c r="AH33" s="345"/>
      <c r="AI33" s="345"/>
      <c r="AJ33" s="345"/>
      <c r="AK33" s="345"/>
      <c r="AL33" s="345"/>
      <c r="AM33" s="345"/>
      <c r="AN33" s="345"/>
      <c r="AO33" s="345"/>
      <c r="AP33" s="345"/>
      <c r="AQ33" s="345"/>
      <c r="AR33" s="345"/>
      <c r="AS33" s="345"/>
      <c r="AT33" s="345">
        <v>0</v>
      </c>
      <c r="AU33" s="345">
        <v>0</v>
      </c>
      <c r="AV33" s="345">
        <v>0</v>
      </c>
      <c r="AW33" s="345">
        <v>0</v>
      </c>
      <c r="AX33" s="345">
        <v>0</v>
      </c>
      <c r="AY33" s="346">
        <v>0</v>
      </c>
      <c r="AZ33" s="347">
        <v>0</v>
      </c>
      <c r="BA33" s="347">
        <f>AZ33-AY33</f>
        <v>0</v>
      </c>
      <c r="BB33" s="351">
        <f>AY33-AX33</f>
        <v>0</v>
      </c>
      <c r="BC33" s="352">
        <f>AZ33-AX33</f>
        <v>0</v>
      </c>
      <c r="BD33" s="353">
        <f t="shared" si="1"/>
        <v>0</v>
      </c>
    </row>
    <row r="34" spans="1:63" ht="15" customHeight="1" thickBot="1">
      <c r="A34" s="324" t="s">
        <v>354</v>
      </c>
      <c r="B34" s="344">
        <f>B33*B32/1000</f>
        <v>0</v>
      </c>
      <c r="C34" s="344">
        <v>54</v>
      </c>
      <c r="D34" s="344">
        <v>53</v>
      </c>
      <c r="E34" s="344">
        <v>108</v>
      </c>
      <c r="F34" s="344">
        <v>112</v>
      </c>
      <c r="G34" s="344">
        <v>136</v>
      </c>
      <c r="H34" s="344">
        <v>97</v>
      </c>
      <c r="I34" s="344">
        <v>164</v>
      </c>
      <c r="J34" s="344">
        <v>146</v>
      </c>
      <c r="K34" s="344">
        <v>190</v>
      </c>
      <c r="L34" s="344">
        <v>179</v>
      </c>
      <c r="M34" s="344">
        <v>204</v>
      </c>
      <c r="N34" s="344">
        <v>217</v>
      </c>
      <c r="O34" s="344">
        <v>205</v>
      </c>
      <c r="P34" s="344">
        <v>204.8</v>
      </c>
      <c r="Q34" s="344">
        <v>264.10000000000002</v>
      </c>
      <c r="R34" s="344">
        <v>298.8</v>
      </c>
      <c r="S34" s="344">
        <v>388.1</v>
      </c>
      <c r="T34" s="344">
        <v>381.6</v>
      </c>
      <c r="U34" s="344">
        <v>386.7</v>
      </c>
      <c r="V34" s="344">
        <v>386.5</v>
      </c>
      <c r="W34" s="344">
        <v>264.3</v>
      </c>
      <c r="X34" s="344">
        <v>217.2</v>
      </c>
      <c r="Y34" s="344">
        <v>224.4</v>
      </c>
      <c r="Z34" s="344">
        <v>206.3</v>
      </c>
      <c r="AA34" s="344">
        <v>178.4</v>
      </c>
      <c r="AB34" s="344">
        <v>184</v>
      </c>
      <c r="AC34" s="344">
        <v>275.39999999999998</v>
      </c>
      <c r="AD34" s="344">
        <v>267.8</v>
      </c>
      <c r="AE34" s="344">
        <v>286.2</v>
      </c>
      <c r="AF34" s="344">
        <v>302.39999999999998</v>
      </c>
      <c r="AG34" s="344">
        <v>383.9</v>
      </c>
      <c r="AH34" s="344">
        <v>327.39999999999998</v>
      </c>
      <c r="AI34" s="344">
        <v>374.2</v>
      </c>
      <c r="AJ34" s="344">
        <v>350.9</v>
      </c>
      <c r="AK34" s="344">
        <v>453.7</v>
      </c>
      <c r="AL34" s="344">
        <v>501.6</v>
      </c>
      <c r="AM34" s="344">
        <v>455.5</v>
      </c>
      <c r="AN34" s="344">
        <v>651.29999999999995</v>
      </c>
      <c r="AO34" s="344">
        <v>653.79999999999995</v>
      </c>
      <c r="AP34" s="344">
        <v>795</v>
      </c>
      <c r="AQ34" s="344">
        <v>742.4</v>
      </c>
      <c r="AR34" s="344">
        <v>928.2</v>
      </c>
      <c r="AS34" s="344">
        <v>1004.1</v>
      </c>
      <c r="AT34" s="344">
        <f t="shared" ref="AT34:AX34" si="12">AT33*AT32/1000</f>
        <v>0</v>
      </c>
      <c r="AU34" s="344">
        <f t="shared" si="12"/>
        <v>0</v>
      </c>
      <c r="AV34" s="344">
        <f t="shared" si="12"/>
        <v>0</v>
      </c>
      <c r="AW34" s="344">
        <f t="shared" si="12"/>
        <v>0</v>
      </c>
      <c r="AX34" s="344">
        <f t="shared" si="12"/>
        <v>0</v>
      </c>
      <c r="AY34" s="365">
        <f>AY32*AY33/1000</f>
        <v>0</v>
      </c>
      <c r="AZ34" s="366">
        <f>AZ32*AZ33/1000</f>
        <v>0</v>
      </c>
      <c r="BA34" s="366">
        <f>AZ34-AY34</f>
        <v>0</v>
      </c>
      <c r="BB34" s="367">
        <f>AY34-AX34</f>
        <v>0</v>
      </c>
      <c r="BC34" s="368">
        <f>AZ34-AX34</f>
        <v>0</v>
      </c>
      <c r="BD34" s="353">
        <f t="shared" si="1"/>
        <v>-1</v>
      </c>
      <c r="BH34" s="311"/>
      <c r="BI34" s="311"/>
      <c r="BJ34" s="311"/>
      <c r="BK34" s="311"/>
    </row>
    <row r="35" spans="1:63" s="311" customFormat="1" ht="15" customHeight="1" thickBot="1">
      <c r="A35" s="331" t="s">
        <v>362</v>
      </c>
      <c r="B35" s="357"/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357"/>
      <c r="N35" s="357"/>
      <c r="O35" s="357"/>
      <c r="P35" s="357"/>
      <c r="Q35" s="357"/>
      <c r="R35" s="357"/>
      <c r="S35" s="357"/>
      <c r="T35" s="357"/>
      <c r="U35" s="357"/>
      <c r="V35" s="357"/>
      <c r="W35" s="357"/>
      <c r="X35" s="357"/>
      <c r="Y35" s="357"/>
      <c r="Z35" s="357"/>
      <c r="AA35" s="357"/>
      <c r="AB35" s="357"/>
      <c r="AC35" s="357"/>
      <c r="AD35" s="357"/>
      <c r="AE35" s="357"/>
      <c r="AF35" s="358"/>
      <c r="AG35" s="358"/>
      <c r="AH35" s="358"/>
      <c r="AI35" s="358"/>
      <c r="AJ35" s="358"/>
      <c r="AK35" s="358"/>
      <c r="AL35" s="358"/>
      <c r="AM35" s="358"/>
      <c r="AN35" s="358"/>
      <c r="AO35" s="358"/>
      <c r="AP35" s="358"/>
      <c r="AQ35" s="358"/>
      <c r="AR35" s="358"/>
      <c r="AS35" s="358"/>
      <c r="AT35" s="333"/>
      <c r="AU35" s="333"/>
      <c r="AV35" s="333"/>
      <c r="AW35" s="333"/>
      <c r="AX35" s="333"/>
      <c r="AY35" s="332"/>
      <c r="AZ35" s="333"/>
      <c r="BA35" s="334"/>
      <c r="BB35" s="332"/>
      <c r="BC35" s="333"/>
      <c r="BD35" s="334"/>
      <c r="BE35" s="309"/>
      <c r="BF35"/>
      <c r="BG35" s="308"/>
      <c r="BH35" s="309"/>
      <c r="BI35" s="309"/>
      <c r="BJ35" s="309"/>
      <c r="BK35" s="309"/>
    </row>
    <row r="36" spans="1:63" s="311" customFormat="1" ht="15" customHeight="1">
      <c r="A36" s="324" t="s">
        <v>352</v>
      </c>
      <c r="B36" s="344">
        <f>B40+B44+B48+B52+B56+B60+B64+B68+B72</f>
        <v>0</v>
      </c>
      <c r="C36" s="344">
        <f t="shared" ref="C36:AY36" si="13">C40+C44+C48+C52+C56+C60+C64+C68+C72</f>
        <v>0</v>
      </c>
      <c r="D36" s="344">
        <f t="shared" si="13"/>
        <v>0</v>
      </c>
      <c r="E36" s="344">
        <f t="shared" si="13"/>
        <v>0</v>
      </c>
      <c r="F36" s="344">
        <f t="shared" si="13"/>
        <v>0</v>
      </c>
      <c r="G36" s="344">
        <f t="shared" si="13"/>
        <v>0</v>
      </c>
      <c r="H36" s="344">
        <f t="shared" si="13"/>
        <v>0</v>
      </c>
      <c r="I36" s="344">
        <f t="shared" si="13"/>
        <v>0</v>
      </c>
      <c r="J36" s="344">
        <f t="shared" si="13"/>
        <v>0</v>
      </c>
      <c r="K36" s="344">
        <f t="shared" si="13"/>
        <v>0</v>
      </c>
      <c r="L36" s="344">
        <f t="shared" si="13"/>
        <v>0</v>
      </c>
      <c r="M36" s="344">
        <f t="shared" si="13"/>
        <v>0</v>
      </c>
      <c r="N36" s="344">
        <f t="shared" si="13"/>
        <v>0</v>
      </c>
      <c r="O36" s="344">
        <f t="shared" si="13"/>
        <v>0</v>
      </c>
      <c r="P36" s="344">
        <f t="shared" si="13"/>
        <v>0</v>
      </c>
      <c r="Q36" s="344">
        <f t="shared" si="13"/>
        <v>0</v>
      </c>
      <c r="R36" s="344">
        <f t="shared" si="13"/>
        <v>0</v>
      </c>
      <c r="S36" s="344">
        <f t="shared" si="13"/>
        <v>0</v>
      </c>
      <c r="T36" s="344">
        <f t="shared" si="13"/>
        <v>0</v>
      </c>
      <c r="U36" s="344">
        <f t="shared" si="13"/>
        <v>0</v>
      </c>
      <c r="V36" s="344">
        <f t="shared" si="13"/>
        <v>0</v>
      </c>
      <c r="W36" s="344">
        <f t="shared" si="13"/>
        <v>0</v>
      </c>
      <c r="X36" s="344">
        <f t="shared" si="13"/>
        <v>0</v>
      </c>
      <c r="Y36" s="344">
        <f t="shared" si="13"/>
        <v>0</v>
      </c>
      <c r="Z36" s="344">
        <f t="shared" si="13"/>
        <v>0</v>
      </c>
      <c r="AA36" s="344">
        <f t="shared" si="13"/>
        <v>0</v>
      </c>
      <c r="AB36" s="344">
        <f t="shared" si="13"/>
        <v>0</v>
      </c>
      <c r="AC36" s="344">
        <f t="shared" si="13"/>
        <v>0</v>
      </c>
      <c r="AD36" s="344">
        <f t="shared" si="13"/>
        <v>0</v>
      </c>
      <c r="AE36" s="344">
        <f t="shared" si="13"/>
        <v>0</v>
      </c>
      <c r="AF36" s="344">
        <f t="shared" si="13"/>
        <v>0</v>
      </c>
      <c r="AG36" s="344">
        <f t="shared" si="13"/>
        <v>0</v>
      </c>
      <c r="AH36" s="344">
        <f t="shared" si="13"/>
        <v>0</v>
      </c>
      <c r="AI36" s="344">
        <f t="shared" si="13"/>
        <v>0</v>
      </c>
      <c r="AJ36" s="344">
        <f t="shared" si="13"/>
        <v>0</v>
      </c>
      <c r="AK36" s="344">
        <f t="shared" si="13"/>
        <v>0</v>
      </c>
      <c r="AL36" s="344">
        <f t="shared" si="13"/>
        <v>0</v>
      </c>
      <c r="AM36" s="344">
        <f t="shared" si="13"/>
        <v>0</v>
      </c>
      <c r="AN36" s="344">
        <f t="shared" si="13"/>
        <v>0</v>
      </c>
      <c r="AO36" s="344">
        <f t="shared" si="13"/>
        <v>0</v>
      </c>
      <c r="AP36" s="344">
        <f t="shared" si="13"/>
        <v>0</v>
      </c>
      <c r="AQ36" s="344">
        <f t="shared" si="13"/>
        <v>0</v>
      </c>
      <c r="AR36" s="344">
        <f t="shared" si="13"/>
        <v>498</v>
      </c>
      <c r="AS36" s="344">
        <f t="shared" si="13"/>
        <v>519.20000000000005</v>
      </c>
      <c r="AT36" s="344">
        <f t="shared" si="13"/>
        <v>579.29999999999995</v>
      </c>
      <c r="AU36" s="344">
        <f t="shared" si="13"/>
        <v>644.59999999999991</v>
      </c>
      <c r="AV36" s="344">
        <f t="shared" si="13"/>
        <v>620.70000000000005</v>
      </c>
      <c r="AW36" s="344">
        <f t="shared" si="13"/>
        <v>638.79999999999995</v>
      </c>
      <c r="AX36" s="344">
        <f t="shared" si="13"/>
        <v>617.4</v>
      </c>
      <c r="AY36" s="369">
        <f t="shared" si="13"/>
        <v>570.09999999999991</v>
      </c>
      <c r="AZ36" s="366">
        <f>AZ40+AZ44+AZ48+AZ52+AZ56+AZ60+AZ64+AZ68+AZ72</f>
        <v>570.09999999999991</v>
      </c>
      <c r="BA36" s="366">
        <f>AZ36-AY36</f>
        <v>0</v>
      </c>
      <c r="BB36" s="367">
        <f>AY36-AX36</f>
        <v>-47.300000000000068</v>
      </c>
      <c r="BC36" s="368">
        <f>AZ36-AX36</f>
        <v>-47.300000000000068</v>
      </c>
      <c r="BD36" s="353">
        <f t="shared" si="1"/>
        <v>3.5252739163416313E-2</v>
      </c>
      <c r="BE36" s="309"/>
      <c r="BF36" s="319" t="b">
        <v>0</v>
      </c>
      <c r="BG36" s="308"/>
    </row>
    <row r="37" spans="1:63" s="311" customFormat="1" ht="15" customHeight="1">
      <c r="A37" s="318" t="s">
        <v>353</v>
      </c>
      <c r="B37" s="345">
        <f>IFERROR(B38/B36*1000,0)</f>
        <v>0</v>
      </c>
      <c r="C37" s="345" t="e">
        <f t="shared" ref="C37:AY37" si="14">C38/C36*1000</f>
        <v>#DIV/0!</v>
      </c>
      <c r="D37" s="345" t="e">
        <f t="shared" si="14"/>
        <v>#DIV/0!</v>
      </c>
      <c r="E37" s="345" t="e">
        <f t="shared" si="14"/>
        <v>#DIV/0!</v>
      </c>
      <c r="F37" s="345" t="e">
        <f t="shared" si="14"/>
        <v>#DIV/0!</v>
      </c>
      <c r="G37" s="345" t="e">
        <f t="shared" si="14"/>
        <v>#DIV/0!</v>
      </c>
      <c r="H37" s="345" t="e">
        <f t="shared" si="14"/>
        <v>#DIV/0!</v>
      </c>
      <c r="I37" s="345" t="e">
        <f t="shared" si="14"/>
        <v>#DIV/0!</v>
      </c>
      <c r="J37" s="345" t="e">
        <f t="shared" si="14"/>
        <v>#DIV/0!</v>
      </c>
      <c r="K37" s="345" t="e">
        <f t="shared" si="14"/>
        <v>#DIV/0!</v>
      </c>
      <c r="L37" s="345" t="e">
        <f t="shared" si="14"/>
        <v>#DIV/0!</v>
      </c>
      <c r="M37" s="345" t="e">
        <f t="shared" si="14"/>
        <v>#DIV/0!</v>
      </c>
      <c r="N37" s="345" t="e">
        <f t="shared" si="14"/>
        <v>#DIV/0!</v>
      </c>
      <c r="O37" s="345" t="e">
        <f t="shared" si="14"/>
        <v>#DIV/0!</v>
      </c>
      <c r="P37" s="345" t="e">
        <f t="shared" si="14"/>
        <v>#DIV/0!</v>
      </c>
      <c r="Q37" s="345" t="e">
        <f t="shared" si="14"/>
        <v>#DIV/0!</v>
      </c>
      <c r="R37" s="345" t="e">
        <f t="shared" si="14"/>
        <v>#DIV/0!</v>
      </c>
      <c r="S37" s="345" t="e">
        <f t="shared" si="14"/>
        <v>#DIV/0!</v>
      </c>
      <c r="T37" s="345" t="e">
        <f t="shared" si="14"/>
        <v>#DIV/0!</v>
      </c>
      <c r="U37" s="345" t="e">
        <f t="shared" si="14"/>
        <v>#DIV/0!</v>
      </c>
      <c r="V37" s="345" t="e">
        <f t="shared" si="14"/>
        <v>#DIV/0!</v>
      </c>
      <c r="W37" s="345" t="e">
        <f t="shared" si="14"/>
        <v>#DIV/0!</v>
      </c>
      <c r="X37" s="345" t="e">
        <f t="shared" si="14"/>
        <v>#DIV/0!</v>
      </c>
      <c r="Y37" s="345" t="e">
        <f t="shared" si="14"/>
        <v>#DIV/0!</v>
      </c>
      <c r="Z37" s="345" t="e">
        <f t="shared" si="14"/>
        <v>#DIV/0!</v>
      </c>
      <c r="AA37" s="345" t="e">
        <f t="shared" si="14"/>
        <v>#DIV/0!</v>
      </c>
      <c r="AB37" s="345" t="e">
        <f t="shared" si="14"/>
        <v>#DIV/0!</v>
      </c>
      <c r="AC37" s="345" t="e">
        <f t="shared" si="14"/>
        <v>#DIV/0!</v>
      </c>
      <c r="AD37" s="345" t="e">
        <f t="shared" si="14"/>
        <v>#DIV/0!</v>
      </c>
      <c r="AE37" s="345" t="e">
        <f t="shared" si="14"/>
        <v>#DIV/0!</v>
      </c>
      <c r="AF37" s="345" t="e">
        <f t="shared" si="14"/>
        <v>#DIV/0!</v>
      </c>
      <c r="AG37" s="345" t="e">
        <f t="shared" si="14"/>
        <v>#DIV/0!</v>
      </c>
      <c r="AH37" s="345" t="e">
        <f t="shared" si="14"/>
        <v>#DIV/0!</v>
      </c>
      <c r="AI37" s="345" t="e">
        <f t="shared" si="14"/>
        <v>#DIV/0!</v>
      </c>
      <c r="AJ37" s="345" t="e">
        <f t="shared" si="14"/>
        <v>#DIV/0!</v>
      </c>
      <c r="AK37" s="345" t="e">
        <f t="shared" si="14"/>
        <v>#DIV/0!</v>
      </c>
      <c r="AL37" s="345" t="e">
        <f t="shared" si="14"/>
        <v>#DIV/0!</v>
      </c>
      <c r="AM37" s="345" t="e">
        <f t="shared" si="14"/>
        <v>#DIV/0!</v>
      </c>
      <c r="AN37" s="345" t="e">
        <f t="shared" si="14"/>
        <v>#DIV/0!</v>
      </c>
      <c r="AO37" s="345" t="e">
        <f t="shared" si="14"/>
        <v>#DIV/0!</v>
      </c>
      <c r="AP37" s="345" t="e">
        <f t="shared" si="14"/>
        <v>#DIV/0!</v>
      </c>
      <c r="AQ37" s="345" t="e">
        <f t="shared" si="14"/>
        <v>#DIV/0!</v>
      </c>
      <c r="AR37" s="345">
        <f t="shared" si="14"/>
        <v>32394.578313253012</v>
      </c>
      <c r="AS37" s="345">
        <f t="shared" si="14"/>
        <v>38071.456086286591</v>
      </c>
      <c r="AT37" s="345">
        <f t="shared" si="14"/>
        <v>2653.8408423959954</v>
      </c>
      <c r="AU37" s="345">
        <f t="shared" si="14"/>
        <v>3288.1430344399637</v>
      </c>
      <c r="AV37" s="345">
        <f t="shared" si="14"/>
        <v>3369.2814564201703</v>
      </c>
      <c r="AW37" s="345">
        <f t="shared" si="14"/>
        <v>3848.7983719474023</v>
      </c>
      <c r="AX37" s="345">
        <f t="shared" si="14"/>
        <v>4480.5121477162293</v>
      </c>
      <c r="AY37" s="346">
        <f t="shared" si="14"/>
        <v>4190.3781792667951</v>
      </c>
      <c r="AZ37" s="347">
        <f>AZ38/AZ36*1000</f>
        <v>4148.1184002806531</v>
      </c>
      <c r="BA37" s="347">
        <f>AZ37-AY37</f>
        <v>-42.25977898614201</v>
      </c>
      <c r="BB37" s="351">
        <f>AY37-AX37</f>
        <v>-290.13396844943418</v>
      </c>
      <c r="BC37" s="352">
        <f>AZ37-AX37</f>
        <v>-332.39374743557619</v>
      </c>
      <c r="BD37" s="353">
        <f t="shared" si="1"/>
        <v>-0.3481530551252211</v>
      </c>
      <c r="BE37" s="309"/>
      <c r="BF37"/>
      <c r="BG37" s="308"/>
      <c r="BH37" s="309"/>
      <c r="BI37" s="309"/>
      <c r="BJ37" s="309"/>
      <c r="BK37" s="309"/>
    </row>
    <row r="38" spans="1:63" s="311" customFormat="1" ht="15" customHeight="1">
      <c r="A38" s="318" t="s">
        <v>354</v>
      </c>
      <c r="B38" s="344">
        <f>B42+B46+B50+B54+B58+B62+B66+B70+B74</f>
        <v>0</v>
      </c>
      <c r="C38" s="344">
        <f t="shared" ref="C38:AY38" si="15">C42+C46+C50+C54+C58+C62+C66+C70+C74</f>
        <v>2295</v>
      </c>
      <c r="D38" s="344">
        <f t="shared" si="15"/>
        <v>2016</v>
      </c>
      <c r="E38" s="344">
        <f t="shared" si="15"/>
        <v>2394</v>
      </c>
      <c r="F38" s="344">
        <f t="shared" si="15"/>
        <v>1593</v>
      </c>
      <c r="G38" s="344">
        <f t="shared" si="15"/>
        <v>2727</v>
      </c>
      <c r="H38" s="344">
        <f t="shared" si="15"/>
        <v>855</v>
      </c>
      <c r="I38" s="344">
        <f t="shared" si="15"/>
        <v>2952</v>
      </c>
      <c r="J38" s="344">
        <f t="shared" si="15"/>
        <v>1134</v>
      </c>
      <c r="K38" s="344">
        <f t="shared" si="15"/>
        <v>2610</v>
      </c>
      <c r="L38" s="344">
        <f t="shared" si="15"/>
        <v>1044</v>
      </c>
      <c r="M38" s="344">
        <f t="shared" si="15"/>
        <v>3105</v>
      </c>
      <c r="N38" s="344">
        <f t="shared" si="15"/>
        <v>3078</v>
      </c>
      <c r="O38" s="344">
        <f t="shared" si="15"/>
        <v>1557</v>
      </c>
      <c r="P38" s="344">
        <f t="shared" si="15"/>
        <v>3192.2999999999993</v>
      </c>
      <c r="Q38" s="344">
        <f t="shared" si="15"/>
        <v>2134.8000000000002</v>
      </c>
      <c r="R38" s="344">
        <f t="shared" si="15"/>
        <v>1776.6000000000004</v>
      </c>
      <c r="S38" s="344">
        <f t="shared" si="15"/>
        <v>3717.8999999999996</v>
      </c>
      <c r="T38" s="344">
        <f t="shared" si="15"/>
        <v>3802.5</v>
      </c>
      <c r="U38" s="344">
        <f t="shared" si="15"/>
        <v>4095</v>
      </c>
      <c r="V38" s="344">
        <f t="shared" si="15"/>
        <v>3264.2999999999993</v>
      </c>
      <c r="W38" s="344">
        <f t="shared" si="15"/>
        <v>1889.1000000000004</v>
      </c>
      <c r="X38" s="344">
        <f t="shared" si="15"/>
        <v>2646.8999999999996</v>
      </c>
      <c r="Y38" s="344">
        <f t="shared" si="15"/>
        <v>2822.3999999999996</v>
      </c>
      <c r="Z38" s="344">
        <f t="shared" si="15"/>
        <v>2790</v>
      </c>
      <c r="AA38" s="344">
        <f t="shared" si="15"/>
        <v>2920.5</v>
      </c>
      <c r="AB38" s="344">
        <f t="shared" si="15"/>
        <v>3727.7999999999993</v>
      </c>
      <c r="AC38" s="344">
        <f t="shared" si="15"/>
        <v>3873.6000000000004</v>
      </c>
      <c r="AD38" s="344">
        <f t="shared" si="15"/>
        <v>3645.8999999999996</v>
      </c>
      <c r="AE38" s="344">
        <f t="shared" si="15"/>
        <v>3819.6000000000004</v>
      </c>
      <c r="AF38" s="344">
        <f t="shared" si="15"/>
        <v>4023.8999999999996</v>
      </c>
      <c r="AG38" s="344">
        <f t="shared" si="15"/>
        <v>4413.6000000000004</v>
      </c>
      <c r="AH38" s="344">
        <f t="shared" si="15"/>
        <v>4536.8999999999996</v>
      </c>
      <c r="AI38" s="344">
        <f t="shared" si="15"/>
        <v>5058.9000000000005</v>
      </c>
      <c r="AJ38" s="344">
        <f t="shared" si="15"/>
        <v>7917.2999999999993</v>
      </c>
      <c r="AK38" s="344">
        <f t="shared" si="15"/>
        <v>6584.4000000000015</v>
      </c>
      <c r="AL38" s="344">
        <f t="shared" si="15"/>
        <v>11784.599999999999</v>
      </c>
      <c r="AM38" s="344">
        <f t="shared" si="15"/>
        <v>15533.099999999999</v>
      </c>
      <c r="AN38" s="344">
        <f t="shared" si="15"/>
        <v>13222.800000000003</v>
      </c>
      <c r="AO38" s="344">
        <f t="shared" si="15"/>
        <v>7869.5999999999985</v>
      </c>
      <c r="AP38" s="344">
        <f t="shared" si="15"/>
        <v>17567.099999999999</v>
      </c>
      <c r="AQ38" s="344">
        <f t="shared" si="15"/>
        <v>16956</v>
      </c>
      <c r="AR38" s="344">
        <f t="shared" si="15"/>
        <v>16132.5</v>
      </c>
      <c r="AS38" s="344">
        <f t="shared" si="15"/>
        <v>19766.699999999997</v>
      </c>
      <c r="AT38" s="344">
        <f t="shared" si="15"/>
        <v>1537.3700000000001</v>
      </c>
      <c r="AU38" s="344">
        <f t="shared" si="15"/>
        <v>2119.5370000000003</v>
      </c>
      <c r="AV38" s="344">
        <f t="shared" si="15"/>
        <v>2091.3130000000001</v>
      </c>
      <c r="AW38" s="344">
        <f t="shared" si="15"/>
        <v>2458.6124000000004</v>
      </c>
      <c r="AX38" s="344">
        <f t="shared" si="15"/>
        <v>2766.2682</v>
      </c>
      <c r="AY38" s="365">
        <f t="shared" si="15"/>
        <v>2388.9345999999996</v>
      </c>
      <c r="AZ38" s="366">
        <f>AZ42+AZ46+AZ50+AZ54+AZ58+AZ62+AZ66+AZ70+AZ74</f>
        <v>2364.8423000000003</v>
      </c>
      <c r="BA38" s="366">
        <f>AZ38-AY38</f>
        <v>-24.092299999999341</v>
      </c>
      <c r="BB38" s="367">
        <f>AY38-AX38</f>
        <v>-377.33360000000039</v>
      </c>
      <c r="BC38" s="368">
        <f>AZ38-AX38</f>
        <v>-401.42589999999973</v>
      </c>
      <c r="BD38" s="353">
        <f t="shared" si="1"/>
        <v>-0.32517366480308074</v>
      </c>
      <c r="BE38" s="309"/>
      <c r="BF38"/>
      <c r="BG38" s="308"/>
    </row>
    <row r="39" spans="1:63" ht="15" customHeight="1">
      <c r="A39" s="320" t="s">
        <v>363</v>
      </c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356"/>
      <c r="AB39" s="356"/>
      <c r="AC39" s="356"/>
      <c r="AD39" s="356"/>
      <c r="AE39" s="356"/>
      <c r="AF39" s="356"/>
      <c r="AG39" s="356"/>
      <c r="AH39" s="356"/>
      <c r="AI39" s="356"/>
      <c r="AJ39" s="356"/>
      <c r="AK39" s="356"/>
      <c r="AL39" s="356"/>
      <c r="AM39" s="356"/>
      <c r="AN39" s="356"/>
      <c r="AO39" s="356"/>
      <c r="AP39" s="356"/>
      <c r="AQ39" s="356"/>
      <c r="AR39" s="356"/>
      <c r="AS39" s="356"/>
      <c r="AT39" s="328"/>
      <c r="AU39" s="328"/>
      <c r="AV39" s="328"/>
      <c r="AW39" s="328"/>
      <c r="AX39" s="328"/>
      <c r="AY39" s="321"/>
      <c r="AZ39" s="328"/>
      <c r="BA39" s="329"/>
      <c r="BB39" s="321"/>
      <c r="BC39" s="328"/>
      <c r="BD39" s="329"/>
    </row>
    <row r="40" spans="1:63" ht="15" customHeight="1">
      <c r="A40" s="324" t="s">
        <v>352</v>
      </c>
      <c r="B40" s="344">
        <v>0</v>
      </c>
      <c r="C40" s="344"/>
      <c r="D40" s="344"/>
      <c r="E40" s="344"/>
      <c r="F40" s="344"/>
      <c r="G40" s="344"/>
      <c r="H40" s="344"/>
      <c r="I40" s="344"/>
      <c r="J40" s="344"/>
      <c r="K40" s="344"/>
      <c r="L40" s="344"/>
      <c r="M40" s="344"/>
      <c r="N40" s="344"/>
      <c r="O40" s="344"/>
      <c r="P40" s="344"/>
      <c r="Q40" s="344"/>
      <c r="R40" s="344"/>
      <c r="S40" s="344"/>
      <c r="T40" s="344"/>
      <c r="U40" s="344"/>
      <c r="V40" s="344"/>
      <c r="W40" s="344"/>
      <c r="X40" s="344"/>
      <c r="Y40" s="344"/>
      <c r="Z40" s="344"/>
      <c r="AA40" s="344"/>
      <c r="AB40" s="344"/>
      <c r="AC40" s="344"/>
      <c r="AD40" s="344"/>
      <c r="AE40" s="344"/>
      <c r="AF40" s="344"/>
      <c r="AG40" s="344"/>
      <c r="AH40" s="344"/>
      <c r="AI40" s="344"/>
      <c r="AJ40" s="344"/>
      <c r="AK40" s="344"/>
      <c r="AL40" s="344"/>
      <c r="AM40" s="344"/>
      <c r="AN40" s="344"/>
      <c r="AO40" s="344"/>
      <c r="AP40" s="344"/>
      <c r="AQ40" s="344"/>
      <c r="AR40" s="344"/>
      <c r="AS40" s="344">
        <v>0</v>
      </c>
      <c r="AT40" s="344">
        <v>0</v>
      </c>
      <c r="AU40" s="344">
        <v>0</v>
      </c>
      <c r="AV40" s="344">
        <v>0</v>
      </c>
      <c r="AW40" s="344">
        <v>0</v>
      </c>
      <c r="AX40" s="344">
        <v>0</v>
      </c>
      <c r="AY40" s="369">
        <v>0</v>
      </c>
      <c r="AZ40" s="366">
        <v>0</v>
      </c>
      <c r="BA40" s="366">
        <f>AZ40-AY40</f>
        <v>0</v>
      </c>
      <c r="BB40" s="367">
        <f>AY40-AX40</f>
        <v>0</v>
      </c>
      <c r="BC40" s="368">
        <f>AZ40-AX40</f>
        <v>0</v>
      </c>
      <c r="BD40" s="353">
        <f t="shared" si="1"/>
        <v>0</v>
      </c>
      <c r="BF40" s="319" t="b">
        <v>0</v>
      </c>
      <c r="BH40" s="311"/>
      <c r="BI40" s="311"/>
      <c r="BJ40" s="311"/>
      <c r="BK40" s="311"/>
    </row>
    <row r="41" spans="1:63" ht="15" customHeight="1">
      <c r="A41" s="324" t="s">
        <v>353</v>
      </c>
      <c r="B41" s="345">
        <v>0</v>
      </c>
      <c r="C41" s="345"/>
      <c r="D41" s="345"/>
      <c r="E41" s="345"/>
      <c r="F41" s="345"/>
      <c r="G41" s="345"/>
      <c r="H41" s="345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Y41" s="345"/>
      <c r="Z41" s="345"/>
      <c r="AA41" s="345"/>
      <c r="AB41" s="345"/>
      <c r="AC41" s="345"/>
      <c r="AD41" s="345"/>
      <c r="AE41" s="345"/>
      <c r="AF41" s="345"/>
      <c r="AG41" s="345"/>
      <c r="AH41" s="345"/>
      <c r="AI41" s="345"/>
      <c r="AJ41" s="345"/>
      <c r="AK41" s="345"/>
      <c r="AL41" s="345"/>
      <c r="AM41" s="345"/>
      <c r="AN41" s="345"/>
      <c r="AO41" s="345"/>
      <c r="AP41" s="345"/>
      <c r="AQ41" s="345"/>
      <c r="AR41" s="345"/>
      <c r="AS41" s="345"/>
      <c r="AT41" s="345">
        <v>0</v>
      </c>
      <c r="AU41" s="345">
        <v>0</v>
      </c>
      <c r="AV41" s="345">
        <v>0</v>
      </c>
      <c r="AW41" s="345">
        <v>0</v>
      </c>
      <c r="AX41" s="345">
        <v>0</v>
      </c>
      <c r="AY41" s="346">
        <v>0</v>
      </c>
      <c r="AZ41" s="347">
        <v>0</v>
      </c>
      <c r="BA41" s="347">
        <f>AZ41-AY41</f>
        <v>0</v>
      </c>
      <c r="BB41" s="351">
        <f>AY41-AX41</f>
        <v>0</v>
      </c>
      <c r="BC41" s="352">
        <f>AZ41-AX41</f>
        <v>0</v>
      </c>
      <c r="BD41" s="353">
        <f t="shared" si="1"/>
        <v>0</v>
      </c>
    </row>
    <row r="42" spans="1:63" s="311" customFormat="1" ht="15" customHeight="1">
      <c r="A42" s="324" t="s">
        <v>354</v>
      </c>
      <c r="B42" s="344">
        <f>B41*B40/1000</f>
        <v>0</v>
      </c>
      <c r="C42" s="344">
        <v>255</v>
      </c>
      <c r="D42" s="344">
        <v>224</v>
      </c>
      <c r="E42" s="344">
        <v>266</v>
      </c>
      <c r="F42" s="344">
        <v>177</v>
      </c>
      <c r="G42" s="344">
        <v>303</v>
      </c>
      <c r="H42" s="344">
        <v>95</v>
      </c>
      <c r="I42" s="344">
        <v>328</v>
      </c>
      <c r="J42" s="344">
        <v>126</v>
      </c>
      <c r="K42" s="344">
        <v>290</v>
      </c>
      <c r="L42" s="344">
        <v>116</v>
      </c>
      <c r="M42" s="344">
        <v>345</v>
      </c>
      <c r="N42" s="344">
        <v>342</v>
      </c>
      <c r="O42" s="344">
        <v>173</v>
      </c>
      <c r="P42" s="344">
        <v>354.7</v>
      </c>
      <c r="Q42" s="344">
        <v>237.2</v>
      </c>
      <c r="R42" s="344">
        <v>197.4</v>
      </c>
      <c r="S42" s="344">
        <v>413.1</v>
      </c>
      <c r="T42" s="344">
        <v>422.5</v>
      </c>
      <c r="U42" s="344">
        <v>455</v>
      </c>
      <c r="V42" s="344">
        <v>362.7</v>
      </c>
      <c r="W42" s="344">
        <v>209.9</v>
      </c>
      <c r="X42" s="344">
        <v>294.10000000000002</v>
      </c>
      <c r="Y42" s="344">
        <v>313.60000000000002</v>
      </c>
      <c r="Z42" s="344">
        <v>310</v>
      </c>
      <c r="AA42" s="344">
        <v>324.5</v>
      </c>
      <c r="AB42" s="344">
        <v>414.2</v>
      </c>
      <c r="AC42" s="344">
        <v>430.4</v>
      </c>
      <c r="AD42" s="344">
        <v>405.1</v>
      </c>
      <c r="AE42" s="344">
        <v>424.4</v>
      </c>
      <c r="AF42" s="344">
        <v>447.1</v>
      </c>
      <c r="AG42" s="344">
        <v>490.4</v>
      </c>
      <c r="AH42" s="344">
        <v>504.1</v>
      </c>
      <c r="AI42" s="344">
        <v>562.1</v>
      </c>
      <c r="AJ42" s="344">
        <v>879.7</v>
      </c>
      <c r="AK42" s="344">
        <v>731.6</v>
      </c>
      <c r="AL42" s="344">
        <v>1309.4000000000001</v>
      </c>
      <c r="AM42" s="344">
        <v>1725.9</v>
      </c>
      <c r="AN42" s="344">
        <v>1469.2</v>
      </c>
      <c r="AO42" s="344">
        <v>874.4</v>
      </c>
      <c r="AP42" s="344">
        <v>1951.9</v>
      </c>
      <c r="AQ42" s="344">
        <v>1884</v>
      </c>
      <c r="AR42" s="344">
        <v>1792.5</v>
      </c>
      <c r="AS42" s="344">
        <v>2196.3000000000002</v>
      </c>
      <c r="AT42" s="344">
        <f t="shared" ref="AT42:AY42" si="16">AT41*AT40/1000</f>
        <v>0</v>
      </c>
      <c r="AU42" s="344">
        <f t="shared" si="16"/>
        <v>0</v>
      </c>
      <c r="AV42" s="344">
        <f t="shared" si="16"/>
        <v>0</v>
      </c>
      <c r="AW42" s="344">
        <f t="shared" si="16"/>
        <v>0</v>
      </c>
      <c r="AX42" s="344">
        <f t="shared" si="16"/>
        <v>0</v>
      </c>
      <c r="AY42" s="365">
        <f t="shared" si="16"/>
        <v>0</v>
      </c>
      <c r="AZ42" s="366">
        <f>AZ40*AZ41/1000</f>
        <v>0</v>
      </c>
      <c r="BA42" s="366">
        <f>AZ42-AY42</f>
        <v>0</v>
      </c>
      <c r="BB42" s="367">
        <f>AY42-AX42</f>
        <v>0</v>
      </c>
      <c r="BC42" s="368">
        <f>AZ42-AX42</f>
        <v>0</v>
      </c>
      <c r="BD42" s="353">
        <f t="shared" si="1"/>
        <v>-1</v>
      </c>
      <c r="BE42" s="309"/>
      <c r="BF42"/>
      <c r="BG42" s="308"/>
    </row>
    <row r="43" spans="1:63" ht="15" customHeight="1">
      <c r="A43" s="320" t="s">
        <v>364</v>
      </c>
      <c r="B43" s="356"/>
      <c r="C43" s="356"/>
      <c r="D43" s="356"/>
      <c r="E43" s="356"/>
      <c r="F43" s="356"/>
      <c r="G43" s="356"/>
      <c r="H43" s="356"/>
      <c r="I43" s="356"/>
      <c r="J43" s="356"/>
      <c r="K43" s="356"/>
      <c r="L43" s="356"/>
      <c r="M43" s="356"/>
      <c r="N43" s="356"/>
      <c r="O43" s="356"/>
      <c r="P43" s="356"/>
      <c r="Q43" s="356"/>
      <c r="R43" s="356"/>
      <c r="S43" s="356"/>
      <c r="T43" s="356"/>
      <c r="U43" s="356"/>
      <c r="V43" s="356"/>
      <c r="W43" s="356"/>
      <c r="X43" s="356"/>
      <c r="Y43" s="356"/>
      <c r="Z43" s="356"/>
      <c r="AA43" s="356"/>
      <c r="AB43" s="356"/>
      <c r="AC43" s="356"/>
      <c r="AD43" s="356"/>
      <c r="AE43" s="356"/>
      <c r="AF43" s="356"/>
      <c r="AG43" s="356"/>
      <c r="AH43" s="356"/>
      <c r="AI43" s="356"/>
      <c r="AJ43" s="356"/>
      <c r="AK43" s="356"/>
      <c r="AL43" s="356"/>
      <c r="AM43" s="356"/>
      <c r="AN43" s="356"/>
      <c r="AO43" s="356"/>
      <c r="AP43" s="356"/>
      <c r="AQ43" s="356"/>
      <c r="AR43" s="356"/>
      <c r="AS43" s="356"/>
      <c r="AT43" s="328"/>
      <c r="AU43" s="328"/>
      <c r="AV43" s="328"/>
      <c r="AW43" s="328"/>
      <c r="AX43" s="328"/>
      <c r="AY43" s="321"/>
      <c r="AZ43" s="328"/>
      <c r="BA43" s="329"/>
      <c r="BB43" s="321"/>
      <c r="BC43" s="328"/>
      <c r="BD43" s="329"/>
    </row>
    <row r="44" spans="1:63" ht="15" customHeight="1">
      <c r="A44" s="324" t="s">
        <v>352</v>
      </c>
      <c r="B44" s="344">
        <v>0</v>
      </c>
      <c r="C44" s="344"/>
      <c r="D44" s="344"/>
      <c r="E44" s="344"/>
      <c r="F44" s="344"/>
      <c r="G44" s="344"/>
      <c r="H44" s="344"/>
      <c r="I44" s="344"/>
      <c r="J44" s="344"/>
      <c r="K44" s="344"/>
      <c r="L44" s="344"/>
      <c r="M44" s="344"/>
      <c r="N44" s="344"/>
      <c r="O44" s="344"/>
      <c r="P44" s="344"/>
      <c r="Q44" s="344"/>
      <c r="R44" s="344"/>
      <c r="S44" s="344"/>
      <c r="T44" s="344"/>
      <c r="U44" s="344"/>
      <c r="V44" s="344"/>
      <c r="W44" s="344"/>
      <c r="X44" s="344"/>
      <c r="Y44" s="344"/>
      <c r="Z44" s="344"/>
      <c r="AA44" s="344"/>
      <c r="AB44" s="344"/>
      <c r="AC44" s="344"/>
      <c r="AD44" s="344"/>
      <c r="AE44" s="344"/>
      <c r="AF44" s="344"/>
      <c r="AG44" s="344"/>
      <c r="AH44" s="344"/>
      <c r="AI44" s="344"/>
      <c r="AJ44" s="344"/>
      <c r="AK44" s="344"/>
      <c r="AL44" s="344"/>
      <c r="AM44" s="344"/>
      <c r="AN44" s="344"/>
      <c r="AO44" s="344"/>
      <c r="AP44" s="344"/>
      <c r="AQ44" s="344"/>
      <c r="AR44" s="344"/>
      <c r="AS44" s="344">
        <v>0</v>
      </c>
      <c r="AT44" s="344">
        <v>0</v>
      </c>
      <c r="AU44" s="344">
        <v>0</v>
      </c>
      <c r="AV44" s="344">
        <v>0</v>
      </c>
      <c r="AW44" s="344">
        <v>0</v>
      </c>
      <c r="AX44" s="344">
        <v>0</v>
      </c>
      <c r="AY44" s="369">
        <v>0</v>
      </c>
      <c r="AZ44" s="366">
        <v>0</v>
      </c>
      <c r="BA44" s="366">
        <f>AZ44-AY44</f>
        <v>0</v>
      </c>
      <c r="BB44" s="367">
        <f>AY44-AX44</f>
        <v>0</v>
      </c>
      <c r="BC44" s="368">
        <f>AZ44-AX44</f>
        <v>0</v>
      </c>
      <c r="BD44" s="353">
        <f t="shared" si="1"/>
        <v>0</v>
      </c>
      <c r="BF44" s="319" t="b">
        <v>0</v>
      </c>
      <c r="BH44" s="311"/>
      <c r="BI44" s="311"/>
      <c r="BJ44" s="311"/>
      <c r="BK44" s="311"/>
    </row>
    <row r="45" spans="1:63" ht="15" customHeight="1">
      <c r="A45" s="324" t="s">
        <v>353</v>
      </c>
      <c r="B45" s="345">
        <v>0</v>
      </c>
      <c r="C45" s="345"/>
      <c r="D45" s="345"/>
      <c r="E45" s="345"/>
      <c r="F45" s="345"/>
      <c r="G45" s="345"/>
      <c r="H45" s="345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Y45" s="345"/>
      <c r="Z45" s="345"/>
      <c r="AA45" s="345"/>
      <c r="AB45" s="345"/>
      <c r="AC45" s="345"/>
      <c r="AD45" s="345"/>
      <c r="AE45" s="345"/>
      <c r="AF45" s="345"/>
      <c r="AG45" s="345"/>
      <c r="AH45" s="345"/>
      <c r="AI45" s="345"/>
      <c r="AJ45" s="345"/>
      <c r="AK45" s="345"/>
      <c r="AL45" s="345"/>
      <c r="AM45" s="345"/>
      <c r="AN45" s="345"/>
      <c r="AO45" s="345"/>
      <c r="AP45" s="345"/>
      <c r="AQ45" s="345"/>
      <c r="AR45" s="345"/>
      <c r="AS45" s="345"/>
      <c r="AT45" s="345">
        <v>0</v>
      </c>
      <c r="AU45" s="345">
        <v>0</v>
      </c>
      <c r="AV45" s="345">
        <v>0</v>
      </c>
      <c r="AW45" s="345">
        <v>0</v>
      </c>
      <c r="AX45" s="345">
        <v>0</v>
      </c>
      <c r="AY45" s="346">
        <v>0</v>
      </c>
      <c r="AZ45" s="347">
        <v>0</v>
      </c>
      <c r="BA45" s="347">
        <f>AZ45-AY45</f>
        <v>0</v>
      </c>
      <c r="BB45" s="351">
        <f>AY45-AX45</f>
        <v>0</v>
      </c>
      <c r="BC45" s="352">
        <f>AZ45-AX45</f>
        <v>0</v>
      </c>
      <c r="BD45" s="353">
        <f t="shared" si="1"/>
        <v>0</v>
      </c>
    </row>
    <row r="46" spans="1:63" s="311" customFormat="1" ht="15" customHeight="1">
      <c r="A46" s="324" t="s">
        <v>354</v>
      </c>
      <c r="B46" s="344">
        <f>B45*B44/1000</f>
        <v>0</v>
      </c>
      <c r="C46" s="344">
        <v>255</v>
      </c>
      <c r="D46" s="344">
        <v>224</v>
      </c>
      <c r="E46" s="344">
        <v>266</v>
      </c>
      <c r="F46" s="344">
        <v>177</v>
      </c>
      <c r="G46" s="344">
        <v>303</v>
      </c>
      <c r="H46" s="344">
        <v>95</v>
      </c>
      <c r="I46" s="344">
        <v>328</v>
      </c>
      <c r="J46" s="344">
        <v>126</v>
      </c>
      <c r="K46" s="344">
        <v>290</v>
      </c>
      <c r="L46" s="344">
        <v>116</v>
      </c>
      <c r="M46" s="344">
        <v>345</v>
      </c>
      <c r="N46" s="344">
        <v>342</v>
      </c>
      <c r="O46" s="344">
        <v>173</v>
      </c>
      <c r="P46" s="344">
        <v>354.7</v>
      </c>
      <c r="Q46" s="344">
        <v>237.2</v>
      </c>
      <c r="R46" s="344">
        <v>197.4</v>
      </c>
      <c r="S46" s="344">
        <v>413.1</v>
      </c>
      <c r="T46" s="344">
        <v>422.5</v>
      </c>
      <c r="U46" s="344">
        <v>455</v>
      </c>
      <c r="V46" s="344">
        <v>362.7</v>
      </c>
      <c r="W46" s="344">
        <v>209.9</v>
      </c>
      <c r="X46" s="344">
        <v>294.10000000000002</v>
      </c>
      <c r="Y46" s="344">
        <v>313.60000000000002</v>
      </c>
      <c r="Z46" s="344">
        <v>310</v>
      </c>
      <c r="AA46" s="344">
        <v>324.5</v>
      </c>
      <c r="AB46" s="344">
        <v>414.2</v>
      </c>
      <c r="AC46" s="344">
        <v>430.4</v>
      </c>
      <c r="AD46" s="344">
        <v>405.1</v>
      </c>
      <c r="AE46" s="344">
        <v>424.4</v>
      </c>
      <c r="AF46" s="344">
        <v>447.1</v>
      </c>
      <c r="AG46" s="344">
        <v>490.4</v>
      </c>
      <c r="AH46" s="344">
        <v>504.1</v>
      </c>
      <c r="AI46" s="344">
        <v>562.1</v>
      </c>
      <c r="AJ46" s="344">
        <v>879.7</v>
      </c>
      <c r="AK46" s="344">
        <v>731.6</v>
      </c>
      <c r="AL46" s="344">
        <v>1309.4000000000001</v>
      </c>
      <c r="AM46" s="344">
        <v>1725.9</v>
      </c>
      <c r="AN46" s="344">
        <v>1469.2</v>
      </c>
      <c r="AO46" s="344">
        <v>874.4</v>
      </c>
      <c r="AP46" s="344">
        <v>1951.9</v>
      </c>
      <c r="AQ46" s="344">
        <v>1884</v>
      </c>
      <c r="AR46" s="344">
        <v>1792.5</v>
      </c>
      <c r="AS46" s="344">
        <v>2196.3000000000002</v>
      </c>
      <c r="AT46" s="344">
        <f t="shared" ref="AT46:AY46" si="17">AT45*AT44/1000</f>
        <v>0</v>
      </c>
      <c r="AU46" s="344">
        <f t="shared" si="17"/>
        <v>0</v>
      </c>
      <c r="AV46" s="344">
        <f t="shared" si="17"/>
        <v>0</v>
      </c>
      <c r="AW46" s="344">
        <f t="shared" si="17"/>
        <v>0</v>
      </c>
      <c r="AX46" s="344">
        <f t="shared" si="17"/>
        <v>0</v>
      </c>
      <c r="AY46" s="365">
        <f t="shared" si="17"/>
        <v>0</v>
      </c>
      <c r="AZ46" s="366">
        <f>AZ44*AZ45/1000</f>
        <v>0</v>
      </c>
      <c r="BA46" s="366">
        <f>AZ46-AY46</f>
        <v>0</v>
      </c>
      <c r="BB46" s="367">
        <f>AY46-AX46</f>
        <v>0</v>
      </c>
      <c r="BC46" s="368">
        <f>AZ46-AX46</f>
        <v>0</v>
      </c>
      <c r="BD46" s="353">
        <f t="shared" si="1"/>
        <v>-1</v>
      </c>
      <c r="BE46" s="309"/>
      <c r="BF46"/>
      <c r="BG46" s="308"/>
    </row>
    <row r="47" spans="1:63" ht="15" customHeight="1">
      <c r="A47" s="320" t="s">
        <v>365</v>
      </c>
      <c r="B47" s="356"/>
      <c r="C47" s="356"/>
      <c r="D47" s="356"/>
      <c r="E47" s="356"/>
      <c r="F47" s="356"/>
      <c r="G47" s="356"/>
      <c r="H47" s="356"/>
      <c r="I47" s="356"/>
      <c r="J47" s="356"/>
      <c r="K47" s="356"/>
      <c r="L47" s="356"/>
      <c r="M47" s="356"/>
      <c r="N47" s="356"/>
      <c r="O47" s="356"/>
      <c r="P47" s="356"/>
      <c r="Q47" s="356"/>
      <c r="R47" s="356"/>
      <c r="S47" s="356"/>
      <c r="T47" s="356"/>
      <c r="U47" s="356"/>
      <c r="V47" s="356"/>
      <c r="W47" s="356"/>
      <c r="X47" s="356"/>
      <c r="Y47" s="356"/>
      <c r="Z47" s="356"/>
      <c r="AA47" s="356"/>
      <c r="AB47" s="356"/>
      <c r="AC47" s="356"/>
      <c r="AD47" s="356"/>
      <c r="AE47" s="356"/>
      <c r="AF47" s="356"/>
      <c r="AG47" s="356"/>
      <c r="AH47" s="356"/>
      <c r="AI47" s="356"/>
      <c r="AJ47" s="356"/>
      <c r="AK47" s="356"/>
      <c r="AL47" s="356"/>
      <c r="AM47" s="356"/>
      <c r="AN47" s="356"/>
      <c r="AO47" s="356"/>
      <c r="AP47" s="356"/>
      <c r="AQ47" s="356"/>
      <c r="AR47" s="356"/>
      <c r="AS47" s="356"/>
      <c r="AT47" s="328"/>
      <c r="AU47" s="328"/>
      <c r="AV47" s="328"/>
      <c r="AW47" s="328"/>
      <c r="AX47" s="328"/>
      <c r="AY47" s="321"/>
      <c r="AZ47" s="328"/>
      <c r="BA47" s="329"/>
      <c r="BB47" s="321"/>
      <c r="BC47" s="328"/>
      <c r="BD47" s="329"/>
    </row>
    <row r="48" spans="1:63" ht="15" customHeight="1">
      <c r="A48" s="324" t="s">
        <v>352</v>
      </c>
      <c r="B48" s="344">
        <v>0</v>
      </c>
      <c r="C48" s="344"/>
      <c r="D48" s="344"/>
      <c r="E48" s="344"/>
      <c r="F48" s="344"/>
      <c r="G48" s="344"/>
      <c r="H48" s="344"/>
      <c r="I48" s="344"/>
      <c r="J48" s="344"/>
      <c r="K48" s="344"/>
      <c r="L48" s="344"/>
      <c r="M48" s="344"/>
      <c r="N48" s="344"/>
      <c r="O48" s="344"/>
      <c r="P48" s="344"/>
      <c r="Q48" s="344"/>
      <c r="R48" s="344"/>
      <c r="S48" s="344"/>
      <c r="T48" s="344"/>
      <c r="U48" s="344"/>
      <c r="V48" s="344"/>
      <c r="W48" s="344"/>
      <c r="X48" s="344"/>
      <c r="Y48" s="344"/>
      <c r="Z48" s="344"/>
      <c r="AA48" s="344"/>
      <c r="AB48" s="344"/>
      <c r="AC48" s="344"/>
      <c r="AD48" s="344"/>
      <c r="AE48" s="344"/>
      <c r="AF48" s="344"/>
      <c r="AG48" s="344"/>
      <c r="AH48" s="344"/>
      <c r="AI48" s="344"/>
      <c r="AJ48" s="344"/>
      <c r="AK48" s="344"/>
      <c r="AL48" s="344"/>
      <c r="AM48" s="344"/>
      <c r="AN48" s="344"/>
      <c r="AO48" s="344"/>
      <c r="AP48" s="344"/>
      <c r="AQ48" s="344"/>
      <c r="AR48" s="344"/>
      <c r="AS48" s="344">
        <v>0</v>
      </c>
      <c r="AT48" s="344">
        <v>0</v>
      </c>
      <c r="AU48" s="344">
        <v>0</v>
      </c>
      <c r="AV48" s="344">
        <v>0</v>
      </c>
      <c r="AW48" s="344">
        <v>0</v>
      </c>
      <c r="AX48" s="344">
        <v>0</v>
      </c>
      <c r="AY48" s="369">
        <v>0</v>
      </c>
      <c r="AZ48" s="366">
        <v>0</v>
      </c>
      <c r="BA48" s="366">
        <f>AZ48-AY48</f>
        <v>0</v>
      </c>
      <c r="BB48" s="367">
        <f>AY48-AX48</f>
        <v>0</v>
      </c>
      <c r="BC48" s="368">
        <f>AZ48-AX48</f>
        <v>0</v>
      </c>
      <c r="BD48" s="370">
        <f t="shared" si="1"/>
        <v>0</v>
      </c>
      <c r="BF48" s="319" t="b">
        <v>0</v>
      </c>
      <c r="BH48" s="311"/>
      <c r="BI48" s="311"/>
      <c r="BJ48" s="311"/>
      <c r="BK48" s="311"/>
    </row>
    <row r="49" spans="1:63" ht="15" customHeight="1">
      <c r="A49" s="324" t="s">
        <v>353</v>
      </c>
      <c r="B49" s="345">
        <v>0</v>
      </c>
      <c r="C49" s="345"/>
      <c r="D49" s="345"/>
      <c r="E49" s="345"/>
      <c r="F49" s="345"/>
      <c r="G49" s="345"/>
      <c r="H49" s="345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Y49" s="345"/>
      <c r="Z49" s="345"/>
      <c r="AA49" s="345"/>
      <c r="AB49" s="345"/>
      <c r="AC49" s="345"/>
      <c r="AD49" s="345"/>
      <c r="AE49" s="345"/>
      <c r="AF49" s="345"/>
      <c r="AG49" s="345"/>
      <c r="AH49" s="345"/>
      <c r="AI49" s="345"/>
      <c r="AJ49" s="345"/>
      <c r="AK49" s="345"/>
      <c r="AL49" s="345"/>
      <c r="AM49" s="345"/>
      <c r="AN49" s="345"/>
      <c r="AO49" s="345"/>
      <c r="AP49" s="345"/>
      <c r="AQ49" s="345"/>
      <c r="AR49" s="345"/>
      <c r="AS49" s="345"/>
      <c r="AT49" s="345">
        <v>0</v>
      </c>
      <c r="AU49" s="345">
        <v>0</v>
      </c>
      <c r="AV49" s="345">
        <v>0</v>
      </c>
      <c r="AW49" s="345">
        <v>0</v>
      </c>
      <c r="AX49" s="345">
        <v>0</v>
      </c>
      <c r="AY49" s="346">
        <v>0</v>
      </c>
      <c r="AZ49" s="347">
        <v>0</v>
      </c>
      <c r="BA49" s="347">
        <f>AZ49-AY49</f>
        <v>0</v>
      </c>
      <c r="BB49" s="351">
        <f>AY49-AX49</f>
        <v>0</v>
      </c>
      <c r="BC49" s="352">
        <f>AZ49-AX49</f>
        <v>0</v>
      </c>
      <c r="BD49" s="353">
        <f t="shared" si="1"/>
        <v>0</v>
      </c>
    </row>
    <row r="50" spans="1:63" s="311" customFormat="1" ht="15" customHeight="1">
      <c r="A50" s="324" t="s">
        <v>354</v>
      </c>
      <c r="B50" s="344">
        <f>B49*B48/1000</f>
        <v>0</v>
      </c>
      <c r="C50" s="344">
        <v>255</v>
      </c>
      <c r="D50" s="344">
        <v>224</v>
      </c>
      <c r="E50" s="344">
        <v>266</v>
      </c>
      <c r="F50" s="344">
        <v>177</v>
      </c>
      <c r="G50" s="344">
        <v>303</v>
      </c>
      <c r="H50" s="344">
        <v>95</v>
      </c>
      <c r="I50" s="344">
        <v>328</v>
      </c>
      <c r="J50" s="344">
        <v>126</v>
      </c>
      <c r="K50" s="344">
        <v>290</v>
      </c>
      <c r="L50" s="344">
        <v>116</v>
      </c>
      <c r="M50" s="344">
        <v>345</v>
      </c>
      <c r="N50" s="344">
        <v>342</v>
      </c>
      <c r="O50" s="344">
        <v>173</v>
      </c>
      <c r="P50" s="344">
        <v>354.7</v>
      </c>
      <c r="Q50" s="344">
        <v>237.2</v>
      </c>
      <c r="R50" s="344">
        <v>197.4</v>
      </c>
      <c r="S50" s="344">
        <v>413.1</v>
      </c>
      <c r="T50" s="344">
        <v>422.5</v>
      </c>
      <c r="U50" s="344">
        <v>455</v>
      </c>
      <c r="V50" s="344">
        <v>362.7</v>
      </c>
      <c r="W50" s="344">
        <v>209.9</v>
      </c>
      <c r="X50" s="344">
        <v>294.10000000000002</v>
      </c>
      <c r="Y50" s="344">
        <v>313.60000000000002</v>
      </c>
      <c r="Z50" s="344">
        <v>310</v>
      </c>
      <c r="AA50" s="344">
        <v>324.5</v>
      </c>
      <c r="AB50" s="344">
        <v>414.2</v>
      </c>
      <c r="AC50" s="344">
        <v>430.4</v>
      </c>
      <c r="AD50" s="344">
        <v>405.1</v>
      </c>
      <c r="AE50" s="344">
        <v>424.4</v>
      </c>
      <c r="AF50" s="344">
        <v>447.1</v>
      </c>
      <c r="AG50" s="344">
        <v>490.4</v>
      </c>
      <c r="AH50" s="344">
        <v>504.1</v>
      </c>
      <c r="AI50" s="344">
        <v>562.1</v>
      </c>
      <c r="AJ50" s="344">
        <v>879.7</v>
      </c>
      <c r="AK50" s="344">
        <v>731.6</v>
      </c>
      <c r="AL50" s="344">
        <v>1309.4000000000001</v>
      </c>
      <c r="AM50" s="344">
        <v>1725.9</v>
      </c>
      <c r="AN50" s="344">
        <v>1469.2</v>
      </c>
      <c r="AO50" s="344">
        <v>874.4</v>
      </c>
      <c r="AP50" s="344">
        <v>1951.9</v>
      </c>
      <c r="AQ50" s="344">
        <v>1884</v>
      </c>
      <c r="AR50" s="344">
        <v>1792.5</v>
      </c>
      <c r="AS50" s="344">
        <v>2196.3000000000002</v>
      </c>
      <c r="AT50" s="344">
        <f t="shared" ref="AT50:AY50" si="18">AT49*AT48/1000</f>
        <v>0</v>
      </c>
      <c r="AU50" s="344">
        <f t="shared" si="18"/>
        <v>0</v>
      </c>
      <c r="AV50" s="344">
        <f t="shared" si="18"/>
        <v>0</v>
      </c>
      <c r="AW50" s="344">
        <f t="shared" si="18"/>
        <v>0</v>
      </c>
      <c r="AX50" s="344">
        <f t="shared" si="18"/>
        <v>0</v>
      </c>
      <c r="AY50" s="365">
        <f t="shared" si="18"/>
        <v>0</v>
      </c>
      <c r="AZ50" s="366">
        <f>AZ48*AZ49/1000</f>
        <v>0</v>
      </c>
      <c r="BA50" s="366">
        <f>AZ50-AY50</f>
        <v>0</v>
      </c>
      <c r="BB50" s="367">
        <f>AY50-AX50</f>
        <v>0</v>
      </c>
      <c r="BC50" s="368">
        <f>AZ50-AX50</f>
        <v>0</v>
      </c>
      <c r="BD50" s="353">
        <f t="shared" si="1"/>
        <v>-1</v>
      </c>
      <c r="BE50" s="309"/>
      <c r="BF50"/>
      <c r="BG50" s="308"/>
    </row>
    <row r="51" spans="1:63" ht="15" customHeight="1">
      <c r="A51" s="320" t="s">
        <v>366</v>
      </c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356"/>
      <c r="AB51" s="356"/>
      <c r="AC51" s="356"/>
      <c r="AD51" s="356"/>
      <c r="AE51" s="356"/>
      <c r="AF51" s="356"/>
      <c r="AG51" s="356"/>
      <c r="AH51" s="356"/>
      <c r="AI51" s="356"/>
      <c r="AJ51" s="356"/>
      <c r="AK51" s="356"/>
      <c r="AL51" s="356"/>
      <c r="AM51" s="356"/>
      <c r="AN51" s="356"/>
      <c r="AO51" s="356"/>
      <c r="AP51" s="356"/>
      <c r="AQ51" s="356"/>
      <c r="AR51" s="356"/>
      <c r="AS51" s="356"/>
      <c r="AT51" s="328"/>
      <c r="AU51" s="328"/>
      <c r="AV51" s="328"/>
      <c r="AW51" s="328"/>
      <c r="AX51" s="328"/>
      <c r="AY51" s="321"/>
      <c r="AZ51" s="328"/>
      <c r="BA51" s="329"/>
      <c r="BB51" s="321"/>
      <c r="BC51" s="328"/>
      <c r="BD51" s="329"/>
    </row>
    <row r="52" spans="1:63" ht="15" customHeight="1">
      <c r="A52" s="324" t="s">
        <v>352</v>
      </c>
      <c r="B52" s="344">
        <v>0</v>
      </c>
      <c r="C52" s="344"/>
      <c r="D52" s="344"/>
      <c r="E52" s="344"/>
      <c r="F52" s="344"/>
      <c r="G52" s="344"/>
      <c r="H52" s="344"/>
      <c r="I52" s="344"/>
      <c r="J52" s="344"/>
      <c r="K52" s="344"/>
      <c r="L52" s="344"/>
      <c r="M52" s="344"/>
      <c r="N52" s="344"/>
      <c r="O52" s="344"/>
      <c r="P52" s="344"/>
      <c r="Q52" s="344"/>
      <c r="R52" s="344"/>
      <c r="S52" s="344"/>
      <c r="T52" s="344"/>
      <c r="U52" s="344"/>
      <c r="V52" s="344"/>
      <c r="W52" s="344"/>
      <c r="X52" s="344"/>
      <c r="Y52" s="344"/>
      <c r="Z52" s="344"/>
      <c r="AA52" s="344"/>
      <c r="AB52" s="344"/>
      <c r="AC52" s="344"/>
      <c r="AD52" s="344"/>
      <c r="AE52" s="344"/>
      <c r="AF52" s="344"/>
      <c r="AG52" s="344"/>
      <c r="AH52" s="344"/>
      <c r="AI52" s="344"/>
      <c r="AJ52" s="344"/>
      <c r="AK52" s="344"/>
      <c r="AL52" s="344"/>
      <c r="AM52" s="344"/>
      <c r="AN52" s="344"/>
      <c r="AO52" s="344"/>
      <c r="AP52" s="344"/>
      <c r="AQ52" s="344"/>
      <c r="AR52" s="344"/>
      <c r="AS52" s="344">
        <v>0</v>
      </c>
      <c r="AT52" s="344">
        <v>0</v>
      </c>
      <c r="AU52" s="344">
        <v>0</v>
      </c>
      <c r="AV52" s="344">
        <v>0</v>
      </c>
      <c r="AW52" s="344">
        <v>0</v>
      </c>
      <c r="AX52" s="344">
        <v>0</v>
      </c>
      <c r="AY52" s="369">
        <v>0</v>
      </c>
      <c r="AZ52" s="366">
        <v>0</v>
      </c>
      <c r="BA52" s="366">
        <f>AZ52-AY52</f>
        <v>0</v>
      </c>
      <c r="BB52" s="367">
        <f>AY52-AX52</f>
        <v>0</v>
      </c>
      <c r="BC52" s="368">
        <f>AZ52-AX52</f>
        <v>0</v>
      </c>
      <c r="BD52" s="370">
        <f t="shared" si="1"/>
        <v>0</v>
      </c>
      <c r="BH52" s="311"/>
      <c r="BI52" s="311"/>
      <c r="BJ52" s="311"/>
      <c r="BK52" s="311"/>
    </row>
    <row r="53" spans="1:63" ht="15" customHeight="1">
      <c r="A53" s="324" t="s">
        <v>353</v>
      </c>
      <c r="B53" s="345">
        <v>0</v>
      </c>
      <c r="C53" s="345"/>
      <c r="D53" s="345"/>
      <c r="E53" s="345"/>
      <c r="F53" s="345"/>
      <c r="G53" s="345"/>
      <c r="H53" s="34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Y53" s="345"/>
      <c r="Z53" s="345"/>
      <c r="AA53" s="345"/>
      <c r="AB53" s="345"/>
      <c r="AC53" s="345"/>
      <c r="AD53" s="345"/>
      <c r="AE53" s="345"/>
      <c r="AF53" s="345"/>
      <c r="AG53" s="345"/>
      <c r="AH53" s="345"/>
      <c r="AI53" s="345"/>
      <c r="AJ53" s="345"/>
      <c r="AK53" s="345"/>
      <c r="AL53" s="345"/>
      <c r="AM53" s="345"/>
      <c r="AN53" s="345"/>
      <c r="AO53" s="345"/>
      <c r="AP53" s="345"/>
      <c r="AQ53" s="345"/>
      <c r="AR53" s="345"/>
      <c r="AS53" s="345"/>
      <c r="AT53" s="345">
        <v>0</v>
      </c>
      <c r="AU53" s="345">
        <v>0</v>
      </c>
      <c r="AV53" s="345">
        <v>0</v>
      </c>
      <c r="AW53" s="345">
        <v>0</v>
      </c>
      <c r="AX53" s="345">
        <v>0</v>
      </c>
      <c r="AY53" s="346">
        <v>0</v>
      </c>
      <c r="AZ53" s="347">
        <v>0</v>
      </c>
      <c r="BA53" s="347">
        <f>AZ53-AY53</f>
        <v>0</v>
      </c>
      <c r="BB53" s="351">
        <f>AY53-AX53</f>
        <v>0</v>
      </c>
      <c r="BC53" s="352">
        <f>AZ53-AX53</f>
        <v>0</v>
      </c>
      <c r="BD53" s="353">
        <f t="shared" si="1"/>
        <v>0</v>
      </c>
    </row>
    <row r="54" spans="1:63" s="311" customFormat="1" ht="15" customHeight="1">
      <c r="A54" s="324" t="s">
        <v>354</v>
      </c>
      <c r="B54" s="344">
        <f>B53*B52/1000</f>
        <v>0</v>
      </c>
      <c r="C54" s="344">
        <v>255</v>
      </c>
      <c r="D54" s="344">
        <v>224</v>
      </c>
      <c r="E54" s="344">
        <v>266</v>
      </c>
      <c r="F54" s="344">
        <v>177</v>
      </c>
      <c r="G54" s="344">
        <v>303</v>
      </c>
      <c r="H54" s="344">
        <v>95</v>
      </c>
      <c r="I54" s="344">
        <v>328</v>
      </c>
      <c r="J54" s="344">
        <v>126</v>
      </c>
      <c r="K54" s="344">
        <v>290</v>
      </c>
      <c r="L54" s="344">
        <v>116</v>
      </c>
      <c r="M54" s="344">
        <v>345</v>
      </c>
      <c r="N54" s="344">
        <v>342</v>
      </c>
      <c r="O54" s="344">
        <v>173</v>
      </c>
      <c r="P54" s="344">
        <v>354.7</v>
      </c>
      <c r="Q54" s="344">
        <v>237.2</v>
      </c>
      <c r="R54" s="344">
        <v>197.4</v>
      </c>
      <c r="S54" s="344">
        <v>413.1</v>
      </c>
      <c r="T54" s="344">
        <v>422.5</v>
      </c>
      <c r="U54" s="344">
        <v>455</v>
      </c>
      <c r="V54" s="344">
        <v>362.7</v>
      </c>
      <c r="W54" s="344">
        <v>209.9</v>
      </c>
      <c r="X54" s="344">
        <v>294.10000000000002</v>
      </c>
      <c r="Y54" s="344">
        <v>313.60000000000002</v>
      </c>
      <c r="Z54" s="344">
        <v>310</v>
      </c>
      <c r="AA54" s="344">
        <v>324.5</v>
      </c>
      <c r="AB54" s="344">
        <v>414.2</v>
      </c>
      <c r="AC54" s="344">
        <v>430.4</v>
      </c>
      <c r="AD54" s="344">
        <v>405.1</v>
      </c>
      <c r="AE54" s="344">
        <v>424.4</v>
      </c>
      <c r="AF54" s="344">
        <v>447.1</v>
      </c>
      <c r="AG54" s="344">
        <v>490.4</v>
      </c>
      <c r="AH54" s="344">
        <v>504.1</v>
      </c>
      <c r="AI54" s="344">
        <v>562.1</v>
      </c>
      <c r="AJ54" s="344">
        <v>879.7</v>
      </c>
      <c r="AK54" s="344">
        <v>731.6</v>
      </c>
      <c r="AL54" s="344">
        <v>1309.4000000000001</v>
      </c>
      <c r="AM54" s="344">
        <v>1725.9</v>
      </c>
      <c r="AN54" s="344">
        <v>1469.2</v>
      </c>
      <c r="AO54" s="344">
        <v>874.4</v>
      </c>
      <c r="AP54" s="344">
        <v>1951.9</v>
      </c>
      <c r="AQ54" s="344">
        <v>1884</v>
      </c>
      <c r="AR54" s="344">
        <v>1792.5</v>
      </c>
      <c r="AS54" s="344">
        <v>2196.3000000000002</v>
      </c>
      <c r="AT54" s="344">
        <f t="shared" ref="AT54:AY54" si="19">AT53*AT52/1000</f>
        <v>0</v>
      </c>
      <c r="AU54" s="344">
        <f t="shared" si="19"/>
        <v>0</v>
      </c>
      <c r="AV54" s="344">
        <f t="shared" si="19"/>
        <v>0</v>
      </c>
      <c r="AW54" s="344">
        <f t="shared" si="19"/>
        <v>0</v>
      </c>
      <c r="AX54" s="344">
        <f t="shared" si="19"/>
        <v>0</v>
      </c>
      <c r="AY54" s="365">
        <f t="shared" si="19"/>
        <v>0</v>
      </c>
      <c r="AZ54" s="366">
        <f>AZ52*AZ53/1000</f>
        <v>0</v>
      </c>
      <c r="BA54" s="366">
        <f>AZ54-AY54</f>
        <v>0</v>
      </c>
      <c r="BB54" s="367">
        <f>AY54-AX54</f>
        <v>0</v>
      </c>
      <c r="BC54" s="368">
        <f>AZ54-AX54</f>
        <v>0</v>
      </c>
      <c r="BD54" s="353">
        <f t="shared" si="1"/>
        <v>-1</v>
      </c>
      <c r="BE54" s="309"/>
      <c r="BF54"/>
      <c r="BG54" s="308"/>
    </row>
    <row r="55" spans="1:63" ht="15" customHeight="1">
      <c r="A55" s="320" t="s">
        <v>367</v>
      </c>
      <c r="B55" s="356"/>
      <c r="C55" s="356"/>
      <c r="D55" s="356"/>
      <c r="E55" s="356"/>
      <c r="F55" s="356"/>
      <c r="G55" s="356"/>
      <c r="H55" s="356"/>
      <c r="I55" s="356"/>
      <c r="J55" s="356"/>
      <c r="K55" s="356"/>
      <c r="L55" s="356"/>
      <c r="M55" s="356"/>
      <c r="N55" s="356"/>
      <c r="O55" s="356"/>
      <c r="P55" s="356"/>
      <c r="Q55" s="356"/>
      <c r="R55" s="356"/>
      <c r="S55" s="356"/>
      <c r="T55" s="356"/>
      <c r="U55" s="356"/>
      <c r="V55" s="356"/>
      <c r="W55" s="356"/>
      <c r="X55" s="356"/>
      <c r="Y55" s="356"/>
      <c r="Z55" s="356"/>
      <c r="AA55" s="356"/>
      <c r="AB55" s="356"/>
      <c r="AC55" s="356"/>
      <c r="AD55" s="356"/>
      <c r="AE55" s="356"/>
      <c r="AF55" s="356"/>
      <c r="AG55" s="356"/>
      <c r="AH55" s="356"/>
      <c r="AI55" s="356"/>
      <c r="AJ55" s="356"/>
      <c r="AK55" s="356"/>
      <c r="AL55" s="356"/>
      <c r="AM55" s="356"/>
      <c r="AN55" s="356"/>
      <c r="AO55" s="356"/>
      <c r="AP55" s="356"/>
      <c r="AQ55" s="356"/>
      <c r="AR55" s="356"/>
      <c r="AS55" s="356"/>
      <c r="AT55" s="328"/>
      <c r="AU55" s="328"/>
      <c r="AV55" s="328"/>
      <c r="AW55" s="328"/>
      <c r="AX55" s="328"/>
      <c r="AY55" s="321"/>
      <c r="AZ55" s="328"/>
      <c r="BA55" s="329"/>
      <c r="BB55" s="321"/>
      <c r="BC55" s="328"/>
      <c r="BD55" s="329"/>
    </row>
    <row r="56" spans="1:63" ht="15" customHeight="1">
      <c r="A56" s="324" t="s">
        <v>352</v>
      </c>
      <c r="B56" s="344">
        <v>0</v>
      </c>
      <c r="C56" s="344"/>
      <c r="D56" s="344"/>
      <c r="E56" s="344"/>
      <c r="F56" s="344"/>
      <c r="G56" s="344"/>
      <c r="H56" s="344"/>
      <c r="I56" s="344"/>
      <c r="J56" s="344"/>
      <c r="K56" s="344"/>
      <c r="L56" s="344"/>
      <c r="M56" s="344"/>
      <c r="N56" s="344"/>
      <c r="O56" s="344"/>
      <c r="P56" s="344"/>
      <c r="Q56" s="344"/>
      <c r="R56" s="344"/>
      <c r="S56" s="344"/>
      <c r="T56" s="344"/>
      <c r="U56" s="344"/>
      <c r="V56" s="344"/>
      <c r="W56" s="344"/>
      <c r="X56" s="344"/>
      <c r="Y56" s="344"/>
      <c r="Z56" s="344"/>
      <c r="AA56" s="344"/>
      <c r="AB56" s="344"/>
      <c r="AC56" s="344"/>
      <c r="AD56" s="344"/>
      <c r="AE56" s="344"/>
      <c r="AF56" s="344"/>
      <c r="AG56" s="344"/>
      <c r="AH56" s="344"/>
      <c r="AI56" s="344"/>
      <c r="AJ56" s="344"/>
      <c r="AK56" s="344"/>
      <c r="AL56" s="344"/>
      <c r="AM56" s="344"/>
      <c r="AN56" s="344"/>
      <c r="AO56" s="344"/>
      <c r="AP56" s="344"/>
      <c r="AQ56" s="344"/>
      <c r="AR56" s="344"/>
      <c r="AS56" s="344">
        <v>0</v>
      </c>
      <c r="AT56" s="344">
        <v>0</v>
      </c>
      <c r="AU56" s="344">
        <v>0</v>
      </c>
      <c r="AV56" s="344">
        <v>0</v>
      </c>
      <c r="AW56" s="344">
        <v>0</v>
      </c>
      <c r="AX56" s="344">
        <v>0</v>
      </c>
      <c r="AY56" s="369">
        <v>0</v>
      </c>
      <c r="AZ56" s="366">
        <v>0</v>
      </c>
      <c r="BA56" s="366">
        <f>AZ56-AY56</f>
        <v>0</v>
      </c>
      <c r="BB56" s="367">
        <f>AY56-AX56</f>
        <v>0</v>
      </c>
      <c r="BC56" s="368">
        <f>AZ56-AX56</f>
        <v>0</v>
      </c>
      <c r="BD56" s="370">
        <f t="shared" si="1"/>
        <v>0</v>
      </c>
      <c r="BH56" s="311"/>
      <c r="BI56" s="311"/>
      <c r="BJ56" s="311"/>
      <c r="BK56" s="311"/>
    </row>
    <row r="57" spans="1:63" ht="15" customHeight="1">
      <c r="A57" s="324" t="s">
        <v>353</v>
      </c>
      <c r="B57" s="345">
        <v>0</v>
      </c>
      <c r="C57" s="345"/>
      <c r="D57" s="345"/>
      <c r="E57" s="345"/>
      <c r="F57" s="345"/>
      <c r="G57" s="345"/>
      <c r="H57" s="345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Y57" s="345"/>
      <c r="Z57" s="345"/>
      <c r="AA57" s="345"/>
      <c r="AB57" s="345"/>
      <c r="AC57" s="345"/>
      <c r="AD57" s="345"/>
      <c r="AE57" s="345"/>
      <c r="AF57" s="345"/>
      <c r="AG57" s="345"/>
      <c r="AH57" s="345"/>
      <c r="AI57" s="345"/>
      <c r="AJ57" s="345"/>
      <c r="AK57" s="345"/>
      <c r="AL57" s="345"/>
      <c r="AM57" s="345"/>
      <c r="AN57" s="345"/>
      <c r="AO57" s="345"/>
      <c r="AP57" s="345"/>
      <c r="AQ57" s="345"/>
      <c r="AR57" s="345"/>
      <c r="AS57" s="345"/>
      <c r="AT57" s="345">
        <v>0</v>
      </c>
      <c r="AU57" s="345">
        <v>0</v>
      </c>
      <c r="AV57" s="345">
        <v>0</v>
      </c>
      <c r="AW57" s="345">
        <v>0</v>
      </c>
      <c r="AX57" s="345">
        <v>0</v>
      </c>
      <c r="AY57" s="346">
        <v>0</v>
      </c>
      <c r="AZ57" s="347">
        <v>0</v>
      </c>
      <c r="BA57" s="347">
        <f>AZ57-AY57</f>
        <v>0</v>
      </c>
      <c r="BB57" s="351">
        <f>AY57-AX57</f>
        <v>0</v>
      </c>
      <c r="BC57" s="352">
        <f>AZ57-AX57</f>
        <v>0</v>
      </c>
      <c r="BD57" s="353">
        <f t="shared" si="1"/>
        <v>0</v>
      </c>
    </row>
    <row r="58" spans="1:63" s="311" customFormat="1" ht="15" customHeight="1">
      <c r="A58" s="324" t="s">
        <v>354</v>
      </c>
      <c r="B58" s="344">
        <f>B57*B56/1000</f>
        <v>0</v>
      </c>
      <c r="C58" s="344">
        <v>255</v>
      </c>
      <c r="D58" s="344">
        <v>224</v>
      </c>
      <c r="E58" s="344">
        <v>266</v>
      </c>
      <c r="F58" s="344">
        <v>177</v>
      </c>
      <c r="G58" s="344">
        <v>303</v>
      </c>
      <c r="H58" s="344">
        <v>95</v>
      </c>
      <c r="I58" s="344">
        <v>328</v>
      </c>
      <c r="J58" s="344">
        <v>126</v>
      </c>
      <c r="K58" s="344">
        <v>290</v>
      </c>
      <c r="L58" s="344">
        <v>116</v>
      </c>
      <c r="M58" s="344">
        <v>345</v>
      </c>
      <c r="N58" s="344">
        <v>342</v>
      </c>
      <c r="O58" s="344">
        <v>173</v>
      </c>
      <c r="P58" s="344">
        <v>354.7</v>
      </c>
      <c r="Q58" s="344">
        <v>237.2</v>
      </c>
      <c r="R58" s="344">
        <v>197.4</v>
      </c>
      <c r="S58" s="344">
        <v>413.1</v>
      </c>
      <c r="T58" s="344">
        <v>422.5</v>
      </c>
      <c r="U58" s="344">
        <v>455</v>
      </c>
      <c r="V58" s="344">
        <v>362.7</v>
      </c>
      <c r="W58" s="344">
        <v>209.9</v>
      </c>
      <c r="X58" s="344">
        <v>294.10000000000002</v>
      </c>
      <c r="Y58" s="344">
        <v>313.60000000000002</v>
      </c>
      <c r="Z58" s="344">
        <v>310</v>
      </c>
      <c r="AA58" s="344">
        <v>324.5</v>
      </c>
      <c r="AB58" s="344">
        <v>414.2</v>
      </c>
      <c r="AC58" s="344">
        <v>430.4</v>
      </c>
      <c r="AD58" s="344">
        <v>405.1</v>
      </c>
      <c r="AE58" s="344">
        <v>424.4</v>
      </c>
      <c r="AF58" s="344">
        <v>447.1</v>
      </c>
      <c r="AG58" s="344">
        <v>490.4</v>
      </c>
      <c r="AH58" s="344">
        <v>504.1</v>
      </c>
      <c r="AI58" s="344">
        <v>562.1</v>
      </c>
      <c r="AJ58" s="344">
        <v>879.7</v>
      </c>
      <c r="AK58" s="344">
        <v>731.6</v>
      </c>
      <c r="AL58" s="344">
        <v>1309.4000000000001</v>
      </c>
      <c r="AM58" s="344">
        <v>1725.9</v>
      </c>
      <c r="AN58" s="344">
        <v>1469.2</v>
      </c>
      <c r="AO58" s="344">
        <v>874.4</v>
      </c>
      <c r="AP58" s="344">
        <v>1951.9</v>
      </c>
      <c r="AQ58" s="344">
        <v>1884</v>
      </c>
      <c r="AR58" s="344">
        <v>1792.5</v>
      </c>
      <c r="AS58" s="344">
        <v>2196.3000000000002</v>
      </c>
      <c r="AT58" s="344">
        <f t="shared" ref="AT58:AY58" si="20">AT57*AT56/1000</f>
        <v>0</v>
      </c>
      <c r="AU58" s="344">
        <f t="shared" si="20"/>
        <v>0</v>
      </c>
      <c r="AV58" s="344">
        <f t="shared" si="20"/>
        <v>0</v>
      </c>
      <c r="AW58" s="344">
        <f t="shared" si="20"/>
        <v>0</v>
      </c>
      <c r="AX58" s="344">
        <f t="shared" si="20"/>
        <v>0</v>
      </c>
      <c r="AY58" s="365">
        <f t="shared" si="20"/>
        <v>0</v>
      </c>
      <c r="AZ58" s="366">
        <f>AZ56*AZ57/1000</f>
        <v>0</v>
      </c>
      <c r="BA58" s="366">
        <f>AZ58-AY58</f>
        <v>0</v>
      </c>
      <c r="BB58" s="367">
        <f>AY58-AX58</f>
        <v>0</v>
      </c>
      <c r="BC58" s="368">
        <f>AZ58-AX58</f>
        <v>0</v>
      </c>
      <c r="BD58" s="353">
        <f t="shared" si="1"/>
        <v>-1</v>
      </c>
      <c r="BE58" s="309"/>
      <c r="BF58"/>
      <c r="BG58" s="308"/>
    </row>
    <row r="59" spans="1:63" ht="15" customHeight="1">
      <c r="A59" s="320" t="s">
        <v>368</v>
      </c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28"/>
      <c r="AU59" s="328"/>
      <c r="AV59" s="328"/>
      <c r="AW59" s="328"/>
      <c r="AX59" s="328"/>
      <c r="AY59" s="321"/>
      <c r="AZ59" s="328"/>
      <c r="BA59" s="329"/>
      <c r="BB59" s="321"/>
      <c r="BC59" s="328"/>
      <c r="BD59" s="329"/>
    </row>
    <row r="60" spans="1:63" ht="15" customHeight="1">
      <c r="A60" s="324" t="s">
        <v>352</v>
      </c>
      <c r="B60" s="344">
        <v>0</v>
      </c>
      <c r="C60" s="344"/>
      <c r="D60" s="344"/>
      <c r="E60" s="344"/>
      <c r="F60" s="344"/>
      <c r="G60" s="344"/>
      <c r="H60" s="344"/>
      <c r="I60" s="344"/>
      <c r="J60" s="344"/>
      <c r="K60" s="344"/>
      <c r="L60" s="344"/>
      <c r="M60" s="344"/>
      <c r="N60" s="344"/>
      <c r="O60" s="344"/>
      <c r="P60" s="344"/>
      <c r="Q60" s="344"/>
      <c r="R60" s="344"/>
      <c r="S60" s="344"/>
      <c r="T60" s="344"/>
      <c r="U60" s="344"/>
      <c r="V60" s="344"/>
      <c r="W60" s="344"/>
      <c r="X60" s="344"/>
      <c r="Y60" s="344"/>
      <c r="Z60" s="344"/>
      <c r="AA60" s="344"/>
      <c r="AB60" s="344"/>
      <c r="AC60" s="344"/>
      <c r="AD60" s="344"/>
      <c r="AE60" s="344"/>
      <c r="AF60" s="344"/>
      <c r="AG60" s="344"/>
      <c r="AH60" s="344"/>
      <c r="AI60" s="344"/>
      <c r="AJ60" s="344"/>
      <c r="AK60" s="344"/>
      <c r="AL60" s="344"/>
      <c r="AM60" s="344"/>
      <c r="AN60" s="344"/>
      <c r="AO60" s="344"/>
      <c r="AP60" s="344"/>
      <c r="AQ60" s="344"/>
      <c r="AR60" s="344">
        <v>85.1</v>
      </c>
      <c r="AS60" s="344">
        <v>96</v>
      </c>
      <c r="AT60" s="344">
        <v>98</v>
      </c>
      <c r="AU60" s="344">
        <v>108</v>
      </c>
      <c r="AV60" s="344">
        <v>64.8</v>
      </c>
      <c r="AW60" s="344">
        <v>65.8</v>
      </c>
      <c r="AX60" s="344">
        <v>65.8</v>
      </c>
      <c r="AY60" s="369">
        <v>65.8</v>
      </c>
      <c r="AZ60" s="366">
        <v>65.8</v>
      </c>
      <c r="BA60" s="366">
        <f>AZ60-AY60</f>
        <v>0</v>
      </c>
      <c r="BB60" s="367">
        <f>AY60-AX60</f>
        <v>0</v>
      </c>
      <c r="BC60" s="368">
        <f>AZ60-AX60</f>
        <v>0</v>
      </c>
      <c r="BD60" s="353">
        <f t="shared" si="1"/>
        <v>-7.2762617945941077E-2</v>
      </c>
      <c r="BH60" s="311"/>
      <c r="BI60" s="311"/>
      <c r="BJ60" s="311"/>
      <c r="BK60" s="311"/>
    </row>
    <row r="61" spans="1:63" ht="15" customHeight="1">
      <c r="A61" s="324" t="s">
        <v>353</v>
      </c>
      <c r="B61" s="345">
        <v>0</v>
      </c>
      <c r="C61" s="345"/>
      <c r="D61" s="345"/>
      <c r="E61" s="345"/>
      <c r="F61" s="345"/>
      <c r="G61" s="345"/>
      <c r="H61" s="34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Y61" s="345"/>
      <c r="Z61" s="345"/>
      <c r="AA61" s="345"/>
      <c r="AB61" s="345"/>
      <c r="AC61" s="345"/>
      <c r="AD61" s="345"/>
      <c r="AE61" s="345"/>
      <c r="AF61" s="345"/>
      <c r="AG61" s="345"/>
      <c r="AH61" s="345"/>
      <c r="AI61" s="345"/>
      <c r="AJ61" s="345"/>
      <c r="AK61" s="345"/>
      <c r="AL61" s="345"/>
      <c r="AM61" s="345"/>
      <c r="AN61" s="345"/>
      <c r="AO61" s="345"/>
      <c r="AP61" s="345"/>
      <c r="AQ61" s="345"/>
      <c r="AR61" s="345">
        <v>620</v>
      </c>
      <c r="AS61" s="345">
        <v>795</v>
      </c>
      <c r="AT61" s="345">
        <v>795</v>
      </c>
      <c r="AU61" s="345">
        <v>574</v>
      </c>
      <c r="AV61" s="345">
        <v>1492</v>
      </c>
      <c r="AW61" s="345">
        <v>1800</v>
      </c>
      <c r="AX61" s="345">
        <v>1857</v>
      </c>
      <c r="AY61" s="346">
        <v>1857</v>
      </c>
      <c r="AZ61" s="347">
        <v>1838</v>
      </c>
      <c r="BA61" s="347">
        <f>AZ61-AY61</f>
        <v>-19</v>
      </c>
      <c r="BB61" s="351">
        <f>AY61-AX61</f>
        <v>0</v>
      </c>
      <c r="BC61" s="352">
        <f>AZ61-AX61</f>
        <v>-19</v>
      </c>
      <c r="BD61" s="353">
        <f t="shared" si="1"/>
        <v>0.18491979569616235</v>
      </c>
    </row>
    <row r="62" spans="1:63" s="311" customFormat="1" ht="15" customHeight="1">
      <c r="A62" s="324" t="s">
        <v>354</v>
      </c>
      <c r="B62" s="344">
        <f>B61*B60/1000</f>
        <v>0</v>
      </c>
      <c r="C62" s="344">
        <v>255</v>
      </c>
      <c r="D62" s="344">
        <v>224</v>
      </c>
      <c r="E62" s="344">
        <v>266</v>
      </c>
      <c r="F62" s="344">
        <v>177</v>
      </c>
      <c r="G62" s="344">
        <v>303</v>
      </c>
      <c r="H62" s="344">
        <v>95</v>
      </c>
      <c r="I62" s="344">
        <v>328</v>
      </c>
      <c r="J62" s="344">
        <v>126</v>
      </c>
      <c r="K62" s="344">
        <v>290</v>
      </c>
      <c r="L62" s="344">
        <v>116</v>
      </c>
      <c r="M62" s="344">
        <v>345</v>
      </c>
      <c r="N62" s="344">
        <v>342</v>
      </c>
      <c r="O62" s="344">
        <v>173</v>
      </c>
      <c r="P62" s="344">
        <v>354.7</v>
      </c>
      <c r="Q62" s="344">
        <v>237.2</v>
      </c>
      <c r="R62" s="344">
        <v>197.4</v>
      </c>
      <c r="S62" s="344">
        <v>413.1</v>
      </c>
      <c r="T62" s="344">
        <v>422.5</v>
      </c>
      <c r="U62" s="344">
        <v>455</v>
      </c>
      <c r="V62" s="344">
        <v>362.7</v>
      </c>
      <c r="W62" s="344">
        <v>209.9</v>
      </c>
      <c r="X62" s="344">
        <v>294.10000000000002</v>
      </c>
      <c r="Y62" s="344">
        <v>313.60000000000002</v>
      </c>
      <c r="Z62" s="344">
        <v>310</v>
      </c>
      <c r="AA62" s="344">
        <v>324.5</v>
      </c>
      <c r="AB62" s="344">
        <v>414.2</v>
      </c>
      <c r="AC62" s="344">
        <v>430.4</v>
      </c>
      <c r="AD62" s="344">
        <v>405.1</v>
      </c>
      <c r="AE62" s="344">
        <v>424.4</v>
      </c>
      <c r="AF62" s="344">
        <v>447.1</v>
      </c>
      <c r="AG62" s="344">
        <v>490.4</v>
      </c>
      <c r="AH62" s="344">
        <v>504.1</v>
      </c>
      <c r="AI62" s="344">
        <v>562.1</v>
      </c>
      <c r="AJ62" s="344">
        <v>879.7</v>
      </c>
      <c r="AK62" s="344">
        <v>731.6</v>
      </c>
      <c r="AL62" s="344">
        <v>1309.4000000000001</v>
      </c>
      <c r="AM62" s="344">
        <v>1725.9</v>
      </c>
      <c r="AN62" s="344">
        <v>1469.2</v>
      </c>
      <c r="AO62" s="344">
        <v>874.4</v>
      </c>
      <c r="AP62" s="344">
        <v>1951.9</v>
      </c>
      <c r="AQ62" s="344">
        <v>1884</v>
      </c>
      <c r="AR62" s="344">
        <v>1792.5</v>
      </c>
      <c r="AS62" s="344">
        <v>2196.3000000000002</v>
      </c>
      <c r="AT62" s="344">
        <f t="shared" ref="AT62:AY62" si="21">AT61*AT60/1000</f>
        <v>77.91</v>
      </c>
      <c r="AU62" s="344">
        <f t="shared" si="21"/>
        <v>61.991999999999997</v>
      </c>
      <c r="AV62" s="344">
        <f t="shared" si="21"/>
        <v>96.681599999999989</v>
      </c>
      <c r="AW62" s="344">
        <f t="shared" si="21"/>
        <v>118.44</v>
      </c>
      <c r="AX62" s="344">
        <f t="shared" si="21"/>
        <v>122.19059999999999</v>
      </c>
      <c r="AY62" s="365">
        <f t="shared" si="21"/>
        <v>122.19059999999999</v>
      </c>
      <c r="AZ62" s="366">
        <f>AZ60*AZ61/1000</f>
        <v>120.9404</v>
      </c>
      <c r="BA62" s="366">
        <f>AZ62-AY62</f>
        <v>-1.2501999999999924</v>
      </c>
      <c r="BB62" s="367">
        <f>AY62-AX62</f>
        <v>0</v>
      </c>
      <c r="BC62" s="368">
        <f>AZ62-AX62</f>
        <v>-1.2501999999999924</v>
      </c>
      <c r="BD62" s="353">
        <f t="shared" si="1"/>
        <v>-0.43886258499657416</v>
      </c>
      <c r="BE62" s="309"/>
      <c r="BF62"/>
      <c r="BG62" s="308"/>
    </row>
    <row r="63" spans="1:63" ht="15" customHeight="1">
      <c r="A63" s="320" t="s">
        <v>369</v>
      </c>
      <c r="B63" s="356"/>
      <c r="C63" s="356"/>
      <c r="D63" s="356"/>
      <c r="E63" s="356"/>
      <c r="F63" s="356"/>
      <c r="G63" s="356"/>
      <c r="H63" s="356"/>
      <c r="I63" s="356"/>
      <c r="J63" s="356"/>
      <c r="K63" s="356"/>
      <c r="L63" s="356"/>
      <c r="M63" s="356"/>
      <c r="N63" s="356"/>
      <c r="O63" s="356"/>
      <c r="P63" s="356"/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28"/>
      <c r="AU63" s="328"/>
      <c r="AV63" s="328"/>
      <c r="AW63" s="328"/>
      <c r="AX63" s="328"/>
      <c r="AY63" s="321"/>
      <c r="AZ63" s="328"/>
      <c r="BA63" s="329"/>
      <c r="BB63" s="321"/>
      <c r="BC63" s="328"/>
      <c r="BD63" s="329"/>
    </row>
    <row r="64" spans="1:63" ht="15" customHeight="1">
      <c r="A64" s="324" t="s">
        <v>352</v>
      </c>
      <c r="B64" s="344">
        <v>0</v>
      </c>
      <c r="C64" s="344"/>
      <c r="D64" s="344"/>
      <c r="E64" s="344"/>
      <c r="F64" s="344"/>
      <c r="G64" s="344"/>
      <c r="H64" s="344"/>
      <c r="I64" s="344"/>
      <c r="J64" s="344"/>
      <c r="K64" s="344"/>
      <c r="L64" s="344"/>
      <c r="M64" s="344"/>
      <c r="N64" s="344"/>
      <c r="O64" s="344"/>
      <c r="P64" s="344"/>
      <c r="Q64" s="344"/>
      <c r="R64" s="344"/>
      <c r="S64" s="344"/>
      <c r="T64" s="344"/>
      <c r="U64" s="344"/>
      <c r="V64" s="344"/>
      <c r="W64" s="344"/>
      <c r="X64" s="344"/>
      <c r="Y64" s="344"/>
      <c r="Z64" s="344"/>
      <c r="AA64" s="344"/>
      <c r="AB64" s="344"/>
      <c r="AC64" s="344"/>
      <c r="AD64" s="344"/>
      <c r="AE64" s="344"/>
      <c r="AF64" s="344"/>
      <c r="AG64" s="344"/>
      <c r="AH64" s="344"/>
      <c r="AI64" s="344"/>
      <c r="AJ64" s="344"/>
      <c r="AK64" s="344"/>
      <c r="AL64" s="344"/>
      <c r="AM64" s="344"/>
      <c r="AN64" s="344"/>
      <c r="AO64" s="344"/>
      <c r="AP64" s="344"/>
      <c r="AQ64" s="344"/>
      <c r="AR64" s="344">
        <v>33.9</v>
      </c>
      <c r="AS64" s="344">
        <v>38.4</v>
      </c>
      <c r="AT64" s="344">
        <v>44.7</v>
      </c>
      <c r="AU64" s="344">
        <v>40.200000000000003</v>
      </c>
      <c r="AV64" s="344">
        <v>58.1</v>
      </c>
      <c r="AW64" s="344">
        <v>48</v>
      </c>
      <c r="AX64" s="344">
        <v>31.2</v>
      </c>
      <c r="AY64" s="369">
        <v>32.700000000000003</v>
      </c>
      <c r="AZ64" s="366">
        <v>32.700000000000003</v>
      </c>
      <c r="BA64" s="366">
        <f>AZ64-AY64</f>
        <v>0</v>
      </c>
      <c r="BB64" s="367">
        <f>AY64-AX64</f>
        <v>1.5000000000000036</v>
      </c>
      <c r="BC64" s="368">
        <f>AZ64-AX64</f>
        <v>1.5000000000000036</v>
      </c>
      <c r="BD64" s="353">
        <f t="shared" si="1"/>
        <v>-4.0677404187346888E-2</v>
      </c>
      <c r="BF64" s="319" t="b">
        <v>0</v>
      </c>
      <c r="BH64" s="311"/>
      <c r="BI64" s="311"/>
      <c r="BJ64" s="311"/>
      <c r="BK64" s="311"/>
    </row>
    <row r="65" spans="1:63" ht="15" customHeight="1">
      <c r="A65" s="324" t="s">
        <v>353</v>
      </c>
      <c r="B65" s="345">
        <v>0</v>
      </c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5"/>
      <c r="V65" s="345"/>
      <c r="W65" s="345"/>
      <c r="X65" s="345"/>
      <c r="Y65" s="345"/>
      <c r="Z65" s="345"/>
      <c r="AA65" s="345"/>
      <c r="AB65" s="345"/>
      <c r="AC65" s="345"/>
      <c r="AD65" s="345"/>
      <c r="AE65" s="345"/>
      <c r="AF65" s="345"/>
      <c r="AG65" s="345"/>
      <c r="AH65" s="345"/>
      <c r="AI65" s="345"/>
      <c r="AJ65" s="345"/>
      <c r="AK65" s="345"/>
      <c r="AL65" s="345"/>
      <c r="AM65" s="345"/>
      <c r="AN65" s="345"/>
      <c r="AO65" s="345"/>
      <c r="AP65" s="345"/>
      <c r="AQ65" s="345"/>
      <c r="AR65" s="345">
        <v>1430</v>
      </c>
      <c r="AS65" s="345">
        <v>1600</v>
      </c>
      <c r="AT65" s="345">
        <v>3550</v>
      </c>
      <c r="AU65" s="345">
        <v>1320</v>
      </c>
      <c r="AV65" s="345">
        <v>2500</v>
      </c>
      <c r="AW65" s="345">
        <v>2526</v>
      </c>
      <c r="AX65" s="345">
        <v>5703</v>
      </c>
      <c r="AY65" s="346">
        <v>3120</v>
      </c>
      <c r="AZ65" s="347">
        <v>3089</v>
      </c>
      <c r="BA65" s="347">
        <f>AZ65-AY65</f>
        <v>-31</v>
      </c>
      <c r="BB65" s="351">
        <f>AY65-AX65</f>
        <v>-2583</v>
      </c>
      <c r="BC65" s="352">
        <f>AZ65-AX65</f>
        <v>-2614</v>
      </c>
      <c r="BD65" s="353">
        <f t="shared" si="1"/>
        <v>0.28942675621903136</v>
      </c>
    </row>
    <row r="66" spans="1:63" s="311" customFormat="1" ht="15" customHeight="1">
      <c r="A66" s="324" t="s">
        <v>354</v>
      </c>
      <c r="B66" s="344">
        <f>B65*B64/1000</f>
        <v>0</v>
      </c>
      <c r="C66" s="344">
        <v>255</v>
      </c>
      <c r="D66" s="344">
        <v>224</v>
      </c>
      <c r="E66" s="344">
        <v>266</v>
      </c>
      <c r="F66" s="344">
        <v>177</v>
      </c>
      <c r="G66" s="344">
        <v>303</v>
      </c>
      <c r="H66" s="344">
        <v>95</v>
      </c>
      <c r="I66" s="344">
        <v>328</v>
      </c>
      <c r="J66" s="344">
        <v>126</v>
      </c>
      <c r="K66" s="344">
        <v>290</v>
      </c>
      <c r="L66" s="344">
        <v>116</v>
      </c>
      <c r="M66" s="344">
        <v>345</v>
      </c>
      <c r="N66" s="344">
        <v>342</v>
      </c>
      <c r="O66" s="344">
        <v>173</v>
      </c>
      <c r="P66" s="344">
        <v>354.7</v>
      </c>
      <c r="Q66" s="344">
        <v>237.2</v>
      </c>
      <c r="R66" s="344">
        <v>197.4</v>
      </c>
      <c r="S66" s="344">
        <v>413.1</v>
      </c>
      <c r="T66" s="344">
        <v>422.5</v>
      </c>
      <c r="U66" s="344">
        <v>455</v>
      </c>
      <c r="V66" s="344">
        <v>362.7</v>
      </c>
      <c r="W66" s="344">
        <v>209.9</v>
      </c>
      <c r="X66" s="344">
        <v>294.10000000000002</v>
      </c>
      <c r="Y66" s="344">
        <v>313.60000000000002</v>
      </c>
      <c r="Z66" s="344">
        <v>310</v>
      </c>
      <c r="AA66" s="344">
        <v>324.5</v>
      </c>
      <c r="AB66" s="344">
        <v>414.2</v>
      </c>
      <c r="AC66" s="344">
        <v>430.4</v>
      </c>
      <c r="AD66" s="344">
        <v>405.1</v>
      </c>
      <c r="AE66" s="344">
        <v>424.4</v>
      </c>
      <c r="AF66" s="344">
        <v>447.1</v>
      </c>
      <c r="AG66" s="344">
        <v>490.4</v>
      </c>
      <c r="AH66" s="344">
        <v>504.1</v>
      </c>
      <c r="AI66" s="344">
        <v>562.1</v>
      </c>
      <c r="AJ66" s="344">
        <v>879.7</v>
      </c>
      <c r="AK66" s="344">
        <v>731.6</v>
      </c>
      <c r="AL66" s="344">
        <v>1309.4000000000001</v>
      </c>
      <c r="AM66" s="344">
        <v>1725.9</v>
      </c>
      <c r="AN66" s="344">
        <v>1469.2</v>
      </c>
      <c r="AO66" s="344">
        <v>874.4</v>
      </c>
      <c r="AP66" s="344">
        <v>1951.9</v>
      </c>
      <c r="AQ66" s="344">
        <v>1884</v>
      </c>
      <c r="AR66" s="344">
        <v>1792.5</v>
      </c>
      <c r="AS66" s="344">
        <v>2196.3000000000002</v>
      </c>
      <c r="AT66" s="344">
        <f t="shared" ref="AT66:AY66" si="22">AT65*AT64/1000</f>
        <v>158.685</v>
      </c>
      <c r="AU66" s="344">
        <f t="shared" si="22"/>
        <v>53.064000000000007</v>
      </c>
      <c r="AV66" s="344">
        <f t="shared" si="22"/>
        <v>145.25</v>
      </c>
      <c r="AW66" s="344">
        <f t="shared" si="22"/>
        <v>121.248</v>
      </c>
      <c r="AX66" s="344">
        <f t="shared" si="22"/>
        <v>177.93360000000001</v>
      </c>
      <c r="AY66" s="365">
        <f t="shared" si="22"/>
        <v>102.02400000000002</v>
      </c>
      <c r="AZ66" s="366">
        <f>AZ64*AZ65/1000</f>
        <v>101.0103</v>
      </c>
      <c r="BA66" s="366">
        <f>AZ66-AY66</f>
        <v>-1.0137000000000143</v>
      </c>
      <c r="BB66" s="367">
        <f>AY66-AX66</f>
        <v>-75.909599999999998</v>
      </c>
      <c r="BC66" s="368">
        <f>AZ66-AX66</f>
        <v>-76.923300000000012</v>
      </c>
      <c r="BD66" s="353">
        <f t="shared" si="1"/>
        <v>-0.39505866443808901</v>
      </c>
      <c r="BE66" s="309"/>
      <c r="BF66"/>
      <c r="BG66" s="308"/>
    </row>
    <row r="67" spans="1:63" ht="15" customHeight="1">
      <c r="A67" s="320" t="s">
        <v>370</v>
      </c>
      <c r="B67" s="356"/>
      <c r="C67" s="356"/>
      <c r="D67" s="356"/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6"/>
      <c r="Q67" s="356"/>
      <c r="R67" s="356"/>
      <c r="S67" s="356"/>
      <c r="T67" s="356"/>
      <c r="U67" s="356"/>
      <c r="V67" s="356"/>
      <c r="W67" s="356"/>
      <c r="X67" s="356"/>
      <c r="Y67" s="356"/>
      <c r="Z67" s="356"/>
      <c r="AA67" s="356"/>
      <c r="AB67" s="356"/>
      <c r="AC67" s="356"/>
      <c r="AD67" s="356"/>
      <c r="AE67" s="356"/>
      <c r="AF67" s="356"/>
      <c r="AG67" s="356"/>
      <c r="AH67" s="356"/>
      <c r="AI67" s="356"/>
      <c r="AJ67" s="356"/>
      <c r="AK67" s="356"/>
      <c r="AL67" s="356"/>
      <c r="AM67" s="356"/>
      <c r="AN67" s="356"/>
      <c r="AO67" s="356"/>
      <c r="AP67" s="356"/>
      <c r="AQ67" s="356"/>
      <c r="AR67" s="356"/>
      <c r="AS67" s="356"/>
      <c r="AT67" s="328"/>
      <c r="AU67" s="328"/>
      <c r="AV67" s="328"/>
      <c r="AW67" s="328"/>
      <c r="AX67" s="328"/>
      <c r="AY67" s="321"/>
      <c r="AZ67" s="328"/>
      <c r="BA67" s="329"/>
      <c r="BB67" s="321"/>
      <c r="BC67" s="328"/>
      <c r="BD67" s="329"/>
    </row>
    <row r="68" spans="1:63" ht="15" customHeight="1">
      <c r="A68" s="324" t="s">
        <v>352</v>
      </c>
      <c r="B68" s="344">
        <v>0</v>
      </c>
      <c r="C68" s="344"/>
      <c r="D68" s="344"/>
      <c r="E68" s="344"/>
      <c r="F68" s="344"/>
      <c r="G68" s="344"/>
      <c r="H68" s="344"/>
      <c r="I68" s="344"/>
      <c r="J68" s="344"/>
      <c r="K68" s="344"/>
      <c r="L68" s="344"/>
      <c r="M68" s="344"/>
      <c r="N68" s="344"/>
      <c r="O68" s="344"/>
      <c r="P68" s="344"/>
      <c r="Q68" s="344"/>
      <c r="R68" s="344"/>
      <c r="S68" s="344"/>
      <c r="T68" s="344"/>
      <c r="U68" s="344"/>
      <c r="V68" s="344"/>
      <c r="W68" s="344"/>
      <c r="X68" s="344"/>
      <c r="Y68" s="344"/>
      <c r="Z68" s="344"/>
      <c r="AA68" s="344"/>
      <c r="AB68" s="344"/>
      <c r="AC68" s="344"/>
      <c r="AD68" s="344"/>
      <c r="AE68" s="344"/>
      <c r="AF68" s="344"/>
      <c r="AG68" s="344"/>
      <c r="AH68" s="344"/>
      <c r="AI68" s="344"/>
      <c r="AJ68" s="344"/>
      <c r="AK68" s="344"/>
      <c r="AL68" s="344"/>
      <c r="AM68" s="344"/>
      <c r="AN68" s="344"/>
      <c r="AO68" s="344"/>
      <c r="AP68" s="344"/>
      <c r="AQ68" s="344"/>
      <c r="AR68" s="344">
        <v>147.9</v>
      </c>
      <c r="AS68" s="344">
        <v>153.69999999999999</v>
      </c>
      <c r="AT68" s="344">
        <v>174.8</v>
      </c>
      <c r="AU68" s="344">
        <v>182.2</v>
      </c>
      <c r="AV68" s="344">
        <v>183.6</v>
      </c>
      <c r="AW68" s="344">
        <v>190.4</v>
      </c>
      <c r="AX68" s="344">
        <v>190.4</v>
      </c>
      <c r="AY68" s="369">
        <v>190.4</v>
      </c>
      <c r="AZ68" s="366">
        <v>190.4</v>
      </c>
      <c r="BA68" s="366">
        <f>AZ68-AY68</f>
        <v>0</v>
      </c>
      <c r="BB68" s="367">
        <f>AY68-AX68</f>
        <v>0</v>
      </c>
      <c r="BC68" s="368">
        <f>AZ68-AX68</f>
        <v>0</v>
      </c>
      <c r="BD68" s="353">
        <f t="shared" ref="BD68:BD130" si="23">IFERROR((AX68/AS68)^(1/5)-1,0)</f>
        <v>4.375511144373867E-2</v>
      </c>
      <c r="BH68" s="311"/>
      <c r="BI68" s="311"/>
      <c r="BJ68" s="311"/>
      <c r="BK68" s="311"/>
    </row>
    <row r="69" spans="1:63" ht="15" customHeight="1">
      <c r="A69" s="324" t="s">
        <v>353</v>
      </c>
      <c r="B69" s="345">
        <v>0</v>
      </c>
      <c r="C69" s="345"/>
      <c r="D69" s="345"/>
      <c r="E69" s="345"/>
      <c r="F69" s="345"/>
      <c r="G69" s="345"/>
      <c r="H69" s="345"/>
      <c r="I69" s="345"/>
      <c r="J69" s="345"/>
      <c r="K69" s="345"/>
      <c r="L69" s="345"/>
      <c r="M69" s="345"/>
      <c r="N69" s="345"/>
      <c r="O69" s="345"/>
      <c r="P69" s="345"/>
      <c r="Q69" s="345"/>
      <c r="R69" s="345"/>
      <c r="S69" s="345"/>
      <c r="T69" s="345"/>
      <c r="U69" s="345"/>
      <c r="V69" s="345"/>
      <c r="W69" s="345"/>
      <c r="X69" s="345"/>
      <c r="Y69" s="345"/>
      <c r="Z69" s="345"/>
      <c r="AA69" s="345"/>
      <c r="AB69" s="345"/>
      <c r="AC69" s="345"/>
      <c r="AD69" s="345"/>
      <c r="AE69" s="345"/>
      <c r="AF69" s="345"/>
      <c r="AG69" s="345"/>
      <c r="AH69" s="345"/>
      <c r="AI69" s="345"/>
      <c r="AJ69" s="345"/>
      <c r="AK69" s="345"/>
      <c r="AL69" s="345"/>
      <c r="AM69" s="345"/>
      <c r="AN69" s="345"/>
      <c r="AO69" s="345"/>
      <c r="AP69" s="345"/>
      <c r="AQ69" s="345"/>
      <c r="AR69" s="345">
        <v>5191</v>
      </c>
      <c r="AS69" s="345">
        <v>5969</v>
      </c>
      <c r="AT69" s="345">
        <v>4172</v>
      </c>
      <c r="AU69" s="345">
        <v>4940</v>
      </c>
      <c r="AV69" s="345">
        <v>4879</v>
      </c>
      <c r="AW69" s="345">
        <v>5078</v>
      </c>
      <c r="AX69" s="345">
        <v>5985</v>
      </c>
      <c r="AY69" s="346">
        <v>5958</v>
      </c>
      <c r="AZ69" s="347">
        <v>5898</v>
      </c>
      <c r="BA69" s="347">
        <f>AZ69-AY69</f>
        <v>-60</v>
      </c>
      <c r="BB69" s="351">
        <f>AY69-AX69</f>
        <v>-27</v>
      </c>
      <c r="BC69" s="352">
        <f>AZ69-AX69</f>
        <v>-87</v>
      </c>
      <c r="BD69" s="353">
        <f t="shared" si="23"/>
        <v>5.3552930933076226E-4</v>
      </c>
    </row>
    <row r="70" spans="1:63" s="311" customFormat="1" ht="15" customHeight="1">
      <c r="A70" s="324" t="s">
        <v>354</v>
      </c>
      <c r="B70" s="344">
        <f>B69*B68/1000</f>
        <v>0</v>
      </c>
      <c r="C70" s="344">
        <v>255</v>
      </c>
      <c r="D70" s="344">
        <v>224</v>
      </c>
      <c r="E70" s="344">
        <v>266</v>
      </c>
      <c r="F70" s="344">
        <v>177</v>
      </c>
      <c r="G70" s="344">
        <v>303</v>
      </c>
      <c r="H70" s="344">
        <v>95</v>
      </c>
      <c r="I70" s="344">
        <v>328</v>
      </c>
      <c r="J70" s="344">
        <v>126</v>
      </c>
      <c r="K70" s="344">
        <v>290</v>
      </c>
      <c r="L70" s="344">
        <v>116</v>
      </c>
      <c r="M70" s="344">
        <v>345</v>
      </c>
      <c r="N70" s="344">
        <v>342</v>
      </c>
      <c r="O70" s="344">
        <v>173</v>
      </c>
      <c r="P70" s="344">
        <v>354.7</v>
      </c>
      <c r="Q70" s="344">
        <v>237.2</v>
      </c>
      <c r="R70" s="344">
        <v>197.4</v>
      </c>
      <c r="S70" s="344">
        <v>413.1</v>
      </c>
      <c r="T70" s="344">
        <v>422.5</v>
      </c>
      <c r="U70" s="344">
        <v>455</v>
      </c>
      <c r="V70" s="344">
        <v>362.7</v>
      </c>
      <c r="W70" s="344">
        <v>209.9</v>
      </c>
      <c r="X70" s="344">
        <v>294.10000000000002</v>
      </c>
      <c r="Y70" s="344">
        <v>313.60000000000002</v>
      </c>
      <c r="Z70" s="344">
        <v>310</v>
      </c>
      <c r="AA70" s="344">
        <v>324.5</v>
      </c>
      <c r="AB70" s="344">
        <v>414.2</v>
      </c>
      <c r="AC70" s="344">
        <v>430.4</v>
      </c>
      <c r="AD70" s="344">
        <v>405.1</v>
      </c>
      <c r="AE70" s="344">
        <v>424.4</v>
      </c>
      <c r="AF70" s="344">
        <v>447.1</v>
      </c>
      <c r="AG70" s="344">
        <v>490.4</v>
      </c>
      <c r="AH70" s="344">
        <v>504.1</v>
      </c>
      <c r="AI70" s="344">
        <v>562.1</v>
      </c>
      <c r="AJ70" s="344">
        <v>879.7</v>
      </c>
      <c r="AK70" s="344">
        <v>731.6</v>
      </c>
      <c r="AL70" s="344">
        <v>1309.4000000000001</v>
      </c>
      <c r="AM70" s="344">
        <v>1725.9</v>
      </c>
      <c r="AN70" s="344">
        <v>1469.2</v>
      </c>
      <c r="AO70" s="344">
        <v>874.4</v>
      </c>
      <c r="AP70" s="344">
        <v>1951.9</v>
      </c>
      <c r="AQ70" s="344">
        <v>1884</v>
      </c>
      <c r="AR70" s="344">
        <v>1792.5</v>
      </c>
      <c r="AS70" s="344">
        <v>2196.3000000000002</v>
      </c>
      <c r="AT70" s="344">
        <f t="shared" ref="AT70:AY70" si="24">AT69*AT68/1000</f>
        <v>729.26560000000006</v>
      </c>
      <c r="AU70" s="344">
        <f t="shared" si="24"/>
        <v>900.06799999999998</v>
      </c>
      <c r="AV70" s="344">
        <f t="shared" si="24"/>
        <v>895.78440000000001</v>
      </c>
      <c r="AW70" s="344">
        <f t="shared" si="24"/>
        <v>966.85120000000006</v>
      </c>
      <c r="AX70" s="344">
        <f t="shared" si="24"/>
        <v>1139.5440000000001</v>
      </c>
      <c r="AY70" s="365">
        <f t="shared" si="24"/>
        <v>1134.4032</v>
      </c>
      <c r="AZ70" s="366">
        <f>AZ68*AZ69/1000</f>
        <v>1122.9792</v>
      </c>
      <c r="BA70" s="366">
        <f>AZ70-AY70</f>
        <v>-11.423999999999978</v>
      </c>
      <c r="BB70" s="367">
        <f>AY70-AX70</f>
        <v>-5.1408000000001266</v>
      </c>
      <c r="BC70" s="368">
        <f>AZ70-AX70</f>
        <v>-16.564800000000105</v>
      </c>
      <c r="BD70" s="353">
        <f t="shared" si="23"/>
        <v>-0.12298325105258145</v>
      </c>
      <c r="BE70" s="309"/>
      <c r="BF70"/>
      <c r="BG70" s="308"/>
    </row>
    <row r="71" spans="1:63" ht="15" customHeight="1">
      <c r="A71" s="320" t="s">
        <v>371</v>
      </c>
      <c r="B71" s="356"/>
      <c r="C71" s="356"/>
      <c r="D71" s="356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6"/>
      <c r="P71" s="356"/>
      <c r="Q71" s="356"/>
      <c r="R71" s="356"/>
      <c r="S71" s="356"/>
      <c r="T71" s="356"/>
      <c r="U71" s="356"/>
      <c r="V71" s="356"/>
      <c r="W71" s="356"/>
      <c r="X71" s="356"/>
      <c r="Y71" s="356"/>
      <c r="Z71" s="356"/>
      <c r="AA71" s="356"/>
      <c r="AB71" s="356"/>
      <c r="AC71" s="356"/>
      <c r="AD71" s="356"/>
      <c r="AE71" s="356"/>
      <c r="AF71" s="356"/>
      <c r="AG71" s="356"/>
      <c r="AH71" s="356"/>
      <c r="AI71" s="356"/>
      <c r="AJ71" s="356"/>
      <c r="AK71" s="356"/>
      <c r="AL71" s="356"/>
      <c r="AM71" s="356"/>
      <c r="AN71" s="356"/>
      <c r="AO71" s="356"/>
      <c r="AP71" s="356"/>
      <c r="AQ71" s="356"/>
      <c r="AR71" s="356"/>
      <c r="AS71" s="356"/>
      <c r="AT71" s="328"/>
      <c r="AU71" s="328"/>
      <c r="AV71" s="328"/>
      <c r="AW71" s="328"/>
      <c r="AX71" s="328"/>
      <c r="AY71" s="321"/>
      <c r="AZ71" s="328"/>
      <c r="BA71" s="329"/>
      <c r="BB71" s="321"/>
      <c r="BC71" s="328"/>
      <c r="BD71" s="329"/>
    </row>
    <row r="72" spans="1:63" ht="15" customHeight="1">
      <c r="A72" s="324" t="s">
        <v>352</v>
      </c>
      <c r="B72" s="344">
        <v>0</v>
      </c>
      <c r="C72" s="344"/>
      <c r="D72" s="344"/>
      <c r="E72" s="344"/>
      <c r="F72" s="344"/>
      <c r="G72" s="344"/>
      <c r="H72" s="344"/>
      <c r="I72" s="344"/>
      <c r="J72" s="344"/>
      <c r="K72" s="344"/>
      <c r="L72" s="344"/>
      <c r="M72" s="344"/>
      <c r="N72" s="344"/>
      <c r="O72" s="344"/>
      <c r="P72" s="344"/>
      <c r="Q72" s="344"/>
      <c r="R72" s="344"/>
      <c r="S72" s="344"/>
      <c r="T72" s="344"/>
      <c r="U72" s="344"/>
      <c r="V72" s="344"/>
      <c r="W72" s="344"/>
      <c r="X72" s="344"/>
      <c r="Y72" s="344"/>
      <c r="Z72" s="344"/>
      <c r="AA72" s="344"/>
      <c r="AB72" s="344"/>
      <c r="AC72" s="344"/>
      <c r="AD72" s="344"/>
      <c r="AE72" s="344"/>
      <c r="AF72" s="344"/>
      <c r="AG72" s="344"/>
      <c r="AH72" s="344"/>
      <c r="AI72" s="344"/>
      <c r="AJ72" s="344"/>
      <c r="AK72" s="344"/>
      <c r="AL72" s="344"/>
      <c r="AM72" s="344"/>
      <c r="AN72" s="344"/>
      <c r="AO72" s="344"/>
      <c r="AP72" s="344"/>
      <c r="AQ72" s="344"/>
      <c r="AR72" s="344">
        <v>231.1</v>
      </c>
      <c r="AS72" s="344">
        <v>231.1</v>
      </c>
      <c r="AT72" s="344">
        <v>261.8</v>
      </c>
      <c r="AU72" s="344">
        <v>314.2</v>
      </c>
      <c r="AV72" s="344">
        <v>314.2</v>
      </c>
      <c r="AW72" s="344">
        <v>334.6</v>
      </c>
      <c r="AX72" s="344">
        <v>330</v>
      </c>
      <c r="AY72" s="369">
        <v>281.2</v>
      </c>
      <c r="AZ72" s="366">
        <v>281.2</v>
      </c>
      <c r="BA72" s="366">
        <f>AZ72-AY72</f>
        <v>0</v>
      </c>
      <c r="BB72" s="367">
        <f>AY72-AX72</f>
        <v>-48.800000000000011</v>
      </c>
      <c r="BC72" s="368">
        <f>AZ72-AX72</f>
        <v>-48.800000000000011</v>
      </c>
      <c r="BD72" s="353">
        <f t="shared" si="23"/>
        <v>7.3847966031094003E-2</v>
      </c>
      <c r="BF72" s="319" t="b">
        <v>0</v>
      </c>
      <c r="BH72" s="311"/>
      <c r="BI72" s="311"/>
      <c r="BJ72" s="311"/>
      <c r="BK72" s="311"/>
    </row>
    <row r="73" spans="1:63" ht="15" customHeight="1">
      <c r="A73" s="324" t="s">
        <v>353</v>
      </c>
      <c r="B73" s="345">
        <v>0</v>
      </c>
      <c r="C73" s="345"/>
      <c r="D73" s="345"/>
      <c r="E73" s="345"/>
      <c r="F73" s="345"/>
      <c r="G73" s="345"/>
      <c r="H73" s="345"/>
      <c r="I73" s="345"/>
      <c r="J73" s="345"/>
      <c r="K73" s="345"/>
      <c r="L73" s="345"/>
      <c r="M73" s="345"/>
      <c r="N73" s="345"/>
      <c r="O73" s="345"/>
      <c r="P73" s="345"/>
      <c r="Q73" s="345"/>
      <c r="R73" s="345"/>
      <c r="S73" s="345"/>
      <c r="T73" s="345"/>
      <c r="U73" s="345"/>
      <c r="V73" s="345"/>
      <c r="W73" s="345"/>
      <c r="X73" s="345"/>
      <c r="Y73" s="345"/>
      <c r="Z73" s="345"/>
      <c r="AA73" s="345"/>
      <c r="AB73" s="345"/>
      <c r="AC73" s="345"/>
      <c r="AD73" s="345"/>
      <c r="AE73" s="345"/>
      <c r="AF73" s="345"/>
      <c r="AG73" s="345"/>
      <c r="AH73" s="345"/>
      <c r="AI73" s="345"/>
      <c r="AJ73" s="345"/>
      <c r="AK73" s="345"/>
      <c r="AL73" s="345"/>
      <c r="AM73" s="345"/>
      <c r="AN73" s="345"/>
      <c r="AO73" s="345"/>
      <c r="AP73" s="345"/>
      <c r="AQ73" s="345"/>
      <c r="AR73" s="345">
        <v>1175.5999999999999</v>
      </c>
      <c r="AS73" s="345">
        <v>3016</v>
      </c>
      <c r="AT73" s="345">
        <v>2183</v>
      </c>
      <c r="AU73" s="345">
        <v>3515</v>
      </c>
      <c r="AV73" s="345">
        <v>3035</v>
      </c>
      <c r="AW73" s="345">
        <v>3742</v>
      </c>
      <c r="AX73" s="345">
        <v>4020</v>
      </c>
      <c r="AY73" s="346">
        <v>3664</v>
      </c>
      <c r="AZ73" s="347">
        <v>3627</v>
      </c>
      <c r="BA73" s="347">
        <f>AZ73-AY73</f>
        <v>-37</v>
      </c>
      <c r="BB73" s="351">
        <f>AY73-AX73</f>
        <v>-356</v>
      </c>
      <c r="BC73" s="352">
        <f>AZ73-AX73</f>
        <v>-393</v>
      </c>
      <c r="BD73" s="353">
        <f t="shared" si="23"/>
        <v>5.9153591423505958E-2</v>
      </c>
    </row>
    <row r="74" spans="1:63" ht="15" customHeight="1" thickBot="1">
      <c r="A74" s="324" t="s">
        <v>354</v>
      </c>
      <c r="B74" s="344">
        <f>B73*B72/1000</f>
        <v>0</v>
      </c>
      <c r="C74" s="344">
        <v>255</v>
      </c>
      <c r="D74" s="344">
        <v>224</v>
      </c>
      <c r="E74" s="344">
        <v>266</v>
      </c>
      <c r="F74" s="344">
        <v>177</v>
      </c>
      <c r="G74" s="344">
        <v>303</v>
      </c>
      <c r="H74" s="344">
        <v>95</v>
      </c>
      <c r="I74" s="344">
        <v>328</v>
      </c>
      <c r="J74" s="344">
        <v>126</v>
      </c>
      <c r="K74" s="344">
        <v>290</v>
      </c>
      <c r="L74" s="344">
        <v>116</v>
      </c>
      <c r="M74" s="344">
        <v>345</v>
      </c>
      <c r="N74" s="344">
        <v>342</v>
      </c>
      <c r="O74" s="344">
        <v>173</v>
      </c>
      <c r="P74" s="344">
        <v>354.7</v>
      </c>
      <c r="Q74" s="344">
        <v>237.2</v>
      </c>
      <c r="R74" s="344">
        <v>197.4</v>
      </c>
      <c r="S74" s="344">
        <v>413.1</v>
      </c>
      <c r="T74" s="344">
        <v>422.5</v>
      </c>
      <c r="U74" s="344">
        <v>455</v>
      </c>
      <c r="V74" s="344">
        <v>362.7</v>
      </c>
      <c r="W74" s="344">
        <v>209.9</v>
      </c>
      <c r="X74" s="344">
        <v>294.10000000000002</v>
      </c>
      <c r="Y74" s="344">
        <v>313.60000000000002</v>
      </c>
      <c r="Z74" s="344">
        <v>310</v>
      </c>
      <c r="AA74" s="344">
        <v>324.5</v>
      </c>
      <c r="AB74" s="344">
        <v>414.2</v>
      </c>
      <c r="AC74" s="344">
        <v>430.4</v>
      </c>
      <c r="AD74" s="344">
        <v>405.1</v>
      </c>
      <c r="AE74" s="344">
        <v>424.4</v>
      </c>
      <c r="AF74" s="344">
        <v>447.1</v>
      </c>
      <c r="AG74" s="344">
        <v>490.4</v>
      </c>
      <c r="AH74" s="344">
        <v>504.1</v>
      </c>
      <c r="AI74" s="344">
        <v>562.1</v>
      </c>
      <c r="AJ74" s="344">
        <v>879.7</v>
      </c>
      <c r="AK74" s="344">
        <v>731.6</v>
      </c>
      <c r="AL74" s="344">
        <v>1309.4000000000001</v>
      </c>
      <c r="AM74" s="344">
        <v>1725.9</v>
      </c>
      <c r="AN74" s="344">
        <v>1469.2</v>
      </c>
      <c r="AO74" s="344">
        <v>874.4</v>
      </c>
      <c r="AP74" s="344">
        <v>1951.9</v>
      </c>
      <c r="AQ74" s="344">
        <v>1884</v>
      </c>
      <c r="AR74" s="344">
        <v>1792.5</v>
      </c>
      <c r="AS74" s="344">
        <v>2196.3000000000002</v>
      </c>
      <c r="AT74" s="344">
        <f t="shared" ref="AT74:AY74" si="25">AT73*AT72/1000</f>
        <v>571.50940000000003</v>
      </c>
      <c r="AU74" s="344">
        <f t="shared" si="25"/>
        <v>1104.413</v>
      </c>
      <c r="AV74" s="344">
        <f t="shared" si="25"/>
        <v>953.59699999999998</v>
      </c>
      <c r="AW74" s="344">
        <f t="shared" si="25"/>
        <v>1252.0732000000003</v>
      </c>
      <c r="AX74" s="344">
        <f t="shared" si="25"/>
        <v>1326.6</v>
      </c>
      <c r="AY74" s="365">
        <f t="shared" si="25"/>
        <v>1030.3167999999998</v>
      </c>
      <c r="AZ74" s="366">
        <f>AZ72*AZ73/1000</f>
        <v>1019.9123999999999</v>
      </c>
      <c r="BA74" s="366">
        <f>AZ74-AY74</f>
        <v>-10.404399999999896</v>
      </c>
      <c r="BB74" s="367">
        <f>AY74-AX74</f>
        <v>-296.28320000000008</v>
      </c>
      <c r="BC74" s="368">
        <f>AZ74-AX74</f>
        <v>-306.68759999999997</v>
      </c>
      <c r="BD74" s="353">
        <f t="shared" si="23"/>
        <v>-9.5914162079478782E-2</v>
      </c>
      <c r="BH74" s="311"/>
      <c r="BI74" s="311"/>
      <c r="BJ74" s="311"/>
      <c r="BK74" s="311"/>
    </row>
    <row r="75" spans="1:63" s="311" customFormat="1" ht="15" customHeight="1" thickBot="1">
      <c r="A75" s="335" t="s">
        <v>372</v>
      </c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358"/>
      <c r="AB75" s="358"/>
      <c r="AC75" s="358"/>
      <c r="AD75" s="358"/>
      <c r="AE75" s="358"/>
      <c r="AF75" s="358"/>
      <c r="AG75" s="358"/>
      <c r="AH75" s="358"/>
      <c r="AI75" s="358"/>
      <c r="AJ75" s="358"/>
      <c r="AK75" s="358"/>
      <c r="AL75" s="358"/>
      <c r="AM75" s="358"/>
      <c r="AN75" s="358"/>
      <c r="AO75" s="358"/>
      <c r="AP75" s="358"/>
      <c r="AQ75" s="358"/>
      <c r="AR75" s="358"/>
      <c r="AS75" s="358"/>
      <c r="AT75" s="333"/>
      <c r="AU75" s="333"/>
      <c r="AV75" s="333"/>
      <c r="AW75" s="333"/>
      <c r="AX75" s="333"/>
      <c r="AY75" s="332"/>
      <c r="AZ75" s="333"/>
      <c r="BA75" s="334"/>
      <c r="BB75" s="332"/>
      <c r="BC75" s="333"/>
      <c r="BD75" s="334"/>
      <c r="BE75" s="309"/>
      <c r="BF75"/>
      <c r="BG75" s="308"/>
      <c r="BH75" s="309"/>
      <c r="BI75" s="309"/>
      <c r="BJ75" s="309"/>
      <c r="BK75" s="309"/>
    </row>
    <row r="76" spans="1:63" s="311" customFormat="1" ht="15" customHeight="1">
      <c r="A76" s="324" t="s">
        <v>352</v>
      </c>
      <c r="B76" s="344">
        <f>B80+B84+B88+B92</f>
        <v>0</v>
      </c>
      <c r="C76" s="344">
        <f t="shared" ref="C76:AY76" si="26">C80+C84+C88+C92</f>
        <v>0</v>
      </c>
      <c r="D76" s="344">
        <f t="shared" si="26"/>
        <v>0</v>
      </c>
      <c r="E76" s="344">
        <f t="shared" si="26"/>
        <v>0</v>
      </c>
      <c r="F76" s="344">
        <f t="shared" si="26"/>
        <v>0</v>
      </c>
      <c r="G76" s="344">
        <f t="shared" si="26"/>
        <v>0</v>
      </c>
      <c r="H76" s="344">
        <f t="shared" si="26"/>
        <v>0</v>
      </c>
      <c r="I76" s="344">
        <f t="shared" si="26"/>
        <v>0</v>
      </c>
      <c r="J76" s="344">
        <f t="shared" si="26"/>
        <v>0</v>
      </c>
      <c r="K76" s="344">
        <f t="shared" si="26"/>
        <v>0</v>
      </c>
      <c r="L76" s="344">
        <f t="shared" si="26"/>
        <v>0</v>
      </c>
      <c r="M76" s="344">
        <f t="shared" si="26"/>
        <v>0</v>
      </c>
      <c r="N76" s="344">
        <f t="shared" si="26"/>
        <v>0</v>
      </c>
      <c r="O76" s="344">
        <f t="shared" si="26"/>
        <v>0</v>
      </c>
      <c r="P76" s="344">
        <f t="shared" si="26"/>
        <v>0</v>
      </c>
      <c r="Q76" s="344">
        <f t="shared" si="26"/>
        <v>0</v>
      </c>
      <c r="R76" s="344">
        <f t="shared" si="26"/>
        <v>0</v>
      </c>
      <c r="S76" s="344">
        <f t="shared" si="26"/>
        <v>0</v>
      </c>
      <c r="T76" s="344">
        <f t="shared" si="26"/>
        <v>0</v>
      </c>
      <c r="U76" s="344">
        <f t="shared" si="26"/>
        <v>0</v>
      </c>
      <c r="V76" s="344">
        <f t="shared" si="26"/>
        <v>0</v>
      </c>
      <c r="W76" s="344">
        <f t="shared" si="26"/>
        <v>0</v>
      </c>
      <c r="X76" s="344">
        <f t="shared" si="26"/>
        <v>0</v>
      </c>
      <c r="Y76" s="344">
        <f t="shared" si="26"/>
        <v>0</v>
      </c>
      <c r="Z76" s="344">
        <f t="shared" si="26"/>
        <v>0</v>
      </c>
      <c r="AA76" s="344">
        <f t="shared" si="26"/>
        <v>0</v>
      </c>
      <c r="AB76" s="344">
        <f t="shared" si="26"/>
        <v>0</v>
      </c>
      <c r="AC76" s="344">
        <f t="shared" si="26"/>
        <v>0</v>
      </c>
      <c r="AD76" s="344">
        <f t="shared" si="26"/>
        <v>0</v>
      </c>
      <c r="AE76" s="344">
        <f t="shared" si="26"/>
        <v>0</v>
      </c>
      <c r="AF76" s="344">
        <f t="shared" si="26"/>
        <v>0</v>
      </c>
      <c r="AG76" s="344">
        <f t="shared" si="26"/>
        <v>0</v>
      </c>
      <c r="AH76" s="344">
        <f t="shared" si="26"/>
        <v>0</v>
      </c>
      <c r="AI76" s="344">
        <f t="shared" si="26"/>
        <v>0</v>
      </c>
      <c r="AJ76" s="344">
        <f t="shared" si="26"/>
        <v>0</v>
      </c>
      <c r="AK76" s="344">
        <f t="shared" si="26"/>
        <v>0</v>
      </c>
      <c r="AL76" s="344">
        <f t="shared" si="26"/>
        <v>0</v>
      </c>
      <c r="AM76" s="344">
        <f t="shared" si="26"/>
        <v>0</v>
      </c>
      <c r="AN76" s="344">
        <f t="shared" si="26"/>
        <v>0</v>
      </c>
      <c r="AO76" s="344">
        <f t="shared" si="26"/>
        <v>0</v>
      </c>
      <c r="AP76" s="344">
        <f t="shared" si="26"/>
        <v>0</v>
      </c>
      <c r="AQ76" s="344">
        <f t="shared" si="26"/>
        <v>0</v>
      </c>
      <c r="AR76" s="344">
        <f t="shared" si="26"/>
        <v>0</v>
      </c>
      <c r="AS76" s="344">
        <f t="shared" si="26"/>
        <v>0</v>
      </c>
      <c r="AT76" s="344">
        <f t="shared" si="26"/>
        <v>0</v>
      </c>
      <c r="AU76" s="344">
        <f t="shared" si="26"/>
        <v>0</v>
      </c>
      <c r="AV76" s="344">
        <f t="shared" si="26"/>
        <v>0</v>
      </c>
      <c r="AW76" s="344">
        <f t="shared" si="26"/>
        <v>0</v>
      </c>
      <c r="AX76" s="344">
        <f t="shared" si="26"/>
        <v>0</v>
      </c>
      <c r="AY76" s="369">
        <f t="shared" si="26"/>
        <v>0</v>
      </c>
      <c r="AZ76" s="366">
        <f>AZ80+AZ84+AZ88+AZ92</f>
        <v>0</v>
      </c>
      <c r="BA76" s="366">
        <f>AZ76-AY76</f>
        <v>0</v>
      </c>
      <c r="BB76" s="367">
        <f>AY76-AX76</f>
        <v>0</v>
      </c>
      <c r="BC76" s="368">
        <f>AZ76-AX76</f>
        <v>0</v>
      </c>
      <c r="BD76" s="353">
        <f t="shared" si="23"/>
        <v>0</v>
      </c>
      <c r="BE76" s="309"/>
      <c r="BF76" s="319" t="b">
        <v>0</v>
      </c>
      <c r="BG76" s="308"/>
    </row>
    <row r="77" spans="1:63" s="311" customFormat="1" ht="15" customHeight="1">
      <c r="A77" s="318" t="s">
        <v>353</v>
      </c>
      <c r="B77" s="345">
        <f>IFERROR(B78/B76*1000,0)</f>
        <v>0</v>
      </c>
      <c r="C77" s="345" t="e">
        <f t="shared" ref="C77:AS77" si="27">C78/C76*1000</f>
        <v>#DIV/0!</v>
      </c>
      <c r="D77" s="345" t="e">
        <f t="shared" si="27"/>
        <v>#DIV/0!</v>
      </c>
      <c r="E77" s="345" t="e">
        <f t="shared" si="27"/>
        <v>#DIV/0!</v>
      </c>
      <c r="F77" s="345" t="e">
        <f t="shared" si="27"/>
        <v>#DIV/0!</v>
      </c>
      <c r="G77" s="345" t="e">
        <f t="shared" si="27"/>
        <v>#DIV/0!</v>
      </c>
      <c r="H77" s="345" t="e">
        <f t="shared" si="27"/>
        <v>#DIV/0!</v>
      </c>
      <c r="I77" s="345" t="e">
        <f t="shared" si="27"/>
        <v>#DIV/0!</v>
      </c>
      <c r="J77" s="345" t="e">
        <f t="shared" si="27"/>
        <v>#DIV/0!</v>
      </c>
      <c r="K77" s="345" t="e">
        <f t="shared" si="27"/>
        <v>#DIV/0!</v>
      </c>
      <c r="L77" s="345" t="e">
        <f t="shared" si="27"/>
        <v>#DIV/0!</v>
      </c>
      <c r="M77" s="345" t="e">
        <f t="shared" si="27"/>
        <v>#DIV/0!</v>
      </c>
      <c r="N77" s="345" t="e">
        <f t="shared" si="27"/>
        <v>#DIV/0!</v>
      </c>
      <c r="O77" s="345" t="e">
        <f t="shared" si="27"/>
        <v>#DIV/0!</v>
      </c>
      <c r="P77" s="345" t="e">
        <f t="shared" si="27"/>
        <v>#DIV/0!</v>
      </c>
      <c r="Q77" s="345" t="e">
        <f t="shared" si="27"/>
        <v>#DIV/0!</v>
      </c>
      <c r="R77" s="345" t="e">
        <f t="shared" si="27"/>
        <v>#DIV/0!</v>
      </c>
      <c r="S77" s="345" t="e">
        <f t="shared" si="27"/>
        <v>#DIV/0!</v>
      </c>
      <c r="T77" s="345" t="e">
        <f t="shared" si="27"/>
        <v>#DIV/0!</v>
      </c>
      <c r="U77" s="345" t="e">
        <f t="shared" si="27"/>
        <v>#DIV/0!</v>
      </c>
      <c r="V77" s="345" t="e">
        <f t="shared" si="27"/>
        <v>#DIV/0!</v>
      </c>
      <c r="W77" s="345" t="e">
        <f t="shared" si="27"/>
        <v>#DIV/0!</v>
      </c>
      <c r="X77" s="345" t="e">
        <f t="shared" si="27"/>
        <v>#DIV/0!</v>
      </c>
      <c r="Y77" s="345" t="e">
        <f t="shared" si="27"/>
        <v>#DIV/0!</v>
      </c>
      <c r="Z77" s="345" t="e">
        <f t="shared" si="27"/>
        <v>#DIV/0!</v>
      </c>
      <c r="AA77" s="345" t="e">
        <f t="shared" si="27"/>
        <v>#DIV/0!</v>
      </c>
      <c r="AB77" s="345" t="e">
        <f t="shared" si="27"/>
        <v>#DIV/0!</v>
      </c>
      <c r="AC77" s="345" t="e">
        <f t="shared" si="27"/>
        <v>#DIV/0!</v>
      </c>
      <c r="AD77" s="345" t="e">
        <f t="shared" si="27"/>
        <v>#DIV/0!</v>
      </c>
      <c r="AE77" s="345" t="e">
        <f t="shared" si="27"/>
        <v>#DIV/0!</v>
      </c>
      <c r="AF77" s="345" t="e">
        <f t="shared" si="27"/>
        <v>#DIV/0!</v>
      </c>
      <c r="AG77" s="345" t="e">
        <f t="shared" si="27"/>
        <v>#DIV/0!</v>
      </c>
      <c r="AH77" s="345" t="e">
        <f t="shared" si="27"/>
        <v>#DIV/0!</v>
      </c>
      <c r="AI77" s="345" t="e">
        <f t="shared" si="27"/>
        <v>#DIV/0!</v>
      </c>
      <c r="AJ77" s="345" t="e">
        <f t="shared" si="27"/>
        <v>#DIV/0!</v>
      </c>
      <c r="AK77" s="345" t="e">
        <f t="shared" si="27"/>
        <v>#DIV/0!</v>
      </c>
      <c r="AL77" s="345" t="e">
        <f t="shared" si="27"/>
        <v>#DIV/0!</v>
      </c>
      <c r="AM77" s="345" t="e">
        <f t="shared" si="27"/>
        <v>#DIV/0!</v>
      </c>
      <c r="AN77" s="345" t="e">
        <f t="shared" si="27"/>
        <v>#DIV/0!</v>
      </c>
      <c r="AO77" s="345" t="e">
        <f t="shared" si="27"/>
        <v>#DIV/0!</v>
      </c>
      <c r="AP77" s="345" t="e">
        <f t="shared" si="27"/>
        <v>#DIV/0!</v>
      </c>
      <c r="AQ77" s="345" t="e">
        <f t="shared" si="27"/>
        <v>#DIV/0!</v>
      </c>
      <c r="AR77" s="345" t="e">
        <f t="shared" si="27"/>
        <v>#DIV/0!</v>
      </c>
      <c r="AS77" s="345" t="e">
        <f t="shared" si="27"/>
        <v>#DIV/0!</v>
      </c>
      <c r="AT77" s="345">
        <f t="shared" ref="AT77:BA77" si="28">IFERROR(AT78/AT76*1000,0)</f>
        <v>0</v>
      </c>
      <c r="AU77" s="345">
        <f t="shared" si="28"/>
        <v>0</v>
      </c>
      <c r="AV77" s="345">
        <f t="shared" si="28"/>
        <v>0</v>
      </c>
      <c r="AW77" s="345">
        <f t="shared" si="28"/>
        <v>0</v>
      </c>
      <c r="AX77" s="345">
        <f t="shared" si="28"/>
        <v>0</v>
      </c>
      <c r="AY77" s="346">
        <f t="shared" si="28"/>
        <v>0</v>
      </c>
      <c r="AZ77" s="347">
        <f t="shared" si="28"/>
        <v>0</v>
      </c>
      <c r="BA77" s="347">
        <f t="shared" si="28"/>
        <v>0</v>
      </c>
      <c r="BB77" s="351">
        <f>AY77-AX77</f>
        <v>0</v>
      </c>
      <c r="BC77" s="352">
        <f>AZ77-AX77</f>
        <v>0</v>
      </c>
      <c r="BD77" s="353">
        <f t="shared" si="23"/>
        <v>0</v>
      </c>
      <c r="BE77" s="309"/>
      <c r="BF77"/>
      <c r="BG77" s="308"/>
      <c r="BH77" s="309"/>
      <c r="BI77" s="309"/>
      <c r="BJ77" s="309"/>
      <c r="BK77" s="309"/>
    </row>
    <row r="78" spans="1:63" s="311" customFormat="1" ht="15" customHeight="1">
      <c r="A78" s="318" t="s">
        <v>354</v>
      </c>
      <c r="B78" s="344">
        <f>B82+B86+B90+B94</f>
        <v>0</v>
      </c>
      <c r="C78" s="344">
        <f t="shared" ref="C78:AY78" si="29">C82+C86+C90+C94</f>
        <v>1020</v>
      </c>
      <c r="D78" s="344">
        <f t="shared" si="29"/>
        <v>896</v>
      </c>
      <c r="E78" s="344">
        <f t="shared" si="29"/>
        <v>1064</v>
      </c>
      <c r="F78" s="344">
        <f t="shared" si="29"/>
        <v>708</v>
      </c>
      <c r="G78" s="344">
        <f t="shared" si="29"/>
        <v>1212</v>
      </c>
      <c r="H78" s="344">
        <f t="shared" si="29"/>
        <v>380</v>
      </c>
      <c r="I78" s="344">
        <f t="shared" si="29"/>
        <v>1312</v>
      </c>
      <c r="J78" s="344">
        <f t="shared" si="29"/>
        <v>504</v>
      </c>
      <c r="K78" s="344">
        <f t="shared" si="29"/>
        <v>1160</v>
      </c>
      <c r="L78" s="344">
        <f t="shared" si="29"/>
        <v>464</v>
      </c>
      <c r="M78" s="344">
        <f t="shared" si="29"/>
        <v>1380</v>
      </c>
      <c r="N78" s="344">
        <f t="shared" si="29"/>
        <v>1368</v>
      </c>
      <c r="O78" s="344">
        <f t="shared" si="29"/>
        <v>692</v>
      </c>
      <c r="P78" s="344">
        <f t="shared" si="29"/>
        <v>1418.8</v>
      </c>
      <c r="Q78" s="344">
        <f t="shared" si="29"/>
        <v>948.8</v>
      </c>
      <c r="R78" s="344">
        <f t="shared" si="29"/>
        <v>789.6</v>
      </c>
      <c r="S78" s="344">
        <f t="shared" si="29"/>
        <v>1652.4</v>
      </c>
      <c r="T78" s="344">
        <f t="shared" si="29"/>
        <v>1690</v>
      </c>
      <c r="U78" s="344">
        <f t="shared" si="29"/>
        <v>1820</v>
      </c>
      <c r="V78" s="344">
        <f t="shared" si="29"/>
        <v>1450.8</v>
      </c>
      <c r="W78" s="344">
        <f t="shared" si="29"/>
        <v>839.6</v>
      </c>
      <c r="X78" s="344">
        <f t="shared" si="29"/>
        <v>1176.4000000000001</v>
      </c>
      <c r="Y78" s="344">
        <f t="shared" si="29"/>
        <v>1254.4000000000001</v>
      </c>
      <c r="Z78" s="344">
        <f t="shared" si="29"/>
        <v>1240</v>
      </c>
      <c r="AA78" s="344">
        <f t="shared" si="29"/>
        <v>1298</v>
      </c>
      <c r="AB78" s="344">
        <f t="shared" si="29"/>
        <v>1656.8</v>
      </c>
      <c r="AC78" s="344">
        <f t="shared" si="29"/>
        <v>1721.6</v>
      </c>
      <c r="AD78" s="344">
        <f t="shared" si="29"/>
        <v>1620.4</v>
      </c>
      <c r="AE78" s="344">
        <f t="shared" si="29"/>
        <v>1697.6</v>
      </c>
      <c r="AF78" s="344">
        <f t="shared" si="29"/>
        <v>1788.4</v>
      </c>
      <c r="AG78" s="344">
        <f t="shared" si="29"/>
        <v>1961.6</v>
      </c>
      <c r="AH78" s="344">
        <f t="shared" si="29"/>
        <v>2016.4</v>
      </c>
      <c r="AI78" s="344">
        <f t="shared" si="29"/>
        <v>2248.4</v>
      </c>
      <c r="AJ78" s="344">
        <f t="shared" si="29"/>
        <v>3518.8</v>
      </c>
      <c r="AK78" s="344">
        <f t="shared" si="29"/>
        <v>2926.4</v>
      </c>
      <c r="AL78" s="344">
        <f t="shared" si="29"/>
        <v>5237.6000000000004</v>
      </c>
      <c r="AM78" s="344">
        <f t="shared" si="29"/>
        <v>6903.6</v>
      </c>
      <c r="AN78" s="344">
        <f t="shared" si="29"/>
        <v>5876.8</v>
      </c>
      <c r="AO78" s="344">
        <f t="shared" si="29"/>
        <v>3497.6</v>
      </c>
      <c r="AP78" s="344">
        <f t="shared" si="29"/>
        <v>7807.6</v>
      </c>
      <c r="AQ78" s="344">
        <f t="shared" si="29"/>
        <v>7536</v>
      </c>
      <c r="AR78" s="344">
        <f t="shared" si="29"/>
        <v>7170</v>
      </c>
      <c r="AS78" s="344">
        <f t="shared" si="29"/>
        <v>8785.2000000000007</v>
      </c>
      <c r="AT78" s="344">
        <f t="shared" si="29"/>
        <v>0</v>
      </c>
      <c r="AU78" s="344">
        <f t="shared" si="29"/>
        <v>0</v>
      </c>
      <c r="AV78" s="344">
        <f t="shared" si="29"/>
        <v>0</v>
      </c>
      <c r="AW78" s="344">
        <f t="shared" si="29"/>
        <v>0</v>
      </c>
      <c r="AX78" s="344">
        <f t="shared" si="29"/>
        <v>0</v>
      </c>
      <c r="AY78" s="365">
        <f t="shared" si="29"/>
        <v>0</v>
      </c>
      <c r="AZ78" s="366">
        <f>AZ82+AZ86+AZ90+AZ94</f>
        <v>0</v>
      </c>
      <c r="BA78" s="366">
        <f>AZ78-AY78</f>
        <v>0</v>
      </c>
      <c r="BB78" s="367">
        <f>AY78-AX78</f>
        <v>0</v>
      </c>
      <c r="BC78" s="368">
        <f>AZ78-AX78</f>
        <v>0</v>
      </c>
      <c r="BD78" s="353">
        <f t="shared" si="23"/>
        <v>-1</v>
      </c>
      <c r="BE78" s="309"/>
      <c r="BF78"/>
      <c r="BG78" s="308"/>
    </row>
    <row r="79" spans="1:63" ht="15" customHeight="1">
      <c r="A79" s="320" t="s">
        <v>373</v>
      </c>
      <c r="B79" s="356"/>
      <c r="C79" s="356"/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356"/>
      <c r="AB79" s="356"/>
      <c r="AC79" s="356"/>
      <c r="AD79" s="356"/>
      <c r="AE79" s="356"/>
      <c r="AF79" s="356"/>
      <c r="AG79" s="356"/>
      <c r="AH79" s="356"/>
      <c r="AI79" s="356"/>
      <c r="AJ79" s="356"/>
      <c r="AK79" s="356"/>
      <c r="AL79" s="356"/>
      <c r="AM79" s="356"/>
      <c r="AN79" s="356"/>
      <c r="AO79" s="356"/>
      <c r="AP79" s="356"/>
      <c r="AQ79" s="356"/>
      <c r="AR79" s="356"/>
      <c r="AS79" s="356"/>
      <c r="AT79" s="328"/>
      <c r="AU79" s="328"/>
      <c r="AV79" s="328"/>
      <c r="AW79" s="328"/>
      <c r="AX79" s="328"/>
      <c r="AY79" s="321"/>
      <c r="AZ79" s="328"/>
      <c r="BA79" s="329"/>
      <c r="BB79" s="321"/>
      <c r="BC79" s="328"/>
      <c r="BD79" s="329"/>
    </row>
    <row r="80" spans="1:63" ht="15" customHeight="1">
      <c r="A80" s="324" t="s">
        <v>352</v>
      </c>
      <c r="B80" s="344">
        <v>0</v>
      </c>
      <c r="C80" s="344"/>
      <c r="D80" s="344"/>
      <c r="E80" s="344"/>
      <c r="F80" s="344"/>
      <c r="G80" s="344"/>
      <c r="H80" s="344"/>
      <c r="I80" s="344"/>
      <c r="J80" s="344"/>
      <c r="K80" s="344"/>
      <c r="L80" s="344"/>
      <c r="M80" s="344"/>
      <c r="N80" s="344"/>
      <c r="O80" s="344"/>
      <c r="P80" s="344"/>
      <c r="Q80" s="344"/>
      <c r="R80" s="344"/>
      <c r="S80" s="344"/>
      <c r="T80" s="344"/>
      <c r="U80" s="344"/>
      <c r="V80" s="344"/>
      <c r="W80" s="344"/>
      <c r="X80" s="344"/>
      <c r="Y80" s="344"/>
      <c r="Z80" s="344"/>
      <c r="AA80" s="344"/>
      <c r="AB80" s="344"/>
      <c r="AC80" s="344"/>
      <c r="AD80" s="344"/>
      <c r="AE80" s="344"/>
      <c r="AF80" s="344"/>
      <c r="AG80" s="344"/>
      <c r="AH80" s="344"/>
      <c r="AI80" s="344"/>
      <c r="AJ80" s="344"/>
      <c r="AK80" s="344"/>
      <c r="AL80" s="344"/>
      <c r="AM80" s="344"/>
      <c r="AN80" s="344"/>
      <c r="AO80" s="344"/>
      <c r="AP80" s="344"/>
      <c r="AQ80" s="344"/>
      <c r="AR80" s="344"/>
      <c r="AS80" s="344">
        <v>0</v>
      </c>
      <c r="AT80" s="344">
        <v>0</v>
      </c>
      <c r="AU80" s="344">
        <v>0</v>
      </c>
      <c r="AV80" s="344">
        <v>0</v>
      </c>
      <c r="AW80" s="344">
        <v>0</v>
      </c>
      <c r="AX80" s="344">
        <v>0</v>
      </c>
      <c r="AY80" s="369">
        <v>0</v>
      </c>
      <c r="AZ80" s="366">
        <v>0</v>
      </c>
      <c r="BA80" s="366">
        <f>AZ80-AY80</f>
        <v>0</v>
      </c>
      <c r="BB80" s="367">
        <f>AY80-AX80</f>
        <v>0</v>
      </c>
      <c r="BC80" s="368">
        <f>AZ80-AX80</f>
        <v>0</v>
      </c>
      <c r="BD80" s="353">
        <f t="shared" si="23"/>
        <v>0</v>
      </c>
      <c r="BF80" s="319" t="b">
        <v>0</v>
      </c>
      <c r="BH80" s="311"/>
      <c r="BI80" s="311"/>
      <c r="BJ80" s="311"/>
      <c r="BK80" s="311"/>
    </row>
    <row r="81" spans="1:63" ht="15" customHeight="1">
      <c r="A81" s="324" t="s">
        <v>353</v>
      </c>
      <c r="B81" s="345">
        <v>0</v>
      </c>
      <c r="C81" s="345"/>
      <c r="D81" s="345"/>
      <c r="E81" s="345"/>
      <c r="F81" s="345"/>
      <c r="G81" s="345"/>
      <c r="H81" s="345"/>
      <c r="I81" s="345"/>
      <c r="J81" s="345"/>
      <c r="K81" s="345"/>
      <c r="L81" s="345"/>
      <c r="M81" s="345"/>
      <c r="N81" s="345"/>
      <c r="O81" s="345"/>
      <c r="P81" s="345"/>
      <c r="Q81" s="345"/>
      <c r="R81" s="345"/>
      <c r="S81" s="345"/>
      <c r="T81" s="345"/>
      <c r="U81" s="345"/>
      <c r="V81" s="345"/>
      <c r="W81" s="345"/>
      <c r="X81" s="345"/>
      <c r="Y81" s="345"/>
      <c r="Z81" s="345"/>
      <c r="AA81" s="345"/>
      <c r="AB81" s="345"/>
      <c r="AC81" s="345"/>
      <c r="AD81" s="345"/>
      <c r="AE81" s="345"/>
      <c r="AF81" s="345"/>
      <c r="AG81" s="345"/>
      <c r="AH81" s="345"/>
      <c r="AI81" s="345"/>
      <c r="AJ81" s="345"/>
      <c r="AK81" s="345"/>
      <c r="AL81" s="345"/>
      <c r="AM81" s="345"/>
      <c r="AN81" s="345"/>
      <c r="AO81" s="345"/>
      <c r="AP81" s="345"/>
      <c r="AQ81" s="345"/>
      <c r="AR81" s="345"/>
      <c r="AS81" s="345"/>
      <c r="AT81" s="345">
        <v>0</v>
      </c>
      <c r="AU81" s="345">
        <v>0</v>
      </c>
      <c r="AV81" s="345">
        <v>0</v>
      </c>
      <c r="AW81" s="345">
        <v>0</v>
      </c>
      <c r="AX81" s="345">
        <v>0</v>
      </c>
      <c r="AY81" s="346">
        <v>0</v>
      </c>
      <c r="AZ81" s="347">
        <v>0</v>
      </c>
      <c r="BA81" s="347">
        <f>AZ81-AY81</f>
        <v>0</v>
      </c>
      <c r="BB81" s="351">
        <f>AY81-AX81</f>
        <v>0</v>
      </c>
      <c r="BC81" s="352">
        <f>AZ81-AX81</f>
        <v>0</v>
      </c>
      <c r="BD81" s="353">
        <f t="shared" si="23"/>
        <v>0</v>
      </c>
    </row>
    <row r="82" spans="1:63" s="311" customFormat="1" ht="15" customHeight="1">
      <c r="A82" s="324" t="s">
        <v>354</v>
      </c>
      <c r="B82" s="344">
        <f>B81*B80/1000</f>
        <v>0</v>
      </c>
      <c r="C82" s="344">
        <v>255</v>
      </c>
      <c r="D82" s="344">
        <v>224</v>
      </c>
      <c r="E82" s="344">
        <v>266</v>
      </c>
      <c r="F82" s="344">
        <v>177</v>
      </c>
      <c r="G82" s="344">
        <v>303</v>
      </c>
      <c r="H82" s="344">
        <v>95</v>
      </c>
      <c r="I82" s="344">
        <v>328</v>
      </c>
      <c r="J82" s="344">
        <v>126</v>
      </c>
      <c r="K82" s="344">
        <v>290</v>
      </c>
      <c r="L82" s="344">
        <v>116</v>
      </c>
      <c r="M82" s="344">
        <v>345</v>
      </c>
      <c r="N82" s="344">
        <v>342</v>
      </c>
      <c r="O82" s="344">
        <v>173</v>
      </c>
      <c r="P82" s="344">
        <v>354.7</v>
      </c>
      <c r="Q82" s="344">
        <v>237.2</v>
      </c>
      <c r="R82" s="344">
        <v>197.4</v>
      </c>
      <c r="S82" s="344">
        <v>413.1</v>
      </c>
      <c r="T82" s="344">
        <v>422.5</v>
      </c>
      <c r="U82" s="344">
        <v>455</v>
      </c>
      <c r="V82" s="344">
        <v>362.7</v>
      </c>
      <c r="W82" s="344">
        <v>209.9</v>
      </c>
      <c r="X82" s="344">
        <v>294.10000000000002</v>
      </c>
      <c r="Y82" s="344">
        <v>313.60000000000002</v>
      </c>
      <c r="Z82" s="344">
        <v>310</v>
      </c>
      <c r="AA82" s="344">
        <v>324.5</v>
      </c>
      <c r="AB82" s="344">
        <v>414.2</v>
      </c>
      <c r="AC82" s="344">
        <v>430.4</v>
      </c>
      <c r="AD82" s="344">
        <v>405.1</v>
      </c>
      <c r="AE82" s="344">
        <v>424.4</v>
      </c>
      <c r="AF82" s="344">
        <v>447.1</v>
      </c>
      <c r="AG82" s="344">
        <v>490.4</v>
      </c>
      <c r="AH82" s="344">
        <v>504.1</v>
      </c>
      <c r="AI82" s="344">
        <v>562.1</v>
      </c>
      <c r="AJ82" s="344">
        <v>879.7</v>
      </c>
      <c r="AK82" s="344">
        <v>731.6</v>
      </c>
      <c r="AL82" s="344">
        <v>1309.4000000000001</v>
      </c>
      <c r="AM82" s="344">
        <v>1725.9</v>
      </c>
      <c r="AN82" s="344">
        <v>1469.2</v>
      </c>
      <c r="AO82" s="344">
        <v>874.4</v>
      </c>
      <c r="AP82" s="344">
        <v>1951.9</v>
      </c>
      <c r="AQ82" s="344">
        <v>1884</v>
      </c>
      <c r="AR82" s="344">
        <v>1792.5</v>
      </c>
      <c r="AS82" s="344">
        <v>2196.3000000000002</v>
      </c>
      <c r="AT82" s="344">
        <f t="shared" ref="AT82:AY82" si="30">AT81*AT80/1000</f>
        <v>0</v>
      </c>
      <c r="AU82" s="344">
        <f t="shared" si="30"/>
        <v>0</v>
      </c>
      <c r="AV82" s="344">
        <f t="shared" si="30"/>
        <v>0</v>
      </c>
      <c r="AW82" s="344">
        <f t="shared" si="30"/>
        <v>0</v>
      </c>
      <c r="AX82" s="344">
        <f t="shared" si="30"/>
        <v>0</v>
      </c>
      <c r="AY82" s="365">
        <f t="shared" si="30"/>
        <v>0</v>
      </c>
      <c r="AZ82" s="366">
        <f>AZ81*AZ80/1000</f>
        <v>0</v>
      </c>
      <c r="BA82" s="366">
        <f>AZ82-AY82</f>
        <v>0</v>
      </c>
      <c r="BB82" s="367">
        <f>AY82-AX82</f>
        <v>0</v>
      </c>
      <c r="BC82" s="368">
        <f>AZ82-AX82</f>
        <v>0</v>
      </c>
      <c r="BD82" s="353">
        <f t="shared" si="23"/>
        <v>-1</v>
      </c>
      <c r="BE82" s="309"/>
      <c r="BF82"/>
      <c r="BG82" s="308"/>
    </row>
    <row r="83" spans="1:63" ht="15" customHeight="1">
      <c r="A83" s="320" t="s">
        <v>374</v>
      </c>
      <c r="B83" s="356"/>
      <c r="C83" s="356"/>
      <c r="D83" s="356"/>
      <c r="E83" s="356"/>
      <c r="F83" s="356"/>
      <c r="G83" s="356"/>
      <c r="H83" s="356"/>
      <c r="I83" s="356"/>
      <c r="J83" s="356"/>
      <c r="K83" s="356"/>
      <c r="L83" s="356"/>
      <c r="M83" s="356"/>
      <c r="N83" s="356"/>
      <c r="O83" s="356"/>
      <c r="P83" s="356"/>
      <c r="Q83" s="356"/>
      <c r="R83" s="356"/>
      <c r="S83" s="356"/>
      <c r="T83" s="356"/>
      <c r="U83" s="356"/>
      <c r="V83" s="356"/>
      <c r="W83" s="356"/>
      <c r="X83" s="356"/>
      <c r="Y83" s="356"/>
      <c r="Z83" s="356"/>
      <c r="AA83" s="356"/>
      <c r="AB83" s="356"/>
      <c r="AC83" s="356"/>
      <c r="AD83" s="356"/>
      <c r="AE83" s="356"/>
      <c r="AF83" s="356"/>
      <c r="AG83" s="356"/>
      <c r="AH83" s="356"/>
      <c r="AI83" s="356"/>
      <c r="AJ83" s="356"/>
      <c r="AK83" s="356"/>
      <c r="AL83" s="356"/>
      <c r="AM83" s="356"/>
      <c r="AN83" s="356"/>
      <c r="AO83" s="356"/>
      <c r="AP83" s="356"/>
      <c r="AQ83" s="356"/>
      <c r="AR83" s="356"/>
      <c r="AS83" s="356"/>
      <c r="AT83" s="328"/>
      <c r="AU83" s="328"/>
      <c r="AV83" s="328"/>
      <c r="AW83" s="328"/>
      <c r="AX83" s="328"/>
      <c r="AY83" s="321"/>
      <c r="AZ83" s="328"/>
      <c r="BA83" s="329"/>
      <c r="BB83" s="321"/>
      <c r="BC83" s="328"/>
      <c r="BD83" s="329"/>
    </row>
    <row r="84" spans="1:63" ht="15" customHeight="1">
      <c r="A84" s="324" t="s">
        <v>352</v>
      </c>
      <c r="B84" s="344">
        <v>0</v>
      </c>
      <c r="C84" s="344"/>
      <c r="D84" s="344"/>
      <c r="E84" s="344"/>
      <c r="F84" s="344"/>
      <c r="G84" s="344"/>
      <c r="H84" s="344"/>
      <c r="I84" s="344"/>
      <c r="J84" s="344"/>
      <c r="K84" s="344"/>
      <c r="L84" s="344"/>
      <c r="M84" s="344"/>
      <c r="N84" s="344"/>
      <c r="O84" s="344"/>
      <c r="P84" s="344"/>
      <c r="Q84" s="344"/>
      <c r="R84" s="344"/>
      <c r="S84" s="344"/>
      <c r="T84" s="344"/>
      <c r="U84" s="344"/>
      <c r="V84" s="344"/>
      <c r="W84" s="344"/>
      <c r="X84" s="344"/>
      <c r="Y84" s="344"/>
      <c r="Z84" s="344"/>
      <c r="AA84" s="344"/>
      <c r="AB84" s="344"/>
      <c r="AC84" s="344"/>
      <c r="AD84" s="344"/>
      <c r="AE84" s="344"/>
      <c r="AF84" s="344"/>
      <c r="AG84" s="344"/>
      <c r="AH84" s="344"/>
      <c r="AI84" s="344"/>
      <c r="AJ84" s="344"/>
      <c r="AK84" s="344"/>
      <c r="AL84" s="344"/>
      <c r="AM84" s="344"/>
      <c r="AN84" s="344"/>
      <c r="AO84" s="344"/>
      <c r="AP84" s="344"/>
      <c r="AQ84" s="344"/>
      <c r="AR84" s="344"/>
      <c r="AS84" s="344">
        <v>0</v>
      </c>
      <c r="AT84" s="344">
        <v>0</v>
      </c>
      <c r="AU84" s="344">
        <v>0</v>
      </c>
      <c r="AV84" s="344">
        <v>0</v>
      </c>
      <c r="AW84" s="344">
        <v>0</v>
      </c>
      <c r="AX84" s="344">
        <v>0</v>
      </c>
      <c r="AY84" s="369">
        <v>0</v>
      </c>
      <c r="AZ84" s="366">
        <v>0</v>
      </c>
      <c r="BA84" s="366">
        <f>AZ84-AY84</f>
        <v>0</v>
      </c>
      <c r="BB84" s="367">
        <f>AY84-AX84</f>
        <v>0</v>
      </c>
      <c r="BC84" s="368">
        <f>AZ84-AX84</f>
        <v>0</v>
      </c>
      <c r="BD84" s="353">
        <f t="shared" si="23"/>
        <v>0</v>
      </c>
      <c r="BF84" s="319" t="b">
        <v>0</v>
      </c>
      <c r="BH84" s="311"/>
      <c r="BI84" s="311"/>
      <c r="BJ84" s="311"/>
      <c r="BK84" s="311"/>
    </row>
    <row r="85" spans="1:63" ht="15" customHeight="1">
      <c r="A85" s="324" t="s">
        <v>375</v>
      </c>
      <c r="B85" s="345">
        <v>0</v>
      </c>
      <c r="C85" s="345"/>
      <c r="D85" s="345"/>
      <c r="E85" s="345"/>
      <c r="F85" s="345"/>
      <c r="G85" s="345"/>
      <c r="H85" s="345"/>
      <c r="I85" s="345"/>
      <c r="J85" s="345"/>
      <c r="K85" s="345"/>
      <c r="L85" s="345"/>
      <c r="M85" s="345"/>
      <c r="N85" s="345"/>
      <c r="O85" s="345"/>
      <c r="P85" s="345"/>
      <c r="Q85" s="345"/>
      <c r="R85" s="345"/>
      <c r="S85" s="345"/>
      <c r="T85" s="345"/>
      <c r="U85" s="345"/>
      <c r="V85" s="345"/>
      <c r="W85" s="345"/>
      <c r="X85" s="345"/>
      <c r="Y85" s="345"/>
      <c r="Z85" s="345"/>
      <c r="AA85" s="345"/>
      <c r="AB85" s="345"/>
      <c r="AC85" s="345"/>
      <c r="AD85" s="345"/>
      <c r="AE85" s="345"/>
      <c r="AF85" s="345"/>
      <c r="AG85" s="345"/>
      <c r="AH85" s="345"/>
      <c r="AI85" s="345"/>
      <c r="AJ85" s="345"/>
      <c r="AK85" s="345"/>
      <c r="AL85" s="345"/>
      <c r="AM85" s="345"/>
      <c r="AN85" s="345"/>
      <c r="AO85" s="345"/>
      <c r="AP85" s="345"/>
      <c r="AQ85" s="345"/>
      <c r="AR85" s="345"/>
      <c r="AS85" s="345"/>
      <c r="AT85" s="345">
        <v>0</v>
      </c>
      <c r="AU85" s="345">
        <v>0</v>
      </c>
      <c r="AV85" s="345">
        <v>0</v>
      </c>
      <c r="AW85" s="345">
        <v>0</v>
      </c>
      <c r="AX85" s="345">
        <v>0</v>
      </c>
      <c r="AY85" s="346">
        <v>0</v>
      </c>
      <c r="AZ85" s="347">
        <v>0</v>
      </c>
      <c r="BA85" s="347">
        <f>AZ85-AY85</f>
        <v>0</v>
      </c>
      <c r="BB85" s="351">
        <f>AY85-AX85</f>
        <v>0</v>
      </c>
      <c r="BC85" s="352">
        <f>AZ85-AX85</f>
        <v>0</v>
      </c>
      <c r="BD85" s="353">
        <f t="shared" si="23"/>
        <v>0</v>
      </c>
    </row>
    <row r="86" spans="1:63" s="311" customFormat="1" ht="15" customHeight="1">
      <c r="A86" s="324" t="s">
        <v>376</v>
      </c>
      <c r="B86" s="344">
        <f>B85*B84/1000</f>
        <v>0</v>
      </c>
      <c r="C86" s="344">
        <v>255</v>
      </c>
      <c r="D86" s="344">
        <v>224</v>
      </c>
      <c r="E86" s="344">
        <v>266</v>
      </c>
      <c r="F86" s="344">
        <v>177</v>
      </c>
      <c r="G86" s="344">
        <v>303</v>
      </c>
      <c r="H86" s="344">
        <v>95</v>
      </c>
      <c r="I86" s="344">
        <v>328</v>
      </c>
      <c r="J86" s="344">
        <v>126</v>
      </c>
      <c r="K86" s="344">
        <v>290</v>
      </c>
      <c r="L86" s="344">
        <v>116</v>
      </c>
      <c r="M86" s="344">
        <v>345</v>
      </c>
      <c r="N86" s="344">
        <v>342</v>
      </c>
      <c r="O86" s="344">
        <v>173</v>
      </c>
      <c r="P86" s="344">
        <v>354.7</v>
      </c>
      <c r="Q86" s="344">
        <v>237.2</v>
      </c>
      <c r="R86" s="344">
        <v>197.4</v>
      </c>
      <c r="S86" s="344">
        <v>413.1</v>
      </c>
      <c r="T86" s="344">
        <v>422.5</v>
      </c>
      <c r="U86" s="344">
        <v>455</v>
      </c>
      <c r="V86" s="344">
        <v>362.7</v>
      </c>
      <c r="W86" s="344">
        <v>209.9</v>
      </c>
      <c r="X86" s="344">
        <v>294.10000000000002</v>
      </c>
      <c r="Y86" s="344">
        <v>313.60000000000002</v>
      </c>
      <c r="Z86" s="344">
        <v>310</v>
      </c>
      <c r="AA86" s="344">
        <v>324.5</v>
      </c>
      <c r="AB86" s="344">
        <v>414.2</v>
      </c>
      <c r="AC86" s="344">
        <v>430.4</v>
      </c>
      <c r="AD86" s="344">
        <v>405.1</v>
      </c>
      <c r="AE86" s="344">
        <v>424.4</v>
      </c>
      <c r="AF86" s="344">
        <v>447.1</v>
      </c>
      <c r="AG86" s="344">
        <v>490.4</v>
      </c>
      <c r="AH86" s="344">
        <v>504.1</v>
      </c>
      <c r="AI86" s="344">
        <v>562.1</v>
      </c>
      <c r="AJ86" s="344">
        <v>879.7</v>
      </c>
      <c r="AK86" s="344">
        <v>731.6</v>
      </c>
      <c r="AL86" s="344">
        <v>1309.4000000000001</v>
      </c>
      <c r="AM86" s="344">
        <v>1725.9</v>
      </c>
      <c r="AN86" s="344">
        <v>1469.2</v>
      </c>
      <c r="AO86" s="344">
        <v>874.4</v>
      </c>
      <c r="AP86" s="344">
        <v>1951.9</v>
      </c>
      <c r="AQ86" s="344">
        <v>1884</v>
      </c>
      <c r="AR86" s="344">
        <v>1792.5</v>
      </c>
      <c r="AS86" s="344">
        <v>2196.3000000000002</v>
      </c>
      <c r="AT86" s="344">
        <f t="shared" ref="AT86:AY86" si="31">AT85*AT84/1000</f>
        <v>0</v>
      </c>
      <c r="AU86" s="344">
        <f t="shared" si="31"/>
        <v>0</v>
      </c>
      <c r="AV86" s="344">
        <f t="shared" si="31"/>
        <v>0</v>
      </c>
      <c r="AW86" s="344">
        <f t="shared" si="31"/>
        <v>0</v>
      </c>
      <c r="AX86" s="344">
        <f t="shared" si="31"/>
        <v>0</v>
      </c>
      <c r="AY86" s="365">
        <f t="shared" si="31"/>
        <v>0</v>
      </c>
      <c r="AZ86" s="366">
        <f>AZ85*AZ84/1000</f>
        <v>0</v>
      </c>
      <c r="BA86" s="366">
        <f>AZ86-AY86</f>
        <v>0</v>
      </c>
      <c r="BB86" s="367">
        <f>AY86-AX86</f>
        <v>0</v>
      </c>
      <c r="BC86" s="368">
        <f>AZ86-AX86</f>
        <v>0</v>
      </c>
      <c r="BD86" s="353">
        <f t="shared" si="23"/>
        <v>-1</v>
      </c>
      <c r="BE86" s="309"/>
      <c r="BF86"/>
      <c r="BG86" s="308"/>
    </row>
    <row r="87" spans="1:63" ht="15" customHeight="1">
      <c r="A87" s="320" t="s">
        <v>377</v>
      </c>
      <c r="B87" s="356"/>
      <c r="C87" s="356"/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56"/>
      <c r="Z87" s="356"/>
      <c r="AA87" s="356"/>
      <c r="AB87" s="356"/>
      <c r="AC87" s="356"/>
      <c r="AD87" s="356"/>
      <c r="AE87" s="356"/>
      <c r="AF87" s="356"/>
      <c r="AG87" s="356"/>
      <c r="AH87" s="356"/>
      <c r="AI87" s="356"/>
      <c r="AJ87" s="356"/>
      <c r="AK87" s="356"/>
      <c r="AL87" s="356"/>
      <c r="AM87" s="356"/>
      <c r="AN87" s="356"/>
      <c r="AO87" s="356"/>
      <c r="AP87" s="356"/>
      <c r="AQ87" s="356"/>
      <c r="AR87" s="356"/>
      <c r="AS87" s="356"/>
      <c r="AT87" s="328"/>
      <c r="AU87" s="328"/>
      <c r="AV87" s="328"/>
      <c r="AW87" s="328"/>
      <c r="AX87" s="328"/>
      <c r="AY87" s="321"/>
      <c r="AZ87" s="328"/>
      <c r="BA87" s="329"/>
      <c r="BB87" s="321"/>
      <c r="BC87" s="328"/>
      <c r="BD87" s="329"/>
    </row>
    <row r="88" spans="1:63" ht="15" customHeight="1">
      <c r="A88" s="324" t="s">
        <v>352</v>
      </c>
      <c r="B88" s="344">
        <v>0</v>
      </c>
      <c r="C88" s="344"/>
      <c r="D88" s="344"/>
      <c r="E88" s="344"/>
      <c r="F88" s="344"/>
      <c r="G88" s="344"/>
      <c r="H88" s="344"/>
      <c r="I88" s="344"/>
      <c r="J88" s="344"/>
      <c r="K88" s="344"/>
      <c r="L88" s="344"/>
      <c r="M88" s="344"/>
      <c r="N88" s="344"/>
      <c r="O88" s="344"/>
      <c r="P88" s="344"/>
      <c r="Q88" s="344"/>
      <c r="R88" s="344"/>
      <c r="S88" s="344"/>
      <c r="T88" s="344"/>
      <c r="U88" s="344"/>
      <c r="V88" s="344"/>
      <c r="W88" s="344"/>
      <c r="X88" s="344"/>
      <c r="Y88" s="344"/>
      <c r="Z88" s="344"/>
      <c r="AA88" s="344"/>
      <c r="AB88" s="344"/>
      <c r="AC88" s="344"/>
      <c r="AD88" s="344"/>
      <c r="AE88" s="344"/>
      <c r="AF88" s="344"/>
      <c r="AG88" s="344"/>
      <c r="AH88" s="344"/>
      <c r="AI88" s="344"/>
      <c r="AJ88" s="344"/>
      <c r="AK88" s="344"/>
      <c r="AL88" s="344"/>
      <c r="AM88" s="344"/>
      <c r="AN88" s="344"/>
      <c r="AO88" s="344"/>
      <c r="AP88" s="344"/>
      <c r="AQ88" s="344"/>
      <c r="AR88" s="344"/>
      <c r="AS88" s="344">
        <v>0</v>
      </c>
      <c r="AT88" s="344">
        <v>0</v>
      </c>
      <c r="AU88" s="344">
        <v>0</v>
      </c>
      <c r="AV88" s="344">
        <v>0</v>
      </c>
      <c r="AW88" s="344">
        <v>0</v>
      </c>
      <c r="AX88" s="344">
        <v>0</v>
      </c>
      <c r="AY88" s="369">
        <v>0</v>
      </c>
      <c r="AZ88" s="366">
        <v>0</v>
      </c>
      <c r="BA88" s="366">
        <f>AZ88-AY88</f>
        <v>0</v>
      </c>
      <c r="BB88" s="367">
        <f>AY88-AX88</f>
        <v>0</v>
      </c>
      <c r="BC88" s="368">
        <f>AZ88-AX88</f>
        <v>0</v>
      </c>
      <c r="BD88" s="353">
        <f t="shared" si="23"/>
        <v>0</v>
      </c>
      <c r="BF88" s="319" t="b">
        <v>0</v>
      </c>
      <c r="BH88" s="311"/>
      <c r="BI88" s="311"/>
      <c r="BJ88" s="311"/>
      <c r="BK88" s="311"/>
    </row>
    <row r="89" spans="1:63" ht="15" customHeight="1">
      <c r="A89" s="324" t="s">
        <v>375</v>
      </c>
      <c r="B89" s="345">
        <v>0</v>
      </c>
      <c r="C89" s="345"/>
      <c r="D89" s="345"/>
      <c r="E89" s="345"/>
      <c r="F89" s="345"/>
      <c r="G89" s="345"/>
      <c r="H89" s="345"/>
      <c r="I89" s="345"/>
      <c r="J89" s="345"/>
      <c r="K89" s="345"/>
      <c r="L89" s="345"/>
      <c r="M89" s="345"/>
      <c r="N89" s="345"/>
      <c r="O89" s="345"/>
      <c r="P89" s="345"/>
      <c r="Q89" s="345"/>
      <c r="R89" s="345"/>
      <c r="S89" s="345"/>
      <c r="T89" s="345"/>
      <c r="U89" s="345"/>
      <c r="V89" s="345"/>
      <c r="W89" s="345"/>
      <c r="X89" s="345"/>
      <c r="Y89" s="345"/>
      <c r="Z89" s="345"/>
      <c r="AA89" s="345"/>
      <c r="AB89" s="345"/>
      <c r="AC89" s="345"/>
      <c r="AD89" s="345"/>
      <c r="AE89" s="345"/>
      <c r="AF89" s="345"/>
      <c r="AG89" s="345"/>
      <c r="AH89" s="345"/>
      <c r="AI89" s="345"/>
      <c r="AJ89" s="345"/>
      <c r="AK89" s="345"/>
      <c r="AL89" s="345"/>
      <c r="AM89" s="345"/>
      <c r="AN89" s="345"/>
      <c r="AO89" s="345"/>
      <c r="AP89" s="345"/>
      <c r="AQ89" s="345"/>
      <c r="AR89" s="345"/>
      <c r="AS89" s="345"/>
      <c r="AT89" s="345">
        <v>0</v>
      </c>
      <c r="AU89" s="345">
        <v>0</v>
      </c>
      <c r="AV89" s="345">
        <v>0</v>
      </c>
      <c r="AW89" s="345">
        <v>0</v>
      </c>
      <c r="AX89" s="345">
        <v>0</v>
      </c>
      <c r="AY89" s="346">
        <v>0</v>
      </c>
      <c r="AZ89" s="347">
        <v>0</v>
      </c>
      <c r="BA89" s="347">
        <f>AZ89-AY89</f>
        <v>0</v>
      </c>
      <c r="BB89" s="351">
        <f>AY89-AX89</f>
        <v>0</v>
      </c>
      <c r="BC89" s="352">
        <f>AZ89-AX89</f>
        <v>0</v>
      </c>
      <c r="BD89" s="353">
        <f t="shared" si="23"/>
        <v>0</v>
      </c>
    </row>
    <row r="90" spans="1:63" s="311" customFormat="1" ht="15" customHeight="1">
      <c r="A90" s="324" t="s">
        <v>376</v>
      </c>
      <c r="B90" s="344">
        <f>B89*B88/1000</f>
        <v>0</v>
      </c>
      <c r="C90" s="344">
        <v>255</v>
      </c>
      <c r="D90" s="344">
        <v>224</v>
      </c>
      <c r="E90" s="344">
        <v>266</v>
      </c>
      <c r="F90" s="344">
        <v>177</v>
      </c>
      <c r="G90" s="344">
        <v>303</v>
      </c>
      <c r="H90" s="344">
        <v>95</v>
      </c>
      <c r="I90" s="344">
        <v>328</v>
      </c>
      <c r="J90" s="344">
        <v>126</v>
      </c>
      <c r="K90" s="344">
        <v>290</v>
      </c>
      <c r="L90" s="344">
        <v>116</v>
      </c>
      <c r="M90" s="344">
        <v>345</v>
      </c>
      <c r="N90" s="344">
        <v>342</v>
      </c>
      <c r="O90" s="344">
        <v>173</v>
      </c>
      <c r="P90" s="344">
        <v>354.7</v>
      </c>
      <c r="Q90" s="344">
        <v>237.2</v>
      </c>
      <c r="R90" s="344">
        <v>197.4</v>
      </c>
      <c r="S90" s="344">
        <v>413.1</v>
      </c>
      <c r="T90" s="344">
        <v>422.5</v>
      </c>
      <c r="U90" s="344">
        <v>455</v>
      </c>
      <c r="V90" s="344">
        <v>362.7</v>
      </c>
      <c r="W90" s="344">
        <v>209.9</v>
      </c>
      <c r="X90" s="344">
        <v>294.10000000000002</v>
      </c>
      <c r="Y90" s="344">
        <v>313.60000000000002</v>
      </c>
      <c r="Z90" s="344">
        <v>310</v>
      </c>
      <c r="AA90" s="344">
        <v>324.5</v>
      </c>
      <c r="AB90" s="344">
        <v>414.2</v>
      </c>
      <c r="AC90" s="344">
        <v>430.4</v>
      </c>
      <c r="AD90" s="344">
        <v>405.1</v>
      </c>
      <c r="AE90" s="344">
        <v>424.4</v>
      </c>
      <c r="AF90" s="344">
        <v>447.1</v>
      </c>
      <c r="AG90" s="344">
        <v>490.4</v>
      </c>
      <c r="AH90" s="344">
        <v>504.1</v>
      </c>
      <c r="AI90" s="344">
        <v>562.1</v>
      </c>
      <c r="AJ90" s="344">
        <v>879.7</v>
      </c>
      <c r="AK90" s="344">
        <v>731.6</v>
      </c>
      <c r="AL90" s="344">
        <v>1309.4000000000001</v>
      </c>
      <c r="AM90" s="344">
        <v>1725.9</v>
      </c>
      <c r="AN90" s="344">
        <v>1469.2</v>
      </c>
      <c r="AO90" s="344">
        <v>874.4</v>
      </c>
      <c r="AP90" s="344">
        <v>1951.9</v>
      </c>
      <c r="AQ90" s="344">
        <v>1884</v>
      </c>
      <c r="AR90" s="344">
        <v>1792.5</v>
      </c>
      <c r="AS90" s="344">
        <v>2196.3000000000002</v>
      </c>
      <c r="AT90" s="344">
        <f t="shared" ref="AT90:AY90" si="32">AT89*AT88/1000</f>
        <v>0</v>
      </c>
      <c r="AU90" s="344">
        <f t="shared" si="32"/>
        <v>0</v>
      </c>
      <c r="AV90" s="344">
        <f t="shared" si="32"/>
        <v>0</v>
      </c>
      <c r="AW90" s="344">
        <f t="shared" si="32"/>
        <v>0</v>
      </c>
      <c r="AX90" s="344">
        <f t="shared" si="32"/>
        <v>0</v>
      </c>
      <c r="AY90" s="365">
        <f t="shared" si="32"/>
        <v>0</v>
      </c>
      <c r="AZ90" s="366">
        <f>AZ89*AZ88/1000</f>
        <v>0</v>
      </c>
      <c r="BA90" s="366">
        <f>AZ90-AY90</f>
        <v>0</v>
      </c>
      <c r="BB90" s="367">
        <f>AY90-AX90</f>
        <v>0</v>
      </c>
      <c r="BC90" s="368">
        <f>AZ90-AX90</f>
        <v>0</v>
      </c>
      <c r="BD90" s="353">
        <f t="shared" si="23"/>
        <v>-1</v>
      </c>
      <c r="BE90" s="309"/>
      <c r="BF90"/>
      <c r="BG90" s="308"/>
    </row>
    <row r="91" spans="1:63" ht="15" customHeight="1">
      <c r="A91" s="320" t="s">
        <v>378</v>
      </c>
      <c r="B91" s="356"/>
      <c r="C91" s="356"/>
      <c r="D91" s="356"/>
      <c r="E91" s="356"/>
      <c r="F91" s="356"/>
      <c r="G91" s="356"/>
      <c r="H91" s="356"/>
      <c r="I91" s="356"/>
      <c r="J91" s="356"/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56"/>
      <c r="Z91" s="356"/>
      <c r="AA91" s="356"/>
      <c r="AB91" s="356"/>
      <c r="AC91" s="356"/>
      <c r="AD91" s="356"/>
      <c r="AE91" s="356"/>
      <c r="AF91" s="356"/>
      <c r="AG91" s="356"/>
      <c r="AH91" s="356"/>
      <c r="AI91" s="356"/>
      <c r="AJ91" s="356"/>
      <c r="AK91" s="356"/>
      <c r="AL91" s="356"/>
      <c r="AM91" s="356"/>
      <c r="AN91" s="356"/>
      <c r="AO91" s="356"/>
      <c r="AP91" s="356"/>
      <c r="AQ91" s="356"/>
      <c r="AR91" s="356"/>
      <c r="AS91" s="356"/>
      <c r="AT91" s="328"/>
      <c r="AU91" s="328"/>
      <c r="AV91" s="328"/>
      <c r="AW91" s="328"/>
      <c r="AX91" s="328"/>
      <c r="AY91" s="321"/>
      <c r="AZ91" s="328"/>
      <c r="BA91" s="329"/>
      <c r="BB91" s="321"/>
      <c r="BC91" s="328"/>
      <c r="BD91" s="329"/>
    </row>
    <row r="92" spans="1:63" ht="15" customHeight="1">
      <c r="A92" s="324" t="s">
        <v>352</v>
      </c>
      <c r="B92" s="344">
        <v>0</v>
      </c>
      <c r="C92" s="344"/>
      <c r="D92" s="344"/>
      <c r="E92" s="344"/>
      <c r="F92" s="344"/>
      <c r="G92" s="344"/>
      <c r="H92" s="344"/>
      <c r="I92" s="344"/>
      <c r="J92" s="344"/>
      <c r="K92" s="344"/>
      <c r="L92" s="344"/>
      <c r="M92" s="344"/>
      <c r="N92" s="344"/>
      <c r="O92" s="344"/>
      <c r="P92" s="344"/>
      <c r="Q92" s="344"/>
      <c r="R92" s="344"/>
      <c r="S92" s="344"/>
      <c r="T92" s="344"/>
      <c r="U92" s="344"/>
      <c r="V92" s="344"/>
      <c r="W92" s="344"/>
      <c r="X92" s="344"/>
      <c r="Y92" s="344"/>
      <c r="Z92" s="344"/>
      <c r="AA92" s="344"/>
      <c r="AB92" s="344"/>
      <c r="AC92" s="344"/>
      <c r="AD92" s="344"/>
      <c r="AE92" s="344"/>
      <c r="AF92" s="344"/>
      <c r="AG92" s="344"/>
      <c r="AH92" s="344"/>
      <c r="AI92" s="344"/>
      <c r="AJ92" s="344"/>
      <c r="AK92" s="344"/>
      <c r="AL92" s="344"/>
      <c r="AM92" s="344"/>
      <c r="AN92" s="344"/>
      <c r="AO92" s="344"/>
      <c r="AP92" s="344"/>
      <c r="AQ92" s="344"/>
      <c r="AR92" s="344"/>
      <c r="AS92" s="344">
        <v>0</v>
      </c>
      <c r="AT92" s="344">
        <v>0</v>
      </c>
      <c r="AU92" s="344">
        <v>0</v>
      </c>
      <c r="AV92" s="344">
        <v>0</v>
      </c>
      <c r="AW92" s="344">
        <v>0</v>
      </c>
      <c r="AX92" s="344">
        <v>0</v>
      </c>
      <c r="AY92" s="369">
        <v>0</v>
      </c>
      <c r="AZ92" s="366">
        <v>0</v>
      </c>
      <c r="BA92" s="366">
        <f>AZ92-AY92</f>
        <v>0</v>
      </c>
      <c r="BB92" s="367">
        <f>AY92-AX92</f>
        <v>0</v>
      </c>
      <c r="BC92" s="368">
        <f>AZ92-AX92</f>
        <v>0</v>
      </c>
      <c r="BD92" s="353">
        <f t="shared" si="23"/>
        <v>0</v>
      </c>
      <c r="BF92" s="319" t="b">
        <v>0</v>
      </c>
      <c r="BH92" s="311"/>
      <c r="BI92" s="311"/>
      <c r="BJ92" s="311"/>
      <c r="BK92" s="311"/>
    </row>
    <row r="93" spans="1:63" ht="15" customHeight="1">
      <c r="A93" s="324" t="s">
        <v>353</v>
      </c>
      <c r="B93" s="345">
        <v>0</v>
      </c>
      <c r="C93" s="345"/>
      <c r="D93" s="345"/>
      <c r="E93" s="345"/>
      <c r="F93" s="345"/>
      <c r="G93" s="345"/>
      <c r="H93" s="345"/>
      <c r="I93" s="345"/>
      <c r="J93" s="345"/>
      <c r="K93" s="345"/>
      <c r="L93" s="345"/>
      <c r="M93" s="345"/>
      <c r="N93" s="345"/>
      <c r="O93" s="345"/>
      <c r="P93" s="345"/>
      <c r="Q93" s="345"/>
      <c r="R93" s="345"/>
      <c r="S93" s="345"/>
      <c r="T93" s="345"/>
      <c r="U93" s="345"/>
      <c r="V93" s="345"/>
      <c r="W93" s="345"/>
      <c r="X93" s="345"/>
      <c r="Y93" s="345"/>
      <c r="Z93" s="345"/>
      <c r="AA93" s="345"/>
      <c r="AB93" s="345"/>
      <c r="AC93" s="345"/>
      <c r="AD93" s="345"/>
      <c r="AE93" s="345"/>
      <c r="AF93" s="345"/>
      <c r="AG93" s="345"/>
      <c r="AH93" s="345"/>
      <c r="AI93" s="345"/>
      <c r="AJ93" s="345"/>
      <c r="AK93" s="345"/>
      <c r="AL93" s="345"/>
      <c r="AM93" s="345"/>
      <c r="AN93" s="345"/>
      <c r="AO93" s="345"/>
      <c r="AP93" s="345"/>
      <c r="AQ93" s="345"/>
      <c r="AR93" s="345"/>
      <c r="AS93" s="345"/>
      <c r="AT93" s="345">
        <v>0</v>
      </c>
      <c r="AU93" s="345">
        <v>0</v>
      </c>
      <c r="AV93" s="345">
        <v>0</v>
      </c>
      <c r="AW93" s="345">
        <v>0</v>
      </c>
      <c r="AX93" s="345">
        <v>0</v>
      </c>
      <c r="AY93" s="346">
        <v>0</v>
      </c>
      <c r="AZ93" s="347">
        <v>0</v>
      </c>
      <c r="BA93" s="347">
        <f>AZ93-AY93</f>
        <v>0</v>
      </c>
      <c r="BB93" s="351">
        <f>AY93-AX93</f>
        <v>0</v>
      </c>
      <c r="BC93" s="352">
        <f>AZ93-AX93</f>
        <v>0</v>
      </c>
      <c r="BD93" s="353">
        <f t="shared" si="23"/>
        <v>0</v>
      </c>
    </row>
    <row r="94" spans="1:63" ht="15" customHeight="1" thickBot="1">
      <c r="A94" s="324" t="s">
        <v>354</v>
      </c>
      <c r="B94" s="344">
        <f>B93*B92/1000</f>
        <v>0</v>
      </c>
      <c r="C94" s="344">
        <v>255</v>
      </c>
      <c r="D94" s="344">
        <v>224</v>
      </c>
      <c r="E94" s="344">
        <v>266</v>
      </c>
      <c r="F94" s="344">
        <v>177</v>
      </c>
      <c r="G94" s="344">
        <v>303</v>
      </c>
      <c r="H94" s="344">
        <v>95</v>
      </c>
      <c r="I94" s="344">
        <v>328</v>
      </c>
      <c r="J94" s="344">
        <v>126</v>
      </c>
      <c r="K94" s="344">
        <v>290</v>
      </c>
      <c r="L94" s="344">
        <v>116</v>
      </c>
      <c r="M94" s="344">
        <v>345</v>
      </c>
      <c r="N94" s="344">
        <v>342</v>
      </c>
      <c r="O94" s="344">
        <v>173</v>
      </c>
      <c r="P94" s="344">
        <v>354.7</v>
      </c>
      <c r="Q94" s="344">
        <v>237.2</v>
      </c>
      <c r="R94" s="344">
        <v>197.4</v>
      </c>
      <c r="S94" s="344">
        <v>413.1</v>
      </c>
      <c r="T94" s="344">
        <v>422.5</v>
      </c>
      <c r="U94" s="344">
        <v>455</v>
      </c>
      <c r="V94" s="344">
        <v>362.7</v>
      </c>
      <c r="W94" s="344">
        <v>209.9</v>
      </c>
      <c r="X94" s="344">
        <v>294.10000000000002</v>
      </c>
      <c r="Y94" s="344">
        <v>313.60000000000002</v>
      </c>
      <c r="Z94" s="344">
        <v>310</v>
      </c>
      <c r="AA94" s="344">
        <v>324.5</v>
      </c>
      <c r="AB94" s="344">
        <v>414.2</v>
      </c>
      <c r="AC94" s="344">
        <v>430.4</v>
      </c>
      <c r="AD94" s="344">
        <v>405.1</v>
      </c>
      <c r="AE94" s="344">
        <v>424.4</v>
      </c>
      <c r="AF94" s="344">
        <v>447.1</v>
      </c>
      <c r="AG94" s="344">
        <v>490.4</v>
      </c>
      <c r="AH94" s="344">
        <v>504.1</v>
      </c>
      <c r="AI94" s="344">
        <v>562.1</v>
      </c>
      <c r="AJ94" s="344">
        <v>879.7</v>
      </c>
      <c r="AK94" s="344">
        <v>731.6</v>
      </c>
      <c r="AL94" s="344">
        <v>1309.4000000000001</v>
      </c>
      <c r="AM94" s="344">
        <v>1725.9</v>
      </c>
      <c r="AN94" s="344">
        <v>1469.2</v>
      </c>
      <c r="AO94" s="344">
        <v>874.4</v>
      </c>
      <c r="AP94" s="344">
        <v>1951.9</v>
      </c>
      <c r="AQ94" s="344">
        <v>1884</v>
      </c>
      <c r="AR94" s="344">
        <v>1792.5</v>
      </c>
      <c r="AS94" s="344">
        <v>2196.3000000000002</v>
      </c>
      <c r="AT94" s="344">
        <f t="shared" ref="AT94:AY94" si="33">AT93*AT92/1000</f>
        <v>0</v>
      </c>
      <c r="AU94" s="344">
        <f t="shared" si="33"/>
        <v>0</v>
      </c>
      <c r="AV94" s="344">
        <f t="shared" si="33"/>
        <v>0</v>
      </c>
      <c r="AW94" s="344">
        <f t="shared" si="33"/>
        <v>0</v>
      </c>
      <c r="AX94" s="344">
        <f t="shared" si="33"/>
        <v>0</v>
      </c>
      <c r="AY94" s="365">
        <f t="shared" si="33"/>
        <v>0</v>
      </c>
      <c r="AZ94" s="366">
        <f>AZ93*AZ92/1000</f>
        <v>0</v>
      </c>
      <c r="BA94" s="366">
        <f>AZ94-AY94</f>
        <v>0</v>
      </c>
      <c r="BB94" s="367">
        <f>AY94-AX94</f>
        <v>0</v>
      </c>
      <c r="BC94" s="368">
        <f>AZ94-AX94</f>
        <v>0</v>
      </c>
      <c r="BD94" s="353">
        <f t="shared" si="23"/>
        <v>-1</v>
      </c>
      <c r="BH94" s="311"/>
      <c r="BI94" s="311"/>
      <c r="BJ94" s="311"/>
      <c r="BK94" s="311"/>
    </row>
    <row r="95" spans="1:63" s="311" customFormat="1" ht="15" customHeight="1" thickBot="1">
      <c r="A95" s="335" t="s">
        <v>379</v>
      </c>
      <c r="B95" s="358"/>
      <c r="C95" s="358"/>
      <c r="D95" s="358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  <c r="AA95" s="358"/>
      <c r="AB95" s="358"/>
      <c r="AC95" s="358"/>
      <c r="AD95" s="358"/>
      <c r="AE95" s="358"/>
      <c r="AF95" s="358"/>
      <c r="AG95" s="358"/>
      <c r="AH95" s="358"/>
      <c r="AI95" s="358"/>
      <c r="AJ95" s="358"/>
      <c r="AK95" s="358"/>
      <c r="AL95" s="358"/>
      <c r="AM95" s="358"/>
      <c r="AN95" s="358"/>
      <c r="AO95" s="358"/>
      <c r="AP95" s="358"/>
      <c r="AQ95" s="358"/>
      <c r="AR95" s="358"/>
      <c r="AS95" s="358"/>
      <c r="AT95" s="333"/>
      <c r="AU95" s="333"/>
      <c r="AV95" s="333"/>
      <c r="AW95" s="333"/>
      <c r="AX95" s="333"/>
      <c r="AY95" s="332"/>
      <c r="AZ95" s="333"/>
      <c r="BA95" s="334"/>
      <c r="BB95" s="321"/>
      <c r="BC95" s="328"/>
      <c r="BD95" s="329"/>
      <c r="BE95" s="309"/>
      <c r="BF95"/>
      <c r="BG95" s="308"/>
      <c r="BH95" s="309"/>
      <c r="BI95" s="309"/>
      <c r="BJ95" s="309"/>
      <c r="BK95" s="309"/>
    </row>
    <row r="96" spans="1:63" s="311" customFormat="1" ht="15" customHeight="1">
      <c r="A96" s="324" t="s">
        <v>352</v>
      </c>
      <c r="B96" s="344">
        <f>B100+B104+B108+B112</f>
        <v>0</v>
      </c>
      <c r="C96" s="344">
        <f t="shared" ref="C96:AY96" si="34">C100+C104+C108+C112</f>
        <v>0</v>
      </c>
      <c r="D96" s="344">
        <f t="shared" si="34"/>
        <v>0</v>
      </c>
      <c r="E96" s="344">
        <f t="shared" si="34"/>
        <v>0</v>
      </c>
      <c r="F96" s="344">
        <f t="shared" si="34"/>
        <v>0</v>
      </c>
      <c r="G96" s="344">
        <f t="shared" si="34"/>
        <v>0</v>
      </c>
      <c r="H96" s="344">
        <f t="shared" si="34"/>
        <v>0</v>
      </c>
      <c r="I96" s="344">
        <f t="shared" si="34"/>
        <v>0</v>
      </c>
      <c r="J96" s="344">
        <f t="shared" si="34"/>
        <v>0</v>
      </c>
      <c r="K96" s="344">
        <f t="shared" si="34"/>
        <v>0</v>
      </c>
      <c r="L96" s="344">
        <f t="shared" si="34"/>
        <v>0</v>
      </c>
      <c r="M96" s="344">
        <f t="shared" si="34"/>
        <v>0</v>
      </c>
      <c r="N96" s="344">
        <f t="shared" si="34"/>
        <v>0</v>
      </c>
      <c r="O96" s="344">
        <f t="shared" si="34"/>
        <v>0</v>
      </c>
      <c r="P96" s="344">
        <f t="shared" si="34"/>
        <v>0</v>
      </c>
      <c r="Q96" s="344">
        <f t="shared" si="34"/>
        <v>0</v>
      </c>
      <c r="R96" s="344">
        <f t="shared" si="34"/>
        <v>0</v>
      </c>
      <c r="S96" s="344">
        <f t="shared" si="34"/>
        <v>0</v>
      </c>
      <c r="T96" s="344">
        <f t="shared" si="34"/>
        <v>0</v>
      </c>
      <c r="U96" s="344">
        <f t="shared" si="34"/>
        <v>0</v>
      </c>
      <c r="V96" s="344">
        <f t="shared" si="34"/>
        <v>0</v>
      </c>
      <c r="W96" s="344">
        <f t="shared" si="34"/>
        <v>0</v>
      </c>
      <c r="X96" s="344">
        <f t="shared" si="34"/>
        <v>0</v>
      </c>
      <c r="Y96" s="344">
        <f t="shared" si="34"/>
        <v>0</v>
      </c>
      <c r="Z96" s="344">
        <f t="shared" si="34"/>
        <v>0</v>
      </c>
      <c r="AA96" s="344">
        <f t="shared" si="34"/>
        <v>0</v>
      </c>
      <c r="AB96" s="344">
        <f t="shared" si="34"/>
        <v>0</v>
      </c>
      <c r="AC96" s="344">
        <f t="shared" si="34"/>
        <v>0</v>
      </c>
      <c r="AD96" s="344">
        <f t="shared" si="34"/>
        <v>0</v>
      </c>
      <c r="AE96" s="344">
        <f t="shared" si="34"/>
        <v>0</v>
      </c>
      <c r="AF96" s="344">
        <f t="shared" si="34"/>
        <v>0</v>
      </c>
      <c r="AG96" s="344">
        <f t="shared" si="34"/>
        <v>0</v>
      </c>
      <c r="AH96" s="344">
        <f t="shared" si="34"/>
        <v>0</v>
      </c>
      <c r="AI96" s="344">
        <f t="shared" si="34"/>
        <v>0</v>
      </c>
      <c r="AJ96" s="344">
        <f t="shared" si="34"/>
        <v>0</v>
      </c>
      <c r="AK96" s="344">
        <f t="shared" si="34"/>
        <v>0</v>
      </c>
      <c r="AL96" s="344">
        <f t="shared" si="34"/>
        <v>0</v>
      </c>
      <c r="AM96" s="344">
        <f t="shared" si="34"/>
        <v>0</v>
      </c>
      <c r="AN96" s="344">
        <f t="shared" si="34"/>
        <v>0</v>
      </c>
      <c r="AO96" s="344">
        <f t="shared" si="34"/>
        <v>0</v>
      </c>
      <c r="AP96" s="344">
        <f t="shared" si="34"/>
        <v>0</v>
      </c>
      <c r="AQ96" s="344">
        <f t="shared" si="34"/>
        <v>0</v>
      </c>
      <c r="AR96" s="344">
        <f t="shared" si="34"/>
        <v>0</v>
      </c>
      <c r="AS96" s="344">
        <f t="shared" si="34"/>
        <v>0</v>
      </c>
      <c r="AT96" s="344">
        <f t="shared" si="34"/>
        <v>0</v>
      </c>
      <c r="AU96" s="344">
        <f t="shared" si="34"/>
        <v>0</v>
      </c>
      <c r="AV96" s="344">
        <f t="shared" si="34"/>
        <v>0</v>
      </c>
      <c r="AW96" s="344">
        <f t="shared" si="34"/>
        <v>0</v>
      </c>
      <c r="AX96" s="344">
        <f t="shared" si="34"/>
        <v>0</v>
      </c>
      <c r="AY96" s="369">
        <f t="shared" si="34"/>
        <v>0</v>
      </c>
      <c r="AZ96" s="366">
        <f>AZ100+AZ104+AZ108+AZ112</f>
        <v>0</v>
      </c>
      <c r="BA96" s="366">
        <f>AZ96-AY96</f>
        <v>0</v>
      </c>
      <c r="BB96" s="367">
        <f>AY96-AX96</f>
        <v>0</v>
      </c>
      <c r="BC96" s="368">
        <f>AZ96-AX96</f>
        <v>0</v>
      </c>
      <c r="BD96" s="353">
        <f t="shared" si="23"/>
        <v>0</v>
      </c>
      <c r="BE96" s="309"/>
      <c r="BF96" s="319" t="b">
        <v>0</v>
      </c>
      <c r="BG96" s="308"/>
    </row>
    <row r="97" spans="1:63" s="311" customFormat="1" ht="15" customHeight="1">
      <c r="A97" s="318" t="s">
        <v>353</v>
      </c>
      <c r="B97" s="345">
        <f>IFERROR(B98/B96*1000,0)</f>
        <v>0</v>
      </c>
      <c r="C97" s="345" t="e">
        <f t="shared" ref="C97:AS97" si="35">C98/C96*1000</f>
        <v>#DIV/0!</v>
      </c>
      <c r="D97" s="345" t="e">
        <f t="shared" si="35"/>
        <v>#DIV/0!</v>
      </c>
      <c r="E97" s="345" t="e">
        <f t="shared" si="35"/>
        <v>#DIV/0!</v>
      </c>
      <c r="F97" s="345" t="e">
        <f t="shared" si="35"/>
        <v>#DIV/0!</v>
      </c>
      <c r="G97" s="345" t="e">
        <f t="shared" si="35"/>
        <v>#DIV/0!</v>
      </c>
      <c r="H97" s="345" t="e">
        <f t="shared" si="35"/>
        <v>#DIV/0!</v>
      </c>
      <c r="I97" s="345" t="e">
        <f t="shared" si="35"/>
        <v>#DIV/0!</v>
      </c>
      <c r="J97" s="345" t="e">
        <f t="shared" si="35"/>
        <v>#DIV/0!</v>
      </c>
      <c r="K97" s="345" t="e">
        <f t="shared" si="35"/>
        <v>#DIV/0!</v>
      </c>
      <c r="L97" s="345" t="e">
        <f t="shared" si="35"/>
        <v>#DIV/0!</v>
      </c>
      <c r="M97" s="345" t="e">
        <f t="shared" si="35"/>
        <v>#DIV/0!</v>
      </c>
      <c r="N97" s="345" t="e">
        <f t="shared" si="35"/>
        <v>#DIV/0!</v>
      </c>
      <c r="O97" s="345" t="e">
        <f t="shared" si="35"/>
        <v>#DIV/0!</v>
      </c>
      <c r="P97" s="345" t="e">
        <f t="shared" si="35"/>
        <v>#DIV/0!</v>
      </c>
      <c r="Q97" s="345" t="e">
        <f t="shared" si="35"/>
        <v>#DIV/0!</v>
      </c>
      <c r="R97" s="345" t="e">
        <f t="shared" si="35"/>
        <v>#DIV/0!</v>
      </c>
      <c r="S97" s="345" t="e">
        <f t="shared" si="35"/>
        <v>#DIV/0!</v>
      </c>
      <c r="T97" s="345" t="e">
        <f t="shared" si="35"/>
        <v>#DIV/0!</v>
      </c>
      <c r="U97" s="345" t="e">
        <f t="shared" si="35"/>
        <v>#DIV/0!</v>
      </c>
      <c r="V97" s="345" t="e">
        <f t="shared" si="35"/>
        <v>#DIV/0!</v>
      </c>
      <c r="W97" s="345" t="e">
        <f t="shared" si="35"/>
        <v>#DIV/0!</v>
      </c>
      <c r="X97" s="345" t="e">
        <f t="shared" si="35"/>
        <v>#DIV/0!</v>
      </c>
      <c r="Y97" s="345" t="e">
        <f t="shared" si="35"/>
        <v>#DIV/0!</v>
      </c>
      <c r="Z97" s="345" t="e">
        <f t="shared" si="35"/>
        <v>#DIV/0!</v>
      </c>
      <c r="AA97" s="345" t="e">
        <f t="shared" si="35"/>
        <v>#DIV/0!</v>
      </c>
      <c r="AB97" s="345" t="e">
        <f t="shared" si="35"/>
        <v>#DIV/0!</v>
      </c>
      <c r="AC97" s="345" t="e">
        <f t="shared" si="35"/>
        <v>#DIV/0!</v>
      </c>
      <c r="AD97" s="345" t="e">
        <f t="shared" si="35"/>
        <v>#DIV/0!</v>
      </c>
      <c r="AE97" s="345" t="e">
        <f t="shared" si="35"/>
        <v>#DIV/0!</v>
      </c>
      <c r="AF97" s="345" t="e">
        <f t="shared" si="35"/>
        <v>#DIV/0!</v>
      </c>
      <c r="AG97" s="345" t="e">
        <f t="shared" si="35"/>
        <v>#DIV/0!</v>
      </c>
      <c r="AH97" s="345" t="e">
        <f t="shared" si="35"/>
        <v>#DIV/0!</v>
      </c>
      <c r="AI97" s="345" t="e">
        <f t="shared" si="35"/>
        <v>#DIV/0!</v>
      </c>
      <c r="AJ97" s="345" t="e">
        <f t="shared" si="35"/>
        <v>#DIV/0!</v>
      </c>
      <c r="AK97" s="345" t="e">
        <f t="shared" si="35"/>
        <v>#DIV/0!</v>
      </c>
      <c r="AL97" s="345" t="e">
        <f t="shared" si="35"/>
        <v>#DIV/0!</v>
      </c>
      <c r="AM97" s="345" t="e">
        <f t="shared" si="35"/>
        <v>#DIV/0!</v>
      </c>
      <c r="AN97" s="345" t="e">
        <f t="shared" si="35"/>
        <v>#DIV/0!</v>
      </c>
      <c r="AO97" s="345" t="e">
        <f t="shared" si="35"/>
        <v>#DIV/0!</v>
      </c>
      <c r="AP97" s="345" t="e">
        <f t="shared" si="35"/>
        <v>#DIV/0!</v>
      </c>
      <c r="AQ97" s="345" t="e">
        <f t="shared" si="35"/>
        <v>#DIV/0!</v>
      </c>
      <c r="AR97" s="345" t="e">
        <f t="shared" si="35"/>
        <v>#DIV/0!</v>
      </c>
      <c r="AS97" s="345" t="e">
        <f t="shared" si="35"/>
        <v>#DIV/0!</v>
      </c>
      <c r="AT97" s="345">
        <f t="shared" ref="AT97:BA97" si="36">IFERROR(AT98/AT96*1000,0)</f>
        <v>0</v>
      </c>
      <c r="AU97" s="345">
        <f t="shared" si="36"/>
        <v>0</v>
      </c>
      <c r="AV97" s="345">
        <f t="shared" si="36"/>
        <v>0</v>
      </c>
      <c r="AW97" s="345">
        <f t="shared" si="36"/>
        <v>0</v>
      </c>
      <c r="AX97" s="345">
        <f t="shared" si="36"/>
        <v>0</v>
      </c>
      <c r="AY97" s="346">
        <f t="shared" si="36"/>
        <v>0</v>
      </c>
      <c r="AZ97" s="347">
        <f t="shared" si="36"/>
        <v>0</v>
      </c>
      <c r="BA97" s="347">
        <f t="shared" si="36"/>
        <v>0</v>
      </c>
      <c r="BB97" s="351">
        <f>AY97-AX97</f>
        <v>0</v>
      </c>
      <c r="BC97" s="352">
        <f>AZ97-AX97</f>
        <v>0</v>
      </c>
      <c r="BD97" s="353">
        <f t="shared" si="23"/>
        <v>0</v>
      </c>
      <c r="BE97" s="309"/>
      <c r="BF97"/>
      <c r="BG97" s="308"/>
      <c r="BH97" s="309"/>
      <c r="BI97" s="309"/>
      <c r="BJ97" s="309"/>
      <c r="BK97" s="309"/>
    </row>
    <row r="98" spans="1:63" s="311" customFormat="1" ht="15" customHeight="1">
      <c r="A98" s="318" t="s">
        <v>354</v>
      </c>
      <c r="B98" s="344">
        <f>B102+B106+B110+B114</f>
        <v>0</v>
      </c>
      <c r="C98" s="344">
        <f t="shared" ref="C98:AY98" si="37">C102+C106+C110+C114</f>
        <v>1020</v>
      </c>
      <c r="D98" s="344">
        <f t="shared" si="37"/>
        <v>896</v>
      </c>
      <c r="E98" s="344">
        <f t="shared" si="37"/>
        <v>1064</v>
      </c>
      <c r="F98" s="344">
        <f t="shared" si="37"/>
        <v>708</v>
      </c>
      <c r="G98" s="344">
        <f t="shared" si="37"/>
        <v>1212</v>
      </c>
      <c r="H98" s="344">
        <f t="shared" si="37"/>
        <v>380</v>
      </c>
      <c r="I98" s="344">
        <f t="shared" si="37"/>
        <v>1312</v>
      </c>
      <c r="J98" s="344">
        <f t="shared" si="37"/>
        <v>504</v>
      </c>
      <c r="K98" s="344">
        <f t="shared" si="37"/>
        <v>1160</v>
      </c>
      <c r="L98" s="344">
        <f t="shared" si="37"/>
        <v>464</v>
      </c>
      <c r="M98" s="344">
        <f t="shared" si="37"/>
        <v>1380</v>
      </c>
      <c r="N98" s="344">
        <f t="shared" si="37"/>
        <v>1368</v>
      </c>
      <c r="O98" s="344">
        <f t="shared" si="37"/>
        <v>692</v>
      </c>
      <c r="P98" s="344">
        <f t="shared" si="37"/>
        <v>1418.8</v>
      </c>
      <c r="Q98" s="344">
        <f t="shared" si="37"/>
        <v>948.8</v>
      </c>
      <c r="R98" s="344">
        <f t="shared" si="37"/>
        <v>789.6</v>
      </c>
      <c r="S98" s="344">
        <f t="shared" si="37"/>
        <v>1652.4</v>
      </c>
      <c r="T98" s="344">
        <f t="shared" si="37"/>
        <v>1690</v>
      </c>
      <c r="U98" s="344">
        <f t="shared" si="37"/>
        <v>1820</v>
      </c>
      <c r="V98" s="344">
        <f t="shared" si="37"/>
        <v>1450.8</v>
      </c>
      <c r="W98" s="344">
        <f t="shared" si="37"/>
        <v>839.6</v>
      </c>
      <c r="X98" s="344">
        <f t="shared" si="37"/>
        <v>1176.4000000000001</v>
      </c>
      <c r="Y98" s="344">
        <f t="shared" si="37"/>
        <v>1254.4000000000001</v>
      </c>
      <c r="Z98" s="344">
        <f t="shared" si="37"/>
        <v>1240</v>
      </c>
      <c r="AA98" s="344">
        <f t="shared" si="37"/>
        <v>1298</v>
      </c>
      <c r="AB98" s="344">
        <f t="shared" si="37"/>
        <v>1656.8</v>
      </c>
      <c r="AC98" s="344">
        <f t="shared" si="37"/>
        <v>1721.6</v>
      </c>
      <c r="AD98" s="344">
        <f t="shared" si="37"/>
        <v>1620.4</v>
      </c>
      <c r="AE98" s="344">
        <f t="shared" si="37"/>
        <v>1697.6</v>
      </c>
      <c r="AF98" s="344">
        <f t="shared" si="37"/>
        <v>1788.4</v>
      </c>
      <c r="AG98" s="344">
        <f t="shared" si="37"/>
        <v>1961.6</v>
      </c>
      <c r="AH98" s="344">
        <f t="shared" si="37"/>
        <v>2016.4</v>
      </c>
      <c r="AI98" s="344">
        <f t="shared" si="37"/>
        <v>2248.4</v>
      </c>
      <c r="AJ98" s="344">
        <f t="shared" si="37"/>
        <v>3518.8</v>
      </c>
      <c r="AK98" s="344">
        <f t="shared" si="37"/>
        <v>2926.4</v>
      </c>
      <c r="AL98" s="344">
        <f t="shared" si="37"/>
        <v>5237.6000000000004</v>
      </c>
      <c r="AM98" s="344">
        <f t="shared" si="37"/>
        <v>6903.6</v>
      </c>
      <c r="AN98" s="344">
        <f t="shared" si="37"/>
        <v>5876.8</v>
      </c>
      <c r="AO98" s="344">
        <f t="shared" si="37"/>
        <v>3497.6</v>
      </c>
      <c r="AP98" s="344">
        <f t="shared" si="37"/>
        <v>7807.6</v>
      </c>
      <c r="AQ98" s="344">
        <f t="shared" si="37"/>
        <v>7536</v>
      </c>
      <c r="AR98" s="344">
        <f t="shared" si="37"/>
        <v>7170</v>
      </c>
      <c r="AS98" s="344">
        <f t="shared" si="37"/>
        <v>8785.2000000000007</v>
      </c>
      <c r="AT98" s="344">
        <f t="shared" si="37"/>
        <v>0</v>
      </c>
      <c r="AU98" s="344">
        <f t="shared" si="37"/>
        <v>0</v>
      </c>
      <c r="AV98" s="344">
        <f t="shared" si="37"/>
        <v>0</v>
      </c>
      <c r="AW98" s="344">
        <f t="shared" si="37"/>
        <v>0</v>
      </c>
      <c r="AX98" s="344">
        <f t="shared" si="37"/>
        <v>0</v>
      </c>
      <c r="AY98" s="365">
        <f t="shared" si="37"/>
        <v>0</v>
      </c>
      <c r="AZ98" s="366">
        <f>AZ102+AZ106+AZ110+AZ114</f>
        <v>0</v>
      </c>
      <c r="BA98" s="366">
        <f>AZ98-AY98</f>
        <v>0</v>
      </c>
      <c r="BB98" s="367">
        <f>AY98-AX98</f>
        <v>0</v>
      </c>
      <c r="BC98" s="368">
        <f>AZ98-AX98</f>
        <v>0</v>
      </c>
      <c r="BD98" s="353">
        <f t="shared" si="23"/>
        <v>-1</v>
      </c>
      <c r="BE98" s="309"/>
      <c r="BF98"/>
      <c r="BG98" s="308"/>
    </row>
    <row r="99" spans="1:63" ht="15" customHeight="1">
      <c r="A99" s="320" t="s">
        <v>380</v>
      </c>
      <c r="B99" s="356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356"/>
      <c r="S99" s="356"/>
      <c r="T99" s="356"/>
      <c r="U99" s="356"/>
      <c r="V99" s="356"/>
      <c r="W99" s="356"/>
      <c r="X99" s="356"/>
      <c r="Y99" s="356"/>
      <c r="Z99" s="356"/>
      <c r="AA99" s="356"/>
      <c r="AB99" s="356"/>
      <c r="AC99" s="356"/>
      <c r="AD99" s="356"/>
      <c r="AE99" s="356"/>
      <c r="AF99" s="356"/>
      <c r="AG99" s="356"/>
      <c r="AH99" s="356"/>
      <c r="AI99" s="356"/>
      <c r="AJ99" s="356"/>
      <c r="AK99" s="356"/>
      <c r="AL99" s="356"/>
      <c r="AM99" s="356"/>
      <c r="AN99" s="356"/>
      <c r="AO99" s="356"/>
      <c r="AP99" s="356"/>
      <c r="AQ99" s="356"/>
      <c r="AR99" s="356"/>
      <c r="AS99" s="356"/>
      <c r="AT99" s="328"/>
      <c r="AU99" s="328"/>
      <c r="AV99" s="328"/>
      <c r="AW99" s="328"/>
      <c r="AX99" s="328"/>
      <c r="AY99" s="321"/>
      <c r="AZ99" s="328"/>
      <c r="BA99" s="329"/>
      <c r="BB99" s="321"/>
      <c r="BC99" s="328"/>
      <c r="BD99" s="329"/>
    </row>
    <row r="100" spans="1:63" ht="15" customHeight="1">
      <c r="A100" s="324" t="s">
        <v>352</v>
      </c>
      <c r="B100" s="344">
        <v>0</v>
      </c>
      <c r="C100" s="344"/>
      <c r="D100" s="344"/>
      <c r="E100" s="344"/>
      <c r="F100" s="344"/>
      <c r="G100" s="344"/>
      <c r="H100" s="344"/>
      <c r="I100" s="344"/>
      <c r="J100" s="344"/>
      <c r="K100" s="344"/>
      <c r="L100" s="344"/>
      <c r="M100" s="344"/>
      <c r="N100" s="344"/>
      <c r="O100" s="344"/>
      <c r="P100" s="344"/>
      <c r="Q100" s="344"/>
      <c r="R100" s="344"/>
      <c r="S100" s="344"/>
      <c r="T100" s="344"/>
      <c r="U100" s="344"/>
      <c r="V100" s="344"/>
      <c r="W100" s="344"/>
      <c r="X100" s="344"/>
      <c r="Y100" s="344"/>
      <c r="Z100" s="344"/>
      <c r="AA100" s="344"/>
      <c r="AB100" s="344"/>
      <c r="AC100" s="344"/>
      <c r="AD100" s="344"/>
      <c r="AE100" s="344"/>
      <c r="AF100" s="344"/>
      <c r="AG100" s="344"/>
      <c r="AH100" s="344"/>
      <c r="AI100" s="344"/>
      <c r="AJ100" s="344"/>
      <c r="AK100" s="344"/>
      <c r="AL100" s="344"/>
      <c r="AM100" s="344"/>
      <c r="AN100" s="344"/>
      <c r="AO100" s="344"/>
      <c r="AP100" s="344"/>
      <c r="AQ100" s="344"/>
      <c r="AR100" s="344"/>
      <c r="AS100" s="344">
        <v>0</v>
      </c>
      <c r="AT100" s="344">
        <v>0</v>
      </c>
      <c r="AU100" s="344">
        <v>0</v>
      </c>
      <c r="AV100" s="344">
        <v>0</v>
      </c>
      <c r="AW100" s="344">
        <v>0</v>
      </c>
      <c r="AX100" s="344">
        <v>0</v>
      </c>
      <c r="AY100" s="369">
        <v>0</v>
      </c>
      <c r="AZ100" s="366">
        <v>0</v>
      </c>
      <c r="BA100" s="366">
        <f>AZ100-AY100</f>
        <v>0</v>
      </c>
      <c r="BB100" s="367">
        <f>AY100-AX100</f>
        <v>0</v>
      </c>
      <c r="BC100" s="368">
        <f>AZ100-AX100</f>
        <v>0</v>
      </c>
      <c r="BD100" s="353">
        <f t="shared" si="23"/>
        <v>0</v>
      </c>
      <c r="BF100" s="319" t="b">
        <v>0</v>
      </c>
      <c r="BH100" s="311"/>
      <c r="BI100" s="311"/>
      <c r="BJ100" s="311"/>
      <c r="BK100" s="311"/>
    </row>
    <row r="101" spans="1:63" ht="15" customHeight="1">
      <c r="A101" s="324" t="s">
        <v>353</v>
      </c>
      <c r="B101" s="345">
        <v>0</v>
      </c>
      <c r="C101" s="345"/>
      <c r="D101" s="345"/>
      <c r="E101" s="345"/>
      <c r="F101" s="345"/>
      <c r="G101" s="345"/>
      <c r="H101" s="345"/>
      <c r="I101" s="345"/>
      <c r="J101" s="345"/>
      <c r="K101" s="345"/>
      <c r="L101" s="345"/>
      <c r="M101" s="345"/>
      <c r="N101" s="345"/>
      <c r="O101" s="345"/>
      <c r="P101" s="345"/>
      <c r="Q101" s="345"/>
      <c r="R101" s="345"/>
      <c r="S101" s="345"/>
      <c r="T101" s="345"/>
      <c r="U101" s="345"/>
      <c r="V101" s="345"/>
      <c r="W101" s="345"/>
      <c r="X101" s="345"/>
      <c r="Y101" s="345"/>
      <c r="Z101" s="345"/>
      <c r="AA101" s="345"/>
      <c r="AB101" s="345"/>
      <c r="AC101" s="345"/>
      <c r="AD101" s="345"/>
      <c r="AE101" s="345"/>
      <c r="AF101" s="345"/>
      <c r="AG101" s="345"/>
      <c r="AH101" s="345"/>
      <c r="AI101" s="345"/>
      <c r="AJ101" s="345"/>
      <c r="AK101" s="345"/>
      <c r="AL101" s="345"/>
      <c r="AM101" s="345"/>
      <c r="AN101" s="345"/>
      <c r="AO101" s="345"/>
      <c r="AP101" s="345"/>
      <c r="AQ101" s="345"/>
      <c r="AR101" s="345"/>
      <c r="AS101" s="345"/>
      <c r="AT101" s="345">
        <v>0</v>
      </c>
      <c r="AU101" s="345">
        <v>0</v>
      </c>
      <c r="AV101" s="345">
        <v>0</v>
      </c>
      <c r="AW101" s="345">
        <v>0</v>
      </c>
      <c r="AX101" s="345">
        <v>0</v>
      </c>
      <c r="AY101" s="346">
        <v>0</v>
      </c>
      <c r="AZ101" s="347">
        <v>0</v>
      </c>
      <c r="BA101" s="347">
        <f>AZ101-AY101</f>
        <v>0</v>
      </c>
      <c r="BB101" s="351">
        <f>AY101-AX101</f>
        <v>0</v>
      </c>
      <c r="BC101" s="352">
        <f>AZ101-AX101</f>
        <v>0</v>
      </c>
      <c r="BD101" s="353">
        <f t="shared" si="23"/>
        <v>0</v>
      </c>
    </row>
    <row r="102" spans="1:63" s="311" customFormat="1" ht="15" customHeight="1">
      <c r="A102" s="324" t="s">
        <v>354</v>
      </c>
      <c r="B102" s="344">
        <f>B101*B100/1000</f>
        <v>0</v>
      </c>
      <c r="C102" s="344">
        <v>255</v>
      </c>
      <c r="D102" s="344">
        <v>224</v>
      </c>
      <c r="E102" s="344">
        <v>266</v>
      </c>
      <c r="F102" s="344">
        <v>177</v>
      </c>
      <c r="G102" s="344">
        <v>303</v>
      </c>
      <c r="H102" s="344">
        <v>95</v>
      </c>
      <c r="I102" s="344">
        <v>328</v>
      </c>
      <c r="J102" s="344">
        <v>126</v>
      </c>
      <c r="K102" s="344">
        <v>290</v>
      </c>
      <c r="L102" s="344">
        <v>116</v>
      </c>
      <c r="M102" s="344">
        <v>345</v>
      </c>
      <c r="N102" s="344">
        <v>342</v>
      </c>
      <c r="O102" s="344">
        <v>173</v>
      </c>
      <c r="P102" s="344">
        <v>354.7</v>
      </c>
      <c r="Q102" s="344">
        <v>237.2</v>
      </c>
      <c r="R102" s="344">
        <v>197.4</v>
      </c>
      <c r="S102" s="344">
        <v>413.1</v>
      </c>
      <c r="T102" s="344">
        <v>422.5</v>
      </c>
      <c r="U102" s="344">
        <v>455</v>
      </c>
      <c r="V102" s="344">
        <v>362.7</v>
      </c>
      <c r="W102" s="344">
        <v>209.9</v>
      </c>
      <c r="X102" s="344">
        <v>294.10000000000002</v>
      </c>
      <c r="Y102" s="344">
        <v>313.60000000000002</v>
      </c>
      <c r="Z102" s="344">
        <v>310</v>
      </c>
      <c r="AA102" s="344">
        <v>324.5</v>
      </c>
      <c r="AB102" s="344">
        <v>414.2</v>
      </c>
      <c r="AC102" s="344">
        <v>430.4</v>
      </c>
      <c r="AD102" s="344">
        <v>405.1</v>
      </c>
      <c r="AE102" s="344">
        <v>424.4</v>
      </c>
      <c r="AF102" s="344">
        <v>447.1</v>
      </c>
      <c r="AG102" s="344">
        <v>490.4</v>
      </c>
      <c r="AH102" s="344">
        <v>504.1</v>
      </c>
      <c r="AI102" s="344">
        <v>562.1</v>
      </c>
      <c r="AJ102" s="344">
        <v>879.7</v>
      </c>
      <c r="AK102" s="344">
        <v>731.6</v>
      </c>
      <c r="AL102" s="344">
        <v>1309.4000000000001</v>
      </c>
      <c r="AM102" s="344">
        <v>1725.9</v>
      </c>
      <c r="AN102" s="344">
        <v>1469.2</v>
      </c>
      <c r="AO102" s="344">
        <v>874.4</v>
      </c>
      <c r="AP102" s="344">
        <v>1951.9</v>
      </c>
      <c r="AQ102" s="344">
        <v>1884</v>
      </c>
      <c r="AR102" s="344">
        <v>1792.5</v>
      </c>
      <c r="AS102" s="344">
        <v>2196.3000000000002</v>
      </c>
      <c r="AT102" s="344">
        <f t="shared" ref="AT102:AY102" si="38">AT101*AT100/1000</f>
        <v>0</v>
      </c>
      <c r="AU102" s="344">
        <f t="shared" si="38"/>
        <v>0</v>
      </c>
      <c r="AV102" s="344">
        <f t="shared" si="38"/>
        <v>0</v>
      </c>
      <c r="AW102" s="344">
        <f t="shared" si="38"/>
        <v>0</v>
      </c>
      <c r="AX102" s="344">
        <f t="shared" si="38"/>
        <v>0</v>
      </c>
      <c r="AY102" s="365">
        <f t="shared" si="38"/>
        <v>0</v>
      </c>
      <c r="AZ102" s="366">
        <f>AZ101*AZ100/1000</f>
        <v>0</v>
      </c>
      <c r="BA102" s="366">
        <f>AZ102-AY102</f>
        <v>0</v>
      </c>
      <c r="BB102" s="367">
        <f>AY102-AX102</f>
        <v>0</v>
      </c>
      <c r="BC102" s="368">
        <f>AZ102-AX102</f>
        <v>0</v>
      </c>
      <c r="BD102" s="353">
        <f t="shared" si="23"/>
        <v>-1</v>
      </c>
      <c r="BE102" s="309"/>
      <c r="BF102"/>
      <c r="BG102" s="308"/>
    </row>
    <row r="103" spans="1:63" ht="15" customHeight="1">
      <c r="A103" s="320" t="s">
        <v>381</v>
      </c>
      <c r="B103" s="356"/>
      <c r="C103" s="356"/>
      <c r="D103" s="356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6"/>
      <c r="P103" s="356"/>
      <c r="Q103" s="356"/>
      <c r="R103" s="356"/>
      <c r="S103" s="356"/>
      <c r="T103" s="356"/>
      <c r="U103" s="356"/>
      <c r="V103" s="356"/>
      <c r="W103" s="356"/>
      <c r="X103" s="356"/>
      <c r="Y103" s="356"/>
      <c r="Z103" s="356"/>
      <c r="AA103" s="356"/>
      <c r="AB103" s="356"/>
      <c r="AC103" s="356"/>
      <c r="AD103" s="356"/>
      <c r="AE103" s="356"/>
      <c r="AF103" s="356"/>
      <c r="AG103" s="356"/>
      <c r="AH103" s="356"/>
      <c r="AI103" s="356"/>
      <c r="AJ103" s="356"/>
      <c r="AK103" s="356"/>
      <c r="AL103" s="356"/>
      <c r="AM103" s="356"/>
      <c r="AN103" s="356"/>
      <c r="AO103" s="356"/>
      <c r="AP103" s="356"/>
      <c r="AQ103" s="356"/>
      <c r="AR103" s="356"/>
      <c r="AS103" s="356"/>
      <c r="AT103" s="328"/>
      <c r="AU103" s="328"/>
      <c r="AV103" s="328"/>
      <c r="AW103" s="328"/>
      <c r="AX103" s="328"/>
      <c r="AY103" s="321"/>
      <c r="AZ103" s="328"/>
      <c r="BA103" s="329"/>
      <c r="BB103" s="321"/>
      <c r="BC103" s="328"/>
      <c r="BD103" s="329"/>
    </row>
    <row r="104" spans="1:63" ht="15" customHeight="1">
      <c r="A104" s="324" t="s">
        <v>352</v>
      </c>
      <c r="B104" s="344">
        <v>0</v>
      </c>
      <c r="C104" s="344"/>
      <c r="D104" s="344"/>
      <c r="E104" s="344"/>
      <c r="F104" s="344"/>
      <c r="G104" s="344"/>
      <c r="H104" s="344"/>
      <c r="I104" s="344"/>
      <c r="J104" s="344"/>
      <c r="K104" s="344"/>
      <c r="L104" s="344"/>
      <c r="M104" s="344"/>
      <c r="N104" s="344"/>
      <c r="O104" s="344"/>
      <c r="P104" s="344"/>
      <c r="Q104" s="344"/>
      <c r="R104" s="344"/>
      <c r="S104" s="344"/>
      <c r="T104" s="344"/>
      <c r="U104" s="344"/>
      <c r="V104" s="344"/>
      <c r="W104" s="344"/>
      <c r="X104" s="344"/>
      <c r="Y104" s="344"/>
      <c r="Z104" s="344"/>
      <c r="AA104" s="344"/>
      <c r="AB104" s="344"/>
      <c r="AC104" s="344"/>
      <c r="AD104" s="344"/>
      <c r="AE104" s="344"/>
      <c r="AF104" s="344"/>
      <c r="AG104" s="344"/>
      <c r="AH104" s="344"/>
      <c r="AI104" s="344"/>
      <c r="AJ104" s="344"/>
      <c r="AK104" s="344"/>
      <c r="AL104" s="344"/>
      <c r="AM104" s="344"/>
      <c r="AN104" s="344"/>
      <c r="AO104" s="344"/>
      <c r="AP104" s="344"/>
      <c r="AQ104" s="344"/>
      <c r="AR104" s="344"/>
      <c r="AS104" s="344">
        <v>0</v>
      </c>
      <c r="AT104" s="344">
        <v>0</v>
      </c>
      <c r="AU104" s="344">
        <v>0</v>
      </c>
      <c r="AV104" s="344">
        <v>0</v>
      </c>
      <c r="AW104" s="344">
        <v>0</v>
      </c>
      <c r="AX104" s="344">
        <v>0</v>
      </c>
      <c r="AY104" s="369">
        <v>0</v>
      </c>
      <c r="AZ104" s="366">
        <v>0</v>
      </c>
      <c r="BA104" s="366">
        <f>AZ104-AY104</f>
        <v>0</v>
      </c>
      <c r="BB104" s="367">
        <f>AY104-AX104</f>
        <v>0</v>
      </c>
      <c r="BC104" s="368">
        <f>AZ104-AX104</f>
        <v>0</v>
      </c>
      <c r="BD104" s="353">
        <f t="shared" si="23"/>
        <v>0</v>
      </c>
    </row>
    <row r="105" spans="1:63" ht="15" customHeight="1">
      <c r="A105" s="324" t="s">
        <v>353</v>
      </c>
      <c r="B105" s="345">
        <v>0</v>
      </c>
      <c r="C105" s="345"/>
      <c r="D105" s="345"/>
      <c r="E105" s="345"/>
      <c r="F105" s="345"/>
      <c r="G105" s="345"/>
      <c r="H105" s="345"/>
      <c r="I105" s="345"/>
      <c r="J105" s="345"/>
      <c r="K105" s="345"/>
      <c r="L105" s="345"/>
      <c r="M105" s="345"/>
      <c r="N105" s="345"/>
      <c r="O105" s="345"/>
      <c r="P105" s="345"/>
      <c r="Q105" s="345"/>
      <c r="R105" s="345"/>
      <c r="S105" s="345"/>
      <c r="T105" s="345"/>
      <c r="U105" s="345"/>
      <c r="V105" s="345"/>
      <c r="W105" s="345"/>
      <c r="X105" s="345"/>
      <c r="Y105" s="345"/>
      <c r="Z105" s="345"/>
      <c r="AA105" s="345"/>
      <c r="AB105" s="345"/>
      <c r="AC105" s="345"/>
      <c r="AD105" s="345"/>
      <c r="AE105" s="345"/>
      <c r="AF105" s="345"/>
      <c r="AG105" s="345"/>
      <c r="AH105" s="345"/>
      <c r="AI105" s="345"/>
      <c r="AJ105" s="345"/>
      <c r="AK105" s="345"/>
      <c r="AL105" s="345"/>
      <c r="AM105" s="345"/>
      <c r="AN105" s="345"/>
      <c r="AO105" s="345"/>
      <c r="AP105" s="345"/>
      <c r="AQ105" s="345"/>
      <c r="AR105" s="345"/>
      <c r="AS105" s="345"/>
      <c r="AT105" s="345">
        <v>0</v>
      </c>
      <c r="AU105" s="345">
        <v>0</v>
      </c>
      <c r="AV105" s="345">
        <v>0</v>
      </c>
      <c r="AW105" s="345">
        <v>0</v>
      </c>
      <c r="AX105" s="345">
        <v>0</v>
      </c>
      <c r="AY105" s="346">
        <v>0</v>
      </c>
      <c r="AZ105" s="347">
        <v>0</v>
      </c>
      <c r="BA105" s="347">
        <f>AZ105-AY105</f>
        <v>0</v>
      </c>
      <c r="BB105" s="351">
        <f>AY105-AX105</f>
        <v>0</v>
      </c>
      <c r="BC105" s="352">
        <f>AZ105-AX105</f>
        <v>0</v>
      </c>
      <c r="BD105" s="353">
        <f t="shared" si="23"/>
        <v>0</v>
      </c>
    </row>
    <row r="106" spans="1:63" s="311" customFormat="1" ht="15" customHeight="1">
      <c r="A106" s="324" t="s">
        <v>354</v>
      </c>
      <c r="B106" s="344">
        <f>B105*B104/1000</f>
        <v>0</v>
      </c>
      <c r="C106" s="344">
        <v>255</v>
      </c>
      <c r="D106" s="344">
        <v>224</v>
      </c>
      <c r="E106" s="344">
        <v>266</v>
      </c>
      <c r="F106" s="344">
        <v>177</v>
      </c>
      <c r="G106" s="344">
        <v>303</v>
      </c>
      <c r="H106" s="344">
        <v>95</v>
      </c>
      <c r="I106" s="344">
        <v>328</v>
      </c>
      <c r="J106" s="344">
        <v>126</v>
      </c>
      <c r="K106" s="344">
        <v>290</v>
      </c>
      <c r="L106" s="344">
        <v>116</v>
      </c>
      <c r="M106" s="344">
        <v>345</v>
      </c>
      <c r="N106" s="344">
        <v>342</v>
      </c>
      <c r="O106" s="344">
        <v>173</v>
      </c>
      <c r="P106" s="344">
        <v>354.7</v>
      </c>
      <c r="Q106" s="344">
        <v>237.2</v>
      </c>
      <c r="R106" s="344">
        <v>197.4</v>
      </c>
      <c r="S106" s="344">
        <v>413.1</v>
      </c>
      <c r="T106" s="344">
        <v>422.5</v>
      </c>
      <c r="U106" s="344">
        <v>455</v>
      </c>
      <c r="V106" s="344">
        <v>362.7</v>
      </c>
      <c r="W106" s="344">
        <v>209.9</v>
      </c>
      <c r="X106" s="344">
        <v>294.10000000000002</v>
      </c>
      <c r="Y106" s="344">
        <v>313.60000000000002</v>
      </c>
      <c r="Z106" s="344">
        <v>310</v>
      </c>
      <c r="AA106" s="344">
        <v>324.5</v>
      </c>
      <c r="AB106" s="344">
        <v>414.2</v>
      </c>
      <c r="AC106" s="344">
        <v>430.4</v>
      </c>
      <c r="AD106" s="344">
        <v>405.1</v>
      </c>
      <c r="AE106" s="344">
        <v>424.4</v>
      </c>
      <c r="AF106" s="344">
        <v>447.1</v>
      </c>
      <c r="AG106" s="344">
        <v>490.4</v>
      </c>
      <c r="AH106" s="344">
        <v>504.1</v>
      </c>
      <c r="AI106" s="344">
        <v>562.1</v>
      </c>
      <c r="AJ106" s="344">
        <v>879.7</v>
      </c>
      <c r="AK106" s="344">
        <v>731.6</v>
      </c>
      <c r="AL106" s="344">
        <v>1309.4000000000001</v>
      </c>
      <c r="AM106" s="344">
        <v>1725.9</v>
      </c>
      <c r="AN106" s="344">
        <v>1469.2</v>
      </c>
      <c r="AO106" s="344">
        <v>874.4</v>
      </c>
      <c r="AP106" s="344">
        <v>1951.9</v>
      </c>
      <c r="AQ106" s="344">
        <v>1884</v>
      </c>
      <c r="AR106" s="344">
        <v>1792.5</v>
      </c>
      <c r="AS106" s="344">
        <v>2196.3000000000002</v>
      </c>
      <c r="AT106" s="344">
        <f t="shared" ref="AT106:AY106" si="39">AT105*AT104/1000</f>
        <v>0</v>
      </c>
      <c r="AU106" s="344">
        <f t="shared" si="39"/>
        <v>0</v>
      </c>
      <c r="AV106" s="344">
        <f t="shared" si="39"/>
        <v>0</v>
      </c>
      <c r="AW106" s="344">
        <f t="shared" si="39"/>
        <v>0</v>
      </c>
      <c r="AX106" s="344">
        <f t="shared" si="39"/>
        <v>0</v>
      </c>
      <c r="AY106" s="365">
        <f t="shared" si="39"/>
        <v>0</v>
      </c>
      <c r="AZ106" s="366">
        <f>AZ105*AZ104/1000</f>
        <v>0</v>
      </c>
      <c r="BA106" s="366">
        <f>AZ106-AY106</f>
        <v>0</v>
      </c>
      <c r="BB106" s="367">
        <f>AY106-AX106</f>
        <v>0</v>
      </c>
      <c r="BC106" s="368">
        <f>AZ106-AX106</f>
        <v>0</v>
      </c>
      <c r="BD106" s="353">
        <f t="shared" si="23"/>
        <v>-1</v>
      </c>
      <c r="BE106" s="309"/>
      <c r="BF106"/>
      <c r="BG106" s="308"/>
    </row>
    <row r="107" spans="1:63" ht="15" customHeight="1">
      <c r="A107" s="320" t="s">
        <v>382</v>
      </c>
      <c r="B107" s="356"/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  <c r="Z107" s="356"/>
      <c r="AA107" s="356"/>
      <c r="AB107" s="356"/>
      <c r="AC107" s="356"/>
      <c r="AD107" s="356"/>
      <c r="AE107" s="356"/>
      <c r="AF107" s="356"/>
      <c r="AG107" s="356"/>
      <c r="AH107" s="356"/>
      <c r="AI107" s="356"/>
      <c r="AJ107" s="356"/>
      <c r="AK107" s="356"/>
      <c r="AL107" s="356"/>
      <c r="AM107" s="356"/>
      <c r="AN107" s="356"/>
      <c r="AO107" s="356"/>
      <c r="AP107" s="356"/>
      <c r="AQ107" s="356"/>
      <c r="AR107" s="356"/>
      <c r="AS107" s="356"/>
      <c r="AT107" s="328"/>
      <c r="AU107" s="328"/>
      <c r="AV107" s="328"/>
      <c r="AW107" s="328"/>
      <c r="AX107" s="328"/>
      <c r="AY107" s="321"/>
      <c r="AZ107" s="328"/>
      <c r="BA107" s="329"/>
      <c r="BB107" s="321"/>
      <c r="BC107" s="328"/>
      <c r="BD107" s="329"/>
    </row>
    <row r="108" spans="1:63" ht="15" customHeight="1">
      <c r="A108" s="324" t="s">
        <v>352</v>
      </c>
      <c r="B108" s="344">
        <v>0</v>
      </c>
      <c r="C108" s="344"/>
      <c r="D108" s="344"/>
      <c r="E108" s="344"/>
      <c r="F108" s="344"/>
      <c r="G108" s="344"/>
      <c r="H108" s="344"/>
      <c r="I108" s="344"/>
      <c r="J108" s="344"/>
      <c r="K108" s="344"/>
      <c r="L108" s="344"/>
      <c r="M108" s="344"/>
      <c r="N108" s="344"/>
      <c r="O108" s="344"/>
      <c r="P108" s="344"/>
      <c r="Q108" s="344"/>
      <c r="R108" s="344"/>
      <c r="S108" s="344"/>
      <c r="T108" s="344"/>
      <c r="U108" s="344"/>
      <c r="V108" s="344"/>
      <c r="W108" s="344"/>
      <c r="X108" s="344"/>
      <c r="Y108" s="344"/>
      <c r="Z108" s="344"/>
      <c r="AA108" s="344"/>
      <c r="AB108" s="344"/>
      <c r="AC108" s="344"/>
      <c r="AD108" s="344"/>
      <c r="AE108" s="344"/>
      <c r="AF108" s="344"/>
      <c r="AG108" s="344"/>
      <c r="AH108" s="344"/>
      <c r="AI108" s="344"/>
      <c r="AJ108" s="344"/>
      <c r="AK108" s="344"/>
      <c r="AL108" s="344"/>
      <c r="AM108" s="344"/>
      <c r="AN108" s="344"/>
      <c r="AO108" s="344"/>
      <c r="AP108" s="344"/>
      <c r="AQ108" s="344"/>
      <c r="AR108" s="344"/>
      <c r="AS108" s="344">
        <v>0</v>
      </c>
      <c r="AT108" s="344">
        <v>0</v>
      </c>
      <c r="AU108" s="344">
        <v>0</v>
      </c>
      <c r="AV108" s="344">
        <v>0</v>
      </c>
      <c r="AW108" s="344">
        <v>0</v>
      </c>
      <c r="AX108" s="344">
        <v>0</v>
      </c>
      <c r="AY108" s="369">
        <v>0</v>
      </c>
      <c r="AZ108" s="366">
        <v>0</v>
      </c>
      <c r="BA108" s="366">
        <f>AZ108-AY108</f>
        <v>0</v>
      </c>
      <c r="BB108" s="367">
        <f>AY108-AX108</f>
        <v>0</v>
      </c>
      <c r="BC108" s="368">
        <f>AZ108-AX108</f>
        <v>0</v>
      </c>
      <c r="BD108" s="353">
        <f t="shared" si="23"/>
        <v>0</v>
      </c>
    </row>
    <row r="109" spans="1:63" ht="15" customHeight="1">
      <c r="A109" s="324" t="s">
        <v>353</v>
      </c>
      <c r="B109" s="345">
        <v>0</v>
      </c>
      <c r="C109" s="345"/>
      <c r="D109" s="345"/>
      <c r="E109" s="345"/>
      <c r="F109" s="345"/>
      <c r="G109" s="345"/>
      <c r="H109" s="345"/>
      <c r="I109" s="345"/>
      <c r="J109" s="345"/>
      <c r="K109" s="345"/>
      <c r="L109" s="345"/>
      <c r="M109" s="345"/>
      <c r="N109" s="345"/>
      <c r="O109" s="345"/>
      <c r="P109" s="345"/>
      <c r="Q109" s="345"/>
      <c r="R109" s="345"/>
      <c r="S109" s="345"/>
      <c r="T109" s="345"/>
      <c r="U109" s="345"/>
      <c r="V109" s="345"/>
      <c r="W109" s="345"/>
      <c r="X109" s="345"/>
      <c r="Y109" s="345"/>
      <c r="Z109" s="345"/>
      <c r="AA109" s="345"/>
      <c r="AB109" s="345"/>
      <c r="AC109" s="345"/>
      <c r="AD109" s="345"/>
      <c r="AE109" s="345"/>
      <c r="AF109" s="345"/>
      <c r="AG109" s="345"/>
      <c r="AH109" s="345"/>
      <c r="AI109" s="345"/>
      <c r="AJ109" s="345"/>
      <c r="AK109" s="345"/>
      <c r="AL109" s="345"/>
      <c r="AM109" s="345"/>
      <c r="AN109" s="345"/>
      <c r="AO109" s="345"/>
      <c r="AP109" s="345"/>
      <c r="AQ109" s="345"/>
      <c r="AR109" s="345"/>
      <c r="AS109" s="345"/>
      <c r="AT109" s="345">
        <v>0</v>
      </c>
      <c r="AU109" s="345">
        <v>0</v>
      </c>
      <c r="AV109" s="345">
        <v>0</v>
      </c>
      <c r="AW109" s="345">
        <v>0</v>
      </c>
      <c r="AX109" s="345">
        <v>0</v>
      </c>
      <c r="AY109" s="346">
        <v>0</v>
      </c>
      <c r="AZ109" s="347">
        <v>0</v>
      </c>
      <c r="BA109" s="347">
        <f>AZ109-AY109</f>
        <v>0</v>
      </c>
      <c r="BB109" s="351">
        <f>AY109-AX109</f>
        <v>0</v>
      </c>
      <c r="BC109" s="352">
        <f>AZ109-AX109</f>
        <v>0</v>
      </c>
      <c r="BD109" s="353">
        <f t="shared" si="23"/>
        <v>0</v>
      </c>
    </row>
    <row r="110" spans="1:63" s="311" customFormat="1" ht="15" customHeight="1">
      <c r="A110" s="324" t="s">
        <v>354</v>
      </c>
      <c r="B110" s="344">
        <f>B109*B108/1000</f>
        <v>0</v>
      </c>
      <c r="C110" s="344">
        <v>255</v>
      </c>
      <c r="D110" s="344">
        <v>224</v>
      </c>
      <c r="E110" s="344">
        <v>266</v>
      </c>
      <c r="F110" s="344">
        <v>177</v>
      </c>
      <c r="G110" s="344">
        <v>303</v>
      </c>
      <c r="H110" s="344">
        <v>95</v>
      </c>
      <c r="I110" s="344">
        <v>328</v>
      </c>
      <c r="J110" s="344">
        <v>126</v>
      </c>
      <c r="K110" s="344">
        <v>290</v>
      </c>
      <c r="L110" s="344">
        <v>116</v>
      </c>
      <c r="M110" s="344">
        <v>345</v>
      </c>
      <c r="N110" s="344">
        <v>342</v>
      </c>
      <c r="O110" s="344">
        <v>173</v>
      </c>
      <c r="P110" s="344">
        <v>354.7</v>
      </c>
      <c r="Q110" s="344">
        <v>237.2</v>
      </c>
      <c r="R110" s="344">
        <v>197.4</v>
      </c>
      <c r="S110" s="344">
        <v>413.1</v>
      </c>
      <c r="T110" s="344">
        <v>422.5</v>
      </c>
      <c r="U110" s="344">
        <v>455</v>
      </c>
      <c r="V110" s="344">
        <v>362.7</v>
      </c>
      <c r="W110" s="344">
        <v>209.9</v>
      </c>
      <c r="X110" s="344">
        <v>294.10000000000002</v>
      </c>
      <c r="Y110" s="344">
        <v>313.60000000000002</v>
      </c>
      <c r="Z110" s="344">
        <v>310</v>
      </c>
      <c r="AA110" s="344">
        <v>324.5</v>
      </c>
      <c r="AB110" s="344">
        <v>414.2</v>
      </c>
      <c r="AC110" s="344">
        <v>430.4</v>
      </c>
      <c r="AD110" s="344">
        <v>405.1</v>
      </c>
      <c r="AE110" s="344">
        <v>424.4</v>
      </c>
      <c r="AF110" s="344">
        <v>447.1</v>
      </c>
      <c r="AG110" s="344">
        <v>490.4</v>
      </c>
      <c r="AH110" s="344">
        <v>504.1</v>
      </c>
      <c r="AI110" s="344">
        <v>562.1</v>
      </c>
      <c r="AJ110" s="344">
        <v>879.7</v>
      </c>
      <c r="AK110" s="344">
        <v>731.6</v>
      </c>
      <c r="AL110" s="344">
        <v>1309.4000000000001</v>
      </c>
      <c r="AM110" s="344">
        <v>1725.9</v>
      </c>
      <c r="AN110" s="344">
        <v>1469.2</v>
      </c>
      <c r="AO110" s="344">
        <v>874.4</v>
      </c>
      <c r="AP110" s="344">
        <v>1951.9</v>
      </c>
      <c r="AQ110" s="344">
        <v>1884</v>
      </c>
      <c r="AR110" s="344">
        <v>1792.5</v>
      </c>
      <c r="AS110" s="344">
        <v>2196.3000000000002</v>
      </c>
      <c r="AT110" s="344">
        <f t="shared" ref="AT110:AY110" si="40">AT109*AT108/1000</f>
        <v>0</v>
      </c>
      <c r="AU110" s="344">
        <f t="shared" si="40"/>
        <v>0</v>
      </c>
      <c r="AV110" s="344">
        <f t="shared" si="40"/>
        <v>0</v>
      </c>
      <c r="AW110" s="344">
        <f t="shared" si="40"/>
        <v>0</v>
      </c>
      <c r="AX110" s="344">
        <f t="shared" si="40"/>
        <v>0</v>
      </c>
      <c r="AY110" s="365">
        <f t="shared" si="40"/>
        <v>0</v>
      </c>
      <c r="AZ110" s="366">
        <f>AZ109*AZ108/1000</f>
        <v>0</v>
      </c>
      <c r="BA110" s="366">
        <f>AZ110-AY110</f>
        <v>0</v>
      </c>
      <c r="BB110" s="367">
        <f>AY110-AX110</f>
        <v>0</v>
      </c>
      <c r="BC110" s="368">
        <f>AZ110-AX110</f>
        <v>0</v>
      </c>
      <c r="BD110" s="353">
        <f t="shared" si="23"/>
        <v>-1</v>
      </c>
      <c r="BE110" s="309"/>
      <c r="BF110"/>
      <c r="BG110" s="308"/>
    </row>
    <row r="111" spans="1:63" ht="15" customHeight="1">
      <c r="A111" s="320" t="s">
        <v>383</v>
      </c>
      <c r="B111" s="356"/>
      <c r="C111" s="356"/>
      <c r="D111" s="356"/>
      <c r="E111" s="356"/>
      <c r="F111" s="356"/>
      <c r="G111" s="356"/>
      <c r="H111" s="356"/>
      <c r="I111" s="356"/>
      <c r="J111" s="356"/>
      <c r="K111" s="356"/>
      <c r="L111" s="356"/>
      <c r="M111" s="356"/>
      <c r="N111" s="356"/>
      <c r="O111" s="356"/>
      <c r="P111" s="356"/>
      <c r="Q111" s="356"/>
      <c r="R111" s="356"/>
      <c r="S111" s="356"/>
      <c r="T111" s="356"/>
      <c r="U111" s="356"/>
      <c r="V111" s="356"/>
      <c r="W111" s="356"/>
      <c r="X111" s="356"/>
      <c r="Y111" s="356"/>
      <c r="Z111" s="356"/>
      <c r="AA111" s="356"/>
      <c r="AB111" s="356"/>
      <c r="AC111" s="356"/>
      <c r="AD111" s="356"/>
      <c r="AE111" s="356"/>
      <c r="AF111" s="356"/>
      <c r="AG111" s="356"/>
      <c r="AH111" s="356"/>
      <c r="AI111" s="356"/>
      <c r="AJ111" s="356"/>
      <c r="AK111" s="356"/>
      <c r="AL111" s="356"/>
      <c r="AM111" s="356"/>
      <c r="AN111" s="356"/>
      <c r="AO111" s="356"/>
      <c r="AP111" s="356"/>
      <c r="AQ111" s="356"/>
      <c r="AR111" s="356"/>
      <c r="AS111" s="356"/>
      <c r="AT111" s="328"/>
      <c r="AU111" s="328"/>
      <c r="AV111" s="328"/>
      <c r="AW111" s="328"/>
      <c r="AX111" s="328"/>
      <c r="AY111" s="321"/>
      <c r="AZ111" s="328"/>
      <c r="BA111" s="329"/>
      <c r="BB111" s="321"/>
      <c r="BC111" s="328"/>
      <c r="BD111" s="329"/>
    </row>
    <row r="112" spans="1:63" ht="15" customHeight="1">
      <c r="A112" s="324" t="s">
        <v>352</v>
      </c>
      <c r="B112" s="344">
        <v>0</v>
      </c>
      <c r="C112" s="344"/>
      <c r="D112" s="344"/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4"/>
      <c r="P112" s="344"/>
      <c r="Q112" s="344"/>
      <c r="R112" s="344"/>
      <c r="S112" s="344"/>
      <c r="T112" s="344"/>
      <c r="U112" s="344"/>
      <c r="V112" s="344"/>
      <c r="W112" s="344"/>
      <c r="X112" s="344"/>
      <c r="Y112" s="344"/>
      <c r="Z112" s="344"/>
      <c r="AA112" s="344"/>
      <c r="AB112" s="344"/>
      <c r="AC112" s="344"/>
      <c r="AD112" s="344"/>
      <c r="AE112" s="344"/>
      <c r="AF112" s="344"/>
      <c r="AG112" s="344"/>
      <c r="AH112" s="344"/>
      <c r="AI112" s="344"/>
      <c r="AJ112" s="344"/>
      <c r="AK112" s="344"/>
      <c r="AL112" s="344"/>
      <c r="AM112" s="344"/>
      <c r="AN112" s="344"/>
      <c r="AO112" s="344"/>
      <c r="AP112" s="344"/>
      <c r="AQ112" s="344"/>
      <c r="AR112" s="344"/>
      <c r="AS112" s="344">
        <v>0</v>
      </c>
      <c r="AT112" s="344">
        <v>0</v>
      </c>
      <c r="AU112" s="344">
        <v>0</v>
      </c>
      <c r="AV112" s="344">
        <v>0</v>
      </c>
      <c r="AW112" s="344">
        <v>0</v>
      </c>
      <c r="AX112" s="344">
        <v>0</v>
      </c>
      <c r="AY112" s="369">
        <v>0</v>
      </c>
      <c r="AZ112" s="366">
        <v>0</v>
      </c>
      <c r="BA112" s="366">
        <f>AZ112-AY112</f>
        <v>0</v>
      </c>
      <c r="BB112" s="367">
        <f>AY112-AX112</f>
        <v>0</v>
      </c>
      <c r="BC112" s="368">
        <f>AZ112-AX112</f>
        <v>0</v>
      </c>
      <c r="BD112" s="353">
        <f t="shared" si="23"/>
        <v>0</v>
      </c>
      <c r="BF112" s="319" t="b">
        <v>0</v>
      </c>
    </row>
    <row r="113" spans="1:59" ht="15" customHeight="1">
      <c r="A113" s="324" t="s">
        <v>353</v>
      </c>
      <c r="B113" s="345">
        <v>0</v>
      </c>
      <c r="C113" s="345"/>
      <c r="D113" s="345"/>
      <c r="E113" s="345"/>
      <c r="F113" s="345"/>
      <c r="G113" s="345"/>
      <c r="H113" s="345"/>
      <c r="I113" s="345"/>
      <c r="J113" s="345"/>
      <c r="K113" s="345"/>
      <c r="L113" s="345"/>
      <c r="M113" s="345"/>
      <c r="N113" s="345"/>
      <c r="O113" s="345"/>
      <c r="P113" s="345"/>
      <c r="Q113" s="345"/>
      <c r="R113" s="345"/>
      <c r="S113" s="345"/>
      <c r="T113" s="345"/>
      <c r="U113" s="345"/>
      <c r="V113" s="345"/>
      <c r="W113" s="345"/>
      <c r="X113" s="345"/>
      <c r="Y113" s="345"/>
      <c r="Z113" s="345"/>
      <c r="AA113" s="345"/>
      <c r="AB113" s="345"/>
      <c r="AC113" s="345"/>
      <c r="AD113" s="345"/>
      <c r="AE113" s="345"/>
      <c r="AF113" s="345"/>
      <c r="AG113" s="345"/>
      <c r="AH113" s="345"/>
      <c r="AI113" s="345"/>
      <c r="AJ113" s="345"/>
      <c r="AK113" s="345"/>
      <c r="AL113" s="345"/>
      <c r="AM113" s="345"/>
      <c r="AN113" s="345"/>
      <c r="AO113" s="345"/>
      <c r="AP113" s="345"/>
      <c r="AQ113" s="345"/>
      <c r="AR113" s="345"/>
      <c r="AS113" s="345"/>
      <c r="AT113" s="345">
        <v>0</v>
      </c>
      <c r="AU113" s="345">
        <v>0</v>
      </c>
      <c r="AV113" s="345">
        <v>0</v>
      </c>
      <c r="AW113" s="345">
        <v>0</v>
      </c>
      <c r="AX113" s="345">
        <v>0</v>
      </c>
      <c r="AY113" s="346">
        <v>0</v>
      </c>
      <c r="AZ113" s="347">
        <v>0</v>
      </c>
      <c r="BA113" s="347">
        <f>AZ113-AY113</f>
        <v>0</v>
      </c>
      <c r="BB113" s="351">
        <f>AY113-AX113</f>
        <v>0</v>
      </c>
      <c r="BC113" s="352">
        <f>AZ113-AX113</f>
        <v>0</v>
      </c>
      <c r="BD113" s="353">
        <f t="shared" si="23"/>
        <v>0</v>
      </c>
    </row>
    <row r="114" spans="1:59" ht="15" customHeight="1" thickBot="1">
      <c r="A114" s="324" t="s">
        <v>354</v>
      </c>
      <c r="B114" s="344">
        <f>B113*B112/1000</f>
        <v>0</v>
      </c>
      <c r="C114" s="344">
        <v>255</v>
      </c>
      <c r="D114" s="344">
        <v>224</v>
      </c>
      <c r="E114" s="344">
        <v>266</v>
      </c>
      <c r="F114" s="344">
        <v>177</v>
      </c>
      <c r="G114" s="344">
        <v>303</v>
      </c>
      <c r="H114" s="344">
        <v>95</v>
      </c>
      <c r="I114" s="344">
        <v>328</v>
      </c>
      <c r="J114" s="344">
        <v>126</v>
      </c>
      <c r="K114" s="344">
        <v>290</v>
      </c>
      <c r="L114" s="344">
        <v>116</v>
      </c>
      <c r="M114" s="344">
        <v>345</v>
      </c>
      <c r="N114" s="344">
        <v>342</v>
      </c>
      <c r="O114" s="344">
        <v>173</v>
      </c>
      <c r="P114" s="344">
        <v>354.7</v>
      </c>
      <c r="Q114" s="344">
        <v>237.2</v>
      </c>
      <c r="R114" s="344">
        <v>197.4</v>
      </c>
      <c r="S114" s="344">
        <v>413.1</v>
      </c>
      <c r="T114" s="344">
        <v>422.5</v>
      </c>
      <c r="U114" s="344">
        <v>455</v>
      </c>
      <c r="V114" s="344">
        <v>362.7</v>
      </c>
      <c r="W114" s="344">
        <v>209.9</v>
      </c>
      <c r="X114" s="344">
        <v>294.10000000000002</v>
      </c>
      <c r="Y114" s="344">
        <v>313.60000000000002</v>
      </c>
      <c r="Z114" s="344">
        <v>310</v>
      </c>
      <c r="AA114" s="344">
        <v>324.5</v>
      </c>
      <c r="AB114" s="344">
        <v>414.2</v>
      </c>
      <c r="AC114" s="344">
        <v>430.4</v>
      </c>
      <c r="AD114" s="344">
        <v>405.1</v>
      </c>
      <c r="AE114" s="344">
        <v>424.4</v>
      </c>
      <c r="AF114" s="344">
        <v>447.1</v>
      </c>
      <c r="AG114" s="344">
        <v>490.4</v>
      </c>
      <c r="AH114" s="344">
        <v>504.1</v>
      </c>
      <c r="AI114" s="344">
        <v>562.1</v>
      </c>
      <c r="AJ114" s="344">
        <v>879.7</v>
      </c>
      <c r="AK114" s="344">
        <v>731.6</v>
      </c>
      <c r="AL114" s="344">
        <v>1309.4000000000001</v>
      </c>
      <c r="AM114" s="344">
        <v>1725.9</v>
      </c>
      <c r="AN114" s="344">
        <v>1469.2</v>
      </c>
      <c r="AO114" s="344">
        <v>874.4</v>
      </c>
      <c r="AP114" s="344">
        <v>1951.9</v>
      </c>
      <c r="AQ114" s="344">
        <v>1884</v>
      </c>
      <c r="AR114" s="344">
        <v>1792.5</v>
      </c>
      <c r="AS114" s="344">
        <v>2196.3000000000002</v>
      </c>
      <c r="AT114" s="344">
        <f t="shared" ref="AT114:AY114" si="41">AT113*AT112/1000</f>
        <v>0</v>
      </c>
      <c r="AU114" s="344">
        <f t="shared" si="41"/>
        <v>0</v>
      </c>
      <c r="AV114" s="344">
        <f t="shared" si="41"/>
        <v>0</v>
      </c>
      <c r="AW114" s="344">
        <f t="shared" si="41"/>
        <v>0</v>
      </c>
      <c r="AX114" s="344">
        <f t="shared" si="41"/>
        <v>0</v>
      </c>
      <c r="AY114" s="365">
        <f t="shared" si="41"/>
        <v>0</v>
      </c>
      <c r="AZ114" s="366">
        <f>AZ113*AZ112/1000</f>
        <v>0</v>
      </c>
      <c r="BA114" s="366">
        <f>AZ114-AY114</f>
        <v>0</v>
      </c>
      <c r="BB114" s="367">
        <f>AY114-AX114</f>
        <v>0</v>
      </c>
      <c r="BC114" s="368">
        <f>AZ114-AX114</f>
        <v>0</v>
      </c>
      <c r="BD114" s="353">
        <f t="shared" si="23"/>
        <v>-1</v>
      </c>
    </row>
    <row r="115" spans="1:59" s="311" customFormat="1" ht="15" customHeight="1" thickBot="1">
      <c r="A115" s="335" t="s">
        <v>384</v>
      </c>
      <c r="B115" s="358"/>
      <c r="C115" s="358"/>
      <c r="D115" s="358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  <c r="AA115" s="358"/>
      <c r="AB115" s="358"/>
      <c r="AC115" s="358"/>
      <c r="AD115" s="358"/>
      <c r="AE115" s="358"/>
      <c r="AF115" s="358"/>
      <c r="AG115" s="358"/>
      <c r="AH115" s="358"/>
      <c r="AI115" s="358"/>
      <c r="AJ115" s="358"/>
      <c r="AK115" s="358"/>
      <c r="AL115" s="358"/>
      <c r="AM115" s="358"/>
      <c r="AN115" s="358"/>
      <c r="AO115" s="358"/>
      <c r="AP115" s="358"/>
      <c r="AQ115" s="358"/>
      <c r="AR115" s="358"/>
      <c r="AS115" s="358"/>
      <c r="AT115" s="333"/>
      <c r="AU115" s="333"/>
      <c r="AV115" s="333"/>
      <c r="AW115" s="333"/>
      <c r="AX115" s="333"/>
      <c r="AY115" s="332"/>
      <c r="AZ115" s="333"/>
      <c r="BA115" s="333"/>
      <c r="BB115" s="332"/>
      <c r="BC115" s="333"/>
      <c r="BD115" s="334"/>
      <c r="BE115" s="309"/>
      <c r="BF115"/>
      <c r="BG115" s="308"/>
    </row>
    <row r="116" spans="1:59" s="311" customFormat="1" ht="15" customHeight="1">
      <c r="A116" s="324" t="s">
        <v>352</v>
      </c>
      <c r="B116" s="344">
        <f>B120+B124+B128</f>
        <v>0</v>
      </c>
      <c r="C116" s="344">
        <f t="shared" ref="C116:AY116" si="42">C120+C124+C128</f>
        <v>0</v>
      </c>
      <c r="D116" s="344">
        <f t="shared" si="42"/>
        <v>0</v>
      </c>
      <c r="E116" s="344">
        <f t="shared" si="42"/>
        <v>0</v>
      </c>
      <c r="F116" s="344">
        <f t="shared" si="42"/>
        <v>0</v>
      </c>
      <c r="G116" s="344">
        <f t="shared" si="42"/>
        <v>0</v>
      </c>
      <c r="H116" s="344">
        <f t="shared" si="42"/>
        <v>0</v>
      </c>
      <c r="I116" s="344">
        <f t="shared" si="42"/>
        <v>0</v>
      </c>
      <c r="J116" s="344">
        <f t="shared" si="42"/>
        <v>0</v>
      </c>
      <c r="K116" s="344">
        <f t="shared" si="42"/>
        <v>0</v>
      </c>
      <c r="L116" s="344">
        <f t="shared" si="42"/>
        <v>0</v>
      </c>
      <c r="M116" s="344">
        <f t="shared" si="42"/>
        <v>0</v>
      </c>
      <c r="N116" s="344">
        <f t="shared" si="42"/>
        <v>0</v>
      </c>
      <c r="O116" s="344">
        <f t="shared" si="42"/>
        <v>0</v>
      </c>
      <c r="P116" s="344">
        <f t="shared" si="42"/>
        <v>0</v>
      </c>
      <c r="Q116" s="344">
        <f t="shared" si="42"/>
        <v>0</v>
      </c>
      <c r="R116" s="344">
        <f t="shared" si="42"/>
        <v>0</v>
      </c>
      <c r="S116" s="344">
        <f t="shared" si="42"/>
        <v>0</v>
      </c>
      <c r="T116" s="344">
        <f t="shared" si="42"/>
        <v>0</v>
      </c>
      <c r="U116" s="344">
        <f t="shared" si="42"/>
        <v>0</v>
      </c>
      <c r="V116" s="344">
        <f t="shared" si="42"/>
        <v>0</v>
      </c>
      <c r="W116" s="344">
        <f t="shared" si="42"/>
        <v>0</v>
      </c>
      <c r="X116" s="344">
        <f t="shared" si="42"/>
        <v>0</v>
      </c>
      <c r="Y116" s="344">
        <f t="shared" si="42"/>
        <v>0</v>
      </c>
      <c r="Z116" s="344">
        <f t="shared" si="42"/>
        <v>0</v>
      </c>
      <c r="AA116" s="344">
        <f t="shared" si="42"/>
        <v>0</v>
      </c>
      <c r="AB116" s="344">
        <f t="shared" si="42"/>
        <v>0</v>
      </c>
      <c r="AC116" s="344">
        <f t="shared" si="42"/>
        <v>0</v>
      </c>
      <c r="AD116" s="344">
        <f t="shared" si="42"/>
        <v>0</v>
      </c>
      <c r="AE116" s="344">
        <f t="shared" si="42"/>
        <v>0</v>
      </c>
      <c r="AF116" s="344">
        <f t="shared" si="42"/>
        <v>0</v>
      </c>
      <c r="AG116" s="344">
        <f t="shared" si="42"/>
        <v>0</v>
      </c>
      <c r="AH116" s="344">
        <f t="shared" si="42"/>
        <v>0</v>
      </c>
      <c r="AI116" s="344">
        <f t="shared" si="42"/>
        <v>0</v>
      </c>
      <c r="AJ116" s="344">
        <f t="shared" si="42"/>
        <v>0</v>
      </c>
      <c r="AK116" s="344">
        <f t="shared" si="42"/>
        <v>0</v>
      </c>
      <c r="AL116" s="344">
        <f t="shared" si="42"/>
        <v>0</v>
      </c>
      <c r="AM116" s="344">
        <f t="shared" si="42"/>
        <v>0</v>
      </c>
      <c r="AN116" s="344">
        <f t="shared" si="42"/>
        <v>0</v>
      </c>
      <c r="AO116" s="344">
        <f t="shared" si="42"/>
        <v>0</v>
      </c>
      <c r="AP116" s="344">
        <f t="shared" si="42"/>
        <v>0</v>
      </c>
      <c r="AQ116" s="344">
        <f t="shared" si="42"/>
        <v>0</v>
      </c>
      <c r="AR116" s="344">
        <f t="shared" si="42"/>
        <v>0</v>
      </c>
      <c r="AS116" s="344">
        <f t="shared" si="42"/>
        <v>0</v>
      </c>
      <c r="AT116" s="344">
        <f t="shared" si="42"/>
        <v>0</v>
      </c>
      <c r="AU116" s="344">
        <f t="shared" si="42"/>
        <v>0</v>
      </c>
      <c r="AV116" s="344">
        <f t="shared" si="42"/>
        <v>0</v>
      </c>
      <c r="AW116" s="344">
        <f t="shared" si="42"/>
        <v>0</v>
      </c>
      <c r="AX116" s="344">
        <f t="shared" si="42"/>
        <v>0</v>
      </c>
      <c r="AY116" s="369">
        <f t="shared" si="42"/>
        <v>0</v>
      </c>
      <c r="AZ116" s="366">
        <f>AZ120+AZ124+AZ128</f>
        <v>0</v>
      </c>
      <c r="BA116" s="366">
        <f>AZ116-AY116</f>
        <v>0</v>
      </c>
      <c r="BB116" s="367">
        <f>AY116-AX116</f>
        <v>0</v>
      </c>
      <c r="BC116" s="368">
        <f>AZ116-AX116</f>
        <v>0</v>
      </c>
      <c r="BD116" s="353">
        <f t="shared" si="23"/>
        <v>0</v>
      </c>
      <c r="BE116" s="309"/>
      <c r="BF116" s="319" t="b">
        <v>0</v>
      </c>
      <c r="BG116" s="308"/>
    </row>
    <row r="117" spans="1:59" s="311" customFormat="1" ht="15" customHeight="1">
      <c r="A117" s="318" t="s">
        <v>353</v>
      </c>
      <c r="B117" s="345">
        <f>IFERROR(B118/B116*1000,0)</f>
        <v>0</v>
      </c>
      <c r="C117" s="345" t="e">
        <f t="shared" ref="C117:AS117" si="43">C118/C116*1000</f>
        <v>#DIV/0!</v>
      </c>
      <c r="D117" s="345" t="e">
        <f t="shared" si="43"/>
        <v>#DIV/0!</v>
      </c>
      <c r="E117" s="345" t="e">
        <f t="shared" si="43"/>
        <v>#DIV/0!</v>
      </c>
      <c r="F117" s="345" t="e">
        <f t="shared" si="43"/>
        <v>#DIV/0!</v>
      </c>
      <c r="G117" s="345" t="e">
        <f t="shared" si="43"/>
        <v>#DIV/0!</v>
      </c>
      <c r="H117" s="345" t="e">
        <f t="shared" si="43"/>
        <v>#DIV/0!</v>
      </c>
      <c r="I117" s="345" t="e">
        <f t="shared" si="43"/>
        <v>#DIV/0!</v>
      </c>
      <c r="J117" s="345" t="e">
        <f t="shared" si="43"/>
        <v>#DIV/0!</v>
      </c>
      <c r="K117" s="345" t="e">
        <f t="shared" si="43"/>
        <v>#DIV/0!</v>
      </c>
      <c r="L117" s="345" t="e">
        <f t="shared" si="43"/>
        <v>#DIV/0!</v>
      </c>
      <c r="M117" s="345" t="e">
        <f t="shared" si="43"/>
        <v>#DIV/0!</v>
      </c>
      <c r="N117" s="345" t="e">
        <f t="shared" si="43"/>
        <v>#DIV/0!</v>
      </c>
      <c r="O117" s="345" t="e">
        <f t="shared" si="43"/>
        <v>#DIV/0!</v>
      </c>
      <c r="P117" s="345" t="e">
        <f t="shared" si="43"/>
        <v>#DIV/0!</v>
      </c>
      <c r="Q117" s="345" t="e">
        <f t="shared" si="43"/>
        <v>#DIV/0!</v>
      </c>
      <c r="R117" s="345" t="e">
        <f t="shared" si="43"/>
        <v>#DIV/0!</v>
      </c>
      <c r="S117" s="345" t="e">
        <f t="shared" si="43"/>
        <v>#DIV/0!</v>
      </c>
      <c r="T117" s="345" t="e">
        <f t="shared" si="43"/>
        <v>#DIV/0!</v>
      </c>
      <c r="U117" s="345" t="e">
        <f t="shared" si="43"/>
        <v>#DIV/0!</v>
      </c>
      <c r="V117" s="345" t="e">
        <f t="shared" si="43"/>
        <v>#DIV/0!</v>
      </c>
      <c r="W117" s="345" t="e">
        <f t="shared" si="43"/>
        <v>#DIV/0!</v>
      </c>
      <c r="X117" s="345" t="e">
        <f t="shared" si="43"/>
        <v>#DIV/0!</v>
      </c>
      <c r="Y117" s="345" t="e">
        <f t="shared" si="43"/>
        <v>#DIV/0!</v>
      </c>
      <c r="Z117" s="345" t="e">
        <f t="shared" si="43"/>
        <v>#DIV/0!</v>
      </c>
      <c r="AA117" s="345" t="e">
        <f t="shared" si="43"/>
        <v>#DIV/0!</v>
      </c>
      <c r="AB117" s="345" t="e">
        <f t="shared" si="43"/>
        <v>#DIV/0!</v>
      </c>
      <c r="AC117" s="345" t="e">
        <f t="shared" si="43"/>
        <v>#DIV/0!</v>
      </c>
      <c r="AD117" s="345" t="e">
        <f t="shared" si="43"/>
        <v>#DIV/0!</v>
      </c>
      <c r="AE117" s="345" t="e">
        <f t="shared" si="43"/>
        <v>#DIV/0!</v>
      </c>
      <c r="AF117" s="345" t="e">
        <f t="shared" si="43"/>
        <v>#DIV/0!</v>
      </c>
      <c r="AG117" s="345" t="e">
        <f t="shared" si="43"/>
        <v>#DIV/0!</v>
      </c>
      <c r="AH117" s="345" t="e">
        <f t="shared" si="43"/>
        <v>#DIV/0!</v>
      </c>
      <c r="AI117" s="345" t="e">
        <f t="shared" si="43"/>
        <v>#DIV/0!</v>
      </c>
      <c r="AJ117" s="345" t="e">
        <f t="shared" si="43"/>
        <v>#DIV/0!</v>
      </c>
      <c r="AK117" s="345" t="e">
        <f t="shared" si="43"/>
        <v>#DIV/0!</v>
      </c>
      <c r="AL117" s="345" t="e">
        <f t="shared" si="43"/>
        <v>#DIV/0!</v>
      </c>
      <c r="AM117" s="345" t="e">
        <f t="shared" si="43"/>
        <v>#DIV/0!</v>
      </c>
      <c r="AN117" s="345" t="e">
        <f t="shared" si="43"/>
        <v>#DIV/0!</v>
      </c>
      <c r="AO117" s="345" t="e">
        <f t="shared" si="43"/>
        <v>#DIV/0!</v>
      </c>
      <c r="AP117" s="345" t="e">
        <f t="shared" si="43"/>
        <v>#DIV/0!</v>
      </c>
      <c r="AQ117" s="345" t="e">
        <f t="shared" si="43"/>
        <v>#DIV/0!</v>
      </c>
      <c r="AR117" s="345" t="e">
        <f t="shared" si="43"/>
        <v>#DIV/0!</v>
      </c>
      <c r="AS117" s="345" t="e">
        <f t="shared" si="43"/>
        <v>#DIV/0!</v>
      </c>
      <c r="AT117" s="345">
        <f t="shared" ref="AT117:BA117" si="44">IFERROR(AT118/AT116*1000,0)</f>
        <v>0</v>
      </c>
      <c r="AU117" s="345">
        <f t="shared" si="44"/>
        <v>0</v>
      </c>
      <c r="AV117" s="345">
        <f t="shared" si="44"/>
        <v>0</v>
      </c>
      <c r="AW117" s="345">
        <f t="shared" si="44"/>
        <v>0</v>
      </c>
      <c r="AX117" s="345">
        <f t="shared" si="44"/>
        <v>0</v>
      </c>
      <c r="AY117" s="346">
        <f t="shared" si="44"/>
        <v>0</v>
      </c>
      <c r="AZ117" s="347">
        <f t="shared" si="44"/>
        <v>0</v>
      </c>
      <c r="BA117" s="347">
        <f t="shared" si="44"/>
        <v>0</v>
      </c>
      <c r="BB117" s="351">
        <f>AY117-AX117</f>
        <v>0</v>
      </c>
      <c r="BC117" s="352">
        <f>AZ117-AX117</f>
        <v>0</v>
      </c>
      <c r="BD117" s="353">
        <f t="shared" si="23"/>
        <v>0</v>
      </c>
      <c r="BE117" s="309"/>
      <c r="BF117"/>
      <c r="BG117" s="308"/>
    </row>
    <row r="118" spans="1:59" s="311" customFormat="1" ht="15" customHeight="1">
      <c r="A118" s="318" t="s">
        <v>354</v>
      </c>
      <c r="B118" s="344">
        <f>B122+B126+B130</f>
        <v>0</v>
      </c>
      <c r="C118" s="344">
        <f t="shared" ref="C118:AY118" si="45">C122+C126+C130</f>
        <v>765</v>
      </c>
      <c r="D118" s="344">
        <f t="shared" si="45"/>
        <v>672</v>
      </c>
      <c r="E118" s="344">
        <f t="shared" si="45"/>
        <v>798</v>
      </c>
      <c r="F118" s="344">
        <f t="shared" si="45"/>
        <v>531</v>
      </c>
      <c r="G118" s="344">
        <f t="shared" si="45"/>
        <v>909</v>
      </c>
      <c r="H118" s="344">
        <f t="shared" si="45"/>
        <v>285</v>
      </c>
      <c r="I118" s="344">
        <f t="shared" si="45"/>
        <v>984</v>
      </c>
      <c r="J118" s="344">
        <f t="shared" si="45"/>
        <v>378</v>
      </c>
      <c r="K118" s="344">
        <f t="shared" si="45"/>
        <v>870</v>
      </c>
      <c r="L118" s="344">
        <f t="shared" si="45"/>
        <v>348</v>
      </c>
      <c r="M118" s="344">
        <f t="shared" si="45"/>
        <v>1035</v>
      </c>
      <c r="N118" s="344">
        <f t="shared" si="45"/>
        <v>1026</v>
      </c>
      <c r="O118" s="344">
        <f t="shared" si="45"/>
        <v>519</v>
      </c>
      <c r="P118" s="344">
        <f t="shared" si="45"/>
        <v>1064.0999999999999</v>
      </c>
      <c r="Q118" s="344">
        <f t="shared" si="45"/>
        <v>711.59999999999991</v>
      </c>
      <c r="R118" s="344">
        <f t="shared" si="45"/>
        <v>592.20000000000005</v>
      </c>
      <c r="S118" s="344">
        <f t="shared" si="45"/>
        <v>1239.3000000000002</v>
      </c>
      <c r="T118" s="344">
        <f t="shared" si="45"/>
        <v>1267.5</v>
      </c>
      <c r="U118" s="344">
        <f t="shared" si="45"/>
        <v>1365</v>
      </c>
      <c r="V118" s="344">
        <f t="shared" si="45"/>
        <v>1088.0999999999999</v>
      </c>
      <c r="W118" s="344">
        <f t="shared" si="45"/>
        <v>629.70000000000005</v>
      </c>
      <c r="X118" s="344">
        <f t="shared" si="45"/>
        <v>882.30000000000007</v>
      </c>
      <c r="Y118" s="344">
        <f t="shared" si="45"/>
        <v>940.80000000000007</v>
      </c>
      <c r="Z118" s="344">
        <f t="shared" si="45"/>
        <v>930</v>
      </c>
      <c r="AA118" s="344">
        <f t="shared" si="45"/>
        <v>973.5</v>
      </c>
      <c r="AB118" s="344">
        <f t="shared" si="45"/>
        <v>1242.5999999999999</v>
      </c>
      <c r="AC118" s="344">
        <f t="shared" si="45"/>
        <v>1291.1999999999998</v>
      </c>
      <c r="AD118" s="344">
        <f t="shared" si="45"/>
        <v>1215.3000000000002</v>
      </c>
      <c r="AE118" s="344">
        <f t="shared" si="45"/>
        <v>1273.1999999999998</v>
      </c>
      <c r="AF118" s="344">
        <f t="shared" si="45"/>
        <v>1341.3000000000002</v>
      </c>
      <c r="AG118" s="344">
        <f t="shared" si="45"/>
        <v>1471.1999999999998</v>
      </c>
      <c r="AH118" s="344">
        <f t="shared" si="45"/>
        <v>1512.3000000000002</v>
      </c>
      <c r="AI118" s="344">
        <f t="shared" si="45"/>
        <v>1686.3000000000002</v>
      </c>
      <c r="AJ118" s="344">
        <f t="shared" si="45"/>
        <v>2639.1000000000004</v>
      </c>
      <c r="AK118" s="344">
        <f t="shared" si="45"/>
        <v>2194.8000000000002</v>
      </c>
      <c r="AL118" s="344">
        <f t="shared" si="45"/>
        <v>3928.2000000000003</v>
      </c>
      <c r="AM118" s="344">
        <f t="shared" si="45"/>
        <v>5177.7000000000007</v>
      </c>
      <c r="AN118" s="344">
        <f t="shared" si="45"/>
        <v>4407.6000000000004</v>
      </c>
      <c r="AO118" s="344">
        <f t="shared" si="45"/>
        <v>2623.2</v>
      </c>
      <c r="AP118" s="344">
        <f t="shared" si="45"/>
        <v>5855.7000000000007</v>
      </c>
      <c r="AQ118" s="344">
        <f t="shared" si="45"/>
        <v>5652</v>
      </c>
      <c r="AR118" s="344">
        <f t="shared" si="45"/>
        <v>5377.5</v>
      </c>
      <c r="AS118" s="344">
        <f t="shared" si="45"/>
        <v>6588.9000000000005</v>
      </c>
      <c r="AT118" s="344">
        <f t="shared" si="45"/>
        <v>0</v>
      </c>
      <c r="AU118" s="344">
        <f t="shared" si="45"/>
        <v>0</v>
      </c>
      <c r="AV118" s="344">
        <f t="shared" si="45"/>
        <v>0</v>
      </c>
      <c r="AW118" s="344">
        <f t="shared" si="45"/>
        <v>0</v>
      </c>
      <c r="AX118" s="344">
        <f t="shared" si="45"/>
        <v>0</v>
      </c>
      <c r="AY118" s="365">
        <f t="shared" si="45"/>
        <v>0</v>
      </c>
      <c r="AZ118" s="366">
        <f>AZ122+AZ126+AZ130</f>
        <v>0</v>
      </c>
      <c r="BA118" s="366">
        <f>AZ118-AY118</f>
        <v>0</v>
      </c>
      <c r="BB118" s="367">
        <f>AY118-AX118</f>
        <v>0</v>
      </c>
      <c r="BC118" s="368">
        <f>AZ118-AX118</f>
        <v>0</v>
      </c>
      <c r="BD118" s="353">
        <f t="shared" si="23"/>
        <v>-1</v>
      </c>
      <c r="BE118" s="309"/>
      <c r="BF118"/>
      <c r="BG118" s="308"/>
    </row>
    <row r="119" spans="1:59" ht="15" customHeight="1">
      <c r="A119" s="320" t="s">
        <v>385</v>
      </c>
      <c r="B119" s="356"/>
      <c r="C119" s="356"/>
      <c r="D119" s="356"/>
      <c r="E119" s="356"/>
      <c r="F119" s="356"/>
      <c r="G119" s="356"/>
      <c r="H119" s="356"/>
      <c r="I119" s="356"/>
      <c r="J119" s="356"/>
      <c r="K119" s="356"/>
      <c r="L119" s="356"/>
      <c r="M119" s="356"/>
      <c r="N119" s="356"/>
      <c r="O119" s="356"/>
      <c r="P119" s="356"/>
      <c r="Q119" s="356"/>
      <c r="R119" s="356"/>
      <c r="S119" s="356"/>
      <c r="T119" s="356"/>
      <c r="U119" s="356"/>
      <c r="V119" s="356"/>
      <c r="W119" s="356"/>
      <c r="X119" s="356"/>
      <c r="Y119" s="356"/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28"/>
      <c r="AU119" s="328"/>
      <c r="AV119" s="328"/>
      <c r="AW119" s="328"/>
      <c r="AX119" s="328"/>
      <c r="AY119" s="321"/>
      <c r="AZ119" s="328"/>
      <c r="BA119" s="328"/>
      <c r="BB119" s="321"/>
      <c r="BC119" s="328"/>
      <c r="BD119" s="329"/>
    </row>
    <row r="120" spans="1:59" ht="15" customHeight="1">
      <c r="A120" s="324" t="s">
        <v>352</v>
      </c>
      <c r="B120" s="344">
        <v>0</v>
      </c>
      <c r="C120" s="344"/>
      <c r="D120" s="344"/>
      <c r="E120" s="344"/>
      <c r="F120" s="344"/>
      <c r="G120" s="344"/>
      <c r="H120" s="344"/>
      <c r="I120" s="344"/>
      <c r="J120" s="344"/>
      <c r="K120" s="344"/>
      <c r="L120" s="344"/>
      <c r="M120" s="344"/>
      <c r="N120" s="344"/>
      <c r="O120" s="344"/>
      <c r="P120" s="344"/>
      <c r="Q120" s="344"/>
      <c r="R120" s="344"/>
      <c r="S120" s="344"/>
      <c r="T120" s="344"/>
      <c r="U120" s="344"/>
      <c r="V120" s="344"/>
      <c r="W120" s="344"/>
      <c r="X120" s="344"/>
      <c r="Y120" s="344"/>
      <c r="Z120" s="344"/>
      <c r="AA120" s="344"/>
      <c r="AB120" s="344"/>
      <c r="AC120" s="344"/>
      <c r="AD120" s="344"/>
      <c r="AE120" s="344"/>
      <c r="AF120" s="344"/>
      <c r="AG120" s="344"/>
      <c r="AH120" s="344"/>
      <c r="AI120" s="344"/>
      <c r="AJ120" s="344"/>
      <c r="AK120" s="344"/>
      <c r="AL120" s="344"/>
      <c r="AM120" s="344"/>
      <c r="AN120" s="344"/>
      <c r="AO120" s="344"/>
      <c r="AP120" s="344"/>
      <c r="AQ120" s="344"/>
      <c r="AR120" s="344"/>
      <c r="AS120" s="344">
        <v>0</v>
      </c>
      <c r="AT120" s="344">
        <v>0</v>
      </c>
      <c r="AU120" s="344">
        <v>0</v>
      </c>
      <c r="AV120" s="344">
        <v>0</v>
      </c>
      <c r="AW120" s="344">
        <v>0</v>
      </c>
      <c r="AX120" s="344">
        <v>0</v>
      </c>
      <c r="AY120" s="369">
        <v>0</v>
      </c>
      <c r="AZ120" s="366">
        <v>0</v>
      </c>
      <c r="BA120" s="366">
        <f>AZ120-AY120</f>
        <v>0</v>
      </c>
      <c r="BB120" s="367">
        <f>AY120-AX120</f>
        <v>0</v>
      </c>
      <c r="BC120" s="368">
        <f>AZ120-AX120</f>
        <v>0</v>
      </c>
      <c r="BD120" s="353">
        <f t="shared" si="23"/>
        <v>0</v>
      </c>
      <c r="BF120" s="319" t="b">
        <v>0</v>
      </c>
    </row>
    <row r="121" spans="1:59" ht="15" customHeight="1">
      <c r="A121" s="324" t="s">
        <v>353</v>
      </c>
      <c r="B121" s="345">
        <f>IFERROR(B122/B120*1000,0)</f>
        <v>0</v>
      </c>
      <c r="C121" s="345"/>
      <c r="D121" s="345"/>
      <c r="E121" s="345"/>
      <c r="F121" s="345"/>
      <c r="G121" s="345"/>
      <c r="H121" s="345"/>
      <c r="I121" s="345"/>
      <c r="J121" s="345"/>
      <c r="K121" s="345"/>
      <c r="L121" s="345"/>
      <c r="M121" s="345"/>
      <c r="N121" s="345"/>
      <c r="O121" s="345"/>
      <c r="P121" s="345"/>
      <c r="Q121" s="345"/>
      <c r="R121" s="345"/>
      <c r="S121" s="345"/>
      <c r="T121" s="345"/>
      <c r="U121" s="345"/>
      <c r="V121" s="345"/>
      <c r="W121" s="345"/>
      <c r="X121" s="345"/>
      <c r="Y121" s="345"/>
      <c r="Z121" s="345"/>
      <c r="AA121" s="345"/>
      <c r="AB121" s="345"/>
      <c r="AC121" s="345"/>
      <c r="AD121" s="345"/>
      <c r="AE121" s="345"/>
      <c r="AF121" s="345"/>
      <c r="AG121" s="345"/>
      <c r="AH121" s="345"/>
      <c r="AI121" s="345"/>
      <c r="AJ121" s="345"/>
      <c r="AK121" s="345"/>
      <c r="AL121" s="345"/>
      <c r="AM121" s="345"/>
      <c r="AN121" s="345"/>
      <c r="AO121" s="345"/>
      <c r="AP121" s="345"/>
      <c r="AQ121" s="345"/>
      <c r="AR121" s="345"/>
      <c r="AS121" s="345"/>
      <c r="AT121" s="345">
        <v>0</v>
      </c>
      <c r="AU121" s="345">
        <v>0</v>
      </c>
      <c r="AV121" s="345">
        <v>0</v>
      </c>
      <c r="AW121" s="345">
        <v>0</v>
      </c>
      <c r="AX121" s="345">
        <v>0</v>
      </c>
      <c r="AY121" s="346">
        <v>0</v>
      </c>
      <c r="AZ121" s="347">
        <v>0</v>
      </c>
      <c r="BA121" s="347">
        <f>AZ121-AY121</f>
        <v>0</v>
      </c>
      <c r="BB121" s="351">
        <f>AY121-AX121</f>
        <v>0</v>
      </c>
      <c r="BC121" s="352">
        <f>AZ121-AX121</f>
        <v>0</v>
      </c>
      <c r="BD121" s="353">
        <f t="shared" si="23"/>
        <v>0</v>
      </c>
    </row>
    <row r="122" spans="1:59" s="311" customFormat="1" ht="15" customHeight="1">
      <c r="A122" s="324" t="s">
        <v>354</v>
      </c>
      <c r="B122" s="344">
        <v>0</v>
      </c>
      <c r="C122" s="344">
        <v>255</v>
      </c>
      <c r="D122" s="344">
        <v>224</v>
      </c>
      <c r="E122" s="344">
        <v>266</v>
      </c>
      <c r="F122" s="344">
        <v>177</v>
      </c>
      <c r="G122" s="344">
        <v>303</v>
      </c>
      <c r="H122" s="344">
        <v>95</v>
      </c>
      <c r="I122" s="344">
        <v>328</v>
      </c>
      <c r="J122" s="344">
        <v>126</v>
      </c>
      <c r="K122" s="344">
        <v>290</v>
      </c>
      <c r="L122" s="344">
        <v>116</v>
      </c>
      <c r="M122" s="344">
        <v>345</v>
      </c>
      <c r="N122" s="344">
        <v>342</v>
      </c>
      <c r="O122" s="344">
        <v>173</v>
      </c>
      <c r="P122" s="344">
        <v>354.7</v>
      </c>
      <c r="Q122" s="344">
        <v>237.2</v>
      </c>
      <c r="R122" s="344">
        <v>197.4</v>
      </c>
      <c r="S122" s="344">
        <v>413.1</v>
      </c>
      <c r="T122" s="344">
        <v>422.5</v>
      </c>
      <c r="U122" s="344">
        <v>455</v>
      </c>
      <c r="V122" s="344">
        <v>362.7</v>
      </c>
      <c r="W122" s="344">
        <v>209.9</v>
      </c>
      <c r="X122" s="344">
        <v>294.10000000000002</v>
      </c>
      <c r="Y122" s="344">
        <v>313.60000000000002</v>
      </c>
      <c r="Z122" s="344">
        <v>310</v>
      </c>
      <c r="AA122" s="344">
        <v>324.5</v>
      </c>
      <c r="AB122" s="344">
        <v>414.2</v>
      </c>
      <c r="AC122" s="344">
        <v>430.4</v>
      </c>
      <c r="AD122" s="344">
        <v>405.1</v>
      </c>
      <c r="AE122" s="344">
        <v>424.4</v>
      </c>
      <c r="AF122" s="344">
        <v>447.1</v>
      </c>
      <c r="AG122" s="344">
        <v>490.4</v>
      </c>
      <c r="AH122" s="344">
        <v>504.1</v>
      </c>
      <c r="AI122" s="344">
        <v>562.1</v>
      </c>
      <c r="AJ122" s="344">
        <v>879.7</v>
      </c>
      <c r="AK122" s="344">
        <v>731.6</v>
      </c>
      <c r="AL122" s="344">
        <v>1309.4000000000001</v>
      </c>
      <c r="AM122" s="344">
        <v>1725.9</v>
      </c>
      <c r="AN122" s="344">
        <v>1469.2</v>
      </c>
      <c r="AO122" s="344">
        <v>874.4</v>
      </c>
      <c r="AP122" s="344">
        <v>1951.9</v>
      </c>
      <c r="AQ122" s="344">
        <v>1884</v>
      </c>
      <c r="AR122" s="344">
        <v>1792.5</v>
      </c>
      <c r="AS122" s="344">
        <v>2196.3000000000002</v>
      </c>
      <c r="AT122" s="344">
        <f t="shared" ref="AT122:AY122" si="46">AT121*AT120/1000</f>
        <v>0</v>
      </c>
      <c r="AU122" s="344">
        <f t="shared" si="46"/>
        <v>0</v>
      </c>
      <c r="AV122" s="344">
        <f t="shared" si="46"/>
        <v>0</v>
      </c>
      <c r="AW122" s="344">
        <f t="shared" si="46"/>
        <v>0</v>
      </c>
      <c r="AX122" s="344">
        <f t="shared" si="46"/>
        <v>0</v>
      </c>
      <c r="AY122" s="365">
        <f t="shared" si="46"/>
        <v>0</v>
      </c>
      <c r="AZ122" s="366">
        <f>AZ121*AZ120/1000</f>
        <v>0</v>
      </c>
      <c r="BA122" s="366">
        <f>AZ122-AY122</f>
        <v>0</v>
      </c>
      <c r="BB122" s="367">
        <f>AY122-AX122</f>
        <v>0</v>
      </c>
      <c r="BC122" s="368">
        <f>AZ122-AX122</f>
        <v>0</v>
      </c>
      <c r="BD122" s="353">
        <f t="shared" si="23"/>
        <v>-1</v>
      </c>
      <c r="BE122" s="309"/>
      <c r="BF122"/>
      <c r="BG122" s="308"/>
    </row>
    <row r="123" spans="1:59" ht="15" customHeight="1">
      <c r="A123" s="320" t="s">
        <v>386</v>
      </c>
      <c r="B123" s="356"/>
      <c r="C123" s="356"/>
      <c r="D123" s="356"/>
      <c r="E123" s="356"/>
      <c r="F123" s="356"/>
      <c r="G123" s="356"/>
      <c r="H123" s="356"/>
      <c r="I123" s="356"/>
      <c r="J123" s="356"/>
      <c r="K123" s="356"/>
      <c r="L123" s="356"/>
      <c r="M123" s="356"/>
      <c r="N123" s="356"/>
      <c r="O123" s="356"/>
      <c r="P123" s="356"/>
      <c r="Q123" s="356"/>
      <c r="R123" s="356"/>
      <c r="S123" s="356"/>
      <c r="T123" s="356"/>
      <c r="U123" s="356"/>
      <c r="V123" s="356"/>
      <c r="W123" s="356"/>
      <c r="X123" s="356"/>
      <c r="Y123" s="356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28"/>
      <c r="AU123" s="328"/>
      <c r="AV123" s="328"/>
      <c r="AW123" s="328"/>
      <c r="AX123" s="328"/>
      <c r="AY123" s="321"/>
      <c r="AZ123" s="328"/>
      <c r="BA123" s="328"/>
      <c r="BB123" s="321"/>
      <c r="BC123" s="328"/>
      <c r="BD123" s="329"/>
    </row>
    <row r="124" spans="1:59" ht="15" customHeight="1">
      <c r="A124" s="324" t="s">
        <v>352</v>
      </c>
      <c r="B124" s="344">
        <v>0</v>
      </c>
      <c r="C124" s="344">
        <v>0</v>
      </c>
      <c r="D124" s="344">
        <v>0</v>
      </c>
      <c r="E124" s="344">
        <v>0</v>
      </c>
      <c r="F124" s="344">
        <v>0</v>
      </c>
      <c r="G124" s="344">
        <v>0</v>
      </c>
      <c r="H124" s="344">
        <v>0</v>
      </c>
      <c r="I124" s="344">
        <v>0</v>
      </c>
      <c r="J124" s="344">
        <v>0</v>
      </c>
      <c r="K124" s="344">
        <v>0</v>
      </c>
      <c r="L124" s="344">
        <v>0</v>
      </c>
      <c r="M124" s="344">
        <v>0</v>
      </c>
      <c r="N124" s="344">
        <v>0</v>
      </c>
      <c r="O124" s="344">
        <v>0</v>
      </c>
      <c r="P124" s="344">
        <v>0</v>
      </c>
      <c r="Q124" s="344">
        <v>0</v>
      </c>
      <c r="R124" s="344">
        <v>0</v>
      </c>
      <c r="S124" s="344">
        <v>0</v>
      </c>
      <c r="T124" s="344">
        <v>0</v>
      </c>
      <c r="U124" s="344">
        <v>0</v>
      </c>
      <c r="V124" s="344">
        <v>0</v>
      </c>
      <c r="W124" s="344">
        <v>0</v>
      </c>
      <c r="X124" s="344">
        <v>0</v>
      </c>
      <c r="Y124" s="344">
        <v>0</v>
      </c>
      <c r="Z124" s="344">
        <v>0</v>
      </c>
      <c r="AA124" s="344">
        <v>0</v>
      </c>
      <c r="AB124" s="344">
        <v>0</v>
      </c>
      <c r="AC124" s="344">
        <v>0</v>
      </c>
      <c r="AD124" s="344">
        <v>0</v>
      </c>
      <c r="AE124" s="344">
        <v>0</v>
      </c>
      <c r="AF124" s="344">
        <v>0</v>
      </c>
      <c r="AG124" s="344">
        <v>0</v>
      </c>
      <c r="AH124" s="344">
        <v>0</v>
      </c>
      <c r="AI124" s="344">
        <v>0</v>
      </c>
      <c r="AJ124" s="344">
        <v>0</v>
      </c>
      <c r="AK124" s="344">
        <v>0</v>
      </c>
      <c r="AL124" s="344">
        <v>0</v>
      </c>
      <c r="AM124" s="344">
        <v>0</v>
      </c>
      <c r="AN124" s="344">
        <v>0</v>
      </c>
      <c r="AO124" s="344">
        <v>0</v>
      </c>
      <c r="AP124" s="344">
        <v>0</v>
      </c>
      <c r="AQ124" s="344">
        <v>0</v>
      </c>
      <c r="AR124" s="344">
        <v>0</v>
      </c>
      <c r="AS124" s="344">
        <v>0</v>
      </c>
      <c r="AT124" s="344">
        <v>0</v>
      </c>
      <c r="AU124" s="344">
        <v>0</v>
      </c>
      <c r="AV124" s="344">
        <v>0</v>
      </c>
      <c r="AW124" s="344">
        <v>0</v>
      </c>
      <c r="AX124" s="344">
        <v>0</v>
      </c>
      <c r="AY124" s="369">
        <v>0</v>
      </c>
      <c r="AZ124" s="366">
        <v>0</v>
      </c>
      <c r="BA124" s="366">
        <f>AZ124-AY124</f>
        <v>0</v>
      </c>
      <c r="BB124" s="367">
        <f>AY124-AX124</f>
        <v>0</v>
      </c>
      <c r="BC124" s="368">
        <f>AZ124-AX124</f>
        <v>0</v>
      </c>
      <c r="BD124" s="353">
        <f t="shared" si="23"/>
        <v>0</v>
      </c>
      <c r="BF124" s="319" t="b">
        <v>0</v>
      </c>
    </row>
    <row r="125" spans="1:59" ht="15" customHeight="1">
      <c r="A125" s="324" t="s">
        <v>353</v>
      </c>
      <c r="B125" s="345">
        <v>0</v>
      </c>
      <c r="C125" s="345"/>
      <c r="D125" s="345"/>
      <c r="E125" s="345"/>
      <c r="F125" s="345"/>
      <c r="G125" s="345"/>
      <c r="H125" s="345"/>
      <c r="I125" s="345"/>
      <c r="J125" s="345"/>
      <c r="K125" s="345"/>
      <c r="L125" s="345"/>
      <c r="M125" s="345"/>
      <c r="N125" s="345"/>
      <c r="O125" s="345"/>
      <c r="P125" s="345"/>
      <c r="Q125" s="345"/>
      <c r="R125" s="345"/>
      <c r="S125" s="345"/>
      <c r="T125" s="345"/>
      <c r="U125" s="345"/>
      <c r="V125" s="345"/>
      <c r="W125" s="345"/>
      <c r="X125" s="345"/>
      <c r="Y125" s="345"/>
      <c r="Z125" s="345"/>
      <c r="AA125" s="345"/>
      <c r="AB125" s="345"/>
      <c r="AC125" s="345"/>
      <c r="AD125" s="345"/>
      <c r="AE125" s="345"/>
      <c r="AF125" s="345"/>
      <c r="AG125" s="345"/>
      <c r="AH125" s="345"/>
      <c r="AI125" s="345"/>
      <c r="AJ125" s="345"/>
      <c r="AK125" s="345"/>
      <c r="AL125" s="345"/>
      <c r="AM125" s="345"/>
      <c r="AN125" s="345"/>
      <c r="AO125" s="345"/>
      <c r="AP125" s="345"/>
      <c r="AQ125" s="345"/>
      <c r="AR125" s="345"/>
      <c r="AS125" s="345"/>
      <c r="AT125" s="345">
        <v>0</v>
      </c>
      <c r="AU125" s="345">
        <v>0</v>
      </c>
      <c r="AV125" s="345">
        <v>0</v>
      </c>
      <c r="AW125" s="345">
        <v>0</v>
      </c>
      <c r="AX125" s="345">
        <v>0</v>
      </c>
      <c r="AY125" s="346">
        <v>0</v>
      </c>
      <c r="AZ125" s="347">
        <v>0</v>
      </c>
      <c r="BA125" s="347">
        <f>AZ125-AY125</f>
        <v>0</v>
      </c>
      <c r="BB125" s="351">
        <f>AY125-AX125</f>
        <v>0</v>
      </c>
      <c r="BC125" s="352">
        <f>AZ125-AX125</f>
        <v>0</v>
      </c>
      <c r="BD125" s="353">
        <f t="shared" si="23"/>
        <v>0</v>
      </c>
    </row>
    <row r="126" spans="1:59" s="311" customFormat="1" ht="15" customHeight="1">
      <c r="A126" s="324" t="s">
        <v>354</v>
      </c>
      <c r="B126" s="344">
        <f>B125*B124/1000</f>
        <v>0</v>
      </c>
      <c r="C126" s="344">
        <v>255</v>
      </c>
      <c r="D126" s="344">
        <v>224</v>
      </c>
      <c r="E126" s="344">
        <v>266</v>
      </c>
      <c r="F126" s="344">
        <v>177</v>
      </c>
      <c r="G126" s="344">
        <v>303</v>
      </c>
      <c r="H126" s="344">
        <v>95</v>
      </c>
      <c r="I126" s="344">
        <v>328</v>
      </c>
      <c r="J126" s="344">
        <v>126</v>
      </c>
      <c r="K126" s="344">
        <v>290</v>
      </c>
      <c r="L126" s="344">
        <v>116</v>
      </c>
      <c r="M126" s="344">
        <v>345</v>
      </c>
      <c r="N126" s="344">
        <v>342</v>
      </c>
      <c r="O126" s="344">
        <v>173</v>
      </c>
      <c r="P126" s="344">
        <v>354.7</v>
      </c>
      <c r="Q126" s="344">
        <v>237.2</v>
      </c>
      <c r="R126" s="344">
        <v>197.4</v>
      </c>
      <c r="S126" s="344">
        <v>413.1</v>
      </c>
      <c r="T126" s="344">
        <v>422.5</v>
      </c>
      <c r="U126" s="344">
        <v>455</v>
      </c>
      <c r="V126" s="344">
        <v>362.7</v>
      </c>
      <c r="W126" s="344">
        <v>209.9</v>
      </c>
      <c r="X126" s="344">
        <v>294.10000000000002</v>
      </c>
      <c r="Y126" s="344">
        <v>313.60000000000002</v>
      </c>
      <c r="Z126" s="344">
        <v>310</v>
      </c>
      <c r="AA126" s="344">
        <v>324.5</v>
      </c>
      <c r="AB126" s="344">
        <v>414.2</v>
      </c>
      <c r="AC126" s="344">
        <v>430.4</v>
      </c>
      <c r="AD126" s="344">
        <v>405.1</v>
      </c>
      <c r="AE126" s="344">
        <v>424.4</v>
      </c>
      <c r="AF126" s="344">
        <v>447.1</v>
      </c>
      <c r="AG126" s="344">
        <v>490.4</v>
      </c>
      <c r="AH126" s="344">
        <v>504.1</v>
      </c>
      <c r="AI126" s="344">
        <v>562.1</v>
      </c>
      <c r="AJ126" s="344">
        <v>879.7</v>
      </c>
      <c r="AK126" s="344">
        <v>731.6</v>
      </c>
      <c r="AL126" s="344">
        <v>1309.4000000000001</v>
      </c>
      <c r="AM126" s="344">
        <v>1725.9</v>
      </c>
      <c r="AN126" s="344">
        <v>1469.2</v>
      </c>
      <c r="AO126" s="344">
        <v>874.4</v>
      </c>
      <c r="AP126" s="344">
        <v>1951.9</v>
      </c>
      <c r="AQ126" s="344">
        <v>1884</v>
      </c>
      <c r="AR126" s="344">
        <v>1792.5</v>
      </c>
      <c r="AS126" s="344">
        <v>2196.3000000000002</v>
      </c>
      <c r="AT126" s="344">
        <f t="shared" ref="AT126:AY126" si="47">AT125*AT124/1000</f>
        <v>0</v>
      </c>
      <c r="AU126" s="344">
        <f t="shared" si="47"/>
        <v>0</v>
      </c>
      <c r="AV126" s="344">
        <f t="shared" si="47"/>
        <v>0</v>
      </c>
      <c r="AW126" s="344">
        <f t="shared" si="47"/>
        <v>0</v>
      </c>
      <c r="AX126" s="344">
        <f t="shared" si="47"/>
        <v>0</v>
      </c>
      <c r="AY126" s="365">
        <f t="shared" si="47"/>
        <v>0</v>
      </c>
      <c r="AZ126" s="366">
        <f>AZ125*AZ124/1000</f>
        <v>0</v>
      </c>
      <c r="BA126" s="366">
        <f>AZ126-AY126</f>
        <v>0</v>
      </c>
      <c r="BB126" s="367">
        <f>AY126-AX126</f>
        <v>0</v>
      </c>
      <c r="BC126" s="368">
        <f>AZ126-AX126</f>
        <v>0</v>
      </c>
      <c r="BD126" s="353">
        <f t="shared" si="23"/>
        <v>-1</v>
      </c>
      <c r="BE126" s="309"/>
      <c r="BF126"/>
      <c r="BG126" s="308"/>
    </row>
    <row r="127" spans="1:59" ht="15" customHeight="1">
      <c r="A127" s="320" t="s">
        <v>387</v>
      </c>
      <c r="B127" s="356"/>
      <c r="C127" s="356"/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6"/>
      <c r="Q127" s="356"/>
      <c r="R127" s="356"/>
      <c r="S127" s="356"/>
      <c r="T127" s="356"/>
      <c r="U127" s="356"/>
      <c r="V127" s="356"/>
      <c r="W127" s="356"/>
      <c r="X127" s="356"/>
      <c r="Y127" s="356"/>
      <c r="Z127" s="356"/>
      <c r="AA127" s="356"/>
      <c r="AB127" s="356"/>
      <c r="AC127" s="356"/>
      <c r="AD127" s="356"/>
      <c r="AE127" s="356"/>
      <c r="AF127" s="356"/>
      <c r="AG127" s="356"/>
      <c r="AH127" s="356"/>
      <c r="AI127" s="356"/>
      <c r="AJ127" s="356"/>
      <c r="AK127" s="356"/>
      <c r="AL127" s="356"/>
      <c r="AM127" s="356"/>
      <c r="AN127" s="356"/>
      <c r="AO127" s="356"/>
      <c r="AP127" s="356"/>
      <c r="AQ127" s="356"/>
      <c r="AR127" s="356"/>
      <c r="AS127" s="356"/>
      <c r="AT127" s="328"/>
      <c r="AU127" s="328"/>
      <c r="AV127" s="328"/>
      <c r="AW127" s="328"/>
      <c r="AX127" s="328"/>
      <c r="AY127" s="321"/>
      <c r="AZ127" s="328"/>
      <c r="BA127" s="328"/>
      <c r="BB127" s="321"/>
      <c r="BC127" s="328"/>
      <c r="BD127" s="329"/>
    </row>
    <row r="128" spans="1:59" ht="15" customHeight="1">
      <c r="A128" s="324" t="s">
        <v>352</v>
      </c>
      <c r="B128" s="344">
        <v>0</v>
      </c>
      <c r="C128" s="344"/>
      <c r="D128" s="344"/>
      <c r="E128" s="344"/>
      <c r="F128" s="344"/>
      <c r="G128" s="344"/>
      <c r="H128" s="344"/>
      <c r="I128" s="344"/>
      <c r="J128" s="344"/>
      <c r="K128" s="344"/>
      <c r="L128" s="344"/>
      <c r="M128" s="344"/>
      <c r="N128" s="344"/>
      <c r="O128" s="344"/>
      <c r="P128" s="344"/>
      <c r="Q128" s="344"/>
      <c r="R128" s="344"/>
      <c r="S128" s="344"/>
      <c r="T128" s="344"/>
      <c r="U128" s="344"/>
      <c r="V128" s="344"/>
      <c r="W128" s="344"/>
      <c r="X128" s="344"/>
      <c r="Y128" s="344"/>
      <c r="Z128" s="344"/>
      <c r="AA128" s="344"/>
      <c r="AB128" s="344"/>
      <c r="AC128" s="344"/>
      <c r="AD128" s="344"/>
      <c r="AE128" s="344"/>
      <c r="AF128" s="344"/>
      <c r="AG128" s="344"/>
      <c r="AH128" s="344"/>
      <c r="AI128" s="344"/>
      <c r="AJ128" s="344"/>
      <c r="AK128" s="344"/>
      <c r="AL128" s="344"/>
      <c r="AM128" s="344"/>
      <c r="AN128" s="344"/>
      <c r="AO128" s="344"/>
      <c r="AP128" s="344"/>
      <c r="AQ128" s="344"/>
      <c r="AR128" s="344"/>
      <c r="AS128" s="344">
        <v>0</v>
      </c>
      <c r="AT128" s="344">
        <v>0</v>
      </c>
      <c r="AU128" s="344">
        <v>0</v>
      </c>
      <c r="AV128" s="344">
        <v>0</v>
      </c>
      <c r="AW128" s="344">
        <v>0</v>
      </c>
      <c r="AX128" s="344">
        <v>0</v>
      </c>
      <c r="AY128" s="369">
        <v>0</v>
      </c>
      <c r="AZ128" s="366">
        <v>0</v>
      </c>
      <c r="BA128" s="366">
        <f>AZ128-AY128</f>
        <v>0</v>
      </c>
      <c r="BB128" s="367">
        <f>AY128-AX128</f>
        <v>0</v>
      </c>
      <c r="BC128" s="368">
        <f>AZ128-AX128</f>
        <v>0</v>
      </c>
      <c r="BD128" s="353">
        <f t="shared" si="23"/>
        <v>0</v>
      </c>
      <c r="BF128" s="319" t="b">
        <v>0</v>
      </c>
    </row>
    <row r="129" spans="1:60" ht="15" customHeight="1">
      <c r="A129" s="324" t="s">
        <v>353</v>
      </c>
      <c r="B129" s="345">
        <v>0</v>
      </c>
      <c r="C129" s="345"/>
      <c r="D129" s="345"/>
      <c r="E129" s="345"/>
      <c r="F129" s="345"/>
      <c r="G129" s="345"/>
      <c r="H129" s="345"/>
      <c r="I129" s="345"/>
      <c r="J129" s="345"/>
      <c r="K129" s="345"/>
      <c r="L129" s="345"/>
      <c r="M129" s="345"/>
      <c r="N129" s="345"/>
      <c r="O129" s="345"/>
      <c r="P129" s="345"/>
      <c r="Q129" s="345"/>
      <c r="R129" s="345"/>
      <c r="S129" s="345"/>
      <c r="T129" s="345"/>
      <c r="U129" s="345"/>
      <c r="V129" s="345"/>
      <c r="W129" s="345"/>
      <c r="X129" s="345"/>
      <c r="Y129" s="345"/>
      <c r="Z129" s="345"/>
      <c r="AA129" s="345"/>
      <c r="AB129" s="345"/>
      <c r="AC129" s="345"/>
      <c r="AD129" s="345"/>
      <c r="AE129" s="345"/>
      <c r="AF129" s="345"/>
      <c r="AG129" s="345"/>
      <c r="AH129" s="345"/>
      <c r="AI129" s="345"/>
      <c r="AJ129" s="345"/>
      <c r="AK129" s="345"/>
      <c r="AL129" s="345"/>
      <c r="AM129" s="345"/>
      <c r="AN129" s="345"/>
      <c r="AO129" s="345"/>
      <c r="AP129" s="345"/>
      <c r="AQ129" s="345"/>
      <c r="AR129" s="345"/>
      <c r="AS129" s="345"/>
      <c r="AT129" s="345">
        <v>0</v>
      </c>
      <c r="AU129" s="345">
        <v>0</v>
      </c>
      <c r="AV129" s="345">
        <v>0</v>
      </c>
      <c r="AW129" s="345">
        <v>0</v>
      </c>
      <c r="AX129" s="345">
        <v>0</v>
      </c>
      <c r="AY129" s="346">
        <v>0</v>
      </c>
      <c r="AZ129" s="347">
        <v>0</v>
      </c>
      <c r="BA129" s="347">
        <f>AZ129-AY129</f>
        <v>0</v>
      </c>
      <c r="BB129" s="351">
        <f>AY129-AX129</f>
        <v>0</v>
      </c>
      <c r="BC129" s="352">
        <f>AZ129-AX129</f>
        <v>0</v>
      </c>
      <c r="BD129" s="353">
        <f t="shared" si="23"/>
        <v>0</v>
      </c>
    </row>
    <row r="130" spans="1:60" s="311" customFormat="1" ht="15" customHeight="1" thickBot="1">
      <c r="A130" s="324" t="s">
        <v>354</v>
      </c>
      <c r="B130" s="344">
        <f>B129*B128/1000</f>
        <v>0</v>
      </c>
      <c r="C130" s="344">
        <v>255</v>
      </c>
      <c r="D130" s="344">
        <v>224</v>
      </c>
      <c r="E130" s="344">
        <v>266</v>
      </c>
      <c r="F130" s="344">
        <v>177</v>
      </c>
      <c r="G130" s="344">
        <v>303</v>
      </c>
      <c r="H130" s="344">
        <v>95</v>
      </c>
      <c r="I130" s="344">
        <v>328</v>
      </c>
      <c r="J130" s="344">
        <v>126</v>
      </c>
      <c r="K130" s="344">
        <v>290</v>
      </c>
      <c r="L130" s="344">
        <v>116</v>
      </c>
      <c r="M130" s="344">
        <v>345</v>
      </c>
      <c r="N130" s="344">
        <v>342</v>
      </c>
      <c r="O130" s="344">
        <v>173</v>
      </c>
      <c r="P130" s="344">
        <v>354.7</v>
      </c>
      <c r="Q130" s="344">
        <v>237.2</v>
      </c>
      <c r="R130" s="344">
        <v>197.4</v>
      </c>
      <c r="S130" s="344">
        <v>413.1</v>
      </c>
      <c r="T130" s="344">
        <v>422.5</v>
      </c>
      <c r="U130" s="344">
        <v>455</v>
      </c>
      <c r="V130" s="344">
        <v>362.7</v>
      </c>
      <c r="W130" s="344">
        <v>209.9</v>
      </c>
      <c r="X130" s="344">
        <v>294.10000000000002</v>
      </c>
      <c r="Y130" s="344">
        <v>313.60000000000002</v>
      </c>
      <c r="Z130" s="344">
        <v>310</v>
      </c>
      <c r="AA130" s="344">
        <v>324.5</v>
      </c>
      <c r="AB130" s="344">
        <v>414.2</v>
      </c>
      <c r="AC130" s="344">
        <v>430.4</v>
      </c>
      <c r="AD130" s="344">
        <v>405.1</v>
      </c>
      <c r="AE130" s="344">
        <v>424.4</v>
      </c>
      <c r="AF130" s="344">
        <v>447.1</v>
      </c>
      <c r="AG130" s="344">
        <v>490.4</v>
      </c>
      <c r="AH130" s="344">
        <v>504.1</v>
      </c>
      <c r="AI130" s="344">
        <v>562.1</v>
      </c>
      <c r="AJ130" s="344">
        <v>879.7</v>
      </c>
      <c r="AK130" s="344">
        <v>731.6</v>
      </c>
      <c r="AL130" s="344">
        <v>1309.4000000000001</v>
      </c>
      <c r="AM130" s="344">
        <v>1725.9</v>
      </c>
      <c r="AN130" s="344">
        <v>1469.2</v>
      </c>
      <c r="AO130" s="344">
        <v>874.4</v>
      </c>
      <c r="AP130" s="344">
        <v>1951.9</v>
      </c>
      <c r="AQ130" s="344">
        <v>1884</v>
      </c>
      <c r="AR130" s="344">
        <v>1792.5</v>
      </c>
      <c r="AS130" s="344">
        <v>2196.3000000000002</v>
      </c>
      <c r="AT130" s="344">
        <f t="shared" ref="AT130:AY130" si="48">AT129*AT128/1000</f>
        <v>0</v>
      </c>
      <c r="AU130" s="344">
        <f t="shared" si="48"/>
        <v>0</v>
      </c>
      <c r="AV130" s="344">
        <f t="shared" si="48"/>
        <v>0</v>
      </c>
      <c r="AW130" s="344">
        <f t="shared" si="48"/>
        <v>0</v>
      </c>
      <c r="AX130" s="344">
        <f t="shared" si="48"/>
        <v>0</v>
      </c>
      <c r="AY130" s="365">
        <f t="shared" si="48"/>
        <v>0</v>
      </c>
      <c r="AZ130" s="366">
        <f>AZ129*AZ128/1000</f>
        <v>0</v>
      </c>
      <c r="BA130" s="366">
        <f>AZ130-AY130</f>
        <v>0</v>
      </c>
      <c r="BB130" s="367">
        <f>AY130-AX130</f>
        <v>0</v>
      </c>
      <c r="BC130" s="368">
        <f>AZ130-AX130</f>
        <v>0</v>
      </c>
      <c r="BD130" s="353">
        <f t="shared" si="23"/>
        <v>-1</v>
      </c>
      <c r="BE130" s="309"/>
      <c r="BF130"/>
      <c r="BG130" s="308"/>
      <c r="BH130" s="336">
        <v>0</v>
      </c>
    </row>
    <row r="131" spans="1:60" ht="21.75" thickBot="1">
      <c r="A131" s="337" t="s">
        <v>27</v>
      </c>
      <c r="B131" s="358"/>
      <c r="C131" s="358"/>
      <c r="D131" s="358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  <c r="AA131" s="358"/>
      <c r="AB131" s="358"/>
      <c r="AC131" s="358"/>
      <c r="AD131" s="358"/>
      <c r="AE131" s="358"/>
      <c r="AF131" s="358"/>
      <c r="AG131" s="358"/>
      <c r="AH131" s="358"/>
      <c r="AI131" s="358"/>
      <c r="AJ131" s="358"/>
      <c r="AK131" s="358"/>
      <c r="AL131" s="358"/>
      <c r="AM131" s="358"/>
      <c r="AN131" s="358"/>
      <c r="AO131" s="358"/>
      <c r="AP131" s="358"/>
      <c r="AQ131" s="358"/>
      <c r="AR131" s="358"/>
      <c r="AS131" s="358"/>
      <c r="AT131" s="333"/>
      <c r="AU131" s="333"/>
      <c r="AV131" s="333"/>
      <c r="AW131" s="333"/>
      <c r="AX131" s="333"/>
      <c r="AY131" s="332"/>
      <c r="AZ131" s="333"/>
      <c r="BA131" s="333"/>
      <c r="BB131" s="332"/>
      <c r="BC131" s="333"/>
      <c r="BD131" s="334"/>
      <c r="BF131" s="319" t="b">
        <v>1</v>
      </c>
    </row>
    <row r="132" spans="1:60" ht="15" customHeight="1">
      <c r="A132" s="338" t="s">
        <v>352</v>
      </c>
      <c r="B132" s="344">
        <f>B116+B96+B76+B36+B4</f>
        <v>0</v>
      </c>
      <c r="C132" s="344">
        <f t="shared" ref="C132:AT132" si="49">C116+C96+C76+C36+C4</f>
        <v>0</v>
      </c>
      <c r="D132" s="344">
        <f t="shared" si="49"/>
        <v>0</v>
      </c>
      <c r="E132" s="344">
        <f t="shared" si="49"/>
        <v>0</v>
      </c>
      <c r="F132" s="344">
        <f t="shared" si="49"/>
        <v>0</v>
      </c>
      <c r="G132" s="344">
        <f t="shared" si="49"/>
        <v>0</v>
      </c>
      <c r="H132" s="344">
        <f t="shared" si="49"/>
        <v>0</v>
      </c>
      <c r="I132" s="344">
        <f t="shared" si="49"/>
        <v>0</v>
      </c>
      <c r="J132" s="344">
        <f t="shared" si="49"/>
        <v>0</v>
      </c>
      <c r="K132" s="344">
        <f t="shared" si="49"/>
        <v>0</v>
      </c>
      <c r="L132" s="344">
        <f t="shared" si="49"/>
        <v>0</v>
      </c>
      <c r="M132" s="344">
        <f t="shared" si="49"/>
        <v>0</v>
      </c>
      <c r="N132" s="344">
        <f t="shared" si="49"/>
        <v>0</v>
      </c>
      <c r="O132" s="344">
        <f t="shared" si="49"/>
        <v>0</v>
      </c>
      <c r="P132" s="344">
        <f t="shared" si="49"/>
        <v>0</v>
      </c>
      <c r="Q132" s="344">
        <f t="shared" si="49"/>
        <v>0</v>
      </c>
      <c r="R132" s="344">
        <f t="shared" si="49"/>
        <v>0</v>
      </c>
      <c r="S132" s="344">
        <f t="shared" si="49"/>
        <v>0</v>
      </c>
      <c r="T132" s="344">
        <f t="shared" si="49"/>
        <v>0</v>
      </c>
      <c r="U132" s="344">
        <f t="shared" si="49"/>
        <v>0</v>
      </c>
      <c r="V132" s="344">
        <f t="shared" si="49"/>
        <v>0</v>
      </c>
      <c r="W132" s="344">
        <f t="shared" si="49"/>
        <v>0</v>
      </c>
      <c r="X132" s="344">
        <f t="shared" si="49"/>
        <v>0</v>
      </c>
      <c r="Y132" s="344">
        <f t="shared" si="49"/>
        <v>0</v>
      </c>
      <c r="Z132" s="344">
        <f t="shared" si="49"/>
        <v>0</v>
      </c>
      <c r="AA132" s="344">
        <f t="shared" si="49"/>
        <v>0</v>
      </c>
      <c r="AB132" s="344">
        <f t="shared" si="49"/>
        <v>0</v>
      </c>
      <c r="AC132" s="344">
        <f t="shared" si="49"/>
        <v>0</v>
      </c>
      <c r="AD132" s="344">
        <f t="shared" si="49"/>
        <v>0</v>
      </c>
      <c r="AE132" s="344">
        <f t="shared" si="49"/>
        <v>0</v>
      </c>
      <c r="AF132" s="344">
        <f t="shared" si="49"/>
        <v>0</v>
      </c>
      <c r="AG132" s="344">
        <f t="shared" si="49"/>
        <v>0</v>
      </c>
      <c r="AH132" s="344">
        <f t="shared" si="49"/>
        <v>0</v>
      </c>
      <c r="AI132" s="344">
        <f t="shared" si="49"/>
        <v>0</v>
      </c>
      <c r="AJ132" s="344">
        <f t="shared" si="49"/>
        <v>0</v>
      </c>
      <c r="AK132" s="344">
        <f t="shared" si="49"/>
        <v>0</v>
      </c>
      <c r="AL132" s="344">
        <f t="shared" si="49"/>
        <v>0</v>
      </c>
      <c r="AM132" s="344">
        <f t="shared" si="49"/>
        <v>0</v>
      </c>
      <c r="AN132" s="344">
        <f t="shared" si="49"/>
        <v>0</v>
      </c>
      <c r="AO132" s="344">
        <f t="shared" si="49"/>
        <v>0</v>
      </c>
      <c r="AP132" s="344">
        <f t="shared" si="49"/>
        <v>0</v>
      </c>
      <c r="AQ132" s="344">
        <f t="shared" si="49"/>
        <v>0</v>
      </c>
      <c r="AR132" s="344">
        <f t="shared" si="49"/>
        <v>511</v>
      </c>
      <c r="AS132" s="344">
        <f t="shared" si="49"/>
        <v>535.6</v>
      </c>
      <c r="AT132" s="344">
        <f t="shared" si="49"/>
        <v>595.59999999999991</v>
      </c>
      <c r="AU132" s="344">
        <f>AU116+AU96+AU76+AU36+AU4</f>
        <v>662.09999999999991</v>
      </c>
      <c r="AV132" s="344">
        <f>AV116+AV96+AV76+AV36+AV4</f>
        <v>632.5</v>
      </c>
      <c r="AW132" s="344">
        <f t="shared" ref="AW132:AY132" si="50">AW116+AW96+AW76+AW36+AW4</f>
        <v>650.09999999999991</v>
      </c>
      <c r="AX132" s="344">
        <f t="shared" si="50"/>
        <v>639.4</v>
      </c>
      <c r="AY132" s="369">
        <f t="shared" si="50"/>
        <v>592.09999999999991</v>
      </c>
      <c r="AZ132" s="366">
        <f>AZ116+AZ96+AZ76+AZ36+AZ4</f>
        <v>592.09999999999991</v>
      </c>
      <c r="BA132" s="366">
        <f>AZ132-AY132</f>
        <v>0</v>
      </c>
      <c r="BB132" s="367">
        <f>AY132-AX132</f>
        <v>-47.300000000000068</v>
      </c>
      <c r="BC132" s="368">
        <f>AZ132-AX132</f>
        <v>-47.300000000000068</v>
      </c>
      <c r="BD132" s="353">
        <f t="shared" ref="BD132:BD134" si="51">IFERROR((AX132/AS132)^(1/5)-1,0)</f>
        <v>3.6063592382187037E-2</v>
      </c>
    </row>
    <row r="133" spans="1:60" ht="15" customHeight="1">
      <c r="A133" s="324" t="s">
        <v>353</v>
      </c>
      <c r="B133" s="345">
        <f>IFERROR(B134/B132*1000,0)</f>
        <v>0</v>
      </c>
      <c r="C133" s="345" t="e">
        <f t="shared" ref="C133:AY133" si="52">C134/C132*1000</f>
        <v>#DIV/0!</v>
      </c>
      <c r="D133" s="345" t="e">
        <f t="shared" si="52"/>
        <v>#DIV/0!</v>
      </c>
      <c r="E133" s="345" t="e">
        <f t="shared" si="52"/>
        <v>#DIV/0!</v>
      </c>
      <c r="F133" s="345" t="e">
        <f t="shared" si="52"/>
        <v>#DIV/0!</v>
      </c>
      <c r="G133" s="345" t="e">
        <f t="shared" si="52"/>
        <v>#DIV/0!</v>
      </c>
      <c r="H133" s="345" t="e">
        <f t="shared" si="52"/>
        <v>#DIV/0!</v>
      </c>
      <c r="I133" s="345" t="e">
        <f t="shared" si="52"/>
        <v>#DIV/0!</v>
      </c>
      <c r="J133" s="345" t="e">
        <f t="shared" si="52"/>
        <v>#DIV/0!</v>
      </c>
      <c r="K133" s="345" t="e">
        <f t="shared" si="52"/>
        <v>#DIV/0!</v>
      </c>
      <c r="L133" s="345" t="e">
        <f t="shared" si="52"/>
        <v>#DIV/0!</v>
      </c>
      <c r="M133" s="345" t="e">
        <f t="shared" si="52"/>
        <v>#DIV/0!</v>
      </c>
      <c r="N133" s="345" t="e">
        <f t="shared" si="52"/>
        <v>#DIV/0!</v>
      </c>
      <c r="O133" s="345" t="e">
        <f t="shared" si="52"/>
        <v>#DIV/0!</v>
      </c>
      <c r="P133" s="345" t="e">
        <f t="shared" si="52"/>
        <v>#DIV/0!</v>
      </c>
      <c r="Q133" s="345" t="e">
        <f t="shared" si="52"/>
        <v>#DIV/0!</v>
      </c>
      <c r="R133" s="345" t="e">
        <f t="shared" si="52"/>
        <v>#DIV/0!</v>
      </c>
      <c r="S133" s="345" t="e">
        <f t="shared" si="52"/>
        <v>#DIV/0!</v>
      </c>
      <c r="T133" s="345" t="e">
        <f t="shared" si="52"/>
        <v>#DIV/0!</v>
      </c>
      <c r="U133" s="345" t="e">
        <f t="shared" si="52"/>
        <v>#DIV/0!</v>
      </c>
      <c r="V133" s="345" t="e">
        <f t="shared" si="52"/>
        <v>#DIV/0!</v>
      </c>
      <c r="W133" s="345" t="e">
        <f t="shared" si="52"/>
        <v>#DIV/0!</v>
      </c>
      <c r="X133" s="345" t="e">
        <f t="shared" si="52"/>
        <v>#DIV/0!</v>
      </c>
      <c r="Y133" s="345" t="e">
        <f t="shared" si="52"/>
        <v>#DIV/0!</v>
      </c>
      <c r="Z133" s="345" t="e">
        <f t="shared" si="52"/>
        <v>#DIV/0!</v>
      </c>
      <c r="AA133" s="345" t="e">
        <f t="shared" si="52"/>
        <v>#DIV/0!</v>
      </c>
      <c r="AB133" s="345" t="e">
        <f t="shared" si="52"/>
        <v>#DIV/0!</v>
      </c>
      <c r="AC133" s="345" t="e">
        <f t="shared" si="52"/>
        <v>#DIV/0!</v>
      </c>
      <c r="AD133" s="345" t="e">
        <f t="shared" si="52"/>
        <v>#DIV/0!</v>
      </c>
      <c r="AE133" s="345" t="e">
        <f t="shared" si="52"/>
        <v>#DIV/0!</v>
      </c>
      <c r="AF133" s="345" t="e">
        <f t="shared" si="52"/>
        <v>#DIV/0!</v>
      </c>
      <c r="AG133" s="345" t="e">
        <f t="shared" si="52"/>
        <v>#DIV/0!</v>
      </c>
      <c r="AH133" s="345" t="e">
        <f t="shared" si="52"/>
        <v>#DIV/0!</v>
      </c>
      <c r="AI133" s="345" t="e">
        <f t="shared" si="52"/>
        <v>#DIV/0!</v>
      </c>
      <c r="AJ133" s="345" t="e">
        <f t="shared" si="52"/>
        <v>#DIV/0!</v>
      </c>
      <c r="AK133" s="345" t="e">
        <f t="shared" si="52"/>
        <v>#DIV/0!</v>
      </c>
      <c r="AL133" s="345" t="e">
        <f t="shared" si="52"/>
        <v>#DIV/0!</v>
      </c>
      <c r="AM133" s="345" t="e">
        <f t="shared" si="52"/>
        <v>#DIV/0!</v>
      </c>
      <c r="AN133" s="345" t="e">
        <f t="shared" si="52"/>
        <v>#DIV/0!</v>
      </c>
      <c r="AO133" s="345" t="e">
        <f t="shared" si="52"/>
        <v>#DIV/0!</v>
      </c>
      <c r="AP133" s="345" t="e">
        <f t="shared" si="52"/>
        <v>#DIV/0!</v>
      </c>
      <c r="AQ133" s="345" t="e">
        <f t="shared" si="52"/>
        <v>#DIV/0!</v>
      </c>
      <c r="AR133" s="345">
        <f t="shared" si="52"/>
        <v>81207.827788649694</v>
      </c>
      <c r="AS133" s="345">
        <f t="shared" si="52"/>
        <v>93429.051530993282</v>
      </c>
      <c r="AT133" s="345">
        <f t="shared" si="52"/>
        <v>2734.2956682337144</v>
      </c>
      <c r="AU133" s="345">
        <f t="shared" si="52"/>
        <v>3340.7294970548269</v>
      </c>
      <c r="AV133" s="345">
        <f>AV134/AV132*1000</f>
        <v>3406.205533596838</v>
      </c>
      <c r="AW133" s="345">
        <f t="shared" si="52"/>
        <v>3868.4194739270893</v>
      </c>
      <c r="AX133" s="345">
        <f t="shared" si="52"/>
        <v>4517.056928370348</v>
      </c>
      <c r="AY133" s="346">
        <f t="shared" si="52"/>
        <v>4240.6495524404663</v>
      </c>
      <c r="AZ133" s="347">
        <f>AZ134/AZ132*1000</f>
        <v>4199.9599729775391</v>
      </c>
      <c r="BA133" s="347">
        <f>AZ133-AY133</f>
        <v>-40.689579462927213</v>
      </c>
      <c r="BB133" s="351">
        <f>AY133-AX133</f>
        <v>-276.40737592988171</v>
      </c>
      <c r="BC133" s="352">
        <f>AZ133-AX133</f>
        <v>-317.09695539280892</v>
      </c>
      <c r="BD133" s="353">
        <f t="shared" si="51"/>
        <v>-0.45439954378055047</v>
      </c>
    </row>
    <row r="134" spans="1:60" ht="15" customHeight="1" thickBot="1">
      <c r="A134" s="324" t="s">
        <v>354</v>
      </c>
      <c r="B134" s="344">
        <f>B118+B98+B78+B38+B6</f>
        <v>0</v>
      </c>
      <c r="C134" s="344">
        <f t="shared" ref="C134:AT134" si="53">C118+C98+C78+C38+C6</f>
        <v>5427</v>
      </c>
      <c r="D134" s="344">
        <f t="shared" si="53"/>
        <v>4801</v>
      </c>
      <c r="E134" s="344">
        <f t="shared" si="53"/>
        <v>5974</v>
      </c>
      <c r="F134" s="344">
        <f t="shared" si="53"/>
        <v>4227</v>
      </c>
      <c r="G134" s="344">
        <f t="shared" si="53"/>
        <v>6880</v>
      </c>
      <c r="H134" s="344">
        <f t="shared" si="53"/>
        <v>2485</v>
      </c>
      <c r="I134" s="344">
        <f t="shared" si="53"/>
        <v>7548</v>
      </c>
      <c r="J134" s="344">
        <f t="shared" si="53"/>
        <v>3402</v>
      </c>
      <c r="K134" s="344">
        <f t="shared" si="53"/>
        <v>6946</v>
      </c>
      <c r="L134" s="344">
        <f t="shared" si="53"/>
        <v>3400</v>
      </c>
      <c r="M134" s="344">
        <f t="shared" si="53"/>
        <v>8126</v>
      </c>
      <c r="N134" s="344">
        <f t="shared" si="53"/>
        <v>8147</v>
      </c>
      <c r="O134" s="344">
        <f t="shared" si="53"/>
        <v>4693</v>
      </c>
      <c r="P134" s="344">
        <f t="shared" si="53"/>
        <v>8325.9</v>
      </c>
      <c r="Q134" s="344">
        <f t="shared" si="53"/>
        <v>6333.6</v>
      </c>
      <c r="R134" s="344">
        <f t="shared" si="53"/>
        <v>5745.8</v>
      </c>
      <c r="S134" s="344">
        <f t="shared" si="53"/>
        <v>10595.6</v>
      </c>
      <c r="T134" s="344">
        <f t="shared" si="53"/>
        <v>10755</v>
      </c>
      <c r="U134" s="344">
        <f t="shared" si="53"/>
        <v>11435.6</v>
      </c>
      <c r="V134" s="344">
        <f t="shared" si="53"/>
        <v>9588.4</v>
      </c>
      <c r="W134" s="344">
        <f t="shared" si="53"/>
        <v>5800</v>
      </c>
      <c r="X134" s="344">
        <f t="shared" si="53"/>
        <v>7204.7</v>
      </c>
      <c r="Y134" s="344">
        <f t="shared" si="53"/>
        <v>7637.9</v>
      </c>
      <c r="Z134" s="344">
        <f t="shared" si="53"/>
        <v>7454.3</v>
      </c>
      <c r="AA134" s="344">
        <f t="shared" si="53"/>
        <v>7594.6</v>
      </c>
      <c r="AB134" s="344">
        <f t="shared" si="53"/>
        <v>9430.7000000000007</v>
      </c>
      <c r="AC134" s="344">
        <f t="shared" si="53"/>
        <v>10303.700000000001</v>
      </c>
      <c r="AD134" s="344">
        <f t="shared" si="53"/>
        <v>9734.7999999999993</v>
      </c>
      <c r="AE134" s="344">
        <f t="shared" si="53"/>
        <v>10229.6</v>
      </c>
      <c r="AF134" s="344">
        <f t="shared" si="53"/>
        <v>10780.8</v>
      </c>
      <c r="AG134" s="344">
        <f t="shared" si="53"/>
        <v>12124.2</v>
      </c>
      <c r="AH134" s="344">
        <f t="shared" si="53"/>
        <v>12059.2</v>
      </c>
      <c r="AI134" s="344">
        <f t="shared" si="53"/>
        <v>13500</v>
      </c>
      <c r="AJ134" s="344">
        <f t="shared" si="53"/>
        <v>19712.400000000001</v>
      </c>
      <c r="AK134" s="344">
        <f t="shared" si="53"/>
        <v>17367.2</v>
      </c>
      <c r="AL134" s="344">
        <f t="shared" si="53"/>
        <v>29210.6</v>
      </c>
      <c r="AM134" s="344">
        <f t="shared" si="53"/>
        <v>37256.699999999997</v>
      </c>
      <c r="AN134" s="344">
        <f t="shared" si="53"/>
        <v>33307.200000000004</v>
      </c>
      <c r="AO134" s="344">
        <f t="shared" si="53"/>
        <v>21424.799999999999</v>
      </c>
      <c r="AP134" s="344">
        <f t="shared" si="53"/>
        <v>43853.599999999999</v>
      </c>
      <c r="AQ134" s="344">
        <f t="shared" si="53"/>
        <v>42181</v>
      </c>
      <c r="AR134" s="344">
        <f t="shared" si="53"/>
        <v>41497.199999999997</v>
      </c>
      <c r="AS134" s="344">
        <f t="shared" si="53"/>
        <v>50040.6</v>
      </c>
      <c r="AT134" s="344">
        <f t="shared" si="53"/>
        <v>1628.5465000000002</v>
      </c>
      <c r="AU134" s="344">
        <f>((AU118+AU98+AU78+AU38+AU6)*1000)/1000</f>
        <v>2211.8970000000004</v>
      </c>
      <c r="AV134" s="344">
        <f>((AV118+AV98+AV78+AV38+AV6)*1000)/1000</f>
        <v>2154.4250000000002</v>
      </c>
      <c r="AW134" s="344">
        <f t="shared" ref="AW134:AY134" si="54">((AW118+AW98+AW78+AW38+AW6)*1000)/1000</f>
        <v>2514.8595000000005</v>
      </c>
      <c r="AX134" s="344">
        <f t="shared" si="54"/>
        <v>2888.2062000000001</v>
      </c>
      <c r="AY134" s="365">
        <f t="shared" si="54"/>
        <v>2510.8885999999998</v>
      </c>
      <c r="AZ134" s="366">
        <f>AZ118+AZ98+AZ78+AZ38+AZ6</f>
        <v>2486.7963000000004</v>
      </c>
      <c r="BA134" s="366">
        <f>AZ134-AY134</f>
        <v>-24.092299999999341</v>
      </c>
      <c r="BB134" s="371">
        <f>AY134-AX134</f>
        <v>-377.31760000000031</v>
      </c>
      <c r="BC134" s="372">
        <f>AZ134-AX134</f>
        <v>-401.40989999999965</v>
      </c>
      <c r="BD134" s="359">
        <f t="shared" si="51"/>
        <v>-0.43472323132391699</v>
      </c>
    </row>
    <row r="135" spans="1:60" ht="15" customHeight="1" thickTop="1">
      <c r="A135" s="339" t="s">
        <v>388</v>
      </c>
      <c r="B135" s="340"/>
      <c r="C135" s="340"/>
      <c r="D135" s="340"/>
      <c r="E135" s="340"/>
      <c r="F135" s="340"/>
      <c r="G135" s="340"/>
      <c r="H135" s="340"/>
      <c r="I135" s="340"/>
      <c r="J135" s="340"/>
      <c r="K135" s="340"/>
      <c r="L135" s="340"/>
      <c r="M135" s="340"/>
      <c r="N135" s="340"/>
      <c r="O135" s="340"/>
      <c r="P135" s="340"/>
      <c r="Q135" s="340"/>
      <c r="R135" s="340"/>
      <c r="S135" s="340"/>
      <c r="T135" s="340"/>
      <c r="U135" s="340"/>
      <c r="V135" s="340"/>
      <c r="W135" s="340"/>
      <c r="X135" s="340"/>
      <c r="Y135" s="340"/>
      <c r="Z135" s="340"/>
      <c r="AA135" s="340"/>
      <c r="AB135" s="340"/>
      <c r="AC135" s="340"/>
      <c r="AD135" s="340"/>
      <c r="AE135" s="340"/>
      <c r="AF135" s="340"/>
      <c r="AG135" s="340"/>
      <c r="AH135" s="340"/>
      <c r="AI135" s="340"/>
      <c r="AJ135" s="340"/>
      <c r="AK135" s="340"/>
      <c r="AL135" s="340"/>
      <c r="AM135" s="340"/>
      <c r="AN135" s="340"/>
      <c r="AO135" s="340"/>
      <c r="AP135" s="340"/>
      <c r="AQ135" s="340"/>
      <c r="AR135" s="340"/>
      <c r="AS135" s="341">
        <f>AY132-AS132</f>
        <v>56.499999999999886</v>
      </c>
      <c r="AT135" s="340"/>
      <c r="AU135" s="340"/>
      <c r="AV135" s="340"/>
      <c r="AW135" s="340"/>
      <c r="AX135" s="340"/>
      <c r="AY135" s="340"/>
      <c r="AZ135" s="340"/>
      <c r="BA135" s="340"/>
      <c r="BB135" s="340"/>
      <c r="BC135" s="340"/>
      <c r="BD135" s="340"/>
    </row>
    <row r="136" spans="1:60">
      <c r="A136" s="342"/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  <c r="AA136" s="342"/>
      <c r="AB136" s="342"/>
      <c r="AC136" s="342"/>
      <c r="AD136" s="342"/>
      <c r="AE136" s="342"/>
      <c r="AF136" s="342"/>
      <c r="AG136" s="342"/>
      <c r="AH136" s="342"/>
      <c r="AI136" s="342"/>
      <c r="AJ136" s="342"/>
      <c r="AK136" s="342"/>
      <c r="AL136" s="342"/>
      <c r="AM136" s="342"/>
      <c r="AN136" s="342"/>
      <c r="AO136" s="342"/>
      <c r="AP136" s="342"/>
      <c r="AQ136" s="342"/>
      <c r="AR136" s="342"/>
      <c r="AS136" s="342"/>
      <c r="AT136" s="342"/>
      <c r="AU136" s="342"/>
      <c r="AV136" s="342"/>
      <c r="AW136" s="342"/>
      <c r="AX136" s="342"/>
      <c r="AY136" s="342"/>
      <c r="AZ136" s="342"/>
      <c r="BA136" s="342"/>
      <c r="BB136" s="342"/>
      <c r="BC136" s="342"/>
      <c r="BD136" s="342"/>
    </row>
    <row r="137" spans="1:60">
      <c r="A137" s="342"/>
      <c r="B137" s="342"/>
      <c r="C137" s="342"/>
      <c r="D137" s="342"/>
      <c r="E137" s="342"/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P137" s="342"/>
      <c r="Q137" s="342"/>
      <c r="R137" s="342"/>
      <c r="S137" s="342"/>
      <c r="T137" s="342"/>
      <c r="U137" s="342"/>
      <c r="V137" s="342"/>
      <c r="W137" s="342"/>
      <c r="X137" s="342"/>
      <c r="Y137" s="342"/>
      <c r="Z137" s="342"/>
      <c r="AA137" s="342"/>
      <c r="AB137" s="342"/>
      <c r="AC137" s="342"/>
      <c r="AD137" s="342"/>
      <c r="AE137" s="342"/>
      <c r="AF137" s="342"/>
      <c r="AG137" s="342"/>
      <c r="AH137" s="342"/>
      <c r="AI137" s="342"/>
      <c r="AJ137" s="342"/>
      <c r="AK137" s="342"/>
      <c r="AL137" s="342"/>
      <c r="AM137" s="342"/>
      <c r="AN137" s="342"/>
      <c r="AO137" s="342"/>
      <c r="AP137" s="342"/>
      <c r="AQ137" s="342"/>
      <c r="AR137" s="342"/>
      <c r="AS137" s="342"/>
      <c r="AT137" s="342"/>
      <c r="AU137" s="342"/>
      <c r="AV137" s="342"/>
      <c r="AW137" s="342"/>
      <c r="AX137" s="342"/>
      <c r="AY137" s="342"/>
      <c r="AZ137" s="342"/>
      <c r="BA137" s="342"/>
      <c r="BB137" s="342"/>
      <c r="BC137" s="342"/>
      <c r="BD137" s="342"/>
    </row>
    <row r="138" spans="1:60">
      <c r="BD138" s="343"/>
    </row>
    <row r="139" spans="1:60">
      <c r="BD139" s="343"/>
    </row>
    <row r="140" spans="1:60">
      <c r="BD140" s="343"/>
    </row>
    <row r="141" spans="1:60">
      <c r="BD141" s="343"/>
    </row>
    <row r="142" spans="1:60">
      <c r="BD142" s="343"/>
    </row>
    <row r="143" spans="1:60">
      <c r="BD143" s="343"/>
    </row>
    <row r="144" spans="1:60">
      <c r="BD144" s="343"/>
    </row>
    <row r="145" spans="54:56">
      <c r="BD145" s="343"/>
    </row>
    <row r="146" spans="54:56">
      <c r="BD146" s="343"/>
    </row>
    <row r="147" spans="54:56">
      <c r="BB147" s="343"/>
      <c r="BC147" s="343"/>
      <c r="BD147" s="343"/>
    </row>
    <row r="148" spans="54:56">
      <c r="BB148" s="343"/>
      <c r="BC148" s="343"/>
      <c r="BD148" s="343"/>
    </row>
    <row r="149" spans="54:56">
      <c r="BB149" s="343"/>
      <c r="BC149" s="343"/>
      <c r="BD149" s="343"/>
    </row>
    <row r="150" spans="54:56">
      <c r="BB150" s="343"/>
      <c r="BC150" s="343"/>
      <c r="BD150" s="343"/>
    </row>
    <row r="151" spans="54:56">
      <c r="BB151" s="343"/>
      <c r="BC151" s="343"/>
      <c r="BD151" s="343"/>
    </row>
    <row r="152" spans="54:56">
      <c r="BB152" s="343"/>
      <c r="BC152" s="343"/>
      <c r="BD152" s="343"/>
    </row>
    <row r="153" spans="54:56">
      <c r="BB153" s="343"/>
      <c r="BC153" s="343"/>
      <c r="BD153" s="343"/>
    </row>
    <row r="154" spans="54:56">
      <c r="BB154" s="343"/>
      <c r="BC154" s="343"/>
      <c r="BD154" s="343"/>
    </row>
    <row r="155" spans="54:56">
      <c r="BB155" s="343"/>
      <c r="BC155" s="343"/>
      <c r="BD155" s="343"/>
    </row>
    <row r="156" spans="54:56">
      <c r="BB156" s="343"/>
      <c r="BC156" s="343"/>
      <c r="BD156" s="343"/>
    </row>
    <row r="157" spans="54:56">
      <c r="BB157" s="343"/>
      <c r="BC157" s="343"/>
      <c r="BD157" s="343"/>
    </row>
    <row r="158" spans="54:56">
      <c r="BB158" s="343"/>
      <c r="BC158" s="343"/>
      <c r="BD158" s="343"/>
    </row>
    <row r="159" spans="54:56">
      <c r="BB159" s="343"/>
      <c r="BC159" s="343"/>
      <c r="BD159" s="343"/>
    </row>
    <row r="160" spans="54:56">
      <c r="BB160" s="343"/>
      <c r="BC160" s="343"/>
      <c r="BD160" s="343"/>
    </row>
    <row r="161" spans="54:56">
      <c r="BB161" s="343"/>
      <c r="BC161" s="343"/>
      <c r="BD161" s="343"/>
    </row>
    <row r="162" spans="54:56">
      <c r="BB162" s="343"/>
      <c r="BC162" s="343"/>
      <c r="BD162" s="343"/>
    </row>
    <row r="163" spans="54:56">
      <c r="BB163" s="343"/>
      <c r="BC163" s="343"/>
      <c r="BD163" s="343"/>
    </row>
    <row r="164" spans="54:56">
      <c r="BB164" s="343"/>
      <c r="BC164" s="343"/>
      <c r="BD164" s="343"/>
    </row>
    <row r="165" spans="54:56">
      <c r="BB165" s="343"/>
      <c r="BC165" s="343"/>
      <c r="BD165" s="343"/>
    </row>
    <row r="166" spans="54:56">
      <c r="BB166" s="343"/>
      <c r="BC166" s="343"/>
      <c r="BD166" s="343"/>
    </row>
    <row r="167" spans="54:56">
      <c r="BB167" s="343"/>
      <c r="BC167" s="343"/>
      <c r="BD167" s="343"/>
    </row>
    <row r="168" spans="54:56">
      <c r="BB168" s="343"/>
      <c r="BC168" s="343"/>
      <c r="BD168" s="343"/>
    </row>
    <row r="169" spans="54:56">
      <c r="BB169" s="343"/>
      <c r="BC169" s="343"/>
      <c r="BD169" s="343"/>
    </row>
    <row r="170" spans="54:56">
      <c r="BB170" s="343"/>
      <c r="BC170" s="343"/>
      <c r="BD170" s="343"/>
    </row>
    <row r="171" spans="54:56">
      <c r="BB171" s="343"/>
      <c r="BC171" s="343"/>
      <c r="BD171" s="343"/>
    </row>
    <row r="172" spans="54:56">
      <c r="BB172" s="343"/>
      <c r="BC172" s="343"/>
      <c r="BD172" s="343"/>
    </row>
    <row r="173" spans="54:56">
      <c r="BB173" s="343"/>
      <c r="BC173" s="343"/>
      <c r="BD173" s="343"/>
    </row>
    <row r="174" spans="54:56">
      <c r="BB174" s="343"/>
      <c r="BC174" s="343"/>
      <c r="BD174" s="343"/>
    </row>
    <row r="175" spans="54:56">
      <c r="BB175" s="343"/>
      <c r="BC175" s="343"/>
      <c r="BD175" s="343"/>
    </row>
    <row r="176" spans="54:56">
      <c r="BB176" s="343"/>
      <c r="BC176" s="343"/>
      <c r="BD176" s="343"/>
    </row>
    <row r="177" spans="54:56">
      <c r="BB177" s="343"/>
      <c r="BC177" s="343"/>
      <c r="BD177" s="343"/>
    </row>
    <row r="178" spans="54:56">
      <c r="BB178" s="343"/>
      <c r="BC178" s="343"/>
      <c r="BD178" s="343"/>
    </row>
    <row r="179" spans="54:56"/>
    <row r="180" spans="54:56"/>
    <row r="181" spans="54:56"/>
    <row r="182" spans="54:56"/>
    <row r="183" spans="54:56"/>
    <row r="184" spans="54:56"/>
    <row r="185" spans="54:56"/>
    <row r="186" spans="54:56"/>
    <row r="187" spans="54:56"/>
    <row r="188" spans="54:56"/>
    <row r="189" spans="54:56"/>
    <row r="190" spans="54:56"/>
    <row r="191" spans="54:56"/>
    <row r="192" spans="54:56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mergeCells count="6">
    <mergeCell ref="BF1:BF3"/>
    <mergeCell ref="AY2:BA2"/>
    <mergeCell ref="BB1:BB3"/>
    <mergeCell ref="BC1:BC3"/>
    <mergeCell ref="BD1:BD3"/>
    <mergeCell ref="BE1:BE3"/>
  </mergeCells>
  <pageMargins left="0.7" right="0.7" top="0.75" bottom="0.75" header="0" footer="0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 xr2:uid="{B56242D8-8425-4EF3-B59C-D4B07C9BE939}">
          <x14:colorSeries rgb="FF376092"/>
          <x14:sparklines>
            <x14:sparkline>
              <xm:f>'BZ by State 3rd Crop'!Y4:AY4</xm:f>
              <xm:sqref>BE4</xm:sqref>
            </x14:sparkline>
            <x14:sparkline>
              <xm:f>'BZ by State 3rd Crop'!Y5:AY5</xm:f>
              <xm:sqref>BE5</xm:sqref>
            </x14:sparkline>
            <x14:sparkline>
              <xm:f>'BZ by State 3rd Crop'!Y6:AY6</xm:f>
              <xm:sqref>BE6</xm:sqref>
            </x14:sparkline>
            <x14:sparkline>
              <xm:f>'BZ by State 3rd Crop'!Y7:AY7</xm:f>
              <xm:sqref>BE7</xm:sqref>
            </x14:sparkline>
            <x14:sparkline>
              <xm:f>'BZ by State 3rd Crop'!Y8:AY8</xm:f>
              <xm:sqref>BE8</xm:sqref>
            </x14:sparkline>
            <x14:sparkline>
              <xm:f>'BZ by State 3rd Crop'!Y9:AY9</xm:f>
              <xm:sqref>BE9</xm:sqref>
            </x14:sparkline>
            <x14:sparkline>
              <xm:f>'BZ by State 3rd Crop'!Y10:AY10</xm:f>
              <xm:sqref>BE10</xm:sqref>
            </x14:sparkline>
            <x14:sparkline>
              <xm:f>'BZ by State 3rd Crop'!Y11:AY11</xm:f>
              <xm:sqref>BE11</xm:sqref>
            </x14:sparkline>
            <x14:sparkline>
              <xm:f>'BZ by State 3rd Crop'!Y12:AY12</xm:f>
              <xm:sqref>BE12</xm:sqref>
            </x14:sparkline>
            <x14:sparkline>
              <xm:f>'BZ by State 3rd Crop'!Y13:AY13</xm:f>
              <xm:sqref>BE13</xm:sqref>
            </x14:sparkline>
            <x14:sparkline>
              <xm:f>'BZ by State 3rd Crop'!Y14:AY14</xm:f>
              <xm:sqref>BE14</xm:sqref>
            </x14:sparkline>
            <x14:sparkline>
              <xm:f>'BZ by State 3rd Crop'!Y15:AY15</xm:f>
              <xm:sqref>BE15</xm:sqref>
            </x14:sparkline>
            <x14:sparkline>
              <xm:f>'BZ by State 3rd Crop'!Y16:AY16</xm:f>
              <xm:sqref>BE16</xm:sqref>
            </x14:sparkline>
            <x14:sparkline>
              <xm:f>'BZ by State 3rd Crop'!Y17:AY17</xm:f>
              <xm:sqref>BE17</xm:sqref>
            </x14:sparkline>
            <x14:sparkline>
              <xm:f>'BZ by State 3rd Crop'!Y18:AY18</xm:f>
              <xm:sqref>BE18</xm:sqref>
            </x14:sparkline>
            <x14:sparkline>
              <xm:f>'BZ by State 3rd Crop'!Y19:AY19</xm:f>
              <xm:sqref>BE19</xm:sqref>
            </x14:sparkline>
            <x14:sparkline>
              <xm:f>'BZ by State 3rd Crop'!Y20:AY20</xm:f>
              <xm:sqref>BE20</xm:sqref>
            </x14:sparkline>
            <x14:sparkline>
              <xm:f>'BZ by State 3rd Crop'!Y21:AY21</xm:f>
              <xm:sqref>BE21</xm:sqref>
            </x14:sparkline>
            <x14:sparkline>
              <xm:f>'BZ by State 3rd Crop'!Y22:AY22</xm:f>
              <xm:sqref>BE22</xm:sqref>
            </x14:sparkline>
            <x14:sparkline>
              <xm:f>'BZ by State 3rd Crop'!Y23:AY23</xm:f>
              <xm:sqref>BE23</xm:sqref>
            </x14:sparkline>
            <x14:sparkline>
              <xm:f>'BZ by State 3rd Crop'!Y24:AY24</xm:f>
              <xm:sqref>BE24</xm:sqref>
            </x14:sparkline>
            <x14:sparkline>
              <xm:f>'BZ by State 3rd Crop'!Y25:AY25</xm:f>
              <xm:sqref>BE25</xm:sqref>
            </x14:sparkline>
            <x14:sparkline>
              <xm:f>'BZ by State 3rd Crop'!Y26:AY26</xm:f>
              <xm:sqref>BE26</xm:sqref>
            </x14:sparkline>
            <x14:sparkline>
              <xm:f>'BZ by State 3rd Crop'!Y27:AY27</xm:f>
              <xm:sqref>BE27</xm:sqref>
            </x14:sparkline>
            <x14:sparkline>
              <xm:f>'BZ by State 3rd Crop'!Y28:AY28</xm:f>
              <xm:sqref>BE28</xm:sqref>
            </x14:sparkline>
            <x14:sparkline>
              <xm:f>'BZ by State 3rd Crop'!Y29:AY29</xm:f>
              <xm:sqref>BE29</xm:sqref>
            </x14:sparkline>
            <x14:sparkline>
              <xm:f>'BZ by State 3rd Crop'!Y30:AY30</xm:f>
              <xm:sqref>BE30</xm:sqref>
            </x14:sparkline>
            <x14:sparkline>
              <xm:f>'BZ by State 3rd Crop'!Y31:AY31</xm:f>
              <xm:sqref>BE31</xm:sqref>
            </x14:sparkline>
            <x14:sparkline>
              <xm:f>'BZ by State 3rd Crop'!Y32:AY32</xm:f>
              <xm:sqref>BE32</xm:sqref>
            </x14:sparkline>
            <x14:sparkline>
              <xm:f>'BZ by State 3rd Crop'!Y33:AY33</xm:f>
              <xm:sqref>BE33</xm:sqref>
            </x14:sparkline>
            <x14:sparkline>
              <xm:f>'BZ by State 3rd Crop'!Y34:AY34</xm:f>
              <xm:sqref>BE34</xm:sqref>
            </x14:sparkline>
            <x14:sparkline>
              <xm:f>'BZ by State 3rd Crop'!Y35:AY35</xm:f>
              <xm:sqref>BE35</xm:sqref>
            </x14:sparkline>
            <x14:sparkline>
              <xm:f>'BZ by State 3rd Crop'!Y36:AY36</xm:f>
              <xm:sqref>BE36</xm:sqref>
            </x14:sparkline>
            <x14:sparkline>
              <xm:f>'BZ by State 3rd Crop'!Y37:AY37</xm:f>
              <xm:sqref>BE37</xm:sqref>
            </x14:sparkline>
            <x14:sparkline>
              <xm:f>'BZ by State 3rd Crop'!Y38:AY38</xm:f>
              <xm:sqref>BE38</xm:sqref>
            </x14:sparkline>
            <x14:sparkline>
              <xm:f>'BZ by State 3rd Crop'!Y39:AY39</xm:f>
              <xm:sqref>BE39</xm:sqref>
            </x14:sparkline>
            <x14:sparkline>
              <xm:f>'BZ by State 3rd Crop'!Y40:AY40</xm:f>
              <xm:sqref>BE40</xm:sqref>
            </x14:sparkline>
            <x14:sparkline>
              <xm:f>'BZ by State 3rd Crop'!Y41:AY41</xm:f>
              <xm:sqref>BE41</xm:sqref>
            </x14:sparkline>
            <x14:sparkline>
              <xm:f>'BZ by State 3rd Crop'!Y42:AY42</xm:f>
              <xm:sqref>BE42</xm:sqref>
            </x14:sparkline>
            <x14:sparkline>
              <xm:f>'BZ by State 3rd Crop'!Y43:AY43</xm:f>
              <xm:sqref>BE43</xm:sqref>
            </x14:sparkline>
            <x14:sparkline>
              <xm:f>'BZ by State 3rd Crop'!Y44:AY44</xm:f>
              <xm:sqref>BE44</xm:sqref>
            </x14:sparkline>
            <x14:sparkline>
              <xm:f>'BZ by State 3rd Crop'!Y45:AY45</xm:f>
              <xm:sqref>BE45</xm:sqref>
            </x14:sparkline>
            <x14:sparkline>
              <xm:f>'BZ by State 3rd Crop'!Y46:AY46</xm:f>
              <xm:sqref>BE46</xm:sqref>
            </x14:sparkline>
            <x14:sparkline>
              <xm:f>'BZ by State 3rd Crop'!Y47:AY47</xm:f>
              <xm:sqref>BE47</xm:sqref>
            </x14:sparkline>
            <x14:sparkline>
              <xm:f>'BZ by State 3rd Crop'!Y48:AY48</xm:f>
              <xm:sqref>BE48</xm:sqref>
            </x14:sparkline>
            <x14:sparkline>
              <xm:f>'BZ by State 3rd Crop'!Y49:AY49</xm:f>
              <xm:sqref>BE49</xm:sqref>
            </x14:sparkline>
            <x14:sparkline>
              <xm:f>'BZ by State 3rd Crop'!Y50:AY50</xm:f>
              <xm:sqref>BE50</xm:sqref>
            </x14:sparkline>
            <x14:sparkline>
              <xm:f>'BZ by State 3rd Crop'!Y51:AY51</xm:f>
              <xm:sqref>BE51</xm:sqref>
            </x14:sparkline>
            <x14:sparkline>
              <xm:f>'BZ by State 3rd Crop'!Y52:AY52</xm:f>
              <xm:sqref>BE52</xm:sqref>
            </x14:sparkline>
            <x14:sparkline>
              <xm:f>'BZ by State 3rd Crop'!Y53:AY53</xm:f>
              <xm:sqref>BE53</xm:sqref>
            </x14:sparkline>
            <x14:sparkline>
              <xm:f>'BZ by State 3rd Crop'!Y54:AY54</xm:f>
              <xm:sqref>BE54</xm:sqref>
            </x14:sparkline>
            <x14:sparkline>
              <xm:f>'BZ by State 3rd Crop'!Y55:AY55</xm:f>
              <xm:sqref>BE55</xm:sqref>
            </x14:sparkline>
            <x14:sparkline>
              <xm:f>'BZ by State 3rd Crop'!Y56:AY56</xm:f>
              <xm:sqref>BE56</xm:sqref>
            </x14:sparkline>
            <x14:sparkline>
              <xm:f>'BZ by State 3rd Crop'!Y57:AY57</xm:f>
              <xm:sqref>BE57</xm:sqref>
            </x14:sparkline>
            <x14:sparkline>
              <xm:f>'BZ by State 3rd Crop'!Y58:AY58</xm:f>
              <xm:sqref>BE58</xm:sqref>
            </x14:sparkline>
            <x14:sparkline>
              <xm:f>'BZ by State 3rd Crop'!Y59:AY59</xm:f>
              <xm:sqref>BE59</xm:sqref>
            </x14:sparkline>
            <x14:sparkline>
              <xm:f>'BZ by State 3rd Crop'!Y60:AY60</xm:f>
              <xm:sqref>BE60</xm:sqref>
            </x14:sparkline>
            <x14:sparkline>
              <xm:f>'BZ by State 3rd Crop'!Y61:AY61</xm:f>
              <xm:sqref>BE61</xm:sqref>
            </x14:sparkline>
            <x14:sparkline>
              <xm:f>'BZ by State 3rd Crop'!Y62:AY62</xm:f>
              <xm:sqref>BE62</xm:sqref>
            </x14:sparkline>
            <x14:sparkline>
              <xm:f>'BZ by State 3rd Crop'!Y63:AY63</xm:f>
              <xm:sqref>BE63</xm:sqref>
            </x14:sparkline>
            <x14:sparkline>
              <xm:f>'BZ by State 3rd Crop'!Y64:AY64</xm:f>
              <xm:sqref>BE64</xm:sqref>
            </x14:sparkline>
            <x14:sparkline>
              <xm:f>'BZ by State 3rd Crop'!Y65:AY65</xm:f>
              <xm:sqref>BE65</xm:sqref>
            </x14:sparkline>
            <x14:sparkline>
              <xm:f>'BZ by State 3rd Crop'!Y66:AY66</xm:f>
              <xm:sqref>BE66</xm:sqref>
            </x14:sparkline>
            <x14:sparkline>
              <xm:f>'BZ by State 3rd Crop'!Y67:AY67</xm:f>
              <xm:sqref>BE67</xm:sqref>
            </x14:sparkline>
            <x14:sparkline>
              <xm:f>'BZ by State 3rd Crop'!Y68:AY68</xm:f>
              <xm:sqref>BE68</xm:sqref>
            </x14:sparkline>
            <x14:sparkline>
              <xm:f>'BZ by State 3rd Crop'!Y69:AY69</xm:f>
              <xm:sqref>BE69</xm:sqref>
            </x14:sparkline>
            <x14:sparkline>
              <xm:f>'BZ by State 3rd Crop'!Y70:AY70</xm:f>
              <xm:sqref>BE70</xm:sqref>
            </x14:sparkline>
            <x14:sparkline>
              <xm:f>'BZ by State 3rd Crop'!Y71:AY71</xm:f>
              <xm:sqref>BE71</xm:sqref>
            </x14:sparkline>
            <x14:sparkline>
              <xm:f>'BZ by State 3rd Crop'!Y72:AY72</xm:f>
              <xm:sqref>BE72</xm:sqref>
            </x14:sparkline>
            <x14:sparkline>
              <xm:f>'BZ by State 3rd Crop'!Y73:AY73</xm:f>
              <xm:sqref>BE73</xm:sqref>
            </x14:sparkline>
            <x14:sparkline>
              <xm:f>'BZ by State 3rd Crop'!Y74:AY74</xm:f>
              <xm:sqref>BE74</xm:sqref>
            </x14:sparkline>
            <x14:sparkline>
              <xm:f>'BZ by State 3rd Crop'!Y75:AY75</xm:f>
              <xm:sqref>BE75</xm:sqref>
            </x14:sparkline>
            <x14:sparkline>
              <xm:f>'BZ by State 3rd Crop'!Y76:AY76</xm:f>
              <xm:sqref>BE76</xm:sqref>
            </x14:sparkline>
            <x14:sparkline>
              <xm:f>'BZ by State 3rd Crop'!Y77:AY77</xm:f>
              <xm:sqref>BE77</xm:sqref>
            </x14:sparkline>
            <x14:sparkline>
              <xm:f>'BZ by State 3rd Crop'!Y78:AY78</xm:f>
              <xm:sqref>BE78</xm:sqref>
            </x14:sparkline>
            <x14:sparkline>
              <xm:f>'BZ by State 3rd Crop'!Y79:AY79</xm:f>
              <xm:sqref>BE79</xm:sqref>
            </x14:sparkline>
            <x14:sparkline>
              <xm:f>'BZ by State 3rd Crop'!Y80:AY80</xm:f>
              <xm:sqref>BE80</xm:sqref>
            </x14:sparkline>
            <x14:sparkline>
              <xm:f>'BZ by State 3rd Crop'!Y81:AY81</xm:f>
              <xm:sqref>BE81</xm:sqref>
            </x14:sparkline>
            <x14:sparkline>
              <xm:f>'BZ by State 3rd Crop'!Y82:AY82</xm:f>
              <xm:sqref>BE82</xm:sqref>
            </x14:sparkline>
            <x14:sparkline>
              <xm:f>'BZ by State 3rd Crop'!Y83:AY83</xm:f>
              <xm:sqref>BE83</xm:sqref>
            </x14:sparkline>
            <x14:sparkline>
              <xm:f>'BZ by State 3rd Crop'!Y84:AY84</xm:f>
              <xm:sqref>BE84</xm:sqref>
            </x14:sparkline>
            <x14:sparkline>
              <xm:f>'BZ by State 3rd Crop'!Y85:AY85</xm:f>
              <xm:sqref>BE85</xm:sqref>
            </x14:sparkline>
            <x14:sparkline>
              <xm:f>'BZ by State 3rd Crop'!Y86:AY86</xm:f>
              <xm:sqref>BE86</xm:sqref>
            </x14:sparkline>
            <x14:sparkline>
              <xm:f>'BZ by State 3rd Crop'!Y87:AY87</xm:f>
              <xm:sqref>BE87</xm:sqref>
            </x14:sparkline>
            <x14:sparkline>
              <xm:f>'BZ by State 3rd Crop'!Y88:AY88</xm:f>
              <xm:sqref>BE88</xm:sqref>
            </x14:sparkline>
            <x14:sparkline>
              <xm:f>'BZ by State 3rd Crop'!Y89:AY89</xm:f>
              <xm:sqref>BE89</xm:sqref>
            </x14:sparkline>
            <x14:sparkline>
              <xm:f>'BZ by State 3rd Crop'!Y90:AY90</xm:f>
              <xm:sqref>BE90</xm:sqref>
            </x14:sparkline>
            <x14:sparkline>
              <xm:f>'BZ by State 3rd Crop'!Y91:AY91</xm:f>
              <xm:sqref>BE91</xm:sqref>
            </x14:sparkline>
            <x14:sparkline>
              <xm:f>'BZ by State 3rd Crop'!Y92:AY92</xm:f>
              <xm:sqref>BE92</xm:sqref>
            </x14:sparkline>
            <x14:sparkline>
              <xm:f>'BZ by State 3rd Crop'!Y93:AY93</xm:f>
              <xm:sqref>BE93</xm:sqref>
            </x14:sparkline>
            <x14:sparkline>
              <xm:f>'BZ by State 3rd Crop'!Y94:AY94</xm:f>
              <xm:sqref>BE94</xm:sqref>
            </x14:sparkline>
            <x14:sparkline>
              <xm:f>'BZ by State 3rd Crop'!Y95:AY95</xm:f>
              <xm:sqref>BE95</xm:sqref>
            </x14:sparkline>
            <x14:sparkline>
              <xm:f>'BZ by State 3rd Crop'!Y96:AY96</xm:f>
              <xm:sqref>BE96</xm:sqref>
            </x14:sparkline>
            <x14:sparkline>
              <xm:f>'BZ by State 3rd Crop'!Y97:AY97</xm:f>
              <xm:sqref>BE97</xm:sqref>
            </x14:sparkline>
            <x14:sparkline>
              <xm:f>'BZ by State 3rd Crop'!Y98:AY98</xm:f>
              <xm:sqref>BE98</xm:sqref>
            </x14:sparkline>
            <x14:sparkline>
              <xm:f>'BZ by State 3rd Crop'!Y99:AY99</xm:f>
              <xm:sqref>BE99</xm:sqref>
            </x14:sparkline>
            <x14:sparkline>
              <xm:f>'BZ by State 3rd Crop'!Y100:AY100</xm:f>
              <xm:sqref>BE100</xm:sqref>
            </x14:sparkline>
            <x14:sparkline>
              <xm:f>'BZ by State 3rd Crop'!Y101:AY101</xm:f>
              <xm:sqref>BE101</xm:sqref>
            </x14:sparkline>
            <x14:sparkline>
              <xm:f>'BZ by State 3rd Crop'!Y102:AY102</xm:f>
              <xm:sqref>BE102</xm:sqref>
            </x14:sparkline>
            <x14:sparkline>
              <xm:f>'BZ by State 3rd Crop'!Y103:AY103</xm:f>
              <xm:sqref>BE103</xm:sqref>
            </x14:sparkline>
            <x14:sparkline>
              <xm:f>'BZ by State 3rd Crop'!Y104:AY104</xm:f>
              <xm:sqref>BE104</xm:sqref>
            </x14:sparkline>
            <x14:sparkline>
              <xm:f>'BZ by State 3rd Crop'!Y105:AY105</xm:f>
              <xm:sqref>BE105</xm:sqref>
            </x14:sparkline>
            <x14:sparkline>
              <xm:f>'BZ by State 3rd Crop'!Y106:AY106</xm:f>
              <xm:sqref>BE106</xm:sqref>
            </x14:sparkline>
            <x14:sparkline>
              <xm:f>'BZ by State 3rd Crop'!Y107:AY107</xm:f>
              <xm:sqref>BE107</xm:sqref>
            </x14:sparkline>
            <x14:sparkline>
              <xm:f>'BZ by State 3rd Crop'!Y108:AY108</xm:f>
              <xm:sqref>BE108</xm:sqref>
            </x14:sparkline>
            <x14:sparkline>
              <xm:f>'BZ by State 3rd Crop'!Y109:AY109</xm:f>
              <xm:sqref>BE109</xm:sqref>
            </x14:sparkline>
            <x14:sparkline>
              <xm:f>'BZ by State 3rd Crop'!Y110:AY110</xm:f>
              <xm:sqref>BE110</xm:sqref>
            </x14:sparkline>
            <x14:sparkline>
              <xm:f>'BZ by State 3rd Crop'!Y111:AY111</xm:f>
              <xm:sqref>BE111</xm:sqref>
            </x14:sparkline>
            <x14:sparkline>
              <xm:f>'BZ by State 3rd Crop'!Y112:AY112</xm:f>
              <xm:sqref>BE112</xm:sqref>
            </x14:sparkline>
            <x14:sparkline>
              <xm:f>'BZ by State 3rd Crop'!Y113:AY113</xm:f>
              <xm:sqref>BE113</xm:sqref>
            </x14:sparkline>
            <x14:sparkline>
              <xm:f>'BZ by State 3rd Crop'!Y114:AY114</xm:f>
              <xm:sqref>BE114</xm:sqref>
            </x14:sparkline>
            <x14:sparkline>
              <xm:f>'BZ by State 3rd Crop'!Y115:AY115</xm:f>
              <xm:sqref>BE115</xm:sqref>
            </x14:sparkline>
            <x14:sparkline>
              <xm:f>'BZ by State 3rd Crop'!Y116:AY116</xm:f>
              <xm:sqref>BE116</xm:sqref>
            </x14:sparkline>
            <x14:sparkline>
              <xm:f>'BZ by State 3rd Crop'!Y117:AY117</xm:f>
              <xm:sqref>BE117</xm:sqref>
            </x14:sparkline>
            <x14:sparkline>
              <xm:f>'BZ by State 3rd Crop'!Y118:AY118</xm:f>
              <xm:sqref>BE118</xm:sqref>
            </x14:sparkline>
            <x14:sparkline>
              <xm:f>'BZ by State 3rd Crop'!Y119:AY119</xm:f>
              <xm:sqref>BE119</xm:sqref>
            </x14:sparkline>
            <x14:sparkline>
              <xm:f>'BZ by State 3rd Crop'!Y120:AY120</xm:f>
              <xm:sqref>BE120</xm:sqref>
            </x14:sparkline>
            <x14:sparkline>
              <xm:f>'BZ by State 3rd Crop'!Y121:AY121</xm:f>
              <xm:sqref>BE121</xm:sqref>
            </x14:sparkline>
            <x14:sparkline>
              <xm:f>'BZ by State 3rd Crop'!Y122:AY122</xm:f>
              <xm:sqref>BE122</xm:sqref>
            </x14:sparkline>
            <x14:sparkline>
              <xm:f>'BZ by State 3rd Crop'!Y123:AY123</xm:f>
              <xm:sqref>BE123</xm:sqref>
            </x14:sparkline>
            <x14:sparkline>
              <xm:f>'BZ by State 3rd Crop'!Y124:AY124</xm:f>
              <xm:sqref>BE124</xm:sqref>
            </x14:sparkline>
            <x14:sparkline>
              <xm:f>'BZ by State 3rd Crop'!Y125:AY125</xm:f>
              <xm:sqref>BE125</xm:sqref>
            </x14:sparkline>
            <x14:sparkline>
              <xm:f>'BZ by State 3rd Crop'!Y126:AY126</xm:f>
              <xm:sqref>BE126</xm:sqref>
            </x14:sparkline>
            <x14:sparkline>
              <xm:f>'BZ by State 3rd Crop'!Y127:AY127</xm:f>
              <xm:sqref>BE127</xm:sqref>
            </x14:sparkline>
            <x14:sparkline>
              <xm:f>'BZ by State 3rd Crop'!Y128:AY128</xm:f>
              <xm:sqref>BE128</xm:sqref>
            </x14:sparkline>
            <x14:sparkline>
              <xm:f>'BZ by State 3rd Crop'!Y129:AY129</xm:f>
              <xm:sqref>BE129</xm:sqref>
            </x14:sparkline>
            <x14:sparkline>
              <xm:f>'BZ by State 3rd Crop'!Y130:AY130</xm:f>
              <xm:sqref>BE130</xm:sqref>
            </x14:sparkline>
            <x14:sparkline>
              <xm:f>'BZ by State 3rd Crop'!Y131:AY131</xm:f>
              <xm:sqref>BE131</xm:sqref>
            </x14:sparkline>
            <x14:sparkline>
              <xm:f>'BZ by State 3rd Crop'!Y132:AY132</xm:f>
              <xm:sqref>BE132</xm:sqref>
            </x14:sparkline>
            <x14:sparkline>
              <xm:f>'BZ by State 3rd Crop'!Y133:AY133</xm:f>
              <xm:sqref>BE133</xm:sqref>
            </x14:sparkline>
            <x14:sparkline>
              <xm:f>'BZ by State 3rd Crop'!Y134:AY134</xm:f>
              <xm:sqref>BE134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89E3-7730-4EA1-9684-F2943DB0A85C}">
  <sheetPr>
    <tabColor rgb="FF92D050"/>
  </sheetPr>
  <dimension ref="A1:BP109"/>
  <sheetViews>
    <sheetView zoomScale="150" zoomScaleNormal="150" workbookViewId="0">
      <pane xSplit="1" ySplit="2" topLeftCell="AC51" activePane="bottomRight" state="frozen"/>
      <selection activeCell="P12" sqref="P12"/>
      <selection pane="topRight" activeCell="P12" sqref="P12"/>
      <selection pane="bottomLeft" activeCell="P12" sqref="P12"/>
      <selection pane="bottomRight" activeCell="AC66" sqref="AC66"/>
    </sheetView>
  </sheetViews>
  <sheetFormatPr defaultColWidth="9.140625" defaultRowHeight="12.75"/>
  <cols>
    <col min="1" max="1" width="27.42578125" style="3" customWidth="1"/>
    <col min="2" max="2" width="11.42578125" style="3" bestFit="1" customWidth="1"/>
    <col min="3" max="23" width="8.42578125" style="3" customWidth="1"/>
    <col min="24" max="28" width="9.28515625" style="3" customWidth="1"/>
    <col min="29" max="30" width="8.42578125" style="3" bestFit="1" customWidth="1"/>
    <col min="31" max="31" width="8.42578125" style="3" customWidth="1"/>
    <col min="32" max="49" width="8.42578125" style="3" hidden="1" customWidth="1"/>
    <col min="50" max="50" width="8.42578125" style="3" customWidth="1"/>
    <col min="51" max="51" width="15.140625" style="3" bestFit="1" customWidth="1"/>
    <col min="52" max="52" width="8.42578125" style="3" customWidth="1"/>
    <col min="53" max="53" width="15.28515625" style="3" bestFit="1" customWidth="1"/>
    <col min="54" max="54" width="9.140625" style="3"/>
    <col min="55" max="55" width="10.42578125" style="3" bestFit="1" customWidth="1"/>
    <col min="56" max="56" width="9.140625" style="3" bestFit="1" customWidth="1"/>
    <col min="57" max="16384" width="9.140625" style="3"/>
  </cols>
  <sheetData>
    <row r="1" spans="1:58" ht="18.75" thickBot="1">
      <c r="A1" s="64" t="s">
        <v>28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</row>
    <row r="2" spans="1:58" ht="15" customHeight="1" thickBot="1">
      <c r="A2" s="65"/>
      <c r="B2" s="66" t="s">
        <v>110</v>
      </c>
      <c r="C2" s="66" t="s">
        <v>111</v>
      </c>
      <c r="D2" s="66" t="s">
        <v>112</v>
      </c>
      <c r="E2" s="66" t="s">
        <v>113</v>
      </c>
      <c r="F2" s="66" t="s">
        <v>43</v>
      </c>
      <c r="G2" s="66" t="s">
        <v>44</v>
      </c>
      <c r="H2" s="66" t="s">
        <v>45</v>
      </c>
      <c r="I2" s="66" t="s">
        <v>46</v>
      </c>
      <c r="J2" s="66" t="s">
        <v>47</v>
      </c>
      <c r="K2" s="66" t="s">
        <v>48</v>
      </c>
      <c r="L2" s="66" t="s">
        <v>49</v>
      </c>
      <c r="M2" s="66" t="s">
        <v>50</v>
      </c>
      <c r="N2" s="66" t="s">
        <v>51</v>
      </c>
      <c r="O2" s="66" t="s">
        <v>52</v>
      </c>
      <c r="P2" s="66" t="s">
        <v>53</v>
      </c>
      <c r="Q2" s="66" t="s">
        <v>54</v>
      </c>
      <c r="R2" s="66" t="s">
        <v>55</v>
      </c>
      <c r="S2" s="66" t="s">
        <v>56</v>
      </c>
      <c r="T2" s="66" t="s">
        <v>57</v>
      </c>
      <c r="U2" s="66" t="s">
        <v>58</v>
      </c>
      <c r="V2" s="66" t="s">
        <v>59</v>
      </c>
      <c r="W2" s="66" t="s">
        <v>60</v>
      </c>
      <c r="X2" s="66" t="s">
        <v>61</v>
      </c>
      <c r="Y2" s="66" t="s">
        <v>62</v>
      </c>
      <c r="Z2" s="66" t="s">
        <v>63</v>
      </c>
      <c r="AA2" s="66" t="s">
        <v>64</v>
      </c>
      <c r="AB2" s="66" t="s">
        <v>65</v>
      </c>
      <c r="AC2" s="66" t="s">
        <v>2</v>
      </c>
      <c r="AD2" s="66" t="s">
        <v>3</v>
      </c>
      <c r="AE2" s="66" t="s">
        <v>4</v>
      </c>
      <c r="AF2" s="66" t="s">
        <v>163</v>
      </c>
      <c r="AG2" s="66" t="s">
        <v>192</v>
      </c>
      <c r="AH2" s="66" t="s">
        <v>193</v>
      </c>
      <c r="AI2" s="66" t="s">
        <v>194</v>
      </c>
      <c r="AJ2" s="66" t="s">
        <v>195</v>
      </c>
      <c r="AK2" s="66" t="s">
        <v>196</v>
      </c>
      <c r="AL2" s="66" t="s">
        <v>197</v>
      </c>
      <c r="AM2" s="66" t="s">
        <v>198</v>
      </c>
      <c r="AN2" s="66" t="s">
        <v>199</v>
      </c>
      <c r="AO2" s="66" t="s">
        <v>200</v>
      </c>
      <c r="AP2" s="66" t="s">
        <v>201</v>
      </c>
      <c r="AQ2" s="66" t="s">
        <v>202</v>
      </c>
      <c r="AR2" s="66" t="s">
        <v>203</v>
      </c>
      <c r="AS2" s="66" t="s">
        <v>204</v>
      </c>
      <c r="AT2" s="66" t="s">
        <v>205</v>
      </c>
      <c r="AU2" s="66" t="s">
        <v>206</v>
      </c>
      <c r="AV2" s="66" t="s">
        <v>207</v>
      </c>
      <c r="AW2" s="66" t="s">
        <v>208</v>
      </c>
      <c r="AX2" s="68"/>
      <c r="AY2" s="68"/>
      <c r="AZ2" s="68"/>
    </row>
    <row r="3" spans="1:58" ht="15" customHeight="1">
      <c r="A3" s="67">
        <v>1473500</v>
      </c>
      <c r="B3" s="68">
        <v>1996</v>
      </c>
      <c r="C3" s="68">
        <v>1997</v>
      </c>
      <c r="D3" s="68">
        <v>1998</v>
      </c>
      <c r="E3" s="68">
        <v>1999</v>
      </c>
      <c r="F3" s="68">
        <v>2000</v>
      </c>
      <c r="G3" s="68">
        <v>2001</v>
      </c>
      <c r="H3" s="68">
        <v>2002</v>
      </c>
      <c r="I3" s="68">
        <v>2003</v>
      </c>
      <c r="J3" s="68">
        <v>2004</v>
      </c>
      <c r="K3" s="68">
        <v>2005</v>
      </c>
      <c r="L3" s="68">
        <v>2006</v>
      </c>
      <c r="M3" s="68">
        <v>2007</v>
      </c>
      <c r="N3" s="68">
        <v>2008</v>
      </c>
      <c r="O3" s="68">
        <v>2009</v>
      </c>
      <c r="P3" s="68">
        <v>2010</v>
      </c>
      <c r="Q3" s="68">
        <v>2011</v>
      </c>
      <c r="R3" s="68">
        <v>2012</v>
      </c>
      <c r="S3" s="68">
        <v>2013</v>
      </c>
      <c r="T3" s="68">
        <v>2014</v>
      </c>
      <c r="U3" s="68">
        <v>2015</v>
      </c>
      <c r="V3" s="68">
        <v>2016</v>
      </c>
      <c r="W3" s="68">
        <v>2017</v>
      </c>
      <c r="X3" s="68">
        <v>2018</v>
      </c>
      <c r="Y3" s="68">
        <v>2019</v>
      </c>
      <c r="Z3" s="68">
        <v>2020</v>
      </c>
      <c r="AA3" s="68">
        <v>2021</v>
      </c>
      <c r="AB3" s="68">
        <v>2022</v>
      </c>
      <c r="AC3" s="68">
        <v>2023</v>
      </c>
      <c r="AD3" s="68">
        <v>2024</v>
      </c>
      <c r="AE3" s="68">
        <v>2025</v>
      </c>
      <c r="AF3" s="68">
        <v>2026</v>
      </c>
      <c r="AG3" s="68">
        <v>2027</v>
      </c>
      <c r="AH3" s="68">
        <v>2028</v>
      </c>
      <c r="AI3" s="68">
        <v>2029</v>
      </c>
      <c r="AJ3" s="68">
        <v>2030</v>
      </c>
      <c r="AK3" s="68">
        <v>2031</v>
      </c>
      <c r="AL3" s="68">
        <v>2032</v>
      </c>
      <c r="AM3" s="68">
        <v>2033</v>
      </c>
      <c r="AN3" s="68">
        <v>2034</v>
      </c>
      <c r="AO3" s="68">
        <v>2035</v>
      </c>
      <c r="AP3" s="68">
        <v>2036</v>
      </c>
      <c r="AQ3" s="68">
        <v>2037</v>
      </c>
      <c r="AR3" s="68">
        <v>2038</v>
      </c>
      <c r="AS3" s="68">
        <v>2039</v>
      </c>
      <c r="AT3" s="68">
        <v>2040</v>
      </c>
      <c r="AU3" s="68">
        <v>2041</v>
      </c>
      <c r="AV3" s="68">
        <v>2042</v>
      </c>
      <c r="AW3" s="68">
        <v>2043</v>
      </c>
      <c r="AX3" s="68"/>
      <c r="AY3" s="68"/>
      <c r="AZ3" s="68"/>
    </row>
    <row r="4" spans="1:58" ht="16.5">
      <c r="A4" s="84" t="s">
        <v>9</v>
      </c>
      <c r="B4" s="140">
        <v>1.1307750000000001</v>
      </c>
      <c r="C4" s="140">
        <v>1.0525</v>
      </c>
      <c r="D4" s="140">
        <v>1.1265000000000001</v>
      </c>
      <c r="E4" s="140">
        <v>1.1661999999999999</v>
      </c>
      <c r="F4" s="140">
        <v>1.206</v>
      </c>
      <c r="G4" s="140">
        <v>1.2942</v>
      </c>
      <c r="H4" s="140">
        <v>1.2992999999999999</v>
      </c>
      <c r="I4" s="140">
        <v>1.2645999999999999</v>
      </c>
      <c r="J4" s="140">
        <v>1.1848000000000001</v>
      </c>
      <c r="K4" s="140">
        <v>1.1131</v>
      </c>
      <c r="L4" s="140">
        <v>1.0931</v>
      </c>
      <c r="M4" s="140">
        <v>1.3915</v>
      </c>
      <c r="N4" s="140">
        <v>1.2060999999999999</v>
      </c>
      <c r="O4" s="140">
        <v>1.2305999999999999</v>
      </c>
      <c r="P4" s="140">
        <v>1.2464999999999999</v>
      </c>
      <c r="Q4" s="140">
        <v>1.2916000000000001</v>
      </c>
      <c r="R4" s="140">
        <v>1.4422999999999999</v>
      </c>
      <c r="S4" s="140">
        <v>1.5008999999999999</v>
      </c>
      <c r="T4" s="140">
        <v>1.2776000000000001</v>
      </c>
      <c r="U4" s="140">
        <v>1.3593</v>
      </c>
      <c r="V4" s="140">
        <v>1.4521999999999999</v>
      </c>
      <c r="W4" s="140">
        <v>1.4470000000000001</v>
      </c>
      <c r="X4" s="140">
        <v>1.4676</v>
      </c>
      <c r="Y4" s="140">
        <v>1.4955000000000001</v>
      </c>
      <c r="Z4" s="140">
        <v>1.4403999999999999</v>
      </c>
      <c r="AA4" s="140">
        <v>1.4878530000000001</v>
      </c>
      <c r="AB4" s="140">
        <v>1.4662999999999999</v>
      </c>
      <c r="AC4" s="140">
        <v>1.5477000000000001</v>
      </c>
      <c r="AD4" s="141">
        <v>1.4735</v>
      </c>
      <c r="AE4" s="141">
        <f>FORECAST(AE3,P4:AD4,P3:AD3)</f>
        <v>1.5398343523809537</v>
      </c>
      <c r="AF4" s="142">
        <v>87.5</v>
      </c>
      <c r="AG4" s="142">
        <v>86</v>
      </c>
      <c r="AH4" s="142">
        <v>85</v>
      </c>
      <c r="AI4" s="142">
        <v>84.5</v>
      </c>
      <c r="AJ4" s="142">
        <v>84.5</v>
      </c>
      <c r="AK4" s="142">
        <v>85.5</v>
      </c>
      <c r="AL4" s="142">
        <v>86.5</v>
      </c>
      <c r="AM4" s="142">
        <v>87.5</v>
      </c>
      <c r="AN4" s="142">
        <v>88.5</v>
      </c>
      <c r="AO4" s="142">
        <v>89.5</v>
      </c>
      <c r="AP4" s="142">
        <v>90.5</v>
      </c>
      <c r="AQ4" s="142">
        <v>91.5</v>
      </c>
      <c r="AR4" s="142">
        <v>92.5</v>
      </c>
      <c r="AS4" s="142">
        <v>93.5</v>
      </c>
      <c r="AT4" s="142">
        <v>94.5</v>
      </c>
      <c r="AU4" s="142">
        <v>95.5</v>
      </c>
      <c r="AV4" s="142">
        <v>96.5</v>
      </c>
      <c r="AW4" s="142">
        <v>97.5</v>
      </c>
      <c r="AX4" s="142"/>
      <c r="AY4" s="142"/>
      <c r="AZ4" s="142"/>
      <c r="BA4" s="18"/>
      <c r="BB4" s="18"/>
    </row>
    <row r="5" spans="1:58" ht="16.5">
      <c r="A5" s="84" t="s">
        <v>10</v>
      </c>
      <c r="B5" s="140">
        <v>1.0904</v>
      </c>
      <c r="C5" s="140">
        <v>1.0450999999999999</v>
      </c>
      <c r="D5" s="140">
        <v>1.1183000000000001</v>
      </c>
      <c r="E5" s="140">
        <v>1.1488</v>
      </c>
      <c r="F5" s="140">
        <v>1.1065</v>
      </c>
      <c r="G5" s="140">
        <v>1.2675000000000001</v>
      </c>
      <c r="H5" s="140">
        <v>1.2831999999999999</v>
      </c>
      <c r="I5" s="140">
        <v>1.2261</v>
      </c>
      <c r="J5" s="140">
        <v>1.0723</v>
      </c>
      <c r="K5" s="140">
        <v>1.0847</v>
      </c>
      <c r="L5" s="140">
        <v>1.0609</v>
      </c>
      <c r="M5" s="140">
        <v>1.3687</v>
      </c>
      <c r="N5" s="140">
        <v>1.1729000000000001</v>
      </c>
      <c r="O5" s="140">
        <v>1.1671</v>
      </c>
      <c r="P5" s="140">
        <v>1.2351000000000001</v>
      </c>
      <c r="Q5" s="140">
        <v>1.2718</v>
      </c>
      <c r="R5" s="140">
        <v>1.4260999999999999</v>
      </c>
      <c r="S5" s="140">
        <v>1.4866999999999999</v>
      </c>
      <c r="T5" s="140">
        <v>1.2487999999999999</v>
      </c>
      <c r="U5" s="140">
        <v>1.3404</v>
      </c>
      <c r="V5" s="140">
        <v>1.4135</v>
      </c>
      <c r="W5" s="140">
        <v>1.4061999999999999</v>
      </c>
      <c r="X5" s="140">
        <v>1.4307000000000001</v>
      </c>
      <c r="Y5" s="140">
        <v>1.4512</v>
      </c>
      <c r="Z5" s="140">
        <v>1.4081999999999999</v>
      </c>
      <c r="AA5" s="140">
        <v>1.4617</v>
      </c>
      <c r="AB5" s="140">
        <v>1.4439</v>
      </c>
      <c r="AC5" s="140">
        <v>1.5188999999999999</v>
      </c>
      <c r="AD5" s="141">
        <f>AVERAGE(Y7:AC7)*AD4</f>
        <v>1.4430163550261708</v>
      </c>
      <c r="AE5" s="141">
        <f>AVERAGE(Z7:AD7)*AE4</f>
        <v>1.5107298511700202</v>
      </c>
      <c r="AF5" s="142">
        <f t="shared" ref="AF5:AH5" si="0">AVERAGE(P7:AD7)*AF4</f>
        <v>85.833235581769671</v>
      </c>
      <c r="AG5" s="142">
        <f t="shared" si="0"/>
        <v>84.305877427256092</v>
      </c>
      <c r="AH5" s="142">
        <f t="shared" si="0"/>
        <v>83.304502688115477</v>
      </c>
      <c r="AI5" s="142">
        <f>AVERAGE(S7:AG7)*AI4</f>
        <v>82.766778544294539</v>
      </c>
      <c r="AJ5" s="142">
        <f>AVERAGE(T7:AH7)*AJ4</f>
        <v>82.707707201817954</v>
      </c>
      <c r="AK5" s="142">
        <f t="shared" ref="AK5:AW5" si="1">AVERAGE(U7:AI7)*AK4</f>
        <v>83.698072026486713</v>
      </c>
      <c r="AL5" s="142">
        <f t="shared" si="1"/>
        <v>84.634863559045385</v>
      </c>
      <c r="AM5" s="142">
        <f t="shared" si="1"/>
        <v>85.645816526597116</v>
      </c>
      <c r="AN5" s="142">
        <f t="shared" si="1"/>
        <v>86.663766441498666</v>
      </c>
      <c r="AO5" s="142">
        <f t="shared" si="1"/>
        <v>87.666600827249027</v>
      </c>
      <c r="AP5" s="142">
        <f t="shared" si="1"/>
        <v>88.699654502415257</v>
      </c>
      <c r="AQ5" s="142">
        <f t="shared" si="1"/>
        <v>89.691168148194748</v>
      </c>
      <c r="AR5" s="142">
        <f t="shared" si="1"/>
        <v>90.6571196952642</v>
      </c>
      <c r="AS5" s="142">
        <f t="shared" si="1"/>
        <v>91.609195860224787</v>
      </c>
      <c r="AT5" s="142">
        <f t="shared" si="1"/>
        <v>92.580690286740449</v>
      </c>
      <c r="AU5" s="142">
        <f t="shared" si="1"/>
        <v>93.563343256268269</v>
      </c>
      <c r="AV5" s="142">
        <f t="shared" si="1"/>
        <v>94.533998944608982</v>
      </c>
      <c r="AW5" s="142">
        <f t="shared" si="1"/>
        <v>95.505628328688729</v>
      </c>
      <c r="AX5" s="142"/>
      <c r="AY5" s="142"/>
      <c r="AZ5" s="142"/>
      <c r="BA5" s="18"/>
      <c r="BB5" s="18"/>
      <c r="BD5" s="52"/>
    </row>
    <row r="6" spans="1:58" ht="16.5">
      <c r="A6" s="84" t="s">
        <v>11</v>
      </c>
      <c r="B6" s="143">
        <f>B9/B5</f>
        <v>6.91645267791636</v>
      </c>
      <c r="C6" s="143">
        <f t="shared" ref="C6:AC6" si="2">C9/C5</f>
        <v>6.8699645966893126</v>
      </c>
      <c r="D6" s="143">
        <f t="shared" si="2"/>
        <v>8.0053652865957243</v>
      </c>
      <c r="E6" s="143">
        <f t="shared" si="2"/>
        <v>7.9746692200557092</v>
      </c>
      <c r="F6" s="143">
        <f t="shared" si="2"/>
        <v>6.2844103027564389</v>
      </c>
      <c r="G6" s="143">
        <f t="shared" si="2"/>
        <v>6.6186982248520714</v>
      </c>
      <c r="H6" s="143">
        <f t="shared" si="2"/>
        <v>7.0127805486284291</v>
      </c>
      <c r="I6" s="143">
        <f t="shared" si="2"/>
        <v>7.8193458934834021</v>
      </c>
      <c r="J6" s="143">
        <f t="shared" si="2"/>
        <v>8.2409773384314082</v>
      </c>
      <c r="K6" s="143">
        <f t="shared" si="2"/>
        <v>8.6034848345164558</v>
      </c>
      <c r="L6" s="143">
        <f t="shared" si="2"/>
        <v>8.4737487039306245</v>
      </c>
      <c r="M6" s="143">
        <f t="shared" si="2"/>
        <v>8.5107766493753214</v>
      </c>
      <c r="N6" s="143">
        <f t="shared" si="2"/>
        <v>9.0739193452127189</v>
      </c>
      <c r="O6" s="143">
        <f t="shared" si="2"/>
        <v>8.3936252249164607</v>
      </c>
      <c r="P6" s="143">
        <f t="shared" si="2"/>
        <v>9.7508703748684304</v>
      </c>
      <c r="Q6" s="143">
        <f t="shared" si="2"/>
        <v>8.9311998741940553</v>
      </c>
      <c r="R6" s="143">
        <f t="shared" si="2"/>
        <v>9.1579131898183856</v>
      </c>
      <c r="S6" s="143">
        <f t="shared" si="2"/>
        <v>9.5450998856527889</v>
      </c>
      <c r="T6" s="143">
        <f t="shared" si="2"/>
        <v>9.2940422805893661</v>
      </c>
      <c r="U6" s="143">
        <f t="shared" si="2"/>
        <v>10.205535660996718</v>
      </c>
      <c r="V6" s="143">
        <f t="shared" si="2"/>
        <v>9.8259639193491335</v>
      </c>
      <c r="W6" s="143">
        <f t="shared" si="2"/>
        <v>10.023823069264685</v>
      </c>
      <c r="X6" s="143">
        <f t="shared" si="2"/>
        <v>9.7048996994478216</v>
      </c>
      <c r="Y6" s="143">
        <f t="shared" si="2"/>
        <v>9.2364250275633957</v>
      </c>
      <c r="Z6" s="143">
        <f t="shared" si="2"/>
        <v>9.6316574350234347</v>
      </c>
      <c r="AA6" s="143">
        <f t="shared" si="2"/>
        <v>9.9957583635492906</v>
      </c>
      <c r="AB6" s="143">
        <f t="shared" si="2"/>
        <v>10.069187616870975</v>
      </c>
      <c r="AC6" s="143">
        <f t="shared" si="2"/>
        <v>10.152742116005005</v>
      </c>
      <c r="AD6" s="142">
        <f>AD9/AD5</f>
        <v>10.633975108148862</v>
      </c>
      <c r="AE6" s="142">
        <f>FORECAST(AE3,P6:AD6,P3:AD3)</f>
        <v>10.28175536353362</v>
      </c>
      <c r="AF6" s="142"/>
      <c r="AG6" s="142"/>
      <c r="AH6" s="142"/>
      <c r="AI6" s="142"/>
      <c r="AJ6" s="142" t="e">
        <f>FORECAST(#REF!,P6:AI6,#REF!)</f>
        <v>#REF!</v>
      </c>
      <c r="AK6" s="142" t="e">
        <f>FORECAST(#REF!,Q6:AJ6,#REF!)</f>
        <v>#REF!</v>
      </c>
      <c r="AL6" s="142" t="e">
        <f>FORECAST(#REF!,R6:AK6,#REF!)</f>
        <v>#REF!</v>
      </c>
      <c r="AM6" s="142" t="e">
        <f>FORECAST(#REF!,S6:AL6,#REF!)</f>
        <v>#REF!</v>
      </c>
      <c r="AN6" s="142" t="e">
        <f>FORECAST(#REF!,T6:AM6,#REF!)</f>
        <v>#REF!</v>
      </c>
      <c r="AO6" s="142" t="e">
        <f>FORECAST(#REF!,U6:AN6,#REF!)</f>
        <v>#REF!</v>
      </c>
      <c r="AP6" s="142" t="e">
        <f>FORECAST(#REF!,V6:AO6,#REF!)</f>
        <v>#REF!</v>
      </c>
      <c r="AQ6" s="142" t="e">
        <f>FORECAST(#REF!,W6:AP6,#REF!)</f>
        <v>#REF!</v>
      </c>
      <c r="AR6" s="142" t="e">
        <f>FORECAST(#REF!,X6:AQ6,#REF!)</f>
        <v>#REF!</v>
      </c>
      <c r="AS6" s="142" t="e">
        <f>FORECAST(#REF!,Y6:AR6,#REF!)</f>
        <v>#REF!</v>
      </c>
      <c r="AT6" s="142" t="e">
        <f>FORECAST(#REF!,Z6:AS6,#REF!)</f>
        <v>#REF!</v>
      </c>
      <c r="AU6" s="142" t="e">
        <f>FORECAST(#REF!,AA6:AT6,#REF!)</f>
        <v>#REF!</v>
      </c>
      <c r="AV6" s="142" t="e">
        <f>FORECAST(#REF!,AB6:AU6,#REF!)</f>
        <v>#REF!</v>
      </c>
      <c r="AW6" s="142" t="e">
        <f>FORECAST(#REF!,AC6:AV6,#REF!)</f>
        <v>#REF!</v>
      </c>
      <c r="AX6" s="142"/>
      <c r="AY6" s="142"/>
      <c r="AZ6" s="142"/>
      <c r="BA6" s="144"/>
    </row>
    <row r="7" spans="1:58" ht="16.5">
      <c r="A7" s="84" t="s">
        <v>66</v>
      </c>
      <c r="B7" s="145">
        <f t="shared" ref="B7:AW7" si="3">B5/B4</f>
        <v>0.96429439985850407</v>
      </c>
      <c r="C7" s="145">
        <f t="shared" si="3"/>
        <v>0.99296912114014246</v>
      </c>
      <c r="D7" s="145">
        <f t="shared" si="3"/>
        <v>0.99272081668885936</v>
      </c>
      <c r="E7" s="145">
        <f t="shared" si="3"/>
        <v>0.98507974618418803</v>
      </c>
      <c r="F7" s="145">
        <f t="shared" si="3"/>
        <v>0.91749585406301826</v>
      </c>
      <c r="G7" s="145">
        <f t="shared" si="3"/>
        <v>0.97936949466852119</v>
      </c>
      <c r="H7" s="145">
        <f t="shared" si="3"/>
        <v>0.98760871238359116</v>
      </c>
      <c r="I7" s="145">
        <f t="shared" si="3"/>
        <v>0.96955559070061681</v>
      </c>
      <c r="J7" s="145">
        <f t="shared" si="3"/>
        <v>0.90504726536124236</v>
      </c>
      <c r="K7" s="145">
        <f t="shared" si="3"/>
        <v>0.97448567064953739</v>
      </c>
      <c r="L7" s="145">
        <f t="shared" si="3"/>
        <v>0.97054249382490165</v>
      </c>
      <c r="M7" s="145">
        <f t="shared" si="3"/>
        <v>0.98361480416816394</v>
      </c>
      <c r="N7" s="145">
        <f t="shared" si="3"/>
        <v>0.97247326092363828</v>
      </c>
      <c r="O7" s="145">
        <f t="shared" si="3"/>
        <v>0.94839915488379656</v>
      </c>
      <c r="P7" s="145">
        <f t="shared" si="3"/>
        <v>0.99085439229843575</v>
      </c>
      <c r="Q7" s="145">
        <f t="shared" si="3"/>
        <v>0.98467017652524003</v>
      </c>
      <c r="R7" s="145">
        <f t="shared" si="3"/>
        <v>0.98876794009568048</v>
      </c>
      <c r="S7" s="145">
        <f t="shared" si="3"/>
        <v>0.99053900992737687</v>
      </c>
      <c r="T7" s="145">
        <f t="shared" si="3"/>
        <v>0.97745773324984331</v>
      </c>
      <c r="U7" s="145">
        <f t="shared" si="3"/>
        <v>0.98609578459501224</v>
      </c>
      <c r="V7" s="145">
        <f t="shared" si="3"/>
        <v>0.97335077812973425</v>
      </c>
      <c r="W7" s="145">
        <f t="shared" si="3"/>
        <v>0.97180373185901858</v>
      </c>
      <c r="X7" s="145">
        <f t="shared" si="3"/>
        <v>0.97485690923957491</v>
      </c>
      <c r="Y7" s="146">
        <f t="shared" si="3"/>
        <v>0.97037780006686725</v>
      </c>
      <c r="Z7" s="146">
        <f t="shared" si="3"/>
        <v>0.97764509858372672</v>
      </c>
      <c r="AA7" s="146">
        <f t="shared" si="3"/>
        <v>0.98242232263536777</v>
      </c>
      <c r="AB7" s="146">
        <f t="shared" si="3"/>
        <v>0.98472345359067037</v>
      </c>
      <c r="AC7" s="146">
        <f t="shared" si="3"/>
        <v>0.98139174258577233</v>
      </c>
      <c r="AD7" s="147">
        <f>AD5/AD4</f>
        <v>0.979312083492481</v>
      </c>
      <c r="AE7" s="147">
        <f>AE5/AE4</f>
        <v>0.98109894017760357</v>
      </c>
      <c r="AF7" s="147">
        <f t="shared" si="3"/>
        <v>0.98095126379165343</v>
      </c>
      <c r="AG7" s="147">
        <f t="shared" si="3"/>
        <v>0.98030090031693129</v>
      </c>
      <c r="AH7" s="147">
        <f t="shared" si="3"/>
        <v>0.9800529728013585</v>
      </c>
      <c r="AI7" s="147">
        <f t="shared" si="3"/>
        <v>0.97948850348277561</v>
      </c>
      <c r="AJ7" s="147">
        <f t="shared" si="3"/>
        <v>0.97878943434104082</v>
      </c>
      <c r="AK7" s="147">
        <f t="shared" si="3"/>
        <v>0.97892481902323636</v>
      </c>
      <c r="AL7" s="147">
        <f t="shared" si="3"/>
        <v>0.97843772900630499</v>
      </c>
      <c r="AM7" s="147">
        <f t="shared" si="3"/>
        <v>0.97880933173253848</v>
      </c>
      <c r="AN7" s="147">
        <f t="shared" si="3"/>
        <v>0.97925159820902452</v>
      </c>
      <c r="AO7" s="147">
        <f t="shared" si="3"/>
        <v>0.97951509304188855</v>
      </c>
      <c r="AP7" s="147">
        <f t="shared" si="3"/>
        <v>0.98010667958469899</v>
      </c>
      <c r="AQ7" s="147">
        <f t="shared" si="3"/>
        <v>0.98023134588190985</v>
      </c>
      <c r="AR7" s="147">
        <f t="shared" si="3"/>
        <v>0.98007696967853186</v>
      </c>
      <c r="AS7" s="147">
        <f t="shared" si="3"/>
        <v>0.97977749583128115</v>
      </c>
      <c r="AT7" s="147">
        <f t="shared" si="3"/>
        <v>0.97968984430413175</v>
      </c>
      <c r="AU7" s="147">
        <f t="shared" si="3"/>
        <v>0.97972087179338496</v>
      </c>
      <c r="AV7" s="147">
        <f t="shared" si="3"/>
        <v>0.97962693206848683</v>
      </c>
      <c r="AW7" s="147">
        <f t="shared" si="3"/>
        <v>0.97954490593526899</v>
      </c>
      <c r="AX7" s="147"/>
      <c r="AY7" s="148"/>
      <c r="AZ7" s="147"/>
    </row>
    <row r="8" spans="1:58" ht="16.5">
      <c r="A8" s="149" t="s">
        <v>209</v>
      </c>
      <c r="B8" s="150">
        <f>B24</f>
        <v>0.72050000000000003</v>
      </c>
      <c r="C8" s="150">
        <f t="shared" ref="C8:AC8" si="4">B17</f>
        <v>0.96970000000000001</v>
      </c>
      <c r="D8" s="150">
        <f t="shared" si="4"/>
        <v>0.89240000000000008</v>
      </c>
      <c r="E8" s="150">
        <f t="shared" si="4"/>
        <v>0.8851</v>
      </c>
      <c r="F8" s="150">
        <f t="shared" si="4"/>
        <v>1.5517000000000001</v>
      </c>
      <c r="G8" s="150">
        <f t="shared" si="4"/>
        <v>0.87999999999999989</v>
      </c>
      <c r="H8" s="150">
        <f t="shared" si="4"/>
        <v>1.0558000000000001</v>
      </c>
      <c r="I8" s="150">
        <f t="shared" si="4"/>
        <v>1.1106</v>
      </c>
      <c r="J8" s="150">
        <f t="shared" si="4"/>
        <v>1.1426000000000001</v>
      </c>
      <c r="K8" s="150">
        <f t="shared" si="4"/>
        <v>1.8015000000000001</v>
      </c>
      <c r="L8" s="150">
        <f t="shared" si="4"/>
        <v>2.0007000000000001</v>
      </c>
      <c r="M8" s="150">
        <f t="shared" si="4"/>
        <v>1.3371999999999999</v>
      </c>
      <c r="N8" s="150">
        <f t="shared" si="4"/>
        <v>1.4572000000000001</v>
      </c>
      <c r="O8" s="150">
        <f t="shared" si="4"/>
        <v>1.833</v>
      </c>
      <c r="P8" s="150">
        <f t="shared" si="4"/>
        <v>1.7307999999999999</v>
      </c>
      <c r="Q8" s="150">
        <f t="shared" si="4"/>
        <v>1.2627999999999999</v>
      </c>
      <c r="R8" s="150">
        <f t="shared" si="4"/>
        <v>1.3653999999999999</v>
      </c>
      <c r="S8" s="150">
        <f t="shared" si="4"/>
        <v>1.5509999999999999</v>
      </c>
      <c r="T8" s="150">
        <f t="shared" si="4"/>
        <v>1.6</v>
      </c>
      <c r="U8" s="150">
        <f t="shared" si="4"/>
        <v>1.4016</v>
      </c>
      <c r="V8" s="150">
        <f t="shared" si="4"/>
        <v>2.2419000000000002</v>
      </c>
      <c r="W8" s="150">
        <f t="shared" si="4"/>
        <v>2.4972000000000003</v>
      </c>
      <c r="X8" s="150">
        <f t="shared" si="4"/>
        <v>2.4167000000000001</v>
      </c>
      <c r="Y8" s="150">
        <f t="shared" si="4"/>
        <v>1.9794</v>
      </c>
      <c r="Z8" s="150">
        <f t="shared" si="4"/>
        <v>2.5598000000000001</v>
      </c>
      <c r="AA8" s="150">
        <f t="shared" si="4"/>
        <v>2.1688999999999998</v>
      </c>
      <c r="AB8" s="150">
        <f t="shared" si="4"/>
        <v>2.7456</v>
      </c>
      <c r="AC8" s="150">
        <f t="shared" si="4"/>
        <v>1.6274999999999999</v>
      </c>
      <c r="AD8" s="151">
        <f>AC17</f>
        <v>1.9965000000000002</v>
      </c>
      <c r="AE8" s="151">
        <f>AD17</f>
        <v>1.9339004194864344</v>
      </c>
      <c r="AF8" s="152">
        <f t="shared" ref="AF8:AH8" si="5">AE17</f>
        <v>2.5364842731803829</v>
      </c>
      <c r="AG8" s="152" t="e">
        <f t="shared" si="5"/>
        <v>#REF!</v>
      </c>
      <c r="AH8" s="152" t="e">
        <f t="shared" si="5"/>
        <v>#REF!</v>
      </c>
      <c r="AI8" s="152" t="e">
        <f>AH17</f>
        <v>#REF!</v>
      </c>
      <c r="AJ8" s="152" t="e">
        <f>AI17</f>
        <v>#REF!</v>
      </c>
      <c r="AK8" s="152" t="e">
        <f t="shared" ref="AK8:AW8" si="6">AJ17</f>
        <v>#REF!</v>
      </c>
      <c r="AL8" s="152" t="e">
        <f t="shared" si="6"/>
        <v>#REF!</v>
      </c>
      <c r="AM8" s="152" t="e">
        <f t="shared" si="6"/>
        <v>#REF!</v>
      </c>
      <c r="AN8" s="152" t="e">
        <f t="shared" si="6"/>
        <v>#REF!</v>
      </c>
      <c r="AO8" s="152" t="e">
        <f t="shared" si="6"/>
        <v>#REF!</v>
      </c>
      <c r="AP8" s="152" t="e">
        <f t="shared" si="6"/>
        <v>#REF!</v>
      </c>
      <c r="AQ8" s="152" t="e">
        <f t="shared" si="6"/>
        <v>#REF!</v>
      </c>
      <c r="AR8" s="152" t="e">
        <f t="shared" si="6"/>
        <v>#REF!</v>
      </c>
      <c r="AS8" s="152" t="e">
        <f t="shared" si="6"/>
        <v>#REF!</v>
      </c>
      <c r="AT8" s="152" t="e">
        <f t="shared" si="6"/>
        <v>#REF!</v>
      </c>
      <c r="AU8" s="152" t="e">
        <f t="shared" si="6"/>
        <v>#REF!</v>
      </c>
      <c r="AV8" s="152" t="e">
        <f t="shared" si="6"/>
        <v>#REF!</v>
      </c>
      <c r="AW8" s="152" t="e">
        <f t="shared" si="6"/>
        <v>#REF!</v>
      </c>
      <c r="AX8" s="153"/>
      <c r="AY8" s="153"/>
      <c r="AZ8" s="153"/>
      <c r="BF8" s="32"/>
    </row>
    <row r="9" spans="1:58" ht="16.5">
      <c r="A9" s="84" t="s">
        <v>13</v>
      </c>
      <c r="B9" s="154">
        <v>7.5416999999999996</v>
      </c>
      <c r="C9" s="154">
        <v>7.1798000000000002</v>
      </c>
      <c r="D9" s="154">
        <v>8.952399999999999</v>
      </c>
      <c r="E9" s="154">
        <v>9.1612999999999989</v>
      </c>
      <c r="F9" s="154">
        <v>6.9536999999999995</v>
      </c>
      <c r="G9" s="154">
        <v>8.3892000000000007</v>
      </c>
      <c r="H9" s="154">
        <v>8.9987999999999992</v>
      </c>
      <c r="I9" s="154">
        <v>9.587299999999999</v>
      </c>
      <c r="J9" s="154">
        <v>8.8367999999999984</v>
      </c>
      <c r="K9" s="154">
        <v>9.3322000000000003</v>
      </c>
      <c r="L9" s="154">
        <v>8.9897999999999989</v>
      </c>
      <c r="M9" s="154">
        <v>11.648700000000002</v>
      </c>
      <c r="N9" s="154">
        <v>10.642799999999999</v>
      </c>
      <c r="O9" s="154">
        <v>9.7962000000000007</v>
      </c>
      <c r="P9" s="154">
        <v>12.043299999999999</v>
      </c>
      <c r="Q9" s="154">
        <v>11.358700000000001</v>
      </c>
      <c r="R9" s="154">
        <v>13.0601</v>
      </c>
      <c r="S9" s="154">
        <v>14.190700000000001</v>
      </c>
      <c r="T9" s="154">
        <v>11.606399999999999</v>
      </c>
      <c r="U9" s="154">
        <v>13.679500000000001</v>
      </c>
      <c r="V9" s="154">
        <v>13.888999999999999</v>
      </c>
      <c r="W9" s="154">
        <v>14.095499999999999</v>
      </c>
      <c r="X9" s="154">
        <v>13.884799999999998</v>
      </c>
      <c r="Y9" s="154">
        <v>13.4039</v>
      </c>
      <c r="Z9" s="154">
        <v>13.5633</v>
      </c>
      <c r="AA9" s="154">
        <v>14.610799999999999</v>
      </c>
      <c r="AB9" s="154">
        <v>14.5389</v>
      </c>
      <c r="AC9" s="154">
        <v>15.420999999999999</v>
      </c>
      <c r="AD9" s="155">
        <v>15.345000000000001</v>
      </c>
      <c r="AE9" s="155">
        <f>AE5*AE6</f>
        <v>15.532954750117703</v>
      </c>
      <c r="AF9" s="90">
        <f t="shared" ref="AF9:AH9" si="7">AF6*AF5</f>
        <v>0</v>
      </c>
      <c r="AG9" s="90">
        <f t="shared" si="7"/>
        <v>0</v>
      </c>
      <c r="AH9" s="90">
        <f t="shared" si="7"/>
        <v>0</v>
      </c>
      <c r="AI9" s="90">
        <f>AI6*AI5</f>
        <v>0</v>
      </c>
      <c r="AJ9" s="90" t="e">
        <f>AJ6*AJ5</f>
        <v>#REF!</v>
      </c>
      <c r="AK9" s="90" t="e">
        <f t="shared" ref="AK9:AW9" si="8">AK6*AK5</f>
        <v>#REF!</v>
      </c>
      <c r="AL9" s="90" t="e">
        <f t="shared" si="8"/>
        <v>#REF!</v>
      </c>
      <c r="AM9" s="90" t="e">
        <f t="shared" si="8"/>
        <v>#REF!</v>
      </c>
      <c r="AN9" s="90" t="e">
        <f t="shared" si="8"/>
        <v>#REF!</v>
      </c>
      <c r="AO9" s="90" t="e">
        <f t="shared" si="8"/>
        <v>#REF!</v>
      </c>
      <c r="AP9" s="90" t="e">
        <f t="shared" si="8"/>
        <v>#REF!</v>
      </c>
      <c r="AQ9" s="90" t="e">
        <f t="shared" si="8"/>
        <v>#REF!</v>
      </c>
      <c r="AR9" s="90" t="e">
        <f t="shared" si="8"/>
        <v>#REF!</v>
      </c>
      <c r="AS9" s="90" t="e">
        <f t="shared" si="8"/>
        <v>#REF!</v>
      </c>
      <c r="AT9" s="90" t="e">
        <f t="shared" si="8"/>
        <v>#REF!</v>
      </c>
      <c r="AU9" s="90" t="e">
        <f t="shared" si="8"/>
        <v>#REF!</v>
      </c>
      <c r="AV9" s="90" t="e">
        <f t="shared" si="8"/>
        <v>#REF!</v>
      </c>
      <c r="AW9" s="90" t="e">
        <f t="shared" si="8"/>
        <v>#REF!</v>
      </c>
      <c r="AX9" s="90"/>
      <c r="AY9" s="142"/>
      <c r="AZ9" s="90"/>
      <c r="BA9" s="18"/>
      <c r="BB9" s="18"/>
    </row>
    <row r="10" spans="1:58" ht="16.5">
      <c r="A10" s="84" t="s">
        <v>14</v>
      </c>
      <c r="B10" s="135">
        <f>SUM(B30,B43,B56)</f>
        <v>8.839999999999998E-4</v>
      </c>
      <c r="C10" s="135">
        <f t="shared" ref="C10:AA10" si="9">SUM(C30,C43,C56)</f>
        <v>8.4500000000000005E-4</v>
      </c>
      <c r="D10" s="135">
        <f t="shared" si="9"/>
        <v>6.2E-4</v>
      </c>
      <c r="E10" s="135">
        <f t="shared" si="9"/>
        <v>1.3200000000000001E-4</v>
      </c>
      <c r="F10" s="135">
        <f t="shared" si="9"/>
        <v>1.34E-4</v>
      </c>
      <c r="G10" s="135">
        <f t="shared" si="9"/>
        <v>4.4916000000000002E-5</v>
      </c>
      <c r="H10" s="135">
        <f t="shared" si="9"/>
        <v>7.2044000000000017E-5</v>
      </c>
      <c r="I10" s="135">
        <f t="shared" si="9"/>
        <v>0</v>
      </c>
      <c r="J10" s="135">
        <f t="shared" si="9"/>
        <v>4.673E-6</v>
      </c>
      <c r="K10" s="135">
        <f t="shared" si="9"/>
        <v>1.8820000000000001E-6</v>
      </c>
      <c r="L10" s="135">
        <f t="shared" si="9"/>
        <v>3.09198E-4</v>
      </c>
      <c r="M10" s="135">
        <f t="shared" si="9"/>
        <v>6.46E-6</v>
      </c>
      <c r="N10" s="135">
        <f t="shared" si="9"/>
        <v>5.636809999999999E-3</v>
      </c>
      <c r="O10" s="135">
        <f t="shared" si="9"/>
        <v>1.4192499999999999E-3</v>
      </c>
      <c r="P10" s="135">
        <f t="shared" si="9"/>
        <v>1.8198789999999999E-3</v>
      </c>
      <c r="Q10" s="135">
        <f t="shared" si="9"/>
        <v>1.7750000000000001E-3</v>
      </c>
      <c r="R10" s="135">
        <f t="shared" si="9"/>
        <v>1.9725160000000001E-3</v>
      </c>
      <c r="S10" s="135">
        <f t="shared" si="9"/>
        <v>1.8191010000000001E-3</v>
      </c>
      <c r="T10" s="135">
        <f t="shared" si="9"/>
        <v>1.7462799999999998E-3</v>
      </c>
      <c r="U10" s="135">
        <f t="shared" si="9"/>
        <v>1.7557200000000001E-3</v>
      </c>
      <c r="V10" s="135">
        <f t="shared" si="9"/>
        <v>5.2523140000000001E-3</v>
      </c>
      <c r="W10" s="135">
        <f t="shared" si="9"/>
        <v>6.4096159999999999E-3</v>
      </c>
      <c r="X10" s="135">
        <f t="shared" si="9"/>
        <v>0.17228399999999999</v>
      </c>
      <c r="Y10" s="135">
        <f t="shared" si="9"/>
        <v>1.8810719999999999</v>
      </c>
      <c r="Z10" s="135">
        <f t="shared" si="9"/>
        <v>1.7049099999999999</v>
      </c>
      <c r="AA10" s="135">
        <f t="shared" si="9"/>
        <v>5.6685759999999998</v>
      </c>
      <c r="AB10" s="135">
        <f>SUM(AB30,AB43,AB56)</f>
        <v>2.2973270000000001</v>
      </c>
      <c r="AC10" s="135">
        <f>SUM(AC30,AC43,AC56)</f>
        <v>2.7146109999999997</v>
      </c>
      <c r="AD10" s="135">
        <f t="shared" ref="AD10:AW10" si="10">SUM(AD30,AD43,AD56)</f>
        <v>2.1886703327965042</v>
      </c>
      <c r="AE10" s="90">
        <f t="shared" si="10"/>
        <v>2.3321847351545166</v>
      </c>
      <c r="AF10" s="135" t="e">
        <f t="shared" si="10"/>
        <v>#REF!</v>
      </c>
      <c r="AG10" s="135" t="e">
        <f t="shared" si="10"/>
        <v>#REF!</v>
      </c>
      <c r="AH10" s="135" t="e">
        <f t="shared" si="10"/>
        <v>#REF!</v>
      </c>
      <c r="AI10" s="135" t="e">
        <f t="shared" si="10"/>
        <v>#REF!</v>
      </c>
      <c r="AJ10" s="135" t="e">
        <f t="shared" si="10"/>
        <v>#REF!</v>
      </c>
      <c r="AK10" s="135" t="e">
        <f t="shared" si="10"/>
        <v>#REF!</v>
      </c>
      <c r="AL10" s="135" t="e">
        <f t="shared" si="10"/>
        <v>#REF!</v>
      </c>
      <c r="AM10" s="135" t="e">
        <f t="shared" si="10"/>
        <v>#REF!</v>
      </c>
      <c r="AN10" s="135" t="e">
        <f t="shared" si="10"/>
        <v>#REF!</v>
      </c>
      <c r="AO10" s="135" t="e">
        <f t="shared" si="10"/>
        <v>#REF!</v>
      </c>
      <c r="AP10" s="135" t="e">
        <f t="shared" si="10"/>
        <v>#REF!</v>
      </c>
      <c r="AQ10" s="135" t="e">
        <f t="shared" si="10"/>
        <v>#REF!</v>
      </c>
      <c r="AR10" s="135" t="e">
        <f t="shared" si="10"/>
        <v>#REF!</v>
      </c>
      <c r="AS10" s="135" t="e">
        <f t="shared" si="10"/>
        <v>#REF!</v>
      </c>
      <c r="AT10" s="135" t="e">
        <f t="shared" si="10"/>
        <v>#REF!</v>
      </c>
      <c r="AU10" s="135" t="e">
        <f t="shared" si="10"/>
        <v>#REF!</v>
      </c>
      <c r="AV10" s="135">
        <f t="shared" si="10"/>
        <v>0</v>
      </c>
      <c r="AW10" s="135">
        <f t="shared" si="10"/>
        <v>0</v>
      </c>
      <c r="AX10" s="90"/>
      <c r="AY10" s="90"/>
      <c r="AZ10" s="90"/>
      <c r="BB10" s="42"/>
      <c r="BC10" s="42"/>
    </row>
    <row r="11" spans="1:58" ht="16.5">
      <c r="A11" s="156" t="s">
        <v>15</v>
      </c>
      <c r="B11" s="157">
        <f t="shared" ref="B11:AW11" si="11">SUM(B8:B10)</f>
        <v>8.2630839999999992</v>
      </c>
      <c r="C11" s="157">
        <f t="shared" si="11"/>
        <v>8.1503449999999997</v>
      </c>
      <c r="D11" s="157">
        <f t="shared" si="11"/>
        <v>9.845419999999999</v>
      </c>
      <c r="E11" s="157">
        <f t="shared" si="11"/>
        <v>10.046531999999999</v>
      </c>
      <c r="F11" s="157">
        <f t="shared" si="11"/>
        <v>8.505533999999999</v>
      </c>
      <c r="G11" s="157">
        <f t="shared" si="11"/>
        <v>9.2692449160000017</v>
      </c>
      <c r="H11" s="157">
        <f t="shared" si="11"/>
        <v>10.054672043999998</v>
      </c>
      <c r="I11" s="157">
        <f t="shared" si="11"/>
        <v>10.697899999999999</v>
      </c>
      <c r="J11" s="157">
        <f t="shared" si="11"/>
        <v>9.9794046729999977</v>
      </c>
      <c r="K11" s="157">
        <f t="shared" si="11"/>
        <v>11.133701882</v>
      </c>
      <c r="L11" s="157">
        <f t="shared" si="11"/>
        <v>10.990809197999999</v>
      </c>
      <c r="M11" s="157">
        <f t="shared" si="11"/>
        <v>12.985906460000001</v>
      </c>
      <c r="N11" s="157">
        <f t="shared" si="11"/>
        <v>12.10563681</v>
      </c>
      <c r="O11" s="157">
        <f t="shared" si="11"/>
        <v>11.630619250000001</v>
      </c>
      <c r="P11" s="157">
        <f t="shared" si="11"/>
        <v>13.775919878999998</v>
      </c>
      <c r="Q11" s="157">
        <f t="shared" si="11"/>
        <v>12.623275000000001</v>
      </c>
      <c r="R11" s="157">
        <f t="shared" si="11"/>
        <v>14.427472516</v>
      </c>
      <c r="S11" s="157">
        <f t="shared" si="11"/>
        <v>15.743519101000002</v>
      </c>
      <c r="T11" s="157">
        <f t="shared" si="11"/>
        <v>13.208146279999999</v>
      </c>
      <c r="U11" s="157">
        <f t="shared" si="11"/>
        <v>15.082855720000001</v>
      </c>
      <c r="V11" s="157">
        <f t="shared" si="11"/>
        <v>16.136152314</v>
      </c>
      <c r="W11" s="157">
        <f t="shared" si="11"/>
        <v>16.599109616</v>
      </c>
      <c r="X11" s="157">
        <f t="shared" si="11"/>
        <v>16.473783999999998</v>
      </c>
      <c r="Y11" s="157">
        <f t="shared" si="11"/>
        <v>17.264372000000002</v>
      </c>
      <c r="Z11" s="157">
        <f t="shared" si="11"/>
        <v>17.828009999999999</v>
      </c>
      <c r="AA11" s="157">
        <f t="shared" si="11"/>
        <v>22.448276</v>
      </c>
      <c r="AB11" s="157">
        <f t="shared" si="11"/>
        <v>19.581827000000001</v>
      </c>
      <c r="AC11" s="157">
        <f t="shared" si="11"/>
        <v>19.763111000000002</v>
      </c>
      <c r="AD11" s="158">
        <f>SUM(AD8:AD10)</f>
        <v>19.530170332796505</v>
      </c>
      <c r="AE11" s="158">
        <f>SUM(AE8:AE10)</f>
        <v>19.799039904758654</v>
      </c>
      <c r="AF11" s="90" t="e">
        <f t="shared" si="11"/>
        <v>#REF!</v>
      </c>
      <c r="AG11" s="90" t="e">
        <f t="shared" si="11"/>
        <v>#REF!</v>
      </c>
      <c r="AH11" s="90" t="e">
        <f t="shared" si="11"/>
        <v>#REF!</v>
      </c>
      <c r="AI11" s="90" t="e">
        <f t="shared" si="11"/>
        <v>#REF!</v>
      </c>
      <c r="AJ11" s="90" t="e">
        <f t="shared" si="11"/>
        <v>#REF!</v>
      </c>
      <c r="AK11" s="90" t="e">
        <f t="shared" si="11"/>
        <v>#REF!</v>
      </c>
      <c r="AL11" s="90" t="e">
        <f t="shared" si="11"/>
        <v>#REF!</v>
      </c>
      <c r="AM11" s="90" t="e">
        <f t="shared" si="11"/>
        <v>#REF!</v>
      </c>
      <c r="AN11" s="90" t="e">
        <f t="shared" si="11"/>
        <v>#REF!</v>
      </c>
      <c r="AO11" s="90" t="e">
        <f t="shared" si="11"/>
        <v>#REF!</v>
      </c>
      <c r="AP11" s="90" t="e">
        <f t="shared" si="11"/>
        <v>#REF!</v>
      </c>
      <c r="AQ11" s="90" t="e">
        <f t="shared" si="11"/>
        <v>#REF!</v>
      </c>
      <c r="AR11" s="90" t="e">
        <f t="shared" si="11"/>
        <v>#REF!</v>
      </c>
      <c r="AS11" s="90" t="e">
        <f t="shared" si="11"/>
        <v>#REF!</v>
      </c>
      <c r="AT11" s="90" t="e">
        <f t="shared" si="11"/>
        <v>#REF!</v>
      </c>
      <c r="AU11" s="90" t="e">
        <f t="shared" si="11"/>
        <v>#REF!</v>
      </c>
      <c r="AV11" s="90" t="e">
        <f t="shared" si="11"/>
        <v>#REF!</v>
      </c>
      <c r="AW11" s="90" t="e">
        <f t="shared" si="11"/>
        <v>#REF!</v>
      </c>
      <c r="AX11" s="90"/>
      <c r="AY11" s="90"/>
      <c r="AZ11" s="90"/>
    </row>
    <row r="12" spans="1:58" ht="16.5">
      <c r="A12" s="159" t="s">
        <v>16</v>
      </c>
      <c r="B12" s="160">
        <f>B13+B14</f>
        <v>7.7721</v>
      </c>
      <c r="C12" s="160">
        <f t="shared" ref="C12:AC12" si="12">C13+C14</f>
        <v>8.6112000000000002</v>
      </c>
      <c r="D12" s="160">
        <f t="shared" si="12"/>
        <v>9.0249000000000006</v>
      </c>
      <c r="E12" s="160">
        <f t="shared" si="12"/>
        <v>9.3310999999999993</v>
      </c>
      <c r="F12" s="160">
        <f t="shared" si="12"/>
        <v>10.3834</v>
      </c>
      <c r="G12" s="160">
        <f t="shared" si="12"/>
        <v>11.8642</v>
      </c>
      <c r="H12" s="160">
        <f t="shared" si="12"/>
        <v>12.755800000000001</v>
      </c>
      <c r="I12" s="160">
        <f t="shared" si="12"/>
        <v>11.317599999999999</v>
      </c>
      <c r="J12" s="160">
        <f t="shared" si="12"/>
        <v>10.367799999999999</v>
      </c>
      <c r="K12" s="160">
        <f t="shared" si="12"/>
        <v>10.792399999999999</v>
      </c>
      <c r="L12" s="160">
        <f t="shared" si="12"/>
        <v>11.454700000000001</v>
      </c>
      <c r="M12" s="160">
        <f t="shared" si="12"/>
        <v>13.8018</v>
      </c>
      <c r="N12" s="160">
        <f t="shared" si="12"/>
        <v>11.802300000000001</v>
      </c>
      <c r="O12" s="160">
        <f t="shared" si="12"/>
        <v>11.9041</v>
      </c>
      <c r="P12" s="160">
        <f t="shared" si="12"/>
        <v>12.056000000000001</v>
      </c>
      <c r="Q12" s="160">
        <f t="shared" si="12"/>
        <v>11.6768</v>
      </c>
      <c r="R12" s="160">
        <f t="shared" si="12"/>
        <v>11.653700000000001</v>
      </c>
      <c r="S12" s="160">
        <f t="shared" si="12"/>
        <v>12.786300000000001</v>
      </c>
      <c r="T12" s="160">
        <f t="shared" si="12"/>
        <v>13.048500000000001</v>
      </c>
      <c r="U12" s="160">
        <f t="shared" si="12"/>
        <v>12.441400000000002</v>
      </c>
      <c r="V12" s="160">
        <f t="shared" si="12"/>
        <v>13.181100000000001</v>
      </c>
      <c r="W12" s="160">
        <f t="shared" si="12"/>
        <v>14.0297</v>
      </c>
      <c r="X12" s="160">
        <f t="shared" si="12"/>
        <v>15.282799999999998</v>
      </c>
      <c r="Y12" s="160">
        <f t="shared" si="12"/>
        <v>13.914000000000001</v>
      </c>
      <c r="Z12" s="160">
        <f t="shared" si="12"/>
        <v>14.125299999999999</v>
      </c>
      <c r="AA12" s="160">
        <f t="shared" si="12"/>
        <v>18.1921</v>
      </c>
      <c r="AB12" s="160">
        <f t="shared" si="12"/>
        <v>15.036200000000001</v>
      </c>
      <c r="AC12" s="160">
        <f t="shared" si="12"/>
        <v>15.855499999999999</v>
      </c>
      <c r="AD12" s="161">
        <f>AD13+AD14</f>
        <v>15.747199999999921</v>
      </c>
      <c r="AE12" s="161">
        <f>AE13+AE14</f>
        <v>15.357119999999981</v>
      </c>
      <c r="AF12" s="162" t="e">
        <f>AF13+AF14</f>
        <v>#REF!</v>
      </c>
      <c r="AG12" s="162" t="e">
        <f t="shared" ref="AG12:AW12" si="13">AG13+AG14</f>
        <v>#REF!</v>
      </c>
      <c r="AH12" s="162" t="e">
        <f t="shared" si="13"/>
        <v>#REF!</v>
      </c>
      <c r="AI12" s="162" t="e">
        <f t="shared" si="13"/>
        <v>#REF!</v>
      </c>
      <c r="AJ12" s="162" t="e">
        <f t="shared" si="13"/>
        <v>#REF!</v>
      </c>
      <c r="AK12" s="162" t="e">
        <f t="shared" si="13"/>
        <v>#REF!</v>
      </c>
      <c r="AL12" s="162" t="e">
        <f t="shared" si="13"/>
        <v>#REF!</v>
      </c>
      <c r="AM12" s="162" t="e">
        <f t="shared" si="13"/>
        <v>#REF!</v>
      </c>
      <c r="AN12" s="162" t="e">
        <f t="shared" si="13"/>
        <v>#REF!</v>
      </c>
      <c r="AO12" s="162" t="e">
        <f t="shared" si="13"/>
        <v>#REF!</v>
      </c>
      <c r="AP12" s="162" t="e">
        <f t="shared" si="13"/>
        <v>#REF!</v>
      </c>
      <c r="AQ12" s="162" t="e">
        <f t="shared" si="13"/>
        <v>#REF!</v>
      </c>
      <c r="AR12" s="162" t="e">
        <f t="shared" si="13"/>
        <v>#REF!</v>
      </c>
      <c r="AS12" s="162" t="e">
        <f t="shared" si="13"/>
        <v>#REF!</v>
      </c>
      <c r="AT12" s="162" t="e">
        <f t="shared" si="13"/>
        <v>#REF!</v>
      </c>
      <c r="AU12" s="162" t="e">
        <f t="shared" si="13"/>
        <v>#REF!</v>
      </c>
      <c r="AV12" s="162" t="e">
        <f t="shared" si="13"/>
        <v>#REF!</v>
      </c>
      <c r="AW12" s="162" t="e">
        <f t="shared" si="13"/>
        <v>#REF!</v>
      </c>
      <c r="AX12" s="90"/>
      <c r="AY12" s="90"/>
      <c r="AZ12" s="90"/>
      <c r="BA12" s="41"/>
    </row>
    <row r="13" spans="1:58" ht="16.5">
      <c r="A13" s="156" t="s">
        <v>17</v>
      </c>
      <c r="B13" s="157">
        <f>B62</f>
        <v>6.2145000000000001</v>
      </c>
      <c r="C13" s="157">
        <f t="shared" ref="C13:AC13" si="14">C62</f>
        <v>6.8760000000000003</v>
      </c>
      <c r="D13" s="157">
        <f t="shared" si="14"/>
        <v>7.149</v>
      </c>
      <c r="E13" s="157">
        <f t="shared" si="14"/>
        <v>7.2843999999999998</v>
      </c>
      <c r="F13" s="157">
        <f t="shared" si="14"/>
        <v>8.2247000000000003</v>
      </c>
      <c r="G13" s="157">
        <f t="shared" si="14"/>
        <v>9.5655000000000001</v>
      </c>
      <c r="H13" s="157">
        <f t="shared" si="14"/>
        <v>10.3574</v>
      </c>
      <c r="I13" s="157">
        <f t="shared" si="14"/>
        <v>8.889899999999999</v>
      </c>
      <c r="J13" s="157">
        <f t="shared" si="14"/>
        <v>7.9608999999999996</v>
      </c>
      <c r="K13" s="157">
        <f t="shared" si="14"/>
        <v>8.5003999999999991</v>
      </c>
      <c r="L13" s="157">
        <f t="shared" si="14"/>
        <v>8.4601000000000006</v>
      </c>
      <c r="M13" s="157">
        <f t="shared" si="14"/>
        <v>10.2188</v>
      </c>
      <c r="N13" s="157">
        <f t="shared" si="14"/>
        <v>7.6686000000000005</v>
      </c>
      <c r="O13" s="157">
        <f t="shared" si="14"/>
        <v>7.2956000000000003</v>
      </c>
      <c r="P13" s="157">
        <f t="shared" si="14"/>
        <v>7.0922000000000001</v>
      </c>
      <c r="Q13" s="157">
        <f t="shared" si="14"/>
        <v>6.4515000000000002</v>
      </c>
      <c r="R13" s="157">
        <f t="shared" si="14"/>
        <v>6.3407</v>
      </c>
      <c r="S13" s="157">
        <f t="shared" si="14"/>
        <v>7.6401000000000003</v>
      </c>
      <c r="T13" s="157">
        <f t="shared" si="14"/>
        <v>7.6716999999999995</v>
      </c>
      <c r="U13" s="157">
        <f t="shared" si="14"/>
        <v>7.1598000000000006</v>
      </c>
      <c r="V13" s="157">
        <f t="shared" si="14"/>
        <v>7.9794</v>
      </c>
      <c r="W13" s="157">
        <f t="shared" si="14"/>
        <v>8.8406000000000002</v>
      </c>
      <c r="X13" s="157">
        <f t="shared" si="14"/>
        <v>9.4818999999999996</v>
      </c>
      <c r="Y13" s="157">
        <f t="shared" si="14"/>
        <v>8.5966000000000005</v>
      </c>
      <c r="Z13" s="157">
        <f t="shared" si="14"/>
        <v>8.7333999999999996</v>
      </c>
      <c r="AA13" s="157">
        <f t="shared" si="14"/>
        <v>12.379200000000001</v>
      </c>
      <c r="AB13" s="157">
        <f t="shared" si="14"/>
        <v>9.6931000000000012</v>
      </c>
      <c r="AC13" s="157">
        <f t="shared" si="14"/>
        <v>9.8566000000000003</v>
      </c>
      <c r="AD13" s="158">
        <f>AD62</f>
        <v>9.9788733333332402</v>
      </c>
      <c r="AE13" s="158">
        <f>AE62</f>
        <v>9.4900559999999814</v>
      </c>
      <c r="AF13" s="90">
        <v>5850</v>
      </c>
      <c r="AG13" s="90">
        <v>5900</v>
      </c>
      <c r="AH13" s="90">
        <v>5950</v>
      </c>
      <c r="AI13" s="90">
        <v>6000</v>
      </c>
      <c r="AJ13" s="90">
        <v>6050</v>
      </c>
      <c r="AK13" s="90">
        <v>6100</v>
      </c>
      <c r="AL13" s="90">
        <v>6250</v>
      </c>
      <c r="AM13" s="90">
        <v>6300</v>
      </c>
      <c r="AN13" s="90">
        <v>6300</v>
      </c>
      <c r="AO13" s="90">
        <v>6400</v>
      </c>
      <c r="AP13" s="90">
        <v>6600</v>
      </c>
      <c r="AQ13" s="90">
        <v>6800</v>
      </c>
      <c r="AR13" s="90">
        <v>7000</v>
      </c>
      <c r="AS13" s="90">
        <v>7000</v>
      </c>
      <c r="AT13" s="90">
        <v>7250</v>
      </c>
      <c r="AU13" s="90">
        <v>7500</v>
      </c>
      <c r="AV13" s="90">
        <v>7750</v>
      </c>
      <c r="AW13" s="90">
        <v>7750</v>
      </c>
      <c r="AX13" s="90"/>
      <c r="AY13" s="90"/>
      <c r="AZ13" s="90"/>
      <c r="BA13" s="41"/>
    </row>
    <row r="14" spans="1:58" ht="16.5">
      <c r="A14" s="156" t="s">
        <v>18</v>
      </c>
      <c r="B14" s="157">
        <f>B59+B60</f>
        <v>1.5575999999999999</v>
      </c>
      <c r="C14" s="157">
        <f>C59+C60</f>
        <v>1.7352000000000001</v>
      </c>
      <c r="D14" s="157">
        <f t="shared" ref="D14:AB14" si="15">D59+D60</f>
        <v>1.8758999999999999</v>
      </c>
      <c r="E14" s="157">
        <f t="shared" si="15"/>
        <v>2.0467</v>
      </c>
      <c r="F14" s="157">
        <f t="shared" si="15"/>
        <v>2.1587000000000001</v>
      </c>
      <c r="G14" s="157">
        <f t="shared" si="15"/>
        <v>2.2987000000000002</v>
      </c>
      <c r="H14" s="157">
        <f t="shared" si="15"/>
        <v>2.3983999999999996</v>
      </c>
      <c r="I14" s="157">
        <f t="shared" si="15"/>
        <v>2.4277000000000002</v>
      </c>
      <c r="J14" s="157">
        <f t="shared" si="15"/>
        <v>2.4068999999999998</v>
      </c>
      <c r="K14" s="157">
        <f t="shared" si="15"/>
        <v>2.2919999999999998</v>
      </c>
      <c r="L14" s="157">
        <f t="shared" si="15"/>
        <v>2.9946000000000002</v>
      </c>
      <c r="M14" s="157">
        <f t="shared" si="15"/>
        <v>3.5829999999999997</v>
      </c>
      <c r="N14" s="157">
        <f t="shared" si="15"/>
        <v>4.1337000000000002</v>
      </c>
      <c r="O14" s="157">
        <f t="shared" si="15"/>
        <v>4.6084999999999994</v>
      </c>
      <c r="P14" s="157">
        <f t="shared" si="15"/>
        <v>4.9638</v>
      </c>
      <c r="Q14" s="157">
        <f t="shared" si="15"/>
        <v>5.2252999999999998</v>
      </c>
      <c r="R14" s="157">
        <f t="shared" si="15"/>
        <v>5.3129999999999997</v>
      </c>
      <c r="S14" s="157">
        <f t="shared" si="15"/>
        <v>5.1462000000000003</v>
      </c>
      <c r="T14" s="157">
        <f t="shared" si="15"/>
        <v>5.3768000000000002</v>
      </c>
      <c r="U14" s="157">
        <f t="shared" si="15"/>
        <v>5.2816000000000001</v>
      </c>
      <c r="V14" s="157">
        <f t="shared" si="15"/>
        <v>5.2016999999999998</v>
      </c>
      <c r="W14" s="157">
        <f t="shared" si="15"/>
        <v>5.1890999999999998</v>
      </c>
      <c r="X14" s="157">
        <f t="shared" si="15"/>
        <v>5.8008999999999995</v>
      </c>
      <c r="Y14" s="157">
        <f t="shared" si="15"/>
        <v>5.3174000000000001</v>
      </c>
      <c r="Z14" s="157">
        <f t="shared" si="15"/>
        <v>5.3918999999999997</v>
      </c>
      <c r="AA14" s="157">
        <f t="shared" si="15"/>
        <v>5.8129</v>
      </c>
      <c r="AB14" s="157">
        <f t="shared" si="15"/>
        <v>5.3430999999999997</v>
      </c>
      <c r="AC14" s="157">
        <f>AC60</f>
        <v>5.9988999999999999</v>
      </c>
      <c r="AD14" s="158">
        <f>AD60</f>
        <v>5.768326666666681</v>
      </c>
      <c r="AE14" s="158">
        <f>AE60</f>
        <v>5.8670639999999992</v>
      </c>
      <c r="AF14" s="90" t="e">
        <f>#REF!+1400</f>
        <v>#REF!</v>
      </c>
      <c r="AG14" s="90" t="e">
        <f>#REF!+1400</f>
        <v>#REF!</v>
      </c>
      <c r="AH14" s="90" t="e">
        <f>#REF!+1400</f>
        <v>#REF!</v>
      </c>
      <c r="AI14" s="90" t="e">
        <f>#REF!+1400</f>
        <v>#REF!</v>
      </c>
      <c r="AJ14" s="90" t="e">
        <f>#REF!+1400</f>
        <v>#REF!</v>
      </c>
      <c r="AK14" s="90" t="e">
        <f>#REF!+1400</f>
        <v>#REF!</v>
      </c>
      <c r="AL14" s="90" t="e">
        <f>#REF!+1400</f>
        <v>#REF!</v>
      </c>
      <c r="AM14" s="90" t="e">
        <f>#REF!+1400</f>
        <v>#REF!</v>
      </c>
      <c r="AN14" s="90" t="e">
        <f>#REF!+1400</f>
        <v>#REF!</v>
      </c>
      <c r="AO14" s="90" t="e">
        <f>#REF!+1400</f>
        <v>#REF!</v>
      </c>
      <c r="AP14" s="90" t="e">
        <f>#REF!+1400</f>
        <v>#REF!</v>
      </c>
      <c r="AQ14" s="90" t="e">
        <f>#REF!+1400</f>
        <v>#REF!</v>
      </c>
      <c r="AR14" s="90" t="e">
        <f>#REF!+1400</f>
        <v>#REF!</v>
      </c>
      <c r="AS14" s="90" t="e">
        <f>#REF!+1400</f>
        <v>#REF!</v>
      </c>
      <c r="AT14" s="90" t="e">
        <f>#REF!+1400</f>
        <v>#REF!</v>
      </c>
      <c r="AU14" s="90" t="e">
        <f>#REF!+1400</f>
        <v>#REF!</v>
      </c>
      <c r="AV14" s="90" t="e">
        <f>#REF!+1400</f>
        <v>#REF!</v>
      </c>
      <c r="AW14" s="90" t="e">
        <f>#REF!+1400</f>
        <v>#REF!</v>
      </c>
      <c r="AX14" s="90"/>
      <c r="AY14" s="90"/>
      <c r="AZ14" s="90"/>
    </row>
    <row r="15" spans="1:58" ht="16.5">
      <c r="A15" s="156" t="s">
        <v>19</v>
      </c>
      <c r="B15" s="135">
        <f>SUM(B31,B44,B57)</f>
        <v>1.2769999999999999E-3</v>
      </c>
      <c r="C15" s="135">
        <f>SUM(C31,C44,C57)</f>
        <v>2.6599999999999996E-4</v>
      </c>
      <c r="D15" s="135">
        <f t="shared" ref="D15:AB15" si="16">SUM(D31,D44,D57)</f>
        <v>3.3399999999999999E-4</v>
      </c>
      <c r="E15" s="135">
        <f t="shared" si="16"/>
        <v>9.0000000000000002E-6</v>
      </c>
      <c r="F15" s="135">
        <f t="shared" si="16"/>
        <v>1.1696000000000002E-4</v>
      </c>
      <c r="G15" s="135">
        <f t="shared" si="16"/>
        <v>0</v>
      </c>
      <c r="H15" s="135">
        <f t="shared" si="16"/>
        <v>0</v>
      </c>
      <c r="I15" s="135">
        <f t="shared" si="16"/>
        <v>6.8419999999999999E-6</v>
      </c>
      <c r="J15" s="135">
        <f t="shared" si="16"/>
        <v>1.8730000000000001E-6</v>
      </c>
      <c r="K15" s="135">
        <f t="shared" si="16"/>
        <v>3.1114700000000001E-4</v>
      </c>
      <c r="L15" s="135">
        <f t="shared" si="16"/>
        <v>3.881331E-3</v>
      </c>
      <c r="M15" s="135">
        <f t="shared" si="16"/>
        <v>2.4081049999999998E-3</v>
      </c>
      <c r="N15" s="135">
        <f t="shared" si="16"/>
        <v>1.587651E-3</v>
      </c>
      <c r="O15" s="135">
        <f t="shared" si="16"/>
        <v>1.821512E-3</v>
      </c>
      <c r="P15" s="135">
        <f t="shared" si="16"/>
        <v>1.8526580000000001E-3</v>
      </c>
      <c r="Q15" s="135">
        <f t="shared" si="16"/>
        <v>2.0042850000000002E-3</v>
      </c>
      <c r="R15" s="135">
        <f t="shared" si="16"/>
        <v>1.873806E-3</v>
      </c>
      <c r="S15" s="135">
        <f t="shared" si="16"/>
        <v>1.5373050000000001E-3</v>
      </c>
      <c r="T15" s="135">
        <f t="shared" si="16"/>
        <v>0.200094206</v>
      </c>
      <c r="U15" s="135">
        <f t="shared" si="16"/>
        <v>5.9646370000000001E-3</v>
      </c>
      <c r="V15" s="135">
        <f t="shared" si="16"/>
        <v>4.9934910000000001E-3</v>
      </c>
      <c r="W15" s="135">
        <f t="shared" si="16"/>
        <v>0.133854417</v>
      </c>
      <c r="X15" s="135">
        <f t="shared" si="16"/>
        <v>1.1708149999999999</v>
      </c>
      <c r="Y15" s="135">
        <f t="shared" si="16"/>
        <v>0.71435300000000002</v>
      </c>
      <c r="Z15" s="135">
        <f t="shared" si="16"/>
        <v>1.535963</v>
      </c>
      <c r="AA15" s="135">
        <f t="shared" si="16"/>
        <v>2.1948429999999997</v>
      </c>
      <c r="AB15" s="135">
        <f t="shared" si="16"/>
        <v>2.8703149999999997</v>
      </c>
      <c r="AC15" s="135">
        <f>SUM(AC31,AC44,AC57)</f>
        <v>2.0672160000000002</v>
      </c>
      <c r="AD15" s="90">
        <f>SUM(AD31,AD44,AD57)</f>
        <v>2.1067642022934066</v>
      </c>
      <c r="AE15" s="90">
        <f>SUM(AE31,AE44,AE57)</f>
        <v>2.1549592916294951</v>
      </c>
      <c r="AF15" s="90">
        <v>2350</v>
      </c>
      <c r="AG15" s="90">
        <f t="shared" ref="AG15:AH15" si="17">2600-500</f>
        <v>2100</v>
      </c>
      <c r="AH15" s="90">
        <f t="shared" si="17"/>
        <v>2100</v>
      </c>
      <c r="AI15" s="90">
        <f>2600-500</f>
        <v>2100</v>
      </c>
      <c r="AJ15" s="90">
        <f>2600-500</f>
        <v>2100</v>
      </c>
      <c r="AK15" s="90">
        <v>2400</v>
      </c>
      <c r="AL15" s="90">
        <v>2600</v>
      </c>
      <c r="AM15" s="90">
        <v>2700</v>
      </c>
      <c r="AN15" s="90">
        <v>2800</v>
      </c>
      <c r="AO15" s="90">
        <v>2900</v>
      </c>
      <c r="AP15" s="90">
        <v>3100</v>
      </c>
      <c r="AQ15" s="90">
        <v>3250</v>
      </c>
      <c r="AR15" s="90">
        <v>3500</v>
      </c>
      <c r="AS15" s="90">
        <v>3750</v>
      </c>
      <c r="AT15" s="90">
        <v>3750</v>
      </c>
      <c r="AU15" s="90">
        <v>3750</v>
      </c>
      <c r="AV15" s="90">
        <v>4000</v>
      </c>
      <c r="AW15" s="90">
        <v>4250</v>
      </c>
      <c r="AX15" s="90"/>
      <c r="AY15" s="90"/>
      <c r="AZ15" s="90"/>
      <c r="BA15" s="2"/>
    </row>
    <row r="16" spans="1:58" ht="16.5">
      <c r="A16" s="156" t="s">
        <v>20</v>
      </c>
      <c r="B16" s="163">
        <f t="shared" ref="B16:AC16" si="18">B12+B15</f>
        <v>7.773377</v>
      </c>
      <c r="C16" s="135">
        <f t="shared" si="18"/>
        <v>8.6114660000000001</v>
      </c>
      <c r="D16" s="135">
        <f t="shared" si="18"/>
        <v>9.0252340000000011</v>
      </c>
      <c r="E16" s="135">
        <f t="shared" si="18"/>
        <v>9.3311089999999997</v>
      </c>
      <c r="F16" s="135">
        <f t="shared" si="18"/>
        <v>10.38351696</v>
      </c>
      <c r="G16" s="135">
        <f t="shared" si="18"/>
        <v>11.8642</v>
      </c>
      <c r="H16" s="135">
        <f t="shared" si="18"/>
        <v>12.755800000000001</v>
      </c>
      <c r="I16" s="135">
        <f t="shared" si="18"/>
        <v>11.317606841999998</v>
      </c>
      <c r="J16" s="135">
        <f t="shared" si="18"/>
        <v>10.367801872999999</v>
      </c>
      <c r="K16" s="135">
        <f t="shared" si="18"/>
        <v>10.792711146999999</v>
      </c>
      <c r="L16" s="135">
        <f t="shared" si="18"/>
        <v>11.458581331000001</v>
      </c>
      <c r="M16" s="135">
        <f t="shared" si="18"/>
        <v>13.804208105000001</v>
      </c>
      <c r="N16" s="135">
        <f t="shared" si="18"/>
        <v>11.803887651</v>
      </c>
      <c r="O16" s="135">
        <f t="shared" si="18"/>
        <v>11.905921511999999</v>
      </c>
      <c r="P16" s="135">
        <f t="shared" si="18"/>
        <v>12.057852658000002</v>
      </c>
      <c r="Q16" s="135">
        <f t="shared" si="18"/>
        <v>11.678804285</v>
      </c>
      <c r="R16" s="135">
        <f t="shared" si="18"/>
        <v>11.655573806000001</v>
      </c>
      <c r="S16" s="135">
        <f t="shared" si="18"/>
        <v>12.787837305</v>
      </c>
      <c r="T16" s="135">
        <f t="shared" si="18"/>
        <v>13.248594206</v>
      </c>
      <c r="U16" s="135">
        <f t="shared" si="18"/>
        <v>12.447364637000002</v>
      </c>
      <c r="V16" s="135">
        <f t="shared" si="18"/>
        <v>13.186093491000001</v>
      </c>
      <c r="W16" s="135">
        <f t="shared" si="18"/>
        <v>14.163554417</v>
      </c>
      <c r="X16" s="135">
        <f t="shared" si="18"/>
        <v>16.453614999999999</v>
      </c>
      <c r="Y16" s="135">
        <f t="shared" si="18"/>
        <v>14.628353000000001</v>
      </c>
      <c r="Z16" s="135">
        <f t="shared" si="18"/>
        <v>15.661263</v>
      </c>
      <c r="AA16" s="135">
        <f t="shared" si="18"/>
        <v>20.386942999999999</v>
      </c>
      <c r="AB16" s="135">
        <f t="shared" si="18"/>
        <v>17.906514999999999</v>
      </c>
      <c r="AC16" s="135">
        <f t="shared" si="18"/>
        <v>17.922716000000001</v>
      </c>
      <c r="AD16" s="90">
        <f>AD12+AD15</f>
        <v>17.853964202293326</v>
      </c>
      <c r="AE16" s="90">
        <f>AE12+AE15</f>
        <v>17.512079291629476</v>
      </c>
      <c r="AF16" s="90" t="e">
        <f t="shared" ref="AF16:AW16" si="19">AF12+AF15</f>
        <v>#REF!</v>
      </c>
      <c r="AG16" s="90" t="e">
        <f t="shared" si="19"/>
        <v>#REF!</v>
      </c>
      <c r="AH16" s="90" t="e">
        <f t="shared" si="19"/>
        <v>#REF!</v>
      </c>
      <c r="AI16" s="90" t="e">
        <f t="shared" si="19"/>
        <v>#REF!</v>
      </c>
      <c r="AJ16" s="90" t="e">
        <f t="shared" si="19"/>
        <v>#REF!</v>
      </c>
      <c r="AK16" s="90" t="e">
        <f t="shared" si="19"/>
        <v>#REF!</v>
      </c>
      <c r="AL16" s="90" t="e">
        <f t="shared" si="19"/>
        <v>#REF!</v>
      </c>
      <c r="AM16" s="90" t="e">
        <f t="shared" si="19"/>
        <v>#REF!</v>
      </c>
      <c r="AN16" s="90" t="e">
        <f t="shared" si="19"/>
        <v>#REF!</v>
      </c>
      <c r="AO16" s="90" t="e">
        <f t="shared" si="19"/>
        <v>#REF!</v>
      </c>
      <c r="AP16" s="90" t="e">
        <f t="shared" si="19"/>
        <v>#REF!</v>
      </c>
      <c r="AQ16" s="90" t="e">
        <f t="shared" si="19"/>
        <v>#REF!</v>
      </c>
      <c r="AR16" s="90" t="e">
        <f t="shared" si="19"/>
        <v>#REF!</v>
      </c>
      <c r="AS16" s="90" t="e">
        <f t="shared" si="19"/>
        <v>#REF!</v>
      </c>
      <c r="AT16" s="90" t="e">
        <f t="shared" si="19"/>
        <v>#REF!</v>
      </c>
      <c r="AU16" s="90" t="e">
        <f t="shared" si="19"/>
        <v>#REF!</v>
      </c>
      <c r="AV16" s="90" t="e">
        <f t="shared" si="19"/>
        <v>#REF!</v>
      </c>
      <c r="AW16" s="90" t="e">
        <f t="shared" si="19"/>
        <v>#REF!</v>
      </c>
      <c r="AX16" s="90"/>
      <c r="AY16" s="90"/>
      <c r="AZ16" s="90"/>
      <c r="BA16" s="2"/>
    </row>
    <row r="17" spans="1:68" ht="16.5">
      <c r="A17" s="159" t="s">
        <v>210</v>
      </c>
      <c r="B17" s="160">
        <f>B67</f>
        <v>0.96970000000000001</v>
      </c>
      <c r="C17" s="160">
        <f>C67</f>
        <v>0.89240000000000008</v>
      </c>
      <c r="D17" s="160">
        <f t="shared" ref="D17:AC17" si="20">D67</f>
        <v>0.8851</v>
      </c>
      <c r="E17" s="160">
        <f t="shared" si="20"/>
        <v>1.5517000000000001</v>
      </c>
      <c r="F17" s="160">
        <f t="shared" si="20"/>
        <v>0.87999999999999989</v>
      </c>
      <c r="G17" s="160">
        <f t="shared" si="20"/>
        <v>1.0558000000000001</v>
      </c>
      <c r="H17" s="160">
        <f t="shared" si="20"/>
        <v>1.1106</v>
      </c>
      <c r="I17" s="160">
        <f t="shared" si="20"/>
        <v>1.1426000000000001</v>
      </c>
      <c r="J17" s="160">
        <f t="shared" si="20"/>
        <v>1.8015000000000001</v>
      </c>
      <c r="K17" s="160">
        <f t="shared" si="20"/>
        <v>2.0007000000000001</v>
      </c>
      <c r="L17" s="160">
        <f t="shared" si="20"/>
        <v>1.3371999999999999</v>
      </c>
      <c r="M17" s="160">
        <f>M67</f>
        <v>1.4572000000000001</v>
      </c>
      <c r="N17" s="160">
        <f t="shared" si="20"/>
        <v>1.833</v>
      </c>
      <c r="O17" s="160">
        <f t="shared" si="20"/>
        <v>1.7307999999999999</v>
      </c>
      <c r="P17" s="160">
        <f t="shared" si="20"/>
        <v>1.2627999999999999</v>
      </c>
      <c r="Q17" s="160">
        <f t="shared" si="20"/>
        <v>1.3653999999999999</v>
      </c>
      <c r="R17" s="160">
        <f t="shared" si="20"/>
        <v>1.5509999999999999</v>
      </c>
      <c r="S17" s="160">
        <f t="shared" si="20"/>
        <v>1.6</v>
      </c>
      <c r="T17" s="160">
        <f t="shared" si="20"/>
        <v>1.4016</v>
      </c>
      <c r="U17" s="160">
        <f t="shared" si="20"/>
        <v>2.2419000000000002</v>
      </c>
      <c r="V17" s="160">
        <f t="shared" si="20"/>
        <v>2.4972000000000003</v>
      </c>
      <c r="W17" s="160">
        <f t="shared" si="20"/>
        <v>2.4167000000000001</v>
      </c>
      <c r="X17" s="160">
        <f t="shared" si="20"/>
        <v>1.9794</v>
      </c>
      <c r="Y17" s="160">
        <f t="shared" si="20"/>
        <v>2.5598000000000001</v>
      </c>
      <c r="Z17" s="160">
        <f t="shared" si="20"/>
        <v>2.1688999999999998</v>
      </c>
      <c r="AA17" s="160">
        <f t="shared" si="20"/>
        <v>2.7456</v>
      </c>
      <c r="AB17" s="160">
        <f t="shared" si="20"/>
        <v>1.6274999999999999</v>
      </c>
      <c r="AC17" s="160">
        <f t="shared" si="20"/>
        <v>1.9965000000000002</v>
      </c>
      <c r="AD17" s="161">
        <f>AD67</f>
        <v>1.9339004194864344</v>
      </c>
      <c r="AE17" s="161">
        <f>AE67</f>
        <v>2.5364842731803829</v>
      </c>
      <c r="AF17" s="162" t="e">
        <f t="shared" ref="AF17:AW17" si="21">AF11-AF16</f>
        <v>#REF!</v>
      </c>
      <c r="AG17" s="162" t="e">
        <f t="shared" si="21"/>
        <v>#REF!</v>
      </c>
      <c r="AH17" s="162" t="e">
        <f t="shared" si="21"/>
        <v>#REF!</v>
      </c>
      <c r="AI17" s="162" t="e">
        <f t="shared" si="21"/>
        <v>#REF!</v>
      </c>
      <c r="AJ17" s="162" t="e">
        <f t="shared" si="21"/>
        <v>#REF!</v>
      </c>
      <c r="AK17" s="162" t="e">
        <f t="shared" si="21"/>
        <v>#REF!</v>
      </c>
      <c r="AL17" s="162" t="e">
        <f t="shared" si="21"/>
        <v>#REF!</v>
      </c>
      <c r="AM17" s="162" t="e">
        <f t="shared" si="21"/>
        <v>#REF!</v>
      </c>
      <c r="AN17" s="162" t="e">
        <f t="shared" si="21"/>
        <v>#REF!</v>
      </c>
      <c r="AO17" s="162" t="e">
        <f t="shared" si="21"/>
        <v>#REF!</v>
      </c>
      <c r="AP17" s="162" t="e">
        <f t="shared" si="21"/>
        <v>#REF!</v>
      </c>
      <c r="AQ17" s="162" t="e">
        <f t="shared" si="21"/>
        <v>#REF!</v>
      </c>
      <c r="AR17" s="162" t="e">
        <f t="shared" si="21"/>
        <v>#REF!</v>
      </c>
      <c r="AS17" s="162" t="e">
        <f t="shared" si="21"/>
        <v>#REF!</v>
      </c>
      <c r="AT17" s="162" t="e">
        <f t="shared" si="21"/>
        <v>#REF!</v>
      </c>
      <c r="AU17" s="162" t="e">
        <f t="shared" si="21"/>
        <v>#REF!</v>
      </c>
      <c r="AV17" s="162" t="e">
        <f t="shared" si="21"/>
        <v>#REF!</v>
      </c>
      <c r="AW17" s="162" t="e">
        <f t="shared" si="21"/>
        <v>#REF!</v>
      </c>
      <c r="AX17" s="90"/>
      <c r="AY17" s="90"/>
      <c r="AZ17" s="90"/>
      <c r="BA17" s="2"/>
      <c r="BD17" s="164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</row>
    <row r="18" spans="1:68" ht="16.5">
      <c r="A18" s="156" t="s">
        <v>22</v>
      </c>
      <c r="B18" s="165">
        <f t="shared" ref="B18:AW18" si="22">B17/B16</f>
        <v>0.12474629752294274</v>
      </c>
      <c r="C18" s="165">
        <f t="shared" si="22"/>
        <v>0.10362927752371084</v>
      </c>
      <c r="D18" s="165">
        <f t="shared" si="22"/>
        <v>9.806947941737576E-2</v>
      </c>
      <c r="E18" s="165">
        <f t="shared" si="22"/>
        <v>0.16629320266219161</v>
      </c>
      <c r="F18" s="165">
        <f t="shared" si="22"/>
        <v>8.4749705074878598E-2</v>
      </c>
      <c r="G18" s="165">
        <f t="shared" si="22"/>
        <v>8.8990408118541503E-2</v>
      </c>
      <c r="H18" s="165">
        <f t="shared" si="22"/>
        <v>8.706627573339186E-2</v>
      </c>
      <c r="I18" s="165">
        <f t="shared" si="22"/>
        <v>0.10095773920682376</v>
      </c>
      <c r="J18" s="165">
        <f t="shared" si="22"/>
        <v>0.17375910748174075</v>
      </c>
      <c r="K18" s="165">
        <f t="shared" si="22"/>
        <v>0.18537510851072167</v>
      </c>
      <c r="L18" s="165">
        <f t="shared" si="22"/>
        <v>0.11669856515154667</v>
      </c>
      <c r="M18" s="165">
        <f t="shared" si="22"/>
        <v>0.10556201333071688</v>
      </c>
      <c r="N18" s="165">
        <f t="shared" si="22"/>
        <v>0.15528782162245608</v>
      </c>
      <c r="O18" s="165">
        <f t="shared" si="22"/>
        <v>0.14537303964716411</v>
      </c>
      <c r="P18" s="165">
        <f t="shared" si="22"/>
        <v>0.10472843182091567</v>
      </c>
      <c r="Q18" s="165">
        <f t="shared" si="22"/>
        <v>0.11691265361417948</v>
      </c>
      <c r="R18" s="165">
        <f t="shared" si="22"/>
        <v>0.13306938172375379</v>
      </c>
      <c r="S18" s="165">
        <f t="shared" si="22"/>
        <v>0.12511888928821496</v>
      </c>
      <c r="T18" s="165">
        <f t="shared" si="22"/>
        <v>0.10579235639697122</v>
      </c>
      <c r="U18" s="165">
        <f t="shared" si="22"/>
        <v>0.18011041416236129</v>
      </c>
      <c r="V18" s="165">
        <f t="shared" si="22"/>
        <v>0.18938133585238359</v>
      </c>
      <c r="W18" s="165">
        <f t="shared" si="22"/>
        <v>0.17062807321157483</v>
      </c>
      <c r="X18" s="166">
        <f t="shared" si="22"/>
        <v>0.12030183032725636</v>
      </c>
      <c r="Y18" s="166">
        <f t="shared" si="22"/>
        <v>0.17498894099698031</v>
      </c>
      <c r="Z18" s="166">
        <f t="shared" si="22"/>
        <v>0.1384881921719851</v>
      </c>
      <c r="AA18" s="166">
        <f t="shared" si="22"/>
        <v>0.13467443353326686</v>
      </c>
      <c r="AB18" s="166">
        <f t="shared" si="22"/>
        <v>9.0888707266601018E-2</v>
      </c>
      <c r="AC18" s="167">
        <f t="shared" si="22"/>
        <v>0.111394947060479</v>
      </c>
      <c r="AD18" s="167">
        <f>AD17/AD16</f>
        <v>0.10831770454866413</v>
      </c>
      <c r="AE18" s="167">
        <f>AE17/AE16</f>
        <v>0.14484198197942069</v>
      </c>
      <c r="AF18" s="167" t="e">
        <f t="shared" si="22"/>
        <v>#REF!</v>
      </c>
      <c r="AG18" s="167" t="e">
        <f t="shared" si="22"/>
        <v>#REF!</v>
      </c>
      <c r="AH18" s="167" t="e">
        <f t="shared" si="22"/>
        <v>#REF!</v>
      </c>
      <c r="AI18" s="167" t="e">
        <f t="shared" si="22"/>
        <v>#REF!</v>
      </c>
      <c r="AJ18" s="167" t="e">
        <f t="shared" si="22"/>
        <v>#REF!</v>
      </c>
      <c r="AK18" s="167" t="e">
        <f t="shared" si="22"/>
        <v>#REF!</v>
      </c>
      <c r="AL18" s="167" t="e">
        <f t="shared" si="22"/>
        <v>#REF!</v>
      </c>
      <c r="AM18" s="167" t="e">
        <f t="shared" si="22"/>
        <v>#REF!</v>
      </c>
      <c r="AN18" s="167" t="e">
        <f t="shared" si="22"/>
        <v>#REF!</v>
      </c>
      <c r="AO18" s="167" t="e">
        <f t="shared" si="22"/>
        <v>#REF!</v>
      </c>
      <c r="AP18" s="167" t="e">
        <f t="shared" si="22"/>
        <v>#REF!</v>
      </c>
      <c r="AQ18" s="167" t="e">
        <f t="shared" si="22"/>
        <v>#REF!</v>
      </c>
      <c r="AR18" s="167" t="e">
        <f t="shared" si="22"/>
        <v>#REF!</v>
      </c>
      <c r="AS18" s="167" t="e">
        <f t="shared" si="22"/>
        <v>#REF!</v>
      </c>
      <c r="AT18" s="167" t="e">
        <f t="shared" si="22"/>
        <v>#REF!</v>
      </c>
      <c r="AU18" s="167" t="e">
        <f t="shared" si="22"/>
        <v>#REF!</v>
      </c>
      <c r="AV18" s="167" t="e">
        <f t="shared" si="22"/>
        <v>#REF!</v>
      </c>
      <c r="AW18" s="167" t="e">
        <f t="shared" si="22"/>
        <v>#REF!</v>
      </c>
      <c r="AX18" s="167"/>
      <c r="AY18" s="167"/>
      <c r="AZ18" s="167"/>
      <c r="BA18" s="2"/>
      <c r="BD18" s="164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</row>
    <row r="19" spans="1:68" ht="16.5">
      <c r="A19" s="149" t="s">
        <v>211</v>
      </c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9"/>
      <c r="AD19" s="169"/>
      <c r="AE19" s="169"/>
      <c r="AF19" s="169" t="e">
        <f>#REF!</f>
        <v>#REF!</v>
      </c>
      <c r="AG19" s="169" t="e">
        <f>#REF!</f>
        <v>#REF!</v>
      </c>
      <c r="AH19" s="169" t="e">
        <f>#REF!</f>
        <v>#REF!</v>
      </c>
      <c r="AI19" s="169" t="e">
        <f>#REF!</f>
        <v>#REF!</v>
      </c>
      <c r="AJ19" s="169" t="e">
        <f>#REF!</f>
        <v>#REF!</v>
      </c>
      <c r="AK19" s="169" t="e">
        <f>#REF!</f>
        <v>#REF!</v>
      </c>
      <c r="AL19" s="169" t="e">
        <f>#REF!</f>
        <v>#REF!</v>
      </c>
      <c r="AM19" s="169" t="e">
        <f>#REF!</f>
        <v>#REF!</v>
      </c>
      <c r="AN19" s="169" t="e">
        <f>#REF!</f>
        <v>#REF!</v>
      </c>
      <c r="AO19" s="169" t="e">
        <f>#REF!</f>
        <v>#REF!</v>
      </c>
      <c r="AP19" s="169" t="e">
        <f>#REF!</f>
        <v>#REF!</v>
      </c>
      <c r="AQ19" s="169" t="e">
        <f>#REF!</f>
        <v>#REF!</v>
      </c>
      <c r="AR19" s="169" t="e">
        <f>#REF!</f>
        <v>#REF!</v>
      </c>
      <c r="AS19" s="169" t="e">
        <f>#REF!</f>
        <v>#REF!</v>
      </c>
      <c r="AT19" s="169" t="e">
        <f>#REF!</f>
        <v>#REF!</v>
      </c>
      <c r="AU19" s="169" t="e">
        <f>#REF!</f>
        <v>#REF!</v>
      </c>
      <c r="AV19" s="169" t="e">
        <f>#REF!</f>
        <v>#REF!</v>
      </c>
      <c r="AW19" s="169" t="e">
        <f>#REF!</f>
        <v>#REF!</v>
      </c>
      <c r="AX19" s="170"/>
      <c r="AY19" s="170"/>
      <c r="AZ19" s="170"/>
      <c r="BA19" s="2"/>
      <c r="BD19" s="164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</row>
    <row r="20" spans="1:68" ht="17.25" thickBot="1">
      <c r="A20" s="84" t="s">
        <v>212</v>
      </c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2"/>
      <c r="AC20" s="170"/>
      <c r="AD20" s="170"/>
      <c r="AE20" s="170"/>
      <c r="AF20" s="170" t="e">
        <f>MROUND(SUMPRODUCT(#REF!,#REF!),0.05)</f>
        <v>#REF!</v>
      </c>
      <c r="AG20" s="170" t="e">
        <f>MROUND(SUMPRODUCT(#REF!,#REF!),0.05)</f>
        <v>#REF!</v>
      </c>
      <c r="AH20" s="170" t="e">
        <f>MROUND(SUMPRODUCT(#REF!,#REF!),0.05)</f>
        <v>#REF!</v>
      </c>
      <c r="AI20" s="170" t="e">
        <f>MROUND(SUMPRODUCT(#REF!,#REF!),0.05)</f>
        <v>#REF!</v>
      </c>
      <c r="AJ20" s="170" t="e">
        <f>MROUND(SUMPRODUCT(#REF!,#REF!),0.05)</f>
        <v>#REF!</v>
      </c>
      <c r="AK20" s="170" t="e">
        <f>MROUND(SUMPRODUCT(#REF!,#REF!),0.05)</f>
        <v>#REF!</v>
      </c>
      <c r="AL20" s="170" t="e">
        <f>MROUND(SUMPRODUCT(#REF!,#REF!),0.05)</f>
        <v>#REF!</v>
      </c>
      <c r="AM20" s="170" t="e">
        <f>MROUND(SUMPRODUCT(#REF!,#REF!),0.05)</f>
        <v>#REF!</v>
      </c>
      <c r="AN20" s="170" t="e">
        <f>MROUND(SUMPRODUCT(#REF!,#REF!),0.05)</f>
        <v>#REF!</v>
      </c>
      <c r="AO20" s="170" t="e">
        <f>MROUND(SUMPRODUCT(#REF!,#REF!),0.05)</f>
        <v>#REF!</v>
      </c>
      <c r="AP20" s="170" t="e">
        <f>MROUND(SUMPRODUCT(#REF!,#REF!),0.05)</f>
        <v>#REF!</v>
      </c>
      <c r="AQ20" s="170" t="e">
        <f>MROUND(SUMPRODUCT(#REF!,#REF!),0.05)</f>
        <v>#REF!</v>
      </c>
      <c r="AR20" s="170" t="e">
        <f>MROUND(SUMPRODUCT(#REF!,#REF!),0.05)</f>
        <v>#REF!</v>
      </c>
      <c r="AS20" s="170" t="e">
        <f>MROUND(SUMPRODUCT(#REF!,#REF!),0.05)</f>
        <v>#REF!</v>
      </c>
      <c r="AT20" s="170" t="e">
        <f>MROUND(SUMPRODUCT(#REF!,#REF!),0.05)</f>
        <v>#REF!</v>
      </c>
      <c r="AU20" s="170" t="e">
        <f>MROUND(SUMPRODUCT(#REF!,#REF!),0.05)</f>
        <v>#REF!</v>
      </c>
      <c r="AV20" s="170" t="e">
        <f>MROUND(SUMPRODUCT(#REF!,#REF!),0.05)</f>
        <v>#REF!</v>
      </c>
      <c r="AW20" s="170" t="e">
        <f>MROUND(SUMPRODUCT(#REF!,#REF!),0.05)</f>
        <v>#REF!</v>
      </c>
      <c r="AX20" s="170"/>
      <c r="AY20" s="170"/>
      <c r="AZ20" s="170"/>
      <c r="BA20" s="2"/>
    </row>
    <row r="21" spans="1:68" ht="16.5">
      <c r="A21" s="173" t="s">
        <v>213</v>
      </c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5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  <c r="AT21" s="175"/>
      <c r="AU21" s="175"/>
      <c r="AV21" s="175"/>
      <c r="AW21" s="175"/>
      <c r="AX21" s="176"/>
      <c r="AY21" s="176"/>
      <c r="AZ21" s="176"/>
      <c r="BA21" s="2"/>
    </row>
    <row r="22" spans="1:68" ht="16.5">
      <c r="A22" s="177"/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6"/>
      <c r="AQ22" s="176"/>
      <c r="AR22" s="176"/>
      <c r="AS22" s="176"/>
      <c r="AT22" s="176"/>
      <c r="AU22" s="176"/>
      <c r="AV22" s="176"/>
      <c r="AW22" s="176"/>
      <c r="AX22" s="176"/>
      <c r="AY22" s="176"/>
      <c r="AZ22" s="176"/>
      <c r="BA22" s="2"/>
    </row>
    <row r="23" spans="1:68">
      <c r="A23" s="136" t="s">
        <v>214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79" t="s">
        <v>215</v>
      </c>
    </row>
    <row r="24" spans="1:68">
      <c r="A24" s="2" t="s">
        <v>12</v>
      </c>
      <c r="B24" s="180">
        <v>0.72050000000000003</v>
      </c>
      <c r="C24" s="180">
        <v>0.96970000000000001</v>
      </c>
      <c r="D24" s="180">
        <v>0.89239999999999997</v>
      </c>
      <c r="E24" s="180">
        <v>0.8851</v>
      </c>
      <c r="F24" s="180">
        <v>1.5517000000000001</v>
      </c>
      <c r="G24" s="180">
        <v>0.88</v>
      </c>
      <c r="H24" s="180">
        <v>1.0557999999999998</v>
      </c>
      <c r="I24" s="180">
        <v>1.1105999999999998</v>
      </c>
      <c r="J24" s="180">
        <v>1.1425999999999998</v>
      </c>
      <c r="K24" s="180">
        <v>1.8015000000000001</v>
      </c>
      <c r="L24" s="180">
        <v>2.0007000000000001</v>
      </c>
      <c r="M24" s="180">
        <v>1.3371999999999999</v>
      </c>
      <c r="N24" s="180">
        <v>1.4572000000000001</v>
      </c>
      <c r="O24" s="180">
        <v>1.833</v>
      </c>
      <c r="P24" s="180">
        <v>1.7307999999999999</v>
      </c>
      <c r="Q24" s="180">
        <v>1.2627999999999999</v>
      </c>
      <c r="R24" s="180">
        <v>1.3654000000000002</v>
      </c>
      <c r="S24" s="180">
        <v>1.5509999999999999</v>
      </c>
      <c r="T24" s="180">
        <v>1.6</v>
      </c>
      <c r="U24" s="180">
        <v>1.4016</v>
      </c>
      <c r="V24" s="180">
        <v>2.2419000000000002</v>
      </c>
      <c r="W24" s="180">
        <v>2.4971999999999999</v>
      </c>
      <c r="X24" s="180">
        <v>2.4166999999999996</v>
      </c>
      <c r="Y24" s="180">
        <v>1.9794</v>
      </c>
      <c r="Z24" s="180">
        <v>2.5598000000000001</v>
      </c>
      <c r="AA24" s="180">
        <v>2.1689000000000003</v>
      </c>
      <c r="AB24" s="180">
        <v>2.7456000000000005</v>
      </c>
      <c r="AC24" s="180">
        <v>1.6274999999999999</v>
      </c>
      <c r="AD24" s="80">
        <f>AC67</f>
        <v>1.9965000000000002</v>
      </c>
      <c r="AE24" s="80">
        <f>AD67</f>
        <v>1.9339004194864344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68" ht="16.5">
      <c r="A25" s="2" t="s">
        <v>216</v>
      </c>
      <c r="B25" s="181">
        <v>0.45</v>
      </c>
      <c r="C25" s="143">
        <v>0.65</v>
      </c>
      <c r="D25" s="143">
        <v>0.65</v>
      </c>
      <c r="E25" s="143">
        <v>0.64500000000000002</v>
      </c>
      <c r="F25" s="143">
        <v>1.2250000000000001</v>
      </c>
      <c r="G25" s="143">
        <v>0.7</v>
      </c>
      <c r="H25" s="143">
        <v>0.8</v>
      </c>
      <c r="I25" s="143">
        <v>0.8</v>
      </c>
      <c r="J25" s="143">
        <v>0.85</v>
      </c>
      <c r="K25" s="143">
        <v>1.37</v>
      </c>
      <c r="L25" s="143">
        <v>1.58</v>
      </c>
      <c r="M25" s="143">
        <v>0.85</v>
      </c>
      <c r="N25" s="143">
        <v>1.1000000000000001</v>
      </c>
      <c r="O25" s="143">
        <v>1.4</v>
      </c>
      <c r="P25" s="143">
        <v>1.2549999999999999</v>
      </c>
      <c r="Q25" s="143">
        <v>0.8</v>
      </c>
      <c r="R25" s="143">
        <v>0.86499999999999999</v>
      </c>
      <c r="S25" s="143">
        <v>1.125</v>
      </c>
      <c r="T25" s="143">
        <v>1.1000000000000001</v>
      </c>
      <c r="U25" s="143">
        <v>0.95</v>
      </c>
      <c r="V25" s="143">
        <v>1.625</v>
      </c>
      <c r="W25" s="143">
        <v>1.766</v>
      </c>
      <c r="X25" s="143">
        <v>1.5609999999999999</v>
      </c>
      <c r="Y25" s="143">
        <v>1.0760000000000001</v>
      </c>
      <c r="Z25" s="143">
        <v>1.9943</v>
      </c>
      <c r="AA25" s="143">
        <v>1.4850000000000001</v>
      </c>
      <c r="AB25" s="143">
        <v>1.5844</v>
      </c>
      <c r="AC25" s="143">
        <v>0.89470000000000005</v>
      </c>
      <c r="AD25" s="142"/>
      <c r="AE25" s="142"/>
      <c r="AF25" s="142">
        <f t="shared" ref="AF25:AU26" si="23">AE65</f>
        <v>0</v>
      </c>
      <c r="AG25" s="142" t="e">
        <f t="shared" si="23"/>
        <v>#REF!</v>
      </c>
      <c r="AH25" s="142" t="e">
        <f t="shared" si="23"/>
        <v>#REF!</v>
      </c>
      <c r="AI25" s="142" t="e">
        <f t="shared" si="23"/>
        <v>#REF!</v>
      </c>
      <c r="AJ25" s="142" t="e">
        <f t="shared" si="23"/>
        <v>#REF!</v>
      </c>
      <c r="AK25" s="142" t="e">
        <f t="shared" si="23"/>
        <v>#REF!</v>
      </c>
      <c r="AL25" s="142" t="e">
        <f t="shared" si="23"/>
        <v>#REF!</v>
      </c>
      <c r="AM25" s="142" t="e">
        <f t="shared" si="23"/>
        <v>#REF!</v>
      </c>
      <c r="AN25" s="142" t="e">
        <f t="shared" si="23"/>
        <v>#REF!</v>
      </c>
      <c r="AO25" s="142" t="e">
        <f t="shared" si="23"/>
        <v>#REF!</v>
      </c>
      <c r="AP25" s="142" t="e">
        <f t="shared" si="23"/>
        <v>#REF!</v>
      </c>
      <c r="AQ25" s="142" t="e">
        <f t="shared" si="23"/>
        <v>#REF!</v>
      </c>
      <c r="AR25" s="142" t="e">
        <f t="shared" si="23"/>
        <v>#REF!</v>
      </c>
      <c r="AS25" s="142" t="e">
        <f t="shared" si="23"/>
        <v>#REF!</v>
      </c>
      <c r="AT25" s="142" t="e">
        <f t="shared" si="23"/>
        <v>#REF!</v>
      </c>
      <c r="AU25" s="142" t="e">
        <f t="shared" si="23"/>
        <v>#REF!</v>
      </c>
      <c r="AV25" s="2"/>
      <c r="AW25" s="2"/>
    </row>
    <row r="26" spans="1:68" ht="16.5">
      <c r="A26" s="2" t="s">
        <v>217</v>
      </c>
      <c r="B26" s="181">
        <v>0.27050000000000002</v>
      </c>
      <c r="C26" s="143">
        <v>0.31969999999999998</v>
      </c>
      <c r="D26" s="143">
        <v>0.2424</v>
      </c>
      <c r="E26" s="143">
        <v>0.24010000000000001</v>
      </c>
      <c r="F26" s="143">
        <v>0.32669999999999999</v>
      </c>
      <c r="G26" s="143">
        <v>0.18</v>
      </c>
      <c r="H26" s="143">
        <v>0.25580000000000003</v>
      </c>
      <c r="I26" s="143">
        <v>0.31060000000000004</v>
      </c>
      <c r="J26" s="143">
        <v>0.29260000000000003</v>
      </c>
      <c r="K26" s="143">
        <v>0.43149999999999999</v>
      </c>
      <c r="L26" s="143">
        <v>0.42069999999999996</v>
      </c>
      <c r="M26" s="143">
        <v>0.48719999999999997</v>
      </c>
      <c r="N26" s="143">
        <v>0.35719999999999996</v>
      </c>
      <c r="O26" s="143">
        <v>0.433</v>
      </c>
      <c r="P26" s="143">
        <v>0.4758</v>
      </c>
      <c r="Q26" s="143">
        <v>0.46279999999999999</v>
      </c>
      <c r="R26" s="143">
        <v>0.50039999999999996</v>
      </c>
      <c r="S26" s="143">
        <v>0.42599999999999999</v>
      </c>
      <c r="T26" s="143">
        <v>0.5</v>
      </c>
      <c r="U26" s="143">
        <v>0.4516</v>
      </c>
      <c r="V26" s="143">
        <v>0.6169</v>
      </c>
      <c r="W26" s="143">
        <v>0.73120000000000007</v>
      </c>
      <c r="X26" s="143">
        <v>0.85570000000000002</v>
      </c>
      <c r="Y26" s="143">
        <v>0.90339999999999998</v>
      </c>
      <c r="Z26" s="143">
        <v>0.5655</v>
      </c>
      <c r="AA26" s="143">
        <v>0.68389999999999995</v>
      </c>
      <c r="AB26" s="143">
        <v>1.1612</v>
      </c>
      <c r="AC26" s="143">
        <v>0.73280000000000001</v>
      </c>
      <c r="AD26" s="142"/>
      <c r="AE26" s="142"/>
      <c r="AF26" s="142">
        <f t="shared" si="23"/>
        <v>0</v>
      </c>
      <c r="AG26" s="142" t="e">
        <f t="shared" si="23"/>
        <v>#REF!</v>
      </c>
      <c r="AH26" s="142" t="e">
        <f t="shared" si="23"/>
        <v>#REF!</v>
      </c>
      <c r="AI26" s="142" t="e">
        <f t="shared" si="23"/>
        <v>#REF!</v>
      </c>
      <c r="AJ26" s="142" t="e">
        <f t="shared" si="23"/>
        <v>#REF!</v>
      </c>
      <c r="AK26" s="142" t="e">
        <f t="shared" si="23"/>
        <v>#REF!</v>
      </c>
      <c r="AL26" s="142" t="e">
        <f t="shared" si="23"/>
        <v>#REF!</v>
      </c>
      <c r="AM26" s="142" t="e">
        <f t="shared" si="23"/>
        <v>#REF!</v>
      </c>
      <c r="AN26" s="142" t="e">
        <f t="shared" si="23"/>
        <v>#REF!</v>
      </c>
      <c r="AO26" s="142" t="e">
        <f t="shared" si="23"/>
        <v>#REF!</v>
      </c>
      <c r="AP26" s="142" t="e">
        <f t="shared" si="23"/>
        <v>#REF!</v>
      </c>
      <c r="AQ26" s="142" t="e">
        <f t="shared" si="23"/>
        <v>#REF!</v>
      </c>
      <c r="AR26" s="142" t="e">
        <f t="shared" si="23"/>
        <v>#REF!</v>
      </c>
      <c r="AS26" s="142" t="e">
        <f t="shared" si="23"/>
        <v>#REF!</v>
      </c>
      <c r="AT26" s="142" t="e">
        <f t="shared" si="23"/>
        <v>#REF!</v>
      </c>
      <c r="AU26" s="142" t="e">
        <f t="shared" si="23"/>
        <v>#REF!</v>
      </c>
      <c r="AV26" s="2"/>
      <c r="AW26" s="2"/>
    </row>
    <row r="27" spans="1:68">
      <c r="A27" s="2" t="s">
        <v>218</v>
      </c>
      <c r="B27" s="143">
        <f t="shared" ref="B27:AU27" si="24">SUM(B25:B26)</f>
        <v>0.72050000000000003</v>
      </c>
      <c r="C27" s="143">
        <f t="shared" si="24"/>
        <v>0.96970000000000001</v>
      </c>
      <c r="D27" s="143">
        <f t="shared" si="24"/>
        <v>0.89240000000000008</v>
      </c>
      <c r="E27" s="143">
        <f t="shared" si="24"/>
        <v>0.8851</v>
      </c>
      <c r="F27" s="143">
        <f t="shared" si="24"/>
        <v>1.5517000000000001</v>
      </c>
      <c r="G27" s="143">
        <f t="shared" si="24"/>
        <v>0.87999999999999989</v>
      </c>
      <c r="H27" s="143">
        <f t="shared" si="24"/>
        <v>1.0558000000000001</v>
      </c>
      <c r="I27" s="143">
        <f t="shared" si="24"/>
        <v>1.1106</v>
      </c>
      <c r="J27" s="143">
        <f t="shared" si="24"/>
        <v>1.1426000000000001</v>
      </c>
      <c r="K27" s="143">
        <f t="shared" si="24"/>
        <v>1.8015000000000001</v>
      </c>
      <c r="L27" s="143">
        <f t="shared" si="24"/>
        <v>2.0007000000000001</v>
      </c>
      <c r="M27" s="143">
        <f t="shared" si="24"/>
        <v>1.3371999999999999</v>
      </c>
      <c r="N27" s="143">
        <f t="shared" si="24"/>
        <v>1.4572000000000001</v>
      </c>
      <c r="O27" s="143">
        <f t="shared" si="24"/>
        <v>1.833</v>
      </c>
      <c r="P27" s="143">
        <f t="shared" si="24"/>
        <v>1.7307999999999999</v>
      </c>
      <c r="Q27" s="143">
        <f t="shared" si="24"/>
        <v>1.2627999999999999</v>
      </c>
      <c r="R27" s="143">
        <f t="shared" si="24"/>
        <v>1.3653999999999999</v>
      </c>
      <c r="S27" s="143">
        <f t="shared" si="24"/>
        <v>1.5509999999999999</v>
      </c>
      <c r="T27" s="143">
        <f t="shared" si="24"/>
        <v>1.6</v>
      </c>
      <c r="U27" s="143">
        <f t="shared" si="24"/>
        <v>1.4016</v>
      </c>
      <c r="V27" s="143">
        <f t="shared" si="24"/>
        <v>2.2419000000000002</v>
      </c>
      <c r="W27" s="143">
        <f t="shared" si="24"/>
        <v>2.4972000000000003</v>
      </c>
      <c r="X27" s="143">
        <f t="shared" si="24"/>
        <v>2.4167000000000001</v>
      </c>
      <c r="Y27" s="143">
        <f t="shared" si="24"/>
        <v>1.9794</v>
      </c>
      <c r="Z27" s="143">
        <f t="shared" si="24"/>
        <v>2.5598000000000001</v>
      </c>
      <c r="AA27" s="143">
        <f t="shared" si="24"/>
        <v>2.1688999999999998</v>
      </c>
      <c r="AB27" s="143">
        <f t="shared" si="24"/>
        <v>2.7456</v>
      </c>
      <c r="AC27" s="143">
        <f t="shared" si="24"/>
        <v>1.6274999999999999</v>
      </c>
      <c r="AD27" s="142">
        <f>AD24</f>
        <v>1.9965000000000002</v>
      </c>
      <c r="AE27" s="142">
        <f>AE24</f>
        <v>1.9339004194864344</v>
      </c>
      <c r="AF27" s="142">
        <f t="shared" si="24"/>
        <v>0</v>
      </c>
      <c r="AG27" s="142" t="e">
        <f t="shared" si="24"/>
        <v>#REF!</v>
      </c>
      <c r="AH27" s="142" t="e">
        <f t="shared" si="24"/>
        <v>#REF!</v>
      </c>
      <c r="AI27" s="142" t="e">
        <f t="shared" si="24"/>
        <v>#REF!</v>
      </c>
      <c r="AJ27" s="142" t="e">
        <f t="shared" si="24"/>
        <v>#REF!</v>
      </c>
      <c r="AK27" s="142" t="e">
        <f t="shared" si="24"/>
        <v>#REF!</v>
      </c>
      <c r="AL27" s="142" t="e">
        <f t="shared" si="24"/>
        <v>#REF!</v>
      </c>
      <c r="AM27" s="142" t="e">
        <f t="shared" si="24"/>
        <v>#REF!</v>
      </c>
      <c r="AN27" s="142" t="e">
        <f t="shared" si="24"/>
        <v>#REF!</v>
      </c>
      <c r="AO27" s="142" t="e">
        <f t="shared" si="24"/>
        <v>#REF!</v>
      </c>
      <c r="AP27" s="142" t="e">
        <f t="shared" si="24"/>
        <v>#REF!</v>
      </c>
      <c r="AQ27" s="142" t="e">
        <f t="shared" si="24"/>
        <v>#REF!</v>
      </c>
      <c r="AR27" s="142" t="e">
        <f t="shared" si="24"/>
        <v>#REF!</v>
      </c>
      <c r="AS27" s="142" t="e">
        <f t="shared" si="24"/>
        <v>#REF!</v>
      </c>
      <c r="AT27" s="142" t="e">
        <f t="shared" si="24"/>
        <v>#REF!</v>
      </c>
      <c r="AU27" s="142" t="e">
        <f t="shared" si="24"/>
        <v>#REF!</v>
      </c>
      <c r="AV27" s="2"/>
      <c r="AW27" s="2"/>
    </row>
    <row r="28" spans="1:68" ht="13.5" thickBot="1">
      <c r="A28" s="2" t="s">
        <v>13</v>
      </c>
      <c r="B28" s="143">
        <f t="shared" ref="B28:AC28" si="25">B9</f>
        <v>7.5416999999999996</v>
      </c>
      <c r="C28" s="143">
        <f t="shared" si="25"/>
        <v>7.1798000000000002</v>
      </c>
      <c r="D28" s="143">
        <f t="shared" si="25"/>
        <v>8.952399999999999</v>
      </c>
      <c r="E28" s="143">
        <f t="shared" si="25"/>
        <v>9.1612999999999989</v>
      </c>
      <c r="F28" s="143">
        <f t="shared" si="25"/>
        <v>6.9536999999999995</v>
      </c>
      <c r="G28" s="143">
        <f t="shared" si="25"/>
        <v>8.3892000000000007</v>
      </c>
      <c r="H28" s="143">
        <f t="shared" si="25"/>
        <v>8.9987999999999992</v>
      </c>
      <c r="I28" s="143">
        <f t="shared" si="25"/>
        <v>9.587299999999999</v>
      </c>
      <c r="J28" s="143">
        <f t="shared" si="25"/>
        <v>8.8367999999999984</v>
      </c>
      <c r="K28" s="143">
        <f t="shared" si="25"/>
        <v>9.3322000000000003</v>
      </c>
      <c r="L28" s="143">
        <f t="shared" si="25"/>
        <v>8.9897999999999989</v>
      </c>
      <c r="M28" s="143">
        <f t="shared" si="25"/>
        <v>11.648700000000002</v>
      </c>
      <c r="N28" s="143">
        <f t="shared" si="25"/>
        <v>10.642799999999999</v>
      </c>
      <c r="O28" s="143">
        <f t="shared" si="25"/>
        <v>9.7962000000000007</v>
      </c>
      <c r="P28" s="143">
        <f t="shared" si="25"/>
        <v>12.043299999999999</v>
      </c>
      <c r="Q28" s="143">
        <f t="shared" si="25"/>
        <v>11.358700000000001</v>
      </c>
      <c r="R28" s="143">
        <f t="shared" si="25"/>
        <v>13.0601</v>
      </c>
      <c r="S28" s="143">
        <f t="shared" si="25"/>
        <v>14.190700000000001</v>
      </c>
      <c r="T28" s="143">
        <f t="shared" si="25"/>
        <v>11.606399999999999</v>
      </c>
      <c r="U28" s="143">
        <f t="shared" si="25"/>
        <v>13.679500000000001</v>
      </c>
      <c r="V28" s="143">
        <f t="shared" si="25"/>
        <v>13.888999999999999</v>
      </c>
      <c r="W28" s="143">
        <f t="shared" si="25"/>
        <v>14.095499999999999</v>
      </c>
      <c r="X28" s="143">
        <f t="shared" si="25"/>
        <v>13.884799999999998</v>
      </c>
      <c r="Y28" s="143">
        <f t="shared" si="25"/>
        <v>13.4039</v>
      </c>
      <c r="Z28" s="143">
        <f t="shared" si="25"/>
        <v>13.5633</v>
      </c>
      <c r="AA28" s="143">
        <f t="shared" si="25"/>
        <v>14.610799999999999</v>
      </c>
      <c r="AB28" s="143">
        <f t="shared" si="25"/>
        <v>14.5389</v>
      </c>
      <c r="AC28" s="143">
        <f t="shared" si="25"/>
        <v>15.420999999999999</v>
      </c>
      <c r="AD28" s="143">
        <f>AD9</f>
        <v>15.345000000000001</v>
      </c>
      <c r="AE28" s="143">
        <f>AE9</f>
        <v>15.532954750117703</v>
      </c>
      <c r="AF28" s="142" t="e">
        <f t="shared" ref="AF28:AU28" si="26">#REF!</f>
        <v>#REF!</v>
      </c>
      <c r="AG28" s="142" t="e">
        <f t="shared" si="26"/>
        <v>#REF!</v>
      </c>
      <c r="AH28" s="142" t="e">
        <f t="shared" si="26"/>
        <v>#REF!</v>
      </c>
      <c r="AI28" s="142" t="e">
        <f t="shared" si="26"/>
        <v>#REF!</v>
      </c>
      <c r="AJ28" s="142" t="e">
        <f t="shared" si="26"/>
        <v>#REF!</v>
      </c>
      <c r="AK28" s="142" t="e">
        <f t="shared" si="26"/>
        <v>#REF!</v>
      </c>
      <c r="AL28" s="142" t="e">
        <f t="shared" si="26"/>
        <v>#REF!</v>
      </c>
      <c r="AM28" s="142" t="e">
        <f t="shared" si="26"/>
        <v>#REF!</v>
      </c>
      <c r="AN28" s="142" t="e">
        <f t="shared" si="26"/>
        <v>#REF!</v>
      </c>
      <c r="AO28" s="142" t="e">
        <f t="shared" si="26"/>
        <v>#REF!</v>
      </c>
      <c r="AP28" s="142" t="e">
        <f t="shared" si="26"/>
        <v>#REF!</v>
      </c>
      <c r="AQ28" s="142" t="e">
        <f t="shared" si="26"/>
        <v>#REF!</v>
      </c>
      <c r="AR28" s="142" t="e">
        <f t="shared" si="26"/>
        <v>#REF!</v>
      </c>
      <c r="AS28" s="142" t="e">
        <f t="shared" si="26"/>
        <v>#REF!</v>
      </c>
      <c r="AT28" s="142" t="e">
        <f t="shared" si="26"/>
        <v>#REF!</v>
      </c>
      <c r="AU28" s="142" t="e">
        <f t="shared" si="26"/>
        <v>#REF!</v>
      </c>
      <c r="AV28" s="2"/>
      <c r="AW28" s="2"/>
    </row>
    <row r="29" spans="1:68" ht="16.5">
      <c r="A29" s="91" t="s">
        <v>219</v>
      </c>
      <c r="B29" s="182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2"/>
      <c r="AW29" s="2"/>
    </row>
    <row r="30" spans="1:68" ht="16.5">
      <c r="A30" s="2" t="s">
        <v>14</v>
      </c>
      <c r="B30" s="181">
        <f>SUM(B87:B90)</f>
        <v>0</v>
      </c>
      <c r="C30" s="181">
        <f t="shared" ref="C30:X30" si="27">SUM(C87:C90)</f>
        <v>5.2000000000000004E-5</v>
      </c>
      <c r="D30" s="181">
        <f t="shared" si="27"/>
        <v>4.0700000000000003E-4</v>
      </c>
      <c r="E30" s="181">
        <f t="shared" si="27"/>
        <v>5.6999999999999996E-5</v>
      </c>
      <c r="F30" s="181">
        <f t="shared" si="27"/>
        <v>1.25E-4</v>
      </c>
      <c r="G30" s="181">
        <f t="shared" si="27"/>
        <v>0</v>
      </c>
      <c r="H30" s="181">
        <f t="shared" si="27"/>
        <v>7.2044000000000017E-5</v>
      </c>
      <c r="I30" s="181">
        <f t="shared" si="27"/>
        <v>0</v>
      </c>
      <c r="J30" s="181">
        <f t="shared" si="27"/>
        <v>0</v>
      </c>
      <c r="K30" s="181">
        <f t="shared" si="27"/>
        <v>8.9999999999999995E-9</v>
      </c>
      <c r="L30" s="181">
        <f t="shared" si="27"/>
        <v>1.0999999999999999E-8</v>
      </c>
      <c r="M30" s="181">
        <f t="shared" si="27"/>
        <v>1.5999999999999999E-6</v>
      </c>
      <c r="N30" s="181">
        <f t="shared" si="27"/>
        <v>3.3629909999999996E-3</v>
      </c>
      <c r="O30" s="181">
        <f t="shared" si="27"/>
        <v>1.1787499999999999E-4</v>
      </c>
      <c r="P30" s="181">
        <f t="shared" si="27"/>
        <v>5.4112999999999991E-4</v>
      </c>
      <c r="Q30" s="181">
        <f t="shared" si="27"/>
        <v>4.9563100000000007E-4</v>
      </c>
      <c r="R30" s="181">
        <f t="shared" si="27"/>
        <v>6.7024200000000004E-4</v>
      </c>
      <c r="S30" s="181">
        <f t="shared" si="27"/>
        <v>6.5015400000000001E-4</v>
      </c>
      <c r="T30" s="181">
        <f t="shared" si="27"/>
        <v>7.0214499999999994E-4</v>
      </c>
      <c r="U30" s="181">
        <f t="shared" si="27"/>
        <v>4.9658999999999999E-4</v>
      </c>
      <c r="V30" s="181">
        <f t="shared" si="27"/>
        <v>1.4628030000000002E-3</v>
      </c>
      <c r="W30" s="181">
        <f t="shared" si="27"/>
        <v>2.4109800000000001E-3</v>
      </c>
      <c r="X30" s="181">
        <f t="shared" si="27"/>
        <v>9.2858299999999997E-4</v>
      </c>
      <c r="Y30" s="181">
        <f t="shared" ref="Y30:AC30" si="28">SUM(Y87:Y90)/1000</f>
        <v>0.54971599999999998</v>
      </c>
      <c r="Z30" s="181">
        <f t="shared" si="28"/>
        <v>0.54651800000000006</v>
      </c>
      <c r="AA30" s="181">
        <f t="shared" si="28"/>
        <v>1.797895</v>
      </c>
      <c r="AB30" s="181">
        <f t="shared" si="28"/>
        <v>0.50627600000000006</v>
      </c>
      <c r="AC30" s="181">
        <f t="shared" si="28"/>
        <v>1.134881</v>
      </c>
      <c r="AD30" s="181">
        <f>SUM(AD87:AD90)/1000</f>
        <v>0.61983500000000002</v>
      </c>
      <c r="AE30" s="181">
        <f>SUM(AE87:AE90)/1000</f>
        <v>0.7369689666433874</v>
      </c>
      <c r="AF30" s="142" t="e">
        <f t="shared" ref="AF30" si="29">SUM(#REF!)</f>
        <v>#REF!</v>
      </c>
      <c r="AG30" s="142" t="e">
        <f t="shared" ref="AG30:AU30" si="30">SUM(#REF!)</f>
        <v>#REF!</v>
      </c>
      <c r="AH30" s="142" t="e">
        <f t="shared" si="30"/>
        <v>#REF!</v>
      </c>
      <c r="AI30" s="142" t="e">
        <f t="shared" si="30"/>
        <v>#REF!</v>
      </c>
      <c r="AJ30" s="142" t="e">
        <f t="shared" si="30"/>
        <v>#REF!</v>
      </c>
      <c r="AK30" s="142" t="e">
        <f t="shared" si="30"/>
        <v>#REF!</v>
      </c>
      <c r="AL30" s="142" t="e">
        <f t="shared" si="30"/>
        <v>#REF!</v>
      </c>
      <c r="AM30" s="142" t="e">
        <f t="shared" si="30"/>
        <v>#REF!</v>
      </c>
      <c r="AN30" s="142" t="e">
        <f t="shared" si="30"/>
        <v>#REF!</v>
      </c>
      <c r="AO30" s="142" t="e">
        <f t="shared" si="30"/>
        <v>#REF!</v>
      </c>
      <c r="AP30" s="142" t="e">
        <f t="shared" si="30"/>
        <v>#REF!</v>
      </c>
      <c r="AQ30" s="142" t="e">
        <f t="shared" si="30"/>
        <v>#REF!</v>
      </c>
      <c r="AR30" s="142" t="e">
        <f t="shared" si="30"/>
        <v>#REF!</v>
      </c>
      <c r="AS30" s="142" t="e">
        <f t="shared" si="30"/>
        <v>#REF!</v>
      </c>
      <c r="AT30" s="142" t="e">
        <f t="shared" si="30"/>
        <v>#REF!</v>
      </c>
      <c r="AU30" s="142" t="e">
        <f t="shared" si="30"/>
        <v>#REF!</v>
      </c>
      <c r="AV30" s="2"/>
      <c r="AW30" s="2"/>
    </row>
    <row r="31" spans="1:68" ht="16.5">
      <c r="A31" s="2" t="s">
        <v>19</v>
      </c>
      <c r="B31" s="181">
        <f t="shared" ref="B31:X31" si="31">SUM(B71:B74)</f>
        <v>5.9000000000000003E-4</v>
      </c>
      <c r="C31" s="181">
        <f t="shared" si="31"/>
        <v>1.25E-4</v>
      </c>
      <c r="D31" s="181">
        <f t="shared" si="31"/>
        <v>1.6000000000000003E-5</v>
      </c>
      <c r="E31" s="181">
        <f t="shared" si="31"/>
        <v>1.9999999999999999E-6</v>
      </c>
      <c r="F31" s="181">
        <f t="shared" si="31"/>
        <v>4.464E-5</v>
      </c>
      <c r="G31" s="181">
        <f t="shared" si="31"/>
        <v>0</v>
      </c>
      <c r="H31" s="181">
        <f t="shared" si="31"/>
        <v>0</v>
      </c>
      <c r="I31" s="181">
        <f t="shared" si="31"/>
        <v>6E-9</v>
      </c>
      <c r="J31" s="181">
        <f t="shared" si="31"/>
        <v>0</v>
      </c>
      <c r="K31" s="181">
        <f t="shared" si="31"/>
        <v>5.0200000000000002E-7</v>
      </c>
      <c r="L31" s="181">
        <f t="shared" si="31"/>
        <v>1.85E-7</v>
      </c>
      <c r="M31" s="181">
        <f t="shared" si="31"/>
        <v>2.1633199999999998E-3</v>
      </c>
      <c r="N31" s="181">
        <f t="shared" si="31"/>
        <v>3.5338300000000003E-4</v>
      </c>
      <c r="O31" s="181">
        <f t="shared" si="31"/>
        <v>6.5581699999999995E-4</v>
      </c>
      <c r="P31" s="181">
        <f t="shared" si="31"/>
        <v>5.8302599999999994E-4</v>
      </c>
      <c r="Q31" s="181">
        <f t="shared" si="31"/>
        <v>6.1002199999999999E-4</v>
      </c>
      <c r="R31" s="181">
        <f t="shared" si="31"/>
        <v>6.5746100000000003E-4</v>
      </c>
      <c r="S31" s="181">
        <f t="shared" si="31"/>
        <v>5.3309899999999999E-4</v>
      </c>
      <c r="T31" s="181">
        <f t="shared" si="31"/>
        <v>4.913439999999999E-4</v>
      </c>
      <c r="U31" s="181">
        <f t="shared" si="31"/>
        <v>1.9822149999999998E-3</v>
      </c>
      <c r="V31" s="181">
        <f t="shared" si="31"/>
        <v>2.1046110000000002E-3</v>
      </c>
      <c r="W31" s="181">
        <f t="shared" si="31"/>
        <v>2.6349890000000003E-3</v>
      </c>
      <c r="X31" s="181">
        <f t="shared" si="31"/>
        <v>0.25272</v>
      </c>
      <c r="Y31" s="181">
        <f>SUM(Y71:Y74)/1000</f>
        <v>9.6162000000000011E-2</v>
      </c>
      <c r="Z31" s="181">
        <f t="shared" ref="Z31:AE31" si="32">SUM(Z71:Z74)/1000</f>
        <v>0.52033299999999993</v>
      </c>
      <c r="AA31" s="181">
        <f t="shared" si="32"/>
        <v>0.67603099999999994</v>
      </c>
      <c r="AB31" s="181">
        <f t="shared" si="32"/>
        <v>0.56214999999999993</v>
      </c>
      <c r="AC31" s="181">
        <f t="shared" si="32"/>
        <v>0.53133999999999992</v>
      </c>
      <c r="AD31" s="181">
        <f t="shared" si="32"/>
        <v>0.77603199999999994</v>
      </c>
      <c r="AE31" s="181">
        <f t="shared" si="32"/>
        <v>0.77603199999999994</v>
      </c>
      <c r="AF31" s="142" t="e">
        <f t="shared" ref="AF31" si="33">SUM(#REF!)</f>
        <v>#REF!</v>
      </c>
      <c r="AG31" s="142" t="e">
        <f t="shared" ref="AG31:AU31" si="34">SUM(#REF!)</f>
        <v>#REF!</v>
      </c>
      <c r="AH31" s="142" t="e">
        <f t="shared" si="34"/>
        <v>#REF!</v>
      </c>
      <c r="AI31" s="142" t="e">
        <f t="shared" si="34"/>
        <v>#REF!</v>
      </c>
      <c r="AJ31" s="142" t="e">
        <f t="shared" si="34"/>
        <v>#REF!</v>
      </c>
      <c r="AK31" s="142" t="e">
        <f t="shared" si="34"/>
        <v>#REF!</v>
      </c>
      <c r="AL31" s="142" t="e">
        <f t="shared" si="34"/>
        <v>#REF!</v>
      </c>
      <c r="AM31" s="142" t="e">
        <f t="shared" si="34"/>
        <v>#REF!</v>
      </c>
      <c r="AN31" s="142" t="e">
        <f t="shared" si="34"/>
        <v>#REF!</v>
      </c>
      <c r="AO31" s="142" t="e">
        <f t="shared" si="34"/>
        <v>#REF!</v>
      </c>
      <c r="AP31" s="142" t="e">
        <f t="shared" si="34"/>
        <v>#REF!</v>
      </c>
      <c r="AQ31" s="142" t="e">
        <f t="shared" si="34"/>
        <v>#REF!</v>
      </c>
      <c r="AR31" s="142" t="e">
        <f t="shared" si="34"/>
        <v>#REF!</v>
      </c>
      <c r="AS31" s="142" t="e">
        <f t="shared" si="34"/>
        <v>#REF!</v>
      </c>
      <c r="AT31" s="142" t="e">
        <f t="shared" si="34"/>
        <v>#REF!</v>
      </c>
      <c r="AU31" s="142" t="e">
        <f t="shared" si="34"/>
        <v>#REF!</v>
      </c>
      <c r="AV31" s="2"/>
      <c r="AW31" s="2"/>
    </row>
    <row r="32" spans="1:68" ht="16.5">
      <c r="A32" s="2" t="s">
        <v>220</v>
      </c>
      <c r="B32" s="181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2"/>
      <c r="AW32" s="2"/>
    </row>
    <row r="33" spans="1:49" ht="16.5">
      <c r="A33" s="2" t="s">
        <v>221</v>
      </c>
      <c r="B33" s="181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>
        <v>0</v>
      </c>
      <c r="AE33" s="143">
        <v>1</v>
      </c>
      <c r="AF33" s="143">
        <v>0</v>
      </c>
      <c r="AG33" s="143">
        <v>0</v>
      </c>
      <c r="AH33" s="143">
        <v>0</v>
      </c>
      <c r="AI33" s="143">
        <v>0</v>
      </c>
      <c r="AJ33" s="143">
        <v>0</v>
      </c>
      <c r="AK33" s="143">
        <v>0</v>
      </c>
      <c r="AL33" s="143">
        <v>0</v>
      </c>
      <c r="AM33" s="143">
        <v>0</v>
      </c>
      <c r="AN33" s="143">
        <v>0</v>
      </c>
      <c r="AO33" s="143">
        <v>1</v>
      </c>
      <c r="AP33" s="143">
        <v>2</v>
      </c>
      <c r="AQ33" s="143">
        <v>3</v>
      </c>
      <c r="AR33" s="143">
        <v>4</v>
      </c>
      <c r="AS33" s="143">
        <v>5</v>
      </c>
      <c r="AT33" s="143">
        <v>6</v>
      </c>
      <c r="AU33" s="143">
        <v>7</v>
      </c>
      <c r="AV33" s="143"/>
      <c r="AW33" s="2"/>
    </row>
    <row r="34" spans="1:49" ht="16.5">
      <c r="A34" s="2" t="s">
        <v>222</v>
      </c>
      <c r="B34" s="181">
        <v>0.51100000000000001</v>
      </c>
      <c r="C34" s="143">
        <v>0.54</v>
      </c>
      <c r="D34" s="143">
        <v>0.61499999999999999</v>
      </c>
      <c r="E34" s="143">
        <v>0.69899999999999995</v>
      </c>
      <c r="F34" s="143">
        <v>0.73</v>
      </c>
      <c r="G34" s="143">
        <v>0.755</v>
      </c>
      <c r="H34" s="143">
        <v>0.77500000000000002</v>
      </c>
      <c r="I34" s="143">
        <v>0.78800000000000003</v>
      </c>
      <c r="J34" s="143">
        <v>0.79500000000000004</v>
      </c>
      <c r="K34" s="143">
        <v>0.81499999999999995</v>
      </c>
      <c r="L34" s="143">
        <v>1.06</v>
      </c>
      <c r="M34" s="143">
        <v>1.1200000000000001</v>
      </c>
      <c r="N34" s="143">
        <v>1.365</v>
      </c>
      <c r="O34" s="143">
        <v>1.6</v>
      </c>
      <c r="P34" s="143">
        <v>1.6</v>
      </c>
      <c r="Q34" s="143">
        <v>1.8049999999999999</v>
      </c>
      <c r="R34" s="143">
        <v>1.7726999999999999</v>
      </c>
      <c r="S34" s="143">
        <v>1.7184000000000001</v>
      </c>
      <c r="T34" s="143">
        <v>1.8129999999999999</v>
      </c>
      <c r="U34" s="143">
        <v>1.8467</v>
      </c>
      <c r="V34" s="143">
        <v>1.7706</v>
      </c>
      <c r="W34" s="143">
        <v>1.8367</v>
      </c>
      <c r="X34" s="143">
        <v>1.8014000000000001</v>
      </c>
      <c r="Y34" s="143">
        <v>1.7784</v>
      </c>
      <c r="Z34" s="143">
        <v>1.8207</v>
      </c>
      <c r="AA34" s="143">
        <v>1.8094000000000001</v>
      </c>
      <c r="AB34" s="143">
        <v>1.8446</v>
      </c>
      <c r="AC34" s="143">
        <v>1.8898999999999999</v>
      </c>
      <c r="AD34" s="142">
        <f>FORECAST(AD3,T34:AC34,T3:AC3)</f>
        <v>1.8478200000000005</v>
      </c>
      <c r="AE34" s="142">
        <f>FORECAST(AE3,U34:AD34,U3:AD3)</f>
        <v>1.8563213333333337</v>
      </c>
      <c r="AF34" s="142" t="e">
        <f t="shared" ref="AF34:AU34" si="35">SUM(#REF!)</f>
        <v>#REF!</v>
      </c>
      <c r="AG34" s="142" t="e">
        <f t="shared" si="35"/>
        <v>#REF!</v>
      </c>
      <c r="AH34" s="142" t="e">
        <f t="shared" si="35"/>
        <v>#REF!</v>
      </c>
      <c r="AI34" s="142" t="e">
        <f t="shared" si="35"/>
        <v>#REF!</v>
      </c>
      <c r="AJ34" s="142" t="e">
        <f t="shared" si="35"/>
        <v>#REF!</v>
      </c>
      <c r="AK34" s="142" t="e">
        <f t="shared" si="35"/>
        <v>#REF!</v>
      </c>
      <c r="AL34" s="142" t="e">
        <f t="shared" si="35"/>
        <v>#REF!</v>
      </c>
      <c r="AM34" s="142" t="e">
        <f t="shared" si="35"/>
        <v>#REF!</v>
      </c>
      <c r="AN34" s="142" t="e">
        <f t="shared" si="35"/>
        <v>#REF!</v>
      </c>
      <c r="AO34" s="142" t="e">
        <f t="shared" si="35"/>
        <v>#REF!</v>
      </c>
      <c r="AP34" s="142" t="e">
        <f t="shared" si="35"/>
        <v>#REF!</v>
      </c>
      <c r="AQ34" s="142" t="e">
        <f t="shared" si="35"/>
        <v>#REF!</v>
      </c>
      <c r="AR34" s="142" t="e">
        <f t="shared" si="35"/>
        <v>#REF!</v>
      </c>
      <c r="AS34" s="142" t="e">
        <f t="shared" si="35"/>
        <v>#REF!</v>
      </c>
      <c r="AT34" s="142" t="e">
        <f t="shared" si="35"/>
        <v>#REF!</v>
      </c>
      <c r="AU34" s="142" t="e">
        <f t="shared" si="35"/>
        <v>#REF!</v>
      </c>
      <c r="AV34" s="2"/>
      <c r="AW34" s="2"/>
    </row>
    <row r="35" spans="1:49" ht="16.5">
      <c r="A35" s="2" t="s">
        <v>223</v>
      </c>
      <c r="B35" s="181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2"/>
      <c r="AE35" s="142"/>
      <c r="AF35" s="142" t="e">
        <f t="shared" ref="AF35:AU35" si="36">FORECAST(AF31,V35:AE35,V31:AE31)</f>
        <v>#REF!</v>
      </c>
      <c r="AG35" s="142" t="e">
        <f t="shared" si="36"/>
        <v>#REF!</v>
      </c>
      <c r="AH35" s="142" t="e">
        <f t="shared" si="36"/>
        <v>#REF!</v>
      </c>
      <c r="AI35" s="142" t="e">
        <f t="shared" si="36"/>
        <v>#REF!</v>
      </c>
      <c r="AJ35" s="142" t="e">
        <f t="shared" si="36"/>
        <v>#REF!</v>
      </c>
      <c r="AK35" s="142" t="e">
        <f t="shared" si="36"/>
        <v>#REF!</v>
      </c>
      <c r="AL35" s="142" t="e">
        <f t="shared" si="36"/>
        <v>#REF!</v>
      </c>
      <c r="AM35" s="142" t="e">
        <f t="shared" si="36"/>
        <v>#REF!</v>
      </c>
      <c r="AN35" s="142" t="e">
        <f t="shared" si="36"/>
        <v>#REF!</v>
      </c>
      <c r="AO35" s="142" t="e">
        <f t="shared" si="36"/>
        <v>#REF!</v>
      </c>
      <c r="AP35" s="142" t="e">
        <f t="shared" si="36"/>
        <v>#REF!</v>
      </c>
      <c r="AQ35" s="142" t="e">
        <f t="shared" si="36"/>
        <v>#REF!</v>
      </c>
      <c r="AR35" s="142" t="e">
        <f t="shared" si="36"/>
        <v>#REF!</v>
      </c>
      <c r="AS35" s="142" t="e">
        <f t="shared" si="36"/>
        <v>#REF!</v>
      </c>
      <c r="AT35" s="142" t="e">
        <f t="shared" si="36"/>
        <v>#REF!</v>
      </c>
      <c r="AU35" s="142" t="e">
        <f t="shared" si="36"/>
        <v>#REF!</v>
      </c>
      <c r="AV35" s="2"/>
      <c r="AW35" s="2"/>
    </row>
    <row r="36" spans="1:49" ht="16.5">
      <c r="A36" s="2" t="s">
        <v>224</v>
      </c>
      <c r="B36" s="181">
        <v>2.1960999999999999</v>
      </c>
      <c r="C36" s="143">
        <v>2.1406000000000001</v>
      </c>
      <c r="D36" s="143">
        <v>2.1181000000000001</v>
      </c>
      <c r="E36" s="143">
        <v>2.1966999999999999</v>
      </c>
      <c r="F36" s="143">
        <v>2.5964</v>
      </c>
      <c r="G36" s="143">
        <v>3.3058000000000001</v>
      </c>
      <c r="H36" s="143">
        <v>3.1896999999999998</v>
      </c>
      <c r="I36" s="143">
        <v>3.2314000000000003</v>
      </c>
      <c r="J36" s="143">
        <v>2.3561000000000001</v>
      </c>
      <c r="K36" s="143">
        <v>2.5606999999999998</v>
      </c>
      <c r="L36" s="143">
        <v>2.298</v>
      </c>
      <c r="M36" s="143">
        <v>3.3318000000000003</v>
      </c>
      <c r="N36" s="143">
        <v>2.1986999999999997</v>
      </c>
      <c r="O36" s="143">
        <v>2.1819000000000002</v>
      </c>
      <c r="P36" s="143">
        <v>1.9560999999999999</v>
      </c>
      <c r="Q36" s="143">
        <v>1.6425999999999998</v>
      </c>
      <c r="R36" s="143">
        <v>2.0661999999999998</v>
      </c>
      <c r="S36" s="143">
        <v>2.3076999999999996</v>
      </c>
      <c r="T36" s="143">
        <v>2.1718000000000002</v>
      </c>
      <c r="U36" s="143">
        <v>2.0981000000000001</v>
      </c>
      <c r="V36" s="143">
        <v>2.7561999999999998</v>
      </c>
      <c r="W36" s="143">
        <v>2.4072</v>
      </c>
      <c r="X36" s="143">
        <v>3.1403000000000003</v>
      </c>
      <c r="Y36" s="143">
        <v>3.3176000000000001</v>
      </c>
      <c r="Z36" s="143">
        <v>3.3014000000000001</v>
      </c>
      <c r="AA36" s="143">
        <v>4.5778999999999996</v>
      </c>
      <c r="AB36" s="143">
        <v>3.4826999999999999</v>
      </c>
      <c r="AC36" s="143">
        <v>4.2211999999999996</v>
      </c>
      <c r="AD36" s="142">
        <f>FORECAST(AD3,T36:AC36,T3:AC3)</f>
        <v>4.4842800000000693</v>
      </c>
      <c r="AE36" s="142">
        <f>FORECAST(AE3,U36:AD36,U3:AD3)</f>
        <v>4.7588453333333405</v>
      </c>
      <c r="AF36" s="142" t="e">
        <f t="shared" ref="AF36:AU36" si="37">FORECAST(AF34,V36:AE36,V34:AE34)</f>
        <v>#REF!</v>
      </c>
      <c r="AG36" s="142" t="e">
        <f t="shared" si="37"/>
        <v>#REF!</v>
      </c>
      <c r="AH36" s="142" t="e">
        <f t="shared" si="37"/>
        <v>#REF!</v>
      </c>
      <c r="AI36" s="142" t="e">
        <f t="shared" si="37"/>
        <v>#REF!</v>
      </c>
      <c r="AJ36" s="142" t="e">
        <f t="shared" si="37"/>
        <v>#REF!</v>
      </c>
      <c r="AK36" s="142" t="e">
        <f t="shared" si="37"/>
        <v>#REF!</v>
      </c>
      <c r="AL36" s="142" t="e">
        <f t="shared" si="37"/>
        <v>#REF!</v>
      </c>
      <c r="AM36" s="142" t="e">
        <f t="shared" si="37"/>
        <v>#REF!</v>
      </c>
      <c r="AN36" s="142" t="e">
        <f t="shared" si="37"/>
        <v>#REF!</v>
      </c>
      <c r="AO36" s="142" t="e">
        <f t="shared" si="37"/>
        <v>#REF!</v>
      </c>
      <c r="AP36" s="142" t="e">
        <f t="shared" si="37"/>
        <v>#REF!</v>
      </c>
      <c r="AQ36" s="142" t="e">
        <f t="shared" si="37"/>
        <v>#REF!</v>
      </c>
      <c r="AR36" s="142" t="e">
        <f t="shared" si="37"/>
        <v>#REF!</v>
      </c>
      <c r="AS36" s="142" t="e">
        <f t="shared" si="37"/>
        <v>#REF!</v>
      </c>
      <c r="AT36" s="142" t="e">
        <f t="shared" si="37"/>
        <v>#REF!</v>
      </c>
      <c r="AU36" s="142" t="e">
        <f t="shared" si="37"/>
        <v>#REF!</v>
      </c>
      <c r="AV36" s="2"/>
      <c r="AW36" s="2"/>
    </row>
    <row r="37" spans="1:49" ht="16.5">
      <c r="A37" s="2" t="s">
        <v>218</v>
      </c>
      <c r="B37" s="181">
        <f t="shared" ref="B37:AU37" si="38">SUM(B33:B36)</f>
        <v>2.7071000000000001</v>
      </c>
      <c r="C37" s="143">
        <f t="shared" si="38"/>
        <v>2.6806000000000001</v>
      </c>
      <c r="D37" s="143">
        <f t="shared" si="38"/>
        <v>2.7331000000000003</v>
      </c>
      <c r="E37" s="143">
        <f t="shared" si="38"/>
        <v>2.8956999999999997</v>
      </c>
      <c r="F37" s="143">
        <f t="shared" si="38"/>
        <v>3.3264</v>
      </c>
      <c r="G37" s="143">
        <f t="shared" si="38"/>
        <v>4.0608000000000004</v>
      </c>
      <c r="H37" s="143">
        <f t="shared" si="38"/>
        <v>3.9646999999999997</v>
      </c>
      <c r="I37" s="143">
        <f t="shared" si="38"/>
        <v>4.0194000000000001</v>
      </c>
      <c r="J37" s="143">
        <f t="shared" si="38"/>
        <v>3.1511</v>
      </c>
      <c r="K37" s="143">
        <f t="shared" si="38"/>
        <v>3.3756999999999997</v>
      </c>
      <c r="L37" s="143">
        <f t="shared" si="38"/>
        <v>3.3580000000000001</v>
      </c>
      <c r="M37" s="143">
        <f t="shared" si="38"/>
        <v>4.4518000000000004</v>
      </c>
      <c r="N37" s="143">
        <f t="shared" si="38"/>
        <v>3.5636999999999999</v>
      </c>
      <c r="O37" s="143">
        <f t="shared" si="38"/>
        <v>3.7819000000000003</v>
      </c>
      <c r="P37" s="143">
        <f t="shared" si="38"/>
        <v>3.5560999999999998</v>
      </c>
      <c r="Q37" s="143">
        <f t="shared" si="38"/>
        <v>3.4475999999999996</v>
      </c>
      <c r="R37" s="143">
        <f t="shared" si="38"/>
        <v>3.8388999999999998</v>
      </c>
      <c r="S37" s="143">
        <f t="shared" si="38"/>
        <v>4.0260999999999996</v>
      </c>
      <c r="T37" s="143">
        <f t="shared" si="38"/>
        <v>3.9847999999999999</v>
      </c>
      <c r="U37" s="143">
        <f t="shared" si="38"/>
        <v>3.9447999999999999</v>
      </c>
      <c r="V37" s="143">
        <f t="shared" si="38"/>
        <v>4.5267999999999997</v>
      </c>
      <c r="W37" s="143">
        <f t="shared" si="38"/>
        <v>4.2439</v>
      </c>
      <c r="X37" s="143">
        <f t="shared" si="38"/>
        <v>4.9417000000000009</v>
      </c>
      <c r="Y37" s="143">
        <f t="shared" si="38"/>
        <v>5.0960000000000001</v>
      </c>
      <c r="Z37" s="143">
        <f t="shared" si="38"/>
        <v>5.1220999999999997</v>
      </c>
      <c r="AA37" s="143">
        <f t="shared" si="38"/>
        <v>6.3872999999999998</v>
      </c>
      <c r="AB37" s="143">
        <f t="shared" si="38"/>
        <v>5.3273000000000001</v>
      </c>
      <c r="AC37" s="143">
        <f t="shared" si="38"/>
        <v>6.1110999999999995</v>
      </c>
      <c r="AD37" s="142">
        <f>SUM(AD33:AD36)</f>
        <v>6.3321000000000698</v>
      </c>
      <c r="AE37" s="142">
        <f>SUM(AE33:AE36)</f>
        <v>7.6151666666666742</v>
      </c>
      <c r="AF37" s="142" t="e">
        <f t="shared" si="38"/>
        <v>#REF!</v>
      </c>
      <c r="AG37" s="142" t="e">
        <f t="shared" si="38"/>
        <v>#REF!</v>
      </c>
      <c r="AH37" s="142" t="e">
        <f t="shared" si="38"/>
        <v>#REF!</v>
      </c>
      <c r="AI37" s="142" t="e">
        <f t="shared" si="38"/>
        <v>#REF!</v>
      </c>
      <c r="AJ37" s="142" t="e">
        <f t="shared" si="38"/>
        <v>#REF!</v>
      </c>
      <c r="AK37" s="142" t="e">
        <f t="shared" si="38"/>
        <v>#REF!</v>
      </c>
      <c r="AL37" s="142" t="e">
        <f t="shared" si="38"/>
        <v>#REF!</v>
      </c>
      <c r="AM37" s="142" t="e">
        <f t="shared" si="38"/>
        <v>#REF!</v>
      </c>
      <c r="AN37" s="142" t="e">
        <f t="shared" si="38"/>
        <v>#REF!</v>
      </c>
      <c r="AO37" s="142" t="e">
        <f t="shared" si="38"/>
        <v>#REF!</v>
      </c>
      <c r="AP37" s="142" t="e">
        <f t="shared" si="38"/>
        <v>#REF!</v>
      </c>
      <c r="AQ37" s="142" t="e">
        <f t="shared" si="38"/>
        <v>#REF!</v>
      </c>
      <c r="AR37" s="142" t="e">
        <f t="shared" si="38"/>
        <v>#REF!</v>
      </c>
      <c r="AS37" s="142" t="e">
        <f t="shared" si="38"/>
        <v>#REF!</v>
      </c>
      <c r="AT37" s="142" t="e">
        <f t="shared" si="38"/>
        <v>#REF!</v>
      </c>
      <c r="AU37" s="142" t="e">
        <f t="shared" si="38"/>
        <v>#REF!</v>
      </c>
      <c r="AV37" s="2"/>
      <c r="AW37" s="2"/>
    </row>
    <row r="38" spans="1:49" ht="16.5">
      <c r="A38" s="2" t="s">
        <v>225</v>
      </c>
      <c r="B38" s="181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2"/>
      <c r="AW38" s="2"/>
    </row>
    <row r="39" spans="1:49" ht="16.5">
      <c r="A39" s="2" t="s">
        <v>226</v>
      </c>
      <c r="B39" s="181">
        <v>4.2089999999999996</v>
      </c>
      <c r="C39" s="143">
        <v>4.593</v>
      </c>
      <c r="D39" s="143">
        <v>5.335</v>
      </c>
      <c r="E39" s="143">
        <v>5.5339999999999998</v>
      </c>
      <c r="F39" s="143">
        <v>4.6449999999999996</v>
      </c>
      <c r="G39" s="143">
        <v>4.835</v>
      </c>
      <c r="H39" s="143">
        <v>5.29</v>
      </c>
      <c r="I39" s="143">
        <v>5.95</v>
      </c>
      <c r="J39" s="143">
        <v>6.1269999999999998</v>
      </c>
      <c r="K39" s="143">
        <v>6.5549999999999997</v>
      </c>
      <c r="L39" s="143">
        <v>6.2370000000000001</v>
      </c>
      <c r="M39" s="143">
        <v>7.72</v>
      </c>
      <c r="N39" s="143">
        <v>7.08</v>
      </c>
      <c r="O39" s="143">
        <v>6.68</v>
      </c>
      <c r="P39" s="143">
        <v>7.39</v>
      </c>
      <c r="Q39" s="143">
        <v>6.9950000000000001</v>
      </c>
      <c r="R39" s="143">
        <v>7.8150000000000004</v>
      </c>
      <c r="S39" s="143">
        <v>9.1300000000000008</v>
      </c>
      <c r="T39" s="143">
        <v>7.68</v>
      </c>
      <c r="U39" s="143">
        <v>8.5850000000000009</v>
      </c>
      <c r="V39" s="143">
        <v>8.7739999999999991</v>
      </c>
      <c r="W39" s="143">
        <v>9.4600000000000009</v>
      </c>
      <c r="X39" s="143">
        <v>8.5229999999999997</v>
      </c>
      <c r="Y39" s="143">
        <v>8.0399999999999991</v>
      </c>
      <c r="Z39" s="143">
        <v>8.0809999999999995</v>
      </c>
      <c r="AA39" s="143">
        <v>7.5198</v>
      </c>
      <c r="AB39" s="143">
        <v>7.7652000000000001</v>
      </c>
      <c r="AC39" s="143">
        <v>7.2050000000000001</v>
      </c>
      <c r="AD39" s="142"/>
      <c r="AE39" s="142"/>
      <c r="AF39" s="142" t="e">
        <f t="shared" ref="AF39:AU39" si="39">AF41*(SUM(V39:AE39)/SUM(V41:AE41))</f>
        <v>#REF!</v>
      </c>
      <c r="AG39" s="142" t="e">
        <f t="shared" si="39"/>
        <v>#REF!</v>
      </c>
      <c r="AH39" s="142" t="e">
        <f t="shared" si="39"/>
        <v>#REF!</v>
      </c>
      <c r="AI39" s="142" t="e">
        <f t="shared" si="39"/>
        <v>#REF!</v>
      </c>
      <c r="AJ39" s="142" t="e">
        <f t="shared" si="39"/>
        <v>#REF!</v>
      </c>
      <c r="AK39" s="142" t="e">
        <f t="shared" si="39"/>
        <v>#REF!</v>
      </c>
      <c r="AL39" s="142" t="e">
        <f t="shared" si="39"/>
        <v>#REF!</v>
      </c>
      <c r="AM39" s="142" t="e">
        <f t="shared" si="39"/>
        <v>#REF!</v>
      </c>
      <c r="AN39" s="142" t="e">
        <f t="shared" si="39"/>
        <v>#REF!</v>
      </c>
      <c r="AO39" s="142" t="e">
        <f t="shared" si="39"/>
        <v>#REF!</v>
      </c>
      <c r="AP39" s="142" t="e">
        <f t="shared" si="39"/>
        <v>#REF!</v>
      </c>
      <c r="AQ39" s="142" t="e">
        <f t="shared" si="39"/>
        <v>#REF!</v>
      </c>
      <c r="AR39" s="142" t="e">
        <f t="shared" si="39"/>
        <v>#REF!</v>
      </c>
      <c r="AS39" s="142" t="e">
        <f t="shared" si="39"/>
        <v>#REF!</v>
      </c>
      <c r="AT39" s="142" t="e">
        <f t="shared" si="39"/>
        <v>#REF!</v>
      </c>
      <c r="AU39" s="142" t="e">
        <f t="shared" si="39"/>
        <v>#REF!</v>
      </c>
      <c r="AV39" s="2"/>
      <c r="AW39" s="2"/>
    </row>
    <row r="40" spans="1:49" ht="16.5">
      <c r="A40" s="2" t="s">
        <v>227</v>
      </c>
      <c r="B40" s="181">
        <v>1.5720000000000001</v>
      </c>
      <c r="C40" s="143">
        <v>1.0549999999999999</v>
      </c>
      <c r="D40" s="143">
        <v>1.9144000000000001</v>
      </c>
      <c r="E40" s="143">
        <v>1.9515</v>
      </c>
      <c r="F40" s="143">
        <v>1.407</v>
      </c>
      <c r="G40" s="143">
        <v>1.5557999999999998</v>
      </c>
      <c r="H40" s="143">
        <v>2.0994999999999999</v>
      </c>
      <c r="I40" s="143">
        <v>1.6990000000000001</v>
      </c>
      <c r="J40" s="143">
        <v>1.6898</v>
      </c>
      <c r="K40" s="143">
        <v>1.9079000000000002</v>
      </c>
      <c r="L40" s="143">
        <v>2.1276999999999999</v>
      </c>
      <c r="M40" s="143">
        <v>1.8714000000000002</v>
      </c>
      <c r="N40" s="143">
        <v>2.109</v>
      </c>
      <c r="O40" s="143">
        <v>2.0236999999999998</v>
      </c>
      <c r="P40" s="143">
        <v>2.4319000000000002</v>
      </c>
      <c r="Q40" s="143">
        <v>2.4406999999999996</v>
      </c>
      <c r="R40" s="143">
        <v>2.5890999999999997</v>
      </c>
      <c r="S40" s="143">
        <v>2.46</v>
      </c>
      <c r="T40" s="143">
        <v>2.0345</v>
      </c>
      <c r="U40" s="143">
        <v>2.7290000000000001</v>
      </c>
      <c r="V40" s="143">
        <v>2.8759000000000001</v>
      </c>
      <c r="W40" s="143">
        <v>2.9603999999999999</v>
      </c>
      <c r="X40" s="143">
        <v>3.1050999999999997</v>
      </c>
      <c r="Y40" s="143">
        <v>2.6595999999999997</v>
      </c>
      <c r="Z40" s="143">
        <v>2.99</v>
      </c>
      <c r="AA40" s="143">
        <v>4.0100999999999996</v>
      </c>
      <c r="AB40" s="143">
        <v>4.0971000000000002</v>
      </c>
      <c r="AC40" s="143">
        <v>4.0934999999999997</v>
      </c>
      <c r="AD40" s="142"/>
      <c r="AE40" s="142"/>
      <c r="AF40" s="142" t="e">
        <f t="shared" ref="AF40:AU40" si="40">AF41*(SUM(V40:AE40)/SUM(V41:AE41))</f>
        <v>#REF!</v>
      </c>
      <c r="AG40" s="142" t="e">
        <f t="shared" si="40"/>
        <v>#REF!</v>
      </c>
      <c r="AH40" s="142" t="e">
        <f t="shared" si="40"/>
        <v>#REF!</v>
      </c>
      <c r="AI40" s="142" t="e">
        <f t="shared" si="40"/>
        <v>#REF!</v>
      </c>
      <c r="AJ40" s="142" t="e">
        <f t="shared" si="40"/>
        <v>#REF!</v>
      </c>
      <c r="AK40" s="142" t="e">
        <f t="shared" si="40"/>
        <v>#REF!</v>
      </c>
      <c r="AL40" s="142" t="e">
        <f t="shared" si="40"/>
        <v>#REF!</v>
      </c>
      <c r="AM40" s="142" t="e">
        <f t="shared" si="40"/>
        <v>#REF!</v>
      </c>
      <c r="AN40" s="142" t="e">
        <f t="shared" si="40"/>
        <v>#REF!</v>
      </c>
      <c r="AO40" s="142" t="e">
        <f t="shared" si="40"/>
        <v>#REF!</v>
      </c>
      <c r="AP40" s="142" t="e">
        <f t="shared" si="40"/>
        <v>#REF!</v>
      </c>
      <c r="AQ40" s="142" t="e">
        <f t="shared" si="40"/>
        <v>#REF!</v>
      </c>
      <c r="AR40" s="142" t="e">
        <f t="shared" si="40"/>
        <v>#REF!</v>
      </c>
      <c r="AS40" s="142" t="e">
        <f t="shared" si="40"/>
        <v>#REF!</v>
      </c>
      <c r="AT40" s="142" t="e">
        <f t="shared" si="40"/>
        <v>#REF!</v>
      </c>
      <c r="AU40" s="142" t="e">
        <f t="shared" si="40"/>
        <v>#REF!</v>
      </c>
      <c r="AV40" s="2"/>
      <c r="AW40" s="2"/>
    </row>
    <row r="41" spans="1:49" ht="17.25" thickBot="1">
      <c r="A41" s="2" t="s">
        <v>218</v>
      </c>
      <c r="B41" s="181">
        <f t="shared" ref="B41:AB41" si="41">SUM(B39:B40)</f>
        <v>5.7809999999999997</v>
      </c>
      <c r="C41" s="143">
        <f t="shared" si="41"/>
        <v>5.6479999999999997</v>
      </c>
      <c r="D41" s="143">
        <f t="shared" si="41"/>
        <v>7.2493999999999996</v>
      </c>
      <c r="E41" s="143">
        <f t="shared" si="41"/>
        <v>7.4855</v>
      </c>
      <c r="F41" s="143">
        <f t="shared" si="41"/>
        <v>6.0519999999999996</v>
      </c>
      <c r="G41" s="143">
        <f t="shared" si="41"/>
        <v>6.3907999999999996</v>
      </c>
      <c r="H41" s="143">
        <f t="shared" si="41"/>
        <v>7.3895</v>
      </c>
      <c r="I41" s="143">
        <f t="shared" si="41"/>
        <v>7.649</v>
      </c>
      <c r="J41" s="143">
        <f t="shared" si="41"/>
        <v>7.8167999999999997</v>
      </c>
      <c r="K41" s="143">
        <f t="shared" si="41"/>
        <v>8.4628999999999994</v>
      </c>
      <c r="L41" s="143">
        <f t="shared" si="41"/>
        <v>8.3646999999999991</v>
      </c>
      <c r="M41" s="143">
        <f t="shared" si="41"/>
        <v>9.5914000000000001</v>
      </c>
      <c r="N41" s="143">
        <f t="shared" si="41"/>
        <v>9.1890000000000001</v>
      </c>
      <c r="O41" s="143">
        <f t="shared" si="41"/>
        <v>8.7036999999999995</v>
      </c>
      <c r="P41" s="143">
        <f t="shared" si="41"/>
        <v>9.8218999999999994</v>
      </c>
      <c r="Q41" s="143">
        <f t="shared" si="41"/>
        <v>9.4357000000000006</v>
      </c>
      <c r="R41" s="143">
        <f t="shared" si="41"/>
        <v>10.4041</v>
      </c>
      <c r="S41" s="143">
        <f t="shared" si="41"/>
        <v>11.59</v>
      </c>
      <c r="T41" s="143">
        <f t="shared" si="41"/>
        <v>9.7144999999999992</v>
      </c>
      <c r="U41" s="143">
        <f t="shared" si="41"/>
        <v>11.314</v>
      </c>
      <c r="V41" s="143">
        <f t="shared" si="41"/>
        <v>11.649899999999999</v>
      </c>
      <c r="W41" s="143">
        <f t="shared" si="41"/>
        <v>12.420400000000001</v>
      </c>
      <c r="X41" s="143">
        <f t="shared" si="41"/>
        <v>11.6281</v>
      </c>
      <c r="Y41" s="143">
        <f t="shared" si="41"/>
        <v>10.699599999999998</v>
      </c>
      <c r="Z41" s="143">
        <f t="shared" si="41"/>
        <v>11.071</v>
      </c>
      <c r="AA41" s="143">
        <f t="shared" si="41"/>
        <v>11.5299</v>
      </c>
      <c r="AB41" s="143">
        <f t="shared" si="41"/>
        <v>11.862300000000001</v>
      </c>
      <c r="AC41" s="143">
        <f>SUM(AC39:AC40)</f>
        <v>11.298500000000001</v>
      </c>
      <c r="AD41" s="143">
        <f>AD24+AD28+AD30-AD31-AD37</f>
        <v>10.853202999999928</v>
      </c>
      <c r="AE41" s="143">
        <f>AE24+AE28+AE30-AE31-AE37</f>
        <v>9.8126254695808512</v>
      </c>
      <c r="AF41" s="142" t="e">
        <f t="shared" ref="AF41:AU41" si="42">AF27+AF28+AF30-AF31-AF37</f>
        <v>#REF!</v>
      </c>
      <c r="AG41" s="142" t="e">
        <f t="shared" si="42"/>
        <v>#REF!</v>
      </c>
      <c r="AH41" s="142" t="e">
        <f t="shared" si="42"/>
        <v>#REF!</v>
      </c>
      <c r="AI41" s="142" t="e">
        <f t="shared" si="42"/>
        <v>#REF!</v>
      </c>
      <c r="AJ41" s="142" t="e">
        <f t="shared" si="42"/>
        <v>#REF!</v>
      </c>
      <c r="AK41" s="142" t="e">
        <f t="shared" si="42"/>
        <v>#REF!</v>
      </c>
      <c r="AL41" s="142" t="e">
        <f t="shared" si="42"/>
        <v>#REF!</v>
      </c>
      <c r="AM41" s="142" t="e">
        <f t="shared" si="42"/>
        <v>#REF!</v>
      </c>
      <c r="AN41" s="142" t="e">
        <f t="shared" si="42"/>
        <v>#REF!</v>
      </c>
      <c r="AO41" s="142" t="e">
        <f t="shared" si="42"/>
        <v>#REF!</v>
      </c>
      <c r="AP41" s="142" t="e">
        <f t="shared" si="42"/>
        <v>#REF!</v>
      </c>
      <c r="AQ41" s="142" t="e">
        <f t="shared" si="42"/>
        <v>#REF!</v>
      </c>
      <c r="AR41" s="142" t="e">
        <f t="shared" si="42"/>
        <v>#REF!</v>
      </c>
      <c r="AS41" s="142" t="e">
        <f t="shared" si="42"/>
        <v>#REF!</v>
      </c>
      <c r="AT41" s="142" t="e">
        <f t="shared" si="42"/>
        <v>#REF!</v>
      </c>
      <c r="AU41" s="142" t="e">
        <f t="shared" si="42"/>
        <v>#REF!</v>
      </c>
      <c r="AV41" s="2"/>
      <c r="AW41" s="2"/>
    </row>
    <row r="42" spans="1:49" ht="16.5">
      <c r="A42" s="91" t="s">
        <v>228</v>
      </c>
      <c r="B42" s="182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2"/>
      <c r="AW42" s="2"/>
    </row>
    <row r="43" spans="1:49" ht="16.5">
      <c r="A43" s="2" t="s">
        <v>14</v>
      </c>
      <c r="B43" s="181">
        <f>SUM(B91:B93)</f>
        <v>8.0599999999999986E-4</v>
      </c>
      <c r="C43" s="181">
        <f t="shared" ref="C43:X43" si="43">SUM(C91:C93)</f>
        <v>1.4399999999999998E-4</v>
      </c>
      <c r="D43" s="181">
        <f t="shared" si="43"/>
        <v>6.7000000000000002E-5</v>
      </c>
      <c r="E43" s="181">
        <f t="shared" si="43"/>
        <v>1.3000000000000001E-5</v>
      </c>
      <c r="F43" s="181">
        <f t="shared" si="43"/>
        <v>1.9999999999999999E-6</v>
      </c>
      <c r="G43" s="181">
        <f t="shared" si="43"/>
        <v>2.23E-5</v>
      </c>
      <c r="H43" s="181">
        <f t="shared" si="43"/>
        <v>0</v>
      </c>
      <c r="I43" s="181">
        <f t="shared" si="43"/>
        <v>0</v>
      </c>
      <c r="J43" s="181">
        <f t="shared" si="43"/>
        <v>0</v>
      </c>
      <c r="K43" s="181">
        <f t="shared" si="43"/>
        <v>0</v>
      </c>
      <c r="L43" s="181">
        <f t="shared" si="43"/>
        <v>3.0200000000000003E-7</v>
      </c>
      <c r="M43" s="181">
        <f t="shared" si="43"/>
        <v>1.85E-7</v>
      </c>
      <c r="N43" s="181">
        <f t="shared" si="43"/>
        <v>2.1496929999999998E-3</v>
      </c>
      <c r="O43" s="181">
        <f t="shared" si="43"/>
        <v>2.8274000000000002E-4</v>
      </c>
      <c r="P43" s="181">
        <f t="shared" si="43"/>
        <v>4.36704E-4</v>
      </c>
      <c r="Q43" s="181">
        <f t="shared" si="43"/>
        <v>4.5711199999999997E-4</v>
      </c>
      <c r="R43" s="181">
        <f t="shared" si="43"/>
        <v>4.0941900000000006E-4</v>
      </c>
      <c r="S43" s="181">
        <f t="shared" si="43"/>
        <v>5.4945999999999999E-4</v>
      </c>
      <c r="T43" s="181">
        <f t="shared" si="43"/>
        <v>4.0464E-4</v>
      </c>
      <c r="U43" s="181">
        <f t="shared" si="43"/>
        <v>3.7925599999999996E-4</v>
      </c>
      <c r="V43" s="181">
        <f t="shared" si="43"/>
        <v>1.2132810000000001E-3</v>
      </c>
      <c r="W43" s="181">
        <f t="shared" si="43"/>
        <v>1.6476559999999999E-3</v>
      </c>
      <c r="X43" s="181">
        <f t="shared" si="43"/>
        <v>2.2103360000000002E-3</v>
      </c>
      <c r="Y43" s="181">
        <f t="shared" ref="Y43:AD43" si="44">SUM(Y91:Y93)/1000</f>
        <v>0.45111900000000005</v>
      </c>
      <c r="Z43" s="181">
        <f t="shared" si="44"/>
        <v>0.43746399999999996</v>
      </c>
      <c r="AA43" s="181">
        <f t="shared" si="44"/>
        <v>1.918237</v>
      </c>
      <c r="AB43" s="181">
        <f t="shared" si="44"/>
        <v>0.69301800000000002</v>
      </c>
      <c r="AC43" s="181">
        <f t="shared" si="44"/>
        <v>0.64479600000000004</v>
      </c>
      <c r="AD43" s="184">
        <f t="shared" si="44"/>
        <v>0.66818496987627507</v>
      </c>
      <c r="AE43" s="184">
        <f t="shared" ref="AE43" si="45">SUM(AE91:AE93)/1000</f>
        <v>0.69797064961891775</v>
      </c>
      <c r="AF43" s="142" t="e">
        <f t="shared" ref="AF43:AF44" si="46">SUM(#REF!)</f>
        <v>#REF!</v>
      </c>
      <c r="AG43" s="142" t="e">
        <f t="shared" ref="AG43:AU44" si="47">SUM(#REF!)</f>
        <v>#REF!</v>
      </c>
      <c r="AH43" s="142" t="e">
        <f t="shared" si="47"/>
        <v>#REF!</v>
      </c>
      <c r="AI43" s="142" t="e">
        <f t="shared" si="47"/>
        <v>#REF!</v>
      </c>
      <c r="AJ43" s="142" t="e">
        <f t="shared" si="47"/>
        <v>#REF!</v>
      </c>
      <c r="AK43" s="142" t="e">
        <f t="shared" si="47"/>
        <v>#REF!</v>
      </c>
      <c r="AL43" s="142" t="e">
        <f t="shared" si="47"/>
        <v>#REF!</v>
      </c>
      <c r="AM43" s="142" t="e">
        <f t="shared" si="47"/>
        <v>#REF!</v>
      </c>
      <c r="AN43" s="142" t="e">
        <f t="shared" si="47"/>
        <v>#REF!</v>
      </c>
      <c r="AO43" s="142" t="e">
        <f t="shared" si="47"/>
        <v>#REF!</v>
      </c>
      <c r="AP43" s="142" t="e">
        <f t="shared" si="47"/>
        <v>#REF!</v>
      </c>
      <c r="AQ43" s="142" t="e">
        <f t="shared" si="47"/>
        <v>#REF!</v>
      </c>
      <c r="AR43" s="142" t="e">
        <f t="shared" si="47"/>
        <v>#REF!</v>
      </c>
      <c r="AS43" s="142" t="e">
        <f t="shared" si="47"/>
        <v>#REF!</v>
      </c>
      <c r="AT43" s="142" t="e">
        <f t="shared" si="47"/>
        <v>#REF!</v>
      </c>
      <c r="AU43" s="142" t="e">
        <f t="shared" si="47"/>
        <v>#REF!</v>
      </c>
      <c r="AV43" s="2"/>
      <c r="AW43" s="2"/>
    </row>
    <row r="44" spans="1:49" ht="16.5">
      <c r="A44" s="2" t="s">
        <v>19</v>
      </c>
      <c r="B44" s="181">
        <f t="shared" ref="B44:X44" si="48">SUM(B75:B77)</f>
        <v>1.37E-4</v>
      </c>
      <c r="C44" s="181">
        <f t="shared" si="48"/>
        <v>7.4999999999999993E-5</v>
      </c>
      <c r="D44" s="181">
        <f t="shared" si="48"/>
        <v>5.8999999999999998E-5</v>
      </c>
      <c r="E44" s="181">
        <f t="shared" si="48"/>
        <v>6.9999999999999999E-6</v>
      </c>
      <c r="F44" s="181">
        <f t="shared" si="48"/>
        <v>2.7599999999999998E-7</v>
      </c>
      <c r="G44" s="181">
        <f t="shared" si="48"/>
        <v>0</v>
      </c>
      <c r="H44" s="181">
        <f t="shared" si="48"/>
        <v>0</v>
      </c>
      <c r="I44" s="181">
        <f t="shared" si="48"/>
        <v>4.6670000000000004E-6</v>
      </c>
      <c r="J44" s="181">
        <f t="shared" si="48"/>
        <v>1.8620000000000001E-6</v>
      </c>
      <c r="K44" s="181">
        <f t="shared" si="48"/>
        <v>3.08485E-4</v>
      </c>
      <c r="L44" s="181">
        <f t="shared" si="48"/>
        <v>4.5050000000000001E-6</v>
      </c>
      <c r="M44" s="181">
        <f t="shared" si="48"/>
        <v>8.4704000000000008E-5</v>
      </c>
      <c r="N44" s="181">
        <f t="shared" si="48"/>
        <v>6.6590700000000009E-4</v>
      </c>
      <c r="O44" s="181">
        <f t="shared" si="48"/>
        <v>4.7967600000000001E-4</v>
      </c>
      <c r="P44" s="181">
        <f t="shared" si="48"/>
        <v>4.6044099999999996E-4</v>
      </c>
      <c r="Q44" s="181">
        <f t="shared" si="48"/>
        <v>5.6233599999999998E-4</v>
      </c>
      <c r="R44" s="181">
        <f t="shared" si="48"/>
        <v>3.7386599999999999E-4</v>
      </c>
      <c r="S44" s="181">
        <f t="shared" si="48"/>
        <v>4.19104E-4</v>
      </c>
      <c r="T44" s="181">
        <f t="shared" si="48"/>
        <v>5.2861200000000003E-4</v>
      </c>
      <c r="U44" s="181">
        <f t="shared" si="48"/>
        <v>9.12637E-4</v>
      </c>
      <c r="V44" s="181">
        <f t="shared" si="48"/>
        <v>1.539697E-3</v>
      </c>
      <c r="W44" s="181">
        <f t="shared" si="48"/>
        <v>2.1504280000000002E-3</v>
      </c>
      <c r="X44" s="181">
        <f t="shared" si="48"/>
        <v>0.33256400000000003</v>
      </c>
      <c r="Y44" s="181">
        <f>SUM(Y75:Y77)/1000</f>
        <v>8.4441999999999989E-2</v>
      </c>
      <c r="Z44" s="181">
        <f t="shared" ref="Z44:AE44" si="49">SUM(Z75:Z77)/1000</f>
        <v>0.17609899999999998</v>
      </c>
      <c r="AA44" s="181">
        <f t="shared" si="49"/>
        <v>0.33428099999999999</v>
      </c>
      <c r="AB44" s="181">
        <f t="shared" si="49"/>
        <v>0.57183499999999998</v>
      </c>
      <c r="AC44" s="181">
        <f t="shared" si="49"/>
        <v>0.187144</v>
      </c>
      <c r="AD44" s="184">
        <f t="shared" si="49"/>
        <v>0.2741676223165937</v>
      </c>
      <c r="AE44" s="184">
        <f t="shared" si="49"/>
        <v>0.2663129933845354</v>
      </c>
      <c r="AF44" s="142" t="e">
        <f t="shared" si="46"/>
        <v>#REF!</v>
      </c>
      <c r="AG44" s="142" t="e">
        <f t="shared" si="47"/>
        <v>#REF!</v>
      </c>
      <c r="AH44" s="142" t="e">
        <f t="shared" si="47"/>
        <v>#REF!</v>
      </c>
      <c r="AI44" s="142" t="e">
        <f t="shared" si="47"/>
        <v>#REF!</v>
      </c>
      <c r="AJ44" s="142" t="e">
        <f t="shared" si="47"/>
        <v>#REF!</v>
      </c>
      <c r="AK44" s="142" t="e">
        <f t="shared" si="47"/>
        <v>#REF!</v>
      </c>
      <c r="AL44" s="142" t="e">
        <f t="shared" si="47"/>
        <v>#REF!</v>
      </c>
      <c r="AM44" s="142" t="e">
        <f t="shared" si="47"/>
        <v>#REF!</v>
      </c>
      <c r="AN44" s="142" t="e">
        <f t="shared" si="47"/>
        <v>#REF!</v>
      </c>
      <c r="AO44" s="142" t="e">
        <f t="shared" si="47"/>
        <v>#REF!</v>
      </c>
      <c r="AP44" s="142" t="e">
        <f t="shared" si="47"/>
        <v>#REF!</v>
      </c>
      <c r="AQ44" s="142" t="e">
        <f t="shared" si="47"/>
        <v>#REF!</v>
      </c>
      <c r="AR44" s="142" t="e">
        <f t="shared" si="47"/>
        <v>#REF!</v>
      </c>
      <c r="AS44" s="142" t="e">
        <f t="shared" si="47"/>
        <v>#REF!</v>
      </c>
      <c r="AT44" s="142" t="e">
        <f t="shared" si="47"/>
        <v>#REF!</v>
      </c>
      <c r="AU44" s="142" t="e">
        <f t="shared" si="47"/>
        <v>#REF!</v>
      </c>
      <c r="AV44" s="2"/>
      <c r="AW44" s="2"/>
    </row>
    <row r="45" spans="1:49" ht="16.5">
      <c r="A45" s="2" t="s">
        <v>220</v>
      </c>
      <c r="B45" s="181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2"/>
      <c r="AW45" s="2"/>
    </row>
    <row r="46" spans="1:49" ht="16.5">
      <c r="A46" s="2" t="s">
        <v>221</v>
      </c>
      <c r="B46" s="181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2"/>
      <c r="AE46" s="142"/>
      <c r="AF46" s="142">
        <v>3</v>
      </c>
      <c r="AG46" s="142">
        <v>4</v>
      </c>
      <c r="AH46" s="142">
        <v>5</v>
      </c>
      <c r="AI46" s="142">
        <v>6</v>
      </c>
      <c r="AJ46" s="142">
        <v>7</v>
      </c>
      <c r="AK46" s="142">
        <v>8</v>
      </c>
      <c r="AL46" s="142">
        <v>9</v>
      </c>
      <c r="AM46" s="142">
        <v>10</v>
      </c>
      <c r="AN46" s="142">
        <v>11</v>
      </c>
      <c r="AO46" s="142">
        <v>12</v>
      </c>
      <c r="AP46" s="142">
        <v>13</v>
      </c>
      <c r="AQ46" s="142">
        <v>14</v>
      </c>
      <c r="AR46" s="142">
        <v>15</v>
      </c>
      <c r="AS46" s="142">
        <v>16</v>
      </c>
      <c r="AT46" s="142">
        <v>17</v>
      </c>
      <c r="AU46" s="142">
        <v>18</v>
      </c>
      <c r="AV46" s="2"/>
      <c r="AW46" s="2"/>
    </row>
    <row r="47" spans="1:49" ht="16.5">
      <c r="A47" s="2" t="s">
        <v>222</v>
      </c>
      <c r="B47" s="181">
        <v>0.89</v>
      </c>
      <c r="C47" s="143">
        <v>0.94499999999999995</v>
      </c>
      <c r="D47" s="143">
        <v>1.105</v>
      </c>
      <c r="E47" s="143">
        <v>1.23</v>
      </c>
      <c r="F47" s="143">
        <v>1.26</v>
      </c>
      <c r="G47" s="143">
        <v>1.105</v>
      </c>
      <c r="H47" s="143">
        <v>1.365</v>
      </c>
      <c r="I47" s="143">
        <v>1.405</v>
      </c>
      <c r="J47" s="143">
        <v>1.39</v>
      </c>
      <c r="K47" s="143">
        <v>1.41</v>
      </c>
      <c r="L47" s="143">
        <v>1.6539999999999999</v>
      </c>
      <c r="M47" s="143">
        <v>2.02</v>
      </c>
      <c r="N47" s="143">
        <v>2.4249999999999998</v>
      </c>
      <c r="O47" s="143">
        <v>2.7650000000000001</v>
      </c>
      <c r="P47" s="143">
        <v>2.7959999999999998</v>
      </c>
      <c r="Q47" s="143">
        <v>2.9350000000000001</v>
      </c>
      <c r="R47" s="143">
        <v>3.1976</v>
      </c>
      <c r="S47" s="143">
        <v>3.1113000000000004</v>
      </c>
      <c r="T47" s="143">
        <v>3.1049000000000002</v>
      </c>
      <c r="U47" s="143">
        <v>3.1995</v>
      </c>
      <c r="V47" s="143">
        <v>3.0664000000000002</v>
      </c>
      <c r="W47" s="143">
        <v>3.1848000000000001</v>
      </c>
      <c r="X47" s="143">
        <v>3.1945000000000001</v>
      </c>
      <c r="Y47" s="143">
        <v>3.3062</v>
      </c>
      <c r="Z47" s="143">
        <v>3.1976999999999998</v>
      </c>
      <c r="AA47" s="143">
        <v>3.2204999999999999</v>
      </c>
      <c r="AB47" s="143">
        <v>3.415</v>
      </c>
      <c r="AC47" s="143">
        <v>3.4934000000000003</v>
      </c>
      <c r="AD47" s="142">
        <f>FORECAST(AD3,T47:AC47,T3:AC3)</f>
        <v>3.4358200000000068</v>
      </c>
      <c r="AE47" s="142">
        <f>FORECAST(AE3,U47:AD47,U3:AD3)</f>
        <v>3.4792613333333406</v>
      </c>
      <c r="AF47" s="142" t="e">
        <f t="shared" ref="AF47:AU47" si="50">SUM(#REF!)</f>
        <v>#REF!</v>
      </c>
      <c r="AG47" s="142" t="e">
        <f t="shared" si="50"/>
        <v>#REF!</v>
      </c>
      <c r="AH47" s="142" t="e">
        <f t="shared" si="50"/>
        <v>#REF!</v>
      </c>
      <c r="AI47" s="142" t="e">
        <f t="shared" si="50"/>
        <v>#REF!</v>
      </c>
      <c r="AJ47" s="142" t="e">
        <f t="shared" si="50"/>
        <v>#REF!</v>
      </c>
      <c r="AK47" s="142" t="e">
        <f t="shared" si="50"/>
        <v>#REF!</v>
      </c>
      <c r="AL47" s="142" t="e">
        <f t="shared" si="50"/>
        <v>#REF!</v>
      </c>
      <c r="AM47" s="142" t="e">
        <f t="shared" si="50"/>
        <v>#REF!</v>
      </c>
      <c r="AN47" s="142" t="e">
        <f t="shared" si="50"/>
        <v>#REF!</v>
      </c>
      <c r="AO47" s="142" t="e">
        <f t="shared" si="50"/>
        <v>#REF!</v>
      </c>
      <c r="AP47" s="142" t="e">
        <f t="shared" si="50"/>
        <v>#REF!</v>
      </c>
      <c r="AQ47" s="142" t="e">
        <f t="shared" si="50"/>
        <v>#REF!</v>
      </c>
      <c r="AR47" s="142" t="e">
        <f t="shared" si="50"/>
        <v>#REF!</v>
      </c>
      <c r="AS47" s="142" t="e">
        <f t="shared" si="50"/>
        <v>#REF!</v>
      </c>
      <c r="AT47" s="142" t="e">
        <f t="shared" si="50"/>
        <v>#REF!</v>
      </c>
      <c r="AU47" s="142" t="e">
        <f t="shared" si="50"/>
        <v>#REF!</v>
      </c>
      <c r="AV47" s="2"/>
      <c r="AW47" s="2"/>
    </row>
    <row r="48" spans="1:49" ht="16.5">
      <c r="A48" s="2" t="s">
        <v>223</v>
      </c>
      <c r="B48" s="181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2"/>
      <c r="AE48" s="142"/>
      <c r="AF48" s="142" t="e">
        <f t="shared" ref="AF48:AU48" si="51">FORECAST(AF44,V48:AE48,V44:AE44)</f>
        <v>#REF!</v>
      </c>
      <c r="AG48" s="142" t="e">
        <f t="shared" si="51"/>
        <v>#REF!</v>
      </c>
      <c r="AH48" s="142" t="e">
        <f t="shared" si="51"/>
        <v>#REF!</v>
      </c>
      <c r="AI48" s="142" t="e">
        <f t="shared" si="51"/>
        <v>#REF!</v>
      </c>
      <c r="AJ48" s="142" t="e">
        <f t="shared" si="51"/>
        <v>#REF!</v>
      </c>
      <c r="AK48" s="142" t="e">
        <f t="shared" si="51"/>
        <v>#REF!</v>
      </c>
      <c r="AL48" s="142" t="e">
        <f t="shared" si="51"/>
        <v>#REF!</v>
      </c>
      <c r="AM48" s="142" t="e">
        <f t="shared" si="51"/>
        <v>#REF!</v>
      </c>
      <c r="AN48" s="142" t="e">
        <f t="shared" si="51"/>
        <v>#REF!</v>
      </c>
      <c r="AO48" s="142" t="e">
        <f t="shared" si="51"/>
        <v>#REF!</v>
      </c>
      <c r="AP48" s="142" t="e">
        <f t="shared" si="51"/>
        <v>#REF!</v>
      </c>
      <c r="AQ48" s="142" t="e">
        <f t="shared" si="51"/>
        <v>#REF!</v>
      </c>
      <c r="AR48" s="142" t="e">
        <f t="shared" si="51"/>
        <v>#REF!</v>
      </c>
      <c r="AS48" s="142" t="e">
        <f t="shared" si="51"/>
        <v>#REF!</v>
      </c>
      <c r="AT48" s="142" t="e">
        <f t="shared" si="51"/>
        <v>#REF!</v>
      </c>
      <c r="AU48" s="142" t="e">
        <f t="shared" si="51"/>
        <v>#REF!</v>
      </c>
      <c r="AV48" s="2"/>
      <c r="AW48" s="2"/>
    </row>
    <row r="49" spans="1:51" ht="16.5">
      <c r="A49" s="2" t="s">
        <v>224</v>
      </c>
      <c r="B49" s="181">
        <v>3.5249000000000001</v>
      </c>
      <c r="C49" s="143">
        <v>4.2021000000000006</v>
      </c>
      <c r="D49" s="143">
        <v>4.5575000000000001</v>
      </c>
      <c r="E49" s="143">
        <v>4.4791000000000007</v>
      </c>
      <c r="F49" s="143">
        <v>4.6811000000000007</v>
      </c>
      <c r="G49" s="143">
        <v>5.5366</v>
      </c>
      <c r="H49" s="143">
        <v>6.2</v>
      </c>
      <c r="I49" s="143">
        <v>5.5561000000000007</v>
      </c>
      <c r="J49" s="143">
        <v>4.7584999999999997</v>
      </c>
      <c r="K49" s="143">
        <v>4.8911000000000007</v>
      </c>
      <c r="L49" s="143">
        <v>4.8481000000000005</v>
      </c>
      <c r="M49" s="143">
        <v>6.6322999999999999</v>
      </c>
      <c r="N49" s="143">
        <v>4.6254999999999997</v>
      </c>
      <c r="O49" s="143">
        <v>4.3043999999999993</v>
      </c>
      <c r="P49" s="143">
        <v>4.5028999999999995</v>
      </c>
      <c r="Q49" s="143">
        <v>4.2623999999999995</v>
      </c>
      <c r="R49" s="143">
        <v>4.0966000000000005</v>
      </c>
      <c r="S49" s="143">
        <v>4.3628</v>
      </c>
      <c r="T49" s="143">
        <v>4.5826000000000002</v>
      </c>
      <c r="U49" s="143">
        <v>4.2736000000000001</v>
      </c>
      <c r="V49" s="143">
        <v>4.6523999999999992</v>
      </c>
      <c r="W49" s="143">
        <v>4.9124999999999996</v>
      </c>
      <c r="X49" s="143">
        <v>5.4367000000000001</v>
      </c>
      <c r="Y49" s="143">
        <v>4.8583999999999996</v>
      </c>
      <c r="Z49" s="143">
        <v>5.0676000000000005</v>
      </c>
      <c r="AA49" s="143">
        <v>7.1688000000000001</v>
      </c>
      <c r="AB49" s="143">
        <v>4.7686999999999999</v>
      </c>
      <c r="AC49" s="143">
        <v>6.0422000000000002</v>
      </c>
      <c r="AD49" s="142">
        <f>FORECAST(AD3,T49:AC49,T3:AC3)</f>
        <v>6.1453866666666386</v>
      </c>
      <c r="AE49" s="142">
        <f>FORECAST(AE3,U49:AD49,U3:AD3)</f>
        <v>6.3746679999999856</v>
      </c>
      <c r="AF49" s="142" t="e">
        <f t="shared" ref="AF49:AU49" si="52">FORECAST(AF47,V49:AE49,V47:AE47)</f>
        <v>#REF!</v>
      </c>
      <c r="AG49" s="142" t="e">
        <f t="shared" si="52"/>
        <v>#REF!</v>
      </c>
      <c r="AH49" s="142" t="e">
        <f t="shared" si="52"/>
        <v>#REF!</v>
      </c>
      <c r="AI49" s="142" t="e">
        <f t="shared" si="52"/>
        <v>#REF!</v>
      </c>
      <c r="AJ49" s="142" t="e">
        <f t="shared" si="52"/>
        <v>#REF!</v>
      </c>
      <c r="AK49" s="142" t="e">
        <f t="shared" si="52"/>
        <v>#REF!</v>
      </c>
      <c r="AL49" s="142" t="e">
        <f t="shared" si="52"/>
        <v>#REF!</v>
      </c>
      <c r="AM49" s="142" t="e">
        <f t="shared" si="52"/>
        <v>#REF!</v>
      </c>
      <c r="AN49" s="142" t="e">
        <f t="shared" si="52"/>
        <v>#REF!</v>
      </c>
      <c r="AO49" s="142" t="e">
        <f t="shared" si="52"/>
        <v>#REF!</v>
      </c>
      <c r="AP49" s="142" t="e">
        <f t="shared" si="52"/>
        <v>#REF!</v>
      </c>
      <c r="AQ49" s="142" t="e">
        <f t="shared" si="52"/>
        <v>#REF!</v>
      </c>
      <c r="AR49" s="142" t="e">
        <f t="shared" si="52"/>
        <v>#REF!</v>
      </c>
      <c r="AS49" s="142" t="e">
        <f t="shared" si="52"/>
        <v>#REF!</v>
      </c>
      <c r="AT49" s="142" t="e">
        <f t="shared" si="52"/>
        <v>#REF!</v>
      </c>
      <c r="AU49" s="142" t="e">
        <f t="shared" si="52"/>
        <v>#REF!</v>
      </c>
      <c r="AV49" s="2"/>
      <c r="AW49" s="2"/>
      <c r="AY49" s="185"/>
    </row>
    <row r="50" spans="1:51" ht="16.5">
      <c r="A50" s="2" t="s">
        <v>218</v>
      </c>
      <c r="B50" s="181">
        <f t="shared" ref="B50:AU50" si="53">SUM(B46:B49)</f>
        <v>4.4149000000000003</v>
      </c>
      <c r="C50" s="143">
        <f t="shared" si="53"/>
        <v>5.1471000000000009</v>
      </c>
      <c r="D50" s="143">
        <f t="shared" si="53"/>
        <v>5.6624999999999996</v>
      </c>
      <c r="E50" s="143">
        <f t="shared" si="53"/>
        <v>5.7091000000000012</v>
      </c>
      <c r="F50" s="143">
        <f t="shared" si="53"/>
        <v>5.9411000000000005</v>
      </c>
      <c r="G50" s="143">
        <f t="shared" si="53"/>
        <v>6.6416000000000004</v>
      </c>
      <c r="H50" s="143">
        <f t="shared" si="53"/>
        <v>7.5650000000000004</v>
      </c>
      <c r="I50" s="143">
        <f t="shared" si="53"/>
        <v>6.961100000000001</v>
      </c>
      <c r="J50" s="143">
        <f t="shared" si="53"/>
        <v>6.1484999999999994</v>
      </c>
      <c r="K50" s="143">
        <f t="shared" si="53"/>
        <v>6.3011000000000008</v>
      </c>
      <c r="L50" s="143">
        <f t="shared" si="53"/>
        <v>6.5021000000000004</v>
      </c>
      <c r="M50" s="143">
        <f t="shared" si="53"/>
        <v>8.6523000000000003</v>
      </c>
      <c r="N50" s="143">
        <f t="shared" si="53"/>
        <v>7.0504999999999995</v>
      </c>
      <c r="O50" s="143">
        <f t="shared" si="53"/>
        <v>7.0693999999999999</v>
      </c>
      <c r="P50" s="143">
        <f t="shared" si="53"/>
        <v>7.2988999999999997</v>
      </c>
      <c r="Q50" s="143">
        <f t="shared" si="53"/>
        <v>7.1974</v>
      </c>
      <c r="R50" s="143">
        <f t="shared" si="53"/>
        <v>7.2942</v>
      </c>
      <c r="S50" s="143">
        <f t="shared" si="53"/>
        <v>7.4741</v>
      </c>
      <c r="T50" s="143">
        <f t="shared" si="53"/>
        <v>7.6875</v>
      </c>
      <c r="U50" s="143">
        <f t="shared" si="53"/>
        <v>7.4731000000000005</v>
      </c>
      <c r="V50" s="143">
        <f t="shared" si="53"/>
        <v>7.7187999999999999</v>
      </c>
      <c r="W50" s="143">
        <f t="shared" si="53"/>
        <v>8.0973000000000006</v>
      </c>
      <c r="X50" s="143">
        <f t="shared" si="53"/>
        <v>8.6311999999999998</v>
      </c>
      <c r="Y50" s="143">
        <f t="shared" si="53"/>
        <v>8.1646000000000001</v>
      </c>
      <c r="Z50" s="143">
        <f t="shared" si="53"/>
        <v>8.2652999999999999</v>
      </c>
      <c r="AA50" s="143">
        <f t="shared" si="53"/>
        <v>10.3893</v>
      </c>
      <c r="AB50" s="143">
        <f t="shared" si="53"/>
        <v>8.1837</v>
      </c>
      <c r="AC50" s="143">
        <f t="shared" si="53"/>
        <v>9.5356000000000005</v>
      </c>
      <c r="AD50" s="142">
        <f t="shared" si="53"/>
        <v>9.5812066666666453</v>
      </c>
      <c r="AE50" s="142">
        <f t="shared" ref="AE50" si="54">SUM(AE46:AE49)</f>
        <v>9.8539293333333262</v>
      </c>
      <c r="AF50" s="142" t="e">
        <f t="shared" si="53"/>
        <v>#REF!</v>
      </c>
      <c r="AG50" s="142" t="e">
        <f t="shared" si="53"/>
        <v>#REF!</v>
      </c>
      <c r="AH50" s="142" t="e">
        <f t="shared" si="53"/>
        <v>#REF!</v>
      </c>
      <c r="AI50" s="142" t="e">
        <f t="shared" si="53"/>
        <v>#REF!</v>
      </c>
      <c r="AJ50" s="142" t="e">
        <f t="shared" si="53"/>
        <v>#REF!</v>
      </c>
      <c r="AK50" s="142" t="e">
        <f t="shared" si="53"/>
        <v>#REF!</v>
      </c>
      <c r="AL50" s="142" t="e">
        <f t="shared" si="53"/>
        <v>#REF!</v>
      </c>
      <c r="AM50" s="142" t="e">
        <f t="shared" si="53"/>
        <v>#REF!</v>
      </c>
      <c r="AN50" s="142" t="e">
        <f t="shared" si="53"/>
        <v>#REF!</v>
      </c>
      <c r="AO50" s="142" t="e">
        <f t="shared" si="53"/>
        <v>#REF!</v>
      </c>
      <c r="AP50" s="142" t="e">
        <f t="shared" si="53"/>
        <v>#REF!</v>
      </c>
      <c r="AQ50" s="142" t="e">
        <f t="shared" si="53"/>
        <v>#REF!</v>
      </c>
      <c r="AR50" s="142" t="e">
        <f t="shared" si="53"/>
        <v>#REF!</v>
      </c>
      <c r="AS50" s="142" t="e">
        <f t="shared" si="53"/>
        <v>#REF!</v>
      </c>
      <c r="AT50" s="142" t="e">
        <f t="shared" si="53"/>
        <v>#REF!</v>
      </c>
      <c r="AU50" s="142" t="e">
        <f t="shared" si="53"/>
        <v>#REF!</v>
      </c>
      <c r="AV50" s="2"/>
      <c r="AW50" s="80"/>
    </row>
    <row r="51" spans="1:51" ht="16.5">
      <c r="A51" s="2" t="s">
        <v>229</v>
      </c>
      <c r="B51" s="181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2"/>
      <c r="AW51" s="2"/>
    </row>
    <row r="52" spans="1:51" ht="16.5">
      <c r="A52" s="2" t="s">
        <v>226</v>
      </c>
      <c r="B52" s="181">
        <v>2.9750000000000001</v>
      </c>
      <c r="C52" s="143">
        <v>2.718</v>
      </c>
      <c r="D52" s="143">
        <v>2.8050000000000002</v>
      </c>
      <c r="E52" s="143">
        <v>3.3519999999999999</v>
      </c>
      <c r="F52" s="143">
        <v>2.9049999999999998</v>
      </c>
      <c r="G52" s="143">
        <v>3.33</v>
      </c>
      <c r="H52" s="143">
        <v>3.55</v>
      </c>
      <c r="I52" s="143">
        <v>3.835</v>
      </c>
      <c r="J52" s="143">
        <v>4.2649999999999997</v>
      </c>
      <c r="K52" s="143">
        <v>4.47</v>
      </c>
      <c r="L52" s="143">
        <v>3.8740000000000001</v>
      </c>
      <c r="M52" s="143">
        <v>4.8049999999999997</v>
      </c>
      <c r="N52" s="143">
        <v>4.5250000000000004</v>
      </c>
      <c r="O52" s="143">
        <v>4.3550000000000004</v>
      </c>
      <c r="P52" s="143">
        <v>3.97</v>
      </c>
      <c r="Q52" s="143">
        <v>4.0199999999999996</v>
      </c>
      <c r="R52" s="143">
        <v>4.9550000000000001</v>
      </c>
      <c r="S52" s="143">
        <v>5.9850000000000003</v>
      </c>
      <c r="T52" s="143">
        <v>4.6749999999999998</v>
      </c>
      <c r="U52" s="143">
        <v>5.7750000000000004</v>
      </c>
      <c r="V52" s="143">
        <v>6.2949999999999999</v>
      </c>
      <c r="W52" s="143">
        <v>6.665</v>
      </c>
      <c r="X52" s="143">
        <v>5.8739999999999997</v>
      </c>
      <c r="Y52" s="143">
        <v>5.5190000000000001</v>
      </c>
      <c r="Z52" s="143">
        <v>5.35</v>
      </c>
      <c r="AA52" s="143">
        <v>5.2545000000000002</v>
      </c>
      <c r="AB52" s="143">
        <v>5.6989999999999998</v>
      </c>
      <c r="AC52" s="143">
        <v>5.3073999999999995</v>
      </c>
      <c r="AD52" s="142"/>
      <c r="AE52" s="142"/>
      <c r="AF52" s="142" t="e">
        <f t="shared" ref="AF52:AU52" si="55">AF54*(SUM(V52:AE52)/SUM(V54:AE54))</f>
        <v>#REF!</v>
      </c>
      <c r="AG52" s="142" t="e">
        <f t="shared" si="55"/>
        <v>#REF!</v>
      </c>
      <c r="AH52" s="142" t="e">
        <f t="shared" si="55"/>
        <v>#REF!</v>
      </c>
      <c r="AI52" s="142" t="e">
        <f t="shared" si="55"/>
        <v>#REF!</v>
      </c>
      <c r="AJ52" s="142" t="e">
        <f t="shared" si="55"/>
        <v>#REF!</v>
      </c>
      <c r="AK52" s="142" t="e">
        <f t="shared" si="55"/>
        <v>#REF!</v>
      </c>
      <c r="AL52" s="142" t="e">
        <f t="shared" si="55"/>
        <v>#REF!</v>
      </c>
      <c r="AM52" s="142" t="e">
        <f t="shared" si="55"/>
        <v>#REF!</v>
      </c>
      <c r="AN52" s="142" t="e">
        <f t="shared" si="55"/>
        <v>#REF!</v>
      </c>
      <c r="AO52" s="142" t="e">
        <f t="shared" si="55"/>
        <v>#REF!</v>
      </c>
      <c r="AP52" s="142" t="e">
        <f t="shared" si="55"/>
        <v>#REF!</v>
      </c>
      <c r="AQ52" s="142" t="e">
        <f t="shared" si="55"/>
        <v>#REF!</v>
      </c>
      <c r="AR52" s="142" t="e">
        <f t="shared" si="55"/>
        <v>#REF!</v>
      </c>
      <c r="AS52" s="142" t="e">
        <f t="shared" si="55"/>
        <v>#REF!</v>
      </c>
      <c r="AT52" s="142" t="e">
        <f t="shared" si="55"/>
        <v>#REF!</v>
      </c>
      <c r="AU52" s="142" t="e">
        <f t="shared" si="55"/>
        <v>#REF!</v>
      </c>
      <c r="AV52" s="2"/>
      <c r="AW52" s="80"/>
    </row>
    <row r="53" spans="1:51">
      <c r="A53" s="2" t="s">
        <v>227</v>
      </c>
      <c r="B53" s="186">
        <v>1.2507999999999999</v>
      </c>
      <c r="C53" s="143">
        <v>1.0549999999999999</v>
      </c>
      <c r="D53" s="143">
        <v>1.3190999999999999</v>
      </c>
      <c r="E53" s="143">
        <v>1.4378</v>
      </c>
      <c r="F53" s="143">
        <v>1</v>
      </c>
      <c r="G53" s="143">
        <v>1.0105999999999999</v>
      </c>
      <c r="H53" s="143">
        <v>1.0297000000000001</v>
      </c>
      <c r="I53" s="143">
        <v>1.1125</v>
      </c>
      <c r="J53" s="143">
        <v>1.0027000000000001</v>
      </c>
      <c r="K53" s="143">
        <v>1.3035999999999999</v>
      </c>
      <c r="L53" s="143">
        <v>1.5766</v>
      </c>
      <c r="M53" s="143">
        <v>1.2182999999999999</v>
      </c>
      <c r="N53" s="143">
        <v>1.4302000000000001</v>
      </c>
      <c r="O53" s="143">
        <v>1.5505</v>
      </c>
      <c r="P53" s="143">
        <v>1.8068</v>
      </c>
      <c r="Q53" s="143">
        <v>1.7484999999999999</v>
      </c>
      <c r="R53" s="143">
        <v>1.8215999999999999</v>
      </c>
      <c r="S53" s="143">
        <v>1.9982</v>
      </c>
      <c r="T53" s="143">
        <v>1.6134999999999999</v>
      </c>
      <c r="U53" s="143">
        <v>1.9875</v>
      </c>
      <c r="V53" s="143">
        <v>2.0794999999999999</v>
      </c>
      <c r="W53" s="143">
        <v>2.0888</v>
      </c>
      <c r="X53" s="143">
        <v>2.4280999999999997</v>
      </c>
      <c r="Y53" s="143">
        <v>2.4739</v>
      </c>
      <c r="Z53" s="143">
        <v>2.7974999999999999</v>
      </c>
      <c r="AA53" s="143">
        <v>4.0270000000000001</v>
      </c>
      <c r="AB53" s="143">
        <v>3.3759000000000001</v>
      </c>
      <c r="AC53" s="143">
        <v>2.9596999999999998</v>
      </c>
      <c r="AD53" s="142"/>
      <c r="AE53" s="142"/>
      <c r="AF53" s="142" t="e">
        <f t="shared" ref="AF53:AU53" si="56">AF54*(SUM(V53:AE53)/SUM(V54:AE54))</f>
        <v>#REF!</v>
      </c>
      <c r="AG53" s="142" t="e">
        <f t="shared" si="56"/>
        <v>#REF!</v>
      </c>
      <c r="AH53" s="142" t="e">
        <f t="shared" si="56"/>
        <v>#REF!</v>
      </c>
      <c r="AI53" s="142" t="e">
        <f t="shared" si="56"/>
        <v>#REF!</v>
      </c>
      <c r="AJ53" s="142" t="e">
        <f t="shared" si="56"/>
        <v>#REF!</v>
      </c>
      <c r="AK53" s="142" t="e">
        <f t="shared" si="56"/>
        <v>#REF!</v>
      </c>
      <c r="AL53" s="142" t="e">
        <f t="shared" si="56"/>
        <v>#REF!</v>
      </c>
      <c r="AM53" s="142" t="e">
        <f t="shared" si="56"/>
        <v>#REF!</v>
      </c>
      <c r="AN53" s="142" t="e">
        <f t="shared" si="56"/>
        <v>#REF!</v>
      </c>
      <c r="AO53" s="142" t="e">
        <f t="shared" si="56"/>
        <v>#REF!</v>
      </c>
      <c r="AP53" s="142" t="e">
        <f t="shared" si="56"/>
        <v>#REF!</v>
      </c>
      <c r="AQ53" s="142" t="e">
        <f t="shared" si="56"/>
        <v>#REF!</v>
      </c>
      <c r="AR53" s="142" t="e">
        <f t="shared" si="56"/>
        <v>#REF!</v>
      </c>
      <c r="AS53" s="142" t="e">
        <f t="shared" si="56"/>
        <v>#REF!</v>
      </c>
      <c r="AT53" s="142" t="e">
        <f t="shared" si="56"/>
        <v>#REF!</v>
      </c>
      <c r="AU53" s="142" t="e">
        <f t="shared" si="56"/>
        <v>#REF!</v>
      </c>
      <c r="AV53" s="2"/>
      <c r="AW53" s="2"/>
    </row>
    <row r="54" spans="1:51" ht="13.5" thickBot="1">
      <c r="A54" s="2" t="s">
        <v>218</v>
      </c>
      <c r="B54" s="186">
        <f t="shared" ref="B54:AC54" si="57">SUM(B52:B53)</f>
        <v>4.2257999999999996</v>
      </c>
      <c r="C54" s="143">
        <f t="shared" si="57"/>
        <v>3.7729999999999997</v>
      </c>
      <c r="D54" s="143">
        <f t="shared" si="57"/>
        <v>4.1241000000000003</v>
      </c>
      <c r="E54" s="143">
        <f t="shared" si="57"/>
        <v>4.7897999999999996</v>
      </c>
      <c r="F54" s="143">
        <f t="shared" si="57"/>
        <v>3.9049999999999998</v>
      </c>
      <c r="G54" s="143">
        <f t="shared" si="57"/>
        <v>4.3406000000000002</v>
      </c>
      <c r="H54" s="143">
        <f t="shared" si="57"/>
        <v>4.5796999999999999</v>
      </c>
      <c r="I54" s="143">
        <f t="shared" si="57"/>
        <v>4.9474999999999998</v>
      </c>
      <c r="J54" s="143">
        <f t="shared" si="57"/>
        <v>5.2676999999999996</v>
      </c>
      <c r="K54" s="143">
        <f t="shared" si="57"/>
        <v>5.7736000000000001</v>
      </c>
      <c r="L54" s="143">
        <f t="shared" si="57"/>
        <v>5.4505999999999997</v>
      </c>
      <c r="M54" s="143">
        <f t="shared" si="57"/>
        <v>6.0232999999999999</v>
      </c>
      <c r="N54" s="143">
        <f t="shared" si="57"/>
        <v>5.9552000000000005</v>
      </c>
      <c r="O54" s="143">
        <f t="shared" si="57"/>
        <v>5.9055</v>
      </c>
      <c r="P54" s="143">
        <f t="shared" si="57"/>
        <v>5.7767999999999997</v>
      </c>
      <c r="Q54" s="143">
        <f t="shared" si="57"/>
        <v>5.7684999999999995</v>
      </c>
      <c r="R54" s="143">
        <f t="shared" si="57"/>
        <v>6.7766000000000002</v>
      </c>
      <c r="S54" s="143">
        <f t="shared" si="57"/>
        <v>7.9832000000000001</v>
      </c>
      <c r="T54" s="143">
        <f t="shared" si="57"/>
        <v>6.2885</v>
      </c>
      <c r="U54" s="143">
        <f t="shared" si="57"/>
        <v>7.7625000000000002</v>
      </c>
      <c r="V54" s="143">
        <f t="shared" si="57"/>
        <v>8.3744999999999994</v>
      </c>
      <c r="W54" s="143">
        <f t="shared" si="57"/>
        <v>8.7538</v>
      </c>
      <c r="X54" s="143">
        <f t="shared" si="57"/>
        <v>8.3020999999999994</v>
      </c>
      <c r="Y54" s="143">
        <f t="shared" si="57"/>
        <v>7.9929000000000006</v>
      </c>
      <c r="Z54" s="143">
        <f t="shared" si="57"/>
        <v>8.1474999999999991</v>
      </c>
      <c r="AA54" s="143">
        <f t="shared" si="57"/>
        <v>9.2815000000000012</v>
      </c>
      <c r="AB54" s="143">
        <f t="shared" si="57"/>
        <v>9.0748999999999995</v>
      </c>
      <c r="AC54" s="143">
        <f t="shared" si="57"/>
        <v>8.2670999999999992</v>
      </c>
      <c r="AD54" s="142">
        <f>AD41+AD43-AD44-(AD50-AD37)</f>
        <v>7.9981136808930344</v>
      </c>
      <c r="AE54" s="142">
        <f>AE41+AE43-AE44-(AE50-AE37)</f>
        <v>8.0055204591485829</v>
      </c>
      <c r="AF54" s="142" t="e">
        <f t="shared" ref="AF54:AU54" si="58">AF41+AF43-AF44-AF50</f>
        <v>#REF!</v>
      </c>
      <c r="AG54" s="142" t="e">
        <f t="shared" si="58"/>
        <v>#REF!</v>
      </c>
      <c r="AH54" s="142" t="e">
        <f t="shared" si="58"/>
        <v>#REF!</v>
      </c>
      <c r="AI54" s="142" t="e">
        <f t="shared" si="58"/>
        <v>#REF!</v>
      </c>
      <c r="AJ54" s="142" t="e">
        <f t="shared" si="58"/>
        <v>#REF!</v>
      </c>
      <c r="AK54" s="142" t="e">
        <f t="shared" si="58"/>
        <v>#REF!</v>
      </c>
      <c r="AL54" s="142" t="e">
        <f t="shared" si="58"/>
        <v>#REF!</v>
      </c>
      <c r="AM54" s="142" t="e">
        <f t="shared" si="58"/>
        <v>#REF!</v>
      </c>
      <c r="AN54" s="142" t="e">
        <f t="shared" si="58"/>
        <v>#REF!</v>
      </c>
      <c r="AO54" s="142" t="e">
        <f t="shared" si="58"/>
        <v>#REF!</v>
      </c>
      <c r="AP54" s="142" t="e">
        <f t="shared" si="58"/>
        <v>#REF!</v>
      </c>
      <c r="AQ54" s="142" t="e">
        <f t="shared" si="58"/>
        <v>#REF!</v>
      </c>
      <c r="AR54" s="142" t="e">
        <f t="shared" si="58"/>
        <v>#REF!</v>
      </c>
      <c r="AS54" s="142" t="e">
        <f t="shared" si="58"/>
        <v>#REF!</v>
      </c>
      <c r="AT54" s="142" t="e">
        <f t="shared" si="58"/>
        <v>#REF!</v>
      </c>
      <c r="AU54" s="142" t="e">
        <f t="shared" si="58"/>
        <v>#REF!</v>
      </c>
      <c r="AV54" s="2"/>
      <c r="AW54" s="2"/>
    </row>
    <row r="55" spans="1:51">
      <c r="A55" s="91" t="s">
        <v>230</v>
      </c>
      <c r="B55" s="187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8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2"/>
      <c r="AW55" s="2"/>
    </row>
    <row r="56" spans="1:51">
      <c r="A56" s="2" t="s">
        <v>14</v>
      </c>
      <c r="B56" s="186">
        <f>SUM(B94:B98)</f>
        <v>7.7999999999999999E-5</v>
      </c>
      <c r="C56" s="186">
        <f t="shared" ref="C56:X56" si="59">SUM(C94:C98)</f>
        <v>6.4900000000000005E-4</v>
      </c>
      <c r="D56" s="186">
        <f t="shared" si="59"/>
        <v>1.46E-4</v>
      </c>
      <c r="E56" s="186">
        <f t="shared" si="59"/>
        <v>6.2000000000000003E-5</v>
      </c>
      <c r="F56" s="186">
        <f t="shared" si="59"/>
        <v>6.9999999999999999E-6</v>
      </c>
      <c r="G56" s="186">
        <f t="shared" si="59"/>
        <v>2.2615999999999998E-5</v>
      </c>
      <c r="H56" s="186">
        <f t="shared" si="59"/>
        <v>0</v>
      </c>
      <c r="I56" s="186">
        <f t="shared" si="59"/>
        <v>0</v>
      </c>
      <c r="J56" s="186">
        <f t="shared" si="59"/>
        <v>4.673E-6</v>
      </c>
      <c r="K56" s="186">
        <f t="shared" si="59"/>
        <v>1.8730000000000001E-6</v>
      </c>
      <c r="L56" s="186">
        <f t="shared" si="59"/>
        <v>3.0888500000000001E-4</v>
      </c>
      <c r="M56" s="186">
        <f t="shared" si="59"/>
        <v>4.6750000000000001E-6</v>
      </c>
      <c r="N56" s="186">
        <f t="shared" si="59"/>
        <v>1.2412600000000001E-4</v>
      </c>
      <c r="O56" s="186">
        <f t="shared" si="59"/>
        <v>1.0186349999999999E-3</v>
      </c>
      <c r="P56" s="186">
        <f t="shared" si="59"/>
        <v>8.4204500000000003E-4</v>
      </c>
      <c r="Q56" s="186">
        <f t="shared" si="59"/>
        <v>8.2225699999999996E-4</v>
      </c>
      <c r="R56" s="186">
        <f t="shared" si="59"/>
        <v>8.9285500000000002E-4</v>
      </c>
      <c r="S56" s="186">
        <f t="shared" si="59"/>
        <v>6.1948700000000005E-4</v>
      </c>
      <c r="T56" s="186">
        <f t="shared" si="59"/>
        <v>6.3949500000000002E-4</v>
      </c>
      <c r="U56" s="186">
        <f t="shared" si="59"/>
        <v>8.79874E-4</v>
      </c>
      <c r="V56" s="186">
        <f t="shared" si="59"/>
        <v>2.5762299999999997E-3</v>
      </c>
      <c r="W56" s="186">
        <f t="shared" si="59"/>
        <v>2.3509799999999999E-3</v>
      </c>
      <c r="X56" s="186">
        <f t="shared" si="59"/>
        <v>0.169145081</v>
      </c>
      <c r="Y56" s="186">
        <f t="shared" ref="Y56:AD56" si="60">SUM(Y94:Y98)/1000</f>
        <v>0.88023699999999994</v>
      </c>
      <c r="Z56" s="186">
        <f t="shared" si="60"/>
        <v>0.7209279999999999</v>
      </c>
      <c r="AA56" s="186">
        <f t="shared" si="60"/>
        <v>1.9524440000000001</v>
      </c>
      <c r="AB56" s="186">
        <f t="shared" si="60"/>
        <v>1.0980329999999998</v>
      </c>
      <c r="AC56" s="186">
        <f t="shared" si="60"/>
        <v>0.93493399999999993</v>
      </c>
      <c r="AD56" s="189">
        <f t="shared" si="60"/>
        <v>0.90065036292022915</v>
      </c>
      <c r="AE56" s="189">
        <f t="shared" ref="AE56" si="61">SUM(AE94:AE98)/1000</f>
        <v>0.89724511889221159</v>
      </c>
      <c r="AF56" s="142" t="e">
        <f t="shared" ref="AF56" si="62">SUM(#REF!)</f>
        <v>#REF!</v>
      </c>
      <c r="AG56" s="142" t="e">
        <f t="shared" ref="AG56:AU56" si="63">SUM(#REF!)</f>
        <v>#REF!</v>
      </c>
      <c r="AH56" s="142" t="e">
        <f t="shared" si="63"/>
        <v>#REF!</v>
      </c>
      <c r="AI56" s="142" t="e">
        <f t="shared" si="63"/>
        <v>#REF!</v>
      </c>
      <c r="AJ56" s="142" t="e">
        <f t="shared" si="63"/>
        <v>#REF!</v>
      </c>
      <c r="AK56" s="142" t="e">
        <f t="shared" si="63"/>
        <v>#REF!</v>
      </c>
      <c r="AL56" s="142" t="e">
        <f t="shared" si="63"/>
        <v>#REF!</v>
      </c>
      <c r="AM56" s="142" t="e">
        <f t="shared" si="63"/>
        <v>#REF!</v>
      </c>
      <c r="AN56" s="142" t="e">
        <f t="shared" si="63"/>
        <v>#REF!</v>
      </c>
      <c r="AO56" s="142" t="e">
        <f t="shared" si="63"/>
        <v>#REF!</v>
      </c>
      <c r="AP56" s="142" t="e">
        <f t="shared" si="63"/>
        <v>#REF!</v>
      </c>
      <c r="AQ56" s="142" t="e">
        <f t="shared" si="63"/>
        <v>#REF!</v>
      </c>
      <c r="AR56" s="142" t="e">
        <f t="shared" si="63"/>
        <v>#REF!</v>
      </c>
      <c r="AS56" s="142" t="e">
        <f t="shared" si="63"/>
        <v>#REF!</v>
      </c>
      <c r="AT56" s="142" t="e">
        <f t="shared" si="63"/>
        <v>#REF!</v>
      </c>
      <c r="AU56" s="142" t="e">
        <f t="shared" si="63"/>
        <v>#REF!</v>
      </c>
      <c r="AV56" s="2"/>
      <c r="AW56" s="2"/>
    </row>
    <row r="57" spans="1:51">
      <c r="A57" s="2" t="s">
        <v>19</v>
      </c>
      <c r="B57" s="186">
        <f t="shared" ref="B57:X57" si="64">SUM(B78:B82)</f>
        <v>5.5000000000000003E-4</v>
      </c>
      <c r="C57" s="186">
        <f t="shared" si="64"/>
        <v>6.6000000000000005E-5</v>
      </c>
      <c r="D57" s="186">
        <f t="shared" si="64"/>
        <v>2.5900000000000001E-4</v>
      </c>
      <c r="E57" s="186">
        <f t="shared" si="64"/>
        <v>0</v>
      </c>
      <c r="F57" s="186">
        <f t="shared" si="64"/>
        <v>7.2044000000000017E-5</v>
      </c>
      <c r="G57" s="186">
        <f t="shared" si="64"/>
        <v>0</v>
      </c>
      <c r="H57" s="186">
        <f t="shared" si="64"/>
        <v>0</v>
      </c>
      <c r="I57" s="186">
        <f t="shared" si="64"/>
        <v>2.1689999999999999E-6</v>
      </c>
      <c r="J57" s="186">
        <f t="shared" si="64"/>
        <v>1.0999999999999999E-8</v>
      </c>
      <c r="K57" s="186">
        <f t="shared" si="64"/>
        <v>2.1599999999999996E-6</v>
      </c>
      <c r="L57" s="186">
        <f t="shared" si="64"/>
        <v>3.8766410000000001E-3</v>
      </c>
      <c r="M57" s="186">
        <f t="shared" si="64"/>
        <v>1.6008100000000001E-4</v>
      </c>
      <c r="N57" s="186">
        <f t="shared" si="64"/>
        <v>5.6836099999999987E-4</v>
      </c>
      <c r="O57" s="186">
        <f t="shared" si="64"/>
        <v>6.8601899999999995E-4</v>
      </c>
      <c r="P57" s="186">
        <f t="shared" si="64"/>
        <v>8.0919100000000001E-4</v>
      </c>
      <c r="Q57" s="186">
        <f t="shared" si="64"/>
        <v>8.3192699999999999E-4</v>
      </c>
      <c r="R57" s="186">
        <f t="shared" si="64"/>
        <v>8.4247899999999993E-4</v>
      </c>
      <c r="S57" s="186">
        <f t="shared" si="64"/>
        <v>5.85102E-4</v>
      </c>
      <c r="T57" s="186">
        <f t="shared" si="64"/>
        <v>0.19907425000000001</v>
      </c>
      <c r="U57" s="186">
        <f t="shared" si="64"/>
        <v>3.0697850000000002E-3</v>
      </c>
      <c r="V57" s="186">
        <f t="shared" si="64"/>
        <v>1.3491830000000001E-3</v>
      </c>
      <c r="W57" s="186">
        <f t="shared" si="64"/>
        <v>0.12906899999999999</v>
      </c>
      <c r="X57" s="186">
        <f t="shared" si="64"/>
        <v>0.58553099999999991</v>
      </c>
      <c r="Y57" s="186">
        <f>SUM(Y78:Y82)/1000</f>
        <v>0.53374900000000003</v>
      </c>
      <c r="Z57" s="186">
        <f t="shared" ref="Z57:AC57" si="65">SUM(Z78:Z82)/1000</f>
        <v>0.83953100000000003</v>
      </c>
      <c r="AA57" s="186">
        <f t="shared" si="65"/>
        <v>1.1845309999999998</v>
      </c>
      <c r="AB57" s="186">
        <f t="shared" si="65"/>
        <v>1.7363299999999999</v>
      </c>
      <c r="AC57" s="186">
        <f t="shared" si="65"/>
        <v>1.3487320000000003</v>
      </c>
      <c r="AD57" s="189">
        <f>SUM(AD78:AD82)/1000</f>
        <v>1.0565645799768129</v>
      </c>
      <c r="AE57" s="189">
        <f>SUM(AE78:AE82)/1000</f>
        <v>1.1126142982449596</v>
      </c>
      <c r="AF57" s="142" t="e">
        <f t="shared" ref="AF57" si="66">SUM(#REF!)</f>
        <v>#REF!</v>
      </c>
      <c r="AG57" s="142" t="e">
        <f t="shared" ref="AG57:AU57" si="67">SUM(#REF!)</f>
        <v>#REF!</v>
      </c>
      <c r="AH57" s="142" t="e">
        <f t="shared" si="67"/>
        <v>#REF!</v>
      </c>
      <c r="AI57" s="142" t="e">
        <f t="shared" si="67"/>
        <v>#REF!</v>
      </c>
      <c r="AJ57" s="142" t="e">
        <f t="shared" si="67"/>
        <v>#REF!</v>
      </c>
      <c r="AK57" s="142" t="e">
        <f t="shared" si="67"/>
        <v>#REF!</v>
      </c>
      <c r="AL57" s="142" t="e">
        <f t="shared" si="67"/>
        <v>#REF!</v>
      </c>
      <c r="AM57" s="142" t="e">
        <f t="shared" si="67"/>
        <v>#REF!</v>
      </c>
      <c r="AN57" s="142" t="e">
        <f t="shared" si="67"/>
        <v>#REF!</v>
      </c>
      <c r="AO57" s="142" t="e">
        <f t="shared" si="67"/>
        <v>#REF!</v>
      </c>
      <c r="AP57" s="142" t="e">
        <f t="shared" si="67"/>
        <v>#REF!</v>
      </c>
      <c r="AQ57" s="142" t="e">
        <f t="shared" si="67"/>
        <v>#REF!</v>
      </c>
      <c r="AR57" s="142" t="e">
        <f t="shared" si="67"/>
        <v>#REF!</v>
      </c>
      <c r="AS57" s="142" t="e">
        <f t="shared" si="67"/>
        <v>#REF!</v>
      </c>
      <c r="AT57" s="142" t="e">
        <f t="shared" si="67"/>
        <v>#REF!</v>
      </c>
      <c r="AU57" s="142" t="e">
        <f t="shared" si="67"/>
        <v>#REF!</v>
      </c>
      <c r="AV57" s="2"/>
      <c r="AW57" s="2"/>
    </row>
    <row r="58" spans="1:51">
      <c r="A58" s="2" t="s">
        <v>220</v>
      </c>
      <c r="B58" s="186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2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2"/>
      <c r="AW58" s="2"/>
    </row>
    <row r="59" spans="1:51">
      <c r="A59" s="2" t="s">
        <v>221</v>
      </c>
      <c r="B59" s="190">
        <v>2.86E-2</v>
      </c>
      <c r="C59" s="190">
        <v>3.0199999999999998E-2</v>
      </c>
      <c r="D59" s="190">
        <v>3.0899999999999997E-2</v>
      </c>
      <c r="E59" s="190">
        <v>3.1699999999999999E-2</v>
      </c>
      <c r="F59" s="190">
        <v>1.3699999999999999E-2</v>
      </c>
      <c r="G59" s="190">
        <v>1.3699999999999999E-2</v>
      </c>
      <c r="H59" s="190">
        <v>1.34E-2</v>
      </c>
      <c r="I59" s="190">
        <v>1.2699999999999999E-2</v>
      </c>
      <c r="J59" s="190">
        <v>1.1900000000000001E-2</v>
      </c>
      <c r="K59" s="190">
        <v>1.2E-2</v>
      </c>
      <c r="L59" s="190">
        <v>1.46E-2</v>
      </c>
      <c r="M59" s="190">
        <v>1.2999999999999999E-2</v>
      </c>
      <c r="N59" s="190">
        <v>1.3699999999999999E-2</v>
      </c>
      <c r="O59" s="190">
        <v>1.35E-2</v>
      </c>
      <c r="P59" s="190">
        <v>1.3800000000000002E-2</v>
      </c>
      <c r="Q59" s="190">
        <v>1.5300000000000001E-2</v>
      </c>
      <c r="R59" s="190">
        <v>1.5599999999999999E-2</v>
      </c>
      <c r="S59" s="190">
        <v>1.34E-2</v>
      </c>
      <c r="T59" s="190">
        <v>1.4199999999999999E-2</v>
      </c>
      <c r="U59" s="190">
        <v>1.2999999999999999E-2</v>
      </c>
      <c r="V59" s="190">
        <v>1.52E-2</v>
      </c>
      <c r="W59" s="190">
        <v>1.5800000000000002E-2</v>
      </c>
      <c r="X59" s="190">
        <v>1.46E-2</v>
      </c>
      <c r="Y59" s="190">
        <v>1.41E-2</v>
      </c>
      <c r="Z59" s="190">
        <v>1.61E-2</v>
      </c>
      <c r="AA59" s="190">
        <v>1.5599999999999999E-2</v>
      </c>
      <c r="AB59" s="190">
        <v>1.6399999999999998E-2</v>
      </c>
      <c r="AC59" s="190">
        <v>1.5900000000000001E-2</v>
      </c>
      <c r="AD59" s="142">
        <f>FORECAST(AD3,T59:AC59,T3:AC3)</f>
        <v>1.6473333333333395E-2</v>
      </c>
      <c r="AE59" s="142">
        <f>FORECAST(AE3,U59:AD59,U3:AD3)</f>
        <v>1.6789333333333323E-2</v>
      </c>
      <c r="AF59" s="142" t="e">
        <f t="shared" ref="AF59:AU59" si="68">#REF!</f>
        <v>#REF!</v>
      </c>
      <c r="AG59" s="142" t="e">
        <f t="shared" si="68"/>
        <v>#REF!</v>
      </c>
      <c r="AH59" s="142" t="e">
        <f t="shared" si="68"/>
        <v>#REF!</v>
      </c>
      <c r="AI59" s="142" t="e">
        <f t="shared" si="68"/>
        <v>#REF!</v>
      </c>
      <c r="AJ59" s="142" t="e">
        <f t="shared" si="68"/>
        <v>#REF!</v>
      </c>
      <c r="AK59" s="142" t="e">
        <f t="shared" si="68"/>
        <v>#REF!</v>
      </c>
      <c r="AL59" s="142" t="e">
        <f t="shared" si="68"/>
        <v>#REF!</v>
      </c>
      <c r="AM59" s="142" t="e">
        <f t="shared" si="68"/>
        <v>#REF!</v>
      </c>
      <c r="AN59" s="142" t="e">
        <f t="shared" si="68"/>
        <v>#REF!</v>
      </c>
      <c r="AO59" s="142" t="e">
        <f t="shared" si="68"/>
        <v>#REF!</v>
      </c>
      <c r="AP59" s="142" t="e">
        <f t="shared" si="68"/>
        <v>#REF!</v>
      </c>
      <c r="AQ59" s="142" t="e">
        <f t="shared" si="68"/>
        <v>#REF!</v>
      </c>
      <c r="AR59" s="142" t="e">
        <f t="shared" si="68"/>
        <v>#REF!</v>
      </c>
      <c r="AS59" s="142" t="e">
        <f t="shared" si="68"/>
        <v>#REF!</v>
      </c>
      <c r="AT59" s="142" t="e">
        <f t="shared" si="68"/>
        <v>#REF!</v>
      </c>
      <c r="AU59" s="142" t="e">
        <f t="shared" si="68"/>
        <v>#REF!</v>
      </c>
      <c r="AV59" s="2"/>
      <c r="AW59" s="2"/>
    </row>
    <row r="60" spans="1:51">
      <c r="A60" s="2" t="s">
        <v>222</v>
      </c>
      <c r="B60" s="186">
        <v>1.5289999999999999</v>
      </c>
      <c r="C60" s="143">
        <v>1.7050000000000001</v>
      </c>
      <c r="D60" s="143">
        <v>1.845</v>
      </c>
      <c r="E60" s="143">
        <v>2.0150000000000001</v>
      </c>
      <c r="F60" s="143">
        <v>2.145</v>
      </c>
      <c r="G60" s="143">
        <v>2.2850000000000001</v>
      </c>
      <c r="H60" s="143">
        <v>2.3849999999999998</v>
      </c>
      <c r="I60" s="143">
        <v>2.415</v>
      </c>
      <c r="J60" s="143">
        <v>2.395</v>
      </c>
      <c r="K60" s="143">
        <v>2.2799999999999998</v>
      </c>
      <c r="L60" s="143">
        <v>2.98</v>
      </c>
      <c r="M60" s="143">
        <v>3.57</v>
      </c>
      <c r="N60" s="143">
        <v>4.12</v>
      </c>
      <c r="O60" s="143">
        <v>4.5949999999999998</v>
      </c>
      <c r="P60" s="143">
        <v>4.95</v>
      </c>
      <c r="Q60" s="143">
        <v>5.21</v>
      </c>
      <c r="R60" s="143">
        <v>5.2973999999999997</v>
      </c>
      <c r="S60" s="143">
        <v>5.1328000000000005</v>
      </c>
      <c r="T60" s="143">
        <v>5.3626000000000005</v>
      </c>
      <c r="U60" s="143">
        <v>5.2686000000000002</v>
      </c>
      <c r="V60" s="143">
        <v>5.1864999999999997</v>
      </c>
      <c r="W60" s="143">
        <v>5.1733000000000002</v>
      </c>
      <c r="X60" s="143">
        <v>5.7862999999999998</v>
      </c>
      <c r="Y60" s="143">
        <v>5.3033000000000001</v>
      </c>
      <c r="Z60" s="143">
        <v>5.3757999999999999</v>
      </c>
      <c r="AA60" s="143">
        <v>5.7972999999999999</v>
      </c>
      <c r="AB60" s="143">
        <v>5.3266999999999998</v>
      </c>
      <c r="AC60" s="143">
        <v>5.9988999999999999</v>
      </c>
      <c r="AD60" s="142">
        <f>FORECAST(AD3,T60:AC60,T3:AC3)</f>
        <v>5.768326666666681</v>
      </c>
      <c r="AE60" s="142">
        <f>FORECAST(AE3,U60:AD60,U3:AD3)</f>
        <v>5.8670639999999992</v>
      </c>
      <c r="AF60" s="142" t="e">
        <f t="shared" ref="AF60:AU60" si="69">SUM(#REF!)</f>
        <v>#REF!</v>
      </c>
      <c r="AG60" s="142" t="e">
        <f t="shared" si="69"/>
        <v>#REF!</v>
      </c>
      <c r="AH60" s="142" t="e">
        <f t="shared" si="69"/>
        <v>#REF!</v>
      </c>
      <c r="AI60" s="142" t="e">
        <f t="shared" si="69"/>
        <v>#REF!</v>
      </c>
      <c r="AJ60" s="142" t="e">
        <f t="shared" si="69"/>
        <v>#REF!</v>
      </c>
      <c r="AK60" s="142" t="e">
        <f t="shared" si="69"/>
        <v>#REF!</v>
      </c>
      <c r="AL60" s="142" t="e">
        <f t="shared" si="69"/>
        <v>#REF!</v>
      </c>
      <c r="AM60" s="142" t="e">
        <f t="shared" si="69"/>
        <v>#REF!</v>
      </c>
      <c r="AN60" s="142" t="e">
        <f t="shared" si="69"/>
        <v>#REF!</v>
      </c>
      <c r="AO60" s="142" t="e">
        <f t="shared" si="69"/>
        <v>#REF!</v>
      </c>
      <c r="AP60" s="142" t="e">
        <f t="shared" si="69"/>
        <v>#REF!</v>
      </c>
      <c r="AQ60" s="142" t="e">
        <f t="shared" si="69"/>
        <v>#REF!</v>
      </c>
      <c r="AR60" s="142" t="e">
        <f t="shared" si="69"/>
        <v>#REF!</v>
      </c>
      <c r="AS60" s="142" t="e">
        <f t="shared" si="69"/>
        <v>#REF!</v>
      </c>
      <c r="AT60" s="142" t="e">
        <f t="shared" si="69"/>
        <v>#REF!</v>
      </c>
      <c r="AU60" s="142" t="e">
        <f t="shared" si="69"/>
        <v>#REF!</v>
      </c>
      <c r="AV60" s="2"/>
      <c r="AW60" s="2"/>
    </row>
    <row r="61" spans="1:51">
      <c r="A61" s="2" t="s">
        <v>223</v>
      </c>
      <c r="B61" s="186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2"/>
      <c r="AE61" s="142"/>
      <c r="AF61" s="142" t="e">
        <f t="shared" ref="AF61:AU61" si="70">FORECAST(AF57,V61:AE61,V57:AE57)</f>
        <v>#REF!</v>
      </c>
      <c r="AG61" s="142" t="e">
        <f t="shared" si="70"/>
        <v>#REF!</v>
      </c>
      <c r="AH61" s="142" t="e">
        <f t="shared" si="70"/>
        <v>#REF!</v>
      </c>
      <c r="AI61" s="142" t="e">
        <f t="shared" si="70"/>
        <v>#REF!</v>
      </c>
      <c r="AJ61" s="142" t="e">
        <f t="shared" si="70"/>
        <v>#REF!</v>
      </c>
      <c r="AK61" s="142" t="e">
        <f t="shared" si="70"/>
        <v>#REF!</v>
      </c>
      <c r="AL61" s="142" t="e">
        <f t="shared" si="70"/>
        <v>#REF!</v>
      </c>
      <c r="AM61" s="142" t="e">
        <f t="shared" si="70"/>
        <v>#REF!</v>
      </c>
      <c r="AN61" s="142" t="e">
        <f t="shared" si="70"/>
        <v>#REF!</v>
      </c>
      <c r="AO61" s="142" t="e">
        <f t="shared" si="70"/>
        <v>#REF!</v>
      </c>
      <c r="AP61" s="142" t="e">
        <f t="shared" si="70"/>
        <v>#REF!</v>
      </c>
      <c r="AQ61" s="142" t="e">
        <f t="shared" si="70"/>
        <v>#REF!</v>
      </c>
      <c r="AR61" s="142" t="e">
        <f t="shared" si="70"/>
        <v>#REF!</v>
      </c>
      <c r="AS61" s="142" t="e">
        <f t="shared" si="70"/>
        <v>#REF!</v>
      </c>
      <c r="AT61" s="142" t="e">
        <f t="shared" si="70"/>
        <v>#REF!</v>
      </c>
      <c r="AU61" s="142" t="e">
        <f t="shared" si="70"/>
        <v>#REF!</v>
      </c>
      <c r="AV61" s="2"/>
      <c r="AW61" s="2"/>
    </row>
    <row r="62" spans="1:51">
      <c r="A62" s="2" t="s">
        <v>224</v>
      </c>
      <c r="B62" s="186">
        <v>6.2145000000000001</v>
      </c>
      <c r="C62" s="143">
        <v>6.8760000000000003</v>
      </c>
      <c r="D62" s="143">
        <v>7.149</v>
      </c>
      <c r="E62" s="143">
        <v>7.2843999999999998</v>
      </c>
      <c r="F62" s="143">
        <v>8.2247000000000003</v>
      </c>
      <c r="G62" s="143">
        <v>9.5655000000000001</v>
      </c>
      <c r="H62" s="143">
        <v>10.3574</v>
      </c>
      <c r="I62" s="143">
        <v>8.889899999999999</v>
      </c>
      <c r="J62" s="143">
        <v>7.9608999999999996</v>
      </c>
      <c r="K62" s="143">
        <v>8.5003999999999991</v>
      </c>
      <c r="L62" s="143">
        <v>8.4601000000000006</v>
      </c>
      <c r="M62" s="143">
        <v>10.2188</v>
      </c>
      <c r="N62" s="143">
        <v>7.6686000000000005</v>
      </c>
      <c r="O62" s="143">
        <v>7.2956000000000003</v>
      </c>
      <c r="P62" s="143">
        <v>7.0922000000000001</v>
      </c>
      <c r="Q62" s="143">
        <v>6.4515000000000002</v>
      </c>
      <c r="R62" s="143">
        <v>6.3407</v>
      </c>
      <c r="S62" s="143">
        <v>7.6401000000000003</v>
      </c>
      <c r="T62" s="143">
        <v>7.6716999999999995</v>
      </c>
      <c r="U62" s="143">
        <v>7.1598000000000006</v>
      </c>
      <c r="V62" s="143">
        <v>7.9794</v>
      </c>
      <c r="W62" s="143">
        <v>8.8406000000000002</v>
      </c>
      <c r="X62" s="143">
        <v>9.4818999999999996</v>
      </c>
      <c r="Y62" s="143">
        <v>8.5966000000000005</v>
      </c>
      <c r="Z62" s="143">
        <v>8.7333999999999996</v>
      </c>
      <c r="AA62" s="143">
        <v>12.379200000000001</v>
      </c>
      <c r="AB62" s="143">
        <v>9.6931000000000012</v>
      </c>
      <c r="AC62" s="143">
        <v>9.8566000000000003</v>
      </c>
      <c r="AD62" s="142">
        <f>FORECAST(AD3,T62:AC62,T3:AC3)-1</f>
        <v>9.9788733333332402</v>
      </c>
      <c r="AE62" s="142">
        <f>FORECAST(AE3,U62:AD62,U3:AD3)-1.5</f>
        <v>9.4900559999999814</v>
      </c>
      <c r="AF62" s="142" t="e">
        <f t="shared" ref="AF62:AU62" si="71">AF63-SUM(AF59:AF61)</f>
        <v>#REF!</v>
      </c>
      <c r="AG62" s="142" t="e">
        <f t="shared" si="71"/>
        <v>#REF!</v>
      </c>
      <c r="AH62" s="142" t="e">
        <f t="shared" si="71"/>
        <v>#REF!</v>
      </c>
      <c r="AI62" s="142" t="e">
        <f t="shared" si="71"/>
        <v>#REF!</v>
      </c>
      <c r="AJ62" s="142" t="e">
        <f t="shared" si="71"/>
        <v>#REF!</v>
      </c>
      <c r="AK62" s="142" t="e">
        <f t="shared" si="71"/>
        <v>#REF!</v>
      </c>
      <c r="AL62" s="142" t="e">
        <f t="shared" si="71"/>
        <v>#REF!</v>
      </c>
      <c r="AM62" s="142" t="e">
        <f t="shared" si="71"/>
        <v>#REF!</v>
      </c>
      <c r="AN62" s="142" t="e">
        <f t="shared" si="71"/>
        <v>#REF!</v>
      </c>
      <c r="AO62" s="142" t="e">
        <f t="shared" si="71"/>
        <v>#REF!</v>
      </c>
      <c r="AP62" s="142" t="e">
        <f t="shared" si="71"/>
        <v>#REF!</v>
      </c>
      <c r="AQ62" s="142" t="e">
        <f t="shared" si="71"/>
        <v>#REF!</v>
      </c>
      <c r="AR62" s="142" t="e">
        <f t="shared" si="71"/>
        <v>#REF!</v>
      </c>
      <c r="AS62" s="142" t="e">
        <f t="shared" si="71"/>
        <v>#REF!</v>
      </c>
      <c r="AT62" s="142" t="e">
        <f t="shared" si="71"/>
        <v>#REF!</v>
      </c>
      <c r="AU62" s="142" t="e">
        <f t="shared" si="71"/>
        <v>#REF!</v>
      </c>
      <c r="AV62" s="2"/>
      <c r="AW62" s="2"/>
    </row>
    <row r="63" spans="1:51">
      <c r="A63" s="2" t="s">
        <v>218</v>
      </c>
      <c r="B63" s="186">
        <f t="shared" ref="B63:AB63" si="72">SUM(B59:B62)</f>
        <v>7.7721</v>
      </c>
      <c r="C63" s="143">
        <f t="shared" si="72"/>
        <v>8.6112000000000002</v>
      </c>
      <c r="D63" s="143">
        <f t="shared" si="72"/>
        <v>9.0249000000000006</v>
      </c>
      <c r="E63" s="143">
        <f t="shared" si="72"/>
        <v>9.3310999999999993</v>
      </c>
      <c r="F63" s="143">
        <f t="shared" si="72"/>
        <v>10.3834</v>
      </c>
      <c r="G63" s="143">
        <f t="shared" si="72"/>
        <v>11.8642</v>
      </c>
      <c r="H63" s="143">
        <f t="shared" si="72"/>
        <v>12.755800000000001</v>
      </c>
      <c r="I63" s="143">
        <f t="shared" si="72"/>
        <v>11.317599999999999</v>
      </c>
      <c r="J63" s="143">
        <f t="shared" si="72"/>
        <v>10.367799999999999</v>
      </c>
      <c r="K63" s="143">
        <f t="shared" si="72"/>
        <v>10.792399999999999</v>
      </c>
      <c r="L63" s="143">
        <f t="shared" si="72"/>
        <v>11.454700000000001</v>
      </c>
      <c r="M63" s="143">
        <f t="shared" si="72"/>
        <v>13.8018</v>
      </c>
      <c r="N63" s="143">
        <f t="shared" si="72"/>
        <v>11.802300000000001</v>
      </c>
      <c r="O63" s="143">
        <f t="shared" si="72"/>
        <v>11.9041</v>
      </c>
      <c r="P63" s="143">
        <f t="shared" si="72"/>
        <v>12.056000000000001</v>
      </c>
      <c r="Q63" s="143">
        <f t="shared" si="72"/>
        <v>11.6768</v>
      </c>
      <c r="R63" s="143">
        <f t="shared" si="72"/>
        <v>11.653700000000001</v>
      </c>
      <c r="S63" s="143">
        <f t="shared" si="72"/>
        <v>12.786300000000001</v>
      </c>
      <c r="T63" s="143">
        <f t="shared" si="72"/>
        <v>13.048500000000001</v>
      </c>
      <c r="U63" s="143">
        <f t="shared" si="72"/>
        <v>12.441400000000002</v>
      </c>
      <c r="V63" s="143">
        <f t="shared" si="72"/>
        <v>13.181100000000001</v>
      </c>
      <c r="W63" s="143">
        <f t="shared" si="72"/>
        <v>14.0297</v>
      </c>
      <c r="X63" s="143">
        <f t="shared" si="72"/>
        <v>15.282799999999998</v>
      </c>
      <c r="Y63" s="143">
        <f t="shared" si="72"/>
        <v>13.914000000000001</v>
      </c>
      <c r="Z63" s="143">
        <f t="shared" si="72"/>
        <v>14.125299999999999</v>
      </c>
      <c r="AA63" s="143">
        <f t="shared" si="72"/>
        <v>18.1921</v>
      </c>
      <c r="AB63" s="143">
        <f t="shared" si="72"/>
        <v>15.036200000000001</v>
      </c>
      <c r="AC63" s="143">
        <f>SUM(AC59:AC62)</f>
        <v>15.871400000000001</v>
      </c>
      <c r="AD63" s="142">
        <f>SUM(AD59:AD62)</f>
        <v>15.763673333333255</v>
      </c>
      <c r="AE63" s="142">
        <f>SUM(AE59:AE62)</f>
        <v>15.373909333333314</v>
      </c>
      <c r="AF63" s="142" t="e">
        <f t="shared" ref="AF63:AU63" si="73">AF54-AF67-AF57+AF56</f>
        <v>#REF!</v>
      </c>
      <c r="AG63" s="142" t="e">
        <f t="shared" si="73"/>
        <v>#REF!</v>
      </c>
      <c r="AH63" s="142" t="e">
        <f t="shared" si="73"/>
        <v>#REF!</v>
      </c>
      <c r="AI63" s="142" t="e">
        <f t="shared" si="73"/>
        <v>#REF!</v>
      </c>
      <c r="AJ63" s="142" t="e">
        <f t="shared" si="73"/>
        <v>#REF!</v>
      </c>
      <c r="AK63" s="142" t="e">
        <f t="shared" si="73"/>
        <v>#REF!</v>
      </c>
      <c r="AL63" s="142" t="e">
        <f t="shared" si="73"/>
        <v>#REF!</v>
      </c>
      <c r="AM63" s="142" t="e">
        <f t="shared" si="73"/>
        <v>#REF!</v>
      </c>
      <c r="AN63" s="142" t="e">
        <f t="shared" si="73"/>
        <v>#REF!</v>
      </c>
      <c r="AO63" s="142" t="e">
        <f t="shared" si="73"/>
        <v>#REF!</v>
      </c>
      <c r="AP63" s="142" t="e">
        <f t="shared" si="73"/>
        <v>#REF!</v>
      </c>
      <c r="AQ63" s="142" t="e">
        <f t="shared" si="73"/>
        <v>#REF!</v>
      </c>
      <c r="AR63" s="142" t="e">
        <f t="shared" si="73"/>
        <v>#REF!</v>
      </c>
      <c r="AS63" s="142" t="e">
        <f t="shared" si="73"/>
        <v>#REF!</v>
      </c>
      <c r="AT63" s="142" t="e">
        <f t="shared" si="73"/>
        <v>#REF!</v>
      </c>
      <c r="AU63" s="142" t="e">
        <f t="shared" si="73"/>
        <v>#REF!</v>
      </c>
      <c r="AV63" s="2"/>
      <c r="AW63" s="2"/>
    </row>
    <row r="64" spans="1:51">
      <c r="A64" s="2" t="s">
        <v>231</v>
      </c>
      <c r="B64" s="186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2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2"/>
      <c r="AW64" s="2"/>
    </row>
    <row r="65" spans="1:66">
      <c r="A65" s="2" t="s">
        <v>226</v>
      </c>
      <c r="B65" s="186">
        <v>0.65</v>
      </c>
      <c r="C65" s="143">
        <v>0.65</v>
      </c>
      <c r="D65" s="143">
        <v>0.64500000000000002</v>
      </c>
      <c r="E65" s="143">
        <v>1.2250000000000001</v>
      </c>
      <c r="F65" s="143">
        <v>0.7</v>
      </c>
      <c r="G65" s="143">
        <v>0.8</v>
      </c>
      <c r="H65" s="143">
        <v>0.8</v>
      </c>
      <c r="I65" s="143">
        <v>0.85</v>
      </c>
      <c r="J65" s="143">
        <v>1.37</v>
      </c>
      <c r="K65" s="143">
        <v>1.58</v>
      </c>
      <c r="L65" s="143">
        <v>0.85</v>
      </c>
      <c r="M65" s="143">
        <v>1.1000000000000001</v>
      </c>
      <c r="N65" s="143">
        <v>1.4</v>
      </c>
      <c r="O65" s="143">
        <v>1.2549999999999999</v>
      </c>
      <c r="P65" s="143">
        <v>0.8</v>
      </c>
      <c r="Q65" s="143">
        <v>0.86499999999999999</v>
      </c>
      <c r="R65" s="143">
        <v>1.125</v>
      </c>
      <c r="S65" s="143">
        <v>1.1000000000000001</v>
      </c>
      <c r="T65" s="143">
        <v>0.95</v>
      </c>
      <c r="U65" s="143">
        <v>1.625</v>
      </c>
      <c r="V65" s="143">
        <v>1.766</v>
      </c>
      <c r="W65" s="143">
        <v>1.5609999999999999</v>
      </c>
      <c r="X65" s="143">
        <v>1.0760000000000001</v>
      </c>
      <c r="Y65" s="143">
        <v>1.9943</v>
      </c>
      <c r="Z65" s="143">
        <v>1.4850000000000001</v>
      </c>
      <c r="AA65" s="143">
        <v>1.5844</v>
      </c>
      <c r="AB65" s="143">
        <v>0.89470000000000005</v>
      </c>
      <c r="AC65" s="143">
        <v>1.0375000000000001</v>
      </c>
      <c r="AD65" s="142"/>
      <c r="AE65" s="142"/>
      <c r="AF65" s="142" t="e">
        <f t="shared" ref="AF65:AU65" si="74">AF67*(SUM(V65:AE65)/SUM(V67:AE67))</f>
        <v>#REF!</v>
      </c>
      <c r="AG65" s="142" t="e">
        <f t="shared" si="74"/>
        <v>#REF!</v>
      </c>
      <c r="AH65" s="142" t="e">
        <f t="shared" si="74"/>
        <v>#REF!</v>
      </c>
      <c r="AI65" s="142" t="e">
        <f t="shared" si="74"/>
        <v>#REF!</v>
      </c>
      <c r="AJ65" s="142" t="e">
        <f t="shared" si="74"/>
        <v>#REF!</v>
      </c>
      <c r="AK65" s="142" t="e">
        <f t="shared" si="74"/>
        <v>#REF!</v>
      </c>
      <c r="AL65" s="142" t="e">
        <f t="shared" si="74"/>
        <v>#REF!</v>
      </c>
      <c r="AM65" s="142" t="e">
        <f t="shared" si="74"/>
        <v>#REF!</v>
      </c>
      <c r="AN65" s="142" t="e">
        <f t="shared" si="74"/>
        <v>#REF!</v>
      </c>
      <c r="AO65" s="142" t="e">
        <f t="shared" si="74"/>
        <v>#REF!</v>
      </c>
      <c r="AP65" s="142" t="e">
        <f t="shared" si="74"/>
        <v>#REF!</v>
      </c>
      <c r="AQ65" s="142" t="e">
        <f t="shared" si="74"/>
        <v>#REF!</v>
      </c>
      <c r="AR65" s="142" t="e">
        <f t="shared" si="74"/>
        <v>#REF!</v>
      </c>
      <c r="AS65" s="142" t="e">
        <f t="shared" si="74"/>
        <v>#REF!</v>
      </c>
      <c r="AT65" s="142" t="e">
        <f t="shared" si="74"/>
        <v>#REF!</v>
      </c>
      <c r="AU65" s="142" t="e">
        <f t="shared" si="74"/>
        <v>#REF!</v>
      </c>
      <c r="AV65" s="2"/>
      <c r="AW65" s="2"/>
    </row>
    <row r="66" spans="1:66">
      <c r="A66" s="2" t="s">
        <v>227</v>
      </c>
      <c r="B66" s="186">
        <v>0.31969999999999998</v>
      </c>
      <c r="C66" s="143">
        <v>0.2424</v>
      </c>
      <c r="D66" s="143">
        <v>0.24010000000000001</v>
      </c>
      <c r="E66" s="143">
        <v>0.32669999999999999</v>
      </c>
      <c r="F66" s="143">
        <v>0.18</v>
      </c>
      <c r="G66" s="143">
        <v>0.25580000000000003</v>
      </c>
      <c r="H66" s="143">
        <v>0.31060000000000004</v>
      </c>
      <c r="I66" s="143">
        <v>0.29260000000000003</v>
      </c>
      <c r="J66" s="143">
        <v>0.43149999999999999</v>
      </c>
      <c r="K66" s="143">
        <v>0.42069999999999996</v>
      </c>
      <c r="L66" s="143">
        <v>0.48719999999999997</v>
      </c>
      <c r="M66" s="143">
        <v>0.35719999999999996</v>
      </c>
      <c r="N66" s="143">
        <v>0.433</v>
      </c>
      <c r="O66" s="143">
        <v>0.4758</v>
      </c>
      <c r="P66" s="143">
        <v>0.46279999999999999</v>
      </c>
      <c r="Q66" s="143">
        <v>0.50039999999999996</v>
      </c>
      <c r="R66" s="143">
        <v>0.42599999999999999</v>
      </c>
      <c r="S66" s="143">
        <v>0.5</v>
      </c>
      <c r="T66" s="143">
        <v>0.4516</v>
      </c>
      <c r="U66" s="143">
        <v>0.6169</v>
      </c>
      <c r="V66" s="143">
        <v>0.73120000000000007</v>
      </c>
      <c r="W66" s="143">
        <v>0.85570000000000002</v>
      </c>
      <c r="X66" s="143">
        <v>0.90339999999999998</v>
      </c>
      <c r="Y66" s="143">
        <v>0.5655</v>
      </c>
      <c r="Z66" s="143">
        <v>0.68389999999999995</v>
      </c>
      <c r="AA66" s="143">
        <v>1.1612</v>
      </c>
      <c r="AB66" s="143">
        <v>0.73280000000000001</v>
      </c>
      <c r="AC66" s="143">
        <v>0.95899999999999996</v>
      </c>
      <c r="AD66" s="142"/>
      <c r="AE66" s="142"/>
      <c r="AF66" s="142" t="e">
        <f t="shared" ref="AF66:AU66" si="75">AF67*(SUM(V66:AE66)/SUM(V67:AE67))</f>
        <v>#REF!</v>
      </c>
      <c r="AG66" s="142" t="e">
        <f t="shared" si="75"/>
        <v>#REF!</v>
      </c>
      <c r="AH66" s="142" t="e">
        <f t="shared" si="75"/>
        <v>#REF!</v>
      </c>
      <c r="AI66" s="142" t="e">
        <f t="shared" si="75"/>
        <v>#REF!</v>
      </c>
      <c r="AJ66" s="142" t="e">
        <f t="shared" si="75"/>
        <v>#REF!</v>
      </c>
      <c r="AK66" s="142" t="e">
        <f t="shared" si="75"/>
        <v>#REF!</v>
      </c>
      <c r="AL66" s="142" t="e">
        <f t="shared" si="75"/>
        <v>#REF!</v>
      </c>
      <c r="AM66" s="142" t="e">
        <f t="shared" si="75"/>
        <v>#REF!</v>
      </c>
      <c r="AN66" s="142" t="e">
        <f t="shared" si="75"/>
        <v>#REF!</v>
      </c>
      <c r="AO66" s="142" t="e">
        <f t="shared" si="75"/>
        <v>#REF!</v>
      </c>
      <c r="AP66" s="142" t="e">
        <f t="shared" si="75"/>
        <v>#REF!</v>
      </c>
      <c r="AQ66" s="142" t="e">
        <f t="shared" si="75"/>
        <v>#REF!</v>
      </c>
      <c r="AR66" s="142" t="e">
        <f t="shared" si="75"/>
        <v>#REF!</v>
      </c>
      <c r="AS66" s="142" t="e">
        <f t="shared" si="75"/>
        <v>#REF!</v>
      </c>
      <c r="AT66" s="142" t="e">
        <f t="shared" si="75"/>
        <v>#REF!</v>
      </c>
      <c r="AU66" s="142" t="e">
        <f t="shared" si="75"/>
        <v>#REF!</v>
      </c>
      <c r="AV66" s="2"/>
      <c r="AW66" s="2"/>
    </row>
    <row r="67" spans="1:66">
      <c r="A67" s="2" t="s">
        <v>218</v>
      </c>
      <c r="B67" s="186">
        <f t="shared" ref="B67:AA67" si="76">SUM(B65:B66)</f>
        <v>0.96970000000000001</v>
      </c>
      <c r="C67" s="143">
        <f t="shared" si="76"/>
        <v>0.89240000000000008</v>
      </c>
      <c r="D67" s="143">
        <f t="shared" si="76"/>
        <v>0.8851</v>
      </c>
      <c r="E67" s="143">
        <f t="shared" si="76"/>
        <v>1.5517000000000001</v>
      </c>
      <c r="F67" s="143">
        <f t="shared" si="76"/>
        <v>0.87999999999999989</v>
      </c>
      <c r="G67" s="143">
        <f t="shared" si="76"/>
        <v>1.0558000000000001</v>
      </c>
      <c r="H67" s="143">
        <f t="shared" si="76"/>
        <v>1.1106</v>
      </c>
      <c r="I67" s="143">
        <f t="shared" si="76"/>
        <v>1.1426000000000001</v>
      </c>
      <c r="J67" s="143">
        <f t="shared" si="76"/>
        <v>1.8015000000000001</v>
      </c>
      <c r="K67" s="143">
        <f t="shared" si="76"/>
        <v>2.0007000000000001</v>
      </c>
      <c r="L67" s="143">
        <f t="shared" si="76"/>
        <v>1.3371999999999999</v>
      </c>
      <c r="M67" s="143">
        <f t="shared" si="76"/>
        <v>1.4572000000000001</v>
      </c>
      <c r="N67" s="143">
        <f t="shared" si="76"/>
        <v>1.833</v>
      </c>
      <c r="O67" s="143">
        <f t="shared" si="76"/>
        <v>1.7307999999999999</v>
      </c>
      <c r="P67" s="143">
        <f t="shared" si="76"/>
        <v>1.2627999999999999</v>
      </c>
      <c r="Q67" s="143">
        <f t="shared" si="76"/>
        <v>1.3653999999999999</v>
      </c>
      <c r="R67" s="143">
        <f t="shared" si="76"/>
        <v>1.5509999999999999</v>
      </c>
      <c r="S67" s="143">
        <f t="shared" si="76"/>
        <v>1.6</v>
      </c>
      <c r="T67" s="143">
        <f t="shared" si="76"/>
        <v>1.4016</v>
      </c>
      <c r="U67" s="143">
        <f t="shared" si="76"/>
        <v>2.2419000000000002</v>
      </c>
      <c r="V67" s="143">
        <f t="shared" si="76"/>
        <v>2.4972000000000003</v>
      </c>
      <c r="W67" s="143">
        <f t="shared" si="76"/>
        <v>2.4167000000000001</v>
      </c>
      <c r="X67" s="143">
        <f t="shared" si="76"/>
        <v>1.9794</v>
      </c>
      <c r="Y67" s="143">
        <f t="shared" si="76"/>
        <v>2.5598000000000001</v>
      </c>
      <c r="Z67" s="143">
        <f t="shared" si="76"/>
        <v>2.1688999999999998</v>
      </c>
      <c r="AA67" s="143">
        <f t="shared" si="76"/>
        <v>2.7456</v>
      </c>
      <c r="AB67" s="143">
        <f>SUM(AB65:AB66)</f>
        <v>1.6274999999999999</v>
      </c>
      <c r="AC67" s="143">
        <f>SUM(AC65:AC66)</f>
        <v>1.9965000000000002</v>
      </c>
      <c r="AD67" s="142">
        <f>((AD54+AD56))-((AD57-AD44))-((AD63-AD50))</f>
        <v>1.9339004194864344</v>
      </c>
      <c r="AE67" s="142">
        <f>((AE54+AE56))-((AE57-AE44))-((AE63-AE50))</f>
        <v>2.5364842731803829</v>
      </c>
      <c r="AF67" s="142" t="e">
        <f t="shared" ref="AF67:AU67" si="77">#REF!</f>
        <v>#REF!</v>
      </c>
      <c r="AG67" s="142" t="e">
        <f t="shared" si="77"/>
        <v>#REF!</v>
      </c>
      <c r="AH67" s="142" t="e">
        <f t="shared" si="77"/>
        <v>#REF!</v>
      </c>
      <c r="AI67" s="142" t="e">
        <f t="shared" si="77"/>
        <v>#REF!</v>
      </c>
      <c r="AJ67" s="142" t="e">
        <f t="shared" si="77"/>
        <v>#REF!</v>
      </c>
      <c r="AK67" s="142" t="e">
        <f t="shared" si="77"/>
        <v>#REF!</v>
      </c>
      <c r="AL67" s="142" t="e">
        <f t="shared" si="77"/>
        <v>#REF!</v>
      </c>
      <c r="AM67" s="142" t="e">
        <f t="shared" si="77"/>
        <v>#REF!</v>
      </c>
      <c r="AN67" s="142" t="e">
        <f t="shared" si="77"/>
        <v>#REF!</v>
      </c>
      <c r="AO67" s="142" t="e">
        <f t="shared" si="77"/>
        <v>#REF!</v>
      </c>
      <c r="AP67" s="142" t="e">
        <f t="shared" si="77"/>
        <v>#REF!</v>
      </c>
      <c r="AQ67" s="142" t="e">
        <f t="shared" si="77"/>
        <v>#REF!</v>
      </c>
      <c r="AR67" s="142" t="e">
        <f t="shared" si="77"/>
        <v>#REF!</v>
      </c>
      <c r="AS67" s="142" t="e">
        <f t="shared" si="77"/>
        <v>#REF!</v>
      </c>
      <c r="AT67" s="142" t="e">
        <f t="shared" si="77"/>
        <v>#REF!</v>
      </c>
      <c r="AU67" s="142" t="e">
        <f t="shared" si="77"/>
        <v>#REF!</v>
      </c>
      <c r="AV67" s="2"/>
      <c r="AW67" s="2"/>
    </row>
    <row r="68" spans="1:66">
      <c r="A68" s="2"/>
      <c r="B68" s="186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2"/>
      <c r="AU68" s="142"/>
      <c r="AV68" s="2"/>
      <c r="AW68" s="2"/>
    </row>
    <row r="69" spans="1:66" ht="17.25" thickBot="1">
      <c r="A69" s="191" t="s">
        <v>232</v>
      </c>
      <c r="BF69" s="192"/>
      <c r="BG69" s="193"/>
      <c r="BH69" s="193"/>
      <c r="BI69" s="193"/>
      <c r="BJ69" s="193"/>
    </row>
    <row r="70" spans="1:66" ht="17.25" thickBot="1">
      <c r="A70" s="194"/>
      <c r="B70" s="195" t="s">
        <v>110</v>
      </c>
      <c r="C70" s="195" t="s">
        <v>111</v>
      </c>
      <c r="D70" s="195" t="s">
        <v>112</v>
      </c>
      <c r="E70" s="195" t="s">
        <v>113</v>
      </c>
      <c r="F70" s="195" t="s">
        <v>43</v>
      </c>
      <c r="G70" s="195" t="s">
        <v>44</v>
      </c>
      <c r="H70" s="195" t="s">
        <v>45</v>
      </c>
      <c r="I70" s="195" t="s">
        <v>46</v>
      </c>
      <c r="J70" s="195" t="s">
        <v>47</v>
      </c>
      <c r="K70" s="195" t="s">
        <v>48</v>
      </c>
      <c r="L70" s="195" t="s">
        <v>49</v>
      </c>
      <c r="M70" s="195" t="s">
        <v>50</v>
      </c>
      <c r="N70" s="195" t="s">
        <v>51</v>
      </c>
      <c r="O70" s="195" t="s">
        <v>52</v>
      </c>
      <c r="P70" s="195" t="s">
        <v>53</v>
      </c>
      <c r="Q70" s="195" t="s">
        <v>54</v>
      </c>
      <c r="R70" s="195" t="s">
        <v>55</v>
      </c>
      <c r="S70" s="195" t="s">
        <v>56</v>
      </c>
      <c r="T70" s="195" t="s">
        <v>57</v>
      </c>
      <c r="U70" s="195" t="s">
        <v>58</v>
      </c>
      <c r="V70" s="195" t="s">
        <v>59</v>
      </c>
      <c r="W70" s="195" t="s">
        <v>60</v>
      </c>
      <c r="X70" s="195" t="s">
        <v>61</v>
      </c>
      <c r="Y70" s="196" t="s">
        <v>62</v>
      </c>
      <c r="Z70" s="196" t="s">
        <v>63</v>
      </c>
      <c r="AA70" s="196" t="str">
        <f t="shared" ref="AA70:AW70" si="78">AA2</f>
        <v>21/22</v>
      </c>
      <c r="AB70" s="196" t="str">
        <f t="shared" si="78"/>
        <v>22/23</v>
      </c>
      <c r="AC70" s="196" t="str">
        <f t="shared" si="78"/>
        <v>23/24</v>
      </c>
      <c r="AD70" s="196" t="str">
        <f t="shared" si="78"/>
        <v>24/25</v>
      </c>
      <c r="AE70" s="196" t="str">
        <f t="shared" si="78"/>
        <v>25/26</v>
      </c>
      <c r="AF70" s="196" t="str">
        <f t="shared" si="78"/>
        <v>26/27</v>
      </c>
      <c r="AG70" s="196" t="str">
        <f t="shared" si="78"/>
        <v>27/28</v>
      </c>
      <c r="AH70" s="196" t="str">
        <f t="shared" si="78"/>
        <v>28/29</v>
      </c>
      <c r="AI70" s="196" t="str">
        <f t="shared" si="78"/>
        <v>29/30</v>
      </c>
      <c r="AJ70" s="196" t="str">
        <f t="shared" si="78"/>
        <v>30/31</v>
      </c>
      <c r="AK70" s="196" t="str">
        <f t="shared" si="78"/>
        <v>31/32</v>
      </c>
      <c r="AL70" s="196" t="str">
        <f t="shared" si="78"/>
        <v>32/33</v>
      </c>
      <c r="AM70" s="196" t="str">
        <f t="shared" si="78"/>
        <v>33/34</v>
      </c>
      <c r="AN70" s="196" t="str">
        <f t="shared" si="78"/>
        <v>34/35</v>
      </c>
      <c r="AO70" s="196" t="str">
        <f t="shared" si="78"/>
        <v>35/36</v>
      </c>
      <c r="AP70" s="196" t="str">
        <f t="shared" si="78"/>
        <v>36/37</v>
      </c>
      <c r="AQ70" s="196" t="str">
        <f t="shared" si="78"/>
        <v>37/38</v>
      </c>
      <c r="AR70" s="196" t="str">
        <f t="shared" si="78"/>
        <v>38/39</v>
      </c>
      <c r="AS70" s="196" t="str">
        <f t="shared" si="78"/>
        <v>39/40</v>
      </c>
      <c r="AT70" s="196" t="str">
        <f t="shared" si="78"/>
        <v>40/41</v>
      </c>
      <c r="AU70" s="196" t="str">
        <f t="shared" si="78"/>
        <v>41/42</v>
      </c>
      <c r="AV70" s="196" t="str">
        <f t="shared" si="78"/>
        <v>42/43</v>
      </c>
      <c r="AW70" s="196" t="str">
        <f t="shared" si="78"/>
        <v>43/44</v>
      </c>
      <c r="AX70" s="197"/>
      <c r="BF70" s="192"/>
      <c r="BG70" s="198"/>
      <c r="BH70" s="198"/>
      <c r="BI70" s="198"/>
      <c r="BJ70" s="198"/>
      <c r="BK70" s="198"/>
      <c r="BN70" s="41"/>
    </row>
    <row r="71" spans="1:66" ht="13.5">
      <c r="A71" s="3" t="s">
        <v>233</v>
      </c>
      <c r="B71" s="199" cm="1">
        <f t="array" ref="B71">INDEX('[3]Canada Corn Exports'!$CC$290:$UR$290,1,ROW(A18))/1000</f>
        <v>1.9000000000000001E-5</v>
      </c>
      <c r="C71" s="199" cm="1">
        <f t="array" ref="C71">INDEX('[3]Canada Corn Exports'!$CO$290:$UR$290,1,ROW(A18))/1000</f>
        <v>3.4E-5</v>
      </c>
      <c r="D71" s="199" cm="1">
        <f t="array" ref="D71">INDEX('[3]Canada Corn Exports'!$DA$290:$UR$290,1,ROW(A18))/1000</f>
        <v>6.9999999999999999E-6</v>
      </c>
      <c r="E71" s="199" cm="1">
        <f t="array" ref="E71">INDEX('[3]Canada Corn Exports'!$DM$290:$UR$290,1,ROW(A18))/1000</f>
        <v>0</v>
      </c>
      <c r="F71" s="199" cm="1">
        <f t="array" ref="F71">INDEX('[3]Canada Corn Exports'!$DY$290:$UR$290,1,ROW(A18))/1000</f>
        <v>0</v>
      </c>
      <c r="G71" s="199" cm="1">
        <f t="array" ref="G71">INDEX('[3]Canada Corn Exports'!$EK$290:$UR$290,1,ROW(A18))/1000</f>
        <v>0</v>
      </c>
      <c r="H71" s="199" cm="1">
        <f t="array" ref="H71">INDEX('[3]Canada Corn Exports'!$EW$290:$UR$290,1,ROW(A18))/1000</f>
        <v>0</v>
      </c>
      <c r="I71" s="199" cm="1">
        <f t="array" ref="I71">INDEX('[3]Canada Corn Exports'!$FI$290:$UR$290,1,ROW(A18))/1000</f>
        <v>0</v>
      </c>
      <c r="J71" s="199" cm="1">
        <f t="array" ref="J71">INDEX('[3]Canada Corn Exports'!$FU$290:$UR$290,1,ROW(A18))/1000</f>
        <v>0</v>
      </c>
      <c r="K71" s="199" cm="1">
        <f t="array" ref="K71">INDEX('[3]Canada Corn Exports'!$GG$290:$UR$290,1,ROW(A18))/1000</f>
        <v>0</v>
      </c>
      <c r="L71" s="199" cm="1">
        <f t="array" ref="L71">INDEX('[3]Canada Corn Exports'!$GS$290:$UR$290,1,ROW(A18))/1000</f>
        <v>1.85E-7</v>
      </c>
      <c r="M71" s="199" cm="1">
        <f t="array" ref="M71">INDEX('[3]Canada Corn Exports'!$HE$290:$UR$290,1,ROW(A18))/1000</f>
        <v>2.1248790000000001E-3</v>
      </c>
      <c r="N71" s="199" cm="1">
        <f t="array" ref="N71">INDEX('[3]Canada Corn Exports'!$HQ$290:$UR$290,1,ROW(A18))/1000</f>
        <v>1.4673E-4</v>
      </c>
      <c r="O71" s="199" cm="1">
        <f t="array" ref="O71">INDEX('[3]Canada Corn Exports'!$IC$290:$UR$290,1,ROW(A18))/1000</f>
        <v>1.0481600000000001E-4</v>
      </c>
      <c r="P71" s="199" cm="1">
        <f t="array" ref="P71">INDEX('[3]Canada Corn Exports'!$IO$290:$UR$290,1,ROW(A18))/1000</f>
        <v>1.9811300000000001E-4</v>
      </c>
      <c r="Q71" s="199" cm="1">
        <f t="array" ref="Q71">INDEX('[3]Canada Corn Exports'!$JA$290:$UR$290,1,ROW(A18))/1000</f>
        <v>1.0415000000000001E-4</v>
      </c>
      <c r="R71" s="199" cm="1">
        <f t="array" ref="R71">INDEX('[3]Canada Corn Exports'!$JM$290:$UR$290,1,ROW(A18))/1000</f>
        <v>1.90621E-4</v>
      </c>
      <c r="S71" s="199" cm="1">
        <f t="array" ref="S71">INDEX('[3]Canada Corn Exports'!$JY$290:$UR$290,1,ROW(A18))/1000</f>
        <v>1.02445E-4</v>
      </c>
      <c r="T71" s="199" cm="1">
        <f t="array" ref="T71">INDEX('[3]Canada Corn Exports'!$KK$290:$UR$290,1,ROW(A18))/1000</f>
        <v>1.2899099999999999E-4</v>
      </c>
      <c r="U71" s="199" cm="1">
        <f t="array" ref="U71">INDEX('[3]Canada Corn Exports'!$KW$290:$UR$290,1,ROW(A18))/1000</f>
        <v>1.07351E-4</v>
      </c>
      <c r="V71" s="199" cm="1">
        <f t="array" ref="V71">INDEX('[3]Canada Corn Exports'!$LI$290:$UR$290,1,ROW(A18))/1000</f>
        <v>4.84826E-4</v>
      </c>
      <c r="W71" s="199" cm="1">
        <f t="array" ref="W71">INDEX('[3]Canada Corn Exports'!$LU$290:$UR$290,1,ROW(A18))/1000</f>
        <v>2.2855800000000002E-4</v>
      </c>
      <c r="X71" s="199" cm="1">
        <f t="array" ref="X71">INDEX('[3]Canada Corn Exports'!$MG$290:$UR$290,1,ROW(A18))/1000</f>
        <v>2.5059000000000001E-2</v>
      </c>
      <c r="Y71" s="199" cm="1">
        <f t="array" ref="Y71">INDEX('[3]Canada Corn Exports'!$MS$290:$UR$290,1,ROW(A1))</f>
        <v>19.469000000000001</v>
      </c>
      <c r="Z71" s="199" cm="1">
        <f t="array" ref="Z71">INDEX('[3]Canada Corn Exports'!$NE$290:$UR$290,1,ROW(A1))</f>
        <v>24.283999999999999</v>
      </c>
      <c r="AA71" s="199" cm="1">
        <f t="array" ref="AA71">INDEX('[3]Canada Corn Exports'!$NQ$290:$UR$290,1,ROW(A1))</f>
        <v>58.603000000000002</v>
      </c>
      <c r="AB71" s="199" cm="1">
        <f t="array" ref="AB71">INDEX('[3]Canada Corn Exports'!$OC$290:$UR$290,1,ROW(A1))</f>
        <v>67.957999999999998</v>
      </c>
      <c r="AC71" s="199" cm="1">
        <f t="array" ref="AC71">INDEX('[3]Canada Corn Exports'!$OO$290:$UR$290,1,ROW(A1))</f>
        <v>48.369</v>
      </c>
      <c r="AD71" s="199" cm="1">
        <f t="array" ref="AD71">INDEX('[3]Canada Corn Exports'!$PA$290:$ZZ$290,1,ROW(A1))</f>
        <v>137.83799999999999</v>
      </c>
      <c r="AE71" s="199" cm="1">
        <f t="array" ref="AE71">INDEX('[3]Canada Corn Exports'!$PA$290:$ZZ$290,1,ROW(B1))</f>
        <v>137.83799999999999</v>
      </c>
      <c r="AF71" s="200">
        <f t="shared" ref="AF71:AF81" si="79">(SUM(Z71:AD71)/SUM(Z$83:AD$83))*AF$83</f>
        <v>75.663613045701538</v>
      </c>
      <c r="AG71" s="200">
        <f t="shared" ref="AG71:AG81" si="80">(SUM(AA71:AE71)/SUM(AA$83:AE$83))*AG$83</f>
        <v>87.761062637968223</v>
      </c>
      <c r="AH71" s="200">
        <f t="shared" ref="AH71:AW81" si="81">(SUM(AB71:AF71)/SUM(AB$83:AF$83))*AH$83</f>
        <v>89.791735209342335</v>
      </c>
      <c r="AI71" s="200">
        <f t="shared" si="81"/>
        <v>100.68501730815066</v>
      </c>
      <c r="AJ71" s="200">
        <f t="shared" si="81"/>
        <v>108.88961400738485</v>
      </c>
      <c r="AK71" s="200">
        <f t="shared" si="81"/>
        <v>112.39758358883718</v>
      </c>
      <c r="AL71" s="200">
        <f t="shared" si="81"/>
        <v>111.93085672020686</v>
      </c>
      <c r="AM71" s="200">
        <f t="shared" si="81"/>
        <v>124.88125318792081</v>
      </c>
      <c r="AN71" s="200">
        <f t="shared" si="81"/>
        <v>129.76508487920185</v>
      </c>
      <c r="AO71" s="200">
        <f t="shared" si="81"/>
        <v>136.17433125682783</v>
      </c>
      <c r="AP71" s="200">
        <f t="shared" si="81"/>
        <v>144.63330288801666</v>
      </c>
      <c r="AQ71" s="200">
        <f t="shared" si="81"/>
        <v>149.19661241098748</v>
      </c>
      <c r="AR71" s="200">
        <f t="shared" si="81"/>
        <v>160.69836179167442</v>
      </c>
      <c r="AS71" s="200">
        <f t="shared" si="81"/>
        <v>174.06370795498844</v>
      </c>
      <c r="AT71" s="200">
        <f t="shared" si="81"/>
        <v>173.74622827010649</v>
      </c>
      <c r="AU71" s="200">
        <f t="shared" si="81"/>
        <v>173.81052643238519</v>
      </c>
      <c r="AV71" s="200">
        <f t="shared" si="81"/>
        <v>184.97710969816103</v>
      </c>
      <c r="AW71" s="200">
        <f t="shared" si="81"/>
        <v>196.33003370308907</v>
      </c>
      <c r="AX71" s="200"/>
      <c r="BB71" s="17"/>
      <c r="BC71" s="199"/>
      <c r="BF71" s="192"/>
      <c r="BG71" s="201"/>
      <c r="BH71" s="201"/>
      <c r="BI71" s="201"/>
      <c r="BJ71" s="201"/>
    </row>
    <row r="72" spans="1:66" ht="13.5">
      <c r="A72" s="3" t="s">
        <v>234</v>
      </c>
      <c r="B72" s="199" cm="1">
        <f t="array" ref="B72">INDEX('[3]Canada Corn Exports'!$CC$290:$UR$290,1,ROW(A19))/1000</f>
        <v>4.2999999999999995E-5</v>
      </c>
      <c r="C72" s="199" cm="1">
        <f t="array" ref="C72">INDEX('[3]Canada Corn Exports'!$CO$290:$UR$290,1,ROW(A19))/1000</f>
        <v>1.7999999999999997E-5</v>
      </c>
      <c r="D72" s="199" cm="1">
        <f t="array" ref="D72">INDEX('[3]Canada Corn Exports'!$DA$290:$UR$290,1,ROW(A19))/1000</f>
        <v>1.9999999999999999E-6</v>
      </c>
      <c r="E72" s="199" cm="1">
        <f t="array" ref="E72">INDEX('[3]Canada Corn Exports'!$DM$290:$UR$290,1,ROW(A19))/1000</f>
        <v>1.9999999999999999E-6</v>
      </c>
      <c r="F72" s="199" cm="1">
        <f t="array" ref="F72">INDEX('[3]Canada Corn Exports'!$DY$290:$UR$290,1,ROW(A19))/1000</f>
        <v>0</v>
      </c>
      <c r="G72" s="199" cm="1">
        <f t="array" ref="G72">INDEX('[3]Canada Corn Exports'!$EK$290:$UR$290,1,ROW(A19))/1000</f>
        <v>0</v>
      </c>
      <c r="H72" s="199" cm="1">
        <f t="array" ref="H72">INDEX('[3]Canada Corn Exports'!$EW$290:$UR$290,1,ROW(A19))/1000</f>
        <v>0</v>
      </c>
      <c r="I72" s="199" cm="1">
        <f t="array" ref="I72">INDEX('[3]Canada Corn Exports'!$FI$290:$UR$290,1,ROW(A19))/1000</f>
        <v>0</v>
      </c>
      <c r="J72" s="199" cm="1">
        <f t="array" ref="J72">INDEX('[3]Canada Corn Exports'!$FU$290:$UR$290,1,ROW(A19))/1000</f>
        <v>0</v>
      </c>
      <c r="K72" s="199" cm="1">
        <f t="array" ref="K72">INDEX('[3]Canada Corn Exports'!$GG$290:$UR$290,1,ROW(A19))/1000</f>
        <v>3.0200000000000003E-7</v>
      </c>
      <c r="L72" s="199" cm="1">
        <f t="array" ref="L72">INDEX('[3]Canada Corn Exports'!$GS$290:$UR$290,1,ROW(A19))/1000</f>
        <v>0</v>
      </c>
      <c r="M72" s="199" cm="1">
        <f t="array" ref="M72">INDEX('[3]Canada Corn Exports'!$HE$290:$UR$290,1,ROW(A19))/1000</f>
        <v>1.139E-6</v>
      </c>
      <c r="N72" s="199" cm="1">
        <f t="array" ref="N72">INDEX('[3]Canada Corn Exports'!$HQ$290:$UR$290,1,ROW(A19))/1000</f>
        <v>6.4675E-5</v>
      </c>
      <c r="O72" s="199" cm="1">
        <f t="array" ref="O72">INDEX('[3]Canada Corn Exports'!$IC$290:$UR$290,1,ROW(A19))/1000</f>
        <v>1.4885699999999999E-4</v>
      </c>
      <c r="P72" s="199" cm="1">
        <f t="array" ref="P72">INDEX('[3]Canada Corn Exports'!$IO$290:$UR$290,1,ROW(A19))/1000</f>
        <v>1.2806500000000001E-4</v>
      </c>
      <c r="Q72" s="199" cm="1">
        <f t="array" ref="Q72">INDEX('[3]Canada Corn Exports'!$JA$290:$UR$290,1,ROW(A19))/1000</f>
        <v>1.6860600000000002E-4</v>
      </c>
      <c r="R72" s="199" cm="1">
        <f t="array" ref="R72">INDEX('[3]Canada Corn Exports'!$JM$290:$UR$290,1,ROW(A19))/1000</f>
        <v>1.7753699999999999E-4</v>
      </c>
      <c r="S72" s="199" cm="1">
        <f t="array" ref="S72">INDEX('[3]Canada Corn Exports'!$JY$290:$UR$290,1,ROW(A19))/1000</f>
        <v>1.6067999999999999E-4</v>
      </c>
      <c r="T72" s="199" cm="1">
        <f t="array" ref="T72">INDEX('[3]Canada Corn Exports'!$KK$290:$UR$290,1,ROW(A19))/1000</f>
        <v>7.2081999999999992E-5</v>
      </c>
      <c r="U72" s="199" cm="1">
        <f t="array" ref="U72">INDEX('[3]Canada Corn Exports'!$KW$290:$UR$290,1,ROW(A19))/1000</f>
        <v>4.5479199999999998E-4</v>
      </c>
      <c r="V72" s="199" cm="1">
        <f t="array" ref="V72">INDEX('[3]Canada Corn Exports'!$LI$290:$UR$290,1,ROW(A19))/1000</f>
        <v>6.5244199999999993E-4</v>
      </c>
      <c r="W72" s="199" cm="1">
        <f t="array" ref="W72">INDEX('[3]Canada Corn Exports'!$LU$290:$UR$290,1,ROW(A19))/1000</f>
        <v>7.8634099999999997E-4</v>
      </c>
      <c r="X72" s="199" cm="1">
        <f t="array" ref="X72">INDEX('[3]Canada Corn Exports'!$MG$290:$UR$290,1,ROW(A19))/1000</f>
        <v>2.6476E-2</v>
      </c>
      <c r="Y72" s="199" cm="1">
        <f t="array" ref="Y72">INDEX('[3]Canada Corn Exports'!$MS$290:$UR$290,1,ROW(A2))</f>
        <v>22.652999999999999</v>
      </c>
      <c r="Z72" s="199" cm="1">
        <f t="array" ref="Z72">INDEX('[3]Canada Corn Exports'!$NE$290:$UR$290,1,ROW(A2))</f>
        <v>53.351999999999997</v>
      </c>
      <c r="AA72" s="199" cm="1">
        <f t="array" ref="AA72">INDEX('[3]Canada Corn Exports'!$NQ$290:$UR$290,1,ROW(A2))</f>
        <v>31.919</v>
      </c>
      <c r="AB72" s="199" cm="1">
        <f t="array" ref="AB72">INDEX('[3]Canada Corn Exports'!$OC$290:$UR$290,1,ROW(A2))</f>
        <v>19.55</v>
      </c>
      <c r="AC72" s="199" cm="1">
        <f t="array" ref="AC72">INDEX('[3]Canada Corn Exports'!$OO$290:$UR$290,1,ROW(A2))</f>
        <v>36.707000000000001</v>
      </c>
      <c r="AD72" s="199" cm="1">
        <f t="array" ref="AD72">INDEX('[3]Canada Corn Exports'!$PA$290:$ZZ$290,1,ROW(A2))</f>
        <v>31.783999999999999</v>
      </c>
      <c r="AE72" s="199" cm="1">
        <f t="array" ref="AE72">INDEX('[3]Canada Corn Exports'!$PA$290:$ZZ$290,1,ROW(B2))</f>
        <v>31.783999999999999</v>
      </c>
      <c r="AF72" s="200">
        <f t="shared" si="79"/>
        <v>38.90619875917254</v>
      </c>
      <c r="AG72" s="200">
        <f t="shared" si="80"/>
        <v>29.554011018352732</v>
      </c>
      <c r="AH72" s="200">
        <f t="shared" si="81"/>
        <v>30.476303783208689</v>
      </c>
      <c r="AI72" s="200">
        <f t="shared" si="81"/>
        <v>34.851619217375053</v>
      </c>
      <c r="AJ72" s="200">
        <f t="shared" si="81"/>
        <v>33.456811615445226</v>
      </c>
      <c r="AK72" s="200">
        <f t="shared" si="81"/>
        <v>37.845058920710628</v>
      </c>
      <c r="AL72" s="200">
        <f t="shared" si="81"/>
        <v>40.449940039371263</v>
      </c>
      <c r="AM72" s="200">
        <f t="shared" si="81"/>
        <v>41.545951138773077</v>
      </c>
      <c r="AN72" s="200">
        <f t="shared" si="81"/>
        <v>43.878164071956675</v>
      </c>
      <c r="AO72" s="200">
        <f t="shared" si="81"/>
        <v>45.851529806878837</v>
      </c>
      <c r="AP72" s="200">
        <f t="shared" si="81"/>
        <v>48.511537296618748</v>
      </c>
      <c r="AQ72" s="200">
        <f t="shared" si="81"/>
        <v>50.828700964738367</v>
      </c>
      <c r="AR72" s="200">
        <f t="shared" si="81"/>
        <v>54.668789236708875</v>
      </c>
      <c r="AS72" s="200">
        <f t="shared" si="81"/>
        <v>58.631156765838732</v>
      </c>
      <c r="AT72" s="200">
        <f t="shared" si="81"/>
        <v>58.779434415651494</v>
      </c>
      <c r="AU72" s="200">
        <f t="shared" si="81"/>
        <v>58.748116834268984</v>
      </c>
      <c r="AV72" s="200">
        <f t="shared" si="81"/>
        <v>62.575128225834291</v>
      </c>
      <c r="AW72" s="200">
        <f t="shared" si="81"/>
        <v>66.502157912395958</v>
      </c>
      <c r="AX72" s="200"/>
      <c r="BB72" s="17"/>
      <c r="BC72" s="199"/>
      <c r="BF72" s="192"/>
      <c r="BG72" s="201"/>
      <c r="BH72" s="201"/>
      <c r="BI72" s="201"/>
      <c r="BJ72" s="201"/>
    </row>
    <row r="73" spans="1:66" ht="13.5">
      <c r="A73" s="3" t="s">
        <v>235</v>
      </c>
      <c r="B73" s="199" cm="1">
        <f t="array" ref="B73">INDEX('[3]Canada Corn Exports'!$CC$290:$UR$290,1,ROW(A20))/1000</f>
        <v>8.2000000000000001E-5</v>
      </c>
      <c r="C73" s="199" cm="1">
        <f t="array" ref="C73">INDEX('[3]Canada Corn Exports'!$CO$290:$UR$290,1,ROW(A20))/1000</f>
        <v>1.4999999999999999E-5</v>
      </c>
      <c r="D73" s="199" cm="1">
        <f t="array" ref="D73">INDEX('[3]Canada Corn Exports'!$DA$290:$UR$290,1,ROW(A20))/1000</f>
        <v>3.9999999999999998E-6</v>
      </c>
      <c r="E73" s="199" cm="1">
        <f t="array" ref="E73">INDEX('[3]Canada Corn Exports'!$DM$290:$UR$290,1,ROW(A20))/1000</f>
        <v>0</v>
      </c>
      <c r="F73" s="199" cm="1">
        <f t="array" ref="F73">INDEX('[3]Canada Corn Exports'!$DY$290:$UR$290,1,ROW(A20))/1000</f>
        <v>2.23E-5</v>
      </c>
      <c r="G73" s="199" cm="1">
        <f t="array" ref="G73">INDEX('[3]Canada Corn Exports'!$EK$290:$UR$290,1,ROW(A20))/1000</f>
        <v>0</v>
      </c>
      <c r="H73" s="199" cm="1">
        <f t="array" ref="H73">INDEX('[3]Canada Corn Exports'!$EW$290:$UR$290,1,ROW(A20))/1000</f>
        <v>0</v>
      </c>
      <c r="I73" s="199" cm="1">
        <f t="array" ref="I73">INDEX('[3]Canada Corn Exports'!$FI$290:$UR$290,1,ROW(A20))/1000</f>
        <v>0</v>
      </c>
      <c r="J73" s="199" cm="1">
        <f t="array" ref="J73">INDEX('[3]Canada Corn Exports'!$FU$290:$UR$290,1,ROW(A20))/1000</f>
        <v>0</v>
      </c>
      <c r="K73" s="199" cm="1">
        <f t="array" ref="K73">INDEX('[3]Canada Corn Exports'!$GG$290:$UR$290,1,ROW(A20))/1000</f>
        <v>0</v>
      </c>
      <c r="L73" s="199" cm="1">
        <f t="array" ref="L73">INDEX('[3]Canada Corn Exports'!$GS$290:$UR$290,1,ROW(A20))/1000</f>
        <v>0</v>
      </c>
      <c r="M73" s="199" cm="1">
        <f t="array" ref="M73">INDEX('[3]Canada Corn Exports'!$HE$290:$UR$290,1,ROW(A20))/1000</f>
        <v>2.3675000000000003E-5</v>
      </c>
      <c r="N73" s="199" cm="1">
        <f t="array" ref="N73">INDEX('[3]Canada Corn Exports'!$HQ$290:$UR$290,1,ROW(A20))/1000</f>
        <v>7.1334999999999994E-5</v>
      </c>
      <c r="O73" s="199" cm="1">
        <f t="array" ref="O73">INDEX('[3]Canada Corn Exports'!$IC$290:$UR$290,1,ROW(A20))/1000</f>
        <v>1.83031E-4</v>
      </c>
      <c r="P73" s="199" cm="1">
        <f t="array" ref="P73">INDEX('[3]Canada Corn Exports'!$IO$290:$UR$290,1,ROW(A20))/1000</f>
        <v>1.30934E-4</v>
      </c>
      <c r="Q73" s="199" cm="1">
        <f t="array" ref="Q73">INDEX('[3]Canada Corn Exports'!$JA$290:$UR$290,1,ROW(A20))/1000</f>
        <v>1.36663E-4</v>
      </c>
      <c r="R73" s="199" cm="1">
        <f t="array" ref="R73">INDEX('[3]Canada Corn Exports'!$JM$290:$UR$290,1,ROW(A20))/1000</f>
        <v>1.8130199999999999E-4</v>
      </c>
      <c r="S73" s="199" cm="1">
        <f t="array" ref="S73">INDEX('[3]Canada Corn Exports'!$JY$290:$UR$290,1,ROW(A20))/1000</f>
        <v>1.4151499999999999E-4</v>
      </c>
      <c r="T73" s="199" cm="1">
        <f t="array" ref="T73">INDEX('[3]Canada Corn Exports'!$KK$290:$UR$290,1,ROW(A20))/1000</f>
        <v>1.78183E-4</v>
      </c>
      <c r="U73" s="199" cm="1">
        <f t="array" ref="U73">INDEX('[3]Canada Corn Exports'!$KW$290:$UR$290,1,ROW(A20))/1000</f>
        <v>6.51138E-4</v>
      </c>
      <c r="V73" s="199" cm="1">
        <f t="array" ref="V73">INDEX('[3]Canada Corn Exports'!$LI$290:$UR$290,1,ROW(A20))/1000</f>
        <v>5.1038799999999997E-4</v>
      </c>
      <c r="W73" s="199" cm="1">
        <f t="array" ref="W73">INDEX('[3]Canada Corn Exports'!$LU$290:$UR$290,1,ROW(A20))/1000</f>
        <v>1.1954370000000001E-3</v>
      </c>
      <c r="X73" s="199" cm="1">
        <f t="array" ref="X73">INDEX('[3]Canada Corn Exports'!$MG$290:$UR$290,1,ROW(A20))/1000</f>
        <v>2.8527999999999998E-2</v>
      </c>
      <c r="Y73" s="199" cm="1">
        <f t="array" ref="Y73">INDEX('[3]Canada Corn Exports'!$MS$290:$UR$290,1,ROW(A3))</f>
        <v>26.373000000000001</v>
      </c>
      <c r="Z73" s="199" cm="1">
        <f t="array" ref="Z73">INDEX('[3]Canada Corn Exports'!$NE$290:$UR$290,1,ROW(A3))</f>
        <v>163.774</v>
      </c>
      <c r="AA73" s="199" cm="1">
        <f t="array" ref="AA73">INDEX('[3]Canada Corn Exports'!$NQ$290:$UR$290,1,ROW(A3))</f>
        <v>187.63800000000001</v>
      </c>
      <c r="AB73" s="199" cm="1">
        <f t="array" ref="AB73">INDEX('[3]Canada Corn Exports'!$OC$290:$UR$290,1,ROW(A3))</f>
        <v>233.81100000000001</v>
      </c>
      <c r="AC73" s="199" cm="1">
        <f t="array" ref="AC73">INDEX('[3]Canada Corn Exports'!$OO$290:$UR$290,1,ROW(A3))</f>
        <v>205.77199999999999</v>
      </c>
      <c r="AD73" s="199" cm="1">
        <f t="array" ref="AD73">INDEX('[3]Canada Corn Exports'!$PA$290:$ZZ$290,1,ROW(A3))</f>
        <v>233.59299999999999</v>
      </c>
      <c r="AE73" s="199" cm="1">
        <f t="array" ref="AE73">INDEX('[3]Canada Corn Exports'!$PA$290:$ZZ$290,1,ROW(B3))</f>
        <v>233.59299999999999</v>
      </c>
      <c r="AF73" s="200">
        <f t="shared" si="79"/>
        <v>230.00614137661029</v>
      </c>
      <c r="AG73" s="200">
        <f t="shared" si="80"/>
        <v>213.14922854651488</v>
      </c>
      <c r="AH73" s="200">
        <f t="shared" si="81"/>
        <v>218.26020853251813</v>
      </c>
      <c r="AI73" s="200">
        <f t="shared" si="81"/>
        <v>230.5289940568355</v>
      </c>
      <c r="AJ73" s="200">
        <f t="shared" si="81"/>
        <v>232.35914850557359</v>
      </c>
      <c r="AK73" s="200">
        <f t="shared" si="81"/>
        <v>257.26573085999519</v>
      </c>
      <c r="AL73" s="200">
        <f t="shared" si="81"/>
        <v>271.92462089738939</v>
      </c>
      <c r="AM73" s="200">
        <f t="shared" si="81"/>
        <v>287.89082762535929</v>
      </c>
      <c r="AN73" s="200">
        <f t="shared" si="81"/>
        <v>299.90693522004187</v>
      </c>
      <c r="AO73" s="200">
        <f t="shared" si="81"/>
        <v>311.92529694461706</v>
      </c>
      <c r="AP73" s="200">
        <f t="shared" si="81"/>
        <v>331.98226314570741</v>
      </c>
      <c r="AQ73" s="200">
        <f t="shared" si="81"/>
        <v>346.56481996485513</v>
      </c>
      <c r="AR73" s="200">
        <f t="shared" si="81"/>
        <v>373.24147541956756</v>
      </c>
      <c r="AS73" s="200">
        <f t="shared" si="81"/>
        <v>401.25512107641885</v>
      </c>
      <c r="AT73" s="200">
        <f t="shared" si="81"/>
        <v>401.19472444408092</v>
      </c>
      <c r="AU73" s="200">
        <f t="shared" si="81"/>
        <v>401.12931285253774</v>
      </c>
      <c r="AV73" s="200">
        <f t="shared" si="81"/>
        <v>427.4901219713268</v>
      </c>
      <c r="AW73" s="200">
        <f t="shared" si="81"/>
        <v>454.13267658162255</v>
      </c>
      <c r="AX73" s="200"/>
      <c r="BB73" s="17"/>
      <c r="BC73" s="199"/>
      <c r="BF73" s="192"/>
      <c r="BG73" s="201"/>
      <c r="BH73" s="201"/>
      <c r="BI73" s="201"/>
      <c r="BJ73" s="201"/>
    </row>
    <row r="74" spans="1:66" ht="13.5">
      <c r="A74" s="3" t="s">
        <v>236</v>
      </c>
      <c r="B74" s="199" cm="1">
        <f t="array" ref="B74">INDEX('[3]Canada Corn Exports'!$CC$290:$UR$290,1,ROW(A21))/1000</f>
        <v>4.46E-4</v>
      </c>
      <c r="C74" s="199" cm="1">
        <f t="array" ref="C74">INDEX('[3]Canada Corn Exports'!$CO$290:$UR$290,1,ROW(A21))/1000</f>
        <v>5.8E-5</v>
      </c>
      <c r="D74" s="199" cm="1">
        <f t="array" ref="D74">INDEX('[3]Canada Corn Exports'!$DA$290:$UR$290,1,ROW(A21))/1000</f>
        <v>3.0000000000000001E-6</v>
      </c>
      <c r="E74" s="199" cm="1">
        <f t="array" ref="E74">INDEX('[3]Canada Corn Exports'!$DM$290:$UR$290,1,ROW(A21))/1000</f>
        <v>0</v>
      </c>
      <c r="F74" s="199" cm="1">
        <f t="array" ref="F74">INDEX('[3]Canada Corn Exports'!$DY$290:$UR$290,1,ROW(A21))/1000</f>
        <v>2.234E-5</v>
      </c>
      <c r="G74" s="199" cm="1">
        <f t="array" ref="G74">INDEX('[3]Canada Corn Exports'!$EK$290:$UR$290,1,ROW(A21))/1000</f>
        <v>0</v>
      </c>
      <c r="H74" s="199" cm="1">
        <f t="array" ref="H74">INDEX('[3]Canada Corn Exports'!$EW$290:$UR$290,1,ROW(A21))/1000</f>
        <v>0</v>
      </c>
      <c r="I74" s="199" cm="1">
        <f t="array" ref="I74">INDEX('[3]Canada Corn Exports'!$FI$290:$UR$290,1,ROW(A21))/1000</f>
        <v>6E-9</v>
      </c>
      <c r="J74" s="199" cm="1">
        <f t="array" ref="J74">INDEX('[3]Canada Corn Exports'!$FU$290:$UR$290,1,ROW(A21))/1000</f>
        <v>0</v>
      </c>
      <c r="K74" s="199" cm="1">
        <f t="array" ref="K74">INDEX('[3]Canada Corn Exports'!$GG$290:$UR$290,1,ROW(A21))/1000</f>
        <v>2.0000000000000002E-7</v>
      </c>
      <c r="L74" s="199" cm="1">
        <f t="array" ref="L74">INDEX('[3]Canada Corn Exports'!$GS$290:$UR$290,1,ROW(A21))/1000</f>
        <v>0</v>
      </c>
      <c r="M74" s="199" cm="1">
        <f t="array" ref="M74">INDEX('[3]Canada Corn Exports'!$HE$290:$UR$290,1,ROW(A21))/1000</f>
        <v>1.3627E-5</v>
      </c>
      <c r="N74" s="199" cm="1">
        <f t="array" ref="N74">INDEX('[3]Canada Corn Exports'!$HQ$290:$UR$290,1,ROW(A21))/1000</f>
        <v>7.0642999999999994E-5</v>
      </c>
      <c r="O74" s="199" cm="1">
        <f t="array" ref="O74">INDEX('[3]Canada Corn Exports'!$IC$290:$UR$290,1,ROW(A21))/1000</f>
        <v>2.19113E-4</v>
      </c>
      <c r="P74" s="199" cm="1">
        <f t="array" ref="P74">INDEX('[3]Canada Corn Exports'!$IO$290:$UR$290,1,ROW(A21))/1000</f>
        <v>1.25914E-4</v>
      </c>
      <c r="Q74" s="199" cm="1">
        <f t="array" ref="Q74">INDEX('[3]Canada Corn Exports'!$JA$290:$UR$290,1,ROW(A21))/1000</f>
        <v>2.0060299999999999E-4</v>
      </c>
      <c r="R74" s="199" cm="1">
        <f t="array" ref="R74">INDEX('[3]Canada Corn Exports'!$JM$290:$UR$290,1,ROW(A21))/1000</f>
        <v>1.08001E-4</v>
      </c>
      <c r="S74" s="199" cm="1">
        <f t="array" ref="S74">INDEX('[3]Canada Corn Exports'!$JY$290:$UR$290,1,ROW(A21))/1000</f>
        <v>1.2845899999999998E-4</v>
      </c>
      <c r="T74" s="199" cm="1">
        <f t="array" ref="T74">INDEX('[3]Canada Corn Exports'!$KK$290:$UR$290,1,ROW(A21))/1000</f>
        <v>1.1208799999999999E-4</v>
      </c>
      <c r="U74" s="199" cm="1">
        <f t="array" ref="U74">INDEX('[3]Canada Corn Exports'!$KW$290:$UR$290,1,ROW(A21))/1000</f>
        <v>7.6893399999999998E-4</v>
      </c>
      <c r="V74" s="199" cm="1">
        <f t="array" ref="V74">INDEX('[3]Canada Corn Exports'!$LI$290:$UR$290,1,ROW(A21))/1000</f>
        <v>4.5695499999999999E-4</v>
      </c>
      <c r="W74" s="199" cm="1">
        <f t="array" ref="W74">INDEX('[3]Canada Corn Exports'!$LU$290:$UR$290,1,ROW(A21))/1000</f>
        <v>4.2465299999999999E-4</v>
      </c>
      <c r="X74" s="199" cm="1">
        <f t="array" ref="X74">INDEX('[3]Canada Corn Exports'!$MG$290:$UR$290,1,ROW(A21))/1000</f>
        <v>0.172657</v>
      </c>
      <c r="Y74" s="199" cm="1">
        <f t="array" ref="Y74">INDEX('[3]Canada Corn Exports'!$MS$290:$UR$290,1,ROW(A4))</f>
        <v>27.667000000000002</v>
      </c>
      <c r="Z74" s="199" cm="1">
        <f t="array" ref="Z74">INDEX('[3]Canada Corn Exports'!$NE$290:$UR$290,1,ROW(A4))</f>
        <v>278.923</v>
      </c>
      <c r="AA74" s="199" cm="1">
        <f t="array" ref="AA74">INDEX('[3]Canada Corn Exports'!$NQ$290:$UR$290,1,ROW(A4))</f>
        <v>397.87099999999998</v>
      </c>
      <c r="AB74" s="199" cm="1">
        <f t="array" ref="AB74">INDEX('[3]Canada Corn Exports'!$OC$290:$UR$290,1,ROW(A4))</f>
        <v>240.83099999999999</v>
      </c>
      <c r="AC74" s="199" cm="1">
        <f t="array" ref="AC74">INDEX('[3]Canada Corn Exports'!$OO$290:$UR$290,1,ROW(A4))</f>
        <v>240.49199999999999</v>
      </c>
      <c r="AD74" s="199" cm="1">
        <f t="array" ref="AD74">INDEX('[3]Canada Corn Exports'!$PA$290:$ZZ$290,1,ROW(A4))</f>
        <v>372.81700000000001</v>
      </c>
      <c r="AE74" s="199" cm="1">
        <f t="array" ref="AE74">INDEX('[3]Canada Corn Exports'!$PA$290:$ZZ$290,1,ROW(B4))</f>
        <v>372.81700000000001</v>
      </c>
      <c r="AF74" s="200">
        <f t="shared" si="79"/>
        <v>343.67396655266259</v>
      </c>
      <c r="AG74" s="200">
        <f t="shared" si="80"/>
        <v>316.45524445729671</v>
      </c>
      <c r="AH74" s="200">
        <f t="shared" si="81"/>
        <v>301.56029087008676</v>
      </c>
      <c r="AI74" s="200">
        <f t="shared" si="81"/>
        <v>340.02778569088275</v>
      </c>
      <c r="AJ74" s="200">
        <f t="shared" si="81"/>
        <v>351.50777979883304</v>
      </c>
      <c r="AK74" s="200">
        <f t="shared" si="81"/>
        <v>382.75069430192661</v>
      </c>
      <c r="AL74" s="200">
        <f t="shared" si="81"/>
        <v>399.84978373594242</v>
      </c>
      <c r="AM74" s="200">
        <f t="shared" si="81"/>
        <v>423.07544877975647</v>
      </c>
      <c r="AN74" s="200">
        <f t="shared" si="81"/>
        <v>439.99555188614875</v>
      </c>
      <c r="AO74" s="200">
        <f t="shared" si="81"/>
        <v>462.34565778918397</v>
      </c>
      <c r="AP74" s="200">
        <f t="shared" si="81"/>
        <v>491.36950010778435</v>
      </c>
      <c r="AQ74" s="200">
        <f t="shared" si="81"/>
        <v>511.27281295538171</v>
      </c>
      <c r="AR74" s="200">
        <f t="shared" si="81"/>
        <v>550.22878000325227</v>
      </c>
      <c r="AS74" s="200">
        <f t="shared" si="81"/>
        <v>591.87939953853936</v>
      </c>
      <c r="AT74" s="200">
        <f t="shared" si="81"/>
        <v>592.092999053477</v>
      </c>
      <c r="AU74" s="200">
        <f t="shared" si="81"/>
        <v>592.52185236230491</v>
      </c>
      <c r="AV74" s="200">
        <f t="shared" si="81"/>
        <v>630.97256291837107</v>
      </c>
      <c r="AW74" s="200">
        <f t="shared" si="81"/>
        <v>670.08235203500328</v>
      </c>
      <c r="AX74" s="200"/>
      <c r="BB74" s="17"/>
      <c r="BC74" s="199"/>
      <c r="BF74" s="192"/>
      <c r="BG74" s="201"/>
      <c r="BH74" s="201"/>
      <c r="BI74" s="201"/>
      <c r="BJ74" s="201"/>
    </row>
    <row r="75" spans="1:66" ht="13.5">
      <c r="A75" s="3" t="s">
        <v>237</v>
      </c>
      <c r="B75" s="199" cm="1">
        <f t="array" ref="B75">INDEX('[3]Canada Corn Exports'!$CC$290:$UR$290,1,ROW(A22))/1000</f>
        <v>8.7000000000000001E-5</v>
      </c>
      <c r="C75" s="199" cm="1">
        <f t="array" ref="C75">INDEX('[3]Canada Corn Exports'!$CO$290:$UR$290,1,ROW(A22))/1000</f>
        <v>2.5000000000000001E-5</v>
      </c>
      <c r="D75" s="199" cm="1">
        <f t="array" ref="D75">INDEX('[3]Canada Corn Exports'!$DA$290:$UR$290,1,ROW(A22))/1000</f>
        <v>3.9999999999999998E-6</v>
      </c>
      <c r="E75" s="199" cm="1">
        <f t="array" ref="E75">INDEX('[3]Canada Corn Exports'!$DM$290:$UR$290,1,ROW(A22))/1000</f>
        <v>9.9999999999999995E-7</v>
      </c>
      <c r="F75" s="199" cm="1">
        <f t="array" ref="F75">INDEX('[3]Canada Corn Exports'!$DY$290:$UR$290,1,ROW(A22))/1000</f>
        <v>0</v>
      </c>
      <c r="G75" s="199" cm="1">
        <f t="array" ref="G75">INDEX('[3]Canada Corn Exports'!$EK$290:$UR$290,1,ROW(A22))/1000</f>
        <v>0</v>
      </c>
      <c r="H75" s="199" cm="1">
        <f t="array" ref="H75">INDEX('[3]Canada Corn Exports'!$EW$290:$UR$290,1,ROW(A22))/1000</f>
        <v>0</v>
      </c>
      <c r="I75" s="199" cm="1">
        <f t="array" ref="I75">INDEX('[3]Canada Corn Exports'!$FI$290:$UR$290,1,ROW(A22))/1000</f>
        <v>0</v>
      </c>
      <c r="J75" s="199" cm="1">
        <f t="array" ref="J75">INDEX('[3]Canada Corn Exports'!$FU$290:$UR$290,1,ROW(A22))/1000</f>
        <v>1.8610000000000001E-6</v>
      </c>
      <c r="K75" s="199" cm="1">
        <f t="array" ref="K75">INDEX('[3]Canada Corn Exports'!$GG$290:$UR$290,1,ROW(A22))/1000</f>
        <v>0</v>
      </c>
      <c r="L75" s="199" cm="1">
        <f t="array" ref="L75">INDEX('[3]Canada Corn Exports'!$GS$290:$UR$290,1,ROW(A22))/1000</f>
        <v>4.5050000000000001E-6</v>
      </c>
      <c r="M75" s="199" cm="1">
        <f t="array" ref="M75">INDEX('[3]Canada Corn Exports'!$HE$290:$UR$290,1,ROW(A22))/1000</f>
        <v>3.5176999999999999E-5</v>
      </c>
      <c r="N75" s="199" cm="1">
        <f t="array" ref="N75">INDEX('[3]Canada Corn Exports'!$HQ$290:$UR$290,1,ROW(A22))/1000</f>
        <v>4.4153500000000001E-4</v>
      </c>
      <c r="O75" s="199" cm="1">
        <f t="array" ref="O75">INDEX('[3]Canada Corn Exports'!$IC$290:$UR$290,1,ROW(A22))/1000</f>
        <v>2.09798E-4</v>
      </c>
      <c r="P75" s="199" cm="1">
        <f t="array" ref="P75">INDEX('[3]Canada Corn Exports'!$IO$290:$UR$290,1,ROW(A22))/1000</f>
        <v>1.5024399999999998E-4</v>
      </c>
      <c r="Q75" s="199" cm="1">
        <f t="array" ref="Q75">INDEX('[3]Canada Corn Exports'!$JA$290:$UR$290,1,ROW(A22))/1000</f>
        <v>1.2934200000000001E-4</v>
      </c>
      <c r="R75" s="199" cm="1">
        <f t="array" ref="R75">INDEX('[3]Canada Corn Exports'!$JM$290:$UR$290,1,ROW(A22))/1000</f>
        <v>5.8645000000000005E-5</v>
      </c>
      <c r="S75" s="199" cm="1">
        <f t="array" ref="S75">INDEX('[3]Canada Corn Exports'!$JY$290:$UR$290,1,ROW(A22))/1000</f>
        <v>8.9608E-5</v>
      </c>
      <c r="T75" s="199" cm="1">
        <f t="array" ref="T75">INDEX('[3]Canada Corn Exports'!$KK$290:$UR$290,1,ROW(A22))/1000</f>
        <v>1.3122000000000001E-4</v>
      </c>
      <c r="U75" s="199" cm="1">
        <f t="array" ref="U75">INDEX('[3]Canada Corn Exports'!$KW$290:$UR$290,1,ROW(A22))/1000</f>
        <v>3.1646099999999998E-4</v>
      </c>
      <c r="V75" s="199" cm="1">
        <f t="array" ref="V75">INDEX('[3]Canada Corn Exports'!$LI$290:$UR$290,1,ROW(A22))/1000</f>
        <v>7.10777E-4</v>
      </c>
      <c r="W75" s="199" cm="1">
        <f t="array" ref="W75">INDEX('[3]Canada Corn Exports'!$LU$290:$UR$290,1,ROW(A22))/1000</f>
        <v>7.7966999999999999E-4</v>
      </c>
      <c r="X75" s="199" cm="1">
        <f t="array" ref="X75">INDEX('[3]Canada Corn Exports'!$MG$290:$UR$290,1,ROW(A22))/1000</f>
        <v>0.18881700000000001</v>
      </c>
      <c r="Y75" s="199" cm="1">
        <f t="array" ref="Y75">INDEX('[3]Canada Corn Exports'!$MS$290:$UR$290,1,ROW(A5))</f>
        <v>32.906999999999996</v>
      </c>
      <c r="Z75" s="199" cm="1">
        <f t="array" ref="Z75">INDEX('[3]Canada Corn Exports'!$NE$290:$UR$290,1,ROW(A5))</f>
        <v>65.197999999999993</v>
      </c>
      <c r="AA75" s="199" cm="1">
        <f t="array" ref="AA75">INDEX('[3]Canada Corn Exports'!$NQ$290:$UR$290,1,ROW(A5))</f>
        <v>122.489</v>
      </c>
      <c r="AB75" s="199" cm="1">
        <f t="array" ref="AB75">INDEX('[3]Canada Corn Exports'!$OC$290:$UR$290,1,ROW(A5))</f>
        <v>132.99</v>
      </c>
      <c r="AC75" s="199" cm="1">
        <f t="array" ref="AC75">INDEX('[3]Canada Corn Exports'!$OO$290:$UR$290,1,ROW(A5))</f>
        <v>32.694000000000003</v>
      </c>
      <c r="AD75" s="200">
        <f>(SUM(Y75:AC75)/SUM(Y$83:AC$83))*AD$83</f>
        <v>74.104590474586729</v>
      </c>
      <c r="AE75" s="200">
        <f>(SUM(Z75:AD75)/SUM(Z$83:AD$83))*AE$83</f>
        <v>75.544935396900726</v>
      </c>
      <c r="AF75" s="200">
        <f t="shared" si="79"/>
        <v>95.962485504171198</v>
      </c>
      <c r="AG75" s="200">
        <f t="shared" si="80"/>
        <v>85.271323766929584</v>
      </c>
      <c r="AH75" s="200">
        <f t="shared" si="81"/>
        <v>78.968610364522235</v>
      </c>
      <c r="AI75" s="200">
        <f t="shared" si="81"/>
        <v>75.095523081189114</v>
      </c>
      <c r="AJ75" s="200">
        <f t="shared" si="81"/>
        <v>84.381282898522741</v>
      </c>
      <c r="AK75" s="200">
        <f t="shared" si="81"/>
        <v>93.906943568848661</v>
      </c>
      <c r="AL75" s="200">
        <f t="shared" si="81"/>
        <v>101.50381270696471</v>
      </c>
      <c r="AM75" s="200">
        <f t="shared" si="81"/>
        <v>104.40592092000307</v>
      </c>
      <c r="AN75" s="200">
        <f t="shared" si="81"/>
        <v>107.50418436602946</v>
      </c>
      <c r="AO75" s="200">
        <f t="shared" si="81"/>
        <v>111.92866396714555</v>
      </c>
      <c r="AP75" s="200">
        <f t="shared" si="81"/>
        <v>120.97433712913829</v>
      </c>
      <c r="AQ75" s="200">
        <f t="shared" si="81"/>
        <v>125.93738492307628</v>
      </c>
      <c r="AR75" s="200">
        <f t="shared" si="81"/>
        <v>135.61058275265842</v>
      </c>
      <c r="AS75" s="200">
        <f t="shared" si="81"/>
        <v>145.10605711154051</v>
      </c>
      <c r="AT75" s="200">
        <f t="shared" si="81"/>
        <v>145.16603371496333</v>
      </c>
      <c r="AU75" s="200">
        <f t="shared" si="81"/>
        <v>145.35386951899068</v>
      </c>
      <c r="AV75" s="200">
        <f t="shared" si="81"/>
        <v>155.11109985737795</v>
      </c>
      <c r="AW75" s="200">
        <f t="shared" si="81"/>
        <v>164.61051078279024</v>
      </c>
      <c r="AX75" s="200"/>
      <c r="BB75" s="17"/>
      <c r="BC75" s="199"/>
      <c r="BF75" s="192"/>
      <c r="BG75" s="201"/>
      <c r="BH75" s="201"/>
      <c r="BI75" s="201"/>
      <c r="BJ75" s="201"/>
    </row>
    <row r="76" spans="1:66">
      <c r="A76" s="3" t="s">
        <v>238</v>
      </c>
      <c r="B76" s="199" cm="1">
        <f t="array" ref="B76">INDEX('[3]Canada Corn Exports'!$CC$290:$UR$290,1,ROW(A23))/1000</f>
        <v>2.6999999999999999E-5</v>
      </c>
      <c r="C76" s="199" cm="1">
        <f t="array" ref="C76">INDEX('[3]Canada Corn Exports'!$CO$290:$UR$290,1,ROW(A23))/1000</f>
        <v>4.4999999999999996E-5</v>
      </c>
      <c r="D76" s="199" cm="1">
        <f t="array" ref="D76">INDEX('[3]Canada Corn Exports'!$DA$290:$UR$290,1,ROW(A23))/1000</f>
        <v>3.1999999999999999E-5</v>
      </c>
      <c r="E76" s="199" cm="1">
        <f t="array" ref="E76">INDEX('[3]Canada Corn Exports'!$DM$290:$UR$290,1,ROW(A23))/1000</f>
        <v>0</v>
      </c>
      <c r="F76" s="199" cm="1">
        <f t="array" ref="F76">INDEX('[3]Canada Corn Exports'!$DY$290:$UR$290,1,ROW(A23))/1000</f>
        <v>0</v>
      </c>
      <c r="G76" s="199" cm="1">
        <f t="array" ref="G76">INDEX('[3]Canada Corn Exports'!$EK$290:$UR$290,1,ROW(A23))/1000</f>
        <v>0</v>
      </c>
      <c r="H76" s="199" cm="1">
        <f t="array" ref="H76">INDEX('[3]Canada Corn Exports'!$EW$290:$UR$290,1,ROW(A23))/1000</f>
        <v>0</v>
      </c>
      <c r="I76" s="199" cm="1">
        <f t="array" ref="I76">INDEX('[3]Canada Corn Exports'!$FI$290:$UR$290,1,ROW(A23))/1000</f>
        <v>5.8500000000000001E-7</v>
      </c>
      <c r="J76" s="199" cm="1">
        <f t="array" ref="J76">INDEX('[3]Canada Corn Exports'!$FU$290:$UR$290,1,ROW(A23))/1000</f>
        <v>0</v>
      </c>
      <c r="K76" s="199" cm="1">
        <f t="array" ref="K76">INDEX('[3]Canada Corn Exports'!$GG$290:$UR$290,1,ROW(A23))/1000</f>
        <v>3.0808000000000002E-4</v>
      </c>
      <c r="L76" s="199" cm="1">
        <f t="array" ref="L76">INDEX('[3]Canada Corn Exports'!$GS$290:$UR$290,1,ROW(A23))/1000</f>
        <v>0</v>
      </c>
      <c r="M76" s="199" cm="1">
        <f t="array" ref="M76">INDEX('[3]Canada Corn Exports'!$HE$290:$UR$290,1,ROW(A23))/1000</f>
        <v>3.2543999999999999E-5</v>
      </c>
      <c r="N76" s="199" cm="1">
        <f t="array" ref="N76">INDEX('[3]Canada Corn Exports'!$HQ$290:$UR$290,1,ROW(A23))/1000</f>
        <v>1.21253E-4</v>
      </c>
      <c r="O76" s="199" cm="1">
        <f t="array" ref="O76">INDEX('[3]Canada Corn Exports'!$IC$290:$UR$290,1,ROW(A23))/1000</f>
        <v>1.5124399999999998E-4</v>
      </c>
      <c r="P76" s="199" cm="1">
        <f t="array" ref="P76">INDEX('[3]Canada Corn Exports'!$IO$290:$UR$290,1,ROW(A23))/1000</f>
        <v>1.67517E-4</v>
      </c>
      <c r="Q76" s="199" cm="1">
        <f t="array" ref="Q76">INDEX('[3]Canada Corn Exports'!$JA$290:$UR$290,1,ROW(A23))/1000</f>
        <v>2.2132900000000001E-4</v>
      </c>
      <c r="R76" s="199" cm="1">
        <f t="array" ref="R76">INDEX('[3]Canada Corn Exports'!$JM$290:$UR$290,1,ROW(A23))/1000</f>
        <v>1.37396E-4</v>
      </c>
      <c r="S76" s="199" cm="1">
        <f t="array" ref="S76">INDEX('[3]Canada Corn Exports'!$JY$290:$UR$290,1,ROW(A23))/1000</f>
        <v>1.2006799999999999E-4</v>
      </c>
      <c r="T76" s="199" cm="1">
        <f t="array" ref="T76">INDEX('[3]Canada Corn Exports'!$KK$290:$UR$290,1,ROW(A23))/1000</f>
        <v>2.7108500000000001E-4</v>
      </c>
      <c r="U76" s="199" cm="1">
        <f t="array" ref="U76">INDEX('[3]Canada Corn Exports'!$KW$290:$UR$290,1,ROW(A23))/1000</f>
        <v>2.9971100000000003E-4</v>
      </c>
      <c r="V76" s="199" cm="1">
        <f t="array" ref="V76">INDEX('[3]Canada Corn Exports'!$LI$290:$UR$290,1,ROW(A23))/1000</f>
        <v>4.92886E-4</v>
      </c>
      <c r="W76" s="199" cm="1">
        <f t="array" ref="W76">INDEX('[3]Canada Corn Exports'!$LU$290:$UR$290,1,ROW(A23))/1000</f>
        <v>6.0073400000000001E-4</v>
      </c>
      <c r="X76" s="199" cm="1">
        <f t="array" ref="X76">INDEX('[3]Canada Corn Exports'!$MG$290:$UR$290,1,ROW(A23))/1000</f>
        <v>0.110773</v>
      </c>
      <c r="Y76" s="199" cm="1">
        <f t="array" ref="Y76">INDEX('[3]Canada Corn Exports'!$MS$290:$UR$290,1,ROW(A6))</f>
        <v>25.059000000000001</v>
      </c>
      <c r="Z76" s="199" cm="1">
        <f t="array" ref="Z76">INDEX('[3]Canada Corn Exports'!$NE$290:$UR$290,1,ROW(A6))</f>
        <v>51.853999999999999</v>
      </c>
      <c r="AA76" s="199" cm="1">
        <f t="array" ref="AA76">INDEX('[3]Canada Corn Exports'!$NQ$290:$UR$290,1,ROW(A6))</f>
        <v>55.491</v>
      </c>
      <c r="AB76" s="199" cm="1">
        <f t="array" ref="AB76">INDEX('[3]Canada Corn Exports'!$OC$290:$UR$290,1,ROW(A6))</f>
        <v>194.44300000000001</v>
      </c>
      <c r="AC76" s="199" cm="1">
        <f t="array" ref="AC76">INDEX('[3]Canada Corn Exports'!$OO$290:$UR$290,1,ROW(A6))</f>
        <v>58.609000000000002</v>
      </c>
      <c r="AD76" s="200">
        <f t="shared" ref="AD76:AE82" si="82">(SUM(X76:AB76)/SUM(X$83:AB$83))*AD$83</f>
        <v>80.436321057085507</v>
      </c>
      <c r="AE76" s="200">
        <f t="shared" si="82"/>
        <v>76.000976265868317</v>
      </c>
      <c r="AF76" s="200">
        <f t="shared" si="79"/>
        <v>98.961115264454222</v>
      </c>
      <c r="AG76" s="200">
        <f t="shared" si="80"/>
        <v>90.560633899195395</v>
      </c>
      <c r="AH76" s="200">
        <f t="shared" si="81"/>
        <v>97.622202527568334</v>
      </c>
      <c r="AI76" s="200">
        <f t="shared" si="81"/>
        <v>83.561999432476625</v>
      </c>
      <c r="AJ76" s="200">
        <f t="shared" si="81"/>
        <v>91.325551267623609</v>
      </c>
      <c r="AK76" s="200">
        <f t="shared" si="81"/>
        <v>102.1044405461858</v>
      </c>
      <c r="AL76" s="200">
        <f t="shared" si="81"/>
        <v>111.74715406673741</v>
      </c>
      <c r="AM76" s="200">
        <f t="shared" si="81"/>
        <v>116.29370691826244</v>
      </c>
      <c r="AN76" s="200">
        <f t="shared" si="81"/>
        <v>120.51431627908468</v>
      </c>
      <c r="AO76" s="200">
        <f t="shared" si="81"/>
        <v>123.07523289669992</v>
      </c>
      <c r="AP76" s="200">
        <f t="shared" si="81"/>
        <v>133.34555747154533</v>
      </c>
      <c r="AQ76" s="200">
        <f t="shared" si="81"/>
        <v>139.15210931325774</v>
      </c>
      <c r="AR76" s="200">
        <f t="shared" si="81"/>
        <v>150.17133948320244</v>
      </c>
      <c r="AS76" s="200">
        <f t="shared" si="81"/>
        <v>160.77481090140256</v>
      </c>
      <c r="AT76" s="200">
        <f t="shared" si="81"/>
        <v>160.673285074869</v>
      </c>
      <c r="AU76" s="200">
        <f t="shared" si="81"/>
        <v>160.57251137866092</v>
      </c>
      <c r="AV76" s="200">
        <f t="shared" si="81"/>
        <v>171.55437515718205</v>
      </c>
      <c r="AW76" s="200">
        <f t="shared" si="81"/>
        <v>182.1229021468566</v>
      </c>
      <c r="AX76" s="200"/>
      <c r="BB76" s="17"/>
      <c r="BC76" s="199"/>
    </row>
    <row r="77" spans="1:66">
      <c r="A77" s="3" t="s">
        <v>239</v>
      </c>
      <c r="B77" s="199" cm="1">
        <f t="array" ref="B77">INDEX('[3]Canada Corn Exports'!$CC$290:$UR$290,1,ROW(A24))/1000</f>
        <v>2.3E-5</v>
      </c>
      <c r="C77" s="199" cm="1">
        <f t="array" ref="C77">INDEX('[3]Canada Corn Exports'!$CO$290:$UR$290,1,ROW(A24))/1000</f>
        <v>5.0000000000000004E-6</v>
      </c>
      <c r="D77" s="199" cm="1">
        <f t="array" ref="D77">INDEX('[3]Canada Corn Exports'!$DA$290:$UR$290,1,ROW(A24))/1000</f>
        <v>2.3E-5</v>
      </c>
      <c r="E77" s="199" cm="1">
        <f t="array" ref="E77">INDEX('[3]Canada Corn Exports'!$DM$290:$UR$290,1,ROW(A24))/1000</f>
        <v>6.0000000000000002E-6</v>
      </c>
      <c r="F77" s="199" cm="1">
        <f t="array" ref="F77">INDEX('[3]Canada Corn Exports'!$DY$290:$UR$290,1,ROW(A24))/1000</f>
        <v>2.7599999999999998E-7</v>
      </c>
      <c r="G77" s="199" cm="1">
        <f t="array" ref="G77">INDEX('[3]Canada Corn Exports'!$EK$290:$UR$290,1,ROW(A24))/1000</f>
        <v>0</v>
      </c>
      <c r="H77" s="199" cm="1">
        <f t="array" ref="H77">INDEX('[3]Canada Corn Exports'!$EW$290:$UR$290,1,ROW(A24))/1000</f>
        <v>0</v>
      </c>
      <c r="I77" s="199" cm="1">
        <f t="array" ref="I77">INDEX('[3]Canada Corn Exports'!$FI$290:$UR$290,1,ROW(A24))/1000</f>
        <v>4.0820000000000001E-6</v>
      </c>
      <c r="J77" s="199" cm="1">
        <f t="array" ref="J77">INDEX('[3]Canada Corn Exports'!$FU$290:$UR$290,1,ROW(A24))/1000</f>
        <v>9.9999999999999986E-10</v>
      </c>
      <c r="K77" s="199" cm="1">
        <f t="array" ref="K77">INDEX('[3]Canada Corn Exports'!$GG$290:$UR$290,1,ROW(A24))/1000</f>
        <v>4.0499999999999999E-7</v>
      </c>
      <c r="L77" s="199" cm="1">
        <f t="array" ref="L77">INDEX('[3]Canada Corn Exports'!$GS$290:$UR$290,1,ROW(A24))/1000</f>
        <v>0</v>
      </c>
      <c r="M77" s="199" cm="1">
        <f t="array" ref="M77">INDEX('[3]Canada Corn Exports'!$HE$290:$UR$290,1,ROW(A24))/1000</f>
        <v>1.6983000000000003E-5</v>
      </c>
      <c r="N77" s="199" cm="1">
        <f t="array" ref="N77">INDEX('[3]Canada Corn Exports'!$HQ$290:$UR$290,1,ROW(A24))/1000</f>
        <v>1.03119E-4</v>
      </c>
      <c r="O77" s="199" cm="1">
        <f t="array" ref="O77">INDEX('[3]Canada Corn Exports'!$IC$290:$UR$290,1,ROW(A24))/1000</f>
        <v>1.18634E-4</v>
      </c>
      <c r="P77" s="199" cm="1">
        <f t="array" ref="P77">INDEX('[3]Canada Corn Exports'!$IO$290:$UR$290,1,ROW(A24))/1000</f>
        <v>1.4268000000000001E-4</v>
      </c>
      <c r="Q77" s="199" cm="1">
        <f t="array" ref="Q77">INDEX('[3]Canada Corn Exports'!$JA$290:$UR$290,1,ROW(A24))/1000</f>
        <v>2.1166499999999999E-4</v>
      </c>
      <c r="R77" s="199" cm="1">
        <f t="array" ref="R77">INDEX('[3]Canada Corn Exports'!$JM$290:$UR$290,1,ROW(A24))/1000</f>
        <v>1.77825E-4</v>
      </c>
      <c r="S77" s="199" cm="1">
        <f t="array" ref="S77">INDEX('[3]Canada Corn Exports'!$JY$290:$UR$290,1,ROW(A24))/1000</f>
        <v>2.09428E-4</v>
      </c>
      <c r="T77" s="199" cm="1">
        <f t="array" ref="T77">INDEX('[3]Canada Corn Exports'!$KK$290:$UR$290,1,ROW(A24))/1000</f>
        <v>1.2630700000000001E-4</v>
      </c>
      <c r="U77" s="199" cm="1">
        <f t="array" ref="U77">INDEX('[3]Canada Corn Exports'!$KW$290:$UR$290,1,ROW(A24))/1000</f>
        <v>2.9646499999999999E-4</v>
      </c>
      <c r="V77" s="199" cm="1">
        <f t="array" ref="V77">INDEX('[3]Canada Corn Exports'!$LI$290:$UR$290,1,ROW(A24))/1000</f>
        <v>3.3603399999999997E-4</v>
      </c>
      <c r="W77" s="199" cm="1">
        <f t="array" ref="W77">INDEX('[3]Canada Corn Exports'!$LU$290:$UR$290,1,ROW(A24))/1000</f>
        <v>7.7002400000000001E-4</v>
      </c>
      <c r="X77" s="199" cm="1">
        <f t="array" ref="X77">INDEX('[3]Canada Corn Exports'!$MG$290:$UR$290,1,ROW(A24))/1000</f>
        <v>3.2973999999999996E-2</v>
      </c>
      <c r="Y77" s="199" cm="1">
        <f t="array" ref="Y77">INDEX('[3]Canada Corn Exports'!$MS$290:$UR$290,1,ROW(A7))</f>
        <v>26.475999999999999</v>
      </c>
      <c r="Z77" s="199" cm="1">
        <f t="array" ref="Z77">INDEX('[3]Canada Corn Exports'!$NE$290:$UR$290,1,ROW(A7))</f>
        <v>59.046999999999997</v>
      </c>
      <c r="AA77" s="199" cm="1">
        <f t="array" ref="AA77">INDEX('[3]Canada Corn Exports'!$NQ$290:$UR$290,1,ROW(A7))</f>
        <v>156.30099999999999</v>
      </c>
      <c r="AB77" s="199" cm="1">
        <f t="array" ref="AB77">INDEX('[3]Canada Corn Exports'!$OC$290:$UR$290,1,ROW(A7))</f>
        <v>244.40199999999999</v>
      </c>
      <c r="AC77" s="199" cm="1">
        <f t="array" ref="AC77">INDEX('[3]Canada Corn Exports'!$OO$290:$UR$290,1,ROW(A7))</f>
        <v>95.840999999999994</v>
      </c>
      <c r="AD77" s="200">
        <f t="shared" si="82"/>
        <v>119.62671078492144</v>
      </c>
      <c r="AE77" s="200">
        <f t="shared" si="82"/>
        <v>114.76708172176637</v>
      </c>
      <c r="AF77" s="200">
        <f t="shared" si="79"/>
        <v>151.57723909199385</v>
      </c>
      <c r="AG77" s="200">
        <f t="shared" si="80"/>
        <v>142.3591283574512</v>
      </c>
      <c r="AH77" s="200">
        <f t="shared" si="81"/>
        <v>139.43269887484036</v>
      </c>
      <c r="AI77" s="200">
        <f t="shared" si="81"/>
        <v>128.92019171303915</v>
      </c>
      <c r="AJ77" s="200">
        <f t="shared" si="81"/>
        <v>137.48058858284742</v>
      </c>
      <c r="AK77" s="200">
        <f t="shared" si="81"/>
        <v>154.75573480207794</v>
      </c>
      <c r="AL77" s="200">
        <f t="shared" si="81"/>
        <v>169.24666057790208</v>
      </c>
      <c r="AM77" s="200">
        <f t="shared" si="81"/>
        <v>175.73708558256402</v>
      </c>
      <c r="AN77" s="200">
        <f t="shared" si="81"/>
        <v>180.8442874992902</v>
      </c>
      <c r="AO77" s="200">
        <f t="shared" si="81"/>
        <v>186.70645022264279</v>
      </c>
      <c r="AP77" s="200">
        <f t="shared" si="81"/>
        <v>201.26980213004072</v>
      </c>
      <c r="AQ77" s="200">
        <f t="shared" si="81"/>
        <v>210.35023960630974</v>
      </c>
      <c r="AR77" s="200">
        <f t="shared" si="81"/>
        <v>226.83085113783969</v>
      </c>
      <c r="AS77" s="200">
        <f t="shared" si="81"/>
        <v>242.77318602733411</v>
      </c>
      <c r="AT77" s="200">
        <f t="shared" si="81"/>
        <v>242.60489483829335</v>
      </c>
      <c r="AU77" s="200">
        <f t="shared" si="81"/>
        <v>242.71148389185615</v>
      </c>
      <c r="AV77" s="200">
        <f t="shared" si="81"/>
        <v>259.09601700053429</v>
      </c>
      <c r="AW77" s="200">
        <f t="shared" si="81"/>
        <v>275.13334921566337</v>
      </c>
      <c r="AX77" s="200"/>
      <c r="BB77" s="17"/>
      <c r="BC77" s="199"/>
    </row>
    <row r="78" spans="1:66">
      <c r="A78" s="3" t="s">
        <v>240</v>
      </c>
      <c r="B78" s="199" cm="1">
        <f t="array" ref="B78">INDEX('[3]Canada Corn Exports'!$CC$290:$UR$290,1,ROW(A25))/1000</f>
        <v>6.6000000000000005E-5</v>
      </c>
      <c r="C78" s="199" cm="1">
        <f t="array" ref="C78">INDEX('[3]Canada Corn Exports'!$CO$290:$UR$290,1,ROW(A25))/1000</f>
        <v>1.2999999999999999E-5</v>
      </c>
      <c r="D78" s="199" cm="1">
        <f t="array" ref="D78">INDEX('[3]Canada Corn Exports'!$DA$290:$UR$290,1,ROW(A25))/1000</f>
        <v>0</v>
      </c>
      <c r="E78" s="199" cm="1">
        <f t="array" ref="E78">INDEX('[3]Canada Corn Exports'!$DM$290:$UR$290,1,ROW(A25))/1000</f>
        <v>0</v>
      </c>
      <c r="F78" s="199" cm="1">
        <f t="array" ref="F78">INDEX('[3]Canada Corn Exports'!$DY$290:$UR$290,1,ROW(A25))/1000</f>
        <v>0</v>
      </c>
      <c r="G78" s="199" cm="1">
        <f t="array" ref="G78">INDEX('[3]Canada Corn Exports'!$EK$290:$UR$290,1,ROW(A25))/1000</f>
        <v>0</v>
      </c>
      <c r="H78" s="199" cm="1">
        <f t="array" ref="H78">INDEX('[3]Canada Corn Exports'!$EW$290:$UR$290,1,ROW(A25))/1000</f>
        <v>0</v>
      </c>
      <c r="I78" s="199" cm="1">
        <f t="array" ref="I78">INDEX('[3]Canada Corn Exports'!$FI$290:$UR$290,1,ROW(A25))/1000</f>
        <v>0</v>
      </c>
      <c r="J78" s="199" cm="1">
        <f t="array" ref="J78">INDEX('[3]Canada Corn Exports'!$FU$290:$UR$290,1,ROW(A25))/1000</f>
        <v>1.0999999999999999E-8</v>
      </c>
      <c r="K78" s="199" cm="1">
        <f t="array" ref="K78">INDEX('[3]Canada Corn Exports'!$GG$290:$UR$290,1,ROW(A25))/1000</f>
        <v>2.0000000000000002E-7</v>
      </c>
      <c r="L78" s="199" cm="1">
        <f t="array" ref="L78">INDEX('[3]Canada Corn Exports'!$GS$290:$UR$290,1,ROW(A25))/1000</f>
        <v>1.7000000000000001E-7</v>
      </c>
      <c r="M78" s="199" cm="1">
        <f t="array" ref="M78">INDEX('[3]Canada Corn Exports'!$HE$290:$UR$290,1,ROW(A25))/1000</f>
        <v>2.5795E-5</v>
      </c>
      <c r="N78" s="199" cm="1">
        <f t="array" ref="N78">INDEX('[3]Canada Corn Exports'!$HQ$290:$UR$290,1,ROW(A25))/1000</f>
        <v>2.8208499999999995E-4</v>
      </c>
      <c r="O78" s="199" cm="1">
        <f t="array" ref="O78">INDEX('[3]Canada Corn Exports'!$IC$290:$UR$290,1,ROW(A25))/1000</f>
        <v>1.43256E-4</v>
      </c>
      <c r="P78" s="199" cm="1">
        <f t="array" ref="P78">INDEX('[3]Canada Corn Exports'!$IO$290:$UR$290,1,ROW(A25))/1000</f>
        <v>2.3590199999999999E-4</v>
      </c>
      <c r="Q78" s="199" cm="1">
        <f t="array" ref="Q78">INDEX('[3]Canada Corn Exports'!$JA$290:$UR$290,1,ROW(A25))/1000</f>
        <v>1.2991599999999999E-4</v>
      </c>
      <c r="R78" s="199" cm="1">
        <f t="array" ref="R78">INDEX('[3]Canada Corn Exports'!$JM$290:$UR$290,1,ROW(A25))/1000</f>
        <v>1.3762E-4</v>
      </c>
      <c r="S78" s="199" cm="1">
        <f t="array" ref="S78">INDEX('[3]Canada Corn Exports'!$JY$290:$UR$290,1,ROW(A25))/1000</f>
        <v>9.1932E-5</v>
      </c>
      <c r="T78" s="199" cm="1">
        <f t="array" ref="T78">INDEX('[3]Canada Corn Exports'!$KK$290:$UR$290,1,ROW(A25))/1000</f>
        <v>2.3917400000000001E-4</v>
      </c>
      <c r="U78" s="199" cm="1">
        <f t="array" ref="U78">INDEX('[3]Canada Corn Exports'!$KW$290:$UR$290,1,ROW(A25))/1000</f>
        <v>8.9465900000000001E-4</v>
      </c>
      <c r="V78" s="199" cm="1">
        <f t="array" ref="V78">INDEX('[3]Canada Corn Exports'!$LI$290:$UR$290,1,ROW(A25))/1000</f>
        <v>3.54328E-4</v>
      </c>
      <c r="W78" s="199" cm="1">
        <f t="array" ref="W78">INDEX('[3]Canada Corn Exports'!$LU$290:$UR$290,1,ROW(A25))/1000</f>
        <v>1.9469E-2</v>
      </c>
      <c r="X78" s="199" cm="1">
        <f t="array" ref="X78">INDEX('[3]Canada Corn Exports'!$MG$290:$UR$290,1,ROW(A25))/1000</f>
        <v>2.4284E-2</v>
      </c>
      <c r="Y78" s="199" cm="1">
        <f t="array" ref="Y78">INDEX('[3]Canada Corn Exports'!$MS$290:$UR$290,1,ROW(A8))</f>
        <v>28.527999999999999</v>
      </c>
      <c r="Z78" s="199" cm="1">
        <f t="array" ref="Z78">INDEX('[3]Canada Corn Exports'!$NE$290:$UR$290,1,ROW(A8))</f>
        <v>228.869</v>
      </c>
      <c r="AA78" s="199" cm="1">
        <f t="array" ref="AA78">INDEX('[3]Canada Corn Exports'!$NQ$290:$UR$290,1,ROW(A8))</f>
        <v>407.649</v>
      </c>
      <c r="AB78" s="199" cm="1">
        <f t="array" ref="AB78">INDEX('[3]Canada Corn Exports'!$OC$290:$UR$290,1,ROW(A8))</f>
        <v>388.33199999999999</v>
      </c>
      <c r="AC78" s="199" cm="1">
        <f t="array" ref="AC78">INDEX('[3]Canada Corn Exports'!$OO$290:$UR$290,1,ROW(A8))</f>
        <v>223.358</v>
      </c>
      <c r="AD78" s="200">
        <f t="shared" si="82"/>
        <v>259.15213313522042</v>
      </c>
      <c r="AE78" s="200">
        <f t="shared" si="82"/>
        <v>251.73607995148518</v>
      </c>
      <c r="AF78" s="200">
        <f t="shared" si="79"/>
        <v>338.38195244075229</v>
      </c>
      <c r="AG78" s="200">
        <f t="shared" si="80"/>
        <v>298.03057726267718</v>
      </c>
      <c r="AH78" s="200">
        <f t="shared" si="81"/>
        <v>280.50355675404819</v>
      </c>
      <c r="AI78" s="200">
        <f t="shared" si="81"/>
        <v>283.10437782174427</v>
      </c>
      <c r="AJ78" s="200">
        <f t="shared" si="81"/>
        <v>293.95970872968479</v>
      </c>
      <c r="AK78" s="200">
        <f t="shared" si="81"/>
        <v>331.83006725273299</v>
      </c>
      <c r="AL78" s="200">
        <f t="shared" si="81"/>
        <v>361.3347395184332</v>
      </c>
      <c r="AM78" s="200">
        <f t="shared" si="81"/>
        <v>371.85707195522184</v>
      </c>
      <c r="AN78" s="200">
        <f t="shared" si="81"/>
        <v>384.25228851456654</v>
      </c>
      <c r="AO78" s="200">
        <f t="shared" si="81"/>
        <v>400.17221002568658</v>
      </c>
      <c r="AP78" s="200">
        <f t="shared" si="81"/>
        <v>428.8908742467446</v>
      </c>
      <c r="AQ78" s="200">
        <f t="shared" si="81"/>
        <v>448.55975568034205</v>
      </c>
      <c r="AR78" s="200">
        <f t="shared" si="81"/>
        <v>483.17554219236052</v>
      </c>
      <c r="AS78" s="200">
        <f t="shared" si="81"/>
        <v>517.0505594294649</v>
      </c>
      <c r="AT78" s="200">
        <f t="shared" si="81"/>
        <v>517.29517781182483</v>
      </c>
      <c r="AU78" s="200">
        <f t="shared" si="81"/>
        <v>517.69294126695422</v>
      </c>
      <c r="AV78" s="200">
        <f t="shared" si="81"/>
        <v>552.15490705723039</v>
      </c>
      <c r="AW78" s="200">
        <f t="shared" si="81"/>
        <v>586.44663331216793</v>
      </c>
      <c r="AX78" s="200"/>
      <c r="BB78" s="17"/>
      <c r="BC78" s="199"/>
    </row>
    <row r="79" spans="1:66">
      <c r="A79" s="3" t="s">
        <v>81</v>
      </c>
      <c r="B79" s="199" cm="1">
        <f t="array" ref="B79">INDEX('[3]Canada Corn Exports'!$CC$290:$UR$290,1,ROW(A26))/1000</f>
        <v>1.0899999999999999E-4</v>
      </c>
      <c r="C79" s="199" cm="1">
        <f t="array" ref="C79">INDEX('[3]Canada Corn Exports'!$CO$290:$UR$290,1,ROW(A26))/1000</f>
        <v>2.6999999999999999E-5</v>
      </c>
      <c r="D79" s="199" cm="1">
        <f t="array" ref="D79">INDEX('[3]Canada Corn Exports'!$DA$290:$UR$290,1,ROW(A26))/1000</f>
        <v>1.0899999999999999E-4</v>
      </c>
      <c r="E79" s="199" cm="1">
        <f t="array" ref="E79">INDEX('[3]Canada Corn Exports'!$DM$290:$UR$290,1,ROW(A26))/1000</f>
        <v>0</v>
      </c>
      <c r="F79" s="199" cm="1">
        <f t="array" ref="F79">INDEX('[3]Canada Corn Exports'!$DY$290:$UR$290,1,ROW(A26))/1000</f>
        <v>7.023600000000001E-5</v>
      </c>
      <c r="G79" s="199" cm="1">
        <f t="array" ref="G79">INDEX('[3]Canada Corn Exports'!$EK$290:$UR$290,1,ROW(A26))/1000</f>
        <v>0</v>
      </c>
      <c r="H79" s="199" cm="1">
        <f t="array" ref="H79">INDEX('[3]Canada Corn Exports'!$EW$290:$UR$290,1,ROW(A26))/1000</f>
        <v>0</v>
      </c>
      <c r="I79" s="199" cm="1">
        <f t="array" ref="I79">INDEX('[3]Canada Corn Exports'!$FI$290:$UR$290,1,ROW(A26))/1000</f>
        <v>0</v>
      </c>
      <c r="J79" s="199" cm="1">
        <f t="array" ref="J79">INDEX('[3]Canada Corn Exports'!$FU$290:$UR$290,1,ROW(A26))/1000</f>
        <v>0</v>
      </c>
      <c r="K79" s="199" cm="1">
        <f t="array" ref="K79">INDEX('[3]Canada Corn Exports'!$GG$290:$UR$290,1,ROW(A26))/1000</f>
        <v>2.0000000000000002E-7</v>
      </c>
      <c r="L79" s="199" cm="1">
        <f t="array" ref="L79">INDEX('[3]Canada Corn Exports'!$GS$290:$UR$290,1,ROW(A26))/1000</f>
        <v>1.4100000000000001E-7</v>
      </c>
      <c r="M79" s="199" cm="1">
        <f t="array" ref="M79">INDEX('[3]Canada Corn Exports'!$HE$290:$UR$290,1,ROW(A26))/1000</f>
        <v>2.0781E-5</v>
      </c>
      <c r="N79" s="199" cm="1">
        <f t="array" ref="N79">INDEX('[3]Canada Corn Exports'!$HQ$290:$UR$290,1,ROW(A26))/1000</f>
        <v>1.5554499999999999E-4</v>
      </c>
      <c r="O79" s="199" cm="1">
        <f t="array" ref="O79">INDEX('[3]Canada Corn Exports'!$IC$290:$UR$290,1,ROW(A26))/1000</f>
        <v>1.12952E-4</v>
      </c>
      <c r="P79" s="199" cm="1">
        <f t="array" ref="P79">INDEX('[3]Canada Corn Exports'!$IO$290:$UR$290,1,ROW(A26))/1000</f>
        <v>2.0474300000000001E-4</v>
      </c>
      <c r="Q79" s="199" cm="1">
        <f t="array" ref="Q79">INDEX('[3]Canada Corn Exports'!$JA$290:$UR$290,1,ROW(A26))/1000</f>
        <v>1.2721400000000001E-4</v>
      </c>
      <c r="R79" s="199" cm="1">
        <f t="array" ref="R79">INDEX('[3]Canada Corn Exports'!$JM$290:$UR$290,1,ROW(A26))/1000</f>
        <v>1.8231000000000001E-4</v>
      </c>
      <c r="S79" s="199" cm="1">
        <f t="array" ref="S79">INDEX('[3]Canada Corn Exports'!$JY$290:$UR$290,1,ROW(A26))/1000</f>
        <v>1.7178199999999999E-4</v>
      </c>
      <c r="T79" s="199" cm="1">
        <f t="array" ref="T79">INDEX('[3]Canada Corn Exports'!$KK$290:$UR$290,1,ROW(A26))/1000</f>
        <v>7.1404500000000007E-4</v>
      </c>
      <c r="U79" s="199" cm="1">
        <f t="array" ref="U79">INDEX('[3]Canada Corn Exports'!$KW$290:$UR$290,1,ROW(A26))/1000</f>
        <v>5.78657E-4</v>
      </c>
      <c r="V79" s="199" cm="1">
        <f t="array" ref="V79">INDEX('[3]Canada Corn Exports'!$LI$290:$UR$290,1,ROW(A26))/1000</f>
        <v>2.7050200000000005E-4</v>
      </c>
      <c r="W79" s="199" cm="1">
        <f t="array" ref="W79">INDEX('[3]Canada Corn Exports'!$LU$290:$UR$290,1,ROW(A26))/1000</f>
        <v>2.2653E-2</v>
      </c>
      <c r="X79" s="199" cm="1">
        <f t="array" ref="X79">INDEX('[3]Canada Corn Exports'!$MG$290:$UR$290,1,ROW(A26))/1000</f>
        <v>5.3351999999999997E-2</v>
      </c>
      <c r="Y79" s="199" cm="1">
        <f t="array" ref="Y79">INDEX('[3]Canada Corn Exports'!$MS$290:$UR$290,1,ROW(A9))</f>
        <v>172.65700000000001</v>
      </c>
      <c r="Z79" s="199" cm="1">
        <f t="array" ref="Z79">INDEX('[3]Canada Corn Exports'!$NE$290:$UR$290,1,ROW(A9))</f>
        <v>309.803</v>
      </c>
      <c r="AA79" s="199" cm="1">
        <f t="array" ref="AA79">INDEX('[3]Canada Corn Exports'!$NQ$290:$UR$290,1,ROW(A9))</f>
        <v>409.58499999999998</v>
      </c>
      <c r="AB79" s="199" cm="1">
        <f t="array" ref="AB79">INDEX('[3]Canada Corn Exports'!$OC$290:$UR$290,1,ROW(A9))</f>
        <v>498.851</v>
      </c>
      <c r="AC79" s="199" cm="1">
        <f t="array" ref="AC79">INDEX('[3]Canada Corn Exports'!$OO$290:$UR$290,1,ROW(A9))</f>
        <v>302.52100000000002</v>
      </c>
      <c r="AD79" s="200">
        <f t="shared" si="82"/>
        <v>342.19357327105678</v>
      </c>
      <c r="AE79" s="200">
        <f t="shared" si="82"/>
        <v>333.89373942867138</v>
      </c>
      <c r="AF79" s="200">
        <f t="shared" si="79"/>
        <v>418.20786789601669</v>
      </c>
      <c r="AG79" s="200">
        <f t="shared" si="80"/>
        <v>367.52509759626486</v>
      </c>
      <c r="AH79" s="200">
        <f t="shared" si="81"/>
        <v>363.96706708772433</v>
      </c>
      <c r="AI79" s="200">
        <f t="shared" si="81"/>
        <v>364.41801612193746</v>
      </c>
      <c r="AJ79" s="200">
        <f t="shared" si="81"/>
        <v>375.89739461641585</v>
      </c>
      <c r="AK79" s="200">
        <f t="shared" si="81"/>
        <v>422.40269442985476</v>
      </c>
      <c r="AL79" s="200">
        <f t="shared" si="81"/>
        <v>457.1200141979287</v>
      </c>
      <c r="AM79" s="200">
        <f t="shared" si="81"/>
        <v>473.55256746304934</v>
      </c>
      <c r="AN79" s="200">
        <f t="shared" si="81"/>
        <v>491.56234708591245</v>
      </c>
      <c r="AO79" s="200">
        <f t="shared" si="81"/>
        <v>510.15403292475958</v>
      </c>
      <c r="AP79" s="200">
        <f t="shared" si="81"/>
        <v>546.32210755228562</v>
      </c>
      <c r="AQ79" s="200">
        <f t="shared" si="81"/>
        <v>571.12484196491721</v>
      </c>
      <c r="AR79" s="200">
        <f t="shared" si="81"/>
        <v>615.282889523672</v>
      </c>
      <c r="AS79" s="200">
        <f t="shared" si="81"/>
        <v>659.16505855701462</v>
      </c>
      <c r="AT79" s="200">
        <f t="shared" si="81"/>
        <v>659.43236793847598</v>
      </c>
      <c r="AU79" s="200">
        <f t="shared" si="81"/>
        <v>659.55657511878394</v>
      </c>
      <c r="AV79" s="200">
        <f t="shared" si="81"/>
        <v>703.4760266366261</v>
      </c>
      <c r="AW79" s="200">
        <f t="shared" si="81"/>
        <v>747.18818698262055</v>
      </c>
      <c r="AX79" s="200"/>
      <c r="BB79" s="17"/>
      <c r="BC79" s="199"/>
    </row>
    <row r="80" spans="1:66">
      <c r="A80" s="3" t="s">
        <v>241</v>
      </c>
      <c r="B80" s="199" cm="1">
        <f t="array" ref="B80">INDEX('[3]Canada Corn Exports'!$CC$290:$UR$290,1,ROW(A27))/1000</f>
        <v>1.4299999999999998E-4</v>
      </c>
      <c r="C80" s="199" cm="1">
        <f t="array" ref="C80">INDEX('[3]Canada Corn Exports'!$CO$290:$UR$290,1,ROW(A27))/1000</f>
        <v>8.9999999999999985E-6</v>
      </c>
      <c r="D80" s="199" cm="1">
        <f t="array" ref="D80">INDEX('[3]Canada Corn Exports'!$DA$290:$UR$290,1,ROW(A27))/1000</f>
        <v>1.34E-4</v>
      </c>
      <c r="E80" s="199" cm="1">
        <f t="array" ref="E80">INDEX('[3]Canada Corn Exports'!$DM$290:$UR$290,1,ROW(A27))/1000</f>
        <v>0</v>
      </c>
      <c r="F80" s="199" cm="1">
        <f t="array" ref="F80">INDEX('[3]Canada Corn Exports'!$DY$290:$UR$290,1,ROW(A27))/1000</f>
        <v>0</v>
      </c>
      <c r="G80" s="199" cm="1">
        <f t="array" ref="G80">INDEX('[3]Canada Corn Exports'!$EK$290:$UR$290,1,ROW(A27))/1000</f>
        <v>0</v>
      </c>
      <c r="H80" s="199" cm="1">
        <f t="array" ref="H80">INDEX('[3]Canada Corn Exports'!$EW$290:$UR$290,1,ROW(A27))/1000</f>
        <v>0</v>
      </c>
      <c r="I80" s="199" cm="1">
        <f t="array" ref="I80">INDEX('[3]Canada Corn Exports'!$FI$290:$UR$290,1,ROW(A27))/1000</f>
        <v>2.1600000000000001E-6</v>
      </c>
      <c r="J80" s="199" cm="1">
        <f t="array" ref="J80">INDEX('[3]Canada Corn Exports'!$FU$290:$UR$290,1,ROW(A27))/1000</f>
        <v>0</v>
      </c>
      <c r="K80" s="199" cm="1">
        <f t="array" ref="K80">INDEX('[3]Canada Corn Exports'!$GG$290:$UR$290,1,ROW(A27))/1000</f>
        <v>5.5999999999999993E-7</v>
      </c>
      <c r="L80" s="199" cm="1">
        <f t="array" ref="L80">INDEX('[3]Canada Corn Exports'!$GS$290:$UR$290,1,ROW(A27))/1000</f>
        <v>5.1365000000000004E-4</v>
      </c>
      <c r="M80" s="199" cm="1">
        <f t="array" ref="M80">INDEX('[3]Canada Corn Exports'!$HE$290:$UR$290,1,ROW(A27))/1000</f>
        <v>4.2206000000000002E-5</v>
      </c>
      <c r="N80" s="199" cm="1">
        <f t="array" ref="N80">INDEX('[3]Canada Corn Exports'!$HQ$290:$UR$290,1,ROW(A27))/1000</f>
        <v>2.7231000000000001E-5</v>
      </c>
      <c r="O80" s="199" cm="1">
        <f t="array" ref="O80">INDEX('[3]Canada Corn Exports'!$IC$290:$UR$290,1,ROW(A27))/1000</f>
        <v>1.9038799999999999E-4</v>
      </c>
      <c r="P80" s="199" cm="1">
        <f t="array" ref="P80">INDEX('[3]Canada Corn Exports'!$IO$290:$UR$290,1,ROW(A27))/1000</f>
        <v>1.38949E-4</v>
      </c>
      <c r="Q80" s="199" cm="1">
        <f t="array" ref="Q80">INDEX('[3]Canada Corn Exports'!$JA$290:$UR$290,1,ROW(A27))/1000</f>
        <v>1.8177299999999998E-4</v>
      </c>
      <c r="R80" s="199" cm="1">
        <f t="array" ref="R80">INDEX('[3]Canada Corn Exports'!$JM$290:$UR$290,1,ROW(A27))/1000</f>
        <v>1.4033399999999999E-4</v>
      </c>
      <c r="S80" s="199" cm="1">
        <f t="array" ref="S80">INDEX('[3]Canada Corn Exports'!$JY$290:$UR$290,1,ROW(A27))/1000</f>
        <v>8.8511999999999996E-5</v>
      </c>
      <c r="T80" s="199" cm="1">
        <f t="array" ref="T80">INDEX('[3]Canada Corn Exports'!$KK$290:$UR$290,1,ROW(A27))/1000</f>
        <v>0.197611447</v>
      </c>
      <c r="U80" s="199" cm="1">
        <f t="array" ref="U80">INDEX('[3]Canada Corn Exports'!$KW$290:$UR$290,1,ROW(A27))/1000</f>
        <v>6.5880499999999994E-4</v>
      </c>
      <c r="V80" s="199" cm="1">
        <f t="array" ref="V80">INDEX('[3]Canada Corn Exports'!$LI$290:$UR$290,1,ROW(A27))/1000</f>
        <v>4.2059999999999998E-4</v>
      </c>
      <c r="W80" s="199" cm="1">
        <f t="array" ref="W80">INDEX('[3]Canada Corn Exports'!$LU$290:$UR$290,1,ROW(A27))/1000</f>
        <v>2.6373000000000001E-2</v>
      </c>
      <c r="X80" s="199" cm="1">
        <f t="array" ref="X80">INDEX('[3]Canada Corn Exports'!$MG$290:$UR$290,1,ROW(A27))/1000</f>
        <v>0.163774</v>
      </c>
      <c r="Y80" s="199" cm="1">
        <f t="array" ref="Y80">INDEX('[3]Canada Corn Exports'!$MS$290:$UR$290,1,ROW(A10))</f>
        <v>188.81700000000001</v>
      </c>
      <c r="Z80" s="199" cm="1">
        <f t="array" ref="Z80">INDEX('[3]Canada Corn Exports'!$NE$290:$UR$290,1,ROW(A10))</f>
        <v>213.874</v>
      </c>
      <c r="AA80" s="199" cm="1">
        <f t="array" ref="AA80">INDEX('[3]Canada Corn Exports'!$NQ$290:$UR$290,1,ROW(A10))</f>
        <v>227.494</v>
      </c>
      <c r="AB80" s="199" cm="1">
        <f t="array" ref="AB80">INDEX('[3]Canada Corn Exports'!$OC$290:$UR$290,1,ROW(A10))</f>
        <v>438.75599999999997</v>
      </c>
      <c r="AC80" s="199" cm="1">
        <f t="array" ref="AC80">INDEX('[3]Canada Corn Exports'!$OO$290:$UR$290,1,ROW(A10))</f>
        <v>365.66800000000001</v>
      </c>
      <c r="AD80" s="200">
        <f t="shared" si="82"/>
        <v>263.01517182503818</v>
      </c>
      <c r="AE80" s="200">
        <f t="shared" si="82"/>
        <v>282.86415196494823</v>
      </c>
      <c r="AF80" s="200">
        <f t="shared" si="79"/>
        <v>338.70679304543205</v>
      </c>
      <c r="AG80" s="200">
        <f t="shared" si="80"/>
        <v>307.29544161229904</v>
      </c>
      <c r="AH80" s="200">
        <f t="shared" si="81"/>
        <v>324.28902330465428</v>
      </c>
      <c r="AI80" s="200">
        <f t="shared" si="81"/>
        <v>321.70596874702051</v>
      </c>
      <c r="AJ80" s="200">
        <f t="shared" si="81"/>
        <v>312.15276683137063</v>
      </c>
      <c r="AK80" s="200">
        <f t="shared" si="81"/>
        <v>359.96831512556662</v>
      </c>
      <c r="AL80" s="200">
        <f t="shared" si="81"/>
        <v>387.98046355404824</v>
      </c>
      <c r="AM80" s="200">
        <f t="shared" si="81"/>
        <v>406.35287890522767</v>
      </c>
      <c r="AN80" s="200">
        <f t="shared" si="81"/>
        <v>422.74958452880077</v>
      </c>
      <c r="AO80" s="200">
        <f t="shared" si="81"/>
        <v>435.77017984650234</v>
      </c>
      <c r="AP80" s="200">
        <f t="shared" si="81"/>
        <v>464.80416093091611</v>
      </c>
      <c r="AQ80" s="200">
        <f t="shared" si="81"/>
        <v>488.18430010227411</v>
      </c>
      <c r="AR80" s="200">
        <f t="shared" si="81"/>
        <v>525.65960547370446</v>
      </c>
      <c r="AS80" s="200">
        <f t="shared" si="81"/>
        <v>563.86299262213254</v>
      </c>
      <c r="AT80" s="200">
        <f t="shared" si="81"/>
        <v>563.62568268863299</v>
      </c>
      <c r="AU80" s="200">
        <f t="shared" si="81"/>
        <v>563.24573613080213</v>
      </c>
      <c r="AV80" s="200">
        <f t="shared" si="81"/>
        <v>600.83844191761614</v>
      </c>
      <c r="AW80" s="200">
        <f t="shared" si="81"/>
        <v>638.58099151803174</v>
      </c>
      <c r="AX80" s="200"/>
      <c r="BB80" s="17"/>
      <c r="BC80" s="199"/>
    </row>
    <row r="81" spans="1:65">
      <c r="A81" s="3" t="s">
        <v>242</v>
      </c>
      <c r="B81" s="199" cm="1">
        <f t="array" ref="B81">INDEX('[3]Canada Corn Exports'!$CC$290:$UR$290,1,ROW(A28))/1000</f>
        <v>6.0999999999999999E-5</v>
      </c>
      <c r="C81" s="199" cm="1">
        <f t="array" ref="C81">INDEX('[3]Canada Corn Exports'!$CO$290:$UR$290,1,ROW(A28))/1000</f>
        <v>1.9999999999999999E-6</v>
      </c>
      <c r="D81" s="199" cm="1">
        <f t="array" ref="D81">INDEX('[3]Canada Corn Exports'!$DA$290:$UR$290,1,ROW(A28))/1000</f>
        <v>5.0000000000000004E-6</v>
      </c>
      <c r="E81" s="199" cm="1">
        <f t="array" ref="E81">INDEX('[3]Canada Corn Exports'!$DM$290:$UR$290,1,ROW(A28))/1000</f>
        <v>0</v>
      </c>
      <c r="F81" s="199" cm="1">
        <f t="array" ref="F81">INDEX('[3]Canada Corn Exports'!$DY$290:$UR$290,1,ROW(A28))/1000</f>
        <v>1.2599999999999999E-7</v>
      </c>
      <c r="G81" s="199" cm="1">
        <f t="array" ref="G81">INDEX('[3]Canada Corn Exports'!$EK$290:$UR$290,1,ROW(A28))/1000</f>
        <v>0</v>
      </c>
      <c r="H81" s="199" cm="1">
        <f t="array" ref="H81">INDEX('[3]Canada Corn Exports'!$EW$290:$UR$290,1,ROW(A28))/1000</f>
        <v>0</v>
      </c>
      <c r="I81" s="199" cm="1">
        <f t="array" ref="I81">INDEX('[3]Canada Corn Exports'!$FI$290:$UR$290,1,ROW(A28))/1000</f>
        <v>8.9999999999999995E-9</v>
      </c>
      <c r="J81" s="199" cm="1">
        <f t="array" ref="J81">INDEX('[3]Canada Corn Exports'!$FU$290:$UR$290,1,ROW(A28))/1000</f>
        <v>0</v>
      </c>
      <c r="K81" s="199" cm="1">
        <f t="array" ref="K81">INDEX('[3]Canada Corn Exports'!$GG$290:$UR$290,1,ROW(A28))/1000</f>
        <v>0</v>
      </c>
      <c r="L81" s="199" cm="1">
        <f t="array" ref="L81">INDEX('[3]Canada Corn Exports'!$GS$290:$UR$290,1,ROW(A28))/1000</f>
        <v>2.0797059999999997E-3</v>
      </c>
      <c r="M81" s="199" cm="1">
        <f t="array" ref="M81">INDEX('[3]Canada Corn Exports'!$HE$290:$UR$290,1,ROW(A28))/1000</f>
        <v>4.0869999999999993E-5</v>
      </c>
      <c r="N81" s="199" cm="1">
        <f t="array" ref="N81">INDEX('[3]Canada Corn Exports'!$HQ$290:$UR$290,1,ROW(A28))/1000</f>
        <v>6.1367999999999999E-5</v>
      </c>
      <c r="O81" s="199" cm="1">
        <f t="array" ref="O81">INDEX('[3]Canada Corn Exports'!$IC$290:$UR$290,1,ROW(A28))/1000</f>
        <v>8.2594000000000002E-5</v>
      </c>
      <c r="P81" s="199" cm="1">
        <f t="array" ref="P81">INDEX('[3]Canada Corn Exports'!$IO$290:$UR$290,1,ROW(A28))/1000</f>
        <v>9.1099000000000003E-5</v>
      </c>
      <c r="Q81" s="199" cm="1">
        <f t="array" ref="Q81">INDEX('[3]Canada Corn Exports'!$JA$290:$UR$290,1,ROW(A28))/1000</f>
        <v>1.4976E-4</v>
      </c>
      <c r="R81" s="199" cm="1">
        <f t="array" ref="R81">INDEX('[3]Canada Corn Exports'!$JM$290:$UR$290,1,ROW(A28))/1000</f>
        <v>2.5173200000000001E-4</v>
      </c>
      <c r="S81" s="199" cm="1">
        <f t="array" ref="S81">INDEX('[3]Canada Corn Exports'!$JY$290:$UR$290,1,ROW(A28))/1000</f>
        <v>5.2638999999999995E-5</v>
      </c>
      <c r="T81" s="199" cm="1">
        <f t="array" ref="T81">INDEX('[3]Canada Corn Exports'!$KK$290:$UR$290,1,ROW(A28))/1000</f>
        <v>4.3198500000000002E-4</v>
      </c>
      <c r="U81" s="199" cm="1">
        <f t="array" ref="U81">INDEX('[3]Canada Corn Exports'!$KW$290:$UR$290,1,ROW(A28))/1000</f>
        <v>4.2616799999999999E-4</v>
      </c>
      <c r="V81" s="199" cm="1">
        <f t="array" ref="V81">INDEX('[3]Canada Corn Exports'!$LI$290:$UR$290,1,ROW(A28))/1000</f>
        <v>7.7713000000000006E-5</v>
      </c>
      <c r="W81" s="199" cm="1">
        <f t="array" ref="W81">INDEX('[3]Canada Corn Exports'!$LU$290:$UR$290,1,ROW(A28))/1000</f>
        <v>2.7667000000000001E-2</v>
      </c>
      <c r="X81" s="199" cm="1">
        <f t="array" ref="X81">INDEX('[3]Canada Corn Exports'!$MG$290:$UR$290,1,ROW(A28))/1000</f>
        <v>0.27892299999999998</v>
      </c>
      <c r="Y81" s="199" cm="1">
        <f t="array" ref="Y81">INDEX('[3]Canada Corn Exports'!$MS$290:$UR$290,1,ROW(A11))</f>
        <v>110.773</v>
      </c>
      <c r="Z81" s="199" cm="1">
        <f t="array" ref="Z81">INDEX('[3]Canada Corn Exports'!$NE$290:$UR$290,1,ROW(A11))</f>
        <v>65.653999999999996</v>
      </c>
      <c r="AA81" s="199" cm="1">
        <f t="array" ref="AA81">INDEX('[3]Canada Corn Exports'!$NQ$290:$UR$290,1,ROW(A11))</f>
        <v>31.337</v>
      </c>
      <c r="AB81" s="199" cm="1">
        <f t="array" ref="AB81">INDEX('[3]Canada Corn Exports'!$OC$290:$UR$290,1,ROW(A11))</f>
        <v>295.142</v>
      </c>
      <c r="AC81" s="199" cm="1">
        <f t="array" ref="AC81">INDEX('[3]Canada Corn Exports'!$OO$290:$UR$290,1,ROW(A11))</f>
        <v>260.90899999999999</v>
      </c>
      <c r="AD81" s="200">
        <f t="shared" si="82"/>
        <v>123.79073800919501</v>
      </c>
      <c r="AE81" s="200">
        <f t="shared" si="82"/>
        <v>150.60262568623713</v>
      </c>
      <c r="AF81" s="200">
        <f t="shared" si="79"/>
        <v>174.38843765935394</v>
      </c>
      <c r="AG81" s="200">
        <f t="shared" si="80"/>
        <v>167.84252371142082</v>
      </c>
      <c r="AH81" s="200">
        <f t="shared" si="81"/>
        <v>192.92735104888396</v>
      </c>
      <c r="AI81" s="200">
        <f t="shared" si="81"/>
        <v>181.25118839208633</v>
      </c>
      <c r="AJ81" s="200">
        <f t="shared" si="81"/>
        <v>166.67240390604815</v>
      </c>
      <c r="AK81" s="200">
        <f t="shared" si="81"/>
        <v>198.17420034239592</v>
      </c>
      <c r="AL81" s="200">
        <f t="shared" si="81"/>
        <v>213.58260021081506</v>
      </c>
      <c r="AM81" s="200">
        <f t="shared" si="81"/>
        <v>226.7169168502088</v>
      </c>
      <c r="AN81" s="200">
        <f t="shared" si="81"/>
        <v>236.04439671864094</v>
      </c>
      <c r="AO81" s="200">
        <f t="shared" si="81"/>
        <v>240.38253765836197</v>
      </c>
      <c r="AP81" s="200">
        <f t="shared" si="81"/>
        <v>256.16592110215379</v>
      </c>
      <c r="AQ81" s="200">
        <f t="shared" si="81"/>
        <v>270.40500882734131</v>
      </c>
      <c r="AR81" s="200">
        <f t="shared" si="81"/>
        <v>291.14349672983201</v>
      </c>
      <c r="AS81" s="200">
        <f t="shared" si="81"/>
        <v>312.63935114153566</v>
      </c>
      <c r="AT81" s="200">
        <f t="shared" si="81"/>
        <v>312.09196809557807</v>
      </c>
      <c r="AU81" s="200">
        <f t="shared" si="81"/>
        <v>311.53098078618746</v>
      </c>
      <c r="AV81" s="200">
        <f t="shared" si="81"/>
        <v>332.55233334788267</v>
      </c>
      <c r="AW81" s="200">
        <f t="shared" si="81"/>
        <v>353.64977353983426</v>
      </c>
      <c r="AX81" s="200"/>
      <c r="BB81" s="199"/>
      <c r="BC81" s="199"/>
    </row>
    <row r="82" spans="1:65">
      <c r="A82" s="3" t="s">
        <v>243</v>
      </c>
      <c r="B82" s="199" cm="1">
        <f t="array" ref="B82">INDEX('[3]Canada Corn Exports'!$CC$290:$UR$290,1,ROW(A29))/1000</f>
        <v>1.7100000000000001E-4</v>
      </c>
      <c r="C82" s="199" cm="1">
        <f t="array" ref="C82">INDEX('[3]Canada Corn Exports'!$CO$290:$UR$290,1,ROW(A29))/1000</f>
        <v>1.4999999999999999E-5</v>
      </c>
      <c r="D82" s="199" cm="1">
        <f t="array" ref="D82">INDEX('[3]Canada Corn Exports'!$DA$290:$UR$290,1,ROW(A29))/1000</f>
        <v>1.1E-5</v>
      </c>
      <c r="E82" s="199" cm="1">
        <f t="array" ref="E82">INDEX('[3]Canada Corn Exports'!$DM$290:$UR$290,1,ROW(A29))/1000</f>
        <v>0</v>
      </c>
      <c r="F82" s="199" cm="1">
        <f t="array" ref="F82">INDEX('[3]Canada Corn Exports'!$DY$290:$UR$290,1,ROW(A29))/1000</f>
        <v>1.6819999999999999E-6</v>
      </c>
      <c r="G82" s="199" cm="1">
        <f t="array" ref="G82">INDEX('[3]Canada Corn Exports'!$EK$290:$UR$290,1,ROW(A29))/1000</f>
        <v>0</v>
      </c>
      <c r="H82" s="199" cm="1">
        <f t="array" ref="H82">INDEX('[3]Canada Corn Exports'!$EW$290:$UR$290,1,ROW(A29))/1000</f>
        <v>0</v>
      </c>
      <c r="I82" s="199" cm="1">
        <f t="array" ref="I82">INDEX('[3]Canada Corn Exports'!$FI$290:$UR$290,1,ROW(A29))/1000</f>
        <v>0</v>
      </c>
      <c r="J82" s="199" cm="1">
        <f t="array" ref="J82">INDEX('[3]Canada Corn Exports'!$FU$290:$UR$290,1,ROW(A29))/1000</f>
        <v>0</v>
      </c>
      <c r="K82" s="199" cm="1">
        <f t="array" ref="K82">INDEX('[3]Canada Corn Exports'!$GG$290:$UR$290,1,ROW(A29))/1000</f>
        <v>1.1999999999999999E-6</v>
      </c>
      <c r="L82" s="199" cm="1">
        <f t="array" ref="L82">INDEX('[3]Canada Corn Exports'!$GS$290:$UR$290,1,ROW(A29))/1000</f>
        <v>1.2829740000000001E-3</v>
      </c>
      <c r="M82" s="199" cm="1">
        <f t="array" ref="M82">INDEX('[3]Canada Corn Exports'!$HE$290:$UR$290,1,ROW(A29))/1000</f>
        <v>3.0429E-5</v>
      </c>
      <c r="N82" s="199" cm="1">
        <f t="array" ref="N82">INDEX('[3]Canada Corn Exports'!$HQ$290:$UR$290,1,ROW(A29))/1000</f>
        <v>4.2132000000000003E-5</v>
      </c>
      <c r="O82" s="199" cm="1">
        <f t="array" ref="O82">INDEX('[3]Canada Corn Exports'!$IC$290:$UR$290,1,ROW(A29))/1000</f>
        <v>1.5682899999999999E-4</v>
      </c>
      <c r="P82" s="199" cm="1">
        <f t="array" ref="P82">INDEX('[3]Canada Corn Exports'!$IO$290:$UR$290,1,ROW(A29))/1000</f>
        <v>1.38498E-4</v>
      </c>
      <c r="Q82" s="199" cm="1">
        <f t="array" ref="Q82">INDEX('[3]Canada Corn Exports'!$JA$290:$UR$290,1,ROW(A29))/1000</f>
        <v>2.4326400000000001E-4</v>
      </c>
      <c r="R82" s="199" cm="1">
        <f t="array" ref="R82">INDEX('[3]Canada Corn Exports'!$JM$290:$UR$290,1,ROW(A29))/1000</f>
        <v>1.3048299999999998E-4</v>
      </c>
      <c r="S82" s="199" cm="1">
        <f t="array" ref="S82">INDEX('[3]Canada Corn Exports'!$JY$290:$UR$290,1,ROW(A29))/1000</f>
        <v>1.80237E-4</v>
      </c>
      <c r="T82" s="199" cm="1">
        <f t="array" ref="T82">INDEX('[3]Canada Corn Exports'!$KK$290:$UR$290,1,ROW(A29))/1000</f>
        <v>7.7599E-5</v>
      </c>
      <c r="U82" s="199" cm="1">
        <f t="array" ref="U82">INDEX('[3]Canada Corn Exports'!$KW$290:$UR$290,1,ROW(A29))/1000</f>
        <v>5.1149599999999996E-4</v>
      </c>
      <c r="V82" s="199" cm="1">
        <f t="array" ref="V82">INDEX('[3]Canada Corn Exports'!$LI$290:$UR$290,1,ROW(A29))/1000</f>
        <v>2.2604E-4</v>
      </c>
      <c r="W82" s="199" cm="1">
        <f t="array" ref="W82">INDEX('[3]Canada Corn Exports'!$LU$290:$UR$290,1,ROW(A29))/1000</f>
        <v>3.2906999999999999E-2</v>
      </c>
      <c r="X82" s="199" cm="1">
        <f t="array" ref="X82">INDEX('[3]Canada Corn Exports'!$MG$290:$UR$290,1,ROW(A29))/1000</f>
        <v>6.5197999999999992E-2</v>
      </c>
      <c r="Y82" s="199" cm="1">
        <f t="array" ref="Y82">INDEX('[3]Canada Corn Exports'!$MS$290:$UR$290,1,ROW(A12))</f>
        <v>32.973999999999997</v>
      </c>
      <c r="Z82" s="199" cm="1">
        <f t="array" ref="Z82">INDEX('[3]Canada Corn Exports'!$NE$290:$UR$290,1,ROW(A12))</f>
        <v>21.331</v>
      </c>
      <c r="AA82" s="199" cm="1">
        <f t="array" ref="AA82">INDEX('[3]Canada Corn Exports'!$NQ$290:$UR$290,1,ROW(A12))</f>
        <v>108.46599999999999</v>
      </c>
      <c r="AB82" s="199" cm="1">
        <f t="array" ref="AB82">INDEX('[3]Canada Corn Exports'!$OC$290:$UR$290,1,ROW(A12))</f>
        <v>115.249</v>
      </c>
      <c r="AC82" s="199" cm="1">
        <f t="array" ref="AC82">INDEX('[3]Canada Corn Exports'!$OO$290:$UR$290,1,ROW(A12))</f>
        <v>196.27600000000001</v>
      </c>
      <c r="AD82" s="200">
        <f t="shared" si="82"/>
        <v>68.412963736302402</v>
      </c>
      <c r="AE82" s="200">
        <f t="shared" si="82"/>
        <v>93.517701213617855</v>
      </c>
      <c r="AF82" s="200">
        <f t="shared" ref="AF82:AH82" si="83">AF83-SUM(AF71:AF81)</f>
        <v>45.564189363678452</v>
      </c>
      <c r="AG82" s="200">
        <f t="shared" si="83"/>
        <v>-5.8042728663708658</v>
      </c>
      <c r="AH82" s="200">
        <f t="shared" si="83"/>
        <v>-17.799048357397169</v>
      </c>
      <c r="AI82" s="200">
        <f>AI83-SUM(AI71:AI81)</f>
        <v>-44.150681582737434</v>
      </c>
      <c r="AJ82" s="200">
        <f>AJ83-SUM(AJ71:AJ81)</f>
        <v>-88.083050759749767</v>
      </c>
      <c r="AK82" s="200">
        <f t="shared" ref="AK82:AW82" si="84">AK83-SUM(AK71:AK81)</f>
        <v>-53.401463739132396</v>
      </c>
      <c r="AL82" s="200">
        <f t="shared" si="84"/>
        <v>-26.670646225739347</v>
      </c>
      <c r="AM82" s="200">
        <f t="shared" si="84"/>
        <v>-52.309629326346567</v>
      </c>
      <c r="AN82" s="200">
        <f t="shared" si="84"/>
        <v>-57.017141049674137</v>
      </c>
      <c r="AO82" s="200">
        <f t="shared" si="84"/>
        <v>-64.486123339306232</v>
      </c>
      <c r="AP82" s="200">
        <f t="shared" si="84"/>
        <v>-68.269364000951555</v>
      </c>
      <c r="AQ82" s="200">
        <f t="shared" si="84"/>
        <v>-61.576586713480992</v>
      </c>
      <c r="AR82" s="200">
        <f t="shared" si="84"/>
        <v>-66.711713744472945</v>
      </c>
      <c r="AS82" s="200">
        <f t="shared" si="84"/>
        <v>-77.201401126210385</v>
      </c>
      <c r="AT82" s="200">
        <f t="shared" si="84"/>
        <v>-76.702796345953175</v>
      </c>
      <c r="AU82" s="200">
        <f t="shared" si="84"/>
        <v>-76.873906573731801</v>
      </c>
      <c r="AV82" s="200">
        <f t="shared" si="84"/>
        <v>-80.798123788142675</v>
      </c>
      <c r="AW82" s="200">
        <f t="shared" si="84"/>
        <v>-84.779567730075541</v>
      </c>
      <c r="AX82" s="200"/>
      <c r="BB82" s="199"/>
      <c r="BC82" s="199"/>
    </row>
    <row r="83" spans="1:65">
      <c r="A83" s="3" t="s">
        <v>85</v>
      </c>
      <c r="B83" s="199">
        <f t="shared" ref="B83:V83" si="85">SUM(B71:B82)</f>
        <v>1.2769999999999999E-3</v>
      </c>
      <c r="C83" s="199">
        <f t="shared" si="85"/>
        <v>2.6600000000000001E-4</v>
      </c>
      <c r="D83" s="199">
        <f t="shared" si="85"/>
        <v>3.3400000000000004E-4</v>
      </c>
      <c r="E83" s="199">
        <f t="shared" si="85"/>
        <v>9.0000000000000002E-6</v>
      </c>
      <c r="F83" s="199">
        <f t="shared" si="85"/>
        <v>1.1696000000000002E-4</v>
      </c>
      <c r="G83" s="199">
        <f t="shared" si="85"/>
        <v>0</v>
      </c>
      <c r="H83" s="199">
        <f t="shared" si="85"/>
        <v>0</v>
      </c>
      <c r="I83" s="199">
        <f t="shared" si="85"/>
        <v>6.8420000000000007E-6</v>
      </c>
      <c r="J83" s="199">
        <f t="shared" si="85"/>
        <v>1.8730000000000001E-6</v>
      </c>
      <c r="K83" s="199">
        <f t="shared" si="85"/>
        <v>3.1114699999999995E-4</v>
      </c>
      <c r="L83" s="199">
        <f t="shared" si="85"/>
        <v>3.881331E-3</v>
      </c>
      <c r="M83" s="199">
        <f t="shared" si="85"/>
        <v>2.4081049999999994E-3</v>
      </c>
      <c r="N83" s="199">
        <f t="shared" si="85"/>
        <v>1.587651E-3</v>
      </c>
      <c r="O83" s="199">
        <f t="shared" si="85"/>
        <v>1.8215120000000002E-3</v>
      </c>
      <c r="P83" s="199">
        <f t="shared" si="85"/>
        <v>1.8526580000000001E-3</v>
      </c>
      <c r="Q83" s="199">
        <f t="shared" si="85"/>
        <v>2.0042850000000002E-3</v>
      </c>
      <c r="R83" s="199">
        <f t="shared" si="85"/>
        <v>1.873806E-3</v>
      </c>
      <c r="S83" s="199">
        <f t="shared" si="85"/>
        <v>1.5373049999999999E-3</v>
      </c>
      <c r="T83" s="199">
        <f t="shared" si="85"/>
        <v>0.200094206</v>
      </c>
      <c r="U83" s="199">
        <f t="shared" si="85"/>
        <v>5.9646370000000001E-3</v>
      </c>
      <c r="V83" s="199">
        <f t="shared" si="85"/>
        <v>4.9934910000000001E-3</v>
      </c>
      <c r="W83" s="199">
        <f t="shared" ref="W83:AC83" si="86">SUM(W71:W82)</f>
        <v>0.133854417</v>
      </c>
      <c r="X83" s="199">
        <f t="shared" si="86"/>
        <v>1.1708149999999999</v>
      </c>
      <c r="Y83" s="199">
        <f t="shared" si="86"/>
        <v>714.35300000000007</v>
      </c>
      <c r="Z83" s="199">
        <f t="shared" si="86"/>
        <v>1535.963</v>
      </c>
      <c r="AA83" s="199">
        <f t="shared" si="86"/>
        <v>2194.8429999999998</v>
      </c>
      <c r="AB83" s="199">
        <f t="shared" si="86"/>
        <v>2870.3149999999996</v>
      </c>
      <c r="AC83" s="199">
        <f t="shared" si="86"/>
        <v>2067.2159999999999</v>
      </c>
      <c r="AD83" s="200">
        <v>1800</v>
      </c>
      <c r="AE83" s="200">
        <v>1850</v>
      </c>
      <c r="AF83" s="200">
        <f t="shared" ref="AF83:AW83" si="87">AF15</f>
        <v>2350</v>
      </c>
      <c r="AG83" s="200">
        <f t="shared" si="87"/>
        <v>2100</v>
      </c>
      <c r="AH83" s="200">
        <f t="shared" si="87"/>
        <v>2100</v>
      </c>
      <c r="AI83" s="200">
        <f t="shared" si="87"/>
        <v>2100</v>
      </c>
      <c r="AJ83" s="200">
        <f t="shared" si="87"/>
        <v>2100</v>
      </c>
      <c r="AK83" s="200">
        <f t="shared" si="87"/>
        <v>2400</v>
      </c>
      <c r="AL83" s="200">
        <f t="shared" si="87"/>
        <v>2600</v>
      </c>
      <c r="AM83" s="200">
        <f t="shared" si="87"/>
        <v>2700</v>
      </c>
      <c r="AN83" s="200">
        <f t="shared" si="87"/>
        <v>2800</v>
      </c>
      <c r="AO83" s="200">
        <f t="shared" si="87"/>
        <v>2900</v>
      </c>
      <c r="AP83" s="200">
        <f t="shared" si="87"/>
        <v>3100</v>
      </c>
      <c r="AQ83" s="200">
        <f t="shared" si="87"/>
        <v>3250</v>
      </c>
      <c r="AR83" s="200">
        <f t="shared" si="87"/>
        <v>3500</v>
      </c>
      <c r="AS83" s="200">
        <f t="shared" si="87"/>
        <v>3750</v>
      </c>
      <c r="AT83" s="200">
        <f t="shared" si="87"/>
        <v>3750</v>
      </c>
      <c r="AU83" s="200">
        <f t="shared" si="87"/>
        <v>3750</v>
      </c>
      <c r="AV83" s="200">
        <f t="shared" si="87"/>
        <v>4000</v>
      </c>
      <c r="AW83" s="200">
        <f t="shared" si="87"/>
        <v>4250</v>
      </c>
      <c r="AX83" s="200"/>
      <c r="AY83" s="200"/>
      <c r="AZ83" s="200"/>
    </row>
    <row r="84" spans="1:65">
      <c r="A84" s="2"/>
      <c r="B84" s="186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2"/>
      <c r="AD84" s="142"/>
      <c r="AE84" s="142"/>
      <c r="AF84" s="142"/>
      <c r="AG84" s="142"/>
      <c r="AH84" s="142"/>
      <c r="AI84" s="142"/>
      <c r="AJ84" s="142"/>
      <c r="AK84" s="142"/>
      <c r="AL84" s="142"/>
      <c r="AM84" s="142"/>
      <c r="AN84" s="142"/>
      <c r="AO84" s="142"/>
      <c r="AP84" s="142"/>
      <c r="AQ84" s="142"/>
      <c r="AR84" s="142"/>
      <c r="AS84" s="142"/>
      <c r="AT84" s="142"/>
      <c r="AU84" s="142"/>
      <c r="AV84" s="2"/>
      <c r="AW84" s="2"/>
    </row>
    <row r="85" spans="1:65" ht="17.25" thickBot="1">
      <c r="A85" s="202" t="s">
        <v>244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BF85" s="192"/>
      <c r="BG85" s="193"/>
      <c r="BH85" s="193"/>
      <c r="BI85" s="193"/>
      <c r="BJ85" s="193"/>
    </row>
    <row r="86" spans="1:65" ht="15" customHeight="1" thickBot="1">
      <c r="A86" s="203"/>
      <c r="B86" s="204" t="s">
        <v>110</v>
      </c>
      <c r="C86" s="204" t="s">
        <v>111</v>
      </c>
      <c r="D86" s="204" t="s">
        <v>112</v>
      </c>
      <c r="E86" s="204" t="s">
        <v>113</v>
      </c>
      <c r="F86" s="204" t="s">
        <v>43</v>
      </c>
      <c r="G86" s="204" t="s">
        <v>44</v>
      </c>
      <c r="H86" s="204" t="s">
        <v>45</v>
      </c>
      <c r="I86" s="204" t="s">
        <v>46</v>
      </c>
      <c r="J86" s="204" t="s">
        <v>47</v>
      </c>
      <c r="K86" s="204" t="s">
        <v>48</v>
      </c>
      <c r="L86" s="204" t="s">
        <v>49</v>
      </c>
      <c r="M86" s="204" t="s">
        <v>50</v>
      </c>
      <c r="N86" s="204" t="s">
        <v>51</v>
      </c>
      <c r="O86" s="204" t="s">
        <v>52</v>
      </c>
      <c r="P86" s="204" t="s">
        <v>53</v>
      </c>
      <c r="Q86" s="204" t="s">
        <v>54</v>
      </c>
      <c r="R86" s="204" t="s">
        <v>55</v>
      </c>
      <c r="S86" s="204" t="s">
        <v>56</v>
      </c>
      <c r="T86" s="204" t="s">
        <v>57</v>
      </c>
      <c r="U86" s="204" t="s">
        <v>58</v>
      </c>
      <c r="V86" s="204" t="s">
        <v>59</v>
      </c>
      <c r="W86" s="204" t="s">
        <v>60</v>
      </c>
      <c r="X86" s="204" t="s">
        <v>61</v>
      </c>
      <c r="Y86" s="205" t="s">
        <v>62</v>
      </c>
      <c r="Z86" s="205" t="s">
        <v>63</v>
      </c>
      <c r="AA86" s="205" t="str">
        <f t="shared" ref="AA86:AW86" si="88">AA2</f>
        <v>21/22</v>
      </c>
      <c r="AB86" s="205" t="str">
        <f t="shared" si="88"/>
        <v>22/23</v>
      </c>
      <c r="AC86" s="205" t="str">
        <f t="shared" si="88"/>
        <v>23/24</v>
      </c>
      <c r="AD86" s="205" t="str">
        <f t="shared" si="88"/>
        <v>24/25</v>
      </c>
      <c r="AE86" s="205" t="str">
        <f t="shared" si="88"/>
        <v>25/26</v>
      </c>
      <c r="AF86" s="205" t="str">
        <f t="shared" si="88"/>
        <v>26/27</v>
      </c>
      <c r="AG86" s="205" t="str">
        <f t="shared" si="88"/>
        <v>27/28</v>
      </c>
      <c r="AH86" s="205" t="str">
        <f t="shared" si="88"/>
        <v>28/29</v>
      </c>
      <c r="AI86" s="205" t="str">
        <f t="shared" si="88"/>
        <v>29/30</v>
      </c>
      <c r="AJ86" s="205" t="str">
        <f t="shared" si="88"/>
        <v>30/31</v>
      </c>
      <c r="AK86" s="205" t="str">
        <f t="shared" si="88"/>
        <v>31/32</v>
      </c>
      <c r="AL86" s="205" t="str">
        <f t="shared" si="88"/>
        <v>32/33</v>
      </c>
      <c r="AM86" s="205" t="str">
        <f t="shared" si="88"/>
        <v>33/34</v>
      </c>
      <c r="AN86" s="205" t="str">
        <f t="shared" si="88"/>
        <v>34/35</v>
      </c>
      <c r="AO86" s="205" t="str">
        <f t="shared" si="88"/>
        <v>35/36</v>
      </c>
      <c r="AP86" s="205" t="str">
        <f t="shared" si="88"/>
        <v>36/37</v>
      </c>
      <c r="AQ86" s="205" t="str">
        <f t="shared" si="88"/>
        <v>37/38</v>
      </c>
      <c r="AR86" s="205" t="str">
        <f t="shared" si="88"/>
        <v>38/39</v>
      </c>
      <c r="AS86" s="205" t="str">
        <f t="shared" si="88"/>
        <v>39/40</v>
      </c>
      <c r="AT86" s="205" t="str">
        <f t="shared" si="88"/>
        <v>40/41</v>
      </c>
      <c r="AU86" s="205" t="str">
        <f t="shared" si="88"/>
        <v>41/42</v>
      </c>
      <c r="AV86" s="205" t="str">
        <f t="shared" si="88"/>
        <v>42/43</v>
      </c>
      <c r="AW86" s="205" t="str">
        <f t="shared" si="88"/>
        <v>43/44</v>
      </c>
      <c r="AX86" s="197"/>
      <c r="AY86" s="197"/>
      <c r="AZ86" s="197"/>
      <c r="BF86" s="192"/>
      <c r="BG86" s="198"/>
      <c r="BH86" s="198"/>
      <c r="BI86" s="198"/>
      <c r="BJ86" s="198"/>
      <c r="BK86" s="198"/>
    </row>
    <row r="87" spans="1:65" ht="13.5">
      <c r="A87" s="2" t="s">
        <v>233</v>
      </c>
      <c r="B87" s="180" cm="1">
        <f t="array" ref="B87">INDEX('[3]Canada Corn Imports'!$CC$290:$UR$290,1,ROW(A1))/1000</f>
        <v>0</v>
      </c>
      <c r="C87" s="180" cm="1">
        <f t="array" ref="C87">INDEX('[3]Canada Corn Imports'!$CO$290:$UR$290,1,ROW(A1))/1000</f>
        <v>1.7E-5</v>
      </c>
      <c r="D87" s="180" cm="1">
        <f t="array" ref="D87">INDEX('[3]Canada Corn Imports'!$DA$290:$UR$290,1,ROW(A1))/1000</f>
        <v>6.6000000000000005E-5</v>
      </c>
      <c r="E87" s="180" cm="1">
        <f t="array" ref="E87">INDEX('[3]Canada Corn Imports'!$DM$290:$UR$290,1,ROW(A1))/1000</f>
        <v>1.2999999999999999E-5</v>
      </c>
      <c r="F87" s="180" cm="1">
        <f t="array" ref="F87">INDEX('[3]Canada Corn Imports'!$DY$290:$UR$290,1,ROW(A1))/1000</f>
        <v>0</v>
      </c>
      <c r="G87" s="180" cm="1">
        <f t="array" ref="G87">INDEX('[3]Canada Corn Imports'!$EK$290:$UR$290,1,ROW(A1))/1000</f>
        <v>0</v>
      </c>
      <c r="H87" s="180" cm="1">
        <f t="array" ref="H87">INDEX('[3]Canada Corn Imports'!$EW$290:$UR$290,1,ROW(A1))/1000</f>
        <v>0</v>
      </c>
      <c r="I87" s="180" cm="1">
        <f t="array" ref="I87">INDEX('[3]Canada Corn Imports'!$FI$290:$UR$290,1,ROW(A1))/1000</f>
        <v>0</v>
      </c>
      <c r="J87" s="180" cm="1">
        <f t="array" ref="J87">INDEX('[3]Canada Corn Imports'!$FU$290:$UR$290,1,ROW(A1))/1000</f>
        <v>0</v>
      </c>
      <c r="K87" s="180" cm="1">
        <f t="array" ref="K87">INDEX('[3]Canada Corn Imports'!$GG$290:$UR$290,1,ROW(A1))/1000</f>
        <v>0</v>
      </c>
      <c r="L87" s="180" cm="1">
        <f t="array" ref="L87">INDEX('[3]Canada Corn Imports'!$GS$290:$UR$290,1,ROW(A1))/1000</f>
        <v>1.0999999999999999E-8</v>
      </c>
      <c r="M87" s="180" cm="1">
        <f t="array" ref="M87">INDEX('[3]Canada Corn Imports'!$HE$290:$UR$290,1,ROW(A1))/1000</f>
        <v>2.0000000000000002E-7</v>
      </c>
      <c r="N87" s="180" cm="1">
        <f t="array" ref="N87">INDEX('[3]Canada Corn Imports'!$HQ$290:$UR$290,1,ROW(A1))/1000</f>
        <v>1.7000000000000001E-7</v>
      </c>
      <c r="O87" s="180" cm="1">
        <f t="array" ref="O87">INDEX('[3]Canada Corn Imports'!$IC$290:$UR$290,1,ROW(A1))/1000</f>
        <v>2.5795E-5</v>
      </c>
      <c r="P87" s="180" cm="1">
        <f t="array" ref="P87">INDEX('[3]Canada Corn Imports'!$IO$290:$UR$290,1,ROW(A1))/1000</f>
        <v>2.8208499999999995E-4</v>
      </c>
      <c r="Q87" s="180" cm="1">
        <f t="array" ref="Q87">INDEX('[3]Canada Corn Imports'!$JA$290:$UR$290,1,ROW(A1))/1000</f>
        <v>1.43256E-4</v>
      </c>
      <c r="R87" s="180" cm="1">
        <f t="array" ref="R87">INDEX('[3]Canada Corn Imports'!$JM$290:$UR$290,1,ROW(A1))/1000</f>
        <v>2.3590199999999999E-4</v>
      </c>
      <c r="S87" s="180" cm="1">
        <f t="array" ref="S87">INDEX('[3]Canada Corn Imports'!$JY$290:$UR$290,1,ROW(A1))/1000</f>
        <v>1.2991599999999999E-4</v>
      </c>
      <c r="T87" s="180" cm="1">
        <f t="array" ref="T87">INDEX('[3]Canada Corn Imports'!$KK$290:$UR$290,1,ROW(A1))/1000</f>
        <v>1.3762E-4</v>
      </c>
      <c r="U87" s="180" cm="1">
        <f t="array" ref="U87">INDEX('[3]Canada Corn Imports'!$KW$290:$UR$290,1,ROW(A1))/1000</f>
        <v>9.1932E-5</v>
      </c>
      <c r="V87" s="180" cm="1">
        <f t="array" ref="V87">INDEX('[3]Canada Corn Imports'!$LI$290:$UR$290,1,ROW(A1))/1000</f>
        <v>2.3917400000000001E-4</v>
      </c>
      <c r="W87" s="180" cm="1">
        <f t="array" ref="W87">INDEX('[3]Canada Corn Imports'!$LU$290:$UR$290,1,ROW(A1))/1000</f>
        <v>8.9465900000000001E-4</v>
      </c>
      <c r="X87" s="180" cm="1">
        <f t="array" ref="X87">INDEX('[3]Canada Corn Imports'!$MG$290:$UR$290,1,ROW(A1))/1000</f>
        <v>3.54328E-4</v>
      </c>
      <c r="Y87" s="180" cm="1">
        <f t="array" ref="Y87">INDEX('[3]Canada Corn Imports'!$MS$290:$UR$290,1,ROW(A1))</f>
        <v>166.57</v>
      </c>
      <c r="Z87" s="180" cm="1">
        <f t="array" ref="Z87">INDEX('[3]Canada Corn Imports'!$NE$290:$UR$290,1,ROW(A1))</f>
        <v>191.755</v>
      </c>
      <c r="AA87" s="180" cm="1">
        <f t="array" ref="AA87">INDEX('[3]Canada Corn Imports'!$NQ$290:$UR$290,1,ROW(A1))</f>
        <v>167.37299999999999</v>
      </c>
      <c r="AB87" s="180" cm="1">
        <f t="array" ref="AB87">INDEX('[3]Canada Corn Imports'!$OC$290:$UR$290,1,ROW(A1))</f>
        <v>101.88</v>
      </c>
      <c r="AC87" s="180" cm="1">
        <f t="array" ref="AC87">INDEX('[3]Canada Corn Imports'!$OO$290:$UR$290,1,ROW(A1))</f>
        <v>224.61799999999999</v>
      </c>
      <c r="AD87" s="180" cm="1">
        <f t="array" ref="AD87">INDEX('[3]Canada Corn Imports'!$PA$290:$ZZ$290,1,ROW(A1))</f>
        <v>160.33199999999999</v>
      </c>
      <c r="AE87" s="206">
        <f t="shared" ref="AE87:AE90" si="89">(SUM(Z87:AD87)/SUM(Z$99:AD$99))*AE$99</f>
        <v>135.37241417067699</v>
      </c>
      <c r="AF87" s="206" t="e">
        <f t="shared" ref="AF87:AH87" si="90">(SUM(X87:AB87)/SUM(X$99:AB$99))*AF$99</f>
        <v>#REF!</v>
      </c>
      <c r="AG87" s="206" t="e">
        <f t="shared" si="90"/>
        <v>#REF!</v>
      </c>
      <c r="AH87" s="206" t="e">
        <f t="shared" si="90"/>
        <v>#REF!</v>
      </c>
      <c r="AI87" s="206" t="e">
        <f>(SUM(AA87:AE87)/SUM(AA$99:AE$99))*AI$99</f>
        <v>#REF!</v>
      </c>
      <c r="AJ87" s="206" t="e">
        <f>(SUM(AB87:AF87)/SUM(AB$99:AF$99))*AJ$99</f>
        <v>#REF!</v>
      </c>
      <c r="AK87" s="206" t="e">
        <f t="shared" ref="AK87:AW87" si="91">(SUM(AC87:AG87)/SUM(AC$99:AG$99))*AK$99</f>
        <v>#REF!</v>
      </c>
      <c r="AL87" s="206" t="e">
        <f t="shared" si="91"/>
        <v>#REF!</v>
      </c>
      <c r="AM87" s="206" t="e">
        <f t="shared" si="91"/>
        <v>#REF!</v>
      </c>
      <c r="AN87" s="206" t="e">
        <f t="shared" si="91"/>
        <v>#REF!</v>
      </c>
      <c r="AO87" s="206" t="e">
        <f t="shared" si="91"/>
        <v>#REF!</v>
      </c>
      <c r="AP87" s="206" t="e">
        <f t="shared" si="91"/>
        <v>#REF!</v>
      </c>
      <c r="AQ87" s="206" t="e">
        <f t="shared" si="91"/>
        <v>#REF!</v>
      </c>
      <c r="AR87" s="206" t="e">
        <f t="shared" si="91"/>
        <v>#REF!</v>
      </c>
      <c r="AS87" s="206" t="e">
        <f t="shared" si="91"/>
        <v>#REF!</v>
      </c>
      <c r="AT87" s="206" t="e">
        <f t="shared" si="91"/>
        <v>#REF!</v>
      </c>
      <c r="AU87" s="206" t="e">
        <f t="shared" si="91"/>
        <v>#REF!</v>
      </c>
      <c r="AV87" s="206" t="e">
        <f t="shared" si="91"/>
        <v>#REF!</v>
      </c>
      <c r="AW87" s="206" t="e">
        <f t="shared" si="91"/>
        <v>#REF!</v>
      </c>
      <c r="AX87" s="200"/>
      <c r="AY87" s="200"/>
      <c r="AZ87" s="200"/>
      <c r="BF87" s="192"/>
      <c r="BG87" s="207"/>
      <c r="BH87" s="207"/>
      <c r="BI87" s="207"/>
      <c r="BJ87" s="207"/>
      <c r="BL87" s="208"/>
      <c r="BM87" s="208"/>
    </row>
    <row r="88" spans="1:65" ht="13.5">
      <c r="A88" s="2" t="s">
        <v>234</v>
      </c>
      <c r="B88" s="180" cm="1">
        <f t="array" ref="B88">INDEX('[3]Canada Corn Imports'!$CC$290:$UR$290,1,ROW(A2))/1000</f>
        <v>0</v>
      </c>
      <c r="C88" s="180" cm="1">
        <f t="array" ref="C88">INDEX('[3]Canada Corn Imports'!$CO$290:$UR$290,1,ROW(A2))/1000</f>
        <v>2.5999999999999998E-5</v>
      </c>
      <c r="D88" s="180" cm="1">
        <f t="array" ref="D88">INDEX('[3]Canada Corn Imports'!$DA$290:$UR$290,1,ROW(A2))/1000</f>
        <v>1.0899999999999999E-4</v>
      </c>
      <c r="E88" s="180" cm="1">
        <f t="array" ref="E88">INDEX('[3]Canada Corn Imports'!$DM$290:$UR$290,1,ROW(A2))/1000</f>
        <v>2.6999999999999999E-5</v>
      </c>
      <c r="F88" s="180" cm="1">
        <f t="array" ref="F88">INDEX('[3]Canada Corn Imports'!$DY$290:$UR$290,1,ROW(A2))/1000</f>
        <v>1.0899999999999999E-4</v>
      </c>
      <c r="G88" s="180" cm="1">
        <f t="array" ref="G88">INDEX('[3]Canada Corn Imports'!$EK$290:$UR$290,1,ROW(A2))/1000</f>
        <v>0</v>
      </c>
      <c r="H88" s="180" cm="1">
        <f t="array" ref="H88">INDEX('[3]Canada Corn Imports'!$EW$290:$UR$290,1,ROW(A2))/1000</f>
        <v>7.023600000000001E-5</v>
      </c>
      <c r="I88" s="180" cm="1">
        <f t="array" ref="I88">INDEX('[3]Canada Corn Imports'!$FI$290:$UR$290,1,ROW(A2))/1000</f>
        <v>0</v>
      </c>
      <c r="J88" s="180" cm="1">
        <f t="array" ref="J88">INDEX('[3]Canada Corn Imports'!$FU$290:$UR$290,1,ROW(A2))/1000</f>
        <v>0</v>
      </c>
      <c r="K88" s="180" cm="1">
        <f t="array" ref="K88">INDEX('[3]Canada Corn Imports'!$GG$290:$UR$290,1,ROW(A2))/1000</f>
        <v>0</v>
      </c>
      <c r="L88" s="180" cm="1">
        <f t="array" ref="L88">INDEX('[3]Canada Corn Imports'!$GS$290:$UR$290,1,ROW(A2))/1000</f>
        <v>0</v>
      </c>
      <c r="M88" s="180" cm="1">
        <f t="array" ref="M88">INDEX('[3]Canada Corn Imports'!$HE$290:$UR$290,1,ROW(A2))/1000</f>
        <v>2.0000000000000002E-7</v>
      </c>
      <c r="N88" s="180" cm="1">
        <f t="array" ref="N88">INDEX('[3]Canada Corn Imports'!$HQ$290:$UR$290,1,ROW(A2))/1000</f>
        <v>1.4100000000000001E-7</v>
      </c>
      <c r="O88" s="180" cm="1">
        <f t="array" ref="O88">INDEX('[3]Canada Corn Imports'!$IC$290:$UR$290,1,ROW(A2))/1000</f>
        <v>2.0781E-5</v>
      </c>
      <c r="P88" s="180" cm="1">
        <f t="array" ref="P88">INDEX('[3]Canada Corn Imports'!$IO$290:$UR$290,1,ROW(A2))/1000</f>
        <v>1.5554499999999999E-4</v>
      </c>
      <c r="Q88" s="180" cm="1">
        <f t="array" ref="Q88">INDEX('[3]Canada Corn Imports'!$JA$290:$UR$290,1,ROW(A2))/1000</f>
        <v>1.12952E-4</v>
      </c>
      <c r="R88" s="180" cm="1">
        <f t="array" ref="R88">INDEX('[3]Canada Corn Imports'!$JM$290:$UR$290,1,ROW(A2))/1000</f>
        <v>2.0474300000000001E-4</v>
      </c>
      <c r="S88" s="180" cm="1">
        <f t="array" ref="S88">INDEX('[3]Canada Corn Imports'!$JY$290:$UR$290,1,ROW(A2))/1000</f>
        <v>1.2721400000000001E-4</v>
      </c>
      <c r="T88" s="180" cm="1">
        <f t="array" ref="T88">INDEX('[3]Canada Corn Imports'!$KK$290:$UR$290,1,ROW(A2))/1000</f>
        <v>1.8231000000000001E-4</v>
      </c>
      <c r="U88" s="180" cm="1">
        <f t="array" ref="U88">INDEX('[3]Canada Corn Imports'!$KW$290:$UR$290,1,ROW(A2))/1000</f>
        <v>1.7178199999999999E-4</v>
      </c>
      <c r="V88" s="180" cm="1">
        <f t="array" ref="V88">INDEX('[3]Canada Corn Imports'!$LI$290:$UR$290,1,ROW(A2))/1000</f>
        <v>7.1404500000000007E-4</v>
      </c>
      <c r="W88" s="180" cm="1">
        <f t="array" ref="W88">INDEX('[3]Canada Corn Imports'!$LU$290:$UR$290,1,ROW(A2))/1000</f>
        <v>5.78657E-4</v>
      </c>
      <c r="X88" s="180" cm="1">
        <f t="array" ref="X88">INDEX('[3]Canada Corn Imports'!$MG$290:$UR$290,1,ROW(A2))/1000</f>
        <v>2.7050200000000005E-4</v>
      </c>
      <c r="Y88" s="180" cm="1">
        <f t="array" ref="Y88">INDEX('[3]Canada Corn Imports'!$MS$290:$UR$290,1,ROW(A2))</f>
        <v>116.759</v>
      </c>
      <c r="Z88" s="180" cm="1">
        <f t="array" ref="Z88">INDEX('[3]Canada Corn Imports'!$NE$290:$UR$290,1,ROW(A2))</f>
        <v>124.902</v>
      </c>
      <c r="AA88" s="180" cm="1">
        <f t="array" ref="AA88">INDEX('[3]Canada Corn Imports'!$NQ$290:$UR$290,1,ROW(A2))</f>
        <v>258.63900000000001</v>
      </c>
      <c r="AB88" s="180" cm="1">
        <f t="array" ref="AB88">INDEX('[3]Canada Corn Imports'!$OC$290:$UR$290,1,ROW(A2))</f>
        <v>85.269000000000005</v>
      </c>
      <c r="AC88" s="180" cm="1">
        <f t="array" ref="AC88">INDEX('[3]Canada Corn Imports'!$OO$290:$UR$290,1,ROW(A2))</f>
        <v>250.36799999999999</v>
      </c>
      <c r="AD88" s="180" cm="1">
        <f t="array" ref="AD88">INDEX('[3]Canada Corn Imports'!$PA$290:$ZZ$290,1,ROW(A2))</f>
        <v>137.07400000000001</v>
      </c>
      <c r="AE88" s="206">
        <f t="shared" si="89"/>
        <v>137.01968700392987</v>
      </c>
      <c r="AF88" s="206" t="e">
        <f t="shared" ref="AF88:AU97" si="92">(SUM(X88:AB88)/SUM(X$99:AB$99))*AF$99</f>
        <v>#REF!</v>
      </c>
      <c r="AG88" s="206" t="e">
        <f t="shared" si="92"/>
        <v>#REF!</v>
      </c>
      <c r="AH88" s="206" t="e">
        <f t="shared" si="92"/>
        <v>#REF!</v>
      </c>
      <c r="AI88" s="206" t="e">
        <f t="shared" si="92"/>
        <v>#REF!</v>
      </c>
      <c r="AJ88" s="206" t="e">
        <f t="shared" si="92"/>
        <v>#REF!</v>
      </c>
      <c r="AK88" s="206" t="e">
        <f t="shared" si="92"/>
        <v>#REF!</v>
      </c>
      <c r="AL88" s="206" t="e">
        <f t="shared" si="92"/>
        <v>#REF!</v>
      </c>
      <c r="AM88" s="206" t="e">
        <f t="shared" si="92"/>
        <v>#REF!</v>
      </c>
      <c r="AN88" s="206" t="e">
        <f t="shared" si="92"/>
        <v>#REF!</v>
      </c>
      <c r="AO88" s="206" t="e">
        <f t="shared" si="92"/>
        <v>#REF!</v>
      </c>
      <c r="AP88" s="206" t="e">
        <f t="shared" si="92"/>
        <v>#REF!</v>
      </c>
      <c r="AQ88" s="206" t="e">
        <f t="shared" si="92"/>
        <v>#REF!</v>
      </c>
      <c r="AR88" s="206" t="e">
        <f t="shared" si="92"/>
        <v>#REF!</v>
      </c>
      <c r="AS88" s="206" t="e">
        <f t="shared" si="92"/>
        <v>#REF!</v>
      </c>
      <c r="AT88" s="206" t="e">
        <f t="shared" si="92"/>
        <v>#REF!</v>
      </c>
      <c r="AU88" s="206" t="e">
        <f t="shared" si="92"/>
        <v>#REF!</v>
      </c>
      <c r="AV88" s="206" t="e">
        <f t="shared" ref="AV88:AW97" si="93">(SUM(AN88:AR88)/SUM(AN$99:AR$99))*AV$99</f>
        <v>#REF!</v>
      </c>
      <c r="AW88" s="206" t="e">
        <f t="shared" si="93"/>
        <v>#REF!</v>
      </c>
      <c r="AX88" s="200"/>
      <c r="AY88" s="200"/>
      <c r="AZ88" s="200"/>
      <c r="BF88" s="192"/>
      <c r="BG88" s="207"/>
      <c r="BH88" s="207"/>
      <c r="BI88" s="207"/>
      <c r="BJ88" s="207"/>
      <c r="BL88" s="208"/>
      <c r="BM88" s="208"/>
    </row>
    <row r="89" spans="1:65" ht="13.5">
      <c r="A89" s="2" t="s">
        <v>235</v>
      </c>
      <c r="B89" s="180" cm="1">
        <f t="array" ref="B89">INDEX('[3]Canada Corn Imports'!$CC$290:$UR$290,1,ROW(A4))/1000</f>
        <v>0</v>
      </c>
      <c r="C89" s="180" cm="1">
        <f t="array" ref="C89">INDEX('[3]Canada Corn Imports'!$CO$290:$UR$290,1,ROW(A4))/1000</f>
        <v>6.9999999999999999E-6</v>
      </c>
      <c r="D89" s="180" cm="1">
        <f t="array" ref="D89">INDEX('[3]Canada Corn Imports'!$DA$290:$UR$290,1,ROW(A4))/1000</f>
        <v>6.0999999999999999E-5</v>
      </c>
      <c r="E89" s="180" cm="1">
        <f t="array" ref="E89">INDEX('[3]Canada Corn Imports'!$DM$290:$UR$290,1,ROW(A4))/1000</f>
        <v>1.9999999999999999E-6</v>
      </c>
      <c r="F89" s="180" cm="1">
        <f t="array" ref="F89">INDEX('[3]Canada Corn Imports'!$DY$290:$UR$290,1,ROW(A4))/1000</f>
        <v>5.0000000000000004E-6</v>
      </c>
      <c r="G89" s="180" cm="1">
        <f t="array" ref="G89">INDEX('[3]Canada Corn Imports'!$EK$290:$UR$290,1,ROW(A4))/1000</f>
        <v>0</v>
      </c>
      <c r="H89" s="180" cm="1">
        <f t="array" ref="H89">INDEX('[3]Canada Corn Imports'!$EW$290:$UR$290,1,ROW(A4))/1000</f>
        <v>1.2599999999999999E-7</v>
      </c>
      <c r="I89" s="180" cm="1">
        <f t="array" ref="I89">INDEX('[3]Canada Corn Imports'!$FI$290:$UR$290,1,ROW(A4))/1000</f>
        <v>0</v>
      </c>
      <c r="J89" s="180" cm="1">
        <f t="array" ref="J89">INDEX('[3]Canada Corn Imports'!$FU$290:$UR$290,1,ROW(A4))/1000</f>
        <v>0</v>
      </c>
      <c r="K89" s="180" cm="1">
        <f t="array" ref="K89">INDEX('[3]Canada Corn Imports'!$GG$290:$UR$290,1,ROW(A4))/1000</f>
        <v>8.9999999999999995E-9</v>
      </c>
      <c r="L89" s="180" cm="1">
        <f t="array" ref="L89">INDEX('[3]Canada Corn Imports'!$GS$290:$UR$290,1,ROW(A4))/1000</f>
        <v>0</v>
      </c>
      <c r="M89" s="180" cm="1">
        <f t="array" ref="M89">INDEX('[3]Canada Corn Imports'!$HE$290:$UR$290,1,ROW(A4))/1000</f>
        <v>0</v>
      </c>
      <c r="N89" s="180" cm="1">
        <f t="array" ref="N89">INDEX('[3]Canada Corn Imports'!$HQ$290:$UR$290,1,ROW(A4))/1000</f>
        <v>2.0797059999999997E-3</v>
      </c>
      <c r="O89" s="180" cm="1">
        <f t="array" ref="O89">INDEX('[3]Canada Corn Imports'!$IC$290:$UR$290,1,ROW(A4))/1000</f>
        <v>4.0869999999999993E-5</v>
      </c>
      <c r="P89" s="180" cm="1">
        <f t="array" ref="P89">INDEX('[3]Canada Corn Imports'!$IO$290:$UR$290,1,ROW(A4))/1000</f>
        <v>6.1367999999999999E-5</v>
      </c>
      <c r="Q89" s="180" cm="1">
        <f t="array" ref="Q89">INDEX('[3]Canada Corn Imports'!$JA$290:$UR$290,1,ROW(A4))/1000</f>
        <v>8.2594000000000002E-5</v>
      </c>
      <c r="R89" s="180" cm="1">
        <f t="array" ref="R89">INDEX('[3]Canada Corn Imports'!$JM$290:$UR$290,1,ROW(A4))/1000</f>
        <v>9.1099000000000003E-5</v>
      </c>
      <c r="S89" s="180" cm="1">
        <f t="array" ref="S89">INDEX('[3]Canada Corn Imports'!$JY$290:$UR$290,1,ROW(A4))/1000</f>
        <v>1.4976E-4</v>
      </c>
      <c r="T89" s="180" cm="1">
        <f t="array" ref="T89">INDEX('[3]Canada Corn Imports'!$KK$290:$UR$290,1,ROW(A4))/1000</f>
        <v>2.5173200000000001E-4</v>
      </c>
      <c r="U89" s="180" cm="1">
        <f t="array" ref="U89">INDEX('[3]Canada Corn Imports'!$KW$290:$UR$290,1,ROW(A4))/1000</f>
        <v>5.2638999999999995E-5</v>
      </c>
      <c r="V89" s="180" cm="1">
        <f t="array" ref="V89">INDEX('[3]Canada Corn Imports'!$LI$290:$UR$290,1,ROW(A4))/1000</f>
        <v>4.3198500000000002E-4</v>
      </c>
      <c r="W89" s="180" cm="1">
        <f t="array" ref="W89">INDEX('[3]Canada Corn Imports'!$LU$290:$UR$290,1,ROW(A4))/1000</f>
        <v>4.2616799999999999E-4</v>
      </c>
      <c r="X89" s="180" cm="1">
        <f t="array" ref="X89">INDEX('[3]Canada Corn Imports'!$MG$290:$UR$290,1,ROW(A4))/1000</f>
        <v>7.7713000000000006E-5</v>
      </c>
      <c r="Y89" s="180" cm="1">
        <f t="array" ref="Y89">INDEX('[3]Canada Corn Imports'!$MS$290:$UR$290,1,ROW(A4))</f>
        <v>139.119</v>
      </c>
      <c r="Z89" s="180" cm="1">
        <f t="array" ref="Z89">INDEX('[3]Canada Corn Imports'!$NE$290:$UR$290,1,ROW(A4))</f>
        <v>108.375</v>
      </c>
      <c r="AA89" s="180" cm="1">
        <f t="array" ref="AA89">INDEX('[3]Canada Corn Imports'!$NQ$290:$UR$290,1,ROW(A4))</f>
        <v>730.11599999999999</v>
      </c>
      <c r="AB89" s="180" cm="1">
        <f t="array" ref="AB89">INDEX('[3]Canada Corn Imports'!$OC$290:$UR$290,1,ROW(A4))</f>
        <v>142.33099999999999</v>
      </c>
      <c r="AC89" s="180" cm="1">
        <f t="array" ref="AC89">INDEX('[3]Canada Corn Imports'!$OO$290:$UR$290,1,ROW(A4))</f>
        <v>335.99299999999999</v>
      </c>
      <c r="AD89" s="180" cm="1">
        <f t="array" ref="AD89">INDEX('[3]Canada Corn Imports'!$PA$290:$ZZ$290,1,ROW(A3))</f>
        <v>154.011</v>
      </c>
      <c r="AE89" s="206">
        <f t="shared" si="89"/>
        <v>235.36542765125475</v>
      </c>
      <c r="AF89" s="206" t="e">
        <f t="shared" si="92"/>
        <v>#REF!</v>
      </c>
      <c r="AG89" s="206" t="e">
        <f t="shared" si="92"/>
        <v>#REF!</v>
      </c>
      <c r="AH89" s="206" t="e">
        <f t="shared" si="92"/>
        <v>#REF!</v>
      </c>
      <c r="AI89" s="206" t="e">
        <f t="shared" si="92"/>
        <v>#REF!</v>
      </c>
      <c r="AJ89" s="206" t="e">
        <f t="shared" si="92"/>
        <v>#REF!</v>
      </c>
      <c r="AK89" s="206" t="e">
        <f t="shared" si="92"/>
        <v>#REF!</v>
      </c>
      <c r="AL89" s="206" t="e">
        <f t="shared" si="92"/>
        <v>#REF!</v>
      </c>
      <c r="AM89" s="206" t="e">
        <f t="shared" si="92"/>
        <v>#REF!</v>
      </c>
      <c r="AN89" s="206" t="e">
        <f t="shared" si="92"/>
        <v>#REF!</v>
      </c>
      <c r="AO89" s="206" t="e">
        <f t="shared" si="92"/>
        <v>#REF!</v>
      </c>
      <c r="AP89" s="206" t="e">
        <f t="shared" si="92"/>
        <v>#REF!</v>
      </c>
      <c r="AQ89" s="206" t="e">
        <f t="shared" si="92"/>
        <v>#REF!</v>
      </c>
      <c r="AR89" s="206" t="e">
        <f t="shared" si="92"/>
        <v>#REF!</v>
      </c>
      <c r="AS89" s="206" t="e">
        <f t="shared" si="92"/>
        <v>#REF!</v>
      </c>
      <c r="AT89" s="206" t="e">
        <f t="shared" si="92"/>
        <v>#REF!</v>
      </c>
      <c r="AU89" s="206" t="e">
        <f t="shared" si="92"/>
        <v>#REF!</v>
      </c>
      <c r="AV89" s="206" t="e">
        <f t="shared" si="93"/>
        <v>#REF!</v>
      </c>
      <c r="AW89" s="206" t="e">
        <f t="shared" si="93"/>
        <v>#REF!</v>
      </c>
      <c r="AX89" s="200"/>
      <c r="AZ89" s="200"/>
      <c r="BF89" s="192"/>
      <c r="BG89" s="207"/>
      <c r="BH89" s="207"/>
      <c r="BI89" s="207"/>
      <c r="BJ89" s="207"/>
      <c r="BL89" s="208"/>
      <c r="BM89" s="208"/>
    </row>
    <row r="90" spans="1:65" ht="13.5">
      <c r="A90" s="2" t="s">
        <v>236</v>
      </c>
      <c r="B90" s="180" cm="1">
        <f t="array" ref="B90">INDEX('[3]Canada Corn Imports'!$CC$290:$UR$290,1,ROW(A5))/1000</f>
        <v>0</v>
      </c>
      <c r="C90" s="180" cm="1">
        <f t="array" ref="C90">INDEX('[3]Canada Corn Imports'!$CO$290:$UR$290,1,ROW(A5))/1000</f>
        <v>1.9999999999999999E-6</v>
      </c>
      <c r="D90" s="180" cm="1">
        <f t="array" ref="D90">INDEX('[3]Canada Corn Imports'!$DA$290:$UR$290,1,ROW(A5))/1000</f>
        <v>1.7100000000000001E-4</v>
      </c>
      <c r="E90" s="180" cm="1">
        <f t="array" ref="E90">INDEX('[3]Canada Corn Imports'!$DM$290:$UR$290,1,ROW(A5))/1000</f>
        <v>1.4999999999999999E-5</v>
      </c>
      <c r="F90" s="180" cm="1">
        <f t="array" ref="F90">INDEX('[3]Canada Corn Imports'!$DY$290:$UR$290,1,ROW(A5))/1000</f>
        <v>1.1E-5</v>
      </c>
      <c r="G90" s="180" cm="1">
        <f t="array" ref="G90">INDEX('[3]Canada Corn Imports'!$EK$290:$UR$290,1,ROW(A5))/1000</f>
        <v>0</v>
      </c>
      <c r="H90" s="180" cm="1">
        <f t="array" ref="H90">INDEX('[3]Canada Corn Imports'!$EW$290:$UR$290,1,ROW(A5))/1000</f>
        <v>1.6819999999999999E-6</v>
      </c>
      <c r="I90" s="180" cm="1">
        <f t="array" ref="I90">INDEX('[3]Canada Corn Imports'!$FI$290:$UR$290,1,ROW(A5))/1000</f>
        <v>0</v>
      </c>
      <c r="J90" s="180" cm="1">
        <f t="array" ref="J90">INDEX('[3]Canada Corn Imports'!$FU$290:$UR$290,1,ROW(A5))/1000</f>
        <v>0</v>
      </c>
      <c r="K90" s="180" cm="1">
        <f t="array" ref="K90">INDEX('[3]Canada Corn Imports'!$GG$290:$UR$290,1,ROW(A5))/1000</f>
        <v>0</v>
      </c>
      <c r="L90" s="180" cm="1">
        <f t="array" ref="L90">INDEX('[3]Canada Corn Imports'!$GS$290:$UR$290,1,ROW(A5))/1000</f>
        <v>0</v>
      </c>
      <c r="M90" s="180" cm="1">
        <f t="array" ref="M90">INDEX('[3]Canada Corn Imports'!$HE$290:$UR$290,1,ROW(A5))/1000</f>
        <v>1.1999999999999999E-6</v>
      </c>
      <c r="N90" s="180" cm="1">
        <f t="array" ref="N90">INDEX('[3]Canada Corn Imports'!$HQ$290:$UR$290,1,ROW(A5))/1000</f>
        <v>1.2829740000000001E-3</v>
      </c>
      <c r="O90" s="180" cm="1">
        <f t="array" ref="O90">INDEX('[3]Canada Corn Imports'!$IC$290:$UR$290,1,ROW(A5))/1000</f>
        <v>3.0429E-5</v>
      </c>
      <c r="P90" s="180" cm="1">
        <f t="array" ref="P90">INDEX('[3]Canada Corn Imports'!$IO$290:$UR$290,1,ROW(A5))/1000</f>
        <v>4.2132000000000003E-5</v>
      </c>
      <c r="Q90" s="180" cm="1">
        <f t="array" ref="Q90">INDEX('[3]Canada Corn Imports'!$JA$290:$UR$290,1,ROW(A5))/1000</f>
        <v>1.5682899999999999E-4</v>
      </c>
      <c r="R90" s="180" cm="1">
        <f t="array" ref="R90">INDEX('[3]Canada Corn Imports'!$JM$290:$UR$290,1,ROW(A5))/1000</f>
        <v>1.38498E-4</v>
      </c>
      <c r="S90" s="180" cm="1">
        <f t="array" ref="S90">INDEX('[3]Canada Corn Imports'!$JY$290:$UR$290,1,ROW(A5))/1000</f>
        <v>2.4326400000000001E-4</v>
      </c>
      <c r="T90" s="180" cm="1">
        <f t="array" ref="T90">INDEX('[3]Canada Corn Imports'!$KK$290:$UR$290,1,ROW(A5))/1000</f>
        <v>1.3048299999999998E-4</v>
      </c>
      <c r="U90" s="180" cm="1">
        <f t="array" ref="U90">INDEX('[3]Canada Corn Imports'!$KW$290:$UR$290,1,ROW(A5))/1000</f>
        <v>1.80237E-4</v>
      </c>
      <c r="V90" s="180" cm="1">
        <f t="array" ref="V90">INDEX('[3]Canada Corn Imports'!$LI$290:$UR$290,1,ROW(A5))/1000</f>
        <v>7.7599E-5</v>
      </c>
      <c r="W90" s="180" cm="1">
        <f t="array" ref="W90">INDEX('[3]Canada Corn Imports'!$LU$290:$UR$290,1,ROW(A5))/1000</f>
        <v>5.1149599999999996E-4</v>
      </c>
      <c r="X90" s="180" cm="1">
        <f t="array" ref="X90">INDEX('[3]Canada Corn Imports'!$MG$290:$UR$290,1,ROW(A5))/1000</f>
        <v>2.2604E-4</v>
      </c>
      <c r="Y90" s="180" cm="1">
        <f t="array" ref="Y90">INDEX('[3]Canada Corn Imports'!$MS$290:$UR$290,1,ROW(A5))</f>
        <v>127.268</v>
      </c>
      <c r="Z90" s="180" cm="1">
        <f t="array" ref="Z90">INDEX('[3]Canada Corn Imports'!$NE$290:$UR$290,1,ROW(A5))</f>
        <v>121.486</v>
      </c>
      <c r="AA90" s="180" cm="1">
        <f t="array" ref="AA90">INDEX('[3]Canada Corn Imports'!$NQ$290:$UR$290,1,ROW(A5))</f>
        <v>641.76700000000005</v>
      </c>
      <c r="AB90" s="180" cm="1">
        <f t="array" ref="AB90">INDEX('[3]Canada Corn Imports'!$OC$290:$UR$290,1,ROW(A5))</f>
        <v>176.79599999999999</v>
      </c>
      <c r="AC90" s="180" cm="1">
        <f t="array" ref="AC90">INDEX('[3]Canada Corn Imports'!$OO$290:$UR$290,1,ROW(A5))</f>
        <v>323.90199999999999</v>
      </c>
      <c r="AD90" s="180" cm="1">
        <f t="array" ref="AD90">INDEX('[3]Canada Corn Imports'!$PA$290:$ZZ$290,1,ROW(A4))</f>
        <v>168.41800000000001</v>
      </c>
      <c r="AE90" s="206">
        <f t="shared" si="89"/>
        <v>229.21143781752573</v>
      </c>
      <c r="AF90" s="206" t="e">
        <f t="shared" si="92"/>
        <v>#REF!</v>
      </c>
      <c r="AG90" s="206" t="e">
        <f t="shared" si="92"/>
        <v>#REF!</v>
      </c>
      <c r="AH90" s="206" t="e">
        <f t="shared" si="92"/>
        <v>#REF!</v>
      </c>
      <c r="AI90" s="206" t="e">
        <f t="shared" si="92"/>
        <v>#REF!</v>
      </c>
      <c r="AJ90" s="206" t="e">
        <f t="shared" si="92"/>
        <v>#REF!</v>
      </c>
      <c r="AK90" s="206" t="e">
        <f t="shared" si="92"/>
        <v>#REF!</v>
      </c>
      <c r="AL90" s="206" t="e">
        <f t="shared" si="92"/>
        <v>#REF!</v>
      </c>
      <c r="AM90" s="206" t="e">
        <f t="shared" si="92"/>
        <v>#REF!</v>
      </c>
      <c r="AN90" s="206" t="e">
        <f t="shared" si="92"/>
        <v>#REF!</v>
      </c>
      <c r="AO90" s="206" t="e">
        <f t="shared" si="92"/>
        <v>#REF!</v>
      </c>
      <c r="AP90" s="206" t="e">
        <f t="shared" si="92"/>
        <v>#REF!</v>
      </c>
      <c r="AQ90" s="206" t="e">
        <f t="shared" si="92"/>
        <v>#REF!</v>
      </c>
      <c r="AR90" s="206" t="e">
        <f t="shared" si="92"/>
        <v>#REF!</v>
      </c>
      <c r="AS90" s="206" t="e">
        <f t="shared" si="92"/>
        <v>#REF!</v>
      </c>
      <c r="AT90" s="206" t="e">
        <f t="shared" si="92"/>
        <v>#REF!</v>
      </c>
      <c r="AU90" s="206" t="e">
        <f t="shared" si="92"/>
        <v>#REF!</v>
      </c>
      <c r="AV90" s="206" t="e">
        <f t="shared" si="93"/>
        <v>#REF!</v>
      </c>
      <c r="AW90" s="206" t="e">
        <f t="shared" si="93"/>
        <v>#REF!</v>
      </c>
      <c r="AX90" s="200"/>
      <c r="AZ90" s="200"/>
      <c r="BF90" s="192"/>
      <c r="BG90" s="207"/>
      <c r="BH90" s="207"/>
      <c r="BI90" s="207"/>
      <c r="BJ90" s="207"/>
      <c r="BL90" s="208"/>
      <c r="BM90" s="208"/>
    </row>
    <row r="91" spans="1:65" ht="13.5">
      <c r="A91" s="2" t="s">
        <v>237</v>
      </c>
      <c r="B91" s="180" cm="1">
        <f t="array" ref="B91">INDEX('[3]Canada Corn Imports'!$CC$290:$UR$290,1,ROW(A6))/1000</f>
        <v>5.6799999999999993E-4</v>
      </c>
      <c r="C91" s="180" cm="1">
        <f t="array" ref="C91">INDEX('[3]Canada Corn Imports'!$CO$290:$UR$290,1,ROW(A6))/1000</f>
        <v>1.9000000000000001E-5</v>
      </c>
      <c r="D91" s="180" cm="1">
        <f t="array" ref="D91">INDEX('[3]Canada Corn Imports'!$DA$290:$UR$290,1,ROW(A6))/1000</f>
        <v>3.4E-5</v>
      </c>
      <c r="E91" s="180" cm="1">
        <f t="array" ref="E91">INDEX('[3]Canada Corn Imports'!$DM$290:$UR$290,1,ROW(A6))/1000</f>
        <v>6.9999999999999999E-6</v>
      </c>
      <c r="F91" s="180" cm="1">
        <f t="array" ref="F91">INDEX('[3]Canada Corn Imports'!$DY$290:$UR$290,1,ROW(A6))/1000</f>
        <v>0</v>
      </c>
      <c r="G91" s="180" cm="1">
        <f t="array" ref="G91">INDEX('[3]Canada Corn Imports'!$EK$290:$UR$290,1,ROW(A6))/1000</f>
        <v>0</v>
      </c>
      <c r="H91" s="180" cm="1">
        <f t="array" ref="H91">INDEX('[3]Canada Corn Imports'!$EW$290:$UR$290,1,ROW(A6))/1000</f>
        <v>0</v>
      </c>
      <c r="I91" s="180" cm="1">
        <f t="array" ref="I91">INDEX('[3]Canada Corn Imports'!$FI$290:$UR$290,1,ROW(A6))/1000</f>
        <v>0</v>
      </c>
      <c r="J91" s="180" cm="1">
        <f t="array" ref="J91">INDEX('[3]Canada Corn Imports'!$FU$290:$UR$290,1,ROW(A6))/1000</f>
        <v>0</v>
      </c>
      <c r="K91" s="180" cm="1">
        <f t="array" ref="K91">INDEX('[3]Canada Corn Imports'!$GG$290:$UR$290,1,ROW(A6))/1000</f>
        <v>0</v>
      </c>
      <c r="L91" s="180" cm="1">
        <f t="array" ref="L91">INDEX('[3]Canada Corn Imports'!$GS$290:$UR$290,1,ROW(A6))/1000</f>
        <v>0</v>
      </c>
      <c r="M91" s="180" cm="1">
        <f t="array" ref="M91">INDEX('[3]Canada Corn Imports'!$HE$290:$UR$290,1,ROW(A6))/1000</f>
        <v>1.85E-7</v>
      </c>
      <c r="N91" s="180" cm="1">
        <f t="array" ref="N91">INDEX('[3]Canada Corn Imports'!$HQ$290:$UR$290,1,ROW(A6))/1000</f>
        <v>2.1248790000000001E-3</v>
      </c>
      <c r="O91" s="180" cm="1">
        <f t="array" ref="O91">INDEX('[3]Canada Corn Imports'!$IC$290:$UR$290,1,ROW(A6))/1000</f>
        <v>1.4673E-4</v>
      </c>
      <c r="P91" s="180" cm="1">
        <f t="array" ref="P91">INDEX('[3]Canada Corn Imports'!$IO$290:$UR$290,1,ROW(A6))/1000</f>
        <v>1.0481600000000001E-4</v>
      </c>
      <c r="Q91" s="180" cm="1">
        <f t="array" ref="Q91">INDEX('[3]Canada Corn Imports'!$JA$290:$UR$290,1,ROW(A6))/1000</f>
        <v>1.9811300000000001E-4</v>
      </c>
      <c r="R91" s="180" cm="1">
        <f t="array" ref="R91">INDEX('[3]Canada Corn Imports'!$JM$290:$UR$290,1,ROW(A6))/1000</f>
        <v>1.0415000000000001E-4</v>
      </c>
      <c r="S91" s="180" cm="1">
        <f t="array" ref="S91">INDEX('[3]Canada Corn Imports'!$JY$290:$UR$290,1,ROW(A6))/1000</f>
        <v>1.90621E-4</v>
      </c>
      <c r="T91" s="180" cm="1">
        <f t="array" ref="T91">INDEX('[3]Canada Corn Imports'!$KK$290:$UR$290,1,ROW(A6))/1000</f>
        <v>1.02445E-4</v>
      </c>
      <c r="U91" s="180" cm="1">
        <f t="array" ref="U91">INDEX('[3]Canada Corn Imports'!$KW$290:$UR$290,1,ROW(A6))/1000</f>
        <v>1.2899099999999999E-4</v>
      </c>
      <c r="V91" s="180" cm="1">
        <f t="array" ref="V91">INDEX('[3]Canada Corn Imports'!$LI$290:$UR$290,1,ROW(A6))/1000</f>
        <v>1.07351E-4</v>
      </c>
      <c r="W91" s="180" cm="1">
        <f t="array" ref="W91">INDEX('[3]Canada Corn Imports'!$LU$290:$UR$290,1,ROW(A6))/1000</f>
        <v>4.84826E-4</v>
      </c>
      <c r="X91" s="180" cm="1">
        <f t="array" ref="X91">INDEX('[3]Canada Corn Imports'!$MG$290:$UR$290,1,ROW(A6))/1000</f>
        <v>2.2855800000000002E-4</v>
      </c>
      <c r="Y91" s="180" cm="1">
        <f t="array" ref="Y91">INDEX('[3]Canada Corn Imports'!$MS$290:$UR$290,1,ROW(A6))</f>
        <v>128.607</v>
      </c>
      <c r="Z91" s="180" cm="1">
        <f t="array" ref="Z91">INDEX('[3]Canada Corn Imports'!$NE$290:$UR$290,1,ROW(A6))</f>
        <v>124.47499999999999</v>
      </c>
      <c r="AA91" s="180" cm="1">
        <f t="array" ref="AA91">INDEX('[3]Canada Corn Imports'!$NQ$290:$UR$290,1,ROW(A6))</f>
        <v>669.19600000000003</v>
      </c>
      <c r="AB91" s="180" cm="1">
        <f t="array" ref="AB91">INDEX('[3]Canada Corn Imports'!$OC$290:$UR$290,1,ROW(A6))</f>
        <v>208.517</v>
      </c>
      <c r="AC91" s="180" cm="1">
        <f t="array" ref="AC91">INDEX('[3]Canada Corn Imports'!$OO$290:$UR$290,1,ROW(A6))</f>
        <v>228.803</v>
      </c>
      <c r="AD91" s="206">
        <f>(SUM(Y91:AC91)/SUM(Y$99:AC$99))*AD$99</f>
        <v>219.19015012516033</v>
      </c>
      <c r="AE91" s="206">
        <f>(SUM(Z91:AD91)/SUM(Z$99:AD$99))*AE$99</f>
        <v>232.06178471892443</v>
      </c>
      <c r="AF91" s="206" t="e">
        <f t="shared" si="92"/>
        <v>#REF!</v>
      </c>
      <c r="AG91" s="206" t="e">
        <f t="shared" si="92"/>
        <v>#REF!</v>
      </c>
      <c r="AH91" s="206" t="e">
        <f t="shared" si="92"/>
        <v>#REF!</v>
      </c>
      <c r="AI91" s="206" t="e">
        <f t="shared" si="92"/>
        <v>#REF!</v>
      </c>
      <c r="AJ91" s="206" t="e">
        <f t="shared" si="92"/>
        <v>#REF!</v>
      </c>
      <c r="AK91" s="206" t="e">
        <f t="shared" si="92"/>
        <v>#REF!</v>
      </c>
      <c r="AL91" s="206" t="e">
        <f t="shared" si="92"/>
        <v>#REF!</v>
      </c>
      <c r="AM91" s="206" t="e">
        <f t="shared" si="92"/>
        <v>#REF!</v>
      </c>
      <c r="AN91" s="206" t="e">
        <f t="shared" si="92"/>
        <v>#REF!</v>
      </c>
      <c r="AO91" s="206" t="e">
        <f t="shared" si="92"/>
        <v>#REF!</v>
      </c>
      <c r="AP91" s="206" t="e">
        <f t="shared" si="92"/>
        <v>#REF!</v>
      </c>
      <c r="AQ91" s="206" t="e">
        <f t="shared" si="92"/>
        <v>#REF!</v>
      </c>
      <c r="AR91" s="206" t="e">
        <f t="shared" si="92"/>
        <v>#REF!</v>
      </c>
      <c r="AS91" s="206" t="e">
        <f t="shared" si="92"/>
        <v>#REF!</v>
      </c>
      <c r="AT91" s="206" t="e">
        <f t="shared" si="92"/>
        <v>#REF!</v>
      </c>
      <c r="AU91" s="206" t="e">
        <f t="shared" si="92"/>
        <v>#REF!</v>
      </c>
      <c r="AV91" s="206" t="e">
        <f t="shared" si="93"/>
        <v>#REF!</v>
      </c>
      <c r="AW91" s="206" t="e">
        <f t="shared" si="93"/>
        <v>#REF!</v>
      </c>
      <c r="AX91" s="200"/>
      <c r="AZ91" s="200"/>
      <c r="BF91" s="192"/>
      <c r="BG91" s="207"/>
      <c r="BH91" s="207"/>
      <c r="BI91" s="207"/>
      <c r="BJ91" s="207"/>
      <c r="BL91" s="208"/>
      <c r="BM91" s="208"/>
    </row>
    <row r="92" spans="1:65">
      <c r="A92" s="2" t="s">
        <v>238</v>
      </c>
      <c r="B92" s="180" cm="1">
        <f t="array" ref="B92">INDEX('[3]Canada Corn Imports'!$CC$290:$UR$290,1,ROW(A7))/1000</f>
        <v>2.3799999999999998E-4</v>
      </c>
      <c r="C92" s="180" cm="1">
        <f t="array" ref="C92">INDEX('[3]Canada Corn Imports'!$CO$290:$UR$290,1,ROW(A7))/1000</f>
        <v>4.2999999999999995E-5</v>
      </c>
      <c r="D92" s="180" cm="1">
        <f t="array" ref="D92">INDEX('[3]Canada Corn Imports'!$DA$290:$UR$290,1,ROW(A7))/1000</f>
        <v>1.7999999999999997E-5</v>
      </c>
      <c r="E92" s="180" cm="1">
        <f t="array" ref="E92">INDEX('[3]Canada Corn Imports'!$DM$290:$UR$290,1,ROW(A7))/1000</f>
        <v>1.9999999999999999E-6</v>
      </c>
      <c r="F92" s="180" cm="1">
        <f t="array" ref="F92">INDEX('[3]Canada Corn Imports'!$DY$290:$UR$290,1,ROW(A7))/1000</f>
        <v>1.9999999999999999E-6</v>
      </c>
      <c r="G92" s="180" cm="1">
        <f t="array" ref="G92">INDEX('[3]Canada Corn Imports'!$EK$290:$UR$290,1,ROW(A7))/1000</f>
        <v>0</v>
      </c>
      <c r="H92" s="180" cm="1">
        <f t="array" ref="H92">INDEX('[3]Canada Corn Imports'!$EW$290:$UR$290,1,ROW(A7))/1000</f>
        <v>0</v>
      </c>
      <c r="I92" s="180" cm="1">
        <f t="array" ref="I92">INDEX('[3]Canada Corn Imports'!$FI$290:$UR$290,1,ROW(A7))/1000</f>
        <v>0</v>
      </c>
      <c r="J92" s="180" cm="1">
        <f t="array" ref="J92">INDEX('[3]Canada Corn Imports'!$FU$290:$UR$290,1,ROW(A7))/1000</f>
        <v>0</v>
      </c>
      <c r="K92" s="180" cm="1">
        <f t="array" ref="K92">INDEX('[3]Canada Corn Imports'!$GG$290:$UR$290,1,ROW(A7))/1000</f>
        <v>0</v>
      </c>
      <c r="L92" s="180" cm="1">
        <f t="array" ref="L92">INDEX('[3]Canada Corn Imports'!$GS$290:$UR$290,1,ROW(A7))/1000</f>
        <v>3.0200000000000003E-7</v>
      </c>
      <c r="M92" s="180" cm="1">
        <f t="array" ref="M92">INDEX('[3]Canada Corn Imports'!$HE$290:$UR$290,1,ROW(A7))/1000</f>
        <v>0</v>
      </c>
      <c r="N92" s="180" cm="1">
        <f t="array" ref="N92">INDEX('[3]Canada Corn Imports'!$HQ$290:$UR$290,1,ROW(A7))/1000</f>
        <v>1.139E-6</v>
      </c>
      <c r="O92" s="180" cm="1">
        <f t="array" ref="O92">INDEX('[3]Canada Corn Imports'!$IC$290:$UR$290,1,ROW(A7))/1000</f>
        <v>6.4675E-5</v>
      </c>
      <c r="P92" s="180" cm="1">
        <f t="array" ref="P92">INDEX('[3]Canada Corn Imports'!$IO$290:$UR$290,1,ROW(A7))/1000</f>
        <v>1.4885699999999999E-4</v>
      </c>
      <c r="Q92" s="180" cm="1">
        <f t="array" ref="Q92">INDEX('[3]Canada Corn Imports'!$JA$290:$UR$290,1,ROW(A7))/1000</f>
        <v>1.2806500000000001E-4</v>
      </c>
      <c r="R92" s="180" cm="1">
        <f t="array" ref="R92">INDEX('[3]Canada Corn Imports'!$JM$290:$UR$290,1,ROW(A7))/1000</f>
        <v>1.6860600000000002E-4</v>
      </c>
      <c r="S92" s="180" cm="1">
        <f t="array" ref="S92">INDEX('[3]Canada Corn Imports'!$JY$290:$UR$290,1,ROW(A7))/1000</f>
        <v>1.7753699999999999E-4</v>
      </c>
      <c r="T92" s="180" cm="1">
        <f t="array" ref="T92">INDEX('[3]Canada Corn Imports'!$KK$290:$UR$290,1,ROW(A7))/1000</f>
        <v>1.6067999999999999E-4</v>
      </c>
      <c r="U92" s="180" cm="1">
        <f t="array" ref="U92">INDEX('[3]Canada Corn Imports'!$KW$290:$UR$290,1,ROW(A7))/1000</f>
        <v>7.2081999999999992E-5</v>
      </c>
      <c r="V92" s="180" cm="1">
        <f t="array" ref="V92">INDEX('[3]Canada Corn Imports'!$LI$290:$UR$290,1,ROW(A7))/1000</f>
        <v>4.5479199999999998E-4</v>
      </c>
      <c r="W92" s="180" cm="1">
        <f t="array" ref="W92">INDEX('[3]Canada Corn Imports'!$LU$290:$UR$290,1,ROW(A7))/1000</f>
        <v>6.5244199999999993E-4</v>
      </c>
      <c r="X92" s="180" cm="1">
        <f t="array" ref="X92">INDEX('[3]Canada Corn Imports'!$MG$290:$UR$290,1,ROW(A7))/1000</f>
        <v>7.8634099999999997E-4</v>
      </c>
      <c r="Y92" s="180" cm="1">
        <f t="array" ref="Y92">INDEX('[3]Canada Corn Imports'!$MS$290:$UR$290,1,ROW(A7))</f>
        <v>184.55699999999999</v>
      </c>
      <c r="Z92" s="180" cm="1">
        <f t="array" ref="Z92">INDEX('[3]Canada Corn Imports'!$NE$290:$UR$290,1,ROW(A7))</f>
        <v>146.52099999999999</v>
      </c>
      <c r="AA92" s="180" cm="1">
        <f t="array" ref="AA92">INDEX('[3]Canada Corn Imports'!$NQ$290:$UR$290,1,ROW(A7))</f>
        <v>710.40700000000004</v>
      </c>
      <c r="AB92" s="180" cm="1">
        <f t="array" ref="AB92">INDEX('[3]Canada Corn Imports'!$OC$290:$UR$290,1,ROW(A7))</f>
        <v>250.17699999999999</v>
      </c>
      <c r="AC92" s="180" cm="1">
        <f t="array" ref="AC92">INDEX('[3]Canada Corn Imports'!$OO$290:$UR$290,1,ROW(A7))</f>
        <v>225.49100000000001</v>
      </c>
      <c r="AD92" s="206">
        <f t="shared" ref="AD92:AE98" si="94">(SUM(Y92:AC92)/SUM(Y$99:AC$99))*AD$99</f>
        <v>244.59067594453464</v>
      </c>
      <c r="AE92" s="206">
        <f t="shared" si="94"/>
        <v>252.38554150494096</v>
      </c>
      <c r="AF92" s="206" t="e">
        <f t="shared" si="92"/>
        <v>#REF!</v>
      </c>
      <c r="AG92" s="206" t="e">
        <f t="shared" si="92"/>
        <v>#REF!</v>
      </c>
      <c r="AH92" s="206" t="e">
        <f t="shared" si="92"/>
        <v>#REF!</v>
      </c>
      <c r="AI92" s="206" t="e">
        <f t="shared" si="92"/>
        <v>#REF!</v>
      </c>
      <c r="AJ92" s="206" t="e">
        <f t="shared" si="92"/>
        <v>#REF!</v>
      </c>
      <c r="AK92" s="206" t="e">
        <f t="shared" si="92"/>
        <v>#REF!</v>
      </c>
      <c r="AL92" s="206" t="e">
        <f t="shared" si="92"/>
        <v>#REF!</v>
      </c>
      <c r="AM92" s="206" t="e">
        <f t="shared" si="92"/>
        <v>#REF!</v>
      </c>
      <c r="AN92" s="206" t="e">
        <f t="shared" si="92"/>
        <v>#REF!</v>
      </c>
      <c r="AO92" s="206" t="e">
        <f t="shared" si="92"/>
        <v>#REF!</v>
      </c>
      <c r="AP92" s="206" t="e">
        <f t="shared" si="92"/>
        <v>#REF!</v>
      </c>
      <c r="AQ92" s="206" t="e">
        <f t="shared" si="92"/>
        <v>#REF!</v>
      </c>
      <c r="AR92" s="206" t="e">
        <f t="shared" si="92"/>
        <v>#REF!</v>
      </c>
      <c r="AS92" s="206" t="e">
        <f t="shared" si="92"/>
        <v>#REF!</v>
      </c>
      <c r="AT92" s="206" t="e">
        <f t="shared" si="92"/>
        <v>#REF!</v>
      </c>
      <c r="AU92" s="206" t="e">
        <f t="shared" si="92"/>
        <v>#REF!</v>
      </c>
      <c r="AV92" s="206" t="e">
        <f t="shared" si="93"/>
        <v>#REF!</v>
      </c>
      <c r="AW92" s="206" t="e">
        <f t="shared" si="93"/>
        <v>#REF!</v>
      </c>
      <c r="AX92" s="200"/>
      <c r="AY92" s="200"/>
      <c r="AZ92" s="200"/>
      <c r="BJ92" s="208"/>
      <c r="BK92" s="208"/>
      <c r="BL92" s="208"/>
      <c r="BM92" s="208"/>
    </row>
    <row r="93" spans="1:65">
      <c r="A93" s="2" t="s">
        <v>239</v>
      </c>
      <c r="B93" s="180" cm="1">
        <f t="array" ref="B93">INDEX('[3]Canada Corn Imports'!$CC$290:$UR$290,1,ROW(A8))/1000</f>
        <v>0</v>
      </c>
      <c r="C93" s="180" cm="1">
        <f t="array" ref="C93">INDEX('[3]Canada Corn Imports'!$CO$290:$UR$290,1,ROW(A8))/1000</f>
        <v>8.2000000000000001E-5</v>
      </c>
      <c r="D93" s="180" cm="1">
        <f t="array" ref="D93">INDEX('[3]Canada Corn Imports'!$DA$290:$UR$290,1,ROW(A8))/1000</f>
        <v>1.4999999999999999E-5</v>
      </c>
      <c r="E93" s="180" cm="1">
        <f t="array" ref="E93">INDEX('[3]Canada Corn Imports'!$DM$290:$UR$290,1,ROW(A8))/1000</f>
        <v>3.9999999999999998E-6</v>
      </c>
      <c r="F93" s="180" cm="1">
        <f t="array" ref="F93">INDEX('[3]Canada Corn Imports'!$DY$290:$UR$290,1,ROW(A8))/1000</f>
        <v>0</v>
      </c>
      <c r="G93" s="180" cm="1">
        <f t="array" ref="G93">INDEX('[3]Canada Corn Imports'!$EK$290:$UR$290,1,ROW(A8))/1000</f>
        <v>2.23E-5</v>
      </c>
      <c r="H93" s="180" cm="1">
        <f t="array" ref="H93">INDEX('[3]Canada Corn Imports'!$EW$290:$UR$290,1,ROW(A8))/1000</f>
        <v>0</v>
      </c>
      <c r="I93" s="180" cm="1">
        <f t="array" ref="I93">INDEX('[3]Canada Corn Imports'!$FI$290:$UR$290,1,ROW(A8))/1000</f>
        <v>0</v>
      </c>
      <c r="J93" s="180" cm="1">
        <f t="array" ref="J93">INDEX('[3]Canada Corn Imports'!$FU$290:$UR$290,1,ROW(A8))/1000</f>
        <v>0</v>
      </c>
      <c r="K93" s="180" cm="1">
        <f t="array" ref="K93">INDEX('[3]Canada Corn Imports'!$GG$290:$UR$290,1,ROW(A8))/1000</f>
        <v>0</v>
      </c>
      <c r="L93" s="180" cm="1">
        <f t="array" ref="L93">INDEX('[3]Canada Corn Imports'!$GS$290:$UR$290,1,ROW(A8))/1000</f>
        <v>0</v>
      </c>
      <c r="M93" s="180" cm="1">
        <f t="array" ref="M93">INDEX('[3]Canada Corn Imports'!$HE$290:$UR$290,1,ROW(A8))/1000</f>
        <v>0</v>
      </c>
      <c r="N93" s="180" cm="1">
        <f t="array" ref="N93">INDEX('[3]Canada Corn Imports'!$HQ$290:$UR$290,1,ROW(A8))/1000</f>
        <v>2.3675000000000003E-5</v>
      </c>
      <c r="O93" s="180" cm="1">
        <f t="array" ref="O93">INDEX('[3]Canada Corn Imports'!$IC$290:$UR$290,1,ROW(A8))/1000</f>
        <v>7.1334999999999994E-5</v>
      </c>
      <c r="P93" s="180" cm="1">
        <f t="array" ref="P93">INDEX('[3]Canada Corn Imports'!$IO$290:$UR$290,1,ROW(A8))/1000</f>
        <v>1.83031E-4</v>
      </c>
      <c r="Q93" s="180" cm="1">
        <f t="array" ref="Q93">INDEX('[3]Canada Corn Imports'!$JA$290:$UR$290,1,ROW(A8))/1000</f>
        <v>1.30934E-4</v>
      </c>
      <c r="R93" s="180" cm="1">
        <f t="array" ref="R93">INDEX('[3]Canada Corn Imports'!$JM$290:$UR$290,1,ROW(A8))/1000</f>
        <v>1.36663E-4</v>
      </c>
      <c r="S93" s="180" cm="1">
        <f t="array" ref="S93">INDEX('[3]Canada Corn Imports'!$JY$290:$UR$290,1,ROW(A8))/1000</f>
        <v>1.8130199999999999E-4</v>
      </c>
      <c r="T93" s="180" cm="1">
        <f t="array" ref="T93">INDEX('[3]Canada Corn Imports'!$KK$290:$UR$290,1,ROW(A8))/1000</f>
        <v>1.4151499999999999E-4</v>
      </c>
      <c r="U93" s="180" cm="1">
        <f t="array" ref="U93">INDEX('[3]Canada Corn Imports'!$KW$290:$UR$290,1,ROW(A8))/1000</f>
        <v>1.78183E-4</v>
      </c>
      <c r="V93" s="180" cm="1">
        <f t="array" ref="V93">INDEX('[3]Canada Corn Imports'!$LI$290:$UR$290,1,ROW(A8))/1000</f>
        <v>6.51138E-4</v>
      </c>
      <c r="W93" s="180" cm="1">
        <f t="array" ref="W93">INDEX('[3]Canada Corn Imports'!$LU$290:$UR$290,1,ROW(A8))/1000</f>
        <v>5.1038799999999997E-4</v>
      </c>
      <c r="X93" s="180" cm="1">
        <f t="array" ref="X93">INDEX('[3]Canada Corn Imports'!$MG$290:$UR$290,1,ROW(A8))/1000</f>
        <v>1.1954370000000001E-3</v>
      </c>
      <c r="Y93" s="180" cm="1">
        <f t="array" ref="Y93">INDEX('[3]Canada Corn Imports'!$MS$290:$UR$290,1,ROW(A8))</f>
        <v>137.95500000000001</v>
      </c>
      <c r="Z93" s="180" cm="1">
        <f t="array" ref="Z93">INDEX('[3]Canada Corn Imports'!$NE$290:$UR$290,1,ROW(A8))</f>
        <v>166.46799999999999</v>
      </c>
      <c r="AA93" s="180" cm="1">
        <f t="array" ref="AA93">INDEX('[3]Canada Corn Imports'!$NQ$290:$UR$290,1,ROW(A8))</f>
        <v>538.63400000000001</v>
      </c>
      <c r="AB93" s="180" cm="1">
        <f t="array" ref="AB93">INDEX('[3]Canada Corn Imports'!$OC$290:$UR$290,1,ROW(A8))</f>
        <v>234.32400000000001</v>
      </c>
      <c r="AC93" s="180" cm="1">
        <f t="array" ref="AC93">INDEX('[3]Canada Corn Imports'!$OO$290:$UR$290,1,ROW(A8))</f>
        <v>190.50200000000001</v>
      </c>
      <c r="AD93" s="206">
        <f t="shared" si="94"/>
        <v>204.40414380658009</v>
      </c>
      <c r="AE93" s="206">
        <f t="shared" si="94"/>
        <v>213.52332339505233</v>
      </c>
      <c r="AF93" s="206" t="e">
        <f t="shared" si="92"/>
        <v>#REF!</v>
      </c>
      <c r="AG93" s="206" t="e">
        <f t="shared" si="92"/>
        <v>#REF!</v>
      </c>
      <c r="AH93" s="206" t="e">
        <f t="shared" si="92"/>
        <v>#REF!</v>
      </c>
      <c r="AI93" s="206" t="e">
        <f t="shared" si="92"/>
        <v>#REF!</v>
      </c>
      <c r="AJ93" s="206" t="e">
        <f t="shared" si="92"/>
        <v>#REF!</v>
      </c>
      <c r="AK93" s="206" t="e">
        <f t="shared" si="92"/>
        <v>#REF!</v>
      </c>
      <c r="AL93" s="206" t="e">
        <f t="shared" si="92"/>
        <v>#REF!</v>
      </c>
      <c r="AM93" s="206" t="e">
        <f t="shared" si="92"/>
        <v>#REF!</v>
      </c>
      <c r="AN93" s="206" t="e">
        <f t="shared" si="92"/>
        <v>#REF!</v>
      </c>
      <c r="AO93" s="206" t="e">
        <f t="shared" si="92"/>
        <v>#REF!</v>
      </c>
      <c r="AP93" s="206" t="e">
        <f t="shared" si="92"/>
        <v>#REF!</v>
      </c>
      <c r="AQ93" s="206" t="e">
        <f t="shared" si="92"/>
        <v>#REF!</v>
      </c>
      <c r="AR93" s="206" t="e">
        <f t="shared" si="92"/>
        <v>#REF!</v>
      </c>
      <c r="AS93" s="206" t="e">
        <f t="shared" si="92"/>
        <v>#REF!</v>
      </c>
      <c r="AT93" s="206" t="e">
        <f t="shared" si="92"/>
        <v>#REF!</v>
      </c>
      <c r="AU93" s="206" t="e">
        <f t="shared" si="92"/>
        <v>#REF!</v>
      </c>
      <c r="AV93" s="206" t="e">
        <f t="shared" si="93"/>
        <v>#REF!</v>
      </c>
      <c r="AW93" s="206" t="e">
        <f t="shared" si="93"/>
        <v>#REF!</v>
      </c>
      <c r="AX93" s="200"/>
      <c r="AY93" s="200"/>
      <c r="AZ93" s="200"/>
      <c r="BJ93" s="208"/>
      <c r="BK93" s="208"/>
      <c r="BL93" s="208"/>
      <c r="BM93" s="208"/>
    </row>
    <row r="94" spans="1:65">
      <c r="A94" s="2" t="s">
        <v>240</v>
      </c>
      <c r="B94" s="180" cm="1">
        <f t="array" ref="B94">INDEX('[3]Canada Corn Imports'!$CC$290:$UR$290,1,ROW(A9))/1000</f>
        <v>1.9000000000000001E-5</v>
      </c>
      <c r="C94" s="180" cm="1">
        <f t="array" ref="C94">INDEX('[3]Canada Corn Imports'!$CO$290:$UR$290,1,ROW(A9))/1000</f>
        <v>4.46E-4</v>
      </c>
      <c r="D94" s="180" cm="1">
        <f t="array" ref="D94">INDEX('[3]Canada Corn Imports'!$DA$290:$UR$290,1,ROW(A9))/1000</f>
        <v>5.8E-5</v>
      </c>
      <c r="E94" s="180" cm="1">
        <f t="array" ref="E94">INDEX('[3]Canada Corn Imports'!$DM$290:$UR$290,1,ROW(A9))/1000</f>
        <v>3.0000000000000001E-6</v>
      </c>
      <c r="F94" s="180" cm="1">
        <f t="array" ref="F94">INDEX('[3]Canada Corn Imports'!$DY$290:$UR$290,1,ROW(A9))/1000</f>
        <v>0</v>
      </c>
      <c r="G94" s="180" cm="1">
        <f t="array" ref="G94">INDEX('[3]Canada Corn Imports'!$EK$290:$UR$290,1,ROW(A9))/1000</f>
        <v>2.234E-5</v>
      </c>
      <c r="H94" s="180" cm="1">
        <f t="array" ref="H94">INDEX('[3]Canada Corn Imports'!$EW$290:$UR$290,1,ROW(A9))/1000</f>
        <v>0</v>
      </c>
      <c r="I94" s="180" cm="1">
        <f t="array" ref="I94">INDEX('[3]Canada Corn Imports'!$FI$290:$UR$290,1,ROW(A9))/1000</f>
        <v>0</v>
      </c>
      <c r="J94" s="180" cm="1">
        <f t="array" ref="J94">INDEX('[3]Canada Corn Imports'!$FU$290:$UR$290,1,ROW(A9))/1000</f>
        <v>6E-9</v>
      </c>
      <c r="K94" s="180" cm="1">
        <f t="array" ref="K94">INDEX('[3]Canada Corn Imports'!$GG$290:$UR$290,1,ROW(A9))/1000</f>
        <v>0</v>
      </c>
      <c r="L94" s="180" cm="1">
        <f t="array" ref="L94">INDEX('[3]Canada Corn Imports'!$GS$290:$UR$290,1,ROW(A9))/1000</f>
        <v>2.0000000000000002E-7</v>
      </c>
      <c r="M94" s="180" cm="1">
        <f t="array" ref="M94">INDEX('[3]Canada Corn Imports'!$HE$290:$UR$290,1,ROW(A9))/1000</f>
        <v>0</v>
      </c>
      <c r="N94" s="180" cm="1">
        <f t="array" ref="N94">INDEX('[3]Canada Corn Imports'!$HQ$290:$UR$290,1,ROW(A9))/1000</f>
        <v>1.3627E-5</v>
      </c>
      <c r="O94" s="180" cm="1">
        <f t="array" ref="O94">INDEX('[3]Canada Corn Imports'!$IC$290:$UR$290,1,ROW(A9))/1000</f>
        <v>7.0642999999999994E-5</v>
      </c>
      <c r="P94" s="180" cm="1">
        <f t="array" ref="P94">INDEX('[3]Canada Corn Imports'!$IO$290:$UR$290,1,ROW(A9))/1000</f>
        <v>2.19113E-4</v>
      </c>
      <c r="Q94" s="180" cm="1">
        <f t="array" ref="Q94">INDEX('[3]Canada Corn Imports'!$JA$290:$UR$290,1,ROW(A9))/1000</f>
        <v>1.25914E-4</v>
      </c>
      <c r="R94" s="180" cm="1">
        <f t="array" ref="R94">INDEX('[3]Canada Corn Imports'!$JM$290:$UR$290,1,ROW(A9))/1000</f>
        <v>2.0060299999999999E-4</v>
      </c>
      <c r="S94" s="180" cm="1">
        <f t="array" ref="S94">INDEX('[3]Canada Corn Imports'!$JY$290:$UR$290,1,ROW(A9))/1000</f>
        <v>1.08001E-4</v>
      </c>
      <c r="T94" s="180" cm="1">
        <f t="array" ref="T94">INDEX('[3]Canada Corn Imports'!$KK$290:$UR$290,1,ROW(A9))/1000</f>
        <v>1.2845899999999998E-4</v>
      </c>
      <c r="U94" s="180" cm="1">
        <f t="array" ref="U94">INDEX('[3]Canada Corn Imports'!$KW$290:$UR$290,1,ROW(A9))/1000</f>
        <v>1.1208799999999999E-4</v>
      </c>
      <c r="V94" s="180" cm="1">
        <f t="array" ref="V94">INDEX('[3]Canada Corn Imports'!$LI$290:$UR$290,1,ROW(A9))/1000</f>
        <v>7.6893399999999998E-4</v>
      </c>
      <c r="W94" s="180" cm="1">
        <f t="array" ref="W94">INDEX('[3]Canada Corn Imports'!$LU$290:$UR$290,1,ROW(A9))/1000</f>
        <v>4.5695499999999999E-4</v>
      </c>
      <c r="X94" s="180" cm="1">
        <f t="array" ref="X94">INDEX('[3]Canada Corn Imports'!$MG$290:$UR$290,1,ROW(A9))/1000</f>
        <v>4.2465299999999999E-4</v>
      </c>
      <c r="Y94" s="180" cm="1">
        <f t="array" ref="Y94">INDEX('[3]Canada Corn Imports'!$MS$290:$UR$290,1,ROW(A9))</f>
        <v>165.61500000000001</v>
      </c>
      <c r="Z94" s="180" cm="1">
        <f t="array" ref="Z94">INDEX('[3]Canada Corn Imports'!$NE$290:$UR$290,1,ROW(A9))</f>
        <v>152.684</v>
      </c>
      <c r="AA94" s="180" cm="1">
        <f t="array" ref="AA94">INDEX('[3]Canada Corn Imports'!$NQ$290:$UR$290,1,ROW(A9))</f>
        <v>599.30999999999995</v>
      </c>
      <c r="AB94" s="180" cm="1">
        <f t="array" ref="AB94">INDEX('[3]Canada Corn Imports'!$OC$290:$UR$290,1,ROW(A9))</f>
        <v>204.75899999999999</v>
      </c>
      <c r="AC94" s="180" cm="1">
        <f t="array" ref="AC94">INDEX('[3]Canada Corn Imports'!$OO$290:$UR$290,1,ROW(A9))</f>
        <v>196.56800000000001</v>
      </c>
      <c r="AD94" s="206">
        <f t="shared" si="94"/>
        <v>212.63474927550527</v>
      </c>
      <c r="AE94" s="206">
        <f t="shared" si="94"/>
        <v>218.58381554372806</v>
      </c>
      <c r="AF94" s="206" t="e">
        <f t="shared" si="92"/>
        <v>#REF!</v>
      </c>
      <c r="AG94" s="206" t="e">
        <f t="shared" si="92"/>
        <v>#REF!</v>
      </c>
      <c r="AH94" s="206" t="e">
        <f t="shared" si="92"/>
        <v>#REF!</v>
      </c>
      <c r="AI94" s="206" t="e">
        <f t="shared" si="92"/>
        <v>#REF!</v>
      </c>
      <c r="AJ94" s="206" t="e">
        <f t="shared" si="92"/>
        <v>#REF!</v>
      </c>
      <c r="AK94" s="206" t="e">
        <f t="shared" si="92"/>
        <v>#REF!</v>
      </c>
      <c r="AL94" s="206" t="e">
        <f t="shared" si="92"/>
        <v>#REF!</v>
      </c>
      <c r="AM94" s="206" t="e">
        <f t="shared" si="92"/>
        <v>#REF!</v>
      </c>
      <c r="AN94" s="206" t="e">
        <f t="shared" si="92"/>
        <v>#REF!</v>
      </c>
      <c r="AO94" s="206" t="e">
        <f t="shared" si="92"/>
        <v>#REF!</v>
      </c>
      <c r="AP94" s="206" t="e">
        <f t="shared" si="92"/>
        <v>#REF!</v>
      </c>
      <c r="AQ94" s="206" t="e">
        <f t="shared" si="92"/>
        <v>#REF!</v>
      </c>
      <c r="AR94" s="206" t="e">
        <f t="shared" si="92"/>
        <v>#REF!</v>
      </c>
      <c r="AS94" s="206" t="e">
        <f t="shared" si="92"/>
        <v>#REF!</v>
      </c>
      <c r="AT94" s="206" t="e">
        <f t="shared" si="92"/>
        <v>#REF!</v>
      </c>
      <c r="AU94" s="206" t="e">
        <f t="shared" si="92"/>
        <v>#REF!</v>
      </c>
      <c r="AV94" s="206" t="e">
        <f t="shared" si="93"/>
        <v>#REF!</v>
      </c>
      <c r="AW94" s="206" t="e">
        <f t="shared" si="93"/>
        <v>#REF!</v>
      </c>
      <c r="AX94" s="200"/>
      <c r="AY94" s="200"/>
      <c r="AZ94" s="200"/>
      <c r="BJ94" s="208"/>
      <c r="BK94" s="208"/>
      <c r="BL94" s="208"/>
      <c r="BM94" s="208"/>
    </row>
    <row r="95" spans="1:65">
      <c r="A95" s="2" t="s">
        <v>81</v>
      </c>
      <c r="B95" s="180" cm="1">
        <f t="array" ref="B95">INDEX('[3]Canada Corn Imports'!$CC$290:$UR$290,1,ROW(A10))/1000</f>
        <v>1.7E-5</v>
      </c>
      <c r="C95" s="180" cm="1">
        <f t="array" ref="C95">INDEX('[3]Canada Corn Imports'!$CO$290:$UR$290,1,ROW(A10))/1000</f>
        <v>8.7000000000000001E-5</v>
      </c>
      <c r="D95" s="180" cm="1">
        <f t="array" ref="D95">INDEX('[3]Canada Corn Imports'!$DA$290:$UR$290,1,ROW(A10))/1000</f>
        <v>2.5000000000000001E-5</v>
      </c>
      <c r="E95" s="180" cm="1">
        <f t="array" ref="E95">INDEX('[3]Canada Corn Imports'!$DM$290:$UR$290,1,ROW(A10))/1000</f>
        <v>3.9999999999999998E-6</v>
      </c>
      <c r="F95" s="180" cm="1">
        <f t="array" ref="F95">INDEX('[3]Canada Corn Imports'!$DY$290:$UR$290,1,ROW(A10))/1000</f>
        <v>9.9999999999999995E-7</v>
      </c>
      <c r="G95" s="180" cm="1">
        <f t="array" ref="G95">INDEX('[3]Canada Corn Imports'!$EK$290:$UR$290,1,ROW(A10))/1000</f>
        <v>0</v>
      </c>
      <c r="H95" s="180" cm="1">
        <f t="array" ref="H95">INDEX('[3]Canada Corn Imports'!$EW$290:$UR$290,1,ROW(A10))/1000</f>
        <v>0</v>
      </c>
      <c r="I95" s="180" cm="1">
        <f t="array" ref="I95">INDEX('[3]Canada Corn Imports'!$FI$290:$UR$290,1,ROW(A10))/1000</f>
        <v>0</v>
      </c>
      <c r="J95" s="180" cm="1">
        <f t="array" ref="J95">INDEX('[3]Canada Corn Imports'!$FU$290:$UR$290,1,ROW(A10))/1000</f>
        <v>0</v>
      </c>
      <c r="K95" s="180" cm="1">
        <f t="array" ref="K95">INDEX('[3]Canada Corn Imports'!$GG$290:$UR$290,1,ROW(A10))/1000</f>
        <v>1.8610000000000001E-6</v>
      </c>
      <c r="L95" s="180" cm="1">
        <f t="array" ref="L95">INDEX('[3]Canada Corn Imports'!$GS$290:$UR$290,1,ROW(A10))/1000</f>
        <v>0</v>
      </c>
      <c r="M95" s="180" cm="1">
        <f t="array" ref="M95">INDEX('[3]Canada Corn Imports'!$HE$290:$UR$290,1,ROW(A10))/1000</f>
        <v>4.5050000000000001E-6</v>
      </c>
      <c r="N95" s="180" cm="1">
        <f t="array" ref="N95">INDEX('[3]Canada Corn Imports'!$HQ$290:$UR$290,1,ROW(A10))/1000</f>
        <v>3.5176999999999999E-5</v>
      </c>
      <c r="O95" s="180" cm="1">
        <f t="array" ref="O95">INDEX('[3]Canada Corn Imports'!$IC$290:$UR$290,1,ROW(A10))/1000</f>
        <v>4.4153500000000001E-4</v>
      </c>
      <c r="P95" s="180" cm="1">
        <f t="array" ref="P95">INDEX('[3]Canada Corn Imports'!$IO$290:$UR$290,1,ROW(A10))/1000</f>
        <v>2.09798E-4</v>
      </c>
      <c r="Q95" s="180" cm="1">
        <f t="array" ref="Q95">INDEX('[3]Canada Corn Imports'!$JA$290:$UR$290,1,ROW(A10))/1000</f>
        <v>1.5024399999999998E-4</v>
      </c>
      <c r="R95" s="180" cm="1">
        <f t="array" ref="R95">INDEX('[3]Canada Corn Imports'!$JM$290:$UR$290,1,ROW(A10))/1000</f>
        <v>1.2934200000000001E-4</v>
      </c>
      <c r="S95" s="180" cm="1">
        <f t="array" ref="S95">INDEX('[3]Canada Corn Imports'!$JY$290:$UR$290,1,ROW(A10))/1000</f>
        <v>5.8645000000000005E-5</v>
      </c>
      <c r="T95" s="180" cm="1">
        <f t="array" ref="T95">INDEX('[3]Canada Corn Imports'!$KK$290:$UR$290,1,ROW(A10))/1000</f>
        <v>8.9608E-5</v>
      </c>
      <c r="U95" s="180" cm="1">
        <f t="array" ref="U95">INDEX('[3]Canada Corn Imports'!$KW$290:$UR$290,1,ROW(A10))/1000</f>
        <v>1.3122000000000001E-4</v>
      </c>
      <c r="V95" s="180" cm="1">
        <f t="array" ref="V95">INDEX('[3]Canada Corn Imports'!$LI$290:$UR$290,1,ROW(A10))/1000</f>
        <v>3.1646099999999998E-4</v>
      </c>
      <c r="W95" s="180" cm="1">
        <f t="array" ref="W95">INDEX('[3]Canada Corn Imports'!$LU$290:$UR$290,1,ROW(A10))/1000</f>
        <v>7.10777E-4</v>
      </c>
      <c r="X95" s="180" cm="1">
        <f t="array" ref="X95">INDEX('[3]Canada Corn Imports'!$MG$290:$UR$290,1,ROW(A10))/1000</f>
        <v>7.7966999999999999E-4</v>
      </c>
      <c r="Y95" s="180" cm="1">
        <f t="array" ref="Y95">INDEX('[3]Canada Corn Imports'!$MS$290:$UR$290,1,ROW(A10))</f>
        <v>156.71600000000001</v>
      </c>
      <c r="Z95" s="180" cm="1">
        <f t="array" ref="Z95">INDEX('[3]Canada Corn Imports'!$NE$290:$UR$290,1,ROW(A10))</f>
        <v>136.27799999999999</v>
      </c>
      <c r="AA95" s="180" cm="1">
        <f t="array" ref="AA95">INDEX('[3]Canada Corn Imports'!$NQ$290:$UR$290,1,ROW(A10))</f>
        <v>540.17200000000003</v>
      </c>
      <c r="AB95" s="180" cm="1">
        <f t="array" ref="AB95">INDEX('[3]Canada Corn Imports'!$OC$290:$UR$290,1,ROW(A10))</f>
        <v>151.893</v>
      </c>
      <c r="AC95" s="180" cm="1">
        <f t="array" ref="AC95">INDEX('[3]Canada Corn Imports'!$OO$290:$UR$290,1,ROW(A10))</f>
        <v>176.45500000000001</v>
      </c>
      <c r="AD95" s="206">
        <f t="shared" si="94"/>
        <v>187.25566530141668</v>
      </c>
      <c r="AE95" s="206">
        <f>(SUM(Z95:AD95)/SUM(Z$99:AD$99))*AE$99</f>
        <v>190.75554873038257</v>
      </c>
      <c r="AF95" s="206" t="e">
        <f t="shared" si="92"/>
        <v>#REF!</v>
      </c>
      <c r="AG95" s="206" t="e">
        <f t="shared" si="92"/>
        <v>#REF!</v>
      </c>
      <c r="AH95" s="206" t="e">
        <f t="shared" si="92"/>
        <v>#REF!</v>
      </c>
      <c r="AI95" s="206" t="e">
        <f t="shared" si="92"/>
        <v>#REF!</v>
      </c>
      <c r="AJ95" s="206" t="e">
        <f t="shared" si="92"/>
        <v>#REF!</v>
      </c>
      <c r="AK95" s="206" t="e">
        <f t="shared" si="92"/>
        <v>#REF!</v>
      </c>
      <c r="AL95" s="206" t="e">
        <f t="shared" si="92"/>
        <v>#REF!</v>
      </c>
      <c r="AM95" s="206" t="e">
        <f t="shared" si="92"/>
        <v>#REF!</v>
      </c>
      <c r="AN95" s="206" t="e">
        <f t="shared" si="92"/>
        <v>#REF!</v>
      </c>
      <c r="AO95" s="206" t="e">
        <f t="shared" si="92"/>
        <v>#REF!</v>
      </c>
      <c r="AP95" s="206" t="e">
        <f t="shared" si="92"/>
        <v>#REF!</v>
      </c>
      <c r="AQ95" s="206" t="e">
        <f t="shared" si="92"/>
        <v>#REF!</v>
      </c>
      <c r="AR95" s="206" t="e">
        <f t="shared" si="92"/>
        <v>#REF!</v>
      </c>
      <c r="AS95" s="206" t="e">
        <f t="shared" si="92"/>
        <v>#REF!</v>
      </c>
      <c r="AT95" s="206" t="e">
        <f t="shared" si="92"/>
        <v>#REF!</v>
      </c>
      <c r="AU95" s="206" t="e">
        <f t="shared" si="92"/>
        <v>#REF!</v>
      </c>
      <c r="AV95" s="206" t="e">
        <f t="shared" si="93"/>
        <v>#REF!</v>
      </c>
      <c r="AW95" s="206" t="e">
        <f t="shared" si="93"/>
        <v>#REF!</v>
      </c>
      <c r="AX95" s="200"/>
      <c r="AY95" s="200"/>
      <c r="AZ95" s="200"/>
      <c r="BJ95" s="208"/>
      <c r="BK95" s="208"/>
      <c r="BL95" s="208"/>
      <c r="BM95" s="208"/>
    </row>
    <row r="96" spans="1:65">
      <c r="A96" s="2" t="s">
        <v>241</v>
      </c>
      <c r="B96" s="180" cm="1">
        <f t="array" ref="B96">INDEX('[3]Canada Corn Imports'!$CC$290:$UR$290,1,ROW(A11))/1000</f>
        <v>7.9999999999999996E-6</v>
      </c>
      <c r="C96" s="180" cm="1">
        <f t="array" ref="C96">INDEX('[3]Canada Corn Imports'!$CO$290:$UR$290,1,ROW(A11))/1000</f>
        <v>2.6999999999999999E-5</v>
      </c>
      <c r="D96" s="180" cm="1">
        <f t="array" ref="D96">INDEX('[3]Canada Corn Imports'!$DA$290:$UR$290,1,ROW(A11))/1000</f>
        <v>4.4999999999999996E-5</v>
      </c>
      <c r="E96" s="180" cm="1">
        <f t="array" ref="E96">INDEX('[3]Canada Corn Imports'!$DM$290:$UR$290,1,ROW(A11))/1000</f>
        <v>3.1999999999999999E-5</v>
      </c>
      <c r="F96" s="180" cm="1">
        <f t="array" ref="F96">INDEX('[3]Canada Corn Imports'!$DY$290:$UR$290,1,ROW(A11))/1000</f>
        <v>0</v>
      </c>
      <c r="G96" s="180" cm="1">
        <f t="array" ref="G96">INDEX('[3]Canada Corn Imports'!$EK$290:$UR$290,1,ROW(A11))/1000</f>
        <v>0</v>
      </c>
      <c r="H96" s="180" cm="1">
        <f t="array" ref="H96">INDEX('[3]Canada Corn Imports'!$EW$290:$UR$290,1,ROW(A11))/1000</f>
        <v>0</v>
      </c>
      <c r="I96" s="180" cm="1">
        <f t="array" ref="I96">INDEX('[3]Canada Corn Imports'!$FI$290:$UR$290,1,ROW(A11))/1000</f>
        <v>0</v>
      </c>
      <c r="J96" s="180" cm="1">
        <f t="array" ref="J96">INDEX('[3]Canada Corn Imports'!$FU$290:$UR$290,1,ROW(A11))/1000</f>
        <v>5.8500000000000001E-7</v>
      </c>
      <c r="K96" s="180" cm="1">
        <f t="array" ref="K96">INDEX('[3]Canada Corn Imports'!$GG$290:$UR$290,1,ROW(A11))/1000</f>
        <v>0</v>
      </c>
      <c r="L96" s="180" cm="1">
        <f t="array" ref="L96">INDEX('[3]Canada Corn Imports'!$GS$290:$UR$290,1,ROW(A11))/1000</f>
        <v>3.0808000000000002E-4</v>
      </c>
      <c r="M96" s="180" cm="1">
        <f t="array" ref="M96">INDEX('[3]Canada Corn Imports'!$HE$290:$UR$290,1,ROW(A11))/1000</f>
        <v>0</v>
      </c>
      <c r="N96" s="180" cm="1">
        <f t="array" ref="N96">INDEX('[3]Canada Corn Imports'!$HQ$290:$UR$290,1,ROW(A11))/1000</f>
        <v>3.2543999999999999E-5</v>
      </c>
      <c r="O96" s="180" cm="1">
        <f t="array" ref="O96">INDEX('[3]Canada Corn Imports'!$IC$290:$UR$290,1,ROW(A11))/1000</f>
        <v>1.21253E-4</v>
      </c>
      <c r="P96" s="180" cm="1">
        <f t="array" ref="P96">INDEX('[3]Canada Corn Imports'!$IO$290:$UR$290,1,ROW(A11))/1000</f>
        <v>1.5124399999999998E-4</v>
      </c>
      <c r="Q96" s="180" cm="1">
        <f t="array" ref="Q96">INDEX('[3]Canada Corn Imports'!$JA$290:$UR$290,1,ROW(A11))/1000</f>
        <v>1.67517E-4</v>
      </c>
      <c r="R96" s="180" cm="1">
        <f t="array" ref="R96">INDEX('[3]Canada Corn Imports'!$JM$290:$UR$290,1,ROW(A11))/1000</f>
        <v>2.2132900000000001E-4</v>
      </c>
      <c r="S96" s="180" cm="1">
        <f t="array" ref="S96">INDEX('[3]Canada Corn Imports'!$JY$290:$UR$290,1,ROW(A11))/1000</f>
        <v>1.37396E-4</v>
      </c>
      <c r="T96" s="180" cm="1">
        <f t="array" ref="T96">INDEX('[3]Canada Corn Imports'!$KK$290:$UR$290,1,ROW(A11))/1000</f>
        <v>1.2006799999999999E-4</v>
      </c>
      <c r="U96" s="180" cm="1">
        <f t="array" ref="U96">INDEX('[3]Canada Corn Imports'!$KW$290:$UR$290,1,ROW(A11))/1000</f>
        <v>2.7108500000000001E-4</v>
      </c>
      <c r="V96" s="180" cm="1">
        <f t="array" ref="V96">INDEX('[3]Canada Corn Imports'!$LI$290:$UR$290,1,ROW(A11))/1000</f>
        <v>2.9971100000000003E-4</v>
      </c>
      <c r="W96" s="180" cm="1">
        <f t="array" ref="W96">INDEX('[3]Canada Corn Imports'!$LU$290:$UR$290,1,ROW(A11))/1000</f>
        <v>4.92886E-4</v>
      </c>
      <c r="X96" s="180" cm="1">
        <f t="array" ref="X96">INDEX('[3]Canada Corn Imports'!$MG$290:$UR$290,1,ROW(A11))/1000</f>
        <v>6.0073400000000001E-4</v>
      </c>
      <c r="Y96" s="180" cm="1">
        <f t="array" ref="Y96">INDEX('[3]Canada Corn Imports'!$MS$290:$UR$290,1,ROW(A11))</f>
        <v>176.178</v>
      </c>
      <c r="Z96" s="180" cm="1">
        <f t="array" ref="Z96">INDEX('[3]Canada Corn Imports'!$NE$290:$UR$290,1,ROW(A11))</f>
        <v>140.31700000000001</v>
      </c>
      <c r="AA96" s="180" cm="1">
        <f t="array" ref="AA96">INDEX('[3]Canada Corn Imports'!$NQ$290:$UR$290,1,ROW(A11))</f>
        <v>400.42899999999997</v>
      </c>
      <c r="AB96" s="180" cm="1">
        <f t="array" ref="AB96">INDEX('[3]Canada Corn Imports'!$OC$290:$UR$290,1,ROW(A11))</f>
        <v>234.36199999999999</v>
      </c>
      <c r="AC96" s="180" cm="1">
        <f t="array" ref="AC96">INDEX('[3]Canada Corn Imports'!$OO$290:$UR$290,1,ROW(A11))</f>
        <v>211.83699999999999</v>
      </c>
      <c r="AD96" s="206">
        <f t="shared" si="94"/>
        <v>187.5150632643082</v>
      </c>
      <c r="AE96" s="206">
        <f t="shared" si="94"/>
        <v>187.94017446626836</v>
      </c>
      <c r="AF96" s="206" t="e">
        <f t="shared" si="92"/>
        <v>#REF!</v>
      </c>
      <c r="AG96" s="206" t="e">
        <f t="shared" si="92"/>
        <v>#REF!</v>
      </c>
      <c r="AH96" s="206" t="e">
        <f t="shared" si="92"/>
        <v>#REF!</v>
      </c>
      <c r="AI96" s="206" t="e">
        <f t="shared" si="92"/>
        <v>#REF!</v>
      </c>
      <c r="AJ96" s="206" t="e">
        <f t="shared" si="92"/>
        <v>#REF!</v>
      </c>
      <c r="AK96" s="206" t="e">
        <f t="shared" si="92"/>
        <v>#REF!</v>
      </c>
      <c r="AL96" s="206" t="e">
        <f t="shared" si="92"/>
        <v>#REF!</v>
      </c>
      <c r="AM96" s="206" t="e">
        <f t="shared" si="92"/>
        <v>#REF!</v>
      </c>
      <c r="AN96" s="206" t="e">
        <f t="shared" si="92"/>
        <v>#REF!</v>
      </c>
      <c r="AO96" s="206" t="e">
        <f t="shared" si="92"/>
        <v>#REF!</v>
      </c>
      <c r="AP96" s="206" t="e">
        <f t="shared" si="92"/>
        <v>#REF!</v>
      </c>
      <c r="AQ96" s="206" t="e">
        <f t="shared" si="92"/>
        <v>#REF!</v>
      </c>
      <c r="AR96" s="206" t="e">
        <f t="shared" si="92"/>
        <v>#REF!</v>
      </c>
      <c r="AS96" s="206" t="e">
        <f t="shared" si="92"/>
        <v>#REF!</v>
      </c>
      <c r="AT96" s="206" t="e">
        <f t="shared" si="92"/>
        <v>#REF!</v>
      </c>
      <c r="AU96" s="206" t="e">
        <f t="shared" si="92"/>
        <v>#REF!</v>
      </c>
      <c r="AV96" s="206" t="e">
        <f t="shared" si="93"/>
        <v>#REF!</v>
      </c>
      <c r="AW96" s="206" t="e">
        <f t="shared" si="93"/>
        <v>#REF!</v>
      </c>
      <c r="AX96" s="200"/>
      <c r="AY96" s="200"/>
      <c r="AZ96" s="200"/>
      <c r="BJ96" s="208"/>
      <c r="BK96" s="208"/>
      <c r="BL96" s="208"/>
      <c r="BM96" s="208"/>
    </row>
    <row r="97" spans="1:65">
      <c r="A97" s="2" t="s">
        <v>242</v>
      </c>
      <c r="B97" s="180" cm="1">
        <f t="array" ref="B97">INDEX('[3]Canada Corn Imports'!$CC$290:$UR$290,1,ROW(A12))/1000</f>
        <v>1.7E-5</v>
      </c>
      <c r="C97" s="180" cm="1">
        <f t="array" ref="C97">INDEX('[3]Canada Corn Imports'!$CO$290:$UR$290,1,ROW(A12))/1000</f>
        <v>2.3E-5</v>
      </c>
      <c r="D97" s="180" cm="1">
        <f t="array" ref="D97">INDEX('[3]Canada Corn Imports'!$DA$290:$UR$290,1,ROW(A12))/1000</f>
        <v>5.0000000000000004E-6</v>
      </c>
      <c r="E97" s="180" cm="1">
        <f t="array" ref="E97">INDEX('[3]Canada Corn Imports'!$DM$290:$UR$290,1,ROW(A12))/1000</f>
        <v>2.3E-5</v>
      </c>
      <c r="F97" s="180" cm="1">
        <f t="array" ref="F97">INDEX('[3]Canada Corn Imports'!$DY$290:$UR$290,1,ROW(A12))/1000</f>
        <v>6.0000000000000002E-6</v>
      </c>
      <c r="G97" s="180" cm="1">
        <f t="array" ref="G97">INDEX('[3]Canada Corn Imports'!$EK$290:$UR$290,1,ROW(A12))/1000</f>
        <v>2.7599999999999998E-7</v>
      </c>
      <c r="H97" s="180" cm="1">
        <f t="array" ref="H97">INDEX('[3]Canada Corn Imports'!$EW$290:$UR$290,1,ROW(A12))/1000</f>
        <v>0</v>
      </c>
      <c r="I97" s="180" cm="1">
        <f t="array" ref="I97">INDEX('[3]Canada Corn Imports'!$FI$290:$UR$290,1,ROW(A12))/1000</f>
        <v>0</v>
      </c>
      <c r="J97" s="180" cm="1">
        <f t="array" ref="J97">INDEX('[3]Canada Corn Imports'!$FU$290:$UR$290,1,ROW(A12))/1000</f>
        <v>4.0820000000000001E-6</v>
      </c>
      <c r="K97" s="180" cm="1">
        <f t="array" ref="K97">INDEX('[3]Canada Corn Imports'!$GG$290:$UR$290,1,ROW(A12))/1000</f>
        <v>9.9999999999999986E-10</v>
      </c>
      <c r="L97" s="180" cm="1">
        <f t="array" ref="L97">INDEX('[3]Canada Corn Imports'!$GS$290:$UR$290,1,ROW(A12))/1000</f>
        <v>4.0499999999999999E-7</v>
      </c>
      <c r="M97" s="180" cm="1">
        <f t="array" ref="M97">INDEX('[3]Canada Corn Imports'!$HE$290:$UR$290,1,ROW(A12))/1000</f>
        <v>0</v>
      </c>
      <c r="N97" s="180" cm="1">
        <f t="array" ref="N97">INDEX('[3]Canada Corn Imports'!$HQ$290:$UR$290,1,ROW(A12))/1000</f>
        <v>1.6983000000000003E-5</v>
      </c>
      <c r="O97" s="180" cm="1">
        <f t="array" ref="O97">INDEX('[3]Canada Corn Imports'!$IC$290:$UR$290,1,ROW(A12))/1000</f>
        <v>1.03119E-4</v>
      </c>
      <c r="P97" s="180" cm="1">
        <f t="array" ref="P97">INDEX('[3]Canada Corn Imports'!$IO$290:$UR$290,1,ROW(A12))/1000</f>
        <v>1.18634E-4</v>
      </c>
      <c r="Q97" s="180" cm="1">
        <f t="array" ref="Q97">INDEX('[3]Canada Corn Imports'!$JA$290:$UR$290,1,ROW(A12))/1000</f>
        <v>1.4268000000000001E-4</v>
      </c>
      <c r="R97" s="180" cm="1">
        <f t="array" ref="R97">INDEX('[3]Canada Corn Imports'!$JM$290:$UR$290,1,ROW(A12))/1000</f>
        <v>2.1166499999999999E-4</v>
      </c>
      <c r="S97" s="180" cm="1">
        <f t="array" ref="S97">INDEX('[3]Canada Corn Imports'!$JY$290:$UR$290,1,ROW(A12))/1000</f>
        <v>1.77825E-4</v>
      </c>
      <c r="T97" s="180" cm="1">
        <f t="array" ref="T97">INDEX('[3]Canada Corn Imports'!$KK$290:$UR$290,1,ROW(A12))/1000</f>
        <v>2.09428E-4</v>
      </c>
      <c r="U97" s="180" cm="1">
        <f t="array" ref="U97">INDEX('[3]Canada Corn Imports'!$KW$290:$UR$290,1,ROW(A12))/1000</f>
        <v>1.2630700000000001E-4</v>
      </c>
      <c r="V97" s="180" cm="1">
        <f t="array" ref="V97">INDEX('[3]Canada Corn Imports'!$LI$290:$UR$290,1,ROW(A12))/1000</f>
        <v>2.9646499999999999E-4</v>
      </c>
      <c r="W97" s="180" cm="1">
        <f t="array" ref="W97">INDEX('[3]Canada Corn Imports'!$LU$290:$UR$290,1,ROW(A12))/1000</f>
        <v>3.3603399999999997E-4</v>
      </c>
      <c r="X97" s="180" cm="1">
        <f t="array" ref="X97">INDEX('[3]Canada Corn Imports'!$MG$290:$UR$290,1,ROW(A12))/1000</f>
        <v>7.7002400000000001E-4</v>
      </c>
      <c r="Y97" s="180" cm="1">
        <f t="array" ref="Y97">INDEX('[3]Canada Corn Imports'!$MS$290:$UR$290,1,ROW(A12))</f>
        <v>189.97300000000001</v>
      </c>
      <c r="Z97" s="180" cm="1">
        <f t="array" ref="Z97">INDEX('[3]Canada Corn Imports'!$NE$290:$UR$290,1,ROW(A12))</f>
        <v>124.276</v>
      </c>
      <c r="AA97" s="180" cm="1">
        <f t="array" ref="AA97">INDEX('[3]Canada Corn Imports'!$NQ$290:$UR$290,1,ROW(A12))</f>
        <v>310.65300000000002</v>
      </c>
      <c r="AB97" s="180" cm="1">
        <f t="array" ref="AB97">INDEX('[3]Canada Corn Imports'!$OC$290:$UR$290,1,ROW(A12))</f>
        <v>282.40100000000001</v>
      </c>
      <c r="AC97" s="180" cm="1">
        <f t="array" ref="AC97">INDEX('[3]Canada Corn Imports'!$OO$290:$UR$290,1,ROW(A12))</f>
        <v>189.74199999999999</v>
      </c>
      <c r="AD97" s="206">
        <f t="shared" si="94"/>
        <v>176.86217414563464</v>
      </c>
      <c r="AE97" s="206">
        <f t="shared" si="94"/>
        <v>173.45398466140583</v>
      </c>
      <c r="AF97" s="206" t="e">
        <f t="shared" si="92"/>
        <v>#REF!</v>
      </c>
      <c r="AG97" s="206" t="e">
        <f t="shared" si="92"/>
        <v>#REF!</v>
      </c>
      <c r="AH97" s="206" t="e">
        <f t="shared" si="92"/>
        <v>#REF!</v>
      </c>
      <c r="AI97" s="206" t="e">
        <f t="shared" si="92"/>
        <v>#REF!</v>
      </c>
      <c r="AJ97" s="206" t="e">
        <f t="shared" si="92"/>
        <v>#REF!</v>
      </c>
      <c r="AK97" s="206" t="e">
        <f t="shared" si="92"/>
        <v>#REF!</v>
      </c>
      <c r="AL97" s="206" t="e">
        <f t="shared" si="92"/>
        <v>#REF!</v>
      </c>
      <c r="AM97" s="206" t="e">
        <f t="shared" si="92"/>
        <v>#REF!</v>
      </c>
      <c r="AN97" s="206" t="e">
        <f t="shared" si="92"/>
        <v>#REF!</v>
      </c>
      <c r="AO97" s="206" t="e">
        <f t="shared" si="92"/>
        <v>#REF!</v>
      </c>
      <c r="AP97" s="206" t="e">
        <f t="shared" si="92"/>
        <v>#REF!</v>
      </c>
      <c r="AQ97" s="206" t="e">
        <f t="shared" si="92"/>
        <v>#REF!</v>
      </c>
      <c r="AR97" s="206" t="e">
        <f t="shared" si="92"/>
        <v>#REF!</v>
      </c>
      <c r="AS97" s="206" t="e">
        <f t="shared" si="92"/>
        <v>#REF!</v>
      </c>
      <c r="AT97" s="206" t="e">
        <f t="shared" si="92"/>
        <v>#REF!</v>
      </c>
      <c r="AU97" s="206" t="e">
        <f t="shared" si="92"/>
        <v>#REF!</v>
      </c>
      <c r="AV97" s="206" t="e">
        <f t="shared" si="93"/>
        <v>#REF!</v>
      </c>
      <c r="AW97" s="206" t="e">
        <f t="shared" si="93"/>
        <v>#REF!</v>
      </c>
      <c r="AX97" s="200"/>
      <c r="AY97" s="200"/>
      <c r="AZ97" s="200"/>
      <c r="BJ97" s="208"/>
      <c r="BK97" s="208"/>
      <c r="BL97" s="208"/>
      <c r="BM97" s="208"/>
    </row>
    <row r="98" spans="1:65">
      <c r="A98" s="2" t="s">
        <v>243</v>
      </c>
      <c r="B98" s="180" cm="1">
        <f t="array" ref="B98">INDEX('[3]Canada Corn Imports'!$CC$290:$UR$290,1,ROW(A13))/1000</f>
        <v>1.7E-5</v>
      </c>
      <c r="C98" s="180" cm="1">
        <f t="array" ref="C98">INDEX('[3]Canada Corn Imports'!$CO$290:$UR$290,1,ROW(A13))/1000</f>
        <v>6.6000000000000005E-5</v>
      </c>
      <c r="D98" s="180" cm="1">
        <f t="array" ref="D98">INDEX('[3]Canada Corn Imports'!$DA$290:$UR$290,1,ROW(A13))/1000</f>
        <v>1.2999999999999999E-5</v>
      </c>
      <c r="E98" s="180" cm="1">
        <f t="array" ref="E98">INDEX('[3]Canada Corn Imports'!$DM$290:$UR$290,1,ROW(A13))/1000</f>
        <v>0</v>
      </c>
      <c r="F98" s="180" cm="1">
        <f t="array" ref="F98">INDEX('[3]Canada Corn Imports'!$DY$290:$UR$290,1,ROW(A13))/1000</f>
        <v>0</v>
      </c>
      <c r="G98" s="180" cm="1">
        <f t="array" ref="G98">INDEX('[3]Canada Corn Imports'!$EK$290:$UR$290,1,ROW(A13))/1000</f>
        <v>0</v>
      </c>
      <c r="H98" s="180" cm="1">
        <f t="array" ref="H98">INDEX('[3]Canada Corn Imports'!$EW$290:$UR$290,1,ROW(A13))/1000</f>
        <v>0</v>
      </c>
      <c r="I98" s="180" cm="1">
        <f t="array" ref="I98">INDEX('[3]Canada Corn Imports'!$FI$290:$UR$290,1,ROW(A13))/1000</f>
        <v>0</v>
      </c>
      <c r="J98" s="180" cm="1">
        <f t="array" ref="J98">INDEX('[3]Canada Corn Imports'!$FU$290:$UR$290,1,ROW(A13))/1000</f>
        <v>0</v>
      </c>
      <c r="K98" s="180" cm="1">
        <f t="array" ref="K98">INDEX('[3]Canada Corn Imports'!$GG$290:$UR$290,1,ROW(A13))/1000</f>
        <v>1.0999999999999999E-8</v>
      </c>
      <c r="L98" s="180" cm="1">
        <f t="array" ref="L98">INDEX('[3]Canada Corn Imports'!$GS$290:$UR$290,1,ROW(A13))/1000</f>
        <v>2.0000000000000002E-7</v>
      </c>
      <c r="M98" s="180" cm="1">
        <f t="array" ref="M98">INDEX('[3]Canada Corn Imports'!$HE$290:$UR$290,1,ROW(A13))/1000</f>
        <v>1.7000000000000001E-7</v>
      </c>
      <c r="N98" s="180" cm="1">
        <f t="array" ref="N98">INDEX('[3]Canada Corn Imports'!$HQ$290:$UR$290,1,ROW(A13))/1000</f>
        <v>2.5795E-5</v>
      </c>
      <c r="O98" s="180" cm="1">
        <f t="array" ref="O98">INDEX('[3]Canada Corn Imports'!$IC$290:$UR$290,1,ROW(A13))/1000</f>
        <v>2.8208499999999995E-4</v>
      </c>
      <c r="P98" s="180" cm="1">
        <f t="array" ref="P98">INDEX('[3]Canada Corn Imports'!$IO$290:$UR$290,1,ROW(A13))/1000</f>
        <v>1.43256E-4</v>
      </c>
      <c r="Q98" s="180" cm="1">
        <f t="array" ref="Q98">INDEX('[3]Canada Corn Imports'!$JA$290:$UR$290,1,ROW(A13))/1000</f>
        <v>2.3590199999999999E-4</v>
      </c>
      <c r="R98" s="180" cm="1">
        <f t="array" ref="R98">INDEX('[3]Canada Corn Imports'!$JM$290:$UR$290,1,ROW(A13))/1000</f>
        <v>1.2991599999999999E-4</v>
      </c>
      <c r="S98" s="180" cm="1">
        <f t="array" ref="S98">INDEX('[3]Canada Corn Imports'!$JY$290:$UR$290,1,ROW(A13))/1000</f>
        <v>1.3762E-4</v>
      </c>
      <c r="T98" s="180" cm="1">
        <f t="array" ref="T98">INDEX('[3]Canada Corn Imports'!$KK$290:$UR$290,1,ROW(A13))/1000</f>
        <v>9.1932E-5</v>
      </c>
      <c r="U98" s="180" cm="1">
        <f t="array" ref="U98">INDEX('[3]Canada Corn Imports'!$KW$290:$UR$290,1,ROW(A13))/1000</f>
        <v>2.3917400000000001E-4</v>
      </c>
      <c r="V98" s="180" cm="1">
        <f t="array" ref="V98">INDEX('[3]Canada Corn Imports'!$LI$290:$UR$290,1,ROW(A13))/1000</f>
        <v>8.9465900000000001E-4</v>
      </c>
      <c r="W98" s="180" cm="1">
        <f t="array" ref="W98">INDEX('[3]Canada Corn Imports'!$LU$290:$UR$290,1,ROW(A13))/1000</f>
        <v>3.54328E-4</v>
      </c>
      <c r="X98" s="180" cm="1">
        <f t="array" ref="X98">INDEX('[3]Canada Corn Imports'!$MG$290:$UR$290,1,ROW(A13))/1000</f>
        <v>0.16657</v>
      </c>
      <c r="Y98" s="180" cm="1">
        <f t="array" ref="Y98">INDEX('[3]Canada Corn Imports'!$MS$290:$UR$290,1,ROW(A13))</f>
        <v>191.755</v>
      </c>
      <c r="Z98" s="180" cm="1">
        <f t="array" ref="Z98">INDEX('[3]Canada Corn Imports'!$NE$290:$UR$290,1,ROW(A13))</f>
        <v>167.37299999999999</v>
      </c>
      <c r="AA98" s="180" cm="1">
        <f t="array" ref="AA98">INDEX('[3]Canada Corn Imports'!$NQ$290:$UR$290,1,ROW(A13))</f>
        <v>101.88</v>
      </c>
      <c r="AB98" s="180" cm="1">
        <f t="array" ref="AB98">INDEX('[3]Canada Corn Imports'!$OC$290:$UR$290,1,ROW(A13))</f>
        <v>224.61799999999999</v>
      </c>
      <c r="AC98" s="180" cm="1">
        <f t="array" ref="AC98">INDEX('[3]Canada Corn Imports'!$OO$290:$UR$290,1,ROW(A13))</f>
        <v>160.33199999999999</v>
      </c>
      <c r="AD98" s="206">
        <f t="shared" si="94"/>
        <v>136.38271093336442</v>
      </c>
      <c r="AE98" s="206">
        <f t="shared" si="94"/>
        <v>126.51159549042687</v>
      </c>
      <c r="AF98" s="206" t="e">
        <f t="shared" ref="AF98:AH98" si="95">AF99-SUM(AF87:AF97)</f>
        <v>#REF!</v>
      </c>
      <c r="AG98" s="206" t="e">
        <f t="shared" si="95"/>
        <v>#REF!</v>
      </c>
      <c r="AH98" s="206" t="e">
        <f t="shared" si="95"/>
        <v>#REF!</v>
      </c>
      <c r="AI98" s="206" t="e">
        <f>AI99-SUM(AI87:AI97)</f>
        <v>#REF!</v>
      </c>
      <c r="AJ98" s="206" t="e">
        <f>AJ99-SUM(AJ87:AJ97)</f>
        <v>#REF!</v>
      </c>
      <c r="AK98" s="206" t="e">
        <f t="shared" ref="AK98:AW98" si="96">AK99-SUM(AK87:AK97)</f>
        <v>#REF!</v>
      </c>
      <c r="AL98" s="206" t="e">
        <f t="shared" si="96"/>
        <v>#REF!</v>
      </c>
      <c r="AM98" s="206" t="e">
        <f t="shared" si="96"/>
        <v>#REF!</v>
      </c>
      <c r="AN98" s="206" t="e">
        <f t="shared" si="96"/>
        <v>#REF!</v>
      </c>
      <c r="AO98" s="206" t="e">
        <f t="shared" si="96"/>
        <v>#REF!</v>
      </c>
      <c r="AP98" s="206" t="e">
        <f t="shared" si="96"/>
        <v>#REF!</v>
      </c>
      <c r="AQ98" s="206" t="e">
        <f t="shared" si="96"/>
        <v>#REF!</v>
      </c>
      <c r="AR98" s="206" t="e">
        <f t="shared" si="96"/>
        <v>#REF!</v>
      </c>
      <c r="AS98" s="206" t="e">
        <f t="shared" si="96"/>
        <v>#REF!</v>
      </c>
      <c r="AT98" s="206" t="e">
        <f t="shared" si="96"/>
        <v>#REF!</v>
      </c>
      <c r="AU98" s="206" t="e">
        <f t="shared" si="96"/>
        <v>#REF!</v>
      </c>
      <c r="AV98" s="206" t="e">
        <f t="shared" si="96"/>
        <v>#REF!</v>
      </c>
      <c r="AW98" s="206" t="e">
        <f t="shared" si="96"/>
        <v>#REF!</v>
      </c>
      <c r="AX98" s="200"/>
      <c r="AY98" s="200"/>
      <c r="AZ98" s="200"/>
      <c r="BJ98" s="208"/>
      <c r="BK98" s="208"/>
      <c r="BL98" s="208"/>
      <c r="BM98" s="208"/>
    </row>
    <row r="99" spans="1:65">
      <c r="A99" s="2" t="s">
        <v>85</v>
      </c>
      <c r="B99" s="180">
        <f t="shared" ref="B99:AC99" si="97">SUM(B87:B98)</f>
        <v>8.839999999999998E-4</v>
      </c>
      <c r="C99" s="180">
        <f t="shared" si="97"/>
        <v>8.4500000000000005E-4</v>
      </c>
      <c r="D99" s="180">
        <f t="shared" si="97"/>
        <v>6.2E-4</v>
      </c>
      <c r="E99" s="180">
        <f>SUM(E87:E98)</f>
        <v>1.3199999999999998E-4</v>
      </c>
      <c r="F99" s="180">
        <f>SUM(F87:F98)</f>
        <v>1.34E-4</v>
      </c>
      <c r="G99" s="180">
        <f t="shared" si="97"/>
        <v>4.4916000000000002E-5</v>
      </c>
      <c r="H99" s="180">
        <f t="shared" si="97"/>
        <v>7.2044000000000017E-5</v>
      </c>
      <c r="I99" s="180">
        <f t="shared" si="97"/>
        <v>0</v>
      </c>
      <c r="J99" s="180">
        <f t="shared" si="97"/>
        <v>4.673E-6</v>
      </c>
      <c r="K99" s="180">
        <f t="shared" si="97"/>
        <v>1.8820000000000001E-6</v>
      </c>
      <c r="L99" s="180">
        <f t="shared" si="97"/>
        <v>3.09198E-4</v>
      </c>
      <c r="M99" s="180">
        <f t="shared" si="97"/>
        <v>6.46E-6</v>
      </c>
      <c r="N99" s="180">
        <f t="shared" si="97"/>
        <v>5.6368099999999999E-3</v>
      </c>
      <c r="O99" s="180">
        <f t="shared" si="97"/>
        <v>1.4192499999999999E-3</v>
      </c>
      <c r="P99" s="180">
        <f t="shared" si="97"/>
        <v>1.8198789999999999E-3</v>
      </c>
      <c r="Q99" s="180">
        <f t="shared" si="97"/>
        <v>1.7750000000000001E-3</v>
      </c>
      <c r="R99" s="180">
        <f t="shared" si="97"/>
        <v>1.9725159999999997E-3</v>
      </c>
      <c r="S99" s="180">
        <f t="shared" si="97"/>
        <v>1.8191009999999996E-3</v>
      </c>
      <c r="T99" s="180">
        <f t="shared" si="97"/>
        <v>1.74628E-3</v>
      </c>
      <c r="U99" s="180">
        <f>SUM(U87:U98)</f>
        <v>1.7557200000000001E-3</v>
      </c>
      <c r="V99" s="180">
        <f t="shared" si="97"/>
        <v>5.2523140000000001E-3</v>
      </c>
      <c r="W99" s="180">
        <f t="shared" si="97"/>
        <v>6.4096159999999999E-3</v>
      </c>
      <c r="X99" s="180">
        <f t="shared" si="97"/>
        <v>0.17228399999999999</v>
      </c>
      <c r="Y99" s="180">
        <f t="shared" si="97"/>
        <v>1881.0720000000001</v>
      </c>
      <c r="Z99" s="180">
        <f t="shared" si="97"/>
        <v>1704.91</v>
      </c>
      <c r="AA99" s="180">
        <f t="shared" si="97"/>
        <v>5668.576</v>
      </c>
      <c r="AB99" s="180">
        <f t="shared" si="97"/>
        <v>2297.3270000000002</v>
      </c>
      <c r="AC99" s="180">
        <f t="shared" si="97"/>
        <v>2714.6110000000003</v>
      </c>
      <c r="AD99" s="206">
        <v>2300</v>
      </c>
      <c r="AE99" s="206">
        <v>2350</v>
      </c>
      <c r="AF99" s="206" t="e">
        <f t="shared" ref="AF99:AW99" si="98">AF10</f>
        <v>#REF!</v>
      </c>
      <c r="AG99" s="206" t="e">
        <f t="shared" si="98"/>
        <v>#REF!</v>
      </c>
      <c r="AH99" s="206" t="e">
        <f t="shared" si="98"/>
        <v>#REF!</v>
      </c>
      <c r="AI99" s="206" t="e">
        <f t="shared" si="98"/>
        <v>#REF!</v>
      </c>
      <c r="AJ99" s="206" t="e">
        <f t="shared" si="98"/>
        <v>#REF!</v>
      </c>
      <c r="AK99" s="206" t="e">
        <f t="shared" si="98"/>
        <v>#REF!</v>
      </c>
      <c r="AL99" s="206" t="e">
        <f t="shared" si="98"/>
        <v>#REF!</v>
      </c>
      <c r="AM99" s="206" t="e">
        <f t="shared" si="98"/>
        <v>#REF!</v>
      </c>
      <c r="AN99" s="206" t="e">
        <f t="shared" si="98"/>
        <v>#REF!</v>
      </c>
      <c r="AO99" s="206" t="e">
        <f t="shared" si="98"/>
        <v>#REF!</v>
      </c>
      <c r="AP99" s="206" t="e">
        <f t="shared" si="98"/>
        <v>#REF!</v>
      </c>
      <c r="AQ99" s="206" t="e">
        <f t="shared" si="98"/>
        <v>#REF!</v>
      </c>
      <c r="AR99" s="206" t="e">
        <f t="shared" si="98"/>
        <v>#REF!</v>
      </c>
      <c r="AS99" s="206" t="e">
        <f t="shared" si="98"/>
        <v>#REF!</v>
      </c>
      <c r="AT99" s="206" t="e">
        <f t="shared" si="98"/>
        <v>#REF!</v>
      </c>
      <c r="AU99" s="206" t="e">
        <f t="shared" si="98"/>
        <v>#REF!</v>
      </c>
      <c r="AV99" s="206">
        <f t="shared" si="98"/>
        <v>0</v>
      </c>
      <c r="AW99" s="206">
        <f t="shared" si="98"/>
        <v>0</v>
      </c>
      <c r="AX99" s="200"/>
      <c r="AY99" s="200"/>
      <c r="AZ99" s="200"/>
    </row>
    <row r="101" spans="1:65" ht="17.25" thickBot="1">
      <c r="A101" s="209" t="s">
        <v>245</v>
      </c>
    </row>
    <row r="102" spans="1:65" ht="15">
      <c r="A102" s="3" t="s">
        <v>246</v>
      </c>
      <c r="B102" s="139">
        <f>B34/B60</f>
        <v>0.33420536298234144</v>
      </c>
      <c r="C102" s="139">
        <f>C34/C60</f>
        <v>0.31671554252199413</v>
      </c>
      <c r="D102" s="139">
        <f t="shared" ref="D102:AE102" si="99">D34/D60</f>
        <v>0.33333333333333331</v>
      </c>
      <c r="E102" s="139">
        <f t="shared" si="99"/>
        <v>0.34689826302729526</v>
      </c>
      <c r="F102" s="139">
        <f t="shared" si="99"/>
        <v>0.34032634032634029</v>
      </c>
      <c r="G102" s="139">
        <f t="shared" si="99"/>
        <v>0.33041575492341357</v>
      </c>
      <c r="H102" s="139">
        <f t="shared" si="99"/>
        <v>0.32494758909853255</v>
      </c>
      <c r="I102" s="139">
        <f t="shared" si="99"/>
        <v>0.32629399585921326</v>
      </c>
      <c r="J102" s="139">
        <f t="shared" si="99"/>
        <v>0.33194154488517746</v>
      </c>
      <c r="K102" s="139">
        <f t="shared" si="99"/>
        <v>0.35745614035087719</v>
      </c>
      <c r="L102" s="139">
        <f t="shared" si="99"/>
        <v>0.35570469798657722</v>
      </c>
      <c r="M102" s="139">
        <f t="shared" si="99"/>
        <v>0.31372549019607848</v>
      </c>
      <c r="N102" s="139">
        <f t="shared" si="99"/>
        <v>0.33131067961165045</v>
      </c>
      <c r="O102" s="139">
        <f t="shared" si="99"/>
        <v>0.34820457018498374</v>
      </c>
      <c r="P102" s="139">
        <f t="shared" si="99"/>
        <v>0.32323232323232326</v>
      </c>
      <c r="Q102" s="139">
        <f t="shared" si="99"/>
        <v>0.34644913627639157</v>
      </c>
      <c r="R102" s="139">
        <f t="shared" si="99"/>
        <v>0.33463585910069094</v>
      </c>
      <c r="S102" s="139">
        <f t="shared" si="99"/>
        <v>0.33478802992518703</v>
      </c>
      <c r="T102" s="139">
        <f t="shared" si="99"/>
        <v>0.3380822735240368</v>
      </c>
      <c r="U102" s="139">
        <f t="shared" si="99"/>
        <v>0.35051057206848119</v>
      </c>
      <c r="V102" s="139">
        <f t="shared" si="99"/>
        <v>0.34138629133326909</v>
      </c>
      <c r="W102" s="139">
        <f t="shared" si="99"/>
        <v>0.35503450408829951</v>
      </c>
      <c r="X102" s="139">
        <f t="shared" si="99"/>
        <v>0.31132156991514442</v>
      </c>
      <c r="Y102" s="139">
        <f t="shared" si="99"/>
        <v>0.33533837421982537</v>
      </c>
      <c r="Z102" s="139">
        <f t="shared" si="99"/>
        <v>0.33868447486885672</v>
      </c>
      <c r="AA102" s="139">
        <f t="shared" si="99"/>
        <v>0.31211081020475051</v>
      </c>
      <c r="AB102" s="139">
        <f t="shared" si="99"/>
        <v>0.34629320217019921</v>
      </c>
      <c r="AC102" s="139">
        <f>AC34/AC60</f>
        <v>0.31504109086665888</v>
      </c>
      <c r="AD102" s="139">
        <f t="shared" si="99"/>
        <v>0.32033900068072818</v>
      </c>
      <c r="AE102" s="139">
        <f t="shared" si="99"/>
        <v>0.31639698038632846</v>
      </c>
    </row>
    <row r="103" spans="1:65" ht="15">
      <c r="A103" s="3" t="s">
        <v>247</v>
      </c>
      <c r="B103" s="139">
        <f>B47/B60</f>
        <v>0.58207979071288429</v>
      </c>
      <c r="C103" s="139">
        <f t="shared" ref="C103:AE103" si="100">C47/C60</f>
        <v>0.55425219941348969</v>
      </c>
      <c r="D103" s="139">
        <f t="shared" si="100"/>
        <v>0.59891598915989164</v>
      </c>
      <c r="E103" s="139">
        <f t="shared" si="100"/>
        <v>0.61042183622828783</v>
      </c>
      <c r="F103" s="139">
        <f t="shared" si="100"/>
        <v>0.58741258741258739</v>
      </c>
      <c r="G103" s="139">
        <f t="shared" si="100"/>
        <v>0.48358862144420128</v>
      </c>
      <c r="H103" s="139">
        <f t="shared" si="100"/>
        <v>0.57232704402515733</v>
      </c>
      <c r="I103" s="139">
        <f t="shared" si="100"/>
        <v>0.58178053830227738</v>
      </c>
      <c r="J103" s="139">
        <f t="shared" si="100"/>
        <v>0.580375782881002</v>
      </c>
      <c r="K103" s="139">
        <f t="shared" si="100"/>
        <v>0.61842105263157898</v>
      </c>
      <c r="L103" s="139">
        <f t="shared" si="100"/>
        <v>0.55503355704697988</v>
      </c>
      <c r="M103" s="139">
        <f t="shared" si="100"/>
        <v>0.56582633053221287</v>
      </c>
      <c r="N103" s="139">
        <f t="shared" si="100"/>
        <v>0.58859223300970864</v>
      </c>
      <c r="O103" s="139">
        <f t="shared" si="100"/>
        <v>0.60174102285092501</v>
      </c>
      <c r="P103" s="139">
        <f t="shared" si="100"/>
        <v>0.56484848484848482</v>
      </c>
      <c r="Q103" s="139">
        <f t="shared" si="100"/>
        <v>0.56333973128598847</v>
      </c>
      <c r="R103" s="139">
        <f t="shared" si="100"/>
        <v>0.6036168686525466</v>
      </c>
      <c r="S103" s="139">
        <f t="shared" si="100"/>
        <v>0.6061603802992519</v>
      </c>
      <c r="T103" s="139">
        <f t="shared" si="100"/>
        <v>0.57899153395740866</v>
      </c>
      <c r="U103" s="139">
        <f t="shared" si="100"/>
        <v>0.60727707550392895</v>
      </c>
      <c r="V103" s="139">
        <f t="shared" si="100"/>
        <v>0.59122722452520982</v>
      </c>
      <c r="W103" s="139">
        <f t="shared" si="100"/>
        <v>0.61562252334100087</v>
      </c>
      <c r="X103" s="139">
        <f t="shared" si="100"/>
        <v>0.55207991289770675</v>
      </c>
      <c r="Y103" s="139">
        <f t="shared" si="100"/>
        <v>0.62342315162257467</v>
      </c>
      <c r="Z103" s="139">
        <f t="shared" si="100"/>
        <v>0.59483239703858026</v>
      </c>
      <c r="AA103" s="139">
        <f t="shared" si="100"/>
        <v>0.55551722353509392</v>
      </c>
      <c r="AB103" s="139">
        <f t="shared" si="100"/>
        <v>0.6411098804137646</v>
      </c>
      <c r="AC103" s="139">
        <f t="shared" si="100"/>
        <v>0.58234009568420886</v>
      </c>
      <c r="AD103" s="139">
        <f t="shared" si="100"/>
        <v>0.59563547603059896</v>
      </c>
      <c r="AE103" s="139">
        <f t="shared" si="100"/>
        <v>0.5930157457517663</v>
      </c>
    </row>
    <row r="104" spans="1:65" ht="15">
      <c r="A104" s="3" t="s">
        <v>248</v>
      </c>
      <c r="B104" s="139">
        <f>B60/(SUM(B34+B47))-1</f>
        <v>9.1363311920056978E-2</v>
      </c>
      <c r="C104" s="139">
        <f t="shared" ref="C104:AD104" si="101">C60/(SUM(C34+C47))-1</f>
        <v>0.14814814814814836</v>
      </c>
      <c r="D104" s="139">
        <f t="shared" si="101"/>
        <v>7.267441860465107E-2</v>
      </c>
      <c r="E104" s="139">
        <f t="shared" si="101"/>
        <v>4.4582685329186189E-2</v>
      </c>
      <c r="F104" s="139">
        <f t="shared" si="101"/>
        <v>7.7889447236180853E-2</v>
      </c>
      <c r="G104" s="139">
        <f t="shared" si="101"/>
        <v>0.22849462365591422</v>
      </c>
      <c r="H104" s="139">
        <f t="shared" si="101"/>
        <v>0.11448598130841114</v>
      </c>
      <c r="I104" s="139">
        <f t="shared" si="101"/>
        <v>0.10123119015047877</v>
      </c>
      <c r="J104" s="139">
        <f t="shared" si="101"/>
        <v>9.6109839816933551E-2</v>
      </c>
      <c r="K104" s="139">
        <f t="shared" si="101"/>
        <v>2.4719101123595655E-2</v>
      </c>
      <c r="L104" s="139">
        <f t="shared" si="101"/>
        <v>9.801031687546069E-2</v>
      </c>
      <c r="M104" s="139">
        <f t="shared" si="101"/>
        <v>0.13694267515923553</v>
      </c>
      <c r="N104" s="139">
        <f t="shared" si="101"/>
        <v>8.7071240105540904E-2</v>
      </c>
      <c r="O104" s="139">
        <f t="shared" si="101"/>
        <v>5.2691867124856628E-2</v>
      </c>
      <c r="P104" s="139">
        <f t="shared" si="101"/>
        <v>0.12602365787079162</v>
      </c>
      <c r="Q104" s="139">
        <f t="shared" si="101"/>
        <v>9.9156118143459926E-2</v>
      </c>
      <c r="R104" s="139">
        <f t="shared" si="101"/>
        <v>6.5810916846065659E-2</v>
      </c>
      <c r="S104" s="139">
        <f t="shared" si="101"/>
        <v>6.2757521171087127E-2</v>
      </c>
      <c r="T104" s="139">
        <f t="shared" si="101"/>
        <v>9.0424774802253083E-2</v>
      </c>
      <c r="U104" s="139">
        <f t="shared" si="101"/>
        <v>4.4072767627125531E-2</v>
      </c>
      <c r="V104" s="139">
        <f t="shared" si="101"/>
        <v>7.2255530287368197E-2</v>
      </c>
      <c r="W104" s="139">
        <f t="shared" si="101"/>
        <v>3.0230010952902564E-2</v>
      </c>
      <c r="X104" s="139">
        <f t="shared" si="101"/>
        <v>0.15820973198022359</v>
      </c>
      <c r="Y104" s="139">
        <f t="shared" si="101"/>
        <v>4.3012233017346579E-2</v>
      </c>
      <c r="Z104" s="139">
        <f t="shared" si="101"/>
        <v>7.1217918061533547E-2</v>
      </c>
      <c r="AA104" s="139">
        <f t="shared" si="101"/>
        <v>0.15256764548002955</v>
      </c>
      <c r="AB104" s="139">
        <f t="shared" si="101"/>
        <v>1.2757624153928004E-2</v>
      </c>
      <c r="AC104" s="210">
        <f>AC60/(SUM(AC34+AC47))-1</f>
        <v>0.11435364924860214</v>
      </c>
      <c r="AD104" s="139">
        <f t="shared" si="101"/>
        <v>9.1733476668863334E-2</v>
      </c>
      <c r="AE104" s="139">
        <f t="shared" ref="AE104" si="102">AE60/(SUM(AE34+AE47))-1</f>
        <v>9.9610739170753027E-2</v>
      </c>
    </row>
    <row r="106" spans="1:65" ht="17.25" thickBot="1">
      <c r="A106" s="209" t="s">
        <v>249</v>
      </c>
    </row>
    <row r="107" spans="1:65" ht="15">
      <c r="A107" s="3" t="s">
        <v>246</v>
      </c>
      <c r="R107" s="139">
        <f>R36/R62</f>
        <v>0.32586307505480466</v>
      </c>
      <c r="S107" s="139">
        <f t="shared" ref="S107:Z107" si="103">S36/S62</f>
        <v>0.30205102027460368</v>
      </c>
      <c r="T107" s="139">
        <f t="shared" si="103"/>
        <v>0.2830924045517943</v>
      </c>
      <c r="U107" s="139">
        <f t="shared" si="103"/>
        <v>0.29303891170144414</v>
      </c>
      <c r="V107" s="139">
        <f t="shared" si="103"/>
        <v>0.34541444218863571</v>
      </c>
      <c r="W107" s="139">
        <f t="shared" si="103"/>
        <v>0.27228921113951543</v>
      </c>
      <c r="X107" s="139">
        <f t="shared" si="103"/>
        <v>0.33118889674010488</v>
      </c>
      <c r="Y107" s="139">
        <f t="shared" si="103"/>
        <v>0.38592001488960753</v>
      </c>
      <c r="Z107" s="139">
        <f t="shared" si="103"/>
        <v>0.37802001511438849</v>
      </c>
      <c r="AA107" s="139">
        <f>AA36/AA62</f>
        <v>0.36980580328292617</v>
      </c>
      <c r="AB107" s="139">
        <f t="shared" ref="AB107:AE107" si="104">AB36/AB62</f>
        <v>0.35929681938698654</v>
      </c>
      <c r="AC107" s="139">
        <f t="shared" si="104"/>
        <v>0.42826126656250629</v>
      </c>
      <c r="AD107" s="139">
        <f t="shared" si="104"/>
        <v>0.44937738462125426</v>
      </c>
      <c r="AE107" s="139">
        <f t="shared" si="104"/>
        <v>0.50145598016843629</v>
      </c>
    </row>
    <row r="108" spans="1:65" ht="15">
      <c r="A108" s="3" t="s">
        <v>247</v>
      </c>
      <c r="R108" s="139">
        <f>R49/R62</f>
        <v>0.6460800857949438</v>
      </c>
      <c r="S108" s="139">
        <f t="shared" ref="S108:Z108" si="105">S49/S62</f>
        <v>0.5710396460779309</v>
      </c>
      <c r="T108" s="139">
        <f t="shared" si="105"/>
        <v>0.59733826922324917</v>
      </c>
      <c r="U108" s="139">
        <f t="shared" si="105"/>
        <v>0.59688818123411269</v>
      </c>
      <c r="V108" s="139">
        <f t="shared" si="105"/>
        <v>0.58305135724490553</v>
      </c>
      <c r="W108" s="139">
        <f t="shared" si="105"/>
        <v>0.55567495418862967</v>
      </c>
      <c r="X108" s="139">
        <f t="shared" si="105"/>
        <v>0.57337664392157695</v>
      </c>
      <c r="Y108" s="139">
        <f t="shared" si="105"/>
        <v>0.56515366540260092</v>
      </c>
      <c r="Z108" s="139">
        <f t="shared" si="105"/>
        <v>0.58025511255639284</v>
      </c>
      <c r="AA108" s="139">
        <f>AA49/AA62</f>
        <v>0.57910042652190763</v>
      </c>
      <c r="AB108" s="139">
        <f t="shared" ref="AB108" si="106">AB49/AB62</f>
        <v>0.49196851368499234</v>
      </c>
      <c r="AC108" s="139">
        <f>AC49/AC62</f>
        <v>0.61301057159669659</v>
      </c>
      <c r="AD108" s="139">
        <f>AD49/AD62</f>
        <v>0.61583973073780829</v>
      </c>
      <c r="AE108" s="139">
        <f>AE49/AE62</f>
        <v>0.67172079911857197</v>
      </c>
    </row>
    <row r="109" spans="1:65" ht="15">
      <c r="A109" s="3" t="s">
        <v>248</v>
      </c>
      <c r="R109" s="139">
        <f>R62/(SUM(R36+R49))-1</f>
        <v>2.8866748880378879E-2</v>
      </c>
      <c r="S109" s="139">
        <f t="shared" ref="S109:Z109" si="107">S62/(SUM(S36+S49))-1</f>
        <v>0.1453564200584665</v>
      </c>
      <c r="T109" s="139">
        <f t="shared" si="107"/>
        <v>0.13580776975008879</v>
      </c>
      <c r="U109" s="139">
        <f t="shared" si="107"/>
        <v>0.12368755591129532</v>
      </c>
      <c r="V109" s="139">
        <f t="shared" si="107"/>
        <v>7.7045595659098964E-2</v>
      </c>
      <c r="W109" s="139">
        <f t="shared" si="107"/>
        <v>0.20778173968878533</v>
      </c>
      <c r="X109" s="139">
        <f t="shared" si="107"/>
        <v>0.10550308965838862</v>
      </c>
      <c r="Y109" s="139">
        <f t="shared" si="107"/>
        <v>5.1443248532289765E-2</v>
      </c>
      <c r="Z109" s="139">
        <f t="shared" si="107"/>
        <v>4.3541641773210626E-2</v>
      </c>
      <c r="AA109" s="139">
        <f>AA62/(SUM(AA36+AA49))-1</f>
        <v>5.3844909634195082E-2</v>
      </c>
      <c r="AB109" s="139">
        <f t="shared" ref="AB109:AE109" si="108">AB62/(SUM(AB36+AB49))-1</f>
        <v>0.17472186538042034</v>
      </c>
      <c r="AC109" s="210">
        <f t="shared" si="108"/>
        <v>-3.9635988074127493E-2</v>
      </c>
      <c r="AD109" s="210">
        <f t="shared" si="108"/>
        <v>-6.1224246605424915E-2</v>
      </c>
      <c r="AE109" s="210">
        <f t="shared" si="108"/>
        <v>-0.14761354157747264</v>
      </c>
    </row>
  </sheetData>
  <hyperlinks>
    <hyperlink ref="AW23" r:id="rId1" xr:uid="{4D2B3ED6-BFD1-4A8C-8897-2B6B8A1CBA8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87BB-21AA-4F98-9A2B-CC46FB61EC6C}">
  <sheetPr>
    <tabColor rgb="FF92D050"/>
  </sheetPr>
  <dimension ref="A1:BB97"/>
  <sheetViews>
    <sheetView zoomScale="90" zoomScaleNormal="90" workbookViewId="0">
      <pane xSplit="1" ySplit="2" topLeftCell="AU4" activePane="bottomRight" state="frozen"/>
      <selection activeCell="P12" sqref="P12"/>
      <selection pane="topRight" activeCell="P12" sqref="P12"/>
      <selection pane="bottomLeft" activeCell="P12" sqref="P12"/>
      <selection pane="bottomRight" activeCell="P12" sqref="P12"/>
    </sheetView>
  </sheetViews>
  <sheetFormatPr defaultColWidth="9.140625" defaultRowHeight="12.75"/>
  <cols>
    <col min="1" max="1" width="27.42578125" style="3" customWidth="1"/>
    <col min="2" max="44" width="8" style="3" customWidth="1"/>
    <col min="45" max="53" width="9.28515625" style="3" customWidth="1"/>
    <col min="54" max="16384" width="9.140625" style="3"/>
  </cols>
  <sheetData>
    <row r="1" spans="1:53" ht="18.75" thickBot="1">
      <c r="A1" s="64" t="s">
        <v>250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</row>
    <row r="2" spans="1:53" ht="17.25" thickBot="1">
      <c r="A2" s="65" t="s">
        <v>42</v>
      </c>
      <c r="B2" s="66" t="s">
        <v>89</v>
      </c>
      <c r="C2" s="66" t="s">
        <v>90</v>
      </c>
      <c r="D2" s="66" t="s">
        <v>91</v>
      </c>
      <c r="E2" s="66" t="s">
        <v>92</v>
      </c>
      <c r="F2" s="66" t="s">
        <v>93</v>
      </c>
      <c r="G2" s="66" t="s">
        <v>94</v>
      </c>
      <c r="H2" s="66" t="s">
        <v>95</v>
      </c>
      <c r="I2" s="66" t="s">
        <v>96</v>
      </c>
      <c r="J2" s="66" t="s">
        <v>97</v>
      </c>
      <c r="K2" s="66" t="s">
        <v>98</v>
      </c>
      <c r="L2" s="66" t="s">
        <v>99</v>
      </c>
      <c r="M2" s="66" t="s">
        <v>100</v>
      </c>
      <c r="N2" s="66" t="s">
        <v>101</v>
      </c>
      <c r="O2" s="66" t="s">
        <v>102</v>
      </c>
      <c r="P2" s="66" t="s">
        <v>103</v>
      </c>
      <c r="Q2" s="66" t="s">
        <v>104</v>
      </c>
      <c r="R2" s="66" t="s">
        <v>105</v>
      </c>
      <c r="S2" s="66" t="s">
        <v>106</v>
      </c>
      <c r="T2" s="66" t="s">
        <v>107</v>
      </c>
      <c r="U2" s="66" t="s">
        <v>108</v>
      </c>
      <c r="V2" s="66" t="s">
        <v>109</v>
      </c>
      <c r="W2" s="66" t="s">
        <v>110</v>
      </c>
      <c r="X2" s="66" t="s">
        <v>111</v>
      </c>
      <c r="Y2" s="66" t="s">
        <v>112</v>
      </c>
      <c r="Z2" s="66" t="s">
        <v>113</v>
      </c>
      <c r="AA2" s="66" t="s">
        <v>43</v>
      </c>
      <c r="AB2" s="66" t="s">
        <v>44</v>
      </c>
      <c r="AC2" s="66" t="s">
        <v>45</v>
      </c>
      <c r="AD2" s="66" t="s">
        <v>46</v>
      </c>
      <c r="AE2" s="66" t="s">
        <v>47</v>
      </c>
      <c r="AF2" s="66" t="s">
        <v>48</v>
      </c>
      <c r="AG2" s="66" t="s">
        <v>49</v>
      </c>
      <c r="AH2" s="66" t="s">
        <v>50</v>
      </c>
      <c r="AI2" s="66" t="s">
        <v>51</v>
      </c>
      <c r="AJ2" s="66" t="s">
        <v>52</v>
      </c>
      <c r="AK2" s="66" t="s">
        <v>53</v>
      </c>
      <c r="AL2" s="66" t="s">
        <v>54</v>
      </c>
      <c r="AM2" s="66" t="s">
        <v>55</v>
      </c>
      <c r="AN2" s="66" t="s">
        <v>56</v>
      </c>
      <c r="AO2" s="66" t="s">
        <v>57</v>
      </c>
      <c r="AP2" s="66" t="s">
        <v>58</v>
      </c>
      <c r="AQ2" s="66" t="s">
        <v>59</v>
      </c>
      <c r="AR2" s="66" t="s">
        <v>60</v>
      </c>
      <c r="AS2" s="66" t="s">
        <v>61</v>
      </c>
      <c r="AT2" s="66" t="s">
        <v>62</v>
      </c>
      <c r="AU2" s="66" t="s">
        <v>63</v>
      </c>
      <c r="AV2" s="66" t="s">
        <v>64</v>
      </c>
      <c r="AW2" s="66" t="s">
        <v>65</v>
      </c>
      <c r="AX2" s="66" t="s">
        <v>2</v>
      </c>
      <c r="AY2" s="66" t="s">
        <v>3</v>
      </c>
      <c r="AZ2" s="66" t="s">
        <v>4</v>
      </c>
      <c r="BA2" s="66" t="s">
        <v>163</v>
      </c>
    </row>
    <row r="3" spans="1:53" ht="15.75" hidden="1">
      <c r="A3" s="69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ht="15.75">
      <c r="A4" s="69" t="s">
        <v>10</v>
      </c>
      <c r="B4" s="80">
        <v>18.597999999999999</v>
      </c>
      <c r="C4" s="80">
        <v>19.23</v>
      </c>
      <c r="D4" s="80">
        <v>19.657</v>
      </c>
      <c r="E4" s="80">
        <v>19.960999999999999</v>
      </c>
      <c r="F4" s="80">
        <v>20.132999999999999</v>
      </c>
      <c r="G4" s="80">
        <v>20.353000000000002</v>
      </c>
      <c r="H4" s="80">
        <v>19.425000000000001</v>
      </c>
      <c r="I4" s="80">
        <v>18.542999999999999</v>
      </c>
      <c r="J4" s="80">
        <v>18.824000000000002</v>
      </c>
      <c r="K4" s="80">
        <v>18.536999999999999</v>
      </c>
      <c r="L4" s="80">
        <v>17.693999999999999</v>
      </c>
      <c r="M4" s="80">
        <v>19.123999999999999</v>
      </c>
      <c r="N4" s="80">
        <v>20.212</v>
      </c>
      <c r="O4" s="80">
        <v>19.692</v>
      </c>
      <c r="P4" s="80">
        <v>20.353000000000002</v>
      </c>
      <c r="Q4" s="80">
        <v>21.402000000000001</v>
      </c>
      <c r="R4" s="80">
        <v>21.574000000000002</v>
      </c>
      <c r="S4" s="80">
        <v>21.04</v>
      </c>
      <c r="T4" s="80">
        <v>20.69</v>
      </c>
      <c r="U4" s="80">
        <v>21.152000000000001</v>
      </c>
      <c r="V4" s="80">
        <v>22.766999999999999</v>
      </c>
      <c r="W4" s="80">
        <v>24.498000000000001</v>
      </c>
      <c r="X4" s="80">
        <v>23.774999999999999</v>
      </c>
      <c r="Y4" s="80">
        <v>25.239000000000001</v>
      </c>
      <c r="Z4" s="80">
        <v>25.904</v>
      </c>
      <c r="AA4" s="80">
        <v>23.056000000000001</v>
      </c>
      <c r="AB4" s="80">
        <v>24.282</v>
      </c>
      <c r="AC4" s="80">
        <v>24.634</v>
      </c>
      <c r="AD4" s="80">
        <v>24.068000000000001</v>
      </c>
      <c r="AE4" s="80">
        <v>25.446000000000002</v>
      </c>
      <c r="AF4" s="80">
        <v>26.358000000000001</v>
      </c>
      <c r="AG4" s="80">
        <v>28.463000000000001</v>
      </c>
      <c r="AH4" s="80">
        <v>30.024000000000001</v>
      </c>
      <c r="AI4" s="80">
        <v>30.981000000000002</v>
      </c>
      <c r="AJ4" s="80">
        <v>32.948</v>
      </c>
      <c r="AK4" s="80">
        <v>34.976999999999997</v>
      </c>
      <c r="AL4" s="80">
        <v>36.767000000000003</v>
      </c>
      <c r="AM4" s="80">
        <v>39.109000000000002</v>
      </c>
      <c r="AN4" s="80">
        <v>41.298999999999999</v>
      </c>
      <c r="AO4" s="80">
        <v>42.997</v>
      </c>
      <c r="AP4" s="80">
        <v>44.968000000000004</v>
      </c>
      <c r="AQ4" s="80">
        <v>44.177999999999997</v>
      </c>
      <c r="AR4" s="80">
        <v>42.399000000000001</v>
      </c>
      <c r="AS4" s="80">
        <v>42.13</v>
      </c>
      <c r="AT4" s="80">
        <v>41.28</v>
      </c>
      <c r="AU4" s="80">
        <v>41.264000000000003</v>
      </c>
      <c r="AV4" s="80">
        <v>43.323999999999998</v>
      </c>
      <c r="AW4" s="80">
        <v>43.07</v>
      </c>
      <c r="AX4" s="80">
        <v>44.218000000000004</v>
      </c>
      <c r="AY4" s="103">
        <f>FORECAST(AY22,AO4:AX4,AO22:AX22)+2</f>
        <v>44.622066666666655</v>
      </c>
      <c r="AZ4" s="103">
        <f>FORECAST(AZ22,AP4:AY4,AP22:AY22)+2</f>
        <v>45.281559999999999</v>
      </c>
      <c r="BA4" s="103">
        <f>FORECAST(BA22,AQ4:AZ4,AQ22:AZ22)+2</f>
        <v>46.622112888888921</v>
      </c>
    </row>
    <row r="5" spans="1:53" ht="15.75">
      <c r="A5" s="72" t="s">
        <v>11</v>
      </c>
      <c r="B5" s="211">
        <v>2.538982686310356</v>
      </c>
      <c r="C5" s="211">
        <v>2.5044201768070722</v>
      </c>
      <c r="D5" s="211">
        <v>2.5125909345271404</v>
      </c>
      <c r="E5" s="211">
        <v>2.802715294824909</v>
      </c>
      <c r="F5" s="211">
        <v>2.981920230467392</v>
      </c>
      <c r="G5" s="211">
        <v>3.0757136540067802</v>
      </c>
      <c r="H5" s="211">
        <v>3.0478764478764475</v>
      </c>
      <c r="I5" s="211">
        <v>3.2659224505204123</v>
      </c>
      <c r="J5" s="211">
        <v>3.6233000424989372</v>
      </c>
      <c r="K5" s="211">
        <v>3.9601877326428223</v>
      </c>
      <c r="L5" s="211">
        <v>3.6072114841189107</v>
      </c>
      <c r="M5" s="211">
        <v>3.7050826186990169</v>
      </c>
      <c r="N5" s="211">
        <v>3.9204433010093012</v>
      </c>
      <c r="O5" s="211">
        <v>3.9280418444038188</v>
      </c>
      <c r="P5" s="211">
        <v>3.8779541099592194</v>
      </c>
      <c r="Q5" s="211">
        <v>4.5238762732454907</v>
      </c>
      <c r="R5" s="211">
        <v>4.578195976638546</v>
      </c>
      <c r="S5" s="211">
        <v>4.5332699619771866</v>
      </c>
      <c r="T5" s="211">
        <v>4.9637506041565969</v>
      </c>
      <c r="U5" s="211">
        <f>U7/U4</f>
        <v>4.6936459909228443</v>
      </c>
      <c r="V5" s="211">
        <f t="shared" ref="V5:AX5" si="0">V7/V4</f>
        <v>4.9194008872490889</v>
      </c>
      <c r="W5" s="211">
        <f t="shared" si="0"/>
        <v>5.2032819005633106</v>
      </c>
      <c r="X5" s="211">
        <f t="shared" si="0"/>
        <v>4.3873396424815985</v>
      </c>
      <c r="Y5" s="211">
        <f t="shared" si="0"/>
        <v>5.2677998335908711</v>
      </c>
      <c r="Z5" s="211">
        <f t="shared" si="0"/>
        <v>4.9446417541692407</v>
      </c>
      <c r="AA5" s="211">
        <f t="shared" si="0"/>
        <v>4.5975017349063148</v>
      </c>
      <c r="AB5" s="211">
        <f t="shared" si="0"/>
        <v>4.6984597644345607</v>
      </c>
      <c r="AC5" s="211">
        <f t="shared" si="0"/>
        <v>4.9244134123569054</v>
      </c>
      <c r="AD5" s="211">
        <f t="shared" si="0"/>
        <v>4.8126142595978063</v>
      </c>
      <c r="AE5" s="211">
        <f t="shared" si="0"/>
        <v>5.1201367601980667</v>
      </c>
      <c r="AF5" s="211">
        <f t="shared" si="0"/>
        <v>5.2873890279990894</v>
      </c>
      <c r="AG5" s="211">
        <f t="shared" si="0"/>
        <v>5.3263183782454417</v>
      </c>
      <c r="AH5" s="211">
        <f t="shared" si="0"/>
        <v>5.1666333599786833</v>
      </c>
      <c r="AI5" s="211">
        <f t="shared" si="0"/>
        <v>5.5556631483812655</v>
      </c>
      <c r="AJ5" s="211">
        <f t="shared" si="0"/>
        <v>5.2585589413621463</v>
      </c>
      <c r="AK5" s="211">
        <f t="shared" si="0"/>
        <v>5.4536409640620986</v>
      </c>
      <c r="AL5" s="211">
        <f t="shared" si="0"/>
        <v>5.7474365599586585</v>
      </c>
      <c r="AM5" s="211">
        <f t="shared" si="0"/>
        <v>5.8697230816436115</v>
      </c>
      <c r="AN5" s="211">
        <f t="shared" si="0"/>
        <v>6.015956802828156</v>
      </c>
      <c r="AO5" s="211">
        <f t="shared" si="0"/>
        <v>5.8088703863060216</v>
      </c>
      <c r="AP5" s="211">
        <f t="shared" si="0"/>
        <v>5.8929016189290158</v>
      </c>
      <c r="AQ5" s="211">
        <f t="shared" si="0"/>
        <v>5.9670650550047535</v>
      </c>
      <c r="AR5" s="211">
        <f t="shared" si="0"/>
        <v>6.1103092054057884</v>
      </c>
      <c r="AS5" s="211">
        <f t="shared" si="0"/>
        <v>6.1042962259672437</v>
      </c>
      <c r="AT5" s="211">
        <f t="shared" si="0"/>
        <v>6.317320736434108</v>
      </c>
      <c r="AU5" s="211">
        <f t="shared" si="0"/>
        <v>6.3171287320666929</v>
      </c>
      <c r="AV5" s="211">
        <f t="shared" si="0"/>
        <v>6.2910165266365068</v>
      </c>
      <c r="AW5" s="211">
        <f t="shared" si="0"/>
        <v>6.4360343626654277</v>
      </c>
      <c r="AX5" s="211">
        <f t="shared" si="0"/>
        <v>6.5322266950110803</v>
      </c>
      <c r="AY5" s="212">
        <f t="shared" ref="AY5:BA5" si="1">FORECAST(AY22,AJ5:AX5,AJ22:AX22)</f>
        <v>6.6090202453957545</v>
      </c>
      <c r="AZ5" s="212">
        <f t="shared" si="1"/>
        <v>6.6478832091233073</v>
      </c>
      <c r="BA5" s="212">
        <f t="shared" si="1"/>
        <v>6.6901097295953349</v>
      </c>
    </row>
    <row r="6" spans="1:53" ht="15.75">
      <c r="A6" s="83" t="s">
        <v>251</v>
      </c>
      <c r="B6" s="104">
        <v>17.901</v>
      </c>
      <c r="C6" s="104">
        <f t="shared" ref="C6:T6" si="2">B15</f>
        <v>21.326000000000001</v>
      </c>
      <c r="D6" s="104">
        <f t="shared" si="2"/>
        <v>22.138000000000002</v>
      </c>
      <c r="E6" s="104">
        <f t="shared" si="2"/>
        <v>22.422000000000001</v>
      </c>
      <c r="F6" s="104">
        <f t="shared" si="2"/>
        <v>32.749000000000002</v>
      </c>
      <c r="G6" s="104">
        <f t="shared" si="2"/>
        <v>41.375</v>
      </c>
      <c r="H6" s="104">
        <f t="shared" si="2"/>
        <v>42.822000000000003</v>
      </c>
      <c r="I6" s="104">
        <f t="shared" si="2"/>
        <v>41.171999999999997</v>
      </c>
      <c r="J6" s="104">
        <f t="shared" si="2"/>
        <v>42.722999999999999</v>
      </c>
      <c r="K6" s="104">
        <f t="shared" si="2"/>
        <v>48.929000000000002</v>
      </c>
      <c r="L6" s="104">
        <f t="shared" si="2"/>
        <v>55.999000000000002</v>
      </c>
      <c r="M6" s="104">
        <f t="shared" si="2"/>
        <v>54.098999999999997</v>
      </c>
      <c r="N6" s="104">
        <f t="shared" si="2"/>
        <v>58.655999999999999</v>
      </c>
      <c r="O6" s="104">
        <f t="shared" si="2"/>
        <v>66.302999999999997</v>
      </c>
      <c r="P6" s="104">
        <f t="shared" si="2"/>
        <v>70.646000000000001</v>
      </c>
      <c r="Q6" s="104">
        <f t="shared" si="2"/>
        <v>72.730999999999995</v>
      </c>
      <c r="R6" s="104">
        <f t="shared" si="2"/>
        <v>82.820999999999998</v>
      </c>
      <c r="S6" s="104">
        <f t="shared" si="2"/>
        <v>88.417000000000002</v>
      </c>
      <c r="T6" s="104">
        <f t="shared" si="2"/>
        <v>84.534000000000006</v>
      </c>
      <c r="U6" s="104">
        <f>T15</f>
        <v>82.74</v>
      </c>
      <c r="V6" s="104">
        <f t="shared" ref="V6:BA6" si="3">U15</f>
        <v>87.974000000000004</v>
      </c>
      <c r="W6" s="104">
        <f t="shared" si="3"/>
        <v>100.093</v>
      </c>
      <c r="X6" s="104">
        <f t="shared" si="3"/>
        <v>117.996</v>
      </c>
      <c r="Y6" s="104">
        <f t="shared" si="3"/>
        <v>106.919</v>
      </c>
      <c r="Z6" s="104">
        <f t="shared" si="3"/>
        <v>122.877</v>
      </c>
      <c r="AA6" s="104">
        <f t="shared" si="3"/>
        <v>123.79900000000001</v>
      </c>
      <c r="AB6" s="104">
        <f t="shared" si="3"/>
        <v>102.372</v>
      </c>
      <c r="AC6" s="104">
        <f t="shared" si="3"/>
        <v>84.787999999999997</v>
      </c>
      <c r="AD6" s="104">
        <f t="shared" si="3"/>
        <v>64.980999999999995</v>
      </c>
      <c r="AE6" s="104">
        <f t="shared" si="3"/>
        <v>44.86</v>
      </c>
      <c r="AF6" s="104">
        <f t="shared" si="3"/>
        <v>36.56</v>
      </c>
      <c r="AG6" s="104">
        <f t="shared" si="3"/>
        <v>35.26</v>
      </c>
      <c r="AH6" s="104">
        <f t="shared" si="3"/>
        <v>36.61</v>
      </c>
      <c r="AI6" s="104">
        <f t="shared" si="3"/>
        <v>36.225000000000001</v>
      </c>
      <c r="AJ6" s="104">
        <f t="shared" si="3"/>
        <v>44.22</v>
      </c>
      <c r="AK6" s="104">
        <f t="shared" si="3"/>
        <v>42.624000000000002</v>
      </c>
      <c r="AL6" s="104">
        <f t="shared" si="3"/>
        <v>43.244</v>
      </c>
      <c r="AM6" s="104">
        <f t="shared" si="3"/>
        <v>55.7</v>
      </c>
      <c r="AN6" s="104">
        <f t="shared" si="3"/>
        <v>80.88</v>
      </c>
      <c r="AO6" s="104">
        <f t="shared" si="3"/>
        <v>123.58799999999999</v>
      </c>
      <c r="AP6" s="104">
        <f t="shared" si="3"/>
        <v>172.85499999999999</v>
      </c>
      <c r="AQ6" s="104">
        <f t="shared" si="3"/>
        <v>212.017</v>
      </c>
      <c r="AR6" s="104">
        <f t="shared" si="3"/>
        <v>223.03299999999999</v>
      </c>
      <c r="AS6" s="104">
        <f t="shared" si="3"/>
        <v>222.541</v>
      </c>
      <c r="AT6" s="104">
        <f t="shared" si="3"/>
        <v>210.179</v>
      </c>
      <c r="AU6" s="104">
        <f t="shared" si="3"/>
        <v>200.52600000000001</v>
      </c>
      <c r="AV6" s="104">
        <f t="shared" si="3"/>
        <v>205.70400000000001</v>
      </c>
      <c r="AW6" s="104">
        <f t="shared" si="3"/>
        <v>209.137</v>
      </c>
      <c r="AX6" s="104">
        <f t="shared" si="3"/>
        <v>206.04</v>
      </c>
      <c r="AY6" s="105">
        <f t="shared" si="3"/>
        <v>212</v>
      </c>
      <c r="AZ6" s="105">
        <f t="shared" si="3"/>
        <v>210</v>
      </c>
      <c r="BA6" s="105">
        <f t="shared" si="3"/>
        <v>215</v>
      </c>
    </row>
    <row r="7" spans="1:53" ht="15.75">
      <c r="A7" s="79" t="s">
        <v>13</v>
      </c>
      <c r="B7" s="80">
        <v>47.22</v>
      </c>
      <c r="C7" s="80">
        <v>48.16</v>
      </c>
      <c r="D7" s="80">
        <v>49.39</v>
      </c>
      <c r="E7" s="80">
        <v>55.945</v>
      </c>
      <c r="F7" s="80">
        <v>60.034999999999997</v>
      </c>
      <c r="G7" s="80">
        <v>62.6</v>
      </c>
      <c r="H7" s="80">
        <v>59.204999999999998</v>
      </c>
      <c r="I7" s="80">
        <v>60.56</v>
      </c>
      <c r="J7" s="80">
        <v>68.204999999999998</v>
      </c>
      <c r="K7" s="80">
        <v>73.41</v>
      </c>
      <c r="L7" s="80">
        <v>63.826000000000001</v>
      </c>
      <c r="M7" s="80">
        <v>70.855999999999995</v>
      </c>
      <c r="N7" s="80">
        <v>79.239999999999995</v>
      </c>
      <c r="O7" s="80">
        <v>77.350999999999999</v>
      </c>
      <c r="P7" s="80">
        <v>78.927999999999997</v>
      </c>
      <c r="Q7" s="80">
        <v>96.82</v>
      </c>
      <c r="R7" s="80">
        <v>98.77</v>
      </c>
      <c r="S7" s="80">
        <v>95.38</v>
      </c>
      <c r="T7" s="80">
        <v>102.7</v>
      </c>
      <c r="U7" s="80">
        <v>99.28</v>
      </c>
      <c r="V7" s="80">
        <v>112</v>
      </c>
      <c r="W7" s="80">
        <v>127.47</v>
      </c>
      <c r="X7" s="80">
        <v>104.309</v>
      </c>
      <c r="Y7" s="80">
        <v>132.95400000000001</v>
      </c>
      <c r="Z7" s="80">
        <v>128.08600000000001</v>
      </c>
      <c r="AA7" s="80">
        <v>106</v>
      </c>
      <c r="AB7" s="80">
        <v>114.08799999999999</v>
      </c>
      <c r="AC7" s="80">
        <v>121.30800000000001</v>
      </c>
      <c r="AD7" s="80">
        <v>115.83</v>
      </c>
      <c r="AE7" s="80">
        <v>130.28700000000001</v>
      </c>
      <c r="AF7" s="80">
        <v>139.36500000000001</v>
      </c>
      <c r="AG7" s="80">
        <v>151.60300000000001</v>
      </c>
      <c r="AH7" s="80">
        <v>155.12299999999999</v>
      </c>
      <c r="AI7" s="80">
        <v>172.12</v>
      </c>
      <c r="AJ7" s="80">
        <v>173.25899999999999</v>
      </c>
      <c r="AK7" s="80">
        <v>190.75200000000001</v>
      </c>
      <c r="AL7" s="80">
        <v>211.316</v>
      </c>
      <c r="AM7" s="80">
        <v>229.559</v>
      </c>
      <c r="AN7" s="80">
        <v>248.453</v>
      </c>
      <c r="AO7" s="80">
        <v>249.76400000000001</v>
      </c>
      <c r="AP7" s="80">
        <v>264.99200000000002</v>
      </c>
      <c r="AQ7" s="80">
        <v>263.613</v>
      </c>
      <c r="AR7" s="80">
        <v>259.07100000000003</v>
      </c>
      <c r="AS7" s="80">
        <v>257.17399999999998</v>
      </c>
      <c r="AT7" s="80">
        <v>260.779</v>
      </c>
      <c r="AU7" s="80">
        <v>260.67</v>
      </c>
      <c r="AV7" s="80">
        <v>272.55200000000002</v>
      </c>
      <c r="AW7" s="80">
        <v>277.2</v>
      </c>
      <c r="AX7" s="80">
        <v>288.84199999999998</v>
      </c>
      <c r="AY7" s="103">
        <v>295</v>
      </c>
      <c r="AZ7" s="103">
        <f t="shared" ref="AZ7:BA7" si="4">AZ4*AZ5</f>
        <v>301.02652240690958</v>
      </c>
      <c r="BA7" s="103">
        <f t="shared" si="4"/>
        <v>311.90705105224782</v>
      </c>
    </row>
    <row r="8" spans="1:53" ht="15.75">
      <c r="A8" s="79" t="s">
        <v>14</v>
      </c>
      <c r="B8" s="80">
        <v>0</v>
      </c>
      <c r="C8" s="80">
        <v>0</v>
      </c>
      <c r="D8" s="80">
        <v>5.8999999999999997E-2</v>
      </c>
      <c r="E8" s="80">
        <v>3.032</v>
      </c>
      <c r="F8" s="80">
        <v>1.966</v>
      </c>
      <c r="G8" s="80">
        <v>0.77200000000000002</v>
      </c>
      <c r="H8" s="80">
        <v>1.2450000000000001</v>
      </c>
      <c r="I8" s="80">
        <v>2.4409999999999998</v>
      </c>
      <c r="J8" s="80">
        <v>0.13100000000000001</v>
      </c>
      <c r="K8" s="80">
        <v>0.1</v>
      </c>
      <c r="L8" s="80">
        <v>0.374</v>
      </c>
      <c r="M8" s="80">
        <v>1.5509999999999999</v>
      </c>
      <c r="N8" s="80">
        <v>0.217</v>
      </c>
      <c r="O8" s="80">
        <v>0</v>
      </c>
      <c r="P8" s="80">
        <v>0.442</v>
      </c>
      <c r="Q8" s="80">
        <v>0</v>
      </c>
      <c r="R8" s="80">
        <v>0</v>
      </c>
      <c r="S8" s="80">
        <v>0</v>
      </c>
      <c r="T8" s="80">
        <v>0</v>
      </c>
      <c r="U8" s="80">
        <f t="shared" ref="U8:AV8" si="5">U55/1000</f>
        <v>2.5798069999999997</v>
      </c>
      <c r="V8" s="80">
        <f t="shared" si="5"/>
        <v>3.0396449999999997</v>
      </c>
      <c r="W8" s="80">
        <f t="shared" si="5"/>
        <v>3.0089999999999995E-3</v>
      </c>
      <c r="X8" s="80">
        <f t="shared" si="5"/>
        <v>0.11882300000000001</v>
      </c>
      <c r="Y8" s="80">
        <f t="shared" si="5"/>
        <v>0.20224300000000001</v>
      </c>
      <c r="Z8" s="80">
        <f t="shared" si="5"/>
        <v>2.8800000000000001E-4</v>
      </c>
      <c r="AA8" s="80">
        <f t="shared" si="5"/>
        <v>2.9960000000000001E-2</v>
      </c>
      <c r="AB8" s="80">
        <f t="shared" si="5"/>
        <v>1.2475000000000002E-2</v>
      </c>
      <c r="AC8" s="80">
        <f t="shared" si="5"/>
        <v>9.9000000000000008E-5</v>
      </c>
      <c r="AD8" s="80">
        <f t="shared" si="5"/>
        <v>2.1379999999999997E-3</v>
      </c>
      <c r="AE8" s="80">
        <f t="shared" si="5"/>
        <v>1.58E-3</v>
      </c>
      <c r="AF8" s="80">
        <f t="shared" si="5"/>
        <v>6.2185999999999998E-2</v>
      </c>
      <c r="AG8" s="80">
        <f t="shared" si="5"/>
        <v>1.5747000000000001E-2</v>
      </c>
      <c r="AH8" s="80">
        <f t="shared" si="5"/>
        <v>4.1261000000000006E-2</v>
      </c>
      <c r="AI8" s="80">
        <f t="shared" si="5"/>
        <v>4.705800000000001E-2</v>
      </c>
      <c r="AJ8" s="80">
        <f t="shared" si="5"/>
        <v>1.2963690000000001</v>
      </c>
      <c r="AK8" s="80">
        <f t="shared" si="5"/>
        <v>0.97946500000000003</v>
      </c>
      <c r="AL8" s="80">
        <f t="shared" si="5"/>
        <v>5.3303069999999995</v>
      </c>
      <c r="AM8" s="80">
        <f t="shared" si="5"/>
        <v>2.7021319999999998</v>
      </c>
      <c r="AN8" s="80">
        <f t="shared" si="5"/>
        <v>3.2765710000000001</v>
      </c>
      <c r="AO8" s="80">
        <f t="shared" si="5"/>
        <v>5.515833999999999</v>
      </c>
      <c r="AP8" s="80">
        <f t="shared" si="5"/>
        <v>3.1741180000000009</v>
      </c>
      <c r="AQ8" s="80">
        <f t="shared" si="5"/>
        <v>2.4635669999999998</v>
      </c>
      <c r="AR8" s="80">
        <f t="shared" si="5"/>
        <v>3.4550289999999997</v>
      </c>
      <c r="AS8" s="80">
        <f t="shared" si="5"/>
        <v>4.4832320000000001</v>
      </c>
      <c r="AT8" s="80">
        <f t="shared" si="5"/>
        <v>7.5959127520000012</v>
      </c>
      <c r="AU8" s="80">
        <f t="shared" si="5"/>
        <v>29.548618773999998</v>
      </c>
      <c r="AV8" s="80">
        <f t="shared" si="5"/>
        <v>21.884079051000001</v>
      </c>
      <c r="AW8" s="80">
        <f>17.5+3.5+2.5-4.789</f>
        <v>18.710999999999999</v>
      </c>
      <c r="AX8" s="80">
        <v>23.5</v>
      </c>
      <c r="AY8" s="103">
        <v>7.5</v>
      </c>
      <c r="AZ8" s="103">
        <f>AZ55/1000</f>
        <v>10</v>
      </c>
      <c r="BA8" s="103">
        <f t="shared" ref="BA8" si="6">17.5+3.5</f>
        <v>21</v>
      </c>
    </row>
    <row r="9" spans="1:53" ht="15.75">
      <c r="A9" s="79" t="s">
        <v>15</v>
      </c>
      <c r="B9" s="80">
        <v>65.120999999999995</v>
      </c>
      <c r="C9" s="80">
        <v>69.48599999999999</v>
      </c>
      <c r="D9" s="80">
        <v>71.587000000000003</v>
      </c>
      <c r="E9" s="80">
        <v>81.399000000000001</v>
      </c>
      <c r="F9" s="80">
        <v>94.749999999999986</v>
      </c>
      <c r="G9" s="80">
        <v>104.747</v>
      </c>
      <c r="H9" s="80">
        <v>103.27200000000001</v>
      </c>
      <c r="I9" s="80">
        <v>104.173</v>
      </c>
      <c r="J9" s="80">
        <v>111.059</v>
      </c>
      <c r="K9" s="80">
        <v>122.43899999999999</v>
      </c>
      <c r="L9" s="80">
        <v>120.199</v>
      </c>
      <c r="M9" s="80">
        <v>126.50599999999999</v>
      </c>
      <c r="N9" s="80">
        <v>138.113</v>
      </c>
      <c r="O9" s="80">
        <v>143.654</v>
      </c>
      <c r="P9" s="80">
        <v>150.01600000000002</v>
      </c>
      <c r="Q9" s="80">
        <v>169.55099999999999</v>
      </c>
      <c r="R9" s="80">
        <v>181.59100000000001</v>
      </c>
      <c r="S9" s="80">
        <v>183.797</v>
      </c>
      <c r="T9" s="80">
        <v>187.23400000000001</v>
      </c>
      <c r="U9" s="80">
        <f>SUM(U6:U8)</f>
        <v>184.59980699999997</v>
      </c>
      <c r="V9" s="80">
        <f t="shared" ref="V9:BA9" si="7">SUM(V6:V8)</f>
        <v>203.013645</v>
      </c>
      <c r="W9" s="80">
        <f t="shared" si="7"/>
        <v>227.56600899999998</v>
      </c>
      <c r="X9" s="80">
        <f t="shared" si="7"/>
        <v>222.423823</v>
      </c>
      <c r="Y9" s="80">
        <f t="shared" si="7"/>
        <v>240.075243</v>
      </c>
      <c r="Z9" s="80">
        <f t="shared" si="7"/>
        <v>250.96328800000003</v>
      </c>
      <c r="AA9" s="80">
        <f t="shared" si="7"/>
        <v>229.82896</v>
      </c>
      <c r="AB9" s="80">
        <f t="shared" si="7"/>
        <v>216.47247499999997</v>
      </c>
      <c r="AC9" s="80">
        <f t="shared" si="7"/>
        <v>206.09609900000001</v>
      </c>
      <c r="AD9" s="80">
        <f t="shared" si="7"/>
        <v>180.81313799999998</v>
      </c>
      <c r="AE9" s="80">
        <f t="shared" si="7"/>
        <v>175.14857999999998</v>
      </c>
      <c r="AF9" s="80">
        <f t="shared" si="7"/>
        <v>175.98718600000001</v>
      </c>
      <c r="AG9" s="80">
        <f t="shared" si="7"/>
        <v>186.878747</v>
      </c>
      <c r="AH9" s="80">
        <f t="shared" si="7"/>
        <v>191.774261</v>
      </c>
      <c r="AI9" s="80">
        <f t="shared" si="7"/>
        <v>208.39205799999999</v>
      </c>
      <c r="AJ9" s="80">
        <f t="shared" si="7"/>
        <v>218.77536899999998</v>
      </c>
      <c r="AK9" s="80">
        <f t="shared" si="7"/>
        <v>234.35546500000001</v>
      </c>
      <c r="AL9" s="80">
        <f t="shared" si="7"/>
        <v>259.89030700000001</v>
      </c>
      <c r="AM9" s="80">
        <f t="shared" si="7"/>
        <v>287.96113200000002</v>
      </c>
      <c r="AN9" s="80">
        <f t="shared" si="7"/>
        <v>332.60957099999996</v>
      </c>
      <c r="AO9" s="80">
        <f t="shared" si="7"/>
        <v>378.86783399999996</v>
      </c>
      <c r="AP9" s="80">
        <f t="shared" si="7"/>
        <v>441.021118</v>
      </c>
      <c r="AQ9" s="80">
        <f t="shared" si="7"/>
        <v>478.09356700000001</v>
      </c>
      <c r="AR9" s="80">
        <f t="shared" si="7"/>
        <v>485.55902900000007</v>
      </c>
      <c r="AS9" s="80">
        <f t="shared" si="7"/>
        <v>484.19823199999996</v>
      </c>
      <c r="AT9" s="80">
        <f t="shared" si="7"/>
        <v>478.55391275199997</v>
      </c>
      <c r="AU9" s="80">
        <f t="shared" si="7"/>
        <v>490.744618774</v>
      </c>
      <c r="AV9" s="80">
        <f t="shared" si="7"/>
        <v>500.14007905100004</v>
      </c>
      <c r="AW9" s="80">
        <f t="shared" si="7"/>
        <v>505.048</v>
      </c>
      <c r="AX9" s="80">
        <f t="shared" si="7"/>
        <v>518.38199999999995</v>
      </c>
      <c r="AY9" s="103">
        <f t="shared" si="7"/>
        <v>514.5</v>
      </c>
      <c r="AZ9" s="103">
        <f t="shared" si="7"/>
        <v>521.02652240690963</v>
      </c>
      <c r="BA9" s="103">
        <f t="shared" si="7"/>
        <v>547.90705105224788</v>
      </c>
    </row>
    <row r="10" spans="1:53" ht="15.75">
      <c r="A10" s="83" t="s">
        <v>17</v>
      </c>
      <c r="B10" s="104">
        <f>B12-B11</f>
        <v>11.382999999999996</v>
      </c>
      <c r="C10" s="104">
        <f t="shared" ref="C10:BA10" si="8">C12-C11</f>
        <v>11.589999999999982</v>
      </c>
      <c r="D10" s="104">
        <f t="shared" si="8"/>
        <v>10.326000000000001</v>
      </c>
      <c r="E10" s="104">
        <f t="shared" si="8"/>
        <v>11.899999999999999</v>
      </c>
      <c r="F10" s="104">
        <f t="shared" si="8"/>
        <v>17.799999999999983</v>
      </c>
      <c r="G10" s="104">
        <f t="shared" si="8"/>
        <v>27.099999999999994</v>
      </c>
      <c r="H10" s="104">
        <f t="shared" si="8"/>
        <v>29.500000000000007</v>
      </c>
      <c r="I10" s="104">
        <f t="shared" si="8"/>
        <v>31.300000000000004</v>
      </c>
      <c r="J10" s="104">
        <f t="shared" si="8"/>
        <v>33.099999999999994</v>
      </c>
      <c r="K10" s="104">
        <f t="shared" si="8"/>
        <v>35.5</v>
      </c>
      <c r="L10" s="104">
        <f t="shared" si="8"/>
        <v>37.199999999999996</v>
      </c>
      <c r="M10" s="104">
        <f t="shared" si="8"/>
        <v>40.599999999999994</v>
      </c>
      <c r="N10" s="104">
        <f t="shared" si="8"/>
        <v>43</v>
      </c>
      <c r="O10" s="104">
        <f t="shared" si="8"/>
        <v>45</v>
      </c>
      <c r="P10" s="104">
        <f t="shared" si="8"/>
        <v>48.000000000000028</v>
      </c>
      <c r="Q10" s="104">
        <f t="shared" si="8"/>
        <v>53.658807999999993</v>
      </c>
      <c r="R10" s="104">
        <f t="shared" si="8"/>
        <v>57.216984000000011</v>
      </c>
      <c r="S10" s="104">
        <f t="shared" si="8"/>
        <v>60.977294999999998</v>
      </c>
      <c r="T10" s="104">
        <f t="shared" si="8"/>
        <v>67.269755000000004</v>
      </c>
      <c r="U10" s="104">
        <f t="shared" si="8"/>
        <v>69.306056999999967</v>
      </c>
      <c r="V10" s="104">
        <f t="shared" si="8"/>
        <v>76.563218999999989</v>
      </c>
      <c r="W10" s="104">
        <f t="shared" si="8"/>
        <v>78.92830499999998</v>
      </c>
      <c r="X10" s="104">
        <f t="shared" si="8"/>
        <v>82.331512000000004</v>
      </c>
      <c r="Y10" s="104">
        <f t="shared" si="8"/>
        <v>86.440431000000004</v>
      </c>
      <c r="Z10" s="104">
        <f t="shared" si="8"/>
        <v>89.429634000000036</v>
      </c>
      <c r="AA10" s="104">
        <f t="shared" si="8"/>
        <v>91.940831000000003</v>
      </c>
      <c r="AB10" s="104">
        <f t="shared" si="8"/>
        <v>93.973915999999974</v>
      </c>
      <c r="AC10" s="104">
        <f t="shared" si="8"/>
        <v>95.971589000000023</v>
      </c>
      <c r="AD10" s="104">
        <f t="shared" si="8"/>
        <v>96.999828999999949</v>
      </c>
      <c r="AE10" s="104">
        <f t="shared" si="8"/>
        <v>97.998827999999975</v>
      </c>
      <c r="AF10" s="104">
        <f t="shared" si="8"/>
        <v>101.00018600000001</v>
      </c>
      <c r="AG10" s="104">
        <f t="shared" si="8"/>
        <v>103.99915900000002</v>
      </c>
      <c r="AH10" s="104">
        <f t="shared" si="8"/>
        <v>111.000651</v>
      </c>
      <c r="AI10" s="104">
        <f t="shared" si="8"/>
        <v>118.999875</v>
      </c>
      <c r="AJ10" s="104">
        <f t="shared" si="8"/>
        <v>129.00055999999998</v>
      </c>
      <c r="AK10" s="104">
        <f t="shared" si="8"/>
        <v>139.00094800000002</v>
      </c>
      <c r="AL10" s="104">
        <f t="shared" si="8"/>
        <v>147.09905800000001</v>
      </c>
      <c r="AM10" s="104">
        <f t="shared" si="8"/>
        <v>151.00097600000004</v>
      </c>
      <c r="AN10" s="104">
        <f t="shared" si="8"/>
        <v>150.99920799999995</v>
      </c>
      <c r="AO10" s="104">
        <f t="shared" si="8"/>
        <v>144.00030399999997</v>
      </c>
      <c r="AP10" s="104">
        <f t="shared" si="8"/>
        <v>164.99995000000001</v>
      </c>
      <c r="AQ10" s="104">
        <f t="shared" si="8"/>
        <v>107.634567</v>
      </c>
      <c r="AR10" s="104">
        <f t="shared" si="8"/>
        <v>168.06002900000007</v>
      </c>
      <c r="AS10" s="104">
        <f t="shared" si="8"/>
        <v>172.51223199999998</v>
      </c>
      <c r="AT10" s="104">
        <f t="shared" si="8"/>
        <v>180.98891275199998</v>
      </c>
      <c r="AU10" s="104">
        <f t="shared" si="8"/>
        <v>198.45761877399997</v>
      </c>
      <c r="AV10" s="104">
        <f t="shared" si="8"/>
        <v>205.64507905100004</v>
      </c>
      <c r="AW10" s="104">
        <f t="shared" si="8"/>
        <v>210.00800000000004</v>
      </c>
      <c r="AX10" s="104">
        <f t="shared" si="8"/>
        <v>224.36199999999997</v>
      </c>
      <c r="AY10" s="105">
        <f>AY12-AY11</f>
        <v>223.5</v>
      </c>
      <c r="AZ10" s="105">
        <f>AZ12-AZ11</f>
        <v>225.02652240690963</v>
      </c>
      <c r="BA10" s="105">
        <f t="shared" si="8"/>
        <v>246.90705105224788</v>
      </c>
    </row>
    <row r="11" spans="1:53" ht="15.75">
      <c r="A11" s="79" t="s">
        <v>18</v>
      </c>
      <c r="B11" s="80">
        <v>32.186999999999998</v>
      </c>
      <c r="C11" s="80">
        <v>35.633000000000003</v>
      </c>
      <c r="D11" s="80">
        <v>38.764000000000003</v>
      </c>
      <c r="E11" s="80">
        <v>36.700000000000003</v>
      </c>
      <c r="F11" s="80">
        <v>35.5</v>
      </c>
      <c r="G11" s="80">
        <v>34.700000000000003</v>
      </c>
      <c r="H11" s="80">
        <v>32.5</v>
      </c>
      <c r="I11" s="80">
        <v>30.1</v>
      </c>
      <c r="J11" s="80">
        <v>28.7</v>
      </c>
      <c r="K11" s="80">
        <v>25.7</v>
      </c>
      <c r="L11" s="80">
        <v>22.5</v>
      </c>
      <c r="M11" s="80">
        <v>23.5</v>
      </c>
      <c r="N11" s="80">
        <v>24.3</v>
      </c>
      <c r="O11" s="80">
        <v>24</v>
      </c>
      <c r="P11" s="80">
        <v>26.2</v>
      </c>
      <c r="Q11" s="80">
        <v>26.5</v>
      </c>
      <c r="R11" s="80">
        <v>26.7</v>
      </c>
      <c r="S11" s="80">
        <v>26.8</v>
      </c>
      <c r="T11" s="80">
        <v>26.9</v>
      </c>
      <c r="U11" s="80">
        <v>26</v>
      </c>
      <c r="V11" s="80">
        <v>26.2</v>
      </c>
      <c r="W11" s="80">
        <v>26.75</v>
      </c>
      <c r="X11" s="80">
        <v>27</v>
      </c>
      <c r="Y11" s="80">
        <v>27.42</v>
      </c>
      <c r="Z11" s="80">
        <v>27.8</v>
      </c>
      <c r="AA11" s="80">
        <v>28.24</v>
      </c>
      <c r="AB11" s="80">
        <v>29.1</v>
      </c>
      <c r="AC11" s="80">
        <v>29.9</v>
      </c>
      <c r="AD11" s="80">
        <v>31.4</v>
      </c>
      <c r="AE11" s="80">
        <v>33</v>
      </c>
      <c r="AF11" s="80">
        <v>36</v>
      </c>
      <c r="AG11" s="80">
        <v>41</v>
      </c>
      <c r="AH11" s="80">
        <v>44</v>
      </c>
      <c r="AI11" s="80">
        <v>45</v>
      </c>
      <c r="AJ11" s="80">
        <v>47</v>
      </c>
      <c r="AK11" s="80">
        <v>52</v>
      </c>
      <c r="AL11" s="80">
        <v>57</v>
      </c>
      <c r="AM11" s="80">
        <v>56</v>
      </c>
      <c r="AN11" s="80">
        <v>58</v>
      </c>
      <c r="AO11" s="80">
        <v>62</v>
      </c>
      <c r="AP11" s="80">
        <v>64</v>
      </c>
      <c r="AQ11" s="80">
        <v>70</v>
      </c>
      <c r="AR11" s="80">
        <v>76</v>
      </c>
      <c r="AS11" s="80">
        <v>83</v>
      </c>
      <c r="AT11" s="80">
        <v>85</v>
      </c>
      <c r="AU11" s="80">
        <v>82</v>
      </c>
      <c r="AV11" s="80">
        <v>82</v>
      </c>
      <c r="AW11" s="80">
        <v>81</v>
      </c>
      <c r="AX11" s="80">
        <v>82</v>
      </c>
      <c r="AY11" s="103">
        <v>81</v>
      </c>
      <c r="AZ11" s="103">
        <v>81</v>
      </c>
      <c r="BA11" s="103">
        <v>81</v>
      </c>
    </row>
    <row r="12" spans="1:53" ht="15.75">
      <c r="A12" s="79" t="s">
        <v>68</v>
      </c>
      <c r="B12" s="80">
        <f>B14-B13</f>
        <v>43.569999999999993</v>
      </c>
      <c r="C12" s="80">
        <f t="shared" ref="C12:BA12" si="9">C14-C13</f>
        <v>47.222999999999985</v>
      </c>
      <c r="D12" s="80">
        <f t="shared" si="9"/>
        <v>49.09</v>
      </c>
      <c r="E12" s="80">
        <f t="shared" si="9"/>
        <v>48.6</v>
      </c>
      <c r="F12" s="80">
        <f t="shared" si="9"/>
        <v>53.299999999999983</v>
      </c>
      <c r="G12" s="80">
        <f t="shared" si="9"/>
        <v>61.8</v>
      </c>
      <c r="H12" s="80">
        <f t="shared" si="9"/>
        <v>62.000000000000007</v>
      </c>
      <c r="I12" s="80">
        <f t="shared" si="9"/>
        <v>61.400000000000006</v>
      </c>
      <c r="J12" s="80">
        <f t="shared" si="9"/>
        <v>61.8</v>
      </c>
      <c r="K12" s="80">
        <f t="shared" si="9"/>
        <v>61.199999999999996</v>
      </c>
      <c r="L12" s="80">
        <f t="shared" si="9"/>
        <v>59.699999999999996</v>
      </c>
      <c r="M12" s="80">
        <f t="shared" si="9"/>
        <v>64.099999999999994</v>
      </c>
      <c r="N12" s="80">
        <f t="shared" si="9"/>
        <v>67.3</v>
      </c>
      <c r="O12" s="80">
        <f t="shared" si="9"/>
        <v>69</v>
      </c>
      <c r="P12" s="80">
        <f t="shared" si="9"/>
        <v>74.200000000000031</v>
      </c>
      <c r="Q12" s="80">
        <f t="shared" si="9"/>
        <v>80.158807999999993</v>
      </c>
      <c r="R12" s="80">
        <f t="shared" si="9"/>
        <v>83.916984000000014</v>
      </c>
      <c r="S12" s="80">
        <f t="shared" si="9"/>
        <v>87.777294999999995</v>
      </c>
      <c r="T12" s="80">
        <f t="shared" si="9"/>
        <v>94.169755000000009</v>
      </c>
      <c r="U12" s="80">
        <f t="shared" si="9"/>
        <v>95.306056999999967</v>
      </c>
      <c r="V12" s="80">
        <f t="shared" si="9"/>
        <v>102.76321899999999</v>
      </c>
      <c r="W12" s="80">
        <f t="shared" si="9"/>
        <v>105.67830499999998</v>
      </c>
      <c r="X12" s="80">
        <f t="shared" si="9"/>
        <v>109.331512</v>
      </c>
      <c r="Y12" s="80">
        <f t="shared" si="9"/>
        <v>113.86043100000001</v>
      </c>
      <c r="Z12" s="80">
        <f t="shared" si="9"/>
        <v>117.22963400000003</v>
      </c>
      <c r="AA12" s="80">
        <f t="shared" si="9"/>
        <v>120.180831</v>
      </c>
      <c r="AB12" s="80">
        <f t="shared" si="9"/>
        <v>123.07391599999997</v>
      </c>
      <c r="AC12" s="80">
        <f t="shared" si="9"/>
        <v>125.87158900000001</v>
      </c>
      <c r="AD12" s="80">
        <f t="shared" si="9"/>
        <v>128.39982899999995</v>
      </c>
      <c r="AE12" s="80">
        <f t="shared" si="9"/>
        <v>130.99882799999997</v>
      </c>
      <c r="AF12" s="80">
        <f t="shared" si="9"/>
        <v>137.00018600000001</v>
      </c>
      <c r="AG12" s="80">
        <f t="shared" si="9"/>
        <v>144.99915900000002</v>
      </c>
      <c r="AH12" s="80">
        <f t="shared" si="9"/>
        <v>155.000651</v>
      </c>
      <c r="AI12" s="80">
        <f t="shared" si="9"/>
        <v>163.999875</v>
      </c>
      <c r="AJ12" s="80">
        <f t="shared" si="9"/>
        <v>176.00055999999998</v>
      </c>
      <c r="AK12" s="80">
        <f t="shared" si="9"/>
        <v>191.00094800000002</v>
      </c>
      <c r="AL12" s="80">
        <f t="shared" si="9"/>
        <v>204.09905800000001</v>
      </c>
      <c r="AM12" s="80">
        <f t="shared" si="9"/>
        <v>207.00097600000004</v>
      </c>
      <c r="AN12" s="80">
        <f t="shared" si="9"/>
        <v>208.99920799999995</v>
      </c>
      <c r="AO12" s="80">
        <f t="shared" si="9"/>
        <v>206.00030399999997</v>
      </c>
      <c r="AP12" s="80">
        <f t="shared" si="9"/>
        <v>228.99995000000001</v>
      </c>
      <c r="AQ12" s="80">
        <f t="shared" si="9"/>
        <v>177.634567</v>
      </c>
      <c r="AR12" s="80">
        <f t="shared" si="9"/>
        <v>244.06002900000007</v>
      </c>
      <c r="AS12" s="80">
        <f t="shared" si="9"/>
        <v>255.51223199999998</v>
      </c>
      <c r="AT12" s="80">
        <f t="shared" si="9"/>
        <v>265.98891275199998</v>
      </c>
      <c r="AU12" s="80">
        <f t="shared" si="9"/>
        <v>280.45761877399997</v>
      </c>
      <c r="AV12" s="80">
        <f t="shared" si="9"/>
        <v>287.64507905100004</v>
      </c>
      <c r="AW12" s="80">
        <f t="shared" si="9"/>
        <v>291.00800000000004</v>
      </c>
      <c r="AX12" s="80">
        <f t="shared" si="9"/>
        <v>306.36199999999997</v>
      </c>
      <c r="AY12" s="103">
        <f>AY14-AY13</f>
        <v>304.5</v>
      </c>
      <c r="AZ12" s="103">
        <f>AZ14-AZ13</f>
        <v>306.02652240690963</v>
      </c>
      <c r="BA12" s="103">
        <f t="shared" si="9"/>
        <v>327.90705105224788</v>
      </c>
    </row>
    <row r="13" spans="1:53" ht="15.75">
      <c r="A13" s="79" t="s">
        <v>19</v>
      </c>
      <c r="B13" s="80">
        <v>0.22500000000000001</v>
      </c>
      <c r="C13" s="80">
        <v>0.125</v>
      </c>
      <c r="D13" s="80">
        <v>7.4999999999999997E-2</v>
      </c>
      <c r="E13" s="80">
        <v>0.05</v>
      </c>
      <c r="F13" s="80">
        <v>7.4999999999999997E-2</v>
      </c>
      <c r="G13" s="80">
        <v>0.125</v>
      </c>
      <c r="H13" s="80">
        <v>0.1</v>
      </c>
      <c r="I13" s="80">
        <v>0.05</v>
      </c>
      <c r="J13" s="80">
        <v>0.33</v>
      </c>
      <c r="K13" s="80">
        <v>5.24</v>
      </c>
      <c r="L13" s="80">
        <v>6.4</v>
      </c>
      <c r="M13" s="80">
        <v>3.75</v>
      </c>
      <c r="N13" s="80">
        <v>4.51</v>
      </c>
      <c r="O13" s="80">
        <v>4.008</v>
      </c>
      <c r="P13" s="80">
        <v>3.085</v>
      </c>
      <c r="Q13" s="80">
        <v>6.5711920000000008</v>
      </c>
      <c r="R13" s="80">
        <v>9.2570160000000001</v>
      </c>
      <c r="S13" s="80">
        <v>11.485705000000001</v>
      </c>
      <c r="T13" s="80">
        <v>10.324245000000001</v>
      </c>
      <c r="U13" s="80">
        <f t="shared" ref="U13:AP13" si="10">U37/1000</f>
        <v>1.3197499999999998</v>
      </c>
      <c r="V13" s="80">
        <f t="shared" si="10"/>
        <v>0.15742599999999998</v>
      </c>
      <c r="W13" s="80">
        <f t="shared" si="10"/>
        <v>3.8917040000000003</v>
      </c>
      <c r="X13" s="80">
        <f t="shared" si="10"/>
        <v>6.1733110000000018</v>
      </c>
      <c r="Y13" s="80">
        <f t="shared" si="10"/>
        <v>3.3378119999999996</v>
      </c>
      <c r="Z13" s="80">
        <f t="shared" si="10"/>
        <v>9.9346540000000001</v>
      </c>
      <c r="AA13" s="80">
        <f t="shared" si="10"/>
        <v>7.276129000000001</v>
      </c>
      <c r="AB13" s="80">
        <f t="shared" si="10"/>
        <v>8.6105589999999985</v>
      </c>
      <c r="AC13" s="80">
        <f t="shared" si="10"/>
        <v>15.243509999999999</v>
      </c>
      <c r="AD13" s="80">
        <f t="shared" si="10"/>
        <v>7.5533089999999996</v>
      </c>
      <c r="AE13" s="80">
        <f t="shared" si="10"/>
        <v>7.5897519999999989</v>
      </c>
      <c r="AF13" s="80">
        <f t="shared" si="10"/>
        <v>3.726999999999999</v>
      </c>
      <c r="AG13" s="80">
        <f t="shared" si="10"/>
        <v>5.2695880000000006</v>
      </c>
      <c r="AH13" s="80">
        <f t="shared" si="10"/>
        <v>0.54861000000000004</v>
      </c>
      <c r="AI13" s="80">
        <f t="shared" si="10"/>
        <v>0.172183</v>
      </c>
      <c r="AJ13" s="80">
        <f t="shared" si="10"/>
        <v>0.150809</v>
      </c>
      <c r="AK13" s="80">
        <f t="shared" si="10"/>
        <v>0.11051699999999999</v>
      </c>
      <c r="AL13" s="80">
        <f t="shared" si="10"/>
        <v>9.1249000000000011E-2</v>
      </c>
      <c r="AM13" s="80">
        <f t="shared" si="10"/>
        <v>8.0156000000000005E-2</v>
      </c>
      <c r="AN13" s="80">
        <f t="shared" si="10"/>
        <v>2.2363000000000001E-2</v>
      </c>
      <c r="AO13" s="80">
        <f t="shared" si="10"/>
        <v>1.2529999999999998E-2</v>
      </c>
      <c r="AP13" s="80">
        <f t="shared" si="10"/>
        <v>4.1679999999999998E-3</v>
      </c>
      <c r="AQ13" s="80">
        <f>AQ37</f>
        <v>77.426000000000002</v>
      </c>
      <c r="AR13" s="80">
        <f t="shared" ref="AR13:AV13" si="11">AR37</f>
        <v>18.957999999999998</v>
      </c>
      <c r="AS13" s="80">
        <f t="shared" si="11"/>
        <v>18.507000000000001</v>
      </c>
      <c r="AT13" s="80">
        <f t="shared" si="11"/>
        <v>12.039000000000001</v>
      </c>
      <c r="AU13" s="80">
        <f t="shared" si="11"/>
        <v>4.5830000000000002</v>
      </c>
      <c r="AV13" s="80">
        <f t="shared" si="11"/>
        <v>3.3579999999999992</v>
      </c>
      <c r="AW13" s="80">
        <f>5+3</f>
        <v>8</v>
      </c>
      <c r="AX13" s="80">
        <v>0.02</v>
      </c>
      <c r="AY13" s="103">
        <v>0</v>
      </c>
      <c r="AZ13" s="103">
        <v>0</v>
      </c>
      <c r="BA13" s="103">
        <v>5</v>
      </c>
    </row>
    <row r="14" spans="1:53" ht="15.75">
      <c r="A14" s="79" t="s">
        <v>69</v>
      </c>
      <c r="B14" s="80">
        <f>B9-B15</f>
        <v>43.794999999999995</v>
      </c>
      <c r="C14" s="80">
        <f t="shared" ref="C14:BA14" si="12">C9-C15</f>
        <v>47.347999999999985</v>
      </c>
      <c r="D14" s="80">
        <f t="shared" si="12"/>
        <v>49.165000000000006</v>
      </c>
      <c r="E14" s="80">
        <f t="shared" si="12"/>
        <v>48.65</v>
      </c>
      <c r="F14" s="80">
        <f t="shared" si="12"/>
        <v>53.374999999999986</v>
      </c>
      <c r="G14" s="80">
        <f t="shared" si="12"/>
        <v>61.924999999999997</v>
      </c>
      <c r="H14" s="80">
        <f t="shared" si="12"/>
        <v>62.100000000000009</v>
      </c>
      <c r="I14" s="80">
        <f t="shared" si="12"/>
        <v>61.45</v>
      </c>
      <c r="J14" s="80">
        <f t="shared" si="12"/>
        <v>62.129999999999995</v>
      </c>
      <c r="K14" s="80">
        <f t="shared" si="12"/>
        <v>66.44</v>
      </c>
      <c r="L14" s="80">
        <f t="shared" si="12"/>
        <v>66.099999999999994</v>
      </c>
      <c r="M14" s="80">
        <f t="shared" si="12"/>
        <v>67.849999999999994</v>
      </c>
      <c r="N14" s="80">
        <f t="shared" si="12"/>
        <v>71.81</v>
      </c>
      <c r="O14" s="80">
        <f t="shared" si="12"/>
        <v>73.007999999999996</v>
      </c>
      <c r="P14" s="80">
        <f t="shared" si="12"/>
        <v>77.285000000000025</v>
      </c>
      <c r="Q14" s="80">
        <f t="shared" si="12"/>
        <v>86.72999999999999</v>
      </c>
      <c r="R14" s="80">
        <f t="shared" si="12"/>
        <v>93.174000000000007</v>
      </c>
      <c r="S14" s="80">
        <f t="shared" si="12"/>
        <v>99.262999999999991</v>
      </c>
      <c r="T14" s="80">
        <f t="shared" si="12"/>
        <v>104.49400000000001</v>
      </c>
      <c r="U14" s="80">
        <f t="shared" si="12"/>
        <v>96.625806999999966</v>
      </c>
      <c r="V14" s="80">
        <f t="shared" si="12"/>
        <v>102.92064499999999</v>
      </c>
      <c r="W14" s="80">
        <f t="shared" si="12"/>
        <v>109.57000899999998</v>
      </c>
      <c r="X14" s="80">
        <f t="shared" si="12"/>
        <v>115.504823</v>
      </c>
      <c r="Y14" s="80">
        <f t="shared" si="12"/>
        <v>117.19824300000001</v>
      </c>
      <c r="Z14" s="80">
        <f t="shared" si="12"/>
        <v>127.16428800000003</v>
      </c>
      <c r="AA14" s="80">
        <f t="shared" si="12"/>
        <v>127.45696</v>
      </c>
      <c r="AB14" s="80">
        <f t="shared" si="12"/>
        <v>131.68447499999996</v>
      </c>
      <c r="AC14" s="80">
        <f t="shared" si="12"/>
        <v>141.11509900000001</v>
      </c>
      <c r="AD14" s="80">
        <f t="shared" si="12"/>
        <v>135.95313799999997</v>
      </c>
      <c r="AE14" s="80">
        <f t="shared" si="12"/>
        <v>138.58857999999998</v>
      </c>
      <c r="AF14" s="80">
        <f t="shared" si="12"/>
        <v>140.72718600000002</v>
      </c>
      <c r="AG14" s="80">
        <f t="shared" si="12"/>
        <v>150.26874700000002</v>
      </c>
      <c r="AH14" s="80">
        <f t="shared" si="12"/>
        <v>155.549261</v>
      </c>
      <c r="AI14" s="80">
        <f t="shared" si="12"/>
        <v>164.17205799999999</v>
      </c>
      <c r="AJ14" s="80">
        <f t="shared" si="12"/>
        <v>176.15136899999999</v>
      </c>
      <c r="AK14" s="80">
        <f t="shared" si="12"/>
        <v>191.11146500000001</v>
      </c>
      <c r="AL14" s="80">
        <f t="shared" si="12"/>
        <v>204.19030700000002</v>
      </c>
      <c r="AM14" s="80">
        <f t="shared" si="12"/>
        <v>207.08113200000003</v>
      </c>
      <c r="AN14" s="80">
        <f t="shared" si="12"/>
        <v>209.02157099999997</v>
      </c>
      <c r="AO14" s="80">
        <f t="shared" si="12"/>
        <v>206.01283399999997</v>
      </c>
      <c r="AP14" s="80">
        <f t="shared" si="12"/>
        <v>229.00411800000001</v>
      </c>
      <c r="AQ14" s="80">
        <f t="shared" si="12"/>
        <v>255.06056700000002</v>
      </c>
      <c r="AR14" s="80">
        <f t="shared" si="12"/>
        <v>263.01802900000007</v>
      </c>
      <c r="AS14" s="80">
        <f t="shared" si="12"/>
        <v>274.01923199999999</v>
      </c>
      <c r="AT14" s="80">
        <f t="shared" si="12"/>
        <v>278.02791275199996</v>
      </c>
      <c r="AU14" s="80">
        <f t="shared" si="12"/>
        <v>285.040618774</v>
      </c>
      <c r="AV14" s="80">
        <f t="shared" si="12"/>
        <v>291.00307905100004</v>
      </c>
      <c r="AW14" s="80">
        <f t="shared" si="12"/>
        <v>299.00800000000004</v>
      </c>
      <c r="AX14" s="80">
        <f t="shared" si="12"/>
        <v>306.38199999999995</v>
      </c>
      <c r="AY14" s="103">
        <f>AY9-AY15</f>
        <v>304.5</v>
      </c>
      <c r="AZ14" s="103">
        <f>AZ9-AZ15</f>
        <v>306.02652240690963</v>
      </c>
      <c r="BA14" s="103">
        <f t="shared" si="12"/>
        <v>332.90705105224788</v>
      </c>
    </row>
    <row r="15" spans="1:53" ht="15.75">
      <c r="A15" s="83" t="s">
        <v>70</v>
      </c>
      <c r="B15" s="104">
        <v>21.326000000000001</v>
      </c>
      <c r="C15" s="104">
        <v>22.138000000000002</v>
      </c>
      <c r="D15" s="104">
        <v>22.422000000000001</v>
      </c>
      <c r="E15" s="104">
        <v>32.749000000000002</v>
      </c>
      <c r="F15" s="104">
        <v>41.375</v>
      </c>
      <c r="G15" s="104">
        <v>42.822000000000003</v>
      </c>
      <c r="H15" s="104">
        <v>41.171999999999997</v>
      </c>
      <c r="I15" s="104">
        <v>42.722999999999999</v>
      </c>
      <c r="J15" s="104">
        <v>48.929000000000002</v>
      </c>
      <c r="K15" s="104">
        <v>55.999000000000002</v>
      </c>
      <c r="L15" s="104">
        <v>54.098999999999997</v>
      </c>
      <c r="M15" s="104">
        <v>58.655999999999999</v>
      </c>
      <c r="N15" s="104">
        <v>66.302999999999997</v>
      </c>
      <c r="O15" s="104">
        <v>70.646000000000001</v>
      </c>
      <c r="P15" s="104">
        <v>72.730999999999995</v>
      </c>
      <c r="Q15" s="104">
        <v>82.820999999999998</v>
      </c>
      <c r="R15" s="104">
        <v>88.417000000000002</v>
      </c>
      <c r="S15" s="104">
        <v>84.534000000000006</v>
      </c>
      <c r="T15" s="104">
        <v>82.74</v>
      </c>
      <c r="U15" s="104">
        <v>87.974000000000004</v>
      </c>
      <c r="V15" s="104">
        <v>100.093</v>
      </c>
      <c r="W15" s="104">
        <v>117.996</v>
      </c>
      <c r="X15" s="104">
        <v>106.919</v>
      </c>
      <c r="Y15" s="104">
        <v>122.877</v>
      </c>
      <c r="Z15" s="104">
        <v>123.79900000000001</v>
      </c>
      <c r="AA15" s="104">
        <v>102.372</v>
      </c>
      <c r="AB15" s="104">
        <v>84.787999999999997</v>
      </c>
      <c r="AC15" s="104">
        <v>64.980999999999995</v>
      </c>
      <c r="AD15" s="104">
        <v>44.86</v>
      </c>
      <c r="AE15" s="104">
        <v>36.56</v>
      </c>
      <c r="AF15" s="104">
        <v>35.26</v>
      </c>
      <c r="AG15" s="104">
        <v>36.61</v>
      </c>
      <c r="AH15" s="104">
        <v>36.225000000000001</v>
      </c>
      <c r="AI15" s="104">
        <v>44.22</v>
      </c>
      <c r="AJ15" s="104">
        <v>42.624000000000002</v>
      </c>
      <c r="AK15" s="104">
        <v>43.244</v>
      </c>
      <c r="AL15" s="104">
        <v>55.7</v>
      </c>
      <c r="AM15" s="104">
        <v>80.88</v>
      </c>
      <c r="AN15" s="104">
        <v>123.58799999999999</v>
      </c>
      <c r="AO15" s="104">
        <v>172.85499999999999</v>
      </c>
      <c r="AP15" s="104">
        <v>212.017</v>
      </c>
      <c r="AQ15" s="104">
        <v>223.03299999999999</v>
      </c>
      <c r="AR15" s="104">
        <v>222.541</v>
      </c>
      <c r="AS15" s="104">
        <v>210.179</v>
      </c>
      <c r="AT15" s="104">
        <v>200.52600000000001</v>
      </c>
      <c r="AU15" s="104">
        <v>205.70400000000001</v>
      </c>
      <c r="AV15" s="104">
        <v>209.137</v>
      </c>
      <c r="AW15" s="104">
        <v>206.04</v>
      </c>
      <c r="AX15" s="104">
        <v>212</v>
      </c>
      <c r="AY15" s="105">
        <v>210</v>
      </c>
      <c r="AZ15" s="105">
        <v>215</v>
      </c>
      <c r="BA15" s="105">
        <v>215</v>
      </c>
    </row>
    <row r="16" spans="1:53" ht="16.5" thickBot="1">
      <c r="A16" s="106" t="s">
        <v>22</v>
      </c>
      <c r="B16" s="165">
        <f>B15/B14</f>
        <v>0.48695056513300611</v>
      </c>
      <c r="C16" s="165">
        <f t="shared" ref="C16:BA16" si="13">C15/C14</f>
        <v>0.46755934780772174</v>
      </c>
      <c r="D16" s="165">
        <f t="shared" si="13"/>
        <v>0.45605613749618629</v>
      </c>
      <c r="E16" s="165">
        <f t="shared" si="13"/>
        <v>0.67315519013360747</v>
      </c>
      <c r="F16" s="165">
        <f t="shared" si="13"/>
        <v>0.77517564402810324</v>
      </c>
      <c r="G16" s="165">
        <f t="shared" si="13"/>
        <v>0.6915139281388778</v>
      </c>
      <c r="H16" s="165">
        <f t="shared" si="13"/>
        <v>0.66299516908212541</v>
      </c>
      <c r="I16" s="165">
        <f t="shared" si="13"/>
        <v>0.69524816924328714</v>
      </c>
      <c r="J16" s="165">
        <f t="shared" si="13"/>
        <v>0.78752615483663291</v>
      </c>
      <c r="K16" s="165">
        <f t="shared" si="13"/>
        <v>0.84285069235400367</v>
      </c>
      <c r="L16" s="165">
        <f t="shared" si="13"/>
        <v>0.81844175491679272</v>
      </c>
      <c r="M16" s="165">
        <f t="shared" si="13"/>
        <v>0.86449521002210761</v>
      </c>
      <c r="N16" s="165">
        <f t="shared" si="13"/>
        <v>0.92331151650187993</v>
      </c>
      <c r="O16" s="165">
        <f t="shared" si="13"/>
        <v>0.96764738110891968</v>
      </c>
      <c r="P16" s="165">
        <f t="shared" si="13"/>
        <v>0.94107524099113637</v>
      </c>
      <c r="Q16" s="165">
        <f t="shared" si="13"/>
        <v>0.95492909028017992</v>
      </c>
      <c r="R16" s="165">
        <f t="shared" si="13"/>
        <v>0.94894498465237076</v>
      </c>
      <c r="S16" s="165">
        <f t="shared" si="13"/>
        <v>0.8516164129635414</v>
      </c>
      <c r="T16" s="165">
        <f t="shared" si="13"/>
        <v>0.79181579803625068</v>
      </c>
      <c r="U16" s="165">
        <f t="shared" si="13"/>
        <v>0.91046070124930534</v>
      </c>
      <c r="V16" s="165">
        <f t="shared" si="13"/>
        <v>0.9725259689151774</v>
      </c>
      <c r="W16" s="165">
        <f t="shared" si="13"/>
        <v>1.0769005230254203</v>
      </c>
      <c r="X16" s="165">
        <f t="shared" si="13"/>
        <v>0.92566697409683052</v>
      </c>
      <c r="Y16" s="165">
        <f t="shared" si="13"/>
        <v>1.0484542844213116</v>
      </c>
      <c r="Z16" s="165">
        <f t="shared" si="13"/>
        <v>0.97353590341338581</v>
      </c>
      <c r="AA16" s="165">
        <f t="shared" si="13"/>
        <v>0.80318877839232949</v>
      </c>
      <c r="AB16" s="165">
        <f t="shared" si="13"/>
        <v>0.64387240789014821</v>
      </c>
      <c r="AC16" s="165">
        <f t="shared" si="13"/>
        <v>0.46048226207175735</v>
      </c>
      <c r="AD16" s="165">
        <f t="shared" si="13"/>
        <v>0.32996663894584038</v>
      </c>
      <c r="AE16" s="165">
        <f t="shared" si="13"/>
        <v>0.26380239988027882</v>
      </c>
      <c r="AF16" s="165">
        <f t="shared" si="13"/>
        <v>0.25055570996779536</v>
      </c>
      <c r="AG16" s="165">
        <f t="shared" si="13"/>
        <v>0.2436301674891852</v>
      </c>
      <c r="AH16" s="165">
        <f t="shared" si="13"/>
        <v>0.23288442366820375</v>
      </c>
      <c r="AI16" s="165">
        <f t="shared" si="13"/>
        <v>0.26935156042205427</v>
      </c>
      <c r="AJ16" s="165">
        <f t="shared" si="13"/>
        <v>0.24197370841892241</v>
      </c>
      <c r="AK16" s="165">
        <f t="shared" si="13"/>
        <v>0.2262763251801769</v>
      </c>
      <c r="AL16" s="165">
        <f t="shared" si="13"/>
        <v>0.27278474095246841</v>
      </c>
      <c r="AM16" s="165">
        <f t="shared" si="13"/>
        <v>0.39057155627292972</v>
      </c>
      <c r="AN16" s="165">
        <f t="shared" si="13"/>
        <v>0.59126911834377138</v>
      </c>
      <c r="AO16" s="165">
        <f t="shared" si="13"/>
        <v>0.83904966813863657</v>
      </c>
      <c r="AP16" s="165">
        <f t="shared" si="13"/>
        <v>0.92582177932712983</v>
      </c>
      <c r="AQ16" s="165">
        <f t="shared" si="13"/>
        <v>0.87443152276847236</v>
      </c>
      <c r="AR16" s="165">
        <f t="shared" si="13"/>
        <v>0.84610549644108213</v>
      </c>
      <c r="AS16" s="165">
        <f t="shared" si="13"/>
        <v>0.76702280517303256</v>
      </c>
      <c r="AT16" s="165">
        <f t="shared" si="13"/>
        <v>0.72124412982544162</v>
      </c>
      <c r="AU16" s="166">
        <f t="shared" si="13"/>
        <v>0.72166556782244584</v>
      </c>
      <c r="AV16" s="166">
        <f t="shared" si="13"/>
        <v>0.71867624453330092</v>
      </c>
      <c r="AW16" s="166">
        <f t="shared" si="13"/>
        <v>0.68907855308219168</v>
      </c>
      <c r="AX16" s="166">
        <f t="shared" si="13"/>
        <v>0.69194665482959195</v>
      </c>
      <c r="AY16" s="167">
        <f t="shared" si="13"/>
        <v>0.68965517241379315</v>
      </c>
      <c r="AZ16" s="167">
        <f t="shared" si="13"/>
        <v>0.70255348559012876</v>
      </c>
      <c r="BA16" s="167">
        <f t="shared" si="13"/>
        <v>0.64582591242940346</v>
      </c>
    </row>
    <row r="17" spans="1:54" ht="13.5" hidden="1" thickBo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4" ht="13.5" hidden="1" thickBo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4" ht="13.5" hidden="1" thickBo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4">
      <c r="A20" s="91" t="s">
        <v>71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</row>
    <row r="22" spans="1:54">
      <c r="R22" s="3">
        <v>1991</v>
      </c>
      <c r="S22" s="3">
        <v>1992</v>
      </c>
      <c r="T22" s="3">
        <v>1993</v>
      </c>
      <c r="U22" s="3">
        <v>1994</v>
      </c>
      <c r="V22" s="3">
        <v>1995</v>
      </c>
      <c r="W22" s="3">
        <v>1996</v>
      </c>
      <c r="X22" s="3">
        <v>1997</v>
      </c>
      <c r="Y22" s="3">
        <v>1998</v>
      </c>
      <c r="Z22" s="3">
        <v>1999</v>
      </c>
      <c r="AA22" s="3">
        <v>2000</v>
      </c>
      <c r="AB22" s="3">
        <v>2001</v>
      </c>
      <c r="AC22" s="3">
        <v>2002</v>
      </c>
      <c r="AD22" s="3">
        <v>2003</v>
      </c>
      <c r="AE22" s="3">
        <v>2004</v>
      </c>
      <c r="AF22" s="3">
        <v>2005</v>
      </c>
      <c r="AG22" s="3">
        <v>2006</v>
      </c>
      <c r="AH22" s="3">
        <v>2007</v>
      </c>
      <c r="AI22" s="3">
        <v>2008</v>
      </c>
      <c r="AJ22" s="3">
        <v>2009</v>
      </c>
      <c r="AK22" s="3">
        <v>2010</v>
      </c>
      <c r="AL22" s="3">
        <v>2011</v>
      </c>
      <c r="AM22" s="3">
        <v>2012</v>
      </c>
      <c r="AN22" s="3">
        <v>2013</v>
      </c>
      <c r="AO22" s="3">
        <v>2014</v>
      </c>
      <c r="AP22" s="3">
        <v>2015</v>
      </c>
      <c r="AQ22" s="3">
        <v>2016</v>
      </c>
      <c r="AR22" s="3">
        <v>2017</v>
      </c>
      <c r="AS22" s="3">
        <v>2018</v>
      </c>
      <c r="AT22" s="3">
        <v>2019</v>
      </c>
      <c r="AU22" s="3">
        <v>2020</v>
      </c>
      <c r="AV22" s="3">
        <v>2021</v>
      </c>
      <c r="AW22" s="3">
        <v>2022</v>
      </c>
      <c r="AX22" s="3">
        <v>2023</v>
      </c>
      <c r="AY22" s="3">
        <v>2024</v>
      </c>
      <c r="AZ22" s="3">
        <v>2025</v>
      </c>
      <c r="BA22" s="3">
        <v>2026</v>
      </c>
      <c r="BB22" s="3">
        <v>2027</v>
      </c>
    </row>
    <row r="23" spans="1:54" ht="16.5" thickBot="1">
      <c r="A23" s="93" t="s">
        <v>72</v>
      </c>
    </row>
    <row r="24" spans="1:54" ht="16.5" thickBot="1">
      <c r="A24" s="94"/>
      <c r="B24" s="95" t="str">
        <f>B2</f>
        <v xml:space="preserve">75/76 </v>
      </c>
      <c r="C24" s="95" t="str">
        <f t="shared" ref="C24:BA24" si="14">C2</f>
        <v xml:space="preserve">76/77 </v>
      </c>
      <c r="D24" s="95" t="str">
        <f t="shared" si="14"/>
        <v xml:space="preserve">77/78 </v>
      </c>
      <c r="E24" s="95" t="str">
        <f t="shared" si="14"/>
        <v xml:space="preserve">78/79 </v>
      </c>
      <c r="F24" s="95" t="str">
        <f t="shared" si="14"/>
        <v xml:space="preserve">79/80 </v>
      </c>
      <c r="G24" s="95" t="str">
        <f t="shared" si="14"/>
        <v xml:space="preserve">80/81 </v>
      </c>
      <c r="H24" s="95" t="str">
        <f t="shared" si="14"/>
        <v xml:space="preserve">81/82 </v>
      </c>
      <c r="I24" s="95" t="str">
        <f t="shared" si="14"/>
        <v xml:space="preserve">82/83 </v>
      </c>
      <c r="J24" s="95" t="str">
        <f t="shared" si="14"/>
        <v xml:space="preserve">83/84 </v>
      </c>
      <c r="K24" s="95" t="str">
        <f t="shared" si="14"/>
        <v xml:space="preserve">84/85 </v>
      </c>
      <c r="L24" s="95" t="str">
        <f t="shared" si="14"/>
        <v xml:space="preserve">85/86 </v>
      </c>
      <c r="M24" s="95" t="str">
        <f t="shared" si="14"/>
        <v xml:space="preserve">86/87 </v>
      </c>
      <c r="N24" s="95" t="str">
        <f t="shared" si="14"/>
        <v xml:space="preserve">87/88 </v>
      </c>
      <c r="O24" s="95" t="str">
        <f t="shared" si="14"/>
        <v xml:space="preserve">88/89 </v>
      </c>
      <c r="P24" s="95" t="str">
        <f t="shared" si="14"/>
        <v xml:space="preserve">89/90 </v>
      </c>
      <c r="Q24" s="95" t="str">
        <f t="shared" si="14"/>
        <v xml:space="preserve">90/91 </v>
      </c>
      <c r="R24" s="95" t="str">
        <f t="shared" si="14"/>
        <v xml:space="preserve">91/92 </v>
      </c>
      <c r="S24" s="95" t="str">
        <f t="shared" si="14"/>
        <v xml:space="preserve">92/93 </v>
      </c>
      <c r="T24" s="95" t="str">
        <f t="shared" si="14"/>
        <v xml:space="preserve">93/94 </v>
      </c>
      <c r="U24" s="95" t="str">
        <f t="shared" si="14"/>
        <v xml:space="preserve">94/95 </v>
      </c>
      <c r="V24" s="95" t="str">
        <f t="shared" si="14"/>
        <v xml:space="preserve">95/96 </v>
      </c>
      <c r="W24" s="95" t="str">
        <f t="shared" si="14"/>
        <v xml:space="preserve">96/97 </v>
      </c>
      <c r="X24" s="95" t="str">
        <f t="shared" si="14"/>
        <v xml:space="preserve">97/98 </v>
      </c>
      <c r="Y24" s="95" t="str">
        <f t="shared" si="14"/>
        <v xml:space="preserve">98/99 </v>
      </c>
      <c r="Z24" s="95" t="str">
        <f t="shared" si="14"/>
        <v xml:space="preserve">99/00 </v>
      </c>
      <c r="AA24" s="95" t="str">
        <f t="shared" si="14"/>
        <v xml:space="preserve">00/01 </v>
      </c>
      <c r="AB24" s="95" t="str">
        <f t="shared" si="14"/>
        <v xml:space="preserve">01/02 </v>
      </c>
      <c r="AC24" s="95" t="str">
        <f t="shared" si="14"/>
        <v xml:space="preserve">02/03 </v>
      </c>
      <c r="AD24" s="95" t="str">
        <f t="shared" si="14"/>
        <v xml:space="preserve">03/04 </v>
      </c>
      <c r="AE24" s="95" t="str">
        <f t="shared" si="14"/>
        <v xml:space="preserve">04/05 </v>
      </c>
      <c r="AF24" s="95" t="str">
        <f t="shared" si="14"/>
        <v xml:space="preserve">05/06 </v>
      </c>
      <c r="AG24" s="95" t="str">
        <f t="shared" si="14"/>
        <v xml:space="preserve">06/07 </v>
      </c>
      <c r="AH24" s="95" t="str">
        <f t="shared" si="14"/>
        <v xml:space="preserve">07/08 </v>
      </c>
      <c r="AI24" s="95" t="str">
        <f t="shared" si="14"/>
        <v xml:space="preserve">08/09 </v>
      </c>
      <c r="AJ24" s="95" t="str">
        <f t="shared" si="14"/>
        <v xml:space="preserve">09/10 </v>
      </c>
      <c r="AK24" s="95" t="str">
        <f t="shared" si="14"/>
        <v xml:space="preserve">10/11 </v>
      </c>
      <c r="AL24" s="95" t="str">
        <f t="shared" si="14"/>
        <v xml:space="preserve">11/12 </v>
      </c>
      <c r="AM24" s="95" t="str">
        <f t="shared" si="14"/>
        <v xml:space="preserve">12/13 </v>
      </c>
      <c r="AN24" s="95" t="str">
        <f t="shared" si="14"/>
        <v xml:space="preserve">13/14 </v>
      </c>
      <c r="AO24" s="95" t="str">
        <f t="shared" si="14"/>
        <v xml:space="preserve">14/15 </v>
      </c>
      <c r="AP24" s="95" t="str">
        <f t="shared" si="14"/>
        <v xml:space="preserve">15/16 </v>
      </c>
      <c r="AQ24" s="95" t="str">
        <f t="shared" si="14"/>
        <v xml:space="preserve">16/17 </v>
      </c>
      <c r="AR24" s="95" t="str">
        <f t="shared" si="14"/>
        <v xml:space="preserve">17/18 </v>
      </c>
      <c r="AS24" s="95" t="str">
        <f t="shared" si="14"/>
        <v xml:space="preserve">18/19 </v>
      </c>
      <c r="AT24" s="95" t="str">
        <f t="shared" si="14"/>
        <v>19/20</v>
      </c>
      <c r="AU24" s="95" t="str">
        <f t="shared" si="14"/>
        <v>20/21</v>
      </c>
      <c r="AV24" s="95" t="str">
        <f t="shared" si="14"/>
        <v>21/22</v>
      </c>
      <c r="AW24" s="95" t="str">
        <f t="shared" si="14"/>
        <v>22/23</v>
      </c>
      <c r="AX24" s="95" t="str">
        <f t="shared" si="14"/>
        <v>23/24</v>
      </c>
      <c r="AY24" s="95" t="str">
        <f t="shared" si="14"/>
        <v>24/25</v>
      </c>
      <c r="AZ24" s="95" t="str">
        <f t="shared" si="14"/>
        <v>25/26</v>
      </c>
      <c r="BA24" s="95" t="str">
        <f t="shared" si="14"/>
        <v>26/27</v>
      </c>
    </row>
    <row r="25" spans="1:54" ht="15.75">
      <c r="A25" s="93" t="s">
        <v>74</v>
      </c>
      <c r="P25" s="42"/>
      <c r="Q25" s="32">
        <v>138.196</v>
      </c>
      <c r="R25" s="32">
        <v>677.63699999999994</v>
      </c>
      <c r="S25" s="32">
        <v>1209.46</v>
      </c>
      <c r="T25" s="32">
        <v>883.94799999999998</v>
      </c>
      <c r="U25" s="32">
        <v>385.33699999999999</v>
      </c>
      <c r="V25" s="32">
        <v>3.3000000000000002E-2</v>
      </c>
      <c r="W25" s="32">
        <v>5.0000000000000001E-3</v>
      </c>
      <c r="X25" s="32">
        <v>734.15600000000006</v>
      </c>
      <c r="Y25" s="32">
        <v>351.91199999999998</v>
      </c>
      <c r="Z25" s="32">
        <v>305.64800000000002</v>
      </c>
      <c r="AA25" s="32">
        <v>914.16399999999987</v>
      </c>
      <c r="AB25" s="32">
        <v>327.45800000000003</v>
      </c>
      <c r="AC25" s="32">
        <v>1268.3410000000001</v>
      </c>
      <c r="AD25" s="32">
        <v>1531.6190000000001</v>
      </c>
      <c r="AE25" s="32">
        <v>48.573</v>
      </c>
      <c r="AF25" s="32">
        <v>400.79799999999994</v>
      </c>
      <c r="AG25" s="32">
        <v>73.466999999999999</v>
      </c>
      <c r="AH25" s="32">
        <v>213.22800000000001</v>
      </c>
      <c r="AI25" s="32">
        <v>25.007000000000001</v>
      </c>
      <c r="AJ25" s="32">
        <v>2.746</v>
      </c>
      <c r="AK25" s="32">
        <v>4.8299999999999992</v>
      </c>
      <c r="AL25" s="32">
        <v>41.420999999999999</v>
      </c>
      <c r="AM25" s="32">
        <v>1.629</v>
      </c>
      <c r="AN25" s="32">
        <v>0.46</v>
      </c>
      <c r="AO25" s="32">
        <v>0.72000000000000008</v>
      </c>
      <c r="AP25" s="32">
        <v>0.94299999999999995</v>
      </c>
      <c r="AQ25" s="32">
        <v>0.19500000000000001</v>
      </c>
      <c r="AR25" s="32">
        <v>2.298</v>
      </c>
      <c r="AS25" s="32">
        <v>0.81599999999999995</v>
      </c>
      <c r="AT25" s="32">
        <v>0.06</v>
      </c>
      <c r="AU25" s="32">
        <v>0</v>
      </c>
      <c r="AV25" s="32">
        <v>0.25</v>
      </c>
      <c r="AW25" s="32">
        <v>5.0000000000000001E-3</v>
      </c>
      <c r="AX25" s="108" cm="1">
        <f t="array" ref="AX25">(SUM(AR25:AV25/SUM(AR$37:AV$37))*AX$37)</f>
        <v>1.192096788232222E-3</v>
      </c>
      <c r="AY25" s="108" cm="1">
        <f t="array" ref="AY25">(SUM(AS25:AW25/SUM(AS$37:AW$37))*AY$37)</f>
        <v>0</v>
      </c>
      <c r="AZ25" s="108" cm="1">
        <f t="array" ref="AZ25">(SUM(AT25:AX25/SUM(AT$37:AX$37))*AZ$37)</f>
        <v>0</v>
      </c>
      <c r="BA25" s="108" cm="1">
        <f t="array" ref="BA25">(SUM(AU25:AY25/SUM(AU$37:AY$37))*BA$37)</f>
        <v>8.0255653401488714E-2</v>
      </c>
    </row>
    <row r="26" spans="1:54" ht="15.75">
      <c r="A26" s="93" t="s">
        <v>75</v>
      </c>
      <c r="P26" s="42"/>
      <c r="Q26" s="32">
        <v>377.46100000000001</v>
      </c>
      <c r="R26" s="32">
        <v>617.50400000000002</v>
      </c>
      <c r="S26" s="32">
        <v>1046.6600000000001</v>
      </c>
      <c r="T26" s="32">
        <v>847.56200000000001</v>
      </c>
      <c r="U26" s="32">
        <v>558.97900000000004</v>
      </c>
      <c r="V26" s="32">
        <v>4.0270000000000001</v>
      </c>
      <c r="W26" s="32">
        <v>0</v>
      </c>
      <c r="X26" s="32">
        <v>766.92700000000002</v>
      </c>
      <c r="Y26" s="32">
        <v>371.89800000000002</v>
      </c>
      <c r="Z26" s="32">
        <v>518.83500000000004</v>
      </c>
      <c r="AA26" s="32">
        <v>832.12700000000007</v>
      </c>
      <c r="AB26" s="32">
        <v>471.51599999999996</v>
      </c>
      <c r="AC26" s="32">
        <v>1349.38</v>
      </c>
      <c r="AD26" s="32">
        <v>858.52300000000014</v>
      </c>
      <c r="AE26" s="32">
        <v>43.284999999999997</v>
      </c>
      <c r="AF26" s="32">
        <v>467.94800000000004</v>
      </c>
      <c r="AG26" s="32">
        <v>261.59000000000003</v>
      </c>
      <c r="AH26" s="32">
        <v>125.45399999999999</v>
      </c>
      <c r="AI26" s="32">
        <v>23.506</v>
      </c>
      <c r="AJ26" s="32">
        <v>4.4169999999999998</v>
      </c>
      <c r="AK26" s="32">
        <v>8.5459999999999994</v>
      </c>
      <c r="AL26" s="32">
        <v>1.9469999999999998</v>
      </c>
      <c r="AM26" s="32">
        <v>2.12</v>
      </c>
      <c r="AN26" s="32">
        <v>2.6080000000000001</v>
      </c>
      <c r="AO26" s="32">
        <v>1.3080000000000001</v>
      </c>
      <c r="AP26" s="32">
        <v>0.52900000000000003</v>
      </c>
      <c r="AQ26" s="32">
        <v>0.69499999999999995</v>
      </c>
      <c r="AR26" s="32">
        <v>1.7210000000000001</v>
      </c>
      <c r="AS26" s="32">
        <v>0.54100000000000004</v>
      </c>
      <c r="AT26" s="32">
        <v>1.9710000000000001</v>
      </c>
      <c r="AU26" s="32">
        <v>0.33300000000000002</v>
      </c>
      <c r="AV26" s="32">
        <v>0.57099999999999995</v>
      </c>
      <c r="AW26" s="32">
        <v>0.16500000000000001</v>
      </c>
      <c r="AX26" s="108" cm="1">
        <f t="array" ref="AX26">(SUM(AR26:AV26/SUM(AR$37:AV$37))*AX$37)</f>
        <v>1.788493341457046E-3</v>
      </c>
      <c r="AY26" s="108" cm="1">
        <f t="array" ref="AY26">(SUM(AS26:AW26/SUM(AS$37:AW$37))*AY$37)</f>
        <v>0</v>
      </c>
      <c r="AZ26" s="108" cm="1">
        <f t="array" ref="AZ26">(SUM(AT26:AX26/SUM(AT$37:AX$37))*AZ$37)</f>
        <v>0</v>
      </c>
      <c r="BA26" s="108" cm="1">
        <f t="array" ref="BA26">(SUM(AU26:AY26/SUM(AU$37:AY$37))*BA$37)</f>
        <v>0.33543903682145765</v>
      </c>
    </row>
    <row r="27" spans="1:54" ht="15.75">
      <c r="A27" s="93" t="s">
        <v>76</v>
      </c>
      <c r="P27" s="42"/>
      <c r="Q27" s="32">
        <v>579.44799999999998</v>
      </c>
      <c r="R27" s="32">
        <v>1010.692</v>
      </c>
      <c r="S27" s="32">
        <v>1106.414</v>
      </c>
      <c r="T27" s="32">
        <v>1242.5329999999999</v>
      </c>
      <c r="U27" s="32">
        <v>266.95800000000003</v>
      </c>
      <c r="V27" s="32">
        <v>0</v>
      </c>
      <c r="W27" s="32">
        <v>5.2850000000000001</v>
      </c>
      <c r="X27" s="32">
        <v>1209.076</v>
      </c>
      <c r="Y27" s="32">
        <v>499.613</v>
      </c>
      <c r="Z27" s="32">
        <v>1365.1450000000002</v>
      </c>
      <c r="AA27" s="32">
        <v>993.48299999999983</v>
      </c>
      <c r="AB27" s="32">
        <v>662.65700000000004</v>
      </c>
      <c r="AC27" s="32">
        <v>1906.8660000000002</v>
      </c>
      <c r="AD27" s="32">
        <v>3280.3919999999998</v>
      </c>
      <c r="AE27" s="32">
        <v>343.53199999999998</v>
      </c>
      <c r="AF27" s="32">
        <v>588.71100000000001</v>
      </c>
      <c r="AG27" s="32">
        <v>469.4</v>
      </c>
      <c r="AH27" s="32">
        <v>43.942999999999998</v>
      </c>
      <c r="AI27" s="32">
        <v>38.039000000000001</v>
      </c>
      <c r="AJ27" s="32">
        <v>36.242000000000004</v>
      </c>
      <c r="AK27" s="32">
        <v>6.5350000000000001</v>
      </c>
      <c r="AL27" s="32">
        <v>2.0230000000000001</v>
      </c>
      <c r="AM27" s="32">
        <v>5.0100000000000007</v>
      </c>
      <c r="AN27" s="32">
        <v>3.1609999999999996</v>
      </c>
      <c r="AO27" s="32">
        <v>1.843</v>
      </c>
      <c r="AP27" s="32">
        <v>0.93799999999999994</v>
      </c>
      <c r="AQ27" s="32">
        <v>1.246</v>
      </c>
      <c r="AR27" s="32">
        <v>5.9249999999999998</v>
      </c>
      <c r="AS27" s="32">
        <v>1.6459999999999999</v>
      </c>
      <c r="AT27" s="32">
        <v>8.1679999999999993</v>
      </c>
      <c r="AU27" s="32">
        <v>0.33900000000000002</v>
      </c>
      <c r="AV27" s="32">
        <v>2.0350000000000001</v>
      </c>
      <c r="AW27" s="32">
        <v>0.36099999999999999</v>
      </c>
      <c r="AX27" s="108" cm="1">
        <f t="array" ref="AX27">(SUM(AR27:AV27/SUM(AR$37:AV$37))*AX$37)</f>
        <v>6.3062059361128032E-3</v>
      </c>
      <c r="AY27" s="108" cm="1">
        <f t="array" ref="AY27">(SUM(AS27:AW27/SUM(AS$37:AW$37))*AY$37)</f>
        <v>0</v>
      </c>
      <c r="AZ27" s="108" cm="1">
        <f t="array" ref="AZ27">(SUM(AT27:AX27/SUM(AT$37:AX$37))*AZ$37)</f>
        <v>0</v>
      </c>
      <c r="BA27" s="108" cm="1">
        <f t="array" ref="BA27">(SUM(AU27:AY27/SUM(AU$37:AY$37))*BA$37)</f>
        <v>0.85875139588249894</v>
      </c>
    </row>
    <row r="28" spans="1:54" ht="15.75">
      <c r="A28" s="93" t="s">
        <v>77</v>
      </c>
      <c r="P28" s="42">
        <v>47.664999999999999</v>
      </c>
      <c r="Q28" s="32">
        <v>244.34100000000001</v>
      </c>
      <c r="R28" s="32">
        <v>567.14400000000001</v>
      </c>
      <c r="S28" s="32">
        <v>320.42700000000002</v>
      </c>
      <c r="T28" s="32">
        <v>492.053</v>
      </c>
      <c r="U28" s="32">
        <v>61.591000000000001</v>
      </c>
      <c r="V28" s="32">
        <v>0</v>
      </c>
      <c r="W28" s="32">
        <v>17.111000000000001</v>
      </c>
      <c r="X28" s="32">
        <v>335.76500000000004</v>
      </c>
      <c r="Y28" s="32">
        <v>119.19</v>
      </c>
      <c r="Z28" s="32">
        <v>210.00200000000001</v>
      </c>
      <c r="AA28" s="32">
        <v>607.625</v>
      </c>
      <c r="AB28" s="32">
        <v>229.84199999999996</v>
      </c>
      <c r="AC28" s="32">
        <v>570.28899999999999</v>
      </c>
      <c r="AD28" s="32">
        <v>574.73199999999997</v>
      </c>
      <c r="AE28" s="32">
        <v>485.41899999999998</v>
      </c>
      <c r="AF28" s="32">
        <v>413.84699999999998</v>
      </c>
      <c r="AG28" s="32">
        <v>937.53800000000012</v>
      </c>
      <c r="AH28" s="32">
        <v>15.856999999999999</v>
      </c>
      <c r="AI28" s="32">
        <v>2.5999999999999999E-2</v>
      </c>
      <c r="AJ28" s="32">
        <v>41.981000000000002</v>
      </c>
      <c r="AK28" s="32">
        <v>0.64</v>
      </c>
      <c r="AL28" s="32">
        <v>2.3090000000000002</v>
      </c>
      <c r="AM28" s="32">
        <v>0.54</v>
      </c>
      <c r="AN28" s="32">
        <v>1.4000000000000002E-2</v>
      </c>
      <c r="AO28" s="32">
        <v>0.186</v>
      </c>
      <c r="AP28" s="32">
        <v>0</v>
      </c>
      <c r="AQ28" s="32">
        <v>0</v>
      </c>
      <c r="AR28" s="32">
        <v>0.49099999999999999</v>
      </c>
      <c r="AS28" s="32">
        <v>0.41399999999999998</v>
      </c>
      <c r="AT28" s="32">
        <v>1.1910000000000001</v>
      </c>
      <c r="AU28" s="32">
        <v>1.6E-2</v>
      </c>
      <c r="AV28" s="32">
        <v>0.01</v>
      </c>
      <c r="AW28" s="32">
        <v>0.129</v>
      </c>
      <c r="AX28" s="108" cm="1">
        <f t="array" ref="AX28">(SUM(AR28:AV28/SUM(AR$37:AV$37))*AX$37)</f>
        <v>7.3879362868831057E-4</v>
      </c>
      <c r="AY28" s="108" cm="1">
        <f t="array" ref="AY28">(SUM(AS28:AW28/SUM(AS$37:AW$37))*AY$37)</f>
        <v>0</v>
      </c>
      <c r="AZ28" s="108" cm="1">
        <f t="array" ref="AZ28">(SUM(AT28:AX28/SUM(AT$37:AX$37))*AZ$37)</f>
        <v>0</v>
      </c>
      <c r="BA28" s="108" cm="1">
        <f t="array" ref="BA28">(SUM(AU28:AY28/SUM(AU$37:AY$37))*BA$37)</f>
        <v>4.8787292033296258E-2</v>
      </c>
    </row>
    <row r="29" spans="1:54" ht="15.75">
      <c r="A29" s="93" t="s">
        <v>78</v>
      </c>
      <c r="P29" s="42">
        <v>179.13800000000001</v>
      </c>
      <c r="Q29" s="32">
        <v>473.36900000000003</v>
      </c>
      <c r="R29" s="32">
        <v>699.62699999999995</v>
      </c>
      <c r="S29" s="32">
        <v>826.03099999999995</v>
      </c>
      <c r="T29" s="32">
        <v>497.553</v>
      </c>
      <c r="U29" s="32">
        <v>31.628999999999994</v>
      </c>
      <c r="V29" s="32">
        <v>0</v>
      </c>
      <c r="W29" s="32">
        <v>57.106000000000002</v>
      </c>
      <c r="X29" s="32">
        <v>428.86799999999999</v>
      </c>
      <c r="Y29" s="32">
        <v>83.507999999999996</v>
      </c>
      <c r="Z29" s="32">
        <v>589.48599999999999</v>
      </c>
      <c r="AA29" s="32">
        <v>745.15800000000002</v>
      </c>
      <c r="AB29" s="32">
        <v>770.20299999999997</v>
      </c>
      <c r="AC29" s="32">
        <v>1765.2140000000002</v>
      </c>
      <c r="AD29" s="32">
        <v>443.423</v>
      </c>
      <c r="AE29" s="32">
        <v>119.67200000000001</v>
      </c>
      <c r="AF29" s="32">
        <v>1005.5179999999999</v>
      </c>
      <c r="AG29" s="32">
        <v>770.25</v>
      </c>
      <c r="AH29" s="32">
        <v>29.260000000000005</v>
      </c>
      <c r="AI29" s="32">
        <v>2.67</v>
      </c>
      <c r="AJ29" s="32">
        <v>0.32400000000000001</v>
      </c>
      <c r="AK29" s="32">
        <v>0.47</v>
      </c>
      <c r="AL29" s="32">
        <v>0.40100000000000002</v>
      </c>
      <c r="AM29" s="32">
        <v>5.2749999999999995</v>
      </c>
      <c r="AN29" s="32">
        <v>0</v>
      </c>
      <c r="AO29" s="32">
        <v>2.5999999999999999E-2</v>
      </c>
      <c r="AP29" s="32">
        <v>0.61499999999999999</v>
      </c>
      <c r="AQ29" s="32">
        <v>0.40300000000000002</v>
      </c>
      <c r="AR29" s="32">
        <v>0.23300000000000001</v>
      </c>
      <c r="AS29" s="32">
        <v>8.9999999999999993E-3</v>
      </c>
      <c r="AT29" s="32">
        <v>0</v>
      </c>
      <c r="AU29" s="32">
        <v>5.0000000000000001E-3</v>
      </c>
      <c r="AV29" s="32">
        <v>1.7000000000000001E-2</v>
      </c>
      <c r="AW29" s="32">
        <v>0.12</v>
      </c>
      <c r="AX29" s="108" cm="1">
        <f t="array" ref="AX29">(SUM(AR29:AV29/SUM(AR$37:AV$37))*AX$37)</f>
        <v>9.1914004700147973E-5</v>
      </c>
      <c r="AY29" s="108" cm="1">
        <f t="array" ref="AY29">(SUM(AS29:AW29/SUM(AS$37:AW$37))*AY$37)</f>
        <v>0</v>
      </c>
      <c r="AZ29" s="108" cm="1">
        <f t="array" ref="AZ29">(SUM(AT29:AX29/SUM(AT$37:AX$37))*AZ$37)</f>
        <v>0</v>
      </c>
      <c r="BA29" s="108" cm="1">
        <f t="array" ref="BA29">(SUM(AU29:AY29/SUM(AU$37:AY$37))*BA$37)</f>
        <v>4.4512221666781579E-2</v>
      </c>
    </row>
    <row r="30" spans="1:54" ht="15.75">
      <c r="A30" s="93" t="s">
        <v>79</v>
      </c>
      <c r="P30" s="42">
        <v>190.06800000000001</v>
      </c>
      <c r="Q30" s="32">
        <v>494.89600000000002</v>
      </c>
      <c r="R30" s="32">
        <v>814.70100000000002</v>
      </c>
      <c r="S30" s="32">
        <v>1025.769</v>
      </c>
      <c r="T30" s="32">
        <v>862.07299999999998</v>
      </c>
      <c r="U30" s="32">
        <v>11.741999999999999</v>
      </c>
      <c r="V30" s="32">
        <v>0.66</v>
      </c>
      <c r="W30" s="32">
        <v>166.126</v>
      </c>
      <c r="X30" s="32">
        <v>405.197</v>
      </c>
      <c r="Y30" s="32">
        <v>272.90699999999998</v>
      </c>
      <c r="Z30" s="32">
        <v>1219.5320000000002</v>
      </c>
      <c r="AA30" s="32">
        <v>938.04300000000012</v>
      </c>
      <c r="AB30" s="32">
        <v>1100.5909999999999</v>
      </c>
      <c r="AC30" s="32">
        <v>1596.1049999999998</v>
      </c>
      <c r="AD30" s="32">
        <v>16.067999999999998</v>
      </c>
      <c r="AE30" s="32">
        <v>1103.7449999999999</v>
      </c>
      <c r="AF30" s="32">
        <v>771.7170000000001</v>
      </c>
      <c r="AG30" s="32">
        <v>1127.1859999999999</v>
      </c>
      <c r="AH30" s="32">
        <v>18.149000000000001</v>
      </c>
      <c r="AI30" s="32">
        <v>7.7770000000000001</v>
      </c>
      <c r="AJ30" s="32">
        <v>5.9309999999999992</v>
      </c>
      <c r="AK30" s="32">
        <v>9.0500000000000007</v>
      </c>
      <c r="AL30" s="32">
        <v>2.3260000000000001</v>
      </c>
      <c r="AM30" s="32">
        <v>5.625</v>
      </c>
      <c r="AN30" s="32">
        <v>1.232</v>
      </c>
      <c r="AO30" s="32">
        <v>0.24</v>
      </c>
      <c r="AP30" s="32">
        <v>2.5000000000000001E-2</v>
      </c>
      <c r="AQ30" s="32">
        <v>0.95599999999999996</v>
      </c>
      <c r="AR30" s="32">
        <v>4.5999999999999999E-2</v>
      </c>
      <c r="AS30" s="32">
        <v>1.083</v>
      </c>
      <c r="AT30" s="32">
        <v>0</v>
      </c>
      <c r="AU30" s="32">
        <v>0.11600000000000001</v>
      </c>
      <c r="AV30" s="32">
        <v>5.1999999999999998E-2</v>
      </c>
      <c r="AW30" s="108" cm="1">
        <f t="array" ref="AW30">(SUM(AQ30:AU30/SUM(AQ$37:AU$37))*AW$37)</f>
        <v>0.13388790461779443</v>
      </c>
      <c r="AX30" s="108" cm="1">
        <f t="array" ref="AX30">(SUM(AR30:AV30/SUM(AR$37:AV$37))*AX$37)</f>
        <v>4.5156236400034812E-4</v>
      </c>
      <c r="AY30" s="108" cm="1">
        <f t="array" ref="AY30">(SUM(AS30:AW30/SUM(AS$37:AW$37))*AY$37)</f>
        <v>0</v>
      </c>
      <c r="AZ30" s="108" cm="1">
        <f t="array" ref="AZ30">(SUM(AT30:AX30/SUM(AT$37:AX$37))*AZ$37)</f>
        <v>0</v>
      </c>
      <c r="BA30" s="108" cm="1">
        <f t="array" ref="BA30">(SUM(AU30:AY30/SUM(AU$37:AY$37))*BA$37)</f>
        <v>9.4711943794810738E-2</v>
      </c>
    </row>
    <row r="31" spans="1:54" ht="15.75">
      <c r="A31" s="93" t="s">
        <v>80</v>
      </c>
      <c r="P31" s="42">
        <v>231.13900000000001</v>
      </c>
      <c r="Q31" s="32">
        <v>584.50300000000004</v>
      </c>
      <c r="R31" s="32">
        <v>1003.33</v>
      </c>
      <c r="S31" s="32">
        <v>939.995</v>
      </c>
      <c r="T31" s="32">
        <v>792.43899999999996</v>
      </c>
      <c r="U31" s="32">
        <v>3.4039999999999999</v>
      </c>
      <c r="V31" s="32">
        <v>0.373</v>
      </c>
      <c r="W31" s="32">
        <v>291.20300000000003</v>
      </c>
      <c r="X31" s="32">
        <v>580.18700000000001</v>
      </c>
      <c r="Y31" s="32">
        <v>53.148999999999994</v>
      </c>
      <c r="Z31" s="32">
        <v>530.92099999999994</v>
      </c>
      <c r="AA31" s="32">
        <v>251.21400000000003</v>
      </c>
      <c r="AB31" s="32">
        <v>855.12300000000005</v>
      </c>
      <c r="AC31" s="32">
        <v>551.02800000000002</v>
      </c>
      <c r="AD31" s="32">
        <v>72.177999999999997</v>
      </c>
      <c r="AE31" s="32">
        <v>529.07600000000002</v>
      </c>
      <c r="AF31" s="32">
        <v>40.087000000000003</v>
      </c>
      <c r="AG31" s="32">
        <v>578.553</v>
      </c>
      <c r="AH31" s="32">
        <v>26.234999999999999</v>
      </c>
      <c r="AI31" s="32">
        <v>1.8740000000000001</v>
      </c>
      <c r="AJ31" s="32">
        <v>6.6109999999999998</v>
      </c>
      <c r="AK31" s="32">
        <v>9.913000000000002</v>
      </c>
      <c r="AL31" s="32">
        <v>18.456</v>
      </c>
      <c r="AM31" s="32">
        <v>2.5870000000000002</v>
      </c>
      <c r="AN31" s="32">
        <v>4.4249999999999998</v>
      </c>
      <c r="AO31" s="32">
        <v>5.6040000000000001</v>
      </c>
      <c r="AP31" s="32">
        <v>0.27800000000000002</v>
      </c>
      <c r="AQ31" s="32">
        <v>5.9989999999999997</v>
      </c>
      <c r="AR31" s="32">
        <v>0.40799999999999997</v>
      </c>
      <c r="AS31" s="32">
        <v>3.2290000000000001</v>
      </c>
      <c r="AT31" s="32">
        <v>0.39600000000000002</v>
      </c>
      <c r="AU31" s="32">
        <v>1.2989999999999999</v>
      </c>
      <c r="AV31" s="32">
        <v>0.111</v>
      </c>
      <c r="AW31" s="108" cm="1">
        <f t="array" ref="AW31">(SUM(AQ31:AU31/SUM(AQ$37:AU$37))*AW$37)</f>
        <v>0.68927026225544241</v>
      </c>
      <c r="AX31" s="108" cm="1">
        <f t="array" ref="AX31">(SUM(AR31:AV31/SUM(AR$37:AV$37))*AX$37)</f>
        <v>1.8950300287231265E-3</v>
      </c>
      <c r="AY31" s="108" cm="1">
        <f t="array" ref="AY31">(SUM(AS31:AW31/SUM(AS$37:AW$37))*AY$37)</f>
        <v>0</v>
      </c>
      <c r="AZ31" s="108" cm="1">
        <f t="array" ref="AZ31">(SUM(AT31:AX31/SUM(AT$37:AX$37))*AZ$37)</f>
        <v>0</v>
      </c>
      <c r="BA31" s="108" cm="1">
        <f t="array" ref="BA31">(SUM(AU31:AY31/SUM(AU$37:AY$37))*BA$37)</f>
        <v>0.65821856158265957</v>
      </c>
    </row>
    <row r="32" spans="1:54" ht="15.75">
      <c r="A32" s="93" t="s">
        <v>81</v>
      </c>
      <c r="P32" s="42">
        <v>272.13900000000001</v>
      </c>
      <c r="Q32" s="32">
        <v>727.81100000000004</v>
      </c>
      <c r="R32" s="32">
        <v>846.56600000000003</v>
      </c>
      <c r="S32" s="32">
        <v>832.36400000000003</v>
      </c>
      <c r="T32" s="32">
        <v>1156.3050000000001</v>
      </c>
      <c r="U32" s="32">
        <v>0.05</v>
      </c>
      <c r="V32" s="32">
        <v>0.70699999999999996</v>
      </c>
      <c r="W32" s="32">
        <v>560.79300000000001</v>
      </c>
      <c r="X32" s="32">
        <v>240.078</v>
      </c>
      <c r="Y32" s="32">
        <v>171.43799999999999</v>
      </c>
      <c r="Z32" s="32">
        <v>350.98499999999996</v>
      </c>
      <c r="AA32" s="32">
        <v>469.94000000000005</v>
      </c>
      <c r="AB32" s="32">
        <v>271.40999999999997</v>
      </c>
      <c r="AC32" s="32">
        <v>392.10599999999999</v>
      </c>
      <c r="AD32" s="32">
        <v>358.11099999999993</v>
      </c>
      <c r="AE32" s="32">
        <v>765.54799999999989</v>
      </c>
      <c r="AF32" s="32">
        <v>16.657999999999998</v>
      </c>
      <c r="AG32" s="32">
        <v>28.040999999999997</v>
      </c>
      <c r="AH32" s="32">
        <v>0</v>
      </c>
      <c r="AI32" s="32">
        <v>15.965999999999999</v>
      </c>
      <c r="AJ32" s="32">
        <v>16.122</v>
      </c>
      <c r="AK32" s="32">
        <v>27.491</v>
      </c>
      <c r="AL32" s="32">
        <v>3.6149999999999998</v>
      </c>
      <c r="AM32" s="32">
        <v>1.774</v>
      </c>
      <c r="AN32" s="32">
        <v>0</v>
      </c>
      <c r="AO32" s="32">
        <v>0.57800000000000007</v>
      </c>
      <c r="AP32" s="32">
        <v>8.0000000000000002E-3</v>
      </c>
      <c r="AQ32" s="32">
        <v>17.84</v>
      </c>
      <c r="AR32" s="32">
        <v>1.4039999999999999</v>
      </c>
      <c r="AS32" s="32">
        <v>1.8680000000000001</v>
      </c>
      <c r="AT32" s="32">
        <v>0.112</v>
      </c>
      <c r="AU32" s="32">
        <v>2.3140000000000001</v>
      </c>
      <c r="AV32" s="32">
        <v>0</v>
      </c>
      <c r="AW32" s="108" cm="1">
        <f t="array" ref="AW32">(SUM(AQ32:AU32/SUM(AQ$37:AU$37))*AW$37)</f>
        <v>1.4318280322097432</v>
      </c>
      <c r="AX32" s="108" cm="1">
        <f t="array" ref="AX32">(SUM(AR32:AV32/SUM(AR$37:AV$37))*AX$37)</f>
        <v>1.9838106014448604E-3</v>
      </c>
      <c r="AY32" s="108" cm="1">
        <f t="array" ref="AY32">(SUM(AS32:AW32/SUM(AS$37:AW$37))*AY$37)</f>
        <v>0</v>
      </c>
      <c r="AZ32" s="108" cm="1">
        <f t="array" ref="AZ32">(SUM(AT32:AX32/SUM(AT$37:AX$37))*AZ$37)</f>
        <v>0</v>
      </c>
      <c r="BA32" s="108" cm="1">
        <f t="array" ref="BA32">(SUM(AU32:AY32/SUM(AU$37:AY$37))*BA$37)</f>
        <v>1.1740529549562022</v>
      </c>
    </row>
    <row r="33" spans="1:53" ht="15.75">
      <c r="A33" s="93" t="s">
        <v>82</v>
      </c>
      <c r="P33" s="42">
        <v>354.06200000000001</v>
      </c>
      <c r="Q33" s="32">
        <v>675.59100000000001</v>
      </c>
      <c r="R33" s="32">
        <v>935.19</v>
      </c>
      <c r="S33" s="32">
        <v>956.92899999999997</v>
      </c>
      <c r="T33" s="32">
        <v>1201.2239999999999</v>
      </c>
      <c r="U33" s="32">
        <v>0.06</v>
      </c>
      <c r="V33" s="32">
        <v>15</v>
      </c>
      <c r="W33" s="32">
        <v>919.88199999999995</v>
      </c>
      <c r="X33" s="32">
        <v>401.39</v>
      </c>
      <c r="Y33" s="32">
        <v>304.35000000000002</v>
      </c>
      <c r="Z33" s="32">
        <v>962.93999999999994</v>
      </c>
      <c r="AA33" s="32">
        <v>124.94</v>
      </c>
      <c r="AB33" s="32">
        <v>257.892</v>
      </c>
      <c r="AC33" s="32">
        <v>1818.8429999999998</v>
      </c>
      <c r="AD33" s="32">
        <v>165.09100000000001</v>
      </c>
      <c r="AE33" s="32">
        <v>1920.0920000000001</v>
      </c>
      <c r="AF33" s="32">
        <v>3.923</v>
      </c>
      <c r="AG33" s="32">
        <v>160.399</v>
      </c>
      <c r="AH33" s="32">
        <v>37.131</v>
      </c>
      <c r="AI33" s="32">
        <v>30.884</v>
      </c>
      <c r="AJ33" s="32">
        <v>9.4210000000000012</v>
      </c>
      <c r="AK33" s="32">
        <v>9.5440000000000005</v>
      </c>
      <c r="AL33" s="32">
        <v>3.3719999999999999</v>
      </c>
      <c r="AM33" s="32">
        <v>1.8759999999999999</v>
      </c>
      <c r="AN33" s="32">
        <v>0.161</v>
      </c>
      <c r="AO33" s="32">
        <v>0.36</v>
      </c>
      <c r="AP33" s="32">
        <v>0.42</v>
      </c>
      <c r="AQ33" s="32">
        <v>11.21</v>
      </c>
      <c r="AR33" s="32">
        <v>3.2519999999999998</v>
      </c>
      <c r="AS33" s="32">
        <v>2.1190000000000002</v>
      </c>
      <c r="AT33" s="32">
        <v>4.8000000000000001E-2</v>
      </c>
      <c r="AU33" s="32">
        <v>1.6E-2</v>
      </c>
      <c r="AV33" s="32">
        <v>4.4999999999999998E-2</v>
      </c>
      <c r="AW33" s="108" cm="1">
        <f t="array" ref="AW33">(SUM(AQ33:AU33/SUM(AQ$37:AU$37))*AW$37)</f>
        <v>1.0125234767665554</v>
      </c>
      <c r="AX33" s="108" cm="1">
        <f t="array" ref="AX33">(SUM(AR33:AV33/SUM(AR$37:AV$37))*AX$37)</f>
        <v>1.9079119157454957E-3</v>
      </c>
      <c r="AY33" s="108" cm="1">
        <f t="array" ref="AY33">(SUM(AS33:AW33/SUM(AS$37:AW$37))*AY$37)</f>
        <v>0</v>
      </c>
      <c r="AZ33" s="108" cm="1">
        <f t="array" ref="AZ33">(SUM(AT33:AX33/SUM(AT$37:AX$37))*AZ$37)</f>
        <v>0</v>
      </c>
      <c r="BA33" s="108" cm="1">
        <f t="array" ref="BA33">(SUM(AU33:AY33/SUM(AU$37:AY$37))*BA$37)</f>
        <v>0.33689348683738518</v>
      </c>
    </row>
    <row r="34" spans="1:53" ht="15.75">
      <c r="A34" s="93" t="s">
        <v>83</v>
      </c>
      <c r="P34" s="42">
        <v>348.03100000000001</v>
      </c>
      <c r="Q34" s="32">
        <v>843.61199999999997</v>
      </c>
      <c r="R34" s="32">
        <v>774.06500000000005</v>
      </c>
      <c r="S34" s="32">
        <v>941.86800000000005</v>
      </c>
      <c r="T34" s="32">
        <v>902.28800000000001</v>
      </c>
      <c r="U34" s="32">
        <v>0</v>
      </c>
      <c r="V34" s="32">
        <v>34.059000000000005</v>
      </c>
      <c r="W34" s="32">
        <v>607.26499999999987</v>
      </c>
      <c r="X34" s="32">
        <v>304.72899999999998</v>
      </c>
      <c r="Y34" s="32">
        <v>551.19200000000001</v>
      </c>
      <c r="Z34" s="32">
        <v>1557.7</v>
      </c>
      <c r="AA34" s="32">
        <v>505.79999999999995</v>
      </c>
      <c r="AB34" s="32">
        <v>1034.191</v>
      </c>
      <c r="AC34" s="32">
        <v>1446.2530000000004</v>
      </c>
      <c r="AD34" s="32">
        <v>157.18600000000004</v>
      </c>
      <c r="AE34" s="32">
        <v>1092.7049999999999</v>
      </c>
      <c r="AF34" s="32">
        <v>5.508</v>
      </c>
      <c r="AG34" s="32">
        <v>251.30899999999997</v>
      </c>
      <c r="AH34" s="32">
        <v>14.259</v>
      </c>
      <c r="AI34" s="32">
        <v>11.136000000000001</v>
      </c>
      <c r="AJ34" s="32">
        <v>12.202999999999999</v>
      </c>
      <c r="AK34" s="32">
        <v>10.012</v>
      </c>
      <c r="AL34" s="32">
        <v>4.29</v>
      </c>
      <c r="AM34" s="32">
        <v>1.169</v>
      </c>
      <c r="AN34" s="32">
        <v>3.8949999999999996</v>
      </c>
      <c r="AO34" s="32">
        <v>0.65800000000000003</v>
      </c>
      <c r="AP34" s="32">
        <v>5.0999999999999997E-2</v>
      </c>
      <c r="AQ34" s="32">
        <v>23.061</v>
      </c>
      <c r="AR34" s="32">
        <v>0.96199999999999997</v>
      </c>
      <c r="AS34" s="32">
        <v>6.5250000000000004</v>
      </c>
      <c r="AT34" s="32">
        <v>4.4999999999999998E-2</v>
      </c>
      <c r="AU34" s="32">
        <v>5.5E-2</v>
      </c>
      <c r="AV34" s="32">
        <v>4.5999999999999999E-2</v>
      </c>
      <c r="AW34" s="108" cm="1">
        <f t="array" ref="AW34">(SUM(AQ34:AU34/SUM(AQ$37:AU$37))*AW$37)</f>
        <v>1.8643328036011648</v>
      </c>
      <c r="AX34" s="108" cm="1">
        <f t="array" ref="AX34">(SUM(AR34:AV34/SUM(AR$37:AV$37))*AX$37)</f>
        <v>2.6574984768038996E-3</v>
      </c>
      <c r="AY34" s="108" cm="1">
        <f t="array" ref="AY34">(SUM(AS34:AW34/SUM(AS$37:AW$37))*AY$37)</f>
        <v>0</v>
      </c>
      <c r="AZ34" s="108" cm="1">
        <f t="array" ref="AZ34">(SUM(AT34:AX34/SUM(AT$37:AX$37))*AZ$37)</f>
        <v>0</v>
      </c>
      <c r="BA34" s="108" cm="1">
        <f t="array" ref="BA34">(SUM(AU34:AY34/SUM(AU$37:AY$37))*BA$37)</f>
        <v>0.61649968738737204</v>
      </c>
    </row>
    <row r="35" spans="1:53" ht="15.75">
      <c r="A35" s="93" t="s">
        <v>84</v>
      </c>
      <c r="P35" s="42">
        <v>361.87900000000002</v>
      </c>
      <c r="Q35" s="32">
        <v>930.64800000000002</v>
      </c>
      <c r="R35" s="32">
        <v>658.77300000000002</v>
      </c>
      <c r="S35" s="32">
        <v>876.54300000000001</v>
      </c>
      <c r="T35" s="32">
        <v>727.45500000000004</v>
      </c>
      <c r="U35" s="32">
        <v>0</v>
      </c>
      <c r="V35" s="32">
        <v>72.462999999999994</v>
      </c>
      <c r="W35" s="32">
        <v>711.39799999999991</v>
      </c>
      <c r="X35" s="32">
        <v>334.60200000000003</v>
      </c>
      <c r="Y35" s="32">
        <v>212.64899999999997</v>
      </c>
      <c r="Z35" s="32">
        <v>1582.6109999999999</v>
      </c>
      <c r="AA35" s="32">
        <v>345.69499999999999</v>
      </c>
      <c r="AB35" s="32">
        <v>1652.001</v>
      </c>
      <c r="AC35" s="32">
        <v>1182.624</v>
      </c>
      <c r="AD35" s="32">
        <v>55.372</v>
      </c>
      <c r="AE35" s="32">
        <v>594.601</v>
      </c>
      <c r="AF35" s="32">
        <v>5.4870000000000001</v>
      </c>
      <c r="AG35" s="32">
        <v>227.792</v>
      </c>
      <c r="AH35" s="32">
        <v>25.094000000000001</v>
      </c>
      <c r="AI35" s="32">
        <v>11.862</v>
      </c>
      <c r="AJ35" s="32">
        <v>9.0470000000000006</v>
      </c>
      <c r="AK35" s="32">
        <v>13.286</v>
      </c>
      <c r="AL35" s="32">
        <v>4.9820000000000002</v>
      </c>
      <c r="AM35" s="32">
        <v>1.91</v>
      </c>
      <c r="AN35" s="32">
        <v>3.0249999999999999</v>
      </c>
      <c r="AO35" s="32">
        <v>0.35699999999999998</v>
      </c>
      <c r="AP35" s="32">
        <v>0.30599999999999999</v>
      </c>
      <c r="AQ35" s="32">
        <v>14.321</v>
      </c>
      <c r="AR35" s="32">
        <v>1.462</v>
      </c>
      <c r="AS35" s="32">
        <v>0.25700000000000001</v>
      </c>
      <c r="AT35" s="32">
        <v>1.4999999999999999E-2</v>
      </c>
      <c r="AU35" s="32">
        <v>0.09</v>
      </c>
      <c r="AV35" s="32">
        <v>0.11899999999999999</v>
      </c>
      <c r="AW35" s="108" cm="1">
        <f t="array" ref="AW35">(SUM(AQ35:AU35/SUM(AQ$37:AU$37))*AW$37)</f>
        <v>0.98210823264620228</v>
      </c>
      <c r="AX35" s="108" cm="1">
        <f t="array" ref="AX35">(SUM(AR35:AV35/SUM(AR$37:AV$37))*AX$37)</f>
        <v>6.7647314822874051E-4</v>
      </c>
      <c r="AY35" s="108" cm="1">
        <f t="array" ref="AY35">(SUM(AS35:AW35/SUM(AS$37:AW$37))*AY$37)</f>
        <v>0</v>
      </c>
      <c r="AZ35" s="108" cm="1">
        <f t="array" ref="AZ35">(SUM(AT35:AX35/SUM(AT$37:AX$37))*AZ$37)</f>
        <v>0</v>
      </c>
      <c r="BA35" s="108" cm="1">
        <f t="array" ref="BA35">(SUM(AU35:AY35/SUM(AU$37:AY$37))*BA$37)</f>
        <v>0.37334274349803626</v>
      </c>
    </row>
    <row r="36" spans="1:53" ht="15.75">
      <c r="A36" s="93" t="s">
        <v>73</v>
      </c>
      <c r="P36" s="42">
        <v>324.928</v>
      </c>
      <c r="Q36" s="32">
        <v>501.31599999999997</v>
      </c>
      <c r="R36" s="32">
        <v>651.78700000000003</v>
      </c>
      <c r="S36" s="32">
        <v>1403.2449999999999</v>
      </c>
      <c r="T36" s="32">
        <v>718.81200000000001</v>
      </c>
      <c r="U36" s="32">
        <v>0</v>
      </c>
      <c r="V36" s="32">
        <v>30.103999999999999</v>
      </c>
      <c r="W36" s="32">
        <v>555.53000000000009</v>
      </c>
      <c r="X36" s="32">
        <v>432.33600000000007</v>
      </c>
      <c r="Y36" s="32">
        <v>346.00599999999997</v>
      </c>
      <c r="Z36" s="32">
        <v>740.84899999999993</v>
      </c>
      <c r="AA36" s="32">
        <v>547.94000000000005</v>
      </c>
      <c r="AB36" s="32">
        <v>977.67499999999995</v>
      </c>
      <c r="AC36" s="32">
        <v>1396.4610000000002</v>
      </c>
      <c r="AD36" s="32">
        <v>40.613999999999997</v>
      </c>
      <c r="AE36" s="32">
        <v>543.50400000000002</v>
      </c>
      <c r="AF36" s="32">
        <v>6.798</v>
      </c>
      <c r="AG36" s="32">
        <v>384.06299999999999</v>
      </c>
      <c r="AH36" s="32">
        <v>0</v>
      </c>
      <c r="AI36" s="32">
        <v>3.4359999999999999</v>
      </c>
      <c r="AJ36" s="32">
        <v>5.7640000000000002</v>
      </c>
      <c r="AK36" s="32">
        <v>10.199999999999999</v>
      </c>
      <c r="AL36" s="32">
        <v>6.1070000000000002</v>
      </c>
      <c r="AM36" s="32">
        <v>50.640999999999998</v>
      </c>
      <c r="AN36" s="32">
        <v>3.3820000000000001</v>
      </c>
      <c r="AO36" s="32">
        <v>0.65</v>
      </c>
      <c r="AP36" s="32">
        <v>5.5E-2</v>
      </c>
      <c r="AQ36" s="32">
        <v>1.5</v>
      </c>
      <c r="AR36" s="32">
        <v>0.75600000000000001</v>
      </c>
      <c r="AS36" s="32">
        <v>0</v>
      </c>
      <c r="AT36" s="32">
        <v>3.3000000000000002E-2</v>
      </c>
      <c r="AU36" s="32">
        <v>0</v>
      </c>
      <c r="AV36" s="32">
        <v>0.10199999999999999</v>
      </c>
      <c r="AW36" s="108">
        <f t="shared" ref="AW36" si="15">AW37-SUM(AW25:AW35)</f>
        <v>1.1060492879030965</v>
      </c>
      <c r="AX36" s="108">
        <f t="shared" ref="AX36:BA36" si="16">AX37-SUM(AX25:AX35)</f>
        <v>3.1020976586299681E-4</v>
      </c>
      <c r="AY36" s="108">
        <f t="shared" si="16"/>
        <v>0</v>
      </c>
      <c r="AZ36" s="108">
        <f t="shared" si="16"/>
        <v>0</v>
      </c>
      <c r="BA36" s="108">
        <f t="shared" si="16"/>
        <v>0.37853502213801082</v>
      </c>
    </row>
    <row r="37" spans="1:53" ht="15.75">
      <c r="A37" s="93" t="s">
        <v>85</v>
      </c>
      <c r="P37" s="42"/>
      <c r="Q37" s="32">
        <f>SUM(Q25:Q36)</f>
        <v>6571.1920000000009</v>
      </c>
      <c r="R37" s="32">
        <f t="shared" ref="R37:AV37" si="17">SUM(R25:R36)</f>
        <v>9257.0159999999996</v>
      </c>
      <c r="S37" s="32">
        <f t="shared" si="17"/>
        <v>11485.705000000002</v>
      </c>
      <c r="T37" s="32">
        <f t="shared" si="17"/>
        <v>10324.245000000001</v>
      </c>
      <c r="U37" s="32">
        <f t="shared" si="17"/>
        <v>1319.7499999999998</v>
      </c>
      <c r="V37" s="32">
        <f t="shared" si="17"/>
        <v>157.42599999999999</v>
      </c>
      <c r="W37" s="32">
        <f t="shared" si="17"/>
        <v>3891.7040000000002</v>
      </c>
      <c r="X37" s="32">
        <f t="shared" si="17"/>
        <v>6173.3110000000015</v>
      </c>
      <c r="Y37" s="32">
        <f t="shared" si="17"/>
        <v>3337.8119999999994</v>
      </c>
      <c r="Z37" s="32">
        <f t="shared" si="17"/>
        <v>9934.6540000000005</v>
      </c>
      <c r="AA37" s="32">
        <f t="shared" si="17"/>
        <v>7276.1290000000008</v>
      </c>
      <c r="AB37" s="32">
        <f t="shared" si="17"/>
        <v>8610.5589999999993</v>
      </c>
      <c r="AC37" s="32">
        <f t="shared" si="17"/>
        <v>15243.509999999998</v>
      </c>
      <c r="AD37" s="32">
        <f t="shared" si="17"/>
        <v>7553.3089999999993</v>
      </c>
      <c r="AE37" s="32">
        <f t="shared" si="17"/>
        <v>7589.7519999999986</v>
      </c>
      <c r="AF37" s="32">
        <f t="shared" si="17"/>
        <v>3726.9999999999991</v>
      </c>
      <c r="AG37" s="32">
        <f t="shared" si="17"/>
        <v>5269.5880000000006</v>
      </c>
      <c r="AH37" s="32">
        <f t="shared" si="17"/>
        <v>548.61</v>
      </c>
      <c r="AI37" s="32">
        <f t="shared" si="17"/>
        <v>172.18299999999999</v>
      </c>
      <c r="AJ37" s="32">
        <f t="shared" si="17"/>
        <v>150.809</v>
      </c>
      <c r="AK37" s="32">
        <f t="shared" si="17"/>
        <v>110.517</v>
      </c>
      <c r="AL37" s="32">
        <f t="shared" si="17"/>
        <v>91.249000000000009</v>
      </c>
      <c r="AM37" s="32">
        <f t="shared" si="17"/>
        <v>80.156000000000006</v>
      </c>
      <c r="AN37" s="32">
        <f t="shared" si="17"/>
        <v>22.363</v>
      </c>
      <c r="AO37" s="32">
        <f t="shared" si="17"/>
        <v>12.529999999999998</v>
      </c>
      <c r="AP37" s="32">
        <f t="shared" si="17"/>
        <v>4.1680000000000001</v>
      </c>
      <c r="AQ37" s="32">
        <f t="shared" si="17"/>
        <v>77.426000000000002</v>
      </c>
      <c r="AR37" s="32">
        <f t="shared" si="17"/>
        <v>18.957999999999998</v>
      </c>
      <c r="AS37" s="32">
        <f t="shared" si="17"/>
        <v>18.507000000000001</v>
      </c>
      <c r="AT37" s="32">
        <f t="shared" si="17"/>
        <v>12.039000000000001</v>
      </c>
      <c r="AU37" s="32">
        <f t="shared" si="17"/>
        <v>4.5830000000000002</v>
      </c>
      <c r="AV37" s="32">
        <f t="shared" si="17"/>
        <v>3.3579999999999992</v>
      </c>
      <c r="AW37" s="108">
        <f>AW13</f>
        <v>8</v>
      </c>
      <c r="AX37" s="108">
        <f t="shared" ref="AX37:BA37" si="18">AX13</f>
        <v>0.02</v>
      </c>
      <c r="AY37" s="108">
        <f t="shared" si="18"/>
        <v>0</v>
      </c>
      <c r="AZ37" s="108">
        <f t="shared" si="18"/>
        <v>0</v>
      </c>
      <c r="BA37" s="108">
        <f t="shared" si="18"/>
        <v>5</v>
      </c>
    </row>
    <row r="38" spans="1:53" ht="15.75">
      <c r="A38" s="93"/>
      <c r="P38" s="4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108"/>
      <c r="AX38" s="108"/>
      <c r="AY38" s="108"/>
      <c r="AZ38" s="108"/>
      <c r="BA38" s="108"/>
    </row>
    <row r="39" spans="1:53" ht="16.5" thickBot="1">
      <c r="A39" s="93"/>
      <c r="P39" s="4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108"/>
      <c r="AX39" s="108"/>
      <c r="AY39" s="108"/>
      <c r="AZ39" s="108"/>
      <c r="BA39" s="108"/>
    </row>
    <row r="40" spans="1:53" ht="15.75">
      <c r="A40" s="98" t="s">
        <v>252</v>
      </c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</row>
    <row r="41" spans="1:53" ht="16.5" thickBot="1">
      <c r="A41" s="93" t="s">
        <v>86</v>
      </c>
    </row>
    <row r="42" spans="1:53" ht="16.5" thickBot="1">
      <c r="A42" s="94"/>
      <c r="B42" s="95" t="str">
        <f>B2</f>
        <v xml:space="preserve">75/76 </v>
      </c>
      <c r="C42" s="95" t="str">
        <f t="shared" ref="C42:BA42" si="19">C2</f>
        <v xml:space="preserve">76/77 </v>
      </c>
      <c r="D42" s="95" t="str">
        <f t="shared" si="19"/>
        <v xml:space="preserve">77/78 </v>
      </c>
      <c r="E42" s="95" t="str">
        <f t="shared" si="19"/>
        <v xml:space="preserve">78/79 </v>
      </c>
      <c r="F42" s="95" t="str">
        <f t="shared" si="19"/>
        <v xml:space="preserve">79/80 </v>
      </c>
      <c r="G42" s="95" t="str">
        <f t="shared" si="19"/>
        <v xml:space="preserve">80/81 </v>
      </c>
      <c r="H42" s="95" t="str">
        <f t="shared" si="19"/>
        <v xml:space="preserve">81/82 </v>
      </c>
      <c r="I42" s="95" t="str">
        <f t="shared" si="19"/>
        <v xml:space="preserve">82/83 </v>
      </c>
      <c r="J42" s="95" t="str">
        <f t="shared" si="19"/>
        <v xml:space="preserve">83/84 </v>
      </c>
      <c r="K42" s="95" t="str">
        <f t="shared" si="19"/>
        <v xml:space="preserve">84/85 </v>
      </c>
      <c r="L42" s="95" t="str">
        <f t="shared" si="19"/>
        <v xml:space="preserve">85/86 </v>
      </c>
      <c r="M42" s="95" t="str">
        <f t="shared" si="19"/>
        <v xml:space="preserve">86/87 </v>
      </c>
      <c r="N42" s="95" t="str">
        <f t="shared" si="19"/>
        <v xml:space="preserve">87/88 </v>
      </c>
      <c r="O42" s="95" t="str">
        <f t="shared" si="19"/>
        <v xml:space="preserve">88/89 </v>
      </c>
      <c r="P42" s="95" t="str">
        <f t="shared" si="19"/>
        <v xml:space="preserve">89/90 </v>
      </c>
      <c r="Q42" s="95" t="str">
        <f t="shared" si="19"/>
        <v xml:space="preserve">90/91 </v>
      </c>
      <c r="R42" s="95" t="str">
        <f t="shared" si="19"/>
        <v xml:space="preserve">91/92 </v>
      </c>
      <c r="S42" s="95" t="str">
        <f t="shared" si="19"/>
        <v xml:space="preserve">92/93 </v>
      </c>
      <c r="T42" s="95" t="str">
        <f t="shared" si="19"/>
        <v xml:space="preserve">93/94 </v>
      </c>
      <c r="U42" s="95" t="str">
        <f t="shared" si="19"/>
        <v xml:space="preserve">94/95 </v>
      </c>
      <c r="V42" s="95" t="str">
        <f t="shared" si="19"/>
        <v xml:space="preserve">95/96 </v>
      </c>
      <c r="W42" s="95" t="str">
        <f t="shared" si="19"/>
        <v xml:space="preserve">96/97 </v>
      </c>
      <c r="X42" s="95" t="str">
        <f t="shared" si="19"/>
        <v xml:space="preserve">97/98 </v>
      </c>
      <c r="Y42" s="95" t="str">
        <f t="shared" si="19"/>
        <v xml:space="preserve">98/99 </v>
      </c>
      <c r="Z42" s="95" t="str">
        <f t="shared" si="19"/>
        <v xml:space="preserve">99/00 </v>
      </c>
      <c r="AA42" s="95" t="str">
        <f t="shared" si="19"/>
        <v xml:space="preserve">00/01 </v>
      </c>
      <c r="AB42" s="95" t="str">
        <f t="shared" si="19"/>
        <v xml:space="preserve">01/02 </v>
      </c>
      <c r="AC42" s="95" t="str">
        <f t="shared" si="19"/>
        <v xml:space="preserve">02/03 </v>
      </c>
      <c r="AD42" s="95" t="str">
        <f t="shared" si="19"/>
        <v xml:space="preserve">03/04 </v>
      </c>
      <c r="AE42" s="95" t="str">
        <f t="shared" si="19"/>
        <v xml:space="preserve">04/05 </v>
      </c>
      <c r="AF42" s="95" t="str">
        <f t="shared" si="19"/>
        <v xml:space="preserve">05/06 </v>
      </c>
      <c r="AG42" s="95" t="str">
        <f t="shared" si="19"/>
        <v xml:space="preserve">06/07 </v>
      </c>
      <c r="AH42" s="95" t="str">
        <f t="shared" si="19"/>
        <v xml:space="preserve">07/08 </v>
      </c>
      <c r="AI42" s="95" t="str">
        <f t="shared" si="19"/>
        <v xml:space="preserve">08/09 </v>
      </c>
      <c r="AJ42" s="95" t="str">
        <f t="shared" si="19"/>
        <v xml:space="preserve">09/10 </v>
      </c>
      <c r="AK42" s="95" t="str">
        <f t="shared" si="19"/>
        <v xml:space="preserve">10/11 </v>
      </c>
      <c r="AL42" s="95" t="str">
        <f t="shared" si="19"/>
        <v xml:space="preserve">11/12 </v>
      </c>
      <c r="AM42" s="95" t="str">
        <f t="shared" si="19"/>
        <v xml:space="preserve">12/13 </v>
      </c>
      <c r="AN42" s="95" t="str">
        <f t="shared" si="19"/>
        <v xml:space="preserve">13/14 </v>
      </c>
      <c r="AO42" s="95" t="str">
        <f t="shared" si="19"/>
        <v xml:space="preserve">14/15 </v>
      </c>
      <c r="AP42" s="95" t="str">
        <f t="shared" si="19"/>
        <v xml:space="preserve">15/16 </v>
      </c>
      <c r="AQ42" s="95" t="str">
        <f t="shared" si="19"/>
        <v xml:space="preserve">16/17 </v>
      </c>
      <c r="AR42" s="95" t="str">
        <f t="shared" si="19"/>
        <v xml:space="preserve">17/18 </v>
      </c>
      <c r="AS42" s="95" t="str">
        <f t="shared" si="19"/>
        <v xml:space="preserve">18/19 </v>
      </c>
      <c r="AT42" s="95" t="str">
        <f t="shared" si="19"/>
        <v>19/20</v>
      </c>
      <c r="AU42" s="95" t="str">
        <f t="shared" si="19"/>
        <v>20/21</v>
      </c>
      <c r="AV42" s="95" t="str">
        <f t="shared" si="19"/>
        <v>21/22</v>
      </c>
      <c r="AW42" s="95" t="str">
        <f t="shared" si="19"/>
        <v>22/23</v>
      </c>
      <c r="AX42" s="95" t="str">
        <f t="shared" si="19"/>
        <v>23/24</v>
      </c>
      <c r="AY42" s="95" t="str">
        <f t="shared" si="19"/>
        <v>24/25</v>
      </c>
      <c r="AZ42" s="95" t="str">
        <f t="shared" si="19"/>
        <v>25/26</v>
      </c>
      <c r="BA42" s="95" t="str">
        <f t="shared" si="19"/>
        <v>26/27</v>
      </c>
    </row>
    <row r="43" spans="1:53" ht="15.75">
      <c r="A43" s="93" t="s">
        <v>74</v>
      </c>
      <c r="O43" s="42"/>
      <c r="P43" s="42"/>
      <c r="Q43" s="42"/>
      <c r="R43" s="42"/>
      <c r="S43" s="42"/>
      <c r="T43" s="42"/>
      <c r="U43" s="42">
        <v>3.2000000000000001E-2</v>
      </c>
      <c r="V43" s="42">
        <v>574.70699999999999</v>
      </c>
      <c r="W43" s="42">
        <v>2.504</v>
      </c>
      <c r="X43" s="42">
        <v>6.0999999999999999E-2</v>
      </c>
      <c r="Y43" s="42">
        <v>0.02</v>
      </c>
      <c r="Z43" s="42">
        <v>0</v>
      </c>
      <c r="AA43" s="42">
        <v>0</v>
      </c>
      <c r="AB43" s="42">
        <v>0.312</v>
      </c>
      <c r="AC43" s="42">
        <v>2.1999999999999999E-2</v>
      </c>
      <c r="AD43" s="42">
        <v>0</v>
      </c>
      <c r="AE43" s="42">
        <v>0.14099999999999999</v>
      </c>
      <c r="AF43" s="42">
        <v>0.33899999999999997</v>
      </c>
      <c r="AG43" s="42">
        <v>2.0249999999999999</v>
      </c>
      <c r="AH43" s="42">
        <v>3.0740000000000003</v>
      </c>
      <c r="AI43" s="42">
        <v>5.6930000000000005</v>
      </c>
      <c r="AJ43" s="42">
        <v>18.814999999999998</v>
      </c>
      <c r="AK43" s="42">
        <v>251.934</v>
      </c>
      <c r="AL43" s="42">
        <v>304.32500000000005</v>
      </c>
      <c r="AM43" s="42">
        <v>445.25200000000001</v>
      </c>
      <c r="AN43" s="42">
        <v>38.86</v>
      </c>
      <c r="AO43" s="42">
        <v>114.18599999999999</v>
      </c>
      <c r="AP43" s="42">
        <v>42.883000000000003</v>
      </c>
      <c r="AQ43" s="42">
        <v>14.464</v>
      </c>
      <c r="AR43" s="42">
        <v>73.481999999999999</v>
      </c>
      <c r="AS43" s="42">
        <v>80.838999999999999</v>
      </c>
      <c r="AT43" s="213" cm="1">
        <f t="array" ref="AT43">INDEX('[3]China Corn Imports'!$MT$290:$PM$290,1,ROW(A1))</f>
        <v>91.148258999999996</v>
      </c>
      <c r="AU43" s="213" cm="1">
        <f t="array" ref="AU43">INDEX('[3]China Corn Imports'!$NF$290:$PM$290,1,ROW(A1))</f>
        <v>1141.499163</v>
      </c>
      <c r="AV43" s="213" cm="1">
        <f t="array" ref="AV43">INDEX('[3]China Corn Imports'!$NR$290:$PM$290,1,ROW(A1))</f>
        <v>1302.103402</v>
      </c>
      <c r="AW43" s="213" cm="1">
        <f t="array" ref="AW43">INDEX('[3]China Corn Imports'!$OD$290:$PM$290,1,ROW(A1))</f>
        <v>547.305564</v>
      </c>
      <c r="AX43" s="213" cm="1">
        <f t="array" ref="AX43">INDEX('[3]China Corn Imports'!$OP$290:$PM$290,1,ROW(A1))</f>
        <v>2043.91976</v>
      </c>
      <c r="AY43" s="42" cm="1">
        <f t="array" ref="AY43">INDEX('[3]China Corn Imports'!$PB$290:$ZZ$290,1,ROW(A1))</f>
        <v>250.98</v>
      </c>
      <c r="AZ43" s="107">
        <v>550.32000000000005</v>
      </c>
      <c r="BA43" s="107">
        <v>551.32000000000005</v>
      </c>
    </row>
    <row r="44" spans="1:53" ht="15.75">
      <c r="A44" s="93" t="s">
        <v>75</v>
      </c>
      <c r="O44" s="42"/>
      <c r="P44" s="42"/>
      <c r="Q44" s="42"/>
      <c r="R44" s="42"/>
      <c r="S44" s="42"/>
      <c r="T44" s="42"/>
      <c r="U44" s="42">
        <v>0.01</v>
      </c>
      <c r="V44" s="42">
        <v>921.26099999999997</v>
      </c>
      <c r="W44" s="42">
        <v>5.8000000000000003E-2</v>
      </c>
      <c r="X44" s="42">
        <v>0</v>
      </c>
      <c r="Y44" s="42">
        <v>23.893999999999998</v>
      </c>
      <c r="Z44" s="42">
        <v>0</v>
      </c>
      <c r="AA44" s="42">
        <v>0.06</v>
      </c>
      <c r="AB44" s="42">
        <v>4.3280000000000003</v>
      </c>
      <c r="AC44" s="42">
        <v>1.9E-2</v>
      </c>
      <c r="AD44" s="42">
        <v>5.4000000000000006E-2</v>
      </c>
      <c r="AE44" s="42">
        <v>0</v>
      </c>
      <c r="AF44" s="42">
        <v>0.21700000000000003</v>
      </c>
      <c r="AG44" s="42">
        <v>2.7669999999999999</v>
      </c>
      <c r="AH44" s="42">
        <v>10.055</v>
      </c>
      <c r="AI44" s="42">
        <v>18.649000000000001</v>
      </c>
      <c r="AJ44" s="42">
        <v>16.919</v>
      </c>
      <c r="AK44" s="42">
        <v>78.555000000000007</v>
      </c>
      <c r="AL44" s="42">
        <v>244.75599999999997</v>
      </c>
      <c r="AM44" s="42">
        <v>384.21199999999999</v>
      </c>
      <c r="AN44" s="42">
        <v>797.87199999999996</v>
      </c>
      <c r="AO44" s="42">
        <v>259.08999999999997</v>
      </c>
      <c r="AP44" s="42">
        <v>18.673999999999999</v>
      </c>
      <c r="AQ44" s="42">
        <v>31.614000000000001</v>
      </c>
      <c r="AR44" s="42">
        <v>21.756</v>
      </c>
      <c r="AS44" s="42">
        <v>118.221</v>
      </c>
      <c r="AT44" s="213" cm="1">
        <f t="array" ref="AT44">INDEX('[3]China Corn Imports'!$MT$290:$PM$290,1,ROW(A2))</f>
        <v>98.422419000000005</v>
      </c>
      <c r="AU44" s="213" cm="1">
        <f t="array" ref="AU44">INDEX('[3]China Corn Imports'!$NF$290:$PM$290,1,ROW(A2))</f>
        <v>1226.0117069999999</v>
      </c>
      <c r="AV44" s="213" cm="1">
        <f t="array" ref="AV44">INDEX('[3]China Corn Imports'!$NR$290:$PM$290,1,ROW(A2))</f>
        <v>787.27920500000005</v>
      </c>
      <c r="AW44" s="213" cm="1">
        <f t="array" ref="AW44">INDEX('[3]China Corn Imports'!$OD$290:$PM$290,1,ROW(A2))</f>
        <v>741.18782599999997</v>
      </c>
      <c r="AX44" s="213" cm="1">
        <f t="array" ref="AX44">INDEX('[3]China Corn Imports'!$OP$290:$PM$290,1,ROW(A2))</f>
        <v>3589.947921</v>
      </c>
      <c r="AY44" s="42" cm="1">
        <f t="array" ref="AY44">INDEX('[3]China Corn Imports'!$PB$290:$ZZ$290,1,ROW(A2))</f>
        <v>295.68400000000003</v>
      </c>
      <c r="AZ44" s="107">
        <v>744.32</v>
      </c>
      <c r="BA44" s="107">
        <v>745.32</v>
      </c>
    </row>
    <row r="45" spans="1:53" ht="15.75">
      <c r="A45" s="93" t="s">
        <v>76</v>
      </c>
      <c r="O45" s="42"/>
      <c r="P45" s="42"/>
      <c r="Q45" s="42"/>
      <c r="R45" s="42"/>
      <c r="S45" s="42"/>
      <c r="T45" s="42"/>
      <c r="U45" s="42">
        <v>6.9000000000000006E-2</v>
      </c>
      <c r="V45" s="42">
        <v>1105.3600000000001</v>
      </c>
      <c r="W45" s="42">
        <v>0.253</v>
      </c>
      <c r="X45" s="42">
        <v>0.18</v>
      </c>
      <c r="Y45" s="42">
        <v>108.125</v>
      </c>
      <c r="Z45" s="42">
        <v>4.1000000000000002E-2</v>
      </c>
      <c r="AA45" s="42">
        <v>0</v>
      </c>
      <c r="AB45" s="42">
        <v>1.569</v>
      </c>
      <c r="AC45" s="42">
        <v>1.4999999999999999E-2</v>
      </c>
      <c r="AD45" s="42">
        <v>0.02</v>
      </c>
      <c r="AE45" s="42">
        <v>0.10400000000000001</v>
      </c>
      <c r="AF45" s="42">
        <v>2.0829999999999997</v>
      </c>
      <c r="AG45" s="42">
        <v>0.877</v>
      </c>
      <c r="AH45" s="42">
        <v>11.990000000000002</v>
      </c>
      <c r="AI45" s="42">
        <v>8.6869999999999994</v>
      </c>
      <c r="AJ45" s="42">
        <v>33.815999999999995</v>
      </c>
      <c r="AK45" s="42">
        <v>15.084999999999999</v>
      </c>
      <c r="AL45" s="42">
        <v>569.76300000000003</v>
      </c>
      <c r="AM45" s="42">
        <v>265.81600000000003</v>
      </c>
      <c r="AN45" s="42">
        <v>820.96799999999996</v>
      </c>
      <c r="AO45" s="42">
        <v>607.19999999999993</v>
      </c>
      <c r="AP45" s="42">
        <v>133.11699999999999</v>
      </c>
      <c r="AQ45" s="42">
        <v>141.43100000000001</v>
      </c>
      <c r="AR45" s="42">
        <v>454.15100000000001</v>
      </c>
      <c r="AS45" s="42">
        <v>416.81200000000001</v>
      </c>
      <c r="AT45" s="213" cm="1">
        <f t="array" ref="AT45">INDEX('[3]China Corn Imports'!$MT$290:$PM$290,1,ROW(A3))</f>
        <v>734.02540099999999</v>
      </c>
      <c r="AU45" s="213" cm="1">
        <f t="array" ref="AU45">INDEX('[3]China Corn Imports'!$NF$290:$PM$290,1,ROW(A3))</f>
        <v>2254.1613739999998</v>
      </c>
      <c r="AV45" s="213" cm="1">
        <f t="array" ref="AV45">INDEX('[3]China Corn Imports'!$NR$290:$PM$290,1,ROW(A3))</f>
        <v>1331.8339699999999</v>
      </c>
      <c r="AW45" s="213" cm="1">
        <f t="array" ref="AW45">INDEX('[3]China Corn Imports'!$OD$290:$PM$290,1,ROW(A3))</f>
        <v>867.19956400000001</v>
      </c>
      <c r="AX45" s="213" cm="1">
        <f t="array" ref="AX45">INDEX('[3]China Corn Imports'!$OP$290:$PM$290,1,ROW(A3))</f>
        <v>4949.3749100000005</v>
      </c>
      <c r="AY45" s="42" cm="1">
        <f t="array" ref="AY45">INDEX('[3]China Corn Imports'!$PB$290:$ZZ$290,1,ROW(A3))</f>
        <v>343.21199999999999</v>
      </c>
      <c r="AZ45" s="107">
        <v>870.20799999999997</v>
      </c>
      <c r="BA45" s="107">
        <v>871.20799999999997</v>
      </c>
    </row>
    <row r="46" spans="1:53" ht="15.75">
      <c r="A46" s="93" t="s">
        <v>77</v>
      </c>
      <c r="O46" s="42"/>
      <c r="P46" s="42"/>
      <c r="Q46" s="42"/>
      <c r="R46" s="42"/>
      <c r="S46" s="42"/>
      <c r="T46" s="42">
        <v>10.896000000000001</v>
      </c>
      <c r="U46" s="42">
        <v>5.0000000000000001E-3</v>
      </c>
      <c r="V46" s="42">
        <v>283.13200000000001</v>
      </c>
      <c r="W46" s="42">
        <v>0</v>
      </c>
      <c r="X46" s="42">
        <v>0</v>
      </c>
      <c r="Y46" s="42">
        <v>1.7999999999999999E-2</v>
      </c>
      <c r="Z46" s="42">
        <v>0</v>
      </c>
      <c r="AA46" s="42">
        <v>1.7999999999999999E-2</v>
      </c>
      <c r="AB46" s="42">
        <v>2.4489999999999998</v>
      </c>
      <c r="AC46" s="42">
        <v>4.0000000000000001E-3</v>
      </c>
      <c r="AD46" s="42">
        <v>3.4000000000000002E-2</v>
      </c>
      <c r="AE46" s="42">
        <v>0.02</v>
      </c>
      <c r="AF46" s="42">
        <v>2.4329999999999998</v>
      </c>
      <c r="AG46" s="42">
        <v>0.61099999999999999</v>
      </c>
      <c r="AH46" s="42">
        <v>0.16700000000000001</v>
      </c>
      <c r="AI46" s="42">
        <v>4.1000000000000002E-2</v>
      </c>
      <c r="AJ46" s="42">
        <v>12.022</v>
      </c>
      <c r="AK46" s="42">
        <v>1.8779999999999999</v>
      </c>
      <c r="AL46" s="42">
        <v>751.13900000000001</v>
      </c>
      <c r="AM46" s="42">
        <v>396.887</v>
      </c>
      <c r="AN46" s="42">
        <v>650.90299999999991</v>
      </c>
      <c r="AO46" s="42">
        <v>579.39300000000014</v>
      </c>
      <c r="AP46" s="42">
        <v>7.9859999999999998</v>
      </c>
      <c r="AQ46" s="42">
        <v>158.875</v>
      </c>
      <c r="AR46" s="42">
        <v>392.03</v>
      </c>
      <c r="AS46" s="42">
        <v>401.07799999999997</v>
      </c>
      <c r="AT46" s="213" cm="1">
        <f t="array" ref="AT46">INDEX('[3]China Corn Imports'!$MT$290:$PM$290,1,ROW(A4))</f>
        <v>661.02081899999996</v>
      </c>
      <c r="AU46" s="213" cm="1">
        <f t="array" ref="AU46">INDEX('[3]China Corn Imports'!$NF$290:$PM$290,1,ROW(A4))</f>
        <v>3013.902646</v>
      </c>
      <c r="AV46" s="213" cm="1">
        <f t="array" ref="AV46">INDEX('[3]China Corn Imports'!$NR$290:$PM$290,1,ROW(A4))</f>
        <v>2754.1594559999999</v>
      </c>
      <c r="AW46" s="213" cm="1">
        <f t="array" ref="AW46">INDEX('[3]China Corn Imports'!$OD$290:$PM$290,1,ROW(A4))</f>
        <v>2242.8791179999998</v>
      </c>
      <c r="AX46" s="213" cm="1">
        <f t="array" ref="AX46">INDEX('[3]China Corn Imports'!$OP$290:$PM$290,1,ROW(A4))</f>
        <v>3591.0739229999999</v>
      </c>
      <c r="AY46" s="107" cm="1">
        <f t="array" ref="AY46">(SUM(AS46:AW46/SUM(AS$55:AW$55))*AY$55)</f>
        <v>827.60213779734784</v>
      </c>
      <c r="AZ46" s="107">
        <v>2245.8310000000001</v>
      </c>
      <c r="BA46" s="107">
        <v>2246.8310000000001</v>
      </c>
    </row>
    <row r="47" spans="1:53" ht="15.75">
      <c r="A47" s="93" t="s">
        <v>78</v>
      </c>
      <c r="O47" s="42"/>
      <c r="P47" s="42"/>
      <c r="Q47" s="42"/>
      <c r="R47" s="42"/>
      <c r="S47" s="42"/>
      <c r="T47" s="42">
        <v>8.9999999999999993E-3</v>
      </c>
      <c r="U47" s="42">
        <v>2.0129999999999999</v>
      </c>
      <c r="V47" s="42">
        <v>85.665999999999997</v>
      </c>
      <c r="W47" s="42">
        <v>0</v>
      </c>
      <c r="X47" s="42">
        <v>9.9000000000000005E-2</v>
      </c>
      <c r="Y47" s="42">
        <v>1.7000000000000001E-2</v>
      </c>
      <c r="Z47" s="42">
        <v>4.3000000000000003E-2</v>
      </c>
      <c r="AA47" s="42">
        <v>0.27100000000000002</v>
      </c>
      <c r="AB47" s="42">
        <v>0.378</v>
      </c>
      <c r="AC47" s="42">
        <v>3.0000000000000001E-3</v>
      </c>
      <c r="AD47" s="42">
        <v>3.0000000000000001E-3</v>
      </c>
      <c r="AE47" s="42">
        <v>0.11200000000000002</v>
      </c>
      <c r="AF47" s="42">
        <v>7.8E-2</v>
      </c>
      <c r="AG47" s="42">
        <v>2.2429999999999999</v>
      </c>
      <c r="AH47" s="42">
        <v>0.14500000000000002</v>
      </c>
      <c r="AI47" s="42">
        <v>0.27800000000000002</v>
      </c>
      <c r="AJ47" s="42">
        <v>1.1120000000000001</v>
      </c>
      <c r="AK47" s="42">
        <v>1.0349999999999999</v>
      </c>
      <c r="AL47" s="42">
        <v>620.67000000000007</v>
      </c>
      <c r="AM47" s="42">
        <v>394.089</v>
      </c>
      <c r="AN47" s="42">
        <v>479.75700000000001</v>
      </c>
      <c r="AO47" s="42">
        <v>602.94699999999989</v>
      </c>
      <c r="AP47" s="42">
        <v>62.273000000000003</v>
      </c>
      <c r="AQ47" s="42">
        <v>142.55600000000001</v>
      </c>
      <c r="AR47" s="42">
        <v>102.485</v>
      </c>
      <c r="AS47" s="42">
        <v>164.768</v>
      </c>
      <c r="AT47" s="213" cm="1">
        <f t="array" ref="AT47">INDEX('[3]China Corn Imports'!$MT$290:$PM$290,1,ROW(A5))</f>
        <v>271.08875599999999</v>
      </c>
      <c r="AU47" s="213" cm="1">
        <f t="array" ref="AU47">INDEX('[3]China Corn Imports'!$NF$290:$PM$290,1,ROW(A5))</f>
        <v>1780.4645559999999</v>
      </c>
      <c r="AV47" s="213" cm="1">
        <f t="array" ref="AV47">INDEX('[3]China Corn Imports'!$NR$290:$PM$290,1,ROW(A5))</f>
        <v>1929.4834069999999</v>
      </c>
      <c r="AW47" s="213" cm="1">
        <f t="array" ref="AW47">INDEX('[3]China Corn Imports'!$OD$290:$PM$290,1,ROW(A5))</f>
        <v>3085.8024650000002</v>
      </c>
      <c r="AX47" s="213" cm="1">
        <f t="array" ref="AX47">INDEX('[3]China Corn Imports'!$OP$290:$PM$290,1,ROW(A5))</f>
        <v>2601.5806640000001</v>
      </c>
      <c r="AY47" s="107" cm="1">
        <f t="array" ref="AY47">(SUM(AS47:AW47/SUM(AS$55:AW$55))*AY$55)</f>
        <v>659.63486763678975</v>
      </c>
      <c r="AZ47" s="107">
        <v>3089.1149999999998</v>
      </c>
      <c r="BA47" s="107">
        <v>3090.1149999999998</v>
      </c>
    </row>
    <row r="48" spans="1:53" ht="15.75">
      <c r="A48" s="93" t="s">
        <v>79</v>
      </c>
      <c r="O48" s="42"/>
      <c r="P48" s="42"/>
      <c r="Q48" s="42"/>
      <c r="R48" s="42"/>
      <c r="S48" s="42"/>
      <c r="T48" s="42">
        <v>1.9E-2</v>
      </c>
      <c r="U48" s="42">
        <v>162.05000000000001</v>
      </c>
      <c r="V48" s="42">
        <v>26.557000000000002</v>
      </c>
      <c r="W48" s="42">
        <v>0.14500000000000002</v>
      </c>
      <c r="X48" s="42">
        <v>52.500999999999998</v>
      </c>
      <c r="Y48" s="42">
        <v>1.8000000000000002E-2</v>
      </c>
      <c r="Z48" s="42">
        <v>4.2000000000000003E-2</v>
      </c>
      <c r="AA48" s="42">
        <v>0.90099999999999991</v>
      </c>
      <c r="AB48" s="42">
        <v>3.2370000000000001</v>
      </c>
      <c r="AC48" s="42">
        <v>7.0000000000000001E-3</v>
      </c>
      <c r="AD48" s="42">
        <v>8.8999999999999996E-2</v>
      </c>
      <c r="AE48" s="42">
        <v>0.13800000000000001</v>
      </c>
      <c r="AF48" s="42">
        <v>5.0000000000000001E-3</v>
      </c>
      <c r="AG48" s="42">
        <v>3.5159999999999996</v>
      </c>
      <c r="AH48" s="42">
        <v>0.58699999999999997</v>
      </c>
      <c r="AI48" s="42">
        <v>0.626</v>
      </c>
      <c r="AJ48" s="42">
        <v>2.069</v>
      </c>
      <c r="AK48" s="42">
        <v>2.3019999999999996</v>
      </c>
      <c r="AL48" s="42">
        <v>471.98400000000004</v>
      </c>
      <c r="AM48" s="42">
        <v>237.04299999999998</v>
      </c>
      <c r="AN48" s="42">
        <v>48.131999999999998</v>
      </c>
      <c r="AO48" s="42">
        <v>50.563000000000002</v>
      </c>
      <c r="AP48" s="42">
        <v>575.35</v>
      </c>
      <c r="AQ48" s="42">
        <v>5.2619999999999996</v>
      </c>
      <c r="AR48" s="42">
        <v>62.83</v>
      </c>
      <c r="AS48" s="42">
        <v>416.34</v>
      </c>
      <c r="AT48" s="213" cm="1">
        <f t="array" ref="AT48">INDEX('[3]China Corn Imports'!$MT$290:$PM$290,1,ROW(A6))</f>
        <v>318.48179399999998</v>
      </c>
      <c r="AU48" s="213" cm="1">
        <f t="array" ref="AU48">INDEX('[3]China Corn Imports'!$NF$290:$PM$290,1,ROW(A6))</f>
        <v>1930.6322130000001</v>
      </c>
      <c r="AV48" s="213" cm="1">
        <f t="array" ref="AV48">INDEX('[3]China Corn Imports'!$NR$290:$PM$290,1,ROW(A6))</f>
        <v>2413.2303149999998</v>
      </c>
      <c r="AW48" s="213" cm="1">
        <f t="array" ref="AW48">INDEX('[3]China Corn Imports'!$OD$290:$PM$290,1,ROW(A6))</f>
        <v>2191.3716450000002</v>
      </c>
      <c r="AX48" s="213" cm="1">
        <f t="array" ref="AX48">INDEX('[3]China Corn Imports'!$OP$290:$PM$290,1,ROW(A6))</f>
        <v>1708.575527</v>
      </c>
      <c r="AY48" s="107" cm="1">
        <f t="array" ref="AY48">(SUM(AS48:AW48/SUM(AS$55:AW$55))*AY$55)</f>
        <v>663.14199367940932</v>
      </c>
      <c r="AZ48" s="107" cm="1">
        <f t="array" ref="AZ48">(SUM(AT48:AX48/SUM(AT$55:AX$55))*AZ$55)</f>
        <v>845.74520241637651</v>
      </c>
      <c r="BA48" s="107" cm="1">
        <f t="array" ref="BA48">(SUM(AU48:AY48/SUM(AU$55:AY$55))*BA$55)</f>
        <v>1849.3093449173346</v>
      </c>
    </row>
    <row r="49" spans="1:53" ht="15.75">
      <c r="A49" s="93" t="s">
        <v>80</v>
      </c>
      <c r="O49" s="42"/>
      <c r="P49" s="42"/>
      <c r="Q49" s="42"/>
      <c r="R49" s="42"/>
      <c r="S49" s="42"/>
      <c r="T49" s="42">
        <v>4.0000000000000001E-3</v>
      </c>
      <c r="U49" s="42">
        <v>289.44599999999997</v>
      </c>
      <c r="V49" s="42">
        <v>0.20700000000000002</v>
      </c>
      <c r="W49" s="42">
        <v>1.4E-2</v>
      </c>
      <c r="X49" s="42">
        <v>4.0000000000000001E-3</v>
      </c>
      <c r="Y49" s="42">
        <v>0</v>
      </c>
      <c r="Z49" s="42">
        <v>1.3999999999999999E-2</v>
      </c>
      <c r="AA49" s="42">
        <v>8.9380000000000006</v>
      </c>
      <c r="AB49" s="42">
        <v>4.2000000000000003E-2</v>
      </c>
      <c r="AC49" s="42">
        <v>0.01</v>
      </c>
      <c r="AD49" s="42">
        <v>3.0000000000000001E-3</v>
      </c>
      <c r="AE49" s="42">
        <v>0.155</v>
      </c>
      <c r="AF49" s="42">
        <v>0.23300000000000001</v>
      </c>
      <c r="AG49" s="42">
        <v>1.2E-2</v>
      </c>
      <c r="AH49" s="42">
        <v>0.97700000000000009</v>
      </c>
      <c r="AI49" s="42">
        <v>0.59000000000000008</v>
      </c>
      <c r="AJ49" s="42">
        <v>3.5869999999999997</v>
      </c>
      <c r="AK49" s="42">
        <v>7.2159999999999993</v>
      </c>
      <c r="AL49" s="42">
        <v>16.419</v>
      </c>
      <c r="AM49" s="42">
        <v>419.505</v>
      </c>
      <c r="AN49" s="42">
        <v>93.062999999999988</v>
      </c>
      <c r="AO49" s="42">
        <v>140.83599999999998</v>
      </c>
      <c r="AP49" s="42">
        <v>1155.479</v>
      </c>
      <c r="AQ49" s="42">
        <v>3.008</v>
      </c>
      <c r="AR49" s="42">
        <v>379.06099999999998</v>
      </c>
      <c r="AS49" s="42">
        <v>663.66499999999996</v>
      </c>
      <c r="AT49" s="213" cm="1">
        <f t="array" ref="AT49">INDEX('[3]China Corn Imports'!$MT$290:$PM$290,1,ROW(A7))</f>
        <v>886.98034700000005</v>
      </c>
      <c r="AU49" s="213" cm="1">
        <f t="array" ref="AU49">INDEX('[3]China Corn Imports'!$NF$290:$PM$290,1,ROW(A7))</f>
        <v>1849.7824310000001</v>
      </c>
      <c r="AV49" s="213" cm="1">
        <f t="array" ref="AV49">INDEX('[3]China Corn Imports'!$NR$290:$PM$290,1,ROW(A7))</f>
        <v>2209.4719420000001</v>
      </c>
      <c r="AW49" s="213" cm="1">
        <f t="array" ref="AW49">INDEX('[3]China Corn Imports'!$OD$290:$PM$290,1,ROW(A7))</f>
        <v>1002.50937</v>
      </c>
      <c r="AX49" s="213" cm="1">
        <f t="array" ref="AX49">INDEX('[3]China Corn Imports'!$OP$290:$PM$290,1,ROW(A7))</f>
        <v>1179.1551870000001</v>
      </c>
      <c r="AY49" s="107" cm="1">
        <f t="array" ref="AY49">(SUM(AS49:AW49/SUM(AS$55:AW$55))*AY$55)</f>
        <v>603.15438655087974</v>
      </c>
      <c r="AZ49" s="107" cm="1">
        <f t="array" ref="AZ49">(SUM(AT49:AX49/SUM(AT$55:AX$55))*AZ$55)</f>
        <v>704.06229699774678</v>
      </c>
      <c r="BA49" s="107" cm="1">
        <f t="array" ref="BA49">(SUM(AU49:AY49/SUM(AU$55:AY$55))*BA$55)</f>
        <v>1421.003411366708</v>
      </c>
    </row>
    <row r="50" spans="1:53" ht="15.75">
      <c r="A50" s="93" t="s">
        <v>81</v>
      </c>
      <c r="O50" s="42"/>
      <c r="P50" s="42"/>
      <c r="Q50" s="42"/>
      <c r="R50" s="42"/>
      <c r="S50" s="42"/>
      <c r="T50" s="42">
        <v>0.154</v>
      </c>
      <c r="U50" s="42">
        <v>443.85300000000001</v>
      </c>
      <c r="V50" s="42">
        <v>2.5830000000000002</v>
      </c>
      <c r="W50" s="42">
        <v>1E-3</v>
      </c>
      <c r="X50" s="42">
        <v>2.2030000000000003</v>
      </c>
      <c r="Y50" s="42">
        <v>5.7999999999999996E-2</v>
      </c>
      <c r="Z50" s="42">
        <v>2E-3</v>
      </c>
      <c r="AA50" s="42">
        <v>2.2139999999999995</v>
      </c>
      <c r="AB50" s="42">
        <v>2.3000000000000003E-2</v>
      </c>
      <c r="AC50" s="42">
        <v>1E-3</v>
      </c>
      <c r="AD50" s="42">
        <v>4.1000000000000002E-2</v>
      </c>
      <c r="AE50" s="42">
        <v>3.6999999999999998E-2</v>
      </c>
      <c r="AF50" s="42">
        <v>0.184</v>
      </c>
      <c r="AG50" s="42">
        <v>0.22800000000000001</v>
      </c>
      <c r="AH50" s="42">
        <v>4.8319999999999999</v>
      </c>
      <c r="AI50" s="42">
        <v>0.68200000000000005</v>
      </c>
      <c r="AJ50" s="42">
        <v>4.8819999999999997</v>
      </c>
      <c r="AK50" s="42">
        <v>12.010000000000002</v>
      </c>
      <c r="AL50" s="42">
        <v>116.31399999999999</v>
      </c>
      <c r="AM50" s="42">
        <v>66.613</v>
      </c>
      <c r="AN50" s="42">
        <v>79.263999999999996</v>
      </c>
      <c r="AO50" s="42">
        <v>403.87899999999996</v>
      </c>
      <c r="AP50" s="42">
        <v>1036.856</v>
      </c>
      <c r="AQ50" s="42">
        <v>42.219000000000001</v>
      </c>
      <c r="AR50" s="42">
        <v>755.17899999999997</v>
      </c>
      <c r="AS50" s="42">
        <v>746.52</v>
      </c>
      <c r="AT50" s="213" cm="1">
        <f t="array" ref="AT50">INDEX('[3]China Corn Imports'!$MT$290:$PM$290,1,ROW(A8))</f>
        <v>636.989148</v>
      </c>
      <c r="AU50" s="213" cm="1">
        <f t="array" ref="AU50">INDEX('[3]China Corn Imports'!$NF$290:$PM$290,1,ROW(A8))</f>
        <v>3154.141654</v>
      </c>
      <c r="AV50" s="213" cm="1">
        <f t="array" ref="AV50">INDEX('[3]China Corn Imports'!$NR$290:$PM$290,1,ROW(A8))</f>
        <v>2080.6793109999999</v>
      </c>
      <c r="AW50" s="213" cm="1">
        <f t="array" ref="AW50">INDEX('[3]China Corn Imports'!$OD$290:$PM$290,1,ROW(A8))</f>
        <v>1661.9854809999999</v>
      </c>
      <c r="AX50" s="213" cm="1">
        <f t="array" ref="AX50">INDEX('[3]China Corn Imports'!$OP$290:$PM$290,1,ROW(A8))</f>
        <v>1050.645957</v>
      </c>
      <c r="AY50" s="107" cm="1">
        <f t="array" ref="AY50">(SUM(AS50:AW50/SUM(AS$55:AW$55))*AY$55)</f>
        <v>755.29335898162856</v>
      </c>
      <c r="AZ50" s="107" cm="1">
        <f t="array" ref="AZ50">(SUM(AT50:AX50/SUM(AT$55:AX$55))*AZ$55)</f>
        <v>847.93308686928583</v>
      </c>
      <c r="BA50" s="107" cm="1">
        <f t="array" ref="BA50">(SUM(AU50:AY50/SUM(AU$55:AY$55))*BA$55)</f>
        <v>1806.9110081166268</v>
      </c>
    </row>
    <row r="51" spans="1:53" ht="15.75">
      <c r="A51" s="93" t="s">
        <v>82</v>
      </c>
      <c r="O51" s="42"/>
      <c r="P51" s="42"/>
      <c r="Q51" s="42"/>
      <c r="R51" s="42"/>
      <c r="S51" s="42"/>
      <c r="T51" s="42">
        <v>0.183</v>
      </c>
      <c r="U51" s="42">
        <v>531.31299999999999</v>
      </c>
      <c r="V51" s="42">
        <v>39.978999999999999</v>
      </c>
      <c r="W51" s="42">
        <v>0</v>
      </c>
      <c r="X51" s="42">
        <v>20.053000000000001</v>
      </c>
      <c r="Y51" s="42">
        <v>20.014000000000003</v>
      </c>
      <c r="Z51" s="42">
        <v>6.3E-2</v>
      </c>
      <c r="AA51" s="42">
        <v>2.3010000000000002</v>
      </c>
      <c r="AB51" s="42">
        <v>5.0000000000000001E-3</v>
      </c>
      <c r="AC51" s="42">
        <v>0</v>
      </c>
      <c r="AD51" s="42">
        <v>0.104</v>
      </c>
      <c r="AE51" s="42">
        <v>0</v>
      </c>
      <c r="AF51" s="42">
        <v>0.27400000000000002</v>
      </c>
      <c r="AG51" s="42">
        <v>0.128</v>
      </c>
      <c r="AH51" s="42">
        <v>1.8319999999999999</v>
      </c>
      <c r="AI51" s="42">
        <v>1.1100000000000001</v>
      </c>
      <c r="AJ51" s="42">
        <v>64.521000000000001</v>
      </c>
      <c r="AK51" s="42">
        <v>11.233000000000001</v>
      </c>
      <c r="AL51" s="42">
        <v>528.64799999999991</v>
      </c>
      <c r="AM51" s="42">
        <v>7.8250000000000002</v>
      </c>
      <c r="AN51" s="42">
        <v>27.248000000000001</v>
      </c>
      <c r="AO51" s="42">
        <v>872.91800000000001</v>
      </c>
      <c r="AP51" s="42">
        <v>66.941999999999993</v>
      </c>
      <c r="AQ51" s="42">
        <v>383.09300000000002</v>
      </c>
      <c r="AR51" s="42">
        <v>515.02700000000004</v>
      </c>
      <c r="AS51" s="42">
        <v>716.99300000000005</v>
      </c>
      <c r="AT51" s="213" cm="1">
        <f t="array" ref="AT51">INDEX('[3]China Corn Imports'!$MT$290:$PM$290,1,ROW(A9))</f>
        <v>881.59271100000001</v>
      </c>
      <c r="AU51" s="213" cm="1">
        <f t="array" ref="AU51">INDEX('[3]China Corn Imports'!$NF$290:$PM$290,1,ROW(A9))</f>
        <v>3568.625348</v>
      </c>
      <c r="AV51" s="213" cm="1">
        <f t="array" ref="AV51">INDEX('[3]China Corn Imports'!$NR$290:$PM$290,1,ROW(A9))</f>
        <v>2207.215162</v>
      </c>
      <c r="AW51" s="213" cm="1">
        <f t="array" ref="AW51">INDEX('[3]China Corn Imports'!$OD$290:$PM$290,1,ROW(A9))</f>
        <v>1846.4525530000001</v>
      </c>
      <c r="AX51" s="213" cm="1">
        <f t="array" ref="AX51">INDEX('[3]China Corn Imports'!$OP$290:$PM$290,1,ROW(A9))</f>
        <v>919.68976199999997</v>
      </c>
      <c r="AY51" s="107" cm="1">
        <f t="array" ref="AY51">(SUM(AS51:AW51/SUM(AS$55:AW$55))*AY$55)</f>
        <v>841.08732607044431</v>
      </c>
      <c r="AZ51" s="107" cm="1">
        <f t="array" ref="AZ51">(SUM(AT51:AX51/SUM(AT$55:AX$55))*AZ$55)</f>
        <v>930.81902254381885</v>
      </c>
      <c r="BA51" s="107" cm="1">
        <f t="array" ref="BA51">(SUM(AU51:AY51/SUM(AU$55:AY$55))*BA$55)</f>
        <v>1948.1636266987982</v>
      </c>
    </row>
    <row r="52" spans="1:53" ht="15.75">
      <c r="A52" s="93" t="s">
        <v>83</v>
      </c>
      <c r="O52" s="42"/>
      <c r="P52" s="42"/>
      <c r="Q52" s="42"/>
      <c r="R52" s="42"/>
      <c r="S52" s="42"/>
      <c r="T52" s="42">
        <v>8.9999999999999993E-3</v>
      </c>
      <c r="U52" s="42">
        <v>435.673</v>
      </c>
      <c r="V52" s="42">
        <v>0.159</v>
      </c>
      <c r="W52" s="42">
        <v>0</v>
      </c>
      <c r="X52" s="42">
        <v>5.2000000000000005E-2</v>
      </c>
      <c r="Y52" s="42">
        <v>50.079000000000001</v>
      </c>
      <c r="Z52" s="42">
        <v>0</v>
      </c>
      <c r="AA52" s="42">
        <v>0.71599999999999997</v>
      </c>
      <c r="AB52" s="42">
        <v>2E-3</v>
      </c>
      <c r="AC52" s="42">
        <v>0</v>
      </c>
      <c r="AD52" s="42">
        <v>4.4000000000000004E-2</v>
      </c>
      <c r="AE52" s="42">
        <v>6.9000000000000006E-2</v>
      </c>
      <c r="AF52" s="42">
        <v>9.4E-2</v>
      </c>
      <c r="AG52" s="42">
        <v>0.27900000000000003</v>
      </c>
      <c r="AH52" s="42">
        <v>3.3649999999999998</v>
      </c>
      <c r="AI52" s="42">
        <v>1.1879999999999999</v>
      </c>
      <c r="AJ52" s="42">
        <v>193.77800000000002</v>
      </c>
      <c r="AK52" s="42">
        <v>172.62300000000002</v>
      </c>
      <c r="AL52" s="42">
        <v>721.51699999999994</v>
      </c>
      <c r="AM52" s="42">
        <v>72.713999999999999</v>
      </c>
      <c r="AN52" s="42">
        <v>86.369000000000014</v>
      </c>
      <c r="AO52" s="42">
        <v>1107.529</v>
      </c>
      <c r="AP52" s="42">
        <v>28.984999999999999</v>
      </c>
      <c r="AQ52" s="42">
        <v>913.58299999999997</v>
      </c>
      <c r="AR52" s="42">
        <v>331.34399999999999</v>
      </c>
      <c r="AS52" s="42">
        <v>385.98200000000003</v>
      </c>
      <c r="AT52" s="213" cm="1">
        <f t="array" ref="AT52">INDEX('[3]China Corn Imports'!$MT$290:$PM$290,1,ROW(A10))</f>
        <v>913.05733999999995</v>
      </c>
      <c r="AU52" s="213" cm="1">
        <f t="array" ref="AU52">INDEX('[3]China Corn Imports'!$NF$290:$PM$290,1,ROW(A10))</f>
        <v>2861.6958610000001</v>
      </c>
      <c r="AV52" s="213" cm="1">
        <f t="array" ref="AV52">INDEX('[3]China Corn Imports'!$NR$290:$PM$290,1,ROW(A10))</f>
        <v>1536.9005669999999</v>
      </c>
      <c r="AW52" s="213" cm="1">
        <f t="array" ref="AW52">INDEX('[3]China Corn Imports'!$OD$290:$PM$290,1,ROW(A10))</f>
        <v>1678.176148</v>
      </c>
      <c r="AX52" s="213" cm="1">
        <f t="array" ref="AX52">INDEX('[3]China Corn Imports'!$OP$290:$PM$290,1,ROW(A10))</f>
        <v>1093.27702</v>
      </c>
      <c r="AY52" s="107" cm="1">
        <f t="array" ref="AY52">(SUM(AS52:AW52/SUM(AS$55:AW$55))*AY$55)</f>
        <v>672.78857840745752</v>
      </c>
      <c r="AZ52" s="107" cm="1">
        <f t="array" ref="AZ52">(SUM(AT52:AX52/SUM(AT$55:AX$55))*AZ$55)</f>
        <v>798.41347570694336</v>
      </c>
      <c r="BA52" s="107" cm="1">
        <f t="array" ref="BA52">(SUM(AU52:AY52/SUM(AU$55:AY$55))*BA$55)</f>
        <v>1628.372357391182</v>
      </c>
    </row>
    <row r="53" spans="1:53" ht="15.75">
      <c r="A53" s="93" t="s">
        <v>84</v>
      </c>
      <c r="O53" s="42"/>
      <c r="P53" s="42"/>
      <c r="Q53" s="42"/>
      <c r="R53" s="42"/>
      <c r="S53" s="42"/>
      <c r="T53" s="42">
        <v>1.7999999999999999E-2</v>
      </c>
      <c r="U53" s="42">
        <v>519.83500000000004</v>
      </c>
      <c r="V53" s="42">
        <v>8.0000000000000002E-3</v>
      </c>
      <c r="W53" s="42">
        <v>3.4000000000000002E-2</v>
      </c>
      <c r="X53" s="42">
        <v>7.5</v>
      </c>
      <c r="Y53" s="42">
        <v>0</v>
      </c>
      <c r="Z53" s="42">
        <v>3.0000000000000001E-3</v>
      </c>
      <c r="AA53" s="42">
        <v>7.3840000000000003</v>
      </c>
      <c r="AB53" s="42">
        <v>5.5000000000000007E-2</v>
      </c>
      <c r="AC53" s="42">
        <v>4.0000000000000001E-3</v>
      </c>
      <c r="AD53" s="42">
        <v>0.68300000000000005</v>
      </c>
      <c r="AE53" s="42">
        <v>0.32100000000000006</v>
      </c>
      <c r="AF53" s="42">
        <v>52.149000000000001</v>
      </c>
      <c r="AG53" s="42">
        <v>1.7319999999999998</v>
      </c>
      <c r="AH53" s="42">
        <v>2.9630000000000005</v>
      </c>
      <c r="AI53" s="42">
        <v>2.3350000000000004</v>
      </c>
      <c r="AJ53" s="42">
        <v>432.07</v>
      </c>
      <c r="AK53" s="42">
        <v>244.501</v>
      </c>
      <c r="AL53" s="42">
        <v>598.84199999999998</v>
      </c>
      <c r="AM53" s="42">
        <v>10.638</v>
      </c>
      <c r="AN53" s="42">
        <v>133.66699999999997</v>
      </c>
      <c r="AO53" s="42">
        <v>607.58100000000002</v>
      </c>
      <c r="AP53" s="42">
        <v>26.55</v>
      </c>
      <c r="AQ53" s="42">
        <v>377.51799999999997</v>
      </c>
      <c r="AR53" s="42">
        <v>326.51</v>
      </c>
      <c r="AS53" s="42">
        <v>232.43799999999999</v>
      </c>
      <c r="AT53" s="213" cm="1">
        <f t="array" ref="AT53">INDEX('[3]China Corn Imports'!$MT$290:$PM$290,1,ROW(A11))</f>
        <v>1022.1154770000001</v>
      </c>
      <c r="AU53" s="213" cm="1">
        <f t="array" ref="AU53">INDEX('[3]China Corn Imports'!$NF$290:$PM$290,1,ROW(A11))</f>
        <v>3234.5179250000001</v>
      </c>
      <c r="AV53" s="213" cm="1">
        <f t="array" ref="AV53">INDEX('[3]China Corn Imports'!$NR$290:$PM$290,1,ROW(A11))</f>
        <v>1797.7582540000001</v>
      </c>
      <c r="AW53" s="213" cm="1">
        <f t="array" ref="AW53">INDEX('[3]China Corn Imports'!$OD$290:$PM$290,1,ROW(A11))</f>
        <v>1186.5480689999999</v>
      </c>
      <c r="AX53" s="213" cm="1">
        <f t="array" ref="AX53">INDEX('[3]China Corn Imports'!$OP$290:$PM$290,1,ROW(A11))</f>
        <v>428.46718499999997</v>
      </c>
      <c r="AY53" s="107" cm="1">
        <f t="array" ref="AY53">(SUM(AS53:AW53/SUM(AS$55:AW$55))*AY$55)</f>
        <v>681.68809519094418</v>
      </c>
      <c r="AZ53" s="107" cm="1">
        <f t="array" ref="AZ53">(SUM(AT53:AX53/SUM(AT$55:AX$55))*AZ$55)</f>
        <v>757.55002081590044</v>
      </c>
      <c r="BA53" s="107" cm="1">
        <f t="array" ref="BA53">(SUM(AU53:AY53/SUM(AU$55:AY$55))*BA$55)</f>
        <v>1521.682254076811</v>
      </c>
    </row>
    <row r="54" spans="1:53" ht="15.75">
      <c r="A54" s="93" t="s">
        <v>73</v>
      </c>
      <c r="O54" s="42"/>
      <c r="P54" s="42"/>
      <c r="Q54" s="42"/>
      <c r="R54" s="42"/>
      <c r="S54" s="42"/>
      <c r="T54" s="42">
        <v>6.0000000000000001E-3</v>
      </c>
      <c r="U54" s="42">
        <v>195.50799999999998</v>
      </c>
      <c r="V54" s="42">
        <v>2.6000000000000002E-2</v>
      </c>
      <c r="W54" s="42">
        <v>0</v>
      </c>
      <c r="X54" s="42">
        <v>36.17</v>
      </c>
      <c r="Y54" s="42">
        <v>0</v>
      </c>
      <c r="Z54" s="42">
        <v>0.08</v>
      </c>
      <c r="AA54" s="42">
        <v>7.157</v>
      </c>
      <c r="AB54" s="42">
        <v>7.5000000000000011E-2</v>
      </c>
      <c r="AC54" s="42">
        <v>1.4E-2</v>
      </c>
      <c r="AD54" s="42">
        <v>1.0629999999999999</v>
      </c>
      <c r="AE54" s="42">
        <v>0.48299999999999998</v>
      </c>
      <c r="AF54" s="42">
        <v>4.0969999999999995</v>
      </c>
      <c r="AG54" s="42">
        <v>1.329</v>
      </c>
      <c r="AH54" s="42">
        <v>1.274</v>
      </c>
      <c r="AI54" s="42">
        <v>7.1790000000000003</v>
      </c>
      <c r="AJ54" s="42">
        <v>512.77800000000002</v>
      </c>
      <c r="AK54" s="42">
        <v>181.09299999999999</v>
      </c>
      <c r="AL54" s="42">
        <v>385.93</v>
      </c>
      <c r="AM54" s="42">
        <v>1.538</v>
      </c>
      <c r="AN54" s="42">
        <v>20.468000000000004</v>
      </c>
      <c r="AO54" s="42">
        <v>169.71199999999999</v>
      </c>
      <c r="AP54" s="42">
        <v>19.023</v>
      </c>
      <c r="AQ54" s="42">
        <v>249.94399999999999</v>
      </c>
      <c r="AR54" s="42">
        <v>41.173999999999999</v>
      </c>
      <c r="AS54" s="42">
        <v>139.57599999999999</v>
      </c>
      <c r="AT54" s="213" cm="1">
        <f t="array" ref="AT54">INDEX('[3]China Corn Imports'!$MT$290:$PM$290,1,ROW(A12))</f>
        <v>1080.9902810000001</v>
      </c>
      <c r="AU54" s="213" cm="1">
        <f t="array" ref="AU54">INDEX('[3]China Corn Imports'!$NF$290:$PM$290,1,ROW(A12))</f>
        <v>3533.183896</v>
      </c>
      <c r="AV54" s="213" cm="1">
        <f t="array" ref="AV54">INDEX('[3]China Corn Imports'!$NR$290:$PM$290,1,ROW(A12))</f>
        <v>1533.96406</v>
      </c>
      <c r="AW54" s="213" cm="1">
        <f t="array" ref="AW54">INDEX('[3]China Corn Imports'!$OD$290:$PM$290,1,ROW(A12))</f>
        <v>1643.066478</v>
      </c>
      <c r="AX54" s="213" cm="1">
        <f t="array" ref="AX54">INDEX('[3]China Corn Imports'!$OP$290:$PM$290,1,ROW(A12))</f>
        <v>313.095099</v>
      </c>
      <c r="AY54" s="107">
        <f>AY55-SUM(AY43:AY53)</f>
        <v>905.73325568509881</v>
      </c>
      <c r="AZ54" s="107" cm="1">
        <f t="array" ref="AZ54">(SUM(AT54:AX54/SUM(AT$55:AX$55))*AZ$55)</f>
        <v>800.50681426081724</v>
      </c>
      <c r="BA54" s="107">
        <f t="shared" ref="BA54" si="20">BA55-SUM(BA43:BA53)</f>
        <v>3319.7639974325393</v>
      </c>
    </row>
    <row r="55" spans="1:53" ht="16.5" thickBot="1">
      <c r="A55" s="93" t="s">
        <v>85</v>
      </c>
      <c r="O55" s="42"/>
      <c r="P55" s="42"/>
      <c r="Q55" s="42"/>
      <c r="R55" s="42"/>
      <c r="S55" s="42"/>
      <c r="T55" s="42">
        <f t="shared" ref="T55" si="21">SUM(T43:T54)</f>
        <v>11.298000000000002</v>
      </c>
      <c r="U55" s="42">
        <f t="shared" ref="U55:AV55" si="22">SUM(U43:U54)</f>
        <v>2579.8069999999998</v>
      </c>
      <c r="V55" s="42">
        <f t="shared" si="22"/>
        <v>3039.6449999999995</v>
      </c>
      <c r="W55" s="42">
        <f t="shared" si="22"/>
        <v>3.0089999999999995</v>
      </c>
      <c r="X55" s="42">
        <f t="shared" si="22"/>
        <v>118.82300000000001</v>
      </c>
      <c r="Y55" s="42">
        <f t="shared" si="22"/>
        <v>202.24299999999999</v>
      </c>
      <c r="Z55" s="42">
        <f t="shared" si="22"/>
        <v>0.28800000000000003</v>
      </c>
      <c r="AA55" s="42">
        <f t="shared" si="22"/>
        <v>29.96</v>
      </c>
      <c r="AB55" s="42">
        <f t="shared" si="22"/>
        <v>12.475000000000001</v>
      </c>
      <c r="AC55" s="42">
        <f t="shared" si="22"/>
        <v>9.9000000000000005E-2</v>
      </c>
      <c r="AD55" s="42">
        <f t="shared" si="22"/>
        <v>2.1379999999999999</v>
      </c>
      <c r="AE55" s="42">
        <f t="shared" si="22"/>
        <v>1.58</v>
      </c>
      <c r="AF55" s="42">
        <f t="shared" si="22"/>
        <v>62.186</v>
      </c>
      <c r="AG55" s="42">
        <f t="shared" si="22"/>
        <v>15.747</v>
      </c>
      <c r="AH55" s="42">
        <f t="shared" si="22"/>
        <v>41.261000000000003</v>
      </c>
      <c r="AI55" s="42">
        <f t="shared" si="22"/>
        <v>47.058000000000007</v>
      </c>
      <c r="AJ55" s="42">
        <f t="shared" si="22"/>
        <v>1296.3690000000001</v>
      </c>
      <c r="AK55" s="42">
        <f t="shared" si="22"/>
        <v>979.46500000000003</v>
      </c>
      <c r="AL55" s="42">
        <f t="shared" si="22"/>
        <v>5330.3069999999998</v>
      </c>
      <c r="AM55" s="42">
        <f t="shared" si="22"/>
        <v>2702.1319999999996</v>
      </c>
      <c r="AN55" s="42">
        <f t="shared" si="22"/>
        <v>3276.5709999999999</v>
      </c>
      <c r="AO55" s="42">
        <f t="shared" si="22"/>
        <v>5515.8339999999989</v>
      </c>
      <c r="AP55" s="42">
        <f t="shared" si="22"/>
        <v>3174.1180000000008</v>
      </c>
      <c r="AQ55" s="42">
        <f t="shared" si="22"/>
        <v>2463.567</v>
      </c>
      <c r="AR55" s="42">
        <f t="shared" si="22"/>
        <v>3455.0289999999995</v>
      </c>
      <c r="AS55" s="42">
        <f t="shared" si="22"/>
        <v>4483.232</v>
      </c>
      <c r="AT55" s="42">
        <f t="shared" si="22"/>
        <v>7595.9127520000011</v>
      </c>
      <c r="AU55" s="42">
        <f t="shared" si="22"/>
        <v>29548.618773999999</v>
      </c>
      <c r="AV55" s="42">
        <f t="shared" si="22"/>
        <v>21884.079051000001</v>
      </c>
      <c r="AW55" s="107">
        <f>AW8*1000</f>
        <v>18711</v>
      </c>
      <c r="AX55" s="107">
        <f>AX8*1000</f>
        <v>23500</v>
      </c>
      <c r="AY55" s="107">
        <v>7500</v>
      </c>
      <c r="AZ55" s="107">
        <v>10000</v>
      </c>
      <c r="BA55" s="107">
        <f t="shared" ref="BA55" si="23">BA8*1000</f>
        <v>21000</v>
      </c>
    </row>
    <row r="56" spans="1:53" ht="15.75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214">
        <f t="shared" ref="AP56" si="24">SUM((AP43:AP45))/AP55</f>
        <v>6.1331683321161949E-2</v>
      </c>
      <c r="AQ56" s="214">
        <f t="shared" ref="AQ56" si="25">SUM((AQ43:AQ45))/AQ55</f>
        <v>7.6112807161323404E-2</v>
      </c>
      <c r="AR56" s="214">
        <f t="shared" ref="AR56" si="26">SUM((AR43:AR45))/AR55</f>
        <v>0.15901140048317977</v>
      </c>
      <c r="AS56" s="214">
        <f>SUM((AS43:AS45))/AS55</f>
        <v>0.1373723242517898</v>
      </c>
      <c r="AT56" s="214">
        <f t="shared" ref="AT56:AX56" si="27">SUM((AT43:AT45))/AT55</f>
        <v>0.12159119109903117</v>
      </c>
      <c r="AU56" s="214">
        <f t="shared" si="27"/>
        <v>0.15640907885909833</v>
      </c>
      <c r="AV56" s="214">
        <f t="shared" si="27"/>
        <v>0.15633358703498498</v>
      </c>
      <c r="AW56" s="214">
        <f t="shared" si="27"/>
        <v>0.11520992752926086</v>
      </c>
      <c r="AX56" s="214">
        <f t="shared" si="27"/>
        <v>0.45035074855319152</v>
      </c>
      <c r="AY56" s="214">
        <f>SUM((AY43:AY45))/AY55</f>
        <v>0.11865013333333332</v>
      </c>
      <c r="AZ56" s="98"/>
      <c r="BA56" s="98"/>
    </row>
    <row r="58" spans="1:53" ht="15.75">
      <c r="A58" s="93" t="s">
        <v>253</v>
      </c>
    </row>
    <row r="59" spans="1:53" ht="15.75">
      <c r="A59" s="93" t="s">
        <v>254</v>
      </c>
      <c r="B59" s="32">
        <f>B10</f>
        <v>11.382999999999996</v>
      </c>
      <c r="C59" s="32">
        <f t="shared" ref="C59:BA59" si="28">C10</f>
        <v>11.589999999999982</v>
      </c>
      <c r="D59" s="32">
        <f t="shared" si="28"/>
        <v>10.326000000000001</v>
      </c>
      <c r="E59" s="32">
        <f t="shared" si="28"/>
        <v>11.899999999999999</v>
      </c>
      <c r="F59" s="32">
        <f t="shared" si="28"/>
        <v>17.799999999999983</v>
      </c>
      <c r="G59" s="32">
        <f t="shared" si="28"/>
        <v>27.099999999999994</v>
      </c>
      <c r="H59" s="32">
        <f t="shared" si="28"/>
        <v>29.500000000000007</v>
      </c>
      <c r="I59" s="32">
        <f t="shared" si="28"/>
        <v>31.300000000000004</v>
      </c>
      <c r="J59" s="32">
        <f t="shared" si="28"/>
        <v>33.099999999999994</v>
      </c>
      <c r="K59" s="32">
        <f t="shared" si="28"/>
        <v>35.5</v>
      </c>
      <c r="L59" s="32">
        <f t="shared" si="28"/>
        <v>37.199999999999996</v>
      </c>
      <c r="M59" s="32">
        <f t="shared" si="28"/>
        <v>40.599999999999994</v>
      </c>
      <c r="N59" s="32">
        <f t="shared" si="28"/>
        <v>43</v>
      </c>
      <c r="O59" s="32">
        <f t="shared" si="28"/>
        <v>45</v>
      </c>
      <c r="P59" s="32">
        <f t="shared" si="28"/>
        <v>48.000000000000028</v>
      </c>
      <c r="Q59" s="32">
        <f t="shared" si="28"/>
        <v>53.658807999999993</v>
      </c>
      <c r="R59" s="32">
        <f t="shared" si="28"/>
        <v>57.216984000000011</v>
      </c>
      <c r="S59" s="32">
        <f t="shared" si="28"/>
        <v>60.977294999999998</v>
      </c>
      <c r="T59" s="32">
        <f t="shared" si="28"/>
        <v>67.269755000000004</v>
      </c>
      <c r="U59" s="32">
        <f t="shared" si="28"/>
        <v>69.306056999999967</v>
      </c>
      <c r="V59" s="32">
        <f t="shared" si="28"/>
        <v>76.563218999999989</v>
      </c>
      <c r="W59" s="32">
        <f t="shared" si="28"/>
        <v>78.92830499999998</v>
      </c>
      <c r="X59" s="32">
        <f t="shared" si="28"/>
        <v>82.331512000000004</v>
      </c>
      <c r="Y59" s="32">
        <f t="shared" si="28"/>
        <v>86.440431000000004</v>
      </c>
      <c r="Z59" s="32">
        <f t="shared" si="28"/>
        <v>89.429634000000036</v>
      </c>
      <c r="AA59" s="32">
        <f t="shared" si="28"/>
        <v>91.940831000000003</v>
      </c>
      <c r="AB59" s="32">
        <f t="shared" si="28"/>
        <v>93.973915999999974</v>
      </c>
      <c r="AC59" s="32">
        <f t="shared" si="28"/>
        <v>95.971589000000023</v>
      </c>
      <c r="AD59" s="32">
        <f t="shared" si="28"/>
        <v>96.999828999999949</v>
      </c>
      <c r="AE59" s="32">
        <f t="shared" si="28"/>
        <v>97.998827999999975</v>
      </c>
      <c r="AF59" s="32">
        <f t="shared" si="28"/>
        <v>101.00018600000001</v>
      </c>
      <c r="AG59" s="32">
        <f t="shared" si="28"/>
        <v>103.99915900000002</v>
      </c>
      <c r="AH59" s="32">
        <f t="shared" si="28"/>
        <v>111.000651</v>
      </c>
      <c r="AI59" s="32">
        <f t="shared" si="28"/>
        <v>118.999875</v>
      </c>
      <c r="AJ59" s="32">
        <f t="shared" si="28"/>
        <v>129.00055999999998</v>
      </c>
      <c r="AK59" s="32">
        <f t="shared" si="28"/>
        <v>139.00094800000002</v>
      </c>
      <c r="AL59" s="32">
        <f t="shared" si="28"/>
        <v>147.09905800000001</v>
      </c>
      <c r="AM59" s="32">
        <f t="shared" si="28"/>
        <v>151.00097600000004</v>
      </c>
      <c r="AN59" s="32">
        <f t="shared" si="28"/>
        <v>150.99920799999995</v>
      </c>
      <c r="AO59" s="32">
        <f t="shared" si="28"/>
        <v>144.00030399999997</v>
      </c>
      <c r="AP59" s="32">
        <f t="shared" si="28"/>
        <v>164.99995000000001</v>
      </c>
      <c r="AQ59" s="32">
        <f t="shared" si="28"/>
        <v>107.634567</v>
      </c>
      <c r="AR59" s="32">
        <f t="shared" si="28"/>
        <v>168.06002900000007</v>
      </c>
      <c r="AS59" s="32">
        <f t="shared" si="28"/>
        <v>172.51223199999998</v>
      </c>
      <c r="AT59" s="32">
        <f t="shared" si="28"/>
        <v>180.98891275199998</v>
      </c>
      <c r="AU59" s="32">
        <f t="shared" si="28"/>
        <v>198.45761877399997</v>
      </c>
      <c r="AV59" s="32">
        <f t="shared" si="28"/>
        <v>205.64507905100004</v>
      </c>
      <c r="AW59" s="32">
        <f t="shared" si="28"/>
        <v>210.00800000000004</v>
      </c>
      <c r="AX59" s="32">
        <f t="shared" si="28"/>
        <v>224.36199999999997</v>
      </c>
      <c r="AY59" s="32">
        <f t="shared" si="28"/>
        <v>223.5</v>
      </c>
      <c r="AZ59" s="32">
        <f t="shared" si="28"/>
        <v>225.02652240690963</v>
      </c>
      <c r="BA59" s="32">
        <f t="shared" si="28"/>
        <v>246.90705105224788</v>
      </c>
    </row>
    <row r="60" spans="1:53" ht="15.75">
      <c r="A60" s="93" t="s">
        <v>255</v>
      </c>
      <c r="B60" s="32">
        <v>0.95</v>
      </c>
      <c r="C60" s="32">
        <v>1.1000000000000001</v>
      </c>
      <c r="D60" s="32">
        <v>1</v>
      </c>
      <c r="E60" s="32">
        <v>1.2</v>
      </c>
      <c r="F60" s="32">
        <v>1.5</v>
      </c>
      <c r="G60" s="32">
        <v>1.6</v>
      </c>
      <c r="H60" s="32">
        <v>1.7</v>
      </c>
      <c r="I60" s="32">
        <v>1.7</v>
      </c>
      <c r="J60" s="32">
        <v>1.8</v>
      </c>
      <c r="K60" s="32">
        <v>2.1</v>
      </c>
      <c r="L60" s="32">
        <v>2.2999999999999998</v>
      </c>
      <c r="M60" s="32">
        <v>2.4</v>
      </c>
      <c r="N60" s="32">
        <v>2.5</v>
      </c>
      <c r="O60" s="32">
        <v>2.6</v>
      </c>
      <c r="P60" s="32">
        <v>2.6</v>
      </c>
      <c r="Q60" s="32">
        <v>2.7</v>
      </c>
      <c r="R60" s="32">
        <v>5</v>
      </c>
      <c r="S60" s="32">
        <v>2.75</v>
      </c>
      <c r="T60" s="32">
        <v>2.7</v>
      </c>
      <c r="U60" s="32">
        <v>3</v>
      </c>
      <c r="V60" s="32">
        <v>3.2</v>
      </c>
      <c r="W60" s="32">
        <v>3.4</v>
      </c>
      <c r="X60" s="32">
        <v>4.9000000000000004</v>
      </c>
      <c r="Y60" s="32">
        <v>5</v>
      </c>
      <c r="Z60" s="32">
        <v>6.5</v>
      </c>
      <c r="AA60" s="32">
        <v>10</v>
      </c>
      <c r="AB60" s="32">
        <v>9</v>
      </c>
      <c r="AC60" s="32">
        <v>6.5</v>
      </c>
      <c r="AD60" s="32">
        <v>6</v>
      </c>
      <c r="AE60" s="32">
        <v>4</v>
      </c>
      <c r="AF60" s="32">
        <v>3.5</v>
      </c>
      <c r="AG60" s="32">
        <v>4</v>
      </c>
      <c r="AH60" s="32">
        <v>8</v>
      </c>
      <c r="AI60" s="32">
        <v>8</v>
      </c>
      <c r="AJ60" s="32">
        <v>11</v>
      </c>
      <c r="AK60" s="32">
        <v>14</v>
      </c>
      <c r="AL60" s="32">
        <v>25</v>
      </c>
      <c r="AM60" s="32">
        <v>26</v>
      </c>
      <c r="AN60" s="32">
        <v>17</v>
      </c>
      <c r="AO60" s="32">
        <v>17</v>
      </c>
      <c r="AP60" s="32">
        <v>16</v>
      </c>
      <c r="AQ60" s="32">
        <v>17</v>
      </c>
      <c r="AR60" s="32">
        <v>17.5</v>
      </c>
      <c r="AS60" s="32">
        <v>20</v>
      </c>
      <c r="AT60" s="32">
        <v>19</v>
      </c>
      <c r="AU60" s="32">
        <v>40</v>
      </c>
      <c r="AV60" s="32">
        <v>36</v>
      </c>
      <c r="AW60" s="32">
        <v>33</v>
      </c>
      <c r="AX60" s="32">
        <v>34</v>
      </c>
      <c r="AY60" s="32">
        <v>35</v>
      </c>
      <c r="AZ60" s="32">
        <v>36</v>
      </c>
      <c r="BA60" s="32">
        <v>37</v>
      </c>
    </row>
    <row r="61" spans="1:53" ht="15.75">
      <c r="A61" s="93" t="s">
        <v>256</v>
      </c>
      <c r="B61" s="32">
        <v>1.23</v>
      </c>
      <c r="C61" s="32">
        <v>1.45</v>
      </c>
      <c r="D61" s="32">
        <v>1.218</v>
      </c>
      <c r="E61" s="32">
        <v>1.3759999999999999</v>
      </c>
      <c r="F61" s="32">
        <v>1.55</v>
      </c>
      <c r="G61" s="32">
        <v>1.6</v>
      </c>
      <c r="H61" s="32">
        <v>1.7</v>
      </c>
      <c r="I61" s="32">
        <v>1.65</v>
      </c>
      <c r="J61" s="32">
        <v>1.6</v>
      </c>
      <c r="K61" s="32">
        <v>1.55</v>
      </c>
      <c r="L61" s="32">
        <v>1.8</v>
      </c>
      <c r="M61" s="32">
        <v>1.7749999999999999</v>
      </c>
      <c r="N61" s="32">
        <v>1.7749999999999999</v>
      </c>
      <c r="O61" s="32">
        <v>1.625</v>
      </c>
      <c r="P61" s="32">
        <v>1.675</v>
      </c>
      <c r="Q61" s="32">
        <v>1.85</v>
      </c>
      <c r="R61" s="32">
        <v>1.7250000000000001</v>
      </c>
      <c r="S61" s="32">
        <v>1.55</v>
      </c>
      <c r="T61" s="32">
        <v>1.45</v>
      </c>
      <c r="U61" s="32">
        <v>1.3</v>
      </c>
      <c r="V61" s="32">
        <v>1</v>
      </c>
      <c r="W61" s="32">
        <v>1</v>
      </c>
      <c r="X61" s="32">
        <v>2.7749999999999999</v>
      </c>
      <c r="Y61" s="32">
        <v>2.2090000000000001</v>
      </c>
      <c r="Z61" s="32">
        <v>1.95</v>
      </c>
      <c r="AA61" s="32">
        <v>1.6</v>
      </c>
      <c r="AB61" s="32">
        <v>1.2</v>
      </c>
      <c r="AC61" s="32">
        <v>1.4</v>
      </c>
      <c r="AD61" s="32">
        <v>1.5</v>
      </c>
      <c r="AE61" s="32">
        <v>1.5</v>
      </c>
      <c r="AF61" s="32">
        <v>1.5</v>
      </c>
      <c r="AG61" s="32">
        <v>0.4</v>
      </c>
      <c r="AH61" s="32">
        <v>0.1</v>
      </c>
      <c r="AI61" s="32">
        <v>0.5</v>
      </c>
      <c r="AJ61" s="32">
        <v>0.5</v>
      </c>
      <c r="AK61" s="32">
        <v>0.05</v>
      </c>
      <c r="AL61" s="32">
        <v>0.3</v>
      </c>
      <c r="AM61" s="32">
        <v>0.3</v>
      </c>
      <c r="AN61" s="32">
        <v>2.4</v>
      </c>
      <c r="AO61" s="32">
        <v>7.4</v>
      </c>
      <c r="AP61" s="32">
        <v>3.8</v>
      </c>
      <c r="AQ61" s="32">
        <v>5.3</v>
      </c>
      <c r="AR61" s="32">
        <v>5.5</v>
      </c>
      <c r="AS61" s="32">
        <v>2.4</v>
      </c>
      <c r="AT61" s="32">
        <v>2.8</v>
      </c>
      <c r="AU61" s="32">
        <v>7.6</v>
      </c>
      <c r="AV61" s="32">
        <v>7</v>
      </c>
      <c r="AW61" s="32">
        <v>7</v>
      </c>
      <c r="AX61" s="32">
        <v>8</v>
      </c>
      <c r="AY61" s="32">
        <v>9</v>
      </c>
      <c r="AZ61" s="32">
        <v>10</v>
      </c>
      <c r="BA61" s="32">
        <v>11</v>
      </c>
    </row>
    <row r="62" spans="1:53" ht="15.75">
      <c r="A62" s="93" t="s">
        <v>257</v>
      </c>
      <c r="B62" s="32">
        <v>0.159</v>
      </c>
      <c r="C62" s="32">
        <v>0.18</v>
      </c>
      <c r="D62" s="32">
        <v>0.14099999999999999</v>
      </c>
      <c r="E62" s="32">
        <v>0.16500000000000001</v>
      </c>
      <c r="F62" s="32">
        <v>0.246</v>
      </c>
      <c r="G62" s="32">
        <v>0.30199999999999999</v>
      </c>
      <c r="H62" s="32">
        <v>0.36299999999999999</v>
      </c>
      <c r="I62" s="32">
        <v>0.37</v>
      </c>
      <c r="J62" s="32">
        <v>0.32500000000000001</v>
      </c>
      <c r="K62" s="32">
        <v>0.375</v>
      </c>
      <c r="L62" s="32">
        <v>0.44900000000000001</v>
      </c>
      <c r="M62" s="32">
        <v>0.40200000000000002</v>
      </c>
      <c r="N62" s="32">
        <v>0.40799999999999997</v>
      </c>
      <c r="O62" s="32">
        <v>0.45500000000000002</v>
      </c>
      <c r="P62" s="32">
        <v>0.41799999999999998</v>
      </c>
      <c r="Q62" s="32">
        <v>0.39400000000000002</v>
      </c>
      <c r="R62" s="32">
        <v>0.41599999999999998</v>
      </c>
      <c r="S62" s="32">
        <v>0.31</v>
      </c>
      <c r="T62" s="32">
        <v>0.31</v>
      </c>
      <c r="U62" s="32">
        <v>0.31</v>
      </c>
      <c r="V62" s="32">
        <v>0.31</v>
      </c>
      <c r="W62" s="32">
        <v>0.25</v>
      </c>
      <c r="X62" s="32">
        <v>0.1</v>
      </c>
      <c r="Y62" s="32">
        <v>0.3</v>
      </c>
      <c r="Z62" s="32">
        <v>0.3</v>
      </c>
      <c r="AA62" s="32">
        <v>0.3</v>
      </c>
      <c r="AB62" s="32">
        <v>0.2</v>
      </c>
      <c r="AC62" s="32">
        <v>0.15</v>
      </c>
      <c r="AD62" s="32">
        <v>0.2</v>
      </c>
      <c r="AE62" s="32">
        <v>0.15</v>
      </c>
      <c r="AF62" s="32">
        <v>0.15</v>
      </c>
      <c r="AG62" s="32">
        <v>0.1</v>
      </c>
      <c r="AH62" s="32">
        <v>0.15</v>
      </c>
      <c r="AI62" s="32">
        <v>0.15</v>
      </c>
      <c r="AJ62" s="32">
        <v>0.15</v>
      </c>
      <c r="AK62" s="32">
        <v>0.15</v>
      </c>
      <c r="AL62" s="32">
        <v>0.2</v>
      </c>
      <c r="AM62" s="32">
        <v>0.18</v>
      </c>
      <c r="AN62" s="32">
        <v>0.17</v>
      </c>
      <c r="AO62" s="32">
        <v>0.17</v>
      </c>
      <c r="AP62" s="32">
        <v>0.25</v>
      </c>
      <c r="AQ62" s="32">
        <v>0.45</v>
      </c>
      <c r="AR62" s="32">
        <v>0.55000000000000004</v>
      </c>
      <c r="AS62" s="32">
        <v>0.55000000000000004</v>
      </c>
      <c r="AT62" s="32">
        <v>0.52</v>
      </c>
      <c r="AU62" s="32">
        <v>0.55000000000000004</v>
      </c>
      <c r="AV62" s="32">
        <v>0.5</v>
      </c>
      <c r="AW62" s="32">
        <v>0.5</v>
      </c>
      <c r="AX62" s="32">
        <v>1.5</v>
      </c>
      <c r="AY62" s="32">
        <v>2.5</v>
      </c>
      <c r="AZ62" s="32">
        <v>3.5</v>
      </c>
      <c r="BA62" s="32">
        <v>4.5</v>
      </c>
    </row>
    <row r="63" spans="1:53" ht="15.75">
      <c r="A63" s="93" t="s">
        <v>258</v>
      </c>
      <c r="B63" s="32">
        <v>2.6</v>
      </c>
      <c r="C63" s="32">
        <v>2.1</v>
      </c>
      <c r="D63" s="32">
        <v>1.6</v>
      </c>
      <c r="E63" s="32">
        <v>1.7</v>
      </c>
      <c r="F63" s="32">
        <v>2.2999999999999998</v>
      </c>
      <c r="G63" s="32">
        <v>3</v>
      </c>
      <c r="H63" s="32">
        <v>2.8</v>
      </c>
      <c r="I63" s="32">
        <v>2.9</v>
      </c>
      <c r="J63" s="32">
        <v>5.3</v>
      </c>
      <c r="K63" s="32">
        <v>3.7</v>
      </c>
      <c r="L63" s="32">
        <v>3</v>
      </c>
      <c r="M63" s="32">
        <v>2.8</v>
      </c>
      <c r="N63" s="32">
        <v>2.5</v>
      </c>
      <c r="O63" s="32">
        <v>1.9</v>
      </c>
      <c r="P63" s="32">
        <v>1</v>
      </c>
      <c r="Q63" s="32">
        <v>2.1</v>
      </c>
      <c r="R63" s="32">
        <v>1.9</v>
      </c>
      <c r="S63" s="32">
        <v>1.5</v>
      </c>
      <c r="T63" s="32">
        <v>2.4</v>
      </c>
      <c r="U63" s="32">
        <v>3.3</v>
      </c>
      <c r="V63" s="32">
        <v>2</v>
      </c>
      <c r="W63" s="32">
        <v>2.2999999999999998</v>
      </c>
      <c r="X63" s="32">
        <v>1.65</v>
      </c>
      <c r="Y63" s="32">
        <v>2.0339999999999998</v>
      </c>
      <c r="Z63" s="32">
        <v>0.9</v>
      </c>
      <c r="AA63" s="32">
        <v>0.47699999999999998</v>
      </c>
      <c r="AB63" s="32">
        <v>0.7</v>
      </c>
      <c r="AC63" s="32">
        <v>0.72499999999999998</v>
      </c>
      <c r="AD63" s="32">
        <v>0.75</v>
      </c>
      <c r="AE63" s="32">
        <v>0.5</v>
      </c>
      <c r="AF63" s="32">
        <v>0.5</v>
      </c>
      <c r="AG63" s="32">
        <v>0.15</v>
      </c>
      <c r="AH63" s="32">
        <v>0.1</v>
      </c>
      <c r="AI63" s="32">
        <v>0.1</v>
      </c>
      <c r="AJ63" s="32">
        <v>0.1</v>
      </c>
      <c r="AK63" s="32">
        <v>0.1</v>
      </c>
      <c r="AL63" s="32">
        <v>0.2</v>
      </c>
      <c r="AM63" s="32">
        <v>0.7</v>
      </c>
      <c r="AN63" s="32">
        <v>4.5</v>
      </c>
      <c r="AO63" s="32">
        <v>10.5</v>
      </c>
      <c r="AP63" s="32">
        <v>8.4</v>
      </c>
      <c r="AQ63" s="32">
        <v>5.2</v>
      </c>
      <c r="AR63" s="32">
        <v>4.5</v>
      </c>
      <c r="AS63" s="32">
        <v>1.5</v>
      </c>
      <c r="AT63" s="32">
        <v>4.5</v>
      </c>
      <c r="AU63" s="32">
        <v>8.9</v>
      </c>
      <c r="AV63" s="32">
        <v>10.4</v>
      </c>
      <c r="AW63" s="32">
        <v>8</v>
      </c>
      <c r="AX63" s="32">
        <v>9</v>
      </c>
      <c r="AY63" s="32">
        <v>10</v>
      </c>
      <c r="AZ63" s="32">
        <v>11</v>
      </c>
      <c r="BA63" s="32">
        <v>12</v>
      </c>
    </row>
    <row r="64" spans="1:53" ht="15.75">
      <c r="A64" s="93" t="s">
        <v>259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>
        <f>V96/1000</f>
        <v>7.580000000000001E-4</v>
      </c>
      <c r="W64" s="32">
        <f t="shared" ref="W64:AU64" si="29">W96/1000</f>
        <v>1.2259999999999999E-3</v>
      </c>
      <c r="X64" s="32">
        <f t="shared" si="29"/>
        <v>1.075E-3</v>
      </c>
      <c r="Y64" s="32">
        <f t="shared" si="29"/>
        <v>7.1500000000000003E-4</v>
      </c>
      <c r="Z64" s="32">
        <f t="shared" si="29"/>
        <v>1.188E-3</v>
      </c>
      <c r="AA64" s="32">
        <f t="shared" si="29"/>
        <v>9.7400000000000004E-4</v>
      </c>
      <c r="AB64" s="32">
        <f t="shared" si="29"/>
        <v>2.068E-3</v>
      </c>
      <c r="AC64" s="32">
        <f t="shared" si="29"/>
        <v>7.4500000000000011E-4</v>
      </c>
      <c r="AD64" s="32">
        <f t="shared" si="29"/>
        <v>7.1000000000000013E-4</v>
      </c>
      <c r="AE64" s="32">
        <f t="shared" si="29"/>
        <v>7.5500000000000014E-4</v>
      </c>
      <c r="AF64" s="32">
        <f t="shared" si="29"/>
        <v>6.96E-4</v>
      </c>
      <c r="AG64" s="32">
        <f t="shared" si="29"/>
        <v>1.6849999999999999E-3</v>
      </c>
      <c r="AH64" s="32">
        <f t="shared" si="29"/>
        <v>3.741E-3</v>
      </c>
      <c r="AI64" s="32">
        <f t="shared" si="29"/>
        <v>0.15898500000000002</v>
      </c>
      <c r="AJ64" s="32">
        <f t="shared" si="29"/>
        <v>2.8459970000000001</v>
      </c>
      <c r="AK64" s="32">
        <f t="shared" si="29"/>
        <v>1.967028</v>
      </c>
      <c r="AL64" s="32">
        <f t="shared" si="29"/>
        <v>2.5181529999999999</v>
      </c>
      <c r="AM64" s="32">
        <f t="shared" si="29"/>
        <v>2.8323990000000006</v>
      </c>
      <c r="AN64" s="32">
        <f t="shared" si="29"/>
        <v>6.6484100000000002</v>
      </c>
      <c r="AO64" s="32">
        <f t="shared" si="29"/>
        <v>5.6122240000000012</v>
      </c>
      <c r="AP64" s="32">
        <f t="shared" si="29"/>
        <v>4.2434609999999999</v>
      </c>
      <c r="AQ64" s="32">
        <f t="shared" si="29"/>
        <v>0.74362600000000001</v>
      </c>
      <c r="AR64" s="32">
        <f t="shared" si="29"/>
        <v>0.102785</v>
      </c>
      <c r="AS64" s="32">
        <f t="shared" si="29"/>
        <v>0.14749399999999999</v>
      </c>
      <c r="AT64" s="32">
        <f t="shared" si="29"/>
        <v>0.13468699999999997</v>
      </c>
      <c r="AU64" s="32">
        <f t="shared" si="29"/>
        <v>0.26250000000000001</v>
      </c>
      <c r="AV64" s="32">
        <v>0.26350000000000001</v>
      </c>
      <c r="AW64" s="32">
        <v>0.3</v>
      </c>
      <c r="AX64" s="32">
        <v>1.3</v>
      </c>
      <c r="AY64" s="32">
        <v>2.2999999999999998</v>
      </c>
      <c r="AZ64" s="32">
        <v>3.3</v>
      </c>
      <c r="BA64" s="32">
        <v>4.3</v>
      </c>
    </row>
    <row r="65" spans="1:53" ht="15.75">
      <c r="A65" s="93" t="s">
        <v>218</v>
      </c>
      <c r="V65" s="32">
        <f>SUM(V59:V64)</f>
        <v>83.073976999999999</v>
      </c>
      <c r="W65" s="32">
        <f t="shared" ref="W65:BA65" si="30">SUM(W59:W64)</f>
        <v>85.879530999999986</v>
      </c>
      <c r="X65" s="32">
        <f t="shared" si="30"/>
        <v>91.757587000000015</v>
      </c>
      <c r="Y65" s="32">
        <f t="shared" si="30"/>
        <v>95.98414600000001</v>
      </c>
      <c r="Z65" s="32">
        <f t="shared" si="30"/>
        <v>99.08082200000004</v>
      </c>
      <c r="AA65" s="32">
        <f t="shared" si="30"/>
        <v>104.318805</v>
      </c>
      <c r="AB65" s="32">
        <f t="shared" si="30"/>
        <v>105.07598399999998</v>
      </c>
      <c r="AC65" s="32">
        <f t="shared" si="30"/>
        <v>104.74733400000002</v>
      </c>
      <c r="AD65" s="32">
        <f t="shared" si="30"/>
        <v>105.45053899999995</v>
      </c>
      <c r="AE65" s="32">
        <f t="shared" si="30"/>
        <v>104.14958299999998</v>
      </c>
      <c r="AF65" s="32">
        <f t="shared" si="30"/>
        <v>106.65088200000002</v>
      </c>
      <c r="AG65" s="32">
        <f t="shared" si="30"/>
        <v>108.65084400000002</v>
      </c>
      <c r="AH65" s="32">
        <f t="shared" si="30"/>
        <v>119.354392</v>
      </c>
      <c r="AI65" s="32">
        <f t="shared" si="30"/>
        <v>127.90886</v>
      </c>
      <c r="AJ65" s="32">
        <f t="shared" si="30"/>
        <v>143.59655699999999</v>
      </c>
      <c r="AK65" s="32">
        <f t="shared" si="30"/>
        <v>155.26797600000003</v>
      </c>
      <c r="AL65" s="32">
        <f t="shared" si="30"/>
        <v>175.31721100000001</v>
      </c>
      <c r="AM65" s="32">
        <f t="shared" si="30"/>
        <v>181.01337500000005</v>
      </c>
      <c r="AN65" s="32">
        <f t="shared" si="30"/>
        <v>181.71761799999996</v>
      </c>
      <c r="AO65" s="32">
        <f t="shared" si="30"/>
        <v>184.68252799999996</v>
      </c>
      <c r="AP65" s="32">
        <f t="shared" si="30"/>
        <v>197.69341100000003</v>
      </c>
      <c r="AQ65" s="32">
        <f t="shared" si="30"/>
        <v>136.328193</v>
      </c>
      <c r="AR65" s="32">
        <f t="shared" si="30"/>
        <v>196.21281400000009</v>
      </c>
      <c r="AS65" s="32">
        <f t="shared" si="30"/>
        <v>197.10972599999999</v>
      </c>
      <c r="AT65" s="32">
        <f t="shared" si="30"/>
        <v>207.94359975200001</v>
      </c>
      <c r="AU65" s="32">
        <f t="shared" si="30"/>
        <v>255.77011877399997</v>
      </c>
      <c r="AV65" s="32">
        <f t="shared" si="30"/>
        <v>259.80857905100004</v>
      </c>
      <c r="AW65" s="32">
        <f t="shared" si="30"/>
        <v>258.80800000000005</v>
      </c>
      <c r="AX65" s="32">
        <f t="shared" si="30"/>
        <v>278.16199999999998</v>
      </c>
      <c r="AY65" s="32">
        <f t="shared" si="30"/>
        <v>282.3</v>
      </c>
      <c r="AZ65" s="32">
        <f t="shared" si="30"/>
        <v>288.82652240690965</v>
      </c>
      <c r="BA65" s="32">
        <f t="shared" si="30"/>
        <v>315.70705105224789</v>
      </c>
    </row>
    <row r="66" spans="1:53" ht="15.75">
      <c r="A66" s="93" t="s">
        <v>260</v>
      </c>
      <c r="W66" s="144">
        <f>W65/V65-1</f>
        <v>3.3771755022634631E-2</v>
      </c>
      <c r="X66" s="144">
        <f t="shared" ref="X66:BA66" si="31">X65/W65-1</f>
        <v>6.8445366801083596E-2</v>
      </c>
      <c r="Y66" s="144">
        <f t="shared" si="31"/>
        <v>4.6062229164766544E-2</v>
      </c>
      <c r="Z66" s="144">
        <f t="shared" si="31"/>
        <v>3.2262369662590329E-2</v>
      </c>
      <c r="AA66" s="144">
        <f t="shared" si="31"/>
        <v>5.2865760439491982E-2</v>
      </c>
      <c r="AB66" s="144">
        <f t="shared" si="31"/>
        <v>7.2583174241689363E-3</v>
      </c>
      <c r="AC66" s="144">
        <f t="shared" si="31"/>
        <v>-3.1277365910744592E-3</v>
      </c>
      <c r="AD66" s="144">
        <f t="shared" si="31"/>
        <v>6.7133450861853738E-3</v>
      </c>
      <c r="AE66" s="144">
        <f t="shared" si="31"/>
        <v>-1.2337120438995264E-2</v>
      </c>
      <c r="AF66" s="144">
        <f t="shared" si="31"/>
        <v>2.4016409167956443E-2</v>
      </c>
      <c r="AG66" s="144">
        <f t="shared" si="31"/>
        <v>1.8752418756368128E-2</v>
      </c>
      <c r="AH66" s="144">
        <f t="shared" si="31"/>
        <v>9.8513252230235659E-2</v>
      </c>
      <c r="AI66" s="144">
        <f t="shared" si="31"/>
        <v>7.1672837979854132E-2</v>
      </c>
      <c r="AJ66" s="144">
        <f t="shared" si="31"/>
        <v>0.12264746163791918</v>
      </c>
      <c r="AK66" s="144">
        <f t="shared" si="31"/>
        <v>8.127923986366925E-2</v>
      </c>
      <c r="AL66" s="144">
        <f t="shared" si="31"/>
        <v>0.12912665906071941</v>
      </c>
      <c r="AM66" s="144">
        <f t="shared" si="31"/>
        <v>3.249061496877248E-2</v>
      </c>
      <c r="AN66" s="144">
        <f t="shared" si="31"/>
        <v>3.8905578109900141E-3</v>
      </c>
      <c r="AO66" s="144">
        <f t="shared" si="31"/>
        <v>1.6316029412184019E-2</v>
      </c>
      <c r="AP66" s="144">
        <f t="shared" si="31"/>
        <v>7.0449994056828613E-2</v>
      </c>
      <c r="AQ66" s="144">
        <f t="shared" si="31"/>
        <v>-0.31040598515445728</v>
      </c>
      <c r="AR66" s="144">
        <f t="shared" si="31"/>
        <v>0.43926806100921545</v>
      </c>
      <c r="AS66" s="144">
        <f t="shared" si="31"/>
        <v>4.5711183776198094E-3</v>
      </c>
      <c r="AT66" s="144">
        <f t="shared" si="31"/>
        <v>5.496366907840966E-2</v>
      </c>
      <c r="AU66" s="144">
        <f t="shared" si="31"/>
        <v>0.22999755260099053</v>
      </c>
      <c r="AV66" s="144">
        <f t="shared" si="31"/>
        <v>1.5789413932940644E-2</v>
      </c>
      <c r="AW66" s="144">
        <f t="shared" si="31"/>
        <v>-3.8512163634272234E-3</v>
      </c>
      <c r="AX66" s="144">
        <f t="shared" si="31"/>
        <v>7.4781305060121595E-2</v>
      </c>
      <c r="AY66" s="144">
        <f t="shared" si="31"/>
        <v>1.4876223208058814E-2</v>
      </c>
      <c r="AZ66" s="144">
        <f t="shared" si="31"/>
        <v>2.3119101689371702E-2</v>
      </c>
      <c r="BA66" s="144">
        <f t="shared" si="31"/>
        <v>9.3068075678548468E-2</v>
      </c>
    </row>
    <row r="68" spans="1:53" ht="15.75">
      <c r="A68" s="93" t="s">
        <v>261</v>
      </c>
    </row>
    <row r="69" spans="1:53" ht="15.75">
      <c r="A69" s="93" t="s">
        <v>262</v>
      </c>
    </row>
    <row r="70" spans="1:53" ht="15.75">
      <c r="A70" s="93" t="s">
        <v>263</v>
      </c>
    </row>
    <row r="71" spans="1:53" ht="15.75">
      <c r="A71" s="93" t="s">
        <v>264</v>
      </c>
    </row>
    <row r="72" spans="1:53" ht="15.75">
      <c r="A72" s="93" t="s">
        <v>265</v>
      </c>
    </row>
    <row r="73" spans="1:53" ht="15.75">
      <c r="A73" s="93" t="s">
        <v>266</v>
      </c>
    </row>
    <row r="74" spans="1:53" ht="15.75">
      <c r="A74" s="93" t="s">
        <v>267</v>
      </c>
    </row>
    <row r="75" spans="1:53" ht="15.75">
      <c r="A75" s="93" t="s">
        <v>218</v>
      </c>
    </row>
    <row r="78" spans="1:53" ht="15.75">
      <c r="A78" s="93" t="s">
        <v>268</v>
      </c>
    </row>
    <row r="79" spans="1:53" ht="15.75">
      <c r="A79" s="93" t="s">
        <v>269</v>
      </c>
    </row>
    <row r="80" spans="1:53" ht="15.75">
      <c r="A80" s="93" t="s">
        <v>270</v>
      </c>
    </row>
    <row r="82" spans="1:53" ht="16.5" thickBot="1">
      <c r="A82" s="93" t="s">
        <v>271</v>
      </c>
    </row>
    <row r="83" spans="1:53" ht="16.5" thickBot="1">
      <c r="A83" s="94"/>
      <c r="B83" s="95" t="str">
        <f>B2</f>
        <v xml:space="preserve">75/76 </v>
      </c>
      <c r="C83" s="95" t="str">
        <f t="shared" ref="C83:BA83" si="32">C2</f>
        <v xml:space="preserve">76/77 </v>
      </c>
      <c r="D83" s="95" t="str">
        <f t="shared" si="32"/>
        <v xml:space="preserve">77/78 </v>
      </c>
      <c r="E83" s="95" t="str">
        <f t="shared" si="32"/>
        <v xml:space="preserve">78/79 </v>
      </c>
      <c r="F83" s="95" t="str">
        <f t="shared" si="32"/>
        <v xml:space="preserve">79/80 </v>
      </c>
      <c r="G83" s="95" t="str">
        <f t="shared" si="32"/>
        <v xml:space="preserve">80/81 </v>
      </c>
      <c r="H83" s="95" t="str">
        <f t="shared" si="32"/>
        <v xml:space="preserve">81/82 </v>
      </c>
      <c r="I83" s="95" t="str">
        <f t="shared" si="32"/>
        <v xml:space="preserve">82/83 </v>
      </c>
      <c r="J83" s="95" t="str">
        <f t="shared" si="32"/>
        <v xml:space="preserve">83/84 </v>
      </c>
      <c r="K83" s="95" t="str">
        <f t="shared" si="32"/>
        <v xml:space="preserve">84/85 </v>
      </c>
      <c r="L83" s="95" t="str">
        <f t="shared" si="32"/>
        <v xml:space="preserve">85/86 </v>
      </c>
      <c r="M83" s="95" t="str">
        <f t="shared" si="32"/>
        <v xml:space="preserve">86/87 </v>
      </c>
      <c r="N83" s="95" t="str">
        <f t="shared" si="32"/>
        <v xml:space="preserve">87/88 </v>
      </c>
      <c r="O83" s="95" t="str">
        <f t="shared" si="32"/>
        <v xml:space="preserve">88/89 </v>
      </c>
      <c r="P83" s="95" t="str">
        <f t="shared" si="32"/>
        <v xml:space="preserve">89/90 </v>
      </c>
      <c r="Q83" s="95" t="str">
        <f t="shared" si="32"/>
        <v xml:space="preserve">90/91 </v>
      </c>
      <c r="R83" s="95" t="str">
        <f t="shared" si="32"/>
        <v xml:space="preserve">91/92 </v>
      </c>
      <c r="S83" s="95" t="str">
        <f t="shared" si="32"/>
        <v xml:space="preserve">92/93 </v>
      </c>
      <c r="T83" s="95" t="str">
        <f t="shared" si="32"/>
        <v xml:space="preserve">93/94 </v>
      </c>
      <c r="U83" s="95" t="str">
        <f t="shared" si="32"/>
        <v xml:space="preserve">94/95 </v>
      </c>
      <c r="V83" s="95" t="str">
        <f t="shared" si="32"/>
        <v xml:space="preserve">95/96 </v>
      </c>
      <c r="W83" s="95" t="str">
        <f t="shared" si="32"/>
        <v xml:space="preserve">96/97 </v>
      </c>
      <c r="X83" s="95" t="str">
        <f t="shared" si="32"/>
        <v xml:space="preserve">97/98 </v>
      </c>
      <c r="Y83" s="95" t="str">
        <f t="shared" si="32"/>
        <v xml:space="preserve">98/99 </v>
      </c>
      <c r="Z83" s="95" t="str">
        <f t="shared" si="32"/>
        <v xml:space="preserve">99/00 </v>
      </c>
      <c r="AA83" s="95" t="str">
        <f t="shared" si="32"/>
        <v xml:space="preserve">00/01 </v>
      </c>
      <c r="AB83" s="95" t="str">
        <f t="shared" si="32"/>
        <v xml:space="preserve">01/02 </v>
      </c>
      <c r="AC83" s="95" t="str">
        <f t="shared" si="32"/>
        <v xml:space="preserve">02/03 </v>
      </c>
      <c r="AD83" s="95" t="str">
        <f t="shared" si="32"/>
        <v xml:space="preserve">03/04 </v>
      </c>
      <c r="AE83" s="95" t="str">
        <f t="shared" si="32"/>
        <v xml:space="preserve">04/05 </v>
      </c>
      <c r="AF83" s="95" t="str">
        <f t="shared" si="32"/>
        <v xml:space="preserve">05/06 </v>
      </c>
      <c r="AG83" s="95" t="str">
        <f t="shared" si="32"/>
        <v xml:space="preserve">06/07 </v>
      </c>
      <c r="AH83" s="95" t="str">
        <f t="shared" si="32"/>
        <v xml:space="preserve">07/08 </v>
      </c>
      <c r="AI83" s="95" t="str">
        <f t="shared" si="32"/>
        <v xml:space="preserve">08/09 </v>
      </c>
      <c r="AJ83" s="95" t="str">
        <f t="shared" si="32"/>
        <v xml:space="preserve">09/10 </v>
      </c>
      <c r="AK83" s="95" t="str">
        <f t="shared" si="32"/>
        <v xml:space="preserve">10/11 </v>
      </c>
      <c r="AL83" s="95" t="str">
        <f t="shared" si="32"/>
        <v xml:space="preserve">11/12 </v>
      </c>
      <c r="AM83" s="95" t="str">
        <f t="shared" si="32"/>
        <v xml:space="preserve">12/13 </v>
      </c>
      <c r="AN83" s="95" t="str">
        <f t="shared" si="32"/>
        <v xml:space="preserve">13/14 </v>
      </c>
      <c r="AO83" s="95" t="str">
        <f t="shared" si="32"/>
        <v xml:space="preserve">14/15 </v>
      </c>
      <c r="AP83" s="95" t="str">
        <f t="shared" si="32"/>
        <v xml:space="preserve">15/16 </v>
      </c>
      <c r="AQ83" s="95" t="str">
        <f t="shared" si="32"/>
        <v xml:space="preserve">16/17 </v>
      </c>
      <c r="AR83" s="95" t="str">
        <f t="shared" si="32"/>
        <v xml:space="preserve">17/18 </v>
      </c>
      <c r="AS83" s="95" t="str">
        <f t="shared" si="32"/>
        <v xml:space="preserve">18/19 </v>
      </c>
      <c r="AT83" s="95" t="str">
        <f t="shared" si="32"/>
        <v>19/20</v>
      </c>
      <c r="AU83" s="95" t="str">
        <f t="shared" si="32"/>
        <v>20/21</v>
      </c>
      <c r="AV83" s="95" t="str">
        <f t="shared" si="32"/>
        <v>21/22</v>
      </c>
      <c r="AW83" s="95" t="str">
        <f t="shared" si="32"/>
        <v>22/23</v>
      </c>
      <c r="AX83" s="95" t="str">
        <f t="shared" si="32"/>
        <v>23/24</v>
      </c>
      <c r="AY83" s="95" t="str">
        <f t="shared" si="32"/>
        <v>24/25</v>
      </c>
      <c r="AZ83" s="95" t="str">
        <f t="shared" si="32"/>
        <v>25/26</v>
      </c>
      <c r="BA83" s="95" t="str">
        <f t="shared" si="32"/>
        <v>26/27</v>
      </c>
    </row>
    <row r="84" spans="1:53" ht="15.75">
      <c r="A84" s="93" t="s">
        <v>74</v>
      </c>
      <c r="U84" s="32"/>
      <c r="V84" s="32">
        <v>0</v>
      </c>
      <c r="W84" s="32">
        <v>0.01</v>
      </c>
      <c r="X84" s="32">
        <v>9.7000000000000003E-2</v>
      </c>
      <c r="Y84" s="32">
        <v>3.4000000000000002E-2</v>
      </c>
      <c r="Z84" s="32">
        <v>0</v>
      </c>
      <c r="AA84" s="32">
        <v>0.222</v>
      </c>
      <c r="AB84" s="32">
        <v>0.23400000000000001</v>
      </c>
      <c r="AC84" s="32">
        <v>6.5000000000000002E-2</v>
      </c>
      <c r="AD84" s="32">
        <v>0</v>
      </c>
      <c r="AE84" s="32">
        <v>0.113</v>
      </c>
      <c r="AF84" s="32">
        <v>0.03</v>
      </c>
      <c r="AG84" s="32">
        <v>4.1000000000000002E-2</v>
      </c>
      <c r="AH84" s="32">
        <v>0.51500000000000001</v>
      </c>
      <c r="AI84" s="32">
        <v>1.0640000000000001</v>
      </c>
      <c r="AJ84" s="32">
        <v>136.26300000000001</v>
      </c>
      <c r="AK84" s="32">
        <v>285.20100000000002</v>
      </c>
      <c r="AL84" s="32">
        <v>163.81200000000001</v>
      </c>
      <c r="AM84" s="32">
        <v>148.00899999999999</v>
      </c>
      <c r="AN84" s="32">
        <v>515.59400000000005</v>
      </c>
      <c r="AO84" s="32">
        <v>117.827</v>
      </c>
      <c r="AP84" s="32">
        <v>660.19299999999998</v>
      </c>
      <c r="AQ84" s="32">
        <v>134.934</v>
      </c>
      <c r="AR84" s="32">
        <v>3.5270000000000001</v>
      </c>
      <c r="AS84" s="32">
        <v>21.899000000000001</v>
      </c>
      <c r="AT84" s="32">
        <v>12.44</v>
      </c>
      <c r="AU84" s="32">
        <v>53.231999999999999</v>
      </c>
      <c r="AV84" s="108">
        <f t="shared" ref="AV84:AW93" si="33">SUM(AP84:AT84)/SUM(AP$96:AT$96)*AV$96</f>
        <v>40.858430752637773</v>
      </c>
      <c r="AW84" s="108">
        <f t="shared" si="33"/>
        <v>48.745589795642559</v>
      </c>
      <c r="AX84" s="108">
        <f t="shared" ref="AX84:AX94" si="34">SUM(AR84:AV84)/SUM(AR$96:AV$96)*AX$96</f>
        <v>188.30928923629321</v>
      </c>
      <c r="AY84" s="108">
        <f t="shared" ref="AY84:BA94" si="35">SUM(AS84:AW84)/SUM(AS$96:AW$96)*AY$96</f>
        <v>367.72201225345384</v>
      </c>
      <c r="AZ84" s="108">
        <f t="shared" si="35"/>
        <v>501.54290367887847</v>
      </c>
      <c r="BA84" s="108">
        <f t="shared" si="35"/>
        <v>678.97186732117427</v>
      </c>
    </row>
    <row r="85" spans="1:53" ht="15.75">
      <c r="A85" s="93" t="s">
        <v>75</v>
      </c>
      <c r="U85" s="32"/>
      <c r="V85" s="32">
        <v>0.16300000000000001</v>
      </c>
      <c r="W85" s="32">
        <v>0.05</v>
      </c>
      <c r="X85" s="32">
        <v>0</v>
      </c>
      <c r="Y85" s="32">
        <v>0</v>
      </c>
      <c r="Z85" s="32">
        <v>1.7999999999999999E-2</v>
      </c>
      <c r="AA85" s="32">
        <v>0.128</v>
      </c>
      <c r="AB85" s="32">
        <v>7.6999999999999999E-2</v>
      </c>
      <c r="AC85" s="32">
        <v>4.4999999999999998E-2</v>
      </c>
      <c r="AD85" s="32">
        <v>0.14699999999999999</v>
      </c>
      <c r="AE85" s="32">
        <v>0.14699999999999999</v>
      </c>
      <c r="AF85" s="32">
        <v>0.11600000000000001</v>
      </c>
      <c r="AG85" s="32">
        <v>0.03</v>
      </c>
      <c r="AH85" s="32">
        <v>0.04</v>
      </c>
      <c r="AI85" s="32">
        <v>2.3410000000000002</v>
      </c>
      <c r="AJ85" s="32">
        <v>162.08000000000001</v>
      </c>
      <c r="AK85" s="32">
        <v>286.03199999999998</v>
      </c>
      <c r="AL85" s="32">
        <v>191.62</v>
      </c>
      <c r="AM85" s="32">
        <v>152.679</v>
      </c>
      <c r="AN85" s="32">
        <v>538.49800000000005</v>
      </c>
      <c r="AO85" s="32">
        <v>192.31</v>
      </c>
      <c r="AP85" s="32">
        <v>464.94900000000001</v>
      </c>
      <c r="AQ85" s="32">
        <v>163.31299999999999</v>
      </c>
      <c r="AR85" s="32">
        <v>5.8570000000000002</v>
      </c>
      <c r="AS85" s="32">
        <v>20.824999999999999</v>
      </c>
      <c r="AT85" s="32">
        <v>22.079000000000001</v>
      </c>
      <c r="AU85" s="32">
        <v>24.731000000000002</v>
      </c>
      <c r="AV85" s="108">
        <f t="shared" si="33"/>
        <v>33.208079015601669</v>
      </c>
      <c r="AW85" s="108">
        <f t="shared" si="33"/>
        <v>51.068872511667088</v>
      </c>
      <c r="AX85" s="108">
        <f t="shared" si="34"/>
        <v>152.26704698120693</v>
      </c>
      <c r="AY85" s="108">
        <f t="shared" si="35"/>
        <v>315.28918878118117</v>
      </c>
      <c r="AZ85" s="108">
        <f t="shared" si="35"/>
        <v>413.62125543163194</v>
      </c>
      <c r="BA85" s="108">
        <f t="shared" si="35"/>
        <v>560.15047567680165</v>
      </c>
    </row>
    <row r="86" spans="1:53" ht="15.75">
      <c r="A86" s="93" t="s">
        <v>76</v>
      </c>
      <c r="U86" s="32"/>
      <c r="V86" s="32">
        <v>0.38400000000000001</v>
      </c>
      <c r="W86" s="32">
        <v>6.9000000000000006E-2</v>
      </c>
      <c r="X86" s="32">
        <v>5.1999999999999998E-2</v>
      </c>
      <c r="Y86" s="32">
        <v>0.2</v>
      </c>
      <c r="Z86" s="32">
        <v>0.35</v>
      </c>
      <c r="AA86" s="32">
        <v>0.245</v>
      </c>
      <c r="AB86" s="32">
        <v>0.32500000000000001</v>
      </c>
      <c r="AC86" s="32">
        <v>0.11</v>
      </c>
      <c r="AD86" s="32">
        <v>6.8000000000000005E-2</v>
      </c>
      <c r="AE86" s="32">
        <v>0.03</v>
      </c>
      <c r="AF86" s="32">
        <v>0.03</v>
      </c>
      <c r="AG86" s="32">
        <v>0.03</v>
      </c>
      <c r="AH86" s="32">
        <v>1.4999999999999999E-2</v>
      </c>
      <c r="AI86" s="32">
        <v>0.16500000000000001</v>
      </c>
      <c r="AJ86" s="32">
        <v>201.40600000000001</v>
      </c>
      <c r="AK86" s="32">
        <v>246.72300000000001</v>
      </c>
      <c r="AL86" s="32">
        <v>181.37</v>
      </c>
      <c r="AM86" s="32">
        <v>100.03100000000001</v>
      </c>
      <c r="AN86" s="32">
        <v>515.76</v>
      </c>
      <c r="AO86" s="32">
        <v>26.21</v>
      </c>
      <c r="AP86" s="32">
        <v>419.89600000000002</v>
      </c>
      <c r="AQ86" s="32">
        <v>69.966999999999999</v>
      </c>
      <c r="AR86" s="32">
        <v>5.9930000000000003</v>
      </c>
      <c r="AS86" s="32">
        <v>17.765999999999998</v>
      </c>
      <c r="AT86" s="32">
        <v>19.091999999999999</v>
      </c>
      <c r="AU86" s="32">
        <v>22.678000000000001</v>
      </c>
      <c r="AV86" s="108">
        <f t="shared" si="33"/>
        <v>26.129701065868112</v>
      </c>
      <c r="AW86" s="108">
        <f t="shared" si="33"/>
        <v>29.220784822283509</v>
      </c>
      <c r="AX86" s="108">
        <f t="shared" si="34"/>
        <v>130.80215000958165</v>
      </c>
      <c r="AY86" s="108">
        <f t="shared" si="35"/>
        <v>238.4438260020238</v>
      </c>
      <c r="AZ86" s="108">
        <f t="shared" si="35"/>
        <v>332.70625188826216</v>
      </c>
      <c r="BA86" s="108">
        <f t="shared" si="35"/>
        <v>434.54138865091625</v>
      </c>
    </row>
    <row r="87" spans="1:53" ht="15.75">
      <c r="A87" s="93" t="s">
        <v>77</v>
      </c>
      <c r="U87" s="32">
        <v>0.03</v>
      </c>
      <c r="V87" s="32">
        <v>0</v>
      </c>
      <c r="W87" s="32">
        <v>0.14000000000000001</v>
      </c>
      <c r="X87" s="32">
        <v>0</v>
      </c>
      <c r="Y87" s="32">
        <v>0.1</v>
      </c>
      <c r="Z87" s="32">
        <v>3.5999999999999997E-2</v>
      </c>
      <c r="AA87" s="32">
        <v>0</v>
      </c>
      <c r="AB87" s="32">
        <v>0.14299999999999999</v>
      </c>
      <c r="AC87" s="32">
        <v>0.10199999999999999</v>
      </c>
      <c r="AD87" s="32">
        <v>1.4999999999999999E-2</v>
      </c>
      <c r="AE87" s="32">
        <v>4.1000000000000002E-2</v>
      </c>
      <c r="AF87" s="32">
        <v>4.5999999999999999E-2</v>
      </c>
      <c r="AG87" s="32">
        <v>0.55500000000000005</v>
      </c>
      <c r="AH87" s="32">
        <v>0.20899999999999999</v>
      </c>
      <c r="AI87" s="32">
        <v>2.8719999999999999</v>
      </c>
      <c r="AJ87" s="32">
        <v>142.952</v>
      </c>
      <c r="AK87" s="32">
        <v>196.19300000000001</v>
      </c>
      <c r="AL87" s="32">
        <v>79.087000000000003</v>
      </c>
      <c r="AM87" s="32">
        <v>95.846000000000004</v>
      </c>
      <c r="AN87" s="32">
        <v>575.46199999999999</v>
      </c>
      <c r="AO87" s="32">
        <v>67.474999999999994</v>
      </c>
      <c r="AP87" s="32">
        <v>290.65300000000002</v>
      </c>
      <c r="AQ87" s="32">
        <v>36.011000000000003</v>
      </c>
      <c r="AR87" s="32">
        <v>8.5419999999999998</v>
      </c>
      <c r="AS87" s="32">
        <v>10.166</v>
      </c>
      <c r="AT87" s="32">
        <v>4.55</v>
      </c>
      <c r="AU87" s="32">
        <v>24.861000000000001</v>
      </c>
      <c r="AV87" s="108">
        <f t="shared" si="33"/>
        <v>17.163726232782889</v>
      </c>
      <c r="AW87" s="108">
        <f t="shared" si="33"/>
        <v>18.143300371219162</v>
      </c>
      <c r="AX87" s="108">
        <f t="shared" si="34"/>
        <v>93.162142278216479</v>
      </c>
      <c r="AY87" s="108">
        <f t="shared" si="35"/>
        <v>155.41979260536388</v>
      </c>
      <c r="AZ87" s="108">
        <f t="shared" si="35"/>
        <v>230.4629333080259</v>
      </c>
      <c r="BA87" s="108">
        <f t="shared" si="35"/>
        <v>299.96042349674747</v>
      </c>
    </row>
    <row r="88" spans="1:53" ht="15.75">
      <c r="A88" s="93" t="s">
        <v>78</v>
      </c>
      <c r="U88" s="32">
        <v>0</v>
      </c>
      <c r="V88" s="32">
        <v>0.192</v>
      </c>
      <c r="W88" s="32">
        <v>9.1999999999999998E-2</v>
      </c>
      <c r="X88" s="32">
        <v>7.4999999999999997E-2</v>
      </c>
      <c r="Y88" s="32">
        <v>0</v>
      </c>
      <c r="Z88" s="32">
        <v>0.17499999999999999</v>
      </c>
      <c r="AA88" s="32">
        <v>2.9000000000000001E-2</v>
      </c>
      <c r="AB88" s="32">
        <v>0.126</v>
      </c>
      <c r="AC88" s="32">
        <v>2.5000000000000001E-2</v>
      </c>
      <c r="AD88" s="32">
        <v>2.5000000000000001E-2</v>
      </c>
      <c r="AE88" s="32">
        <v>1.4999999999999999E-2</v>
      </c>
      <c r="AF88" s="32">
        <v>4.4999999999999998E-2</v>
      </c>
      <c r="AG88" s="32">
        <v>1.4999999999999999E-2</v>
      </c>
      <c r="AH88" s="32">
        <v>1.4999999999999999E-2</v>
      </c>
      <c r="AI88" s="32">
        <v>0.04</v>
      </c>
      <c r="AJ88" s="32">
        <v>105.461</v>
      </c>
      <c r="AK88" s="32">
        <v>122.479</v>
      </c>
      <c r="AL88" s="32">
        <v>125.185</v>
      </c>
      <c r="AM88" s="32">
        <v>83.432000000000002</v>
      </c>
      <c r="AN88" s="32">
        <v>379.15100000000001</v>
      </c>
      <c r="AO88" s="32">
        <v>80.266000000000005</v>
      </c>
      <c r="AP88" s="32">
        <v>180.83699999999999</v>
      </c>
      <c r="AQ88" s="32">
        <v>68.86</v>
      </c>
      <c r="AR88" s="32">
        <v>3.657</v>
      </c>
      <c r="AS88" s="32">
        <v>3.4670000000000001</v>
      </c>
      <c r="AT88" s="32">
        <v>2.96</v>
      </c>
      <c r="AU88" s="32">
        <v>14.824</v>
      </c>
      <c r="AV88" s="108">
        <f t="shared" si="33"/>
        <v>12.742296753215205</v>
      </c>
      <c r="AW88" s="108">
        <f t="shared" si="33"/>
        <v>20.221811353957897</v>
      </c>
      <c r="AX88" s="108">
        <f t="shared" si="34"/>
        <v>53.729102709848412</v>
      </c>
      <c r="AY88" s="108">
        <f t="shared" si="35"/>
        <v>112.52200556271777</v>
      </c>
      <c r="AZ88" s="108">
        <f t="shared" si="35"/>
        <v>152.50885934062123</v>
      </c>
      <c r="BA88" s="108">
        <f t="shared" si="35"/>
        <v>207.94591740462698</v>
      </c>
    </row>
    <row r="89" spans="1:53" ht="15.75">
      <c r="A89" s="93" t="s">
        <v>79</v>
      </c>
      <c r="U89" s="32">
        <v>0.03</v>
      </c>
      <c r="V89" s="32">
        <v>0</v>
      </c>
      <c r="W89" s="32">
        <v>0.05</v>
      </c>
      <c r="X89" s="32">
        <v>0.15</v>
      </c>
      <c r="Y89" s="32">
        <v>0.13400000000000001</v>
      </c>
      <c r="Z89" s="32">
        <v>4.1000000000000002E-2</v>
      </c>
      <c r="AA89" s="32">
        <v>1.7999999999999999E-2</v>
      </c>
      <c r="AB89" s="32">
        <v>0.16700000000000001</v>
      </c>
      <c r="AC89" s="32">
        <v>1.4999999999999999E-2</v>
      </c>
      <c r="AD89" s="32">
        <v>0.03</v>
      </c>
      <c r="AE89" s="32">
        <v>4.4999999999999998E-2</v>
      </c>
      <c r="AF89" s="32">
        <v>0.03</v>
      </c>
      <c r="AG89" s="32">
        <v>8.1000000000000003E-2</v>
      </c>
      <c r="AH89" s="32">
        <v>0.24199999999999999</v>
      </c>
      <c r="AI89" s="32">
        <v>1.0609999999999999</v>
      </c>
      <c r="AJ89" s="32">
        <v>194.601</v>
      </c>
      <c r="AK89" s="32">
        <v>173.83</v>
      </c>
      <c r="AL89" s="32">
        <v>204.28100000000001</v>
      </c>
      <c r="AM89" s="32">
        <v>149.58799999999999</v>
      </c>
      <c r="AN89" s="32">
        <v>436.53100000000001</v>
      </c>
      <c r="AO89" s="32">
        <v>243.334</v>
      </c>
      <c r="AP89" s="32">
        <v>373.08600000000001</v>
      </c>
      <c r="AQ89" s="32">
        <v>89.760999999999996</v>
      </c>
      <c r="AR89" s="32">
        <v>12.894</v>
      </c>
      <c r="AS89" s="32">
        <v>1.921</v>
      </c>
      <c r="AT89" s="32">
        <v>3.6379999999999999</v>
      </c>
      <c r="AU89" s="32">
        <v>29.5</v>
      </c>
      <c r="AV89" s="108">
        <f t="shared" si="33"/>
        <v>23.6078367060042</v>
      </c>
      <c r="AW89" s="108">
        <f t="shared" si="33"/>
        <v>29.699114077286051</v>
      </c>
      <c r="AX89" s="108">
        <f t="shared" si="34"/>
        <v>102.12136097044836</v>
      </c>
      <c r="AY89" s="108">
        <f t="shared" si="35"/>
        <v>183.40116533451445</v>
      </c>
      <c r="AZ89" s="108">
        <f t="shared" si="35"/>
        <v>275.25651661965475</v>
      </c>
      <c r="BA89" s="108">
        <f t="shared" si="35"/>
        <v>357.84382093978496</v>
      </c>
    </row>
    <row r="90" spans="1:53" ht="15.75">
      <c r="A90" s="93" t="s">
        <v>80</v>
      </c>
      <c r="U90" s="32">
        <v>0</v>
      </c>
      <c r="V90" s="32">
        <v>0</v>
      </c>
      <c r="W90" s="32">
        <v>0.109</v>
      </c>
      <c r="X90" s="32">
        <v>0.01</v>
      </c>
      <c r="Y90" s="32">
        <v>8.5999999999999993E-2</v>
      </c>
      <c r="Z90" s="32">
        <v>2.5000000000000001E-2</v>
      </c>
      <c r="AA90" s="32">
        <v>0.03</v>
      </c>
      <c r="AB90" s="32">
        <v>0.107</v>
      </c>
      <c r="AC90" s="32">
        <v>0.03</v>
      </c>
      <c r="AD90" s="32">
        <v>0.11799999999999999</v>
      </c>
      <c r="AE90" s="32">
        <v>7.4999999999999997E-2</v>
      </c>
      <c r="AF90" s="32">
        <v>4.1000000000000002E-2</v>
      </c>
      <c r="AG90" s="32">
        <v>4.4999999999999998E-2</v>
      </c>
      <c r="AH90" s="32">
        <v>9.1999999999999998E-2</v>
      </c>
      <c r="AI90" s="32">
        <v>0.75800000000000001</v>
      </c>
      <c r="AJ90" s="32">
        <v>171.7</v>
      </c>
      <c r="AK90" s="32">
        <v>86.192999999999998</v>
      </c>
      <c r="AL90" s="32">
        <v>210.114</v>
      </c>
      <c r="AM90" s="32">
        <v>174.32300000000001</v>
      </c>
      <c r="AN90" s="32">
        <v>613.678</v>
      </c>
      <c r="AO90" s="32">
        <v>605.43799999999999</v>
      </c>
      <c r="AP90" s="32">
        <v>263.03100000000001</v>
      </c>
      <c r="AQ90" s="32">
        <v>51.523000000000003</v>
      </c>
      <c r="AR90" s="32">
        <v>7.2370000000000001</v>
      </c>
      <c r="AS90" s="32">
        <v>3.0329999999999999</v>
      </c>
      <c r="AT90" s="32">
        <v>8.4000000000000005E-2</v>
      </c>
      <c r="AU90" s="32">
        <v>15.795999999999999</v>
      </c>
      <c r="AV90" s="108">
        <f t="shared" si="33"/>
        <v>15.936785806096854</v>
      </c>
      <c r="AW90" s="108">
        <f t="shared" si="33"/>
        <v>16.750797215425006</v>
      </c>
      <c r="AX90" s="108">
        <f t="shared" si="34"/>
        <v>60.060223485756779</v>
      </c>
      <c r="AY90" s="108">
        <f t="shared" si="35"/>
        <v>107.09562873709282</v>
      </c>
      <c r="AZ90" s="108">
        <f t="shared" si="35"/>
        <v>158.56762191051635</v>
      </c>
      <c r="BA90" s="108">
        <f t="shared" si="35"/>
        <v>209.50058101012138</v>
      </c>
    </row>
    <row r="91" spans="1:53" ht="15.75">
      <c r="A91" s="93" t="s">
        <v>81</v>
      </c>
      <c r="U91" s="32">
        <v>0</v>
      </c>
      <c r="V91" s="32">
        <v>0</v>
      </c>
      <c r="W91" s="32">
        <v>0.128</v>
      </c>
      <c r="X91" s="32">
        <v>6.4000000000000001E-2</v>
      </c>
      <c r="Y91" s="32">
        <v>0.126</v>
      </c>
      <c r="Z91" s="32">
        <v>3.0000000000000001E-3</v>
      </c>
      <c r="AA91" s="32">
        <v>1.4999999999999999E-2</v>
      </c>
      <c r="AB91" s="32">
        <v>0.51200000000000001</v>
      </c>
      <c r="AC91" s="32">
        <v>2.5000000000000001E-2</v>
      </c>
      <c r="AD91" s="32">
        <v>1.4999999999999999E-2</v>
      </c>
      <c r="AE91" s="32">
        <v>0.03</v>
      </c>
      <c r="AF91" s="32">
        <v>7.3999999999999996E-2</v>
      </c>
      <c r="AG91" s="32">
        <v>0.128</v>
      </c>
      <c r="AH91" s="32">
        <v>0.33700000000000002</v>
      </c>
      <c r="AI91" s="32">
        <v>3.1549999999999998</v>
      </c>
      <c r="AJ91" s="32">
        <v>240.14500000000001</v>
      </c>
      <c r="AK91" s="32">
        <v>66.025999999999996</v>
      </c>
      <c r="AL91" s="32">
        <v>294.70400000000001</v>
      </c>
      <c r="AM91" s="32">
        <v>228.81</v>
      </c>
      <c r="AN91" s="32">
        <v>645.64800000000002</v>
      </c>
      <c r="AO91" s="32">
        <v>485.66800000000001</v>
      </c>
      <c r="AP91" s="32">
        <v>197.00700000000001</v>
      </c>
      <c r="AQ91" s="32">
        <v>56.654000000000003</v>
      </c>
      <c r="AR91" s="32">
        <v>5.75</v>
      </c>
      <c r="AS91" s="32">
        <v>5.7850000000000001</v>
      </c>
      <c r="AT91" s="32">
        <v>3.0139999999999998</v>
      </c>
      <c r="AU91" s="32">
        <v>20.024000000000001</v>
      </c>
      <c r="AV91" s="108">
        <f t="shared" si="33"/>
        <v>13.15574045900143</v>
      </c>
      <c r="AW91" s="108">
        <f t="shared" si="33"/>
        <v>19.673824592478429</v>
      </c>
      <c r="AX91" s="108">
        <f t="shared" si="34"/>
        <v>68.111611845778938</v>
      </c>
      <c r="AY91" s="108">
        <f t="shared" si="35"/>
        <v>127.95824835329577</v>
      </c>
      <c r="AZ91" s="108">
        <f t="shared" si="35"/>
        <v>180.97652782581315</v>
      </c>
      <c r="BA91" s="108">
        <f t="shared" si="35"/>
        <v>241.83703763610137</v>
      </c>
    </row>
    <row r="92" spans="1:53" ht="15.75">
      <c r="A92" s="93" t="s">
        <v>82</v>
      </c>
      <c r="U92" s="32">
        <v>0</v>
      </c>
      <c r="V92" s="32">
        <v>1.4999999999999999E-2</v>
      </c>
      <c r="W92" s="32">
        <v>0.23899999999999999</v>
      </c>
      <c r="X92" s="32">
        <v>0.13500000000000001</v>
      </c>
      <c r="Y92" s="32">
        <v>0</v>
      </c>
      <c r="Z92" s="32">
        <v>0</v>
      </c>
      <c r="AA92" s="32">
        <v>1.4999999999999999E-2</v>
      </c>
      <c r="AB92" s="32">
        <v>0.185</v>
      </c>
      <c r="AC92" s="32">
        <v>0.09</v>
      </c>
      <c r="AD92" s="32">
        <v>7.0000000000000007E-2</v>
      </c>
      <c r="AE92" s="32">
        <v>0.123</v>
      </c>
      <c r="AF92" s="32">
        <v>5.6000000000000001E-2</v>
      </c>
      <c r="AG92" s="32">
        <v>9.5000000000000001E-2</v>
      </c>
      <c r="AH92" s="32">
        <v>0.03</v>
      </c>
      <c r="AI92" s="32">
        <v>7.8659999999999997</v>
      </c>
      <c r="AJ92" s="32">
        <v>291.41000000000003</v>
      </c>
      <c r="AK92" s="32">
        <v>81.506</v>
      </c>
      <c r="AL92" s="32">
        <v>259.64999999999998</v>
      </c>
      <c r="AM92" s="32">
        <v>259.66800000000001</v>
      </c>
      <c r="AN92" s="32">
        <v>598.24699999999996</v>
      </c>
      <c r="AO92" s="32">
        <v>959.93499999999995</v>
      </c>
      <c r="AP92" s="32">
        <v>235.59200000000001</v>
      </c>
      <c r="AQ92" s="32">
        <v>39.386000000000003</v>
      </c>
      <c r="AR92" s="32">
        <v>12.897</v>
      </c>
      <c r="AS92" s="32">
        <v>11.686999999999999</v>
      </c>
      <c r="AT92" s="32">
        <v>4.5960000000000001</v>
      </c>
      <c r="AU92" s="32">
        <v>15.284000000000001</v>
      </c>
      <c r="AV92" s="108">
        <f t="shared" si="33"/>
        <v>14.918995214678635</v>
      </c>
      <c r="AW92" s="108">
        <f t="shared" si="33"/>
        <v>18.08291615507817</v>
      </c>
      <c r="AX92" s="108">
        <f t="shared" si="34"/>
        <v>84.742892466988039</v>
      </c>
      <c r="AY92" s="108">
        <f t="shared" si="35"/>
        <v>134.01104706761859</v>
      </c>
      <c r="AZ92" s="108">
        <f t="shared" si="35"/>
        <v>200.89550329667838</v>
      </c>
      <c r="BA92" s="108">
        <f t="shared" si="35"/>
        <v>259.4377222975063</v>
      </c>
    </row>
    <row r="93" spans="1:53" ht="15.75">
      <c r="A93" s="93" t="s">
        <v>83</v>
      </c>
      <c r="U93" s="32">
        <v>0.33</v>
      </c>
      <c r="V93" s="32">
        <v>0</v>
      </c>
      <c r="W93" s="32">
        <v>0.14299999999999999</v>
      </c>
      <c r="X93" s="32">
        <v>0.29599999999999999</v>
      </c>
      <c r="Y93" s="32">
        <v>0</v>
      </c>
      <c r="Z93" s="32">
        <v>1.2E-2</v>
      </c>
      <c r="AA93" s="32">
        <v>1.0999999999999999E-2</v>
      </c>
      <c r="AB93" s="32">
        <v>1.4999999999999999E-2</v>
      </c>
      <c r="AC93" s="32">
        <v>0.04</v>
      </c>
      <c r="AD93" s="32">
        <v>0.1</v>
      </c>
      <c r="AE93" s="32">
        <v>4.4999999999999998E-2</v>
      </c>
      <c r="AF93" s="32">
        <v>0.121</v>
      </c>
      <c r="AG93" s="32">
        <v>7.4999999999999997E-2</v>
      </c>
      <c r="AH93" s="32">
        <v>5.6000000000000001E-2</v>
      </c>
      <c r="AI93" s="32">
        <v>12.673</v>
      </c>
      <c r="AJ93" s="32">
        <v>422.36700000000002</v>
      </c>
      <c r="AK93" s="32">
        <v>112.384</v>
      </c>
      <c r="AL93" s="32">
        <v>296.15699999999998</v>
      </c>
      <c r="AM93" s="32">
        <v>369.096</v>
      </c>
      <c r="AN93" s="32">
        <v>661.09900000000005</v>
      </c>
      <c r="AO93" s="32">
        <v>1106.7</v>
      </c>
      <c r="AP93" s="32">
        <v>377.73700000000002</v>
      </c>
      <c r="AQ93" s="32">
        <v>20.818000000000001</v>
      </c>
      <c r="AR93" s="32">
        <v>13.365</v>
      </c>
      <c r="AS93" s="32">
        <v>8.2899999999999991</v>
      </c>
      <c r="AT93" s="32">
        <v>12.27</v>
      </c>
      <c r="AU93" s="32">
        <v>18.224</v>
      </c>
      <c r="AV93" s="108">
        <f t="shared" si="33"/>
        <v>21.213208432604816</v>
      </c>
      <c r="AW93" s="108">
        <f t="shared" si="33"/>
        <v>15.735911068426821</v>
      </c>
      <c r="AX93" s="108">
        <f t="shared" si="34"/>
        <v>104.69202029755914</v>
      </c>
      <c r="AY93" s="108">
        <f t="shared" si="35"/>
        <v>157.18206218331912</v>
      </c>
      <c r="AZ93" s="108">
        <f t="shared" si="35"/>
        <v>251.27138844756027</v>
      </c>
      <c r="BA93" s="108">
        <f t="shared" si="35"/>
        <v>308.021456963898</v>
      </c>
    </row>
    <row r="94" spans="1:53" ht="15.75">
      <c r="A94" s="93" t="s">
        <v>84</v>
      </c>
      <c r="U94" s="32">
        <v>1.82</v>
      </c>
      <c r="V94" s="32">
        <v>0</v>
      </c>
      <c r="W94" s="32">
        <v>8.1000000000000003E-2</v>
      </c>
      <c r="X94" s="32">
        <v>0</v>
      </c>
      <c r="Y94" s="32">
        <v>1.7000000000000001E-2</v>
      </c>
      <c r="Z94" s="32">
        <v>0.24399999999999999</v>
      </c>
      <c r="AA94" s="32">
        <v>0.16900000000000001</v>
      </c>
      <c r="AB94" s="32">
        <v>9.0999999999999998E-2</v>
      </c>
      <c r="AC94" s="32">
        <v>1.4999999999999999E-2</v>
      </c>
      <c r="AD94" s="32">
        <v>2.3E-2</v>
      </c>
      <c r="AE94" s="32">
        <v>6.0999999999999999E-2</v>
      </c>
      <c r="AF94" s="32">
        <v>7.6999999999999999E-2</v>
      </c>
      <c r="AG94" s="32">
        <v>2.5000000000000001E-2</v>
      </c>
      <c r="AH94" s="32">
        <v>0.39200000000000002</v>
      </c>
      <c r="AI94" s="32">
        <v>16.212</v>
      </c>
      <c r="AJ94" s="32">
        <v>322.19400000000002</v>
      </c>
      <c r="AK94" s="32">
        <v>134.65299999999999</v>
      </c>
      <c r="AL94" s="32">
        <v>279.88900000000001</v>
      </c>
      <c r="AM94" s="32">
        <v>465.76400000000001</v>
      </c>
      <c r="AN94" s="32">
        <v>629.31100000000004</v>
      </c>
      <c r="AO94" s="32">
        <v>793.524</v>
      </c>
      <c r="AP94" s="32">
        <v>508.24</v>
      </c>
      <c r="AQ94" s="32">
        <v>8.1609999999999996</v>
      </c>
      <c r="AR94" s="32">
        <v>9.2929999999999993</v>
      </c>
      <c r="AS94" s="32">
        <v>17.803999999999998</v>
      </c>
      <c r="AT94" s="32">
        <v>15.343999999999999</v>
      </c>
      <c r="AU94" s="32">
        <v>12.08</v>
      </c>
      <c r="AV94" s="108">
        <f>SUM(AP94:AT94)/SUM(AP$96:AT$96)*AV$96</f>
        <v>27.411283358522336</v>
      </c>
      <c r="AW94" s="108">
        <f>SUM(AQ94:AU94)/SUM(AQ$96:AU$96)*AW$96</f>
        <v>13.517869414819437</v>
      </c>
      <c r="AX94" s="108">
        <f t="shared" si="34"/>
        <v>116.92200188160592</v>
      </c>
      <c r="AY94" s="108">
        <f t="shared" si="35"/>
        <v>178.81686419338183</v>
      </c>
      <c r="AZ94" s="108">
        <f t="shared" si="35"/>
        <v>270.45230514499684</v>
      </c>
      <c r="BA94" s="108">
        <f t="shared" si="35"/>
        <v>338.81981044912271</v>
      </c>
    </row>
    <row r="95" spans="1:53" ht="15.75">
      <c r="A95" s="93" t="s">
        <v>73</v>
      </c>
      <c r="U95" s="32">
        <v>0.252</v>
      </c>
      <c r="V95" s="32">
        <v>4.0000000000000001E-3</v>
      </c>
      <c r="W95" s="32">
        <v>0.115</v>
      </c>
      <c r="X95" s="32">
        <v>0.19600000000000001</v>
      </c>
      <c r="Y95" s="32">
        <v>1.7999999999999999E-2</v>
      </c>
      <c r="Z95" s="32">
        <v>0.28399999999999997</v>
      </c>
      <c r="AA95" s="32">
        <v>9.1999999999999998E-2</v>
      </c>
      <c r="AB95" s="32">
        <v>8.5999999999999993E-2</v>
      </c>
      <c r="AC95" s="32">
        <v>0.183</v>
      </c>
      <c r="AD95" s="32">
        <v>9.9000000000000005E-2</v>
      </c>
      <c r="AE95" s="32">
        <v>0.03</v>
      </c>
      <c r="AF95" s="32">
        <v>0.03</v>
      </c>
      <c r="AG95" s="32">
        <v>0.56499999999999995</v>
      </c>
      <c r="AH95" s="32">
        <v>1.798</v>
      </c>
      <c r="AI95" s="32">
        <v>110.77800000000001</v>
      </c>
      <c r="AJ95" s="32">
        <v>455.41800000000001</v>
      </c>
      <c r="AK95" s="32">
        <v>175.80799999999999</v>
      </c>
      <c r="AL95" s="32">
        <v>232.28399999999999</v>
      </c>
      <c r="AM95" s="32">
        <v>605.15300000000002</v>
      </c>
      <c r="AN95" s="32">
        <v>539.43100000000004</v>
      </c>
      <c r="AO95" s="32">
        <v>933.53700000000003</v>
      </c>
      <c r="AP95" s="32">
        <v>272.24</v>
      </c>
      <c r="AQ95" s="32">
        <v>4.2380000000000004</v>
      </c>
      <c r="AR95" s="32">
        <v>13.773</v>
      </c>
      <c r="AS95" s="32">
        <v>24.850999999999999</v>
      </c>
      <c r="AT95" s="32">
        <v>34.619999999999997</v>
      </c>
      <c r="AU95" s="108">
        <f>AU96-SUM(AU84:AU94)</f>
        <v>11.26600000000002</v>
      </c>
      <c r="AV95" s="108">
        <f>AV96-SUM(AV84:AV94)</f>
        <v>17.153916202986068</v>
      </c>
      <c r="AW95" s="108">
        <f>AW96-SUM(AW84:AW94)</f>
        <v>19.139208621715852</v>
      </c>
      <c r="AX95" s="108">
        <f t="shared" ref="AX95:BA95" si="36">AX96-SUM(AX84:AX94)</f>
        <v>145.08015783671613</v>
      </c>
      <c r="AY95" s="108">
        <f t="shared" si="36"/>
        <v>222.13815892603679</v>
      </c>
      <c r="AZ95" s="108">
        <f t="shared" si="36"/>
        <v>331.73793310736073</v>
      </c>
      <c r="BA95" s="108">
        <f t="shared" si="36"/>
        <v>402.96949815319886</v>
      </c>
    </row>
    <row r="96" spans="1:53" ht="16.5" thickBot="1">
      <c r="A96" s="93" t="s">
        <v>85</v>
      </c>
      <c r="U96" s="32"/>
      <c r="V96" s="32">
        <f t="shared" ref="V96:AS96" si="37">SUM(V84:V95)</f>
        <v>0.75800000000000012</v>
      </c>
      <c r="W96" s="32">
        <f t="shared" si="37"/>
        <v>1.226</v>
      </c>
      <c r="X96" s="32">
        <f t="shared" si="37"/>
        <v>1.075</v>
      </c>
      <c r="Y96" s="32">
        <f t="shared" si="37"/>
        <v>0.71500000000000008</v>
      </c>
      <c r="Z96" s="32">
        <f t="shared" si="37"/>
        <v>1.1879999999999999</v>
      </c>
      <c r="AA96" s="32">
        <f t="shared" si="37"/>
        <v>0.97400000000000009</v>
      </c>
      <c r="AB96" s="32">
        <f t="shared" si="37"/>
        <v>2.0680000000000001</v>
      </c>
      <c r="AC96" s="32">
        <f t="shared" si="37"/>
        <v>0.74500000000000011</v>
      </c>
      <c r="AD96" s="32">
        <f t="shared" si="37"/>
        <v>0.71000000000000008</v>
      </c>
      <c r="AE96" s="32">
        <f t="shared" si="37"/>
        <v>0.75500000000000012</v>
      </c>
      <c r="AF96" s="32">
        <f t="shared" si="37"/>
        <v>0.69599999999999995</v>
      </c>
      <c r="AG96" s="32">
        <f t="shared" si="37"/>
        <v>1.6849999999999998</v>
      </c>
      <c r="AH96" s="32">
        <f t="shared" si="37"/>
        <v>3.7410000000000001</v>
      </c>
      <c r="AI96" s="32">
        <f t="shared" si="37"/>
        <v>158.98500000000001</v>
      </c>
      <c r="AJ96" s="32">
        <f t="shared" si="37"/>
        <v>2845.9970000000003</v>
      </c>
      <c r="AK96" s="32">
        <f t="shared" si="37"/>
        <v>1967.028</v>
      </c>
      <c r="AL96" s="32">
        <f t="shared" si="37"/>
        <v>2518.1529999999998</v>
      </c>
      <c r="AM96" s="32">
        <f t="shared" si="37"/>
        <v>2832.3990000000003</v>
      </c>
      <c r="AN96" s="32">
        <f t="shared" si="37"/>
        <v>6648.41</v>
      </c>
      <c r="AO96" s="32">
        <f t="shared" si="37"/>
        <v>5612.2240000000011</v>
      </c>
      <c r="AP96" s="32">
        <f t="shared" si="37"/>
        <v>4243.4610000000002</v>
      </c>
      <c r="AQ96" s="32">
        <f t="shared" si="37"/>
        <v>743.62599999999998</v>
      </c>
      <c r="AR96" s="32">
        <f t="shared" si="37"/>
        <v>102.785</v>
      </c>
      <c r="AS96" s="32">
        <f t="shared" si="37"/>
        <v>147.494</v>
      </c>
      <c r="AT96" s="32">
        <f>SUM(AT84:AT95)</f>
        <v>134.68699999999998</v>
      </c>
      <c r="AU96" s="108">
        <v>262.5</v>
      </c>
      <c r="AV96" s="108">
        <f>AV64*1000</f>
        <v>263.5</v>
      </c>
      <c r="AW96" s="108">
        <f>AW64*1000</f>
        <v>300</v>
      </c>
      <c r="AX96" s="108">
        <f t="shared" ref="AX96:BA96" si="38">AX64*1000</f>
        <v>1300</v>
      </c>
      <c r="AY96" s="108">
        <f t="shared" si="38"/>
        <v>2300</v>
      </c>
      <c r="AZ96" s="108">
        <f t="shared" si="38"/>
        <v>3300</v>
      </c>
      <c r="BA96" s="108">
        <f t="shared" si="38"/>
        <v>4300</v>
      </c>
    </row>
    <row r="97" spans="1:53" ht="15.7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98"/>
      <c r="BA97" s="9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2DE0-94C0-46CB-B34D-F3723FFF9DB3}">
  <sheetPr>
    <tabColor rgb="FF92D050"/>
  </sheetPr>
  <dimension ref="A1:BE59"/>
  <sheetViews>
    <sheetView zoomScale="80" zoomScaleNormal="80" workbookViewId="0">
      <pane xSplit="1" ySplit="2" topLeftCell="AK3" activePane="bottomRight" state="frozen"/>
      <selection activeCell="P12" sqref="P12"/>
      <selection pane="topRight" activeCell="P12" sqref="P12"/>
      <selection pane="bottomLeft" activeCell="P12" sqref="P12"/>
      <selection pane="bottomRight" activeCell="AK29" sqref="AK29"/>
    </sheetView>
  </sheetViews>
  <sheetFormatPr defaultColWidth="9.140625" defaultRowHeight="12.75"/>
  <cols>
    <col min="1" max="1" width="27.42578125" style="3" customWidth="1"/>
    <col min="2" max="36" width="8" style="3" hidden="1" customWidth="1"/>
    <col min="37" max="43" width="8" style="3" customWidth="1"/>
    <col min="44" max="44" width="8.42578125" style="3" bestFit="1" customWidth="1"/>
    <col min="45" max="52" width="10" style="3" customWidth="1"/>
    <col min="53" max="53" width="9.140625" style="3"/>
    <col min="54" max="54" width="15.42578125" style="3" bestFit="1" customWidth="1"/>
    <col min="55" max="16384" width="9.140625" style="3"/>
  </cols>
  <sheetData>
    <row r="1" spans="1:57" ht="18.75" thickBot="1">
      <c r="A1" s="64" t="s">
        <v>272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</row>
    <row r="2" spans="1:57" ht="17.25" thickBot="1">
      <c r="A2" s="65" t="s">
        <v>42</v>
      </c>
      <c r="B2" s="66" t="str">
        <f>Argentina!B2</f>
        <v>74/75</v>
      </c>
      <c r="C2" s="66" t="str">
        <f>Argentina!C2</f>
        <v xml:space="preserve">75/76 </v>
      </c>
      <c r="D2" s="66" t="str">
        <f>Argentina!D2</f>
        <v xml:space="preserve">76/77 </v>
      </c>
      <c r="E2" s="66" t="str">
        <f>Argentina!E2</f>
        <v xml:space="preserve">77/78 </v>
      </c>
      <c r="F2" s="66" t="str">
        <f>Argentina!F2</f>
        <v xml:space="preserve">78/79 </v>
      </c>
      <c r="G2" s="66" t="str">
        <f>Argentina!G2</f>
        <v xml:space="preserve">79/80 </v>
      </c>
      <c r="H2" s="66" t="str">
        <f>Argentina!H2</f>
        <v xml:space="preserve">80/81 </v>
      </c>
      <c r="I2" s="66" t="str">
        <f>Argentina!I2</f>
        <v xml:space="preserve">81/82 </v>
      </c>
      <c r="J2" s="66" t="str">
        <f>Argentina!J2</f>
        <v xml:space="preserve">82/83 </v>
      </c>
      <c r="K2" s="66" t="str">
        <f>Argentina!K2</f>
        <v xml:space="preserve">83/84 </v>
      </c>
      <c r="L2" s="66" t="str">
        <f>Argentina!L2</f>
        <v xml:space="preserve">84/85 </v>
      </c>
      <c r="M2" s="66" t="str">
        <f>Argentina!M2</f>
        <v xml:space="preserve">85/86 </v>
      </c>
      <c r="N2" s="66" t="str">
        <f>Argentina!N2</f>
        <v xml:space="preserve">86/87 </v>
      </c>
      <c r="O2" s="66" t="str">
        <f>Argentina!O2</f>
        <v xml:space="preserve">87/88 </v>
      </c>
      <c r="P2" s="66" t="str">
        <f>Argentina!P2</f>
        <v xml:space="preserve">88/89 </v>
      </c>
      <c r="Q2" s="66" t="str">
        <f>Argentina!Q2</f>
        <v xml:space="preserve">89/90 </v>
      </c>
      <c r="R2" s="66" t="str">
        <f>Argentina!R2</f>
        <v xml:space="preserve">90/91 </v>
      </c>
      <c r="S2" s="66" t="str">
        <f>Argentina!S2</f>
        <v xml:space="preserve">91/92 </v>
      </c>
      <c r="T2" s="66" t="str">
        <f>Argentina!T2</f>
        <v xml:space="preserve">92/93 </v>
      </c>
      <c r="U2" s="66" t="str">
        <f>Argentina!U2</f>
        <v xml:space="preserve">93/94 </v>
      </c>
      <c r="V2" s="66" t="str">
        <f>Argentina!V2</f>
        <v xml:space="preserve">94/95 </v>
      </c>
      <c r="W2" s="66" t="str">
        <f>Argentina!W2</f>
        <v xml:space="preserve">95/96 </v>
      </c>
      <c r="X2" s="66" t="str">
        <f>Argentina!X2</f>
        <v xml:space="preserve">96/97 </v>
      </c>
      <c r="Y2" s="66" t="str">
        <f>Argentina!Y2</f>
        <v xml:space="preserve">97/98 </v>
      </c>
      <c r="Z2" s="66" t="str">
        <f>Argentina!Z2</f>
        <v xml:space="preserve">98/99 </v>
      </c>
      <c r="AA2" s="66" t="str">
        <f>Argentina!AA2</f>
        <v xml:space="preserve">99/00 </v>
      </c>
      <c r="AB2" s="66" t="str">
        <f>Argentina!AB2</f>
        <v xml:space="preserve">00/01 </v>
      </c>
      <c r="AC2" s="66" t="str">
        <f>Argentina!AC2</f>
        <v xml:space="preserve">01/02 </v>
      </c>
      <c r="AD2" s="66" t="str">
        <f>Argentina!AD2</f>
        <v xml:space="preserve">02/03 </v>
      </c>
      <c r="AE2" s="66" t="str">
        <f>Argentina!AE2</f>
        <v xml:space="preserve">03/04 </v>
      </c>
      <c r="AF2" s="66" t="str">
        <f>Argentina!AF2</f>
        <v xml:space="preserve">04/05 </v>
      </c>
      <c r="AG2" s="66" t="str">
        <f>Argentina!AG2</f>
        <v xml:space="preserve">05/06 </v>
      </c>
      <c r="AH2" s="66" t="str">
        <f>Argentina!AH2</f>
        <v xml:space="preserve">06/07 </v>
      </c>
      <c r="AI2" s="66" t="str">
        <f>Argentina!AI2</f>
        <v xml:space="preserve">07/08 </v>
      </c>
      <c r="AJ2" s="66" t="str">
        <f>Argentina!AJ2</f>
        <v xml:space="preserve">08/09 </v>
      </c>
      <c r="AK2" s="215" t="s">
        <v>273</v>
      </c>
      <c r="AL2" s="215" t="s">
        <v>274</v>
      </c>
      <c r="AM2" s="66" t="s">
        <v>55</v>
      </c>
      <c r="AN2" s="66" t="s">
        <v>56</v>
      </c>
      <c r="AO2" s="66" t="s">
        <v>57</v>
      </c>
      <c r="AP2" s="66" t="s">
        <v>58</v>
      </c>
      <c r="AQ2" s="66" t="s">
        <v>59</v>
      </c>
      <c r="AR2" s="66" t="s">
        <v>60</v>
      </c>
      <c r="AS2" s="66" t="s">
        <v>61</v>
      </c>
      <c r="AT2" s="66" t="s">
        <v>62</v>
      </c>
      <c r="AU2" s="66" t="s">
        <v>63</v>
      </c>
      <c r="AV2" s="66" t="s">
        <v>64</v>
      </c>
      <c r="AW2" s="66" t="s">
        <v>65</v>
      </c>
      <c r="AX2" s="66" t="s">
        <v>2</v>
      </c>
      <c r="AY2" s="66" t="s">
        <v>3</v>
      </c>
      <c r="AZ2" s="66" t="s">
        <v>4</v>
      </c>
    </row>
    <row r="3" spans="1:57" ht="16.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8">
        <v>2010</v>
      </c>
      <c r="AL3" s="68">
        <v>2011</v>
      </c>
      <c r="AM3" s="68">
        <v>2012</v>
      </c>
      <c r="AN3" s="68">
        <v>2013</v>
      </c>
      <c r="AO3" s="68">
        <v>2014</v>
      </c>
      <c r="AP3" s="68">
        <v>2015</v>
      </c>
      <c r="AQ3" s="68">
        <v>2016</v>
      </c>
      <c r="AR3" s="68">
        <v>2017</v>
      </c>
      <c r="AS3" s="68">
        <v>2018</v>
      </c>
      <c r="AT3" s="68">
        <v>2019</v>
      </c>
      <c r="AU3" s="68">
        <v>2020</v>
      </c>
      <c r="AV3" s="68">
        <v>2021</v>
      </c>
      <c r="AW3" s="68">
        <v>2022</v>
      </c>
      <c r="AX3" s="68">
        <v>2023</v>
      </c>
      <c r="AY3" s="68">
        <v>2024</v>
      </c>
      <c r="AZ3" s="68">
        <v>2025</v>
      </c>
    </row>
    <row r="4" spans="1:57" ht="15.75">
      <c r="A4" s="69" t="s">
        <v>9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70">
        <v>8.3645663876865708</v>
      </c>
      <c r="AL4" s="70">
        <v>9.3126437952762444</v>
      </c>
      <c r="AM4" s="70">
        <v>9.8323075059836125</v>
      </c>
      <c r="AN4" s="70">
        <v>9.791427395231441</v>
      </c>
      <c r="AO4" s="70">
        <v>9.612064622523425</v>
      </c>
      <c r="AP4" s="199">
        <v>9.27489239125706</v>
      </c>
      <c r="AQ4" s="70">
        <v>8.5693053368107268</v>
      </c>
      <c r="AR4" s="70">
        <v>8.2954519013863219</v>
      </c>
      <c r="AS4" s="70">
        <v>8.2813114258894007</v>
      </c>
      <c r="AT4" s="70">
        <v>8.9374600297725273</v>
      </c>
      <c r="AU4" s="216">
        <v>9.2410073137006972</v>
      </c>
      <c r="AV4" s="216">
        <v>9.2727982373400426</v>
      </c>
      <c r="AW4" s="70">
        <v>8.8801734494441877</v>
      </c>
      <c r="AX4" s="70">
        <v>8.5495770066716403</v>
      </c>
      <c r="AY4" s="99">
        <v>8.8000000000000007</v>
      </c>
      <c r="AZ4" s="99">
        <f>FORECAST(AZ3,AP4:AY4,AP3:AY3)</f>
        <v>8.8698472301033355</v>
      </c>
      <c r="BB4" s="71"/>
    </row>
    <row r="5" spans="1:57" ht="15.75">
      <c r="A5" s="69" t="s">
        <v>10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70">
        <v>8.3349799999999998</v>
      </c>
      <c r="AL5" s="70">
        <v>9.2863600000000019</v>
      </c>
      <c r="AM5" s="70">
        <v>9.8283799999999992</v>
      </c>
      <c r="AN5" s="70">
        <v>9.7670500000000011</v>
      </c>
      <c r="AO5" s="70">
        <v>9.5872300000000017</v>
      </c>
      <c r="AP5" s="70">
        <v>9.2555599999999991</v>
      </c>
      <c r="AQ5" s="70">
        <v>8.563209999999998</v>
      </c>
      <c r="AR5" s="70">
        <v>8.2716499999999993</v>
      </c>
      <c r="AS5" s="70">
        <v>8.2594599999999989</v>
      </c>
      <c r="AT5" s="70">
        <v>8.9055099999999978</v>
      </c>
      <c r="AU5" s="70">
        <v>9.2151700000000005</v>
      </c>
      <c r="AV5" s="70">
        <v>9.2470199999999991</v>
      </c>
      <c r="AW5" s="70">
        <v>8.8387200000000004</v>
      </c>
      <c r="AX5" s="70">
        <v>8.3827400000000001</v>
      </c>
      <c r="AY5" s="217">
        <v>8.6136333333333308</v>
      </c>
      <c r="AZ5" s="99">
        <f>AVERAGE(AU7:AY7)*AZ4</f>
        <v>8.7794881237880329</v>
      </c>
    </row>
    <row r="6" spans="1:57" ht="15.75">
      <c r="A6" s="72" t="s">
        <v>11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3">
        <f>AK9/AK5</f>
        <v>6.9146355472958554</v>
      </c>
      <c r="AL6" s="73">
        <f t="shared" ref="AL6:AX6" si="0">AL9/AL5</f>
        <v>7.3949867299996965</v>
      </c>
      <c r="AM6" s="73">
        <f t="shared" si="0"/>
        <v>5.8999415928159076</v>
      </c>
      <c r="AN6" s="73">
        <f t="shared" si="0"/>
        <v>6.8282442520515403</v>
      </c>
      <c r="AO6" s="73">
        <f t="shared" si="0"/>
        <v>8.0742309092407289</v>
      </c>
      <c r="AP6" s="73">
        <f t="shared" si="0"/>
        <v>6.3734412619009566</v>
      </c>
      <c r="AQ6" s="73">
        <f t="shared" si="0"/>
        <v>7.3219088801979657</v>
      </c>
      <c r="AR6" s="73">
        <f t="shared" si="0"/>
        <v>7.8310054380927658</v>
      </c>
      <c r="AS6" s="73">
        <f>AS9/AS5</f>
        <v>8.3561762972397755</v>
      </c>
      <c r="AT6" s="73">
        <f>AT9/AT5</f>
        <v>7.8738188263221325</v>
      </c>
      <c r="AU6" s="73">
        <f t="shared" si="0"/>
        <v>7.2839983594442641</v>
      </c>
      <c r="AV6" s="73">
        <f t="shared" si="0"/>
        <v>7.9123887087948326</v>
      </c>
      <c r="AW6" s="73">
        <f t="shared" si="0"/>
        <v>6.0094372271098058</v>
      </c>
      <c r="AX6" s="73">
        <f t="shared" si="0"/>
        <v>7.480686841295328</v>
      </c>
      <c r="AY6" s="100">
        <f>AY9/AY5</f>
        <v>6.5825880677530604</v>
      </c>
      <c r="AZ6" s="99">
        <f>FORECAST(AZ3,AP6:AY6,AP3:AY3)</f>
        <v>7.0347030805891961</v>
      </c>
    </row>
    <row r="7" spans="1:57" ht="15.75">
      <c r="A7" s="74" t="s">
        <v>66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5">
        <f>AK5/AK4</f>
        <v>0.9964628904458066</v>
      </c>
      <c r="AL7" s="75">
        <f>AL5/AL4</f>
        <v>0.99717762261136045</v>
      </c>
      <c r="AM7" s="75">
        <f>AM5/AM4</f>
        <v>0.99960055094074074</v>
      </c>
      <c r="AN7" s="75">
        <f>AN5/AN4</f>
        <v>0.99751033284040769</v>
      </c>
      <c r="AO7" s="75">
        <f>AO5/AN4</f>
        <v>0.97914528832324421</v>
      </c>
      <c r="AP7" s="75">
        <f>AP5/AO4</f>
        <v>0.96291071309611798</v>
      </c>
      <c r="AQ7" s="75">
        <f t="shared" ref="AQ7:AZ7" si="1">AQ5/AQ4</f>
        <v>0.99928870117574808</v>
      </c>
      <c r="AR7" s="75">
        <f t="shared" si="1"/>
        <v>0.99713072878135245</v>
      </c>
      <c r="AS7" s="75">
        <f t="shared" si="1"/>
        <v>0.99736135682313687</v>
      </c>
      <c r="AT7" s="75">
        <f t="shared" si="1"/>
        <v>0.99642515550658717</v>
      </c>
      <c r="AU7" s="75">
        <f t="shared" si="1"/>
        <v>0.99720405873260265</v>
      </c>
      <c r="AV7" s="75">
        <f t="shared" si="1"/>
        <v>0.99722001528770043</v>
      </c>
      <c r="AW7" s="75">
        <f t="shared" si="1"/>
        <v>0.99533190993619813</v>
      </c>
      <c r="AX7" s="75">
        <f t="shared" si="1"/>
        <v>0.98048593438699372</v>
      </c>
      <c r="AY7" s="102">
        <f t="shared" si="1"/>
        <v>0.97882196969696933</v>
      </c>
      <c r="AZ7" s="102">
        <f t="shared" si="1"/>
        <v>0.98981277760809305</v>
      </c>
    </row>
    <row r="8" spans="1:57" ht="15.75">
      <c r="A8" s="69" t="s">
        <v>275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80">
        <v>12.183194063524645</v>
      </c>
      <c r="AL8" s="80">
        <f t="shared" ref="AL8:AX8" si="2">AK20</f>
        <v>11.573746121525545</v>
      </c>
      <c r="AM8" s="80">
        <f t="shared" si="2"/>
        <v>14.068886100083731</v>
      </c>
      <c r="AN8" s="80">
        <f t="shared" si="2"/>
        <v>7.2521779390693695</v>
      </c>
      <c r="AO8" s="80">
        <f t="shared" si="2"/>
        <v>7.9191878284448052</v>
      </c>
      <c r="AP8" s="80">
        <f t="shared" si="2"/>
        <v>13.939900599373431</v>
      </c>
      <c r="AQ8" s="80">
        <f t="shared" si="2"/>
        <v>10.7590807852729</v>
      </c>
      <c r="AR8" s="80">
        <f t="shared" si="2"/>
        <v>13.638274630966421</v>
      </c>
      <c r="AS8" s="80">
        <f t="shared" si="2"/>
        <v>18.841541813800774</v>
      </c>
      <c r="AT8" s="80">
        <f t="shared" si="2"/>
        <v>23.849807679993617</v>
      </c>
      <c r="AU8" s="80">
        <f t="shared" si="2"/>
        <v>21.837911415557983</v>
      </c>
      <c r="AV8" s="80">
        <f t="shared" si="2"/>
        <v>19.343073727547274</v>
      </c>
      <c r="AW8" s="80">
        <f t="shared" si="2"/>
        <v>20.216169526520972</v>
      </c>
      <c r="AX8" s="80">
        <f t="shared" si="2"/>
        <v>20.426935748260199</v>
      </c>
      <c r="AY8" s="103">
        <f>AX20</f>
        <v>20.719138074316838</v>
      </c>
      <c r="AZ8" s="103">
        <f>AY20</f>
        <v>24.2</v>
      </c>
      <c r="BB8" s="76"/>
      <c r="BD8" s="139"/>
      <c r="BE8" s="78"/>
    </row>
    <row r="9" spans="1:57" ht="15.75">
      <c r="A9" s="79" t="s">
        <v>13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80">
        <v>57.633348994000009</v>
      </c>
      <c r="AL9" s="80">
        <v>68.672508969999996</v>
      </c>
      <c r="AM9" s="80">
        <v>57.986867952000004</v>
      </c>
      <c r="AN9" s="80">
        <v>66.691803022000002</v>
      </c>
      <c r="AO9" s="80">
        <v>77.409508800000012</v>
      </c>
      <c r="AP9" s="80">
        <v>58.989768006000013</v>
      </c>
      <c r="AQ9" s="80">
        <v>62.69904334200001</v>
      </c>
      <c r="AR9" s="80">
        <v>64.775336132000021</v>
      </c>
      <c r="AS9" s="80">
        <v>69.017503880000021</v>
      </c>
      <c r="AT9" s="80">
        <v>70.120372295999999</v>
      </c>
      <c r="AU9" s="80">
        <v>67.123283162000007</v>
      </c>
      <c r="AV9" s="80">
        <v>73.166016637999988</v>
      </c>
      <c r="AW9" s="80">
        <v>53.115733007999985</v>
      </c>
      <c r="AX9" s="80">
        <v>62.708652811999997</v>
      </c>
      <c r="AY9" s="103">
        <v>56.7</v>
      </c>
      <c r="AZ9" s="103">
        <f>AZ6*AZ5</f>
        <v>61.76109215040794</v>
      </c>
    </row>
    <row r="10" spans="1:57" ht="15.75">
      <c r="A10" s="79" t="s">
        <v>14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80">
        <f>AK58/1000</f>
        <v>7.0613452310000007</v>
      </c>
      <c r="AL10" s="80">
        <f t="shared" ref="AL10:AX10" si="3">AL58/1000</f>
        <v>5.9115932190000002</v>
      </c>
      <c r="AM10" s="80">
        <f t="shared" si="3"/>
        <v>10.833973187999998</v>
      </c>
      <c r="AN10" s="80">
        <f t="shared" si="3"/>
        <v>15.093829780000002</v>
      </c>
      <c r="AO10" s="80">
        <f t="shared" si="3"/>
        <v>8.5004855980000009</v>
      </c>
      <c r="AP10" s="80">
        <f t="shared" si="3"/>
        <v>13.587651399999999</v>
      </c>
      <c r="AQ10" s="80">
        <f t="shared" si="3"/>
        <v>13.928710713000003</v>
      </c>
      <c r="AR10" s="80">
        <f t="shared" si="3"/>
        <v>17.458048581</v>
      </c>
      <c r="AS10" s="80">
        <f t="shared" si="3"/>
        <v>23.034201564000004</v>
      </c>
      <c r="AT10" s="80">
        <f t="shared" si="3"/>
        <v>18.353373000000005</v>
      </c>
      <c r="AU10" s="80">
        <f t="shared" si="3"/>
        <v>15.638793999999997</v>
      </c>
      <c r="AV10" s="80">
        <f t="shared" si="3"/>
        <v>20.320516999999999</v>
      </c>
      <c r="AW10" s="80">
        <f t="shared" si="3"/>
        <v>23.067793000000002</v>
      </c>
      <c r="AX10" s="80">
        <f t="shared" si="3"/>
        <v>19.645114000000003</v>
      </c>
      <c r="AY10" s="103">
        <f>AY58/1000</f>
        <v>20</v>
      </c>
      <c r="AZ10" s="103">
        <f>AZ58/1000</f>
        <v>19</v>
      </c>
      <c r="BA10" s="81"/>
    </row>
    <row r="11" spans="1:57" ht="15.75">
      <c r="A11" s="79" t="s">
        <v>15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80">
        <f t="shared" ref="AK11:AS11" si="4">SUM(AK8:AK10)</f>
        <v>76.877888288524659</v>
      </c>
      <c r="AL11" s="80">
        <f t="shared" si="4"/>
        <v>86.157848310525537</v>
      </c>
      <c r="AM11" s="80">
        <f t="shared" si="4"/>
        <v>82.889727240083729</v>
      </c>
      <c r="AN11" s="80">
        <f t="shared" si="4"/>
        <v>89.037810741069379</v>
      </c>
      <c r="AO11" s="80">
        <f t="shared" si="4"/>
        <v>93.829182226444814</v>
      </c>
      <c r="AP11" s="80">
        <f t="shared" si="4"/>
        <v>86.517320005373449</v>
      </c>
      <c r="AQ11" s="80">
        <f t="shared" si="4"/>
        <v>87.386834840272911</v>
      </c>
      <c r="AR11" s="80">
        <f t="shared" si="4"/>
        <v>95.871659343966442</v>
      </c>
      <c r="AS11" s="80">
        <f t="shared" si="4"/>
        <v>110.89324725780079</v>
      </c>
      <c r="AT11" s="80">
        <f>SUM(AT8:AT10)</f>
        <v>112.32355297599362</v>
      </c>
      <c r="AU11" s="80">
        <f>SUM(AU8:AU10)</f>
        <v>104.59998857755798</v>
      </c>
      <c r="AV11" s="80">
        <f t="shared" ref="AV11:AZ11" si="5">SUM(AV8:AV10)</f>
        <v>112.82960736554726</v>
      </c>
      <c r="AW11" s="80">
        <f t="shared" si="5"/>
        <v>96.399695534520959</v>
      </c>
      <c r="AX11" s="80">
        <f t="shared" si="5"/>
        <v>102.78070256026021</v>
      </c>
      <c r="AY11" s="103">
        <f t="shared" si="5"/>
        <v>97.419138074316834</v>
      </c>
      <c r="AZ11" s="103">
        <f t="shared" si="5"/>
        <v>104.96109215040794</v>
      </c>
      <c r="BB11" s="32"/>
    </row>
    <row r="12" spans="1:57" ht="15.75">
      <c r="A12" s="83" t="s">
        <v>17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104">
        <f>AK17-AK13</f>
        <v>59.115678415361927</v>
      </c>
      <c r="AL12" s="104">
        <f>AL17-AL13</f>
        <v>63.708372263638296</v>
      </c>
      <c r="AM12" s="104">
        <f>AM17-AM13</f>
        <v>67.862493709269728</v>
      </c>
      <c r="AN12" s="104">
        <f>AN17-AN13-AN14-AN15</f>
        <v>61.421756685000013</v>
      </c>
      <c r="AO12" s="104">
        <f t="shared" ref="AO12:AW12" si="6">AO17-AO13-AO14-AO15</f>
        <v>59.528081960000009</v>
      </c>
      <c r="AP12" s="104">
        <f t="shared" si="6"/>
        <v>57.561288185000016</v>
      </c>
      <c r="AQ12" s="104">
        <f t="shared" si="6"/>
        <v>54.924061814000012</v>
      </c>
      <c r="AR12" s="104">
        <f t="shared" si="6"/>
        <v>58.035994084000009</v>
      </c>
      <c r="AS12" s="104">
        <f t="shared" si="6"/>
        <v>66.236661297000012</v>
      </c>
      <c r="AT12" s="104">
        <f t="shared" si="6"/>
        <v>68.946212107775992</v>
      </c>
      <c r="AU12" s="104">
        <f t="shared" si="6"/>
        <v>65.154398766871665</v>
      </c>
      <c r="AV12" s="104">
        <f t="shared" si="6"/>
        <v>69.615233075615976</v>
      </c>
      <c r="AW12" s="104">
        <f t="shared" si="6"/>
        <v>55.280928002047979</v>
      </c>
      <c r="AX12" s="104">
        <f>AX17-AX13-AX14-AX15</f>
        <v>60.542987916871994</v>
      </c>
      <c r="AY12" s="105">
        <f>AY17-AY13-AY14-AY15</f>
        <v>53.469056226271789</v>
      </c>
      <c r="AZ12" s="105">
        <f>AZ17-AZ13-AZ14-AZ15</f>
        <v>59.644173893101765</v>
      </c>
      <c r="BB12" s="139">
        <f t="shared" ref="BB12:BB14" si="7">AY12/$AY$17</f>
        <v>0.75714682569480007</v>
      </c>
    </row>
    <row r="13" spans="1:57" ht="15.75">
      <c r="A13" s="79" t="s">
        <v>276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80">
        <v>4.6245294866371855</v>
      </c>
      <c r="AL13" s="80">
        <v>4.6169931878035175</v>
      </c>
      <c r="AM13" s="80">
        <v>4.6233985947446277</v>
      </c>
      <c r="AN13" s="80">
        <v>4.6307977718868685</v>
      </c>
      <c r="AO13" s="80">
        <v>4.6455159898453342</v>
      </c>
      <c r="AP13" s="80">
        <v>4.6560605177837351</v>
      </c>
      <c r="AQ13" s="80">
        <v>4.6689654782061201</v>
      </c>
      <c r="AR13" s="80">
        <v>4.6775655143553188</v>
      </c>
      <c r="AS13" s="80">
        <v>4.6848682571471452</v>
      </c>
      <c r="AT13" s="80">
        <v>4.6976446487866736</v>
      </c>
      <c r="AU13" s="80">
        <v>4.700409279266073</v>
      </c>
      <c r="AV13" s="80">
        <v>4.7001829595373623</v>
      </c>
      <c r="AW13" s="80">
        <v>4.7154019803397995</v>
      </c>
      <c r="AX13" s="80">
        <v>4.7380917651984022</v>
      </c>
      <c r="AY13" s="103">
        <v>4.7479750441720787</v>
      </c>
      <c r="AZ13" s="103">
        <f>FORECAST(AZ3,AK13:AY13,AK3:AY3)</f>
        <v>4.7492843828064153</v>
      </c>
      <c r="BB13" s="139">
        <f t="shared" si="7"/>
        <v>6.7233545659754368E-2</v>
      </c>
    </row>
    <row r="14" spans="1:57" ht="15.75">
      <c r="A14" s="79" t="s">
        <v>141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80">
        <v>0.45352727962079942</v>
      </c>
      <c r="AL14" s="80">
        <v>0.45206765772810797</v>
      </c>
      <c r="AM14" s="80">
        <v>0.47902766189100554</v>
      </c>
      <c r="AN14" s="80">
        <v>0.47553317987461907</v>
      </c>
      <c r="AO14" s="80">
        <v>0.4677882051146478</v>
      </c>
      <c r="AP14" s="218">
        <v>0.44979718546685016</v>
      </c>
      <c r="AQ14" s="218">
        <v>0.41607044259195913</v>
      </c>
      <c r="AR14" s="218">
        <v>0.40210680387296749</v>
      </c>
      <c r="AS14" s="218">
        <v>0.40210680387296749</v>
      </c>
      <c r="AT14" s="218">
        <v>0.40210680387296749</v>
      </c>
      <c r="AU14" s="218">
        <v>0.40210680387296749</v>
      </c>
      <c r="AV14" s="218">
        <v>0.40210680387296749</v>
      </c>
      <c r="AW14" s="218">
        <v>0.40210680387296749</v>
      </c>
      <c r="AX14" s="80">
        <v>0.40210680387296749</v>
      </c>
      <c r="AY14" s="103">
        <v>0.40210680387296749</v>
      </c>
      <c r="AZ14" s="103">
        <v>0.4</v>
      </c>
      <c r="BB14" s="139">
        <f t="shared" si="7"/>
        <v>5.6940202732268684E-3</v>
      </c>
    </row>
    <row r="15" spans="1:57" ht="15.75">
      <c r="A15" s="79" t="s">
        <v>277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80">
        <v>7.8754955607411308</v>
      </c>
      <c r="AL15" s="80">
        <v>8.49852672591018</v>
      </c>
      <c r="AM15" s="80">
        <v>9.9342136143787254</v>
      </c>
      <c r="AN15" s="80">
        <v>10.390535275863078</v>
      </c>
      <c r="AO15" s="80">
        <v>10.349885243111405</v>
      </c>
      <c r="AP15" s="80">
        <v>10.458854340849962</v>
      </c>
      <c r="AQ15" s="80">
        <v>10.948964648508392</v>
      </c>
      <c r="AR15" s="80">
        <v>11.210999562937376</v>
      </c>
      <c r="AS15" s="80">
        <v>11.488958229787062</v>
      </c>
      <c r="AT15" s="80">
        <v>11.1</v>
      </c>
      <c r="AU15" s="80">
        <v>11.3</v>
      </c>
      <c r="AV15" s="80">
        <v>11.899999999999999</v>
      </c>
      <c r="AW15" s="80">
        <v>11.399999999999999</v>
      </c>
      <c r="AX15" s="80">
        <v>12</v>
      </c>
      <c r="AY15" s="103">
        <v>12</v>
      </c>
      <c r="AZ15" s="103">
        <f>FORECAST(AZ3,AP15:AY15,AP3:AY3)</f>
        <v>12.167633874499757</v>
      </c>
      <c r="BB15" s="139">
        <f>AY15/$AY$17</f>
        <v>0.16992560837221868</v>
      </c>
    </row>
    <row r="16" spans="1:57" ht="15.75">
      <c r="A16" s="219" t="s">
        <v>278</v>
      </c>
      <c r="B16" s="219"/>
      <c r="C16" s="219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  <c r="AK16" s="80">
        <v>3.2</v>
      </c>
      <c r="AL16" s="80">
        <v>3.7724357677675515</v>
      </c>
      <c r="AM16" s="80">
        <v>5.1109685505444933</v>
      </c>
      <c r="AN16" s="80">
        <v>5.4954752242771603</v>
      </c>
      <c r="AO16" s="80">
        <v>5.4156017593346313</v>
      </c>
      <c r="AP16" s="80">
        <v>5.4612117971581497</v>
      </c>
      <c r="AQ16" s="80">
        <v>5.7851864607797765</v>
      </c>
      <c r="AR16" s="80">
        <v>6.0040000000000004</v>
      </c>
      <c r="AS16" s="80">
        <v>6.4109999999999996</v>
      </c>
      <c r="AT16" s="80">
        <v>6.1639999999999997</v>
      </c>
      <c r="AU16" s="80">
        <v>6.2</v>
      </c>
      <c r="AV16" s="80">
        <v>6.8</v>
      </c>
      <c r="AW16" s="80">
        <v>6.3</v>
      </c>
      <c r="AX16" s="80">
        <v>6.9</v>
      </c>
      <c r="AY16" s="103">
        <v>6.9</v>
      </c>
      <c r="AZ16" s="103">
        <f>FORECAST(AZ3,AP16:AY16,AP3:AY3)</f>
        <v>7.0737327791310349</v>
      </c>
      <c r="BB16" s="139">
        <f>AZ16/AZ15</f>
        <v>0.58135647834997461</v>
      </c>
    </row>
    <row r="17" spans="1:56" ht="15.75">
      <c r="A17" s="79" t="s">
        <v>68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80">
        <f t="shared" ref="AK17:AZ17" si="8">AK19-AK18</f>
        <v>63.740207901999113</v>
      </c>
      <c r="AL17" s="80">
        <f t="shared" si="8"/>
        <v>68.325365451441812</v>
      </c>
      <c r="AM17" s="80">
        <f t="shared" si="8"/>
        <v>72.485892304014357</v>
      </c>
      <c r="AN17" s="80">
        <f>AN19-AN18</f>
        <v>76.918622912624571</v>
      </c>
      <c r="AO17" s="80">
        <f t="shared" si="8"/>
        <v>74.99127139807139</v>
      </c>
      <c r="AP17" s="218">
        <f>AP19-AP18</f>
        <v>73.126000229100555</v>
      </c>
      <c r="AQ17" s="80">
        <f>AQ19-AQ18</f>
        <v>70.958062383306483</v>
      </c>
      <c r="AR17" s="80">
        <f t="shared" si="8"/>
        <v>74.326665965165674</v>
      </c>
      <c r="AS17" s="80">
        <f t="shared" si="8"/>
        <v>82.812594587807183</v>
      </c>
      <c r="AT17" s="80">
        <f t="shared" si="8"/>
        <v>85.145963560435632</v>
      </c>
      <c r="AU17" s="80">
        <f t="shared" si="8"/>
        <v>81.556914850010699</v>
      </c>
      <c r="AV17" s="80">
        <f t="shared" si="8"/>
        <v>86.617522839026293</v>
      </c>
      <c r="AW17" s="80">
        <f t="shared" si="8"/>
        <v>71.798436786260751</v>
      </c>
      <c r="AX17" s="80">
        <f>AX19-AX18</f>
        <v>77.683186485943367</v>
      </c>
      <c r="AY17" s="103">
        <f>AY19-AY18</f>
        <v>70.619138074316837</v>
      </c>
      <c r="AZ17" s="103">
        <f t="shared" si="8"/>
        <v>76.961092150407936</v>
      </c>
    </row>
    <row r="18" spans="1:56" ht="15.75">
      <c r="A18" s="79" t="s">
        <v>19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80">
        <f>AK41/1000</f>
        <v>1.5639342650000003</v>
      </c>
      <c r="AL18" s="80">
        <f t="shared" ref="AL18:AW18" si="9">AL41/1000</f>
        <v>3.7635967590000008</v>
      </c>
      <c r="AM18" s="80">
        <f t="shared" si="9"/>
        <v>3.1516569969999995</v>
      </c>
      <c r="AN18" s="80">
        <v>4.2</v>
      </c>
      <c r="AO18" s="80">
        <f t="shared" si="9"/>
        <v>4.8980102289999987</v>
      </c>
      <c r="AP18" s="80">
        <f t="shared" si="9"/>
        <v>2.6322389910000004</v>
      </c>
      <c r="AQ18" s="80">
        <f t="shared" si="9"/>
        <v>2.7904978260000002</v>
      </c>
      <c r="AR18" s="80">
        <f t="shared" si="9"/>
        <v>2.7034515650000004</v>
      </c>
      <c r="AS18" s="80">
        <f t="shared" si="9"/>
        <v>4.2308449900000005</v>
      </c>
      <c r="AT18" s="80">
        <f t="shared" si="9"/>
        <v>5.3396779999999993</v>
      </c>
      <c r="AU18" s="80">
        <v>3.7</v>
      </c>
      <c r="AV18" s="80">
        <f t="shared" si="9"/>
        <v>5.9959149999999992</v>
      </c>
      <c r="AW18" s="80">
        <f t="shared" si="9"/>
        <v>4.1743229999999993</v>
      </c>
      <c r="AX18" s="80">
        <f>AX41/1000</f>
        <v>4.3783779999999997</v>
      </c>
      <c r="AY18" s="103">
        <f t="shared" ref="AY18:AZ18" si="10">AY41/1000</f>
        <v>2.6</v>
      </c>
      <c r="AZ18" s="103">
        <f t="shared" si="10"/>
        <v>3</v>
      </c>
    </row>
    <row r="19" spans="1:56" ht="15.75">
      <c r="A19" s="79" t="s">
        <v>69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80">
        <f t="shared" ref="AK19:AZ19" si="11">AK11-AK20</f>
        <v>65.304142166999114</v>
      </c>
      <c r="AL19" s="80">
        <f t="shared" si="11"/>
        <v>72.088962210441807</v>
      </c>
      <c r="AM19" s="80">
        <f t="shared" si="11"/>
        <v>75.63754930101436</v>
      </c>
      <c r="AN19" s="80">
        <f>AN11-AN20</f>
        <v>81.118622912624573</v>
      </c>
      <c r="AO19" s="80">
        <f t="shared" si="11"/>
        <v>79.889281627071384</v>
      </c>
      <c r="AP19" s="80">
        <f t="shared" si="11"/>
        <v>75.758239220100549</v>
      </c>
      <c r="AQ19" s="80">
        <f>AQ11-AQ20</f>
        <v>73.74856020930649</v>
      </c>
      <c r="AR19" s="80">
        <f t="shared" si="11"/>
        <v>77.030117530165668</v>
      </c>
      <c r="AS19" s="80">
        <f t="shared" si="11"/>
        <v>87.043439577807177</v>
      </c>
      <c r="AT19" s="80">
        <f t="shared" si="11"/>
        <v>90.485641560435639</v>
      </c>
      <c r="AU19" s="80">
        <f t="shared" si="11"/>
        <v>85.256914850010702</v>
      </c>
      <c r="AV19" s="80">
        <f t="shared" si="11"/>
        <v>92.61343783902629</v>
      </c>
      <c r="AW19" s="80">
        <f t="shared" si="11"/>
        <v>75.972759786260752</v>
      </c>
      <c r="AX19" s="80">
        <f t="shared" si="11"/>
        <v>82.061564485943364</v>
      </c>
      <c r="AY19" s="103">
        <f>AY11-AY20</f>
        <v>73.219138074316831</v>
      </c>
      <c r="AZ19" s="103">
        <f t="shared" si="11"/>
        <v>79.961092150407936</v>
      </c>
      <c r="BB19" s="32"/>
    </row>
    <row r="20" spans="1:56" ht="15.75">
      <c r="A20" s="83" t="s">
        <v>279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104">
        <v>11.573746121525545</v>
      </c>
      <c r="AL20" s="104">
        <v>14.068886100083731</v>
      </c>
      <c r="AM20" s="104">
        <v>7.2521779390693695</v>
      </c>
      <c r="AN20" s="104">
        <v>7.9191878284448052</v>
      </c>
      <c r="AO20" s="104">
        <v>13.939900599373431</v>
      </c>
      <c r="AP20" s="104">
        <v>10.7590807852729</v>
      </c>
      <c r="AQ20" s="104">
        <v>13.638274630966421</v>
      </c>
      <c r="AR20" s="104">
        <v>18.841541813800774</v>
      </c>
      <c r="AS20" s="104">
        <v>23.849807679993617</v>
      </c>
      <c r="AT20" s="104">
        <v>21.837911415557983</v>
      </c>
      <c r="AU20" s="104">
        <v>19.343073727547274</v>
      </c>
      <c r="AV20" s="104">
        <v>20.216169526520972</v>
      </c>
      <c r="AW20" s="104">
        <v>20.426935748260199</v>
      </c>
      <c r="AX20" s="104">
        <v>20.719138074316838</v>
      </c>
      <c r="AY20" s="105">
        <v>24.2</v>
      </c>
      <c r="AZ20" s="105">
        <v>25</v>
      </c>
      <c r="BB20" s="220"/>
    </row>
    <row r="21" spans="1:56" ht="15.75">
      <c r="A21" s="106" t="s">
        <v>22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88">
        <f t="shared" ref="AK21:AZ21" si="12">AK20/AK19</f>
        <v>0.1772283615934892</v>
      </c>
      <c r="AL21" s="88">
        <f t="shared" si="12"/>
        <v>0.19516005874816031</v>
      </c>
      <c r="AM21" s="88">
        <f t="shared" si="12"/>
        <v>9.5880657240862144E-2</v>
      </c>
      <c r="AN21" s="88">
        <f t="shared" si="12"/>
        <v>9.762478138928482E-2</v>
      </c>
      <c r="AO21" s="88">
        <f t="shared" si="12"/>
        <v>0.17449024844716765</v>
      </c>
      <c r="AP21" s="88">
        <f t="shared" si="12"/>
        <v>0.14201862260835449</v>
      </c>
      <c r="AQ21" s="88">
        <f>AQ20/AQ19</f>
        <v>0.18492936800744997</v>
      </c>
      <c r="AR21" s="88">
        <f t="shared" si="12"/>
        <v>0.24459967630741652</v>
      </c>
      <c r="AS21" s="88">
        <f t="shared" si="12"/>
        <v>0.27399891129847337</v>
      </c>
      <c r="AT21" s="88">
        <f t="shared" si="12"/>
        <v>0.24134117898663926</v>
      </c>
      <c r="AU21" s="88">
        <f t="shared" si="12"/>
        <v>0.22687982272847687</v>
      </c>
      <c r="AV21" s="88">
        <f t="shared" si="12"/>
        <v>0.21828548856656413</v>
      </c>
      <c r="AW21" s="88">
        <f t="shared" si="12"/>
        <v>0.26887184045608797</v>
      </c>
      <c r="AX21" s="88">
        <f t="shared" si="12"/>
        <v>0.25248285484327926</v>
      </c>
      <c r="AY21" s="89">
        <f t="shared" si="12"/>
        <v>0.33051468012962942</v>
      </c>
      <c r="AZ21" s="89">
        <f t="shared" si="12"/>
        <v>0.31265205774046517</v>
      </c>
    </row>
    <row r="22" spans="1:5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90"/>
      <c r="AX22" s="90"/>
      <c r="AY22" s="90"/>
      <c r="AZ22" s="90"/>
    </row>
    <row r="23" spans="1:56" ht="13.5" thickBo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90"/>
      <c r="AX23" s="90"/>
      <c r="AY23" s="90"/>
      <c r="AZ23" s="90"/>
    </row>
    <row r="24" spans="1:56">
      <c r="A24" s="91" t="s">
        <v>71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</row>
    <row r="27" spans="1:56" ht="16.5" thickBot="1">
      <c r="A27" s="93" t="s">
        <v>72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</row>
    <row r="28" spans="1:56" ht="16.5" thickBo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5" t="str">
        <f t="shared" ref="AK28:AZ28" si="13">AK2</f>
        <v>10/11</v>
      </c>
      <c r="AL28" s="95" t="str">
        <f t="shared" si="13"/>
        <v>11/12</v>
      </c>
      <c r="AM28" s="95" t="str">
        <f t="shared" si="13"/>
        <v xml:space="preserve">12/13 </v>
      </c>
      <c r="AN28" s="95" t="str">
        <f t="shared" si="13"/>
        <v xml:space="preserve">13/14 </v>
      </c>
      <c r="AO28" s="95" t="str">
        <f t="shared" si="13"/>
        <v xml:space="preserve">14/15 </v>
      </c>
      <c r="AP28" s="95" t="str">
        <f t="shared" si="13"/>
        <v xml:space="preserve">15/16 </v>
      </c>
      <c r="AQ28" s="95" t="str">
        <f t="shared" si="13"/>
        <v xml:space="preserve">16/17 </v>
      </c>
      <c r="AR28" s="95" t="str">
        <f t="shared" si="13"/>
        <v xml:space="preserve">17/18 </v>
      </c>
      <c r="AS28" s="95" t="str">
        <f t="shared" si="13"/>
        <v xml:space="preserve">18/19 </v>
      </c>
      <c r="AT28" s="95" t="str">
        <f t="shared" si="13"/>
        <v>19/20</v>
      </c>
      <c r="AU28" s="95" t="str">
        <f t="shared" si="13"/>
        <v>20/21</v>
      </c>
      <c r="AV28" s="95" t="str">
        <f t="shared" si="13"/>
        <v>21/22</v>
      </c>
      <c r="AW28" s="95" t="str">
        <f t="shared" si="13"/>
        <v>22/23</v>
      </c>
      <c r="AX28" s="95" t="str">
        <f t="shared" si="13"/>
        <v>23/24</v>
      </c>
      <c r="AY28" s="95" t="str">
        <f t="shared" si="13"/>
        <v>24/25</v>
      </c>
      <c r="AZ28" s="95" t="str">
        <f t="shared" si="13"/>
        <v>25/26</v>
      </c>
    </row>
    <row r="29" spans="1:56" ht="15.75">
      <c r="A29" s="93" t="s">
        <v>74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213" cm="1">
        <f t="array" ref="AK29">INDEX('[3]EU Corn Exports'!$IP$294:$PM$294,1,ROW(A1))</f>
        <v>223.51299300000005</v>
      </c>
      <c r="AL29" s="213" cm="1">
        <f t="array" ref="AL29">INDEX('[3]EU Corn Exports'!$JB$294:$PM$294,1,ROW(A1))</f>
        <v>733.02443699999958</v>
      </c>
      <c r="AM29" s="213" cm="1">
        <f t="array" ref="AM29">INDEX('[3]EU Corn Exports'!$JN$294:$PM$294,1,ROW(A1))</f>
        <v>257.88239799999951</v>
      </c>
      <c r="AN29" s="213" cm="1">
        <f t="array" ref="AN29">INDEX('[3]EU Corn Exports'!$JZ$294:$PM$294,1,ROW(A1))</f>
        <v>883.39942700000006</v>
      </c>
      <c r="AO29" s="213" cm="1">
        <f t="array" ref="AO29">INDEX('[3]EU Corn Exports'!$KL$294:$PM$294,1,ROW(A1))</f>
        <v>551.17038199999934</v>
      </c>
      <c r="AP29" s="213" cm="1">
        <f t="array" ref="AP29">INDEX('[3]EU Corn Exports'!$KX$294:$PM$294,1,ROW(A1))</f>
        <v>222.13016100000004</v>
      </c>
      <c r="AQ29" s="213" cm="1">
        <f t="array" ref="AQ29">INDEX('[3]EU Corn Exports'!$LJ$294:$PM$294,1,ROW(A1))</f>
        <v>485.32488100000046</v>
      </c>
      <c r="AR29" s="213" cm="1">
        <f t="array" ref="AR29">INDEX('[3]EU Corn Exports'!$LV$294:$PM$294,1,ROW(A1))</f>
        <v>323.14439000000039</v>
      </c>
      <c r="AS29" s="213" cm="1">
        <f t="array" ref="AS29">INDEX('[3]EU Corn Exports'!$MH$294:$PM$294,1,ROW(A1))</f>
        <v>454.84614600000009</v>
      </c>
      <c r="AT29" s="213" cm="1">
        <f t="array" ref="AT29">INDEX('[3]EU Corn Exports'!$MT$294:$PM$294,1,ROW(A1))</f>
        <v>757.06100000000004</v>
      </c>
      <c r="AU29" s="213" cm="1">
        <f t="array" ref="AU29">INDEX('[3]EU Corn Exports'!$NF$294:$PM$294,1,ROW(A1))</f>
        <v>361.95100000000002</v>
      </c>
      <c r="AV29" s="213" cm="1">
        <f t="array" ref="AV29">INDEX('[3]EU Corn Exports'!$NR$294:$PM$294,1,ROW(A1))</f>
        <v>1315.0160000000001</v>
      </c>
      <c r="AW29" s="213" cm="1">
        <f t="array" ref="AW29">INDEX('[3]EU Corn Exports'!$OD$294:$PM$294,1,ROW(A1))</f>
        <v>90.081999999999994</v>
      </c>
      <c r="AX29" s="213" cm="1">
        <f t="array" ref="AX29">INDEX('[3]EU Corn Exports'!$OP$294:$PM$294,1,ROW(A1))</f>
        <v>409.85899999999998</v>
      </c>
      <c r="AY29" s="42" cm="1">
        <f t="array" ref="AY29">INDEX('[3]EU Corn Exports'!$PB$294:$ZZ$294,1,ROW(A1))</f>
        <v>237.499</v>
      </c>
      <c r="AZ29" s="107" cm="1">
        <f t="array" ref="AZ29">(SUM(AU29:AY29/SUM(AU$41:AY$41))*AZ$41)</f>
        <v>347.0813875989204</v>
      </c>
    </row>
    <row r="30" spans="1:56" ht="15.75">
      <c r="A30" s="93" t="s">
        <v>75</v>
      </c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213" cm="1">
        <f t="array" ref="AK30">INDEX('[3]EU Corn Exports'!$IP$294:$PM$294,1,ROW(A2))</f>
        <v>237.69559200000003</v>
      </c>
      <c r="AL30" s="213" cm="1">
        <f t="array" ref="AL30">INDEX('[3]EU Corn Exports'!$JB$294:$PM$294,1,ROW(A2))</f>
        <v>750.6307710000001</v>
      </c>
      <c r="AM30" s="213" cm="1">
        <f t="array" ref="AM30">INDEX('[3]EU Corn Exports'!$JN$294:$PM$294,1,ROW(A2))</f>
        <v>210.76597099999981</v>
      </c>
      <c r="AN30" s="213" cm="1">
        <f t="array" ref="AN30">INDEX('[3]EU Corn Exports'!$JZ$294:$PM$294,1,ROW(A2))</f>
        <v>604.04166799999939</v>
      </c>
      <c r="AO30" s="213" cm="1">
        <f t="array" ref="AO30">INDEX('[3]EU Corn Exports'!$KL$294:$PM$294,1,ROW(A2))</f>
        <v>484.40381100000013</v>
      </c>
      <c r="AP30" s="213" cm="1">
        <f t="array" ref="AP30">INDEX('[3]EU Corn Exports'!$KX$294:$PM$294,1,ROW(A2))</f>
        <v>215.79234399999996</v>
      </c>
      <c r="AQ30" s="213" cm="1">
        <f t="array" ref="AQ30">INDEX('[3]EU Corn Exports'!$LJ$294:$PM$294,1,ROW(A2))</f>
        <v>273.26933199999985</v>
      </c>
      <c r="AR30" s="213" cm="1">
        <f t="array" ref="AR30">INDEX('[3]EU Corn Exports'!$LV$294:$PM$294,1,ROW(A2))</f>
        <v>219.95437599999991</v>
      </c>
      <c r="AS30" s="213" cm="1">
        <f t="array" ref="AS30">INDEX('[3]EU Corn Exports'!$MH$294:$PM$294,1,ROW(A2))</f>
        <v>340.61034599999994</v>
      </c>
      <c r="AT30" s="213" cm="1">
        <f t="array" ref="AT30">INDEX('[3]EU Corn Exports'!$MT$294:$PM$294,1,ROW(A2))</f>
        <v>633.27800000000002</v>
      </c>
      <c r="AU30" s="213" cm="1">
        <f t="array" ref="AU30">INDEX('[3]EU Corn Exports'!$NF$294:$PM$294,1,ROW(A2))</f>
        <v>336.46199999999999</v>
      </c>
      <c r="AV30" s="213" cm="1">
        <f t="array" ref="AV30">INDEX('[3]EU Corn Exports'!$NR$294:$PM$294,1,ROW(A2))</f>
        <v>784.65300000000002</v>
      </c>
      <c r="AW30" s="213" cm="1">
        <f t="array" ref="AW30">INDEX('[3]EU Corn Exports'!$OD$294:$PM$294,1,ROW(A2))</f>
        <v>135.34700000000001</v>
      </c>
      <c r="AX30" s="213" cm="1">
        <f t="array" ref="AX30">INDEX('[3]EU Corn Exports'!$OP$294:$PM$294,1,ROW(A2))</f>
        <v>675.20100000000002</v>
      </c>
      <c r="AY30" s="42" cm="1">
        <f t="array" ref="AY30">INDEX('[3]EU Corn Exports'!$PB$294:$ZZ$294,1,ROW(A2))</f>
        <v>334.14400000000001</v>
      </c>
      <c r="AZ30" s="107" cm="1">
        <f t="array" ref="AZ30">(SUM(AU30:AY30/SUM(AU$41:AY$41))*AZ$41)</f>
        <v>325.71949865592131</v>
      </c>
    </row>
    <row r="31" spans="1:56" ht="15.75">
      <c r="A31" s="93" t="s">
        <v>76</v>
      </c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213" cm="1">
        <f t="array" ref="AK31">INDEX('[3]EU Corn Exports'!$IP$294:$PM$294,1,ROW(A3))</f>
        <v>130.21473500000002</v>
      </c>
      <c r="AL31" s="213" cm="1">
        <f t="array" ref="AL31">INDEX('[3]EU Corn Exports'!$JB$294:$PM$294,1,ROW(A3))</f>
        <v>268.27860899999996</v>
      </c>
      <c r="AM31" s="213" cm="1">
        <f t="array" ref="AM31">INDEX('[3]EU Corn Exports'!$JN$294:$PM$294,1,ROW(A3))</f>
        <v>164.34341099999972</v>
      </c>
      <c r="AN31" s="213" cm="1">
        <f t="array" ref="AN31">INDEX('[3]EU Corn Exports'!$JZ$294:$PM$294,1,ROW(A3))</f>
        <v>382.60725699999989</v>
      </c>
      <c r="AO31" s="213" cm="1">
        <f t="array" ref="AO31">INDEX('[3]EU Corn Exports'!$KL$294:$PM$294,1,ROW(A3))</f>
        <v>348.32784000000015</v>
      </c>
      <c r="AP31" s="213" cm="1">
        <f t="array" ref="AP31">INDEX('[3]EU Corn Exports'!$KX$294:$PM$294,1,ROW(A3))</f>
        <v>299.33647900000005</v>
      </c>
      <c r="AQ31" s="213" cm="1">
        <f t="array" ref="AQ31">INDEX('[3]EU Corn Exports'!$LJ$294:$PM$294,1,ROW(A3))</f>
        <v>291.03329800000006</v>
      </c>
      <c r="AR31" s="213" cm="1">
        <f t="array" ref="AR31">INDEX('[3]EU Corn Exports'!$LV$294:$PM$294,1,ROW(A3))</f>
        <v>231.74474099999998</v>
      </c>
      <c r="AS31" s="213" cm="1">
        <f t="array" ref="AS31">INDEX('[3]EU Corn Exports'!$MH$294:$PM$294,1,ROW(A3))</f>
        <v>313.63068300000009</v>
      </c>
      <c r="AT31" s="213" cm="1">
        <f t="array" ref="AT31">INDEX('[3]EU Corn Exports'!$MT$294:$PM$294,1,ROW(A3))</f>
        <v>449.72800000000001</v>
      </c>
      <c r="AU31" s="213" cm="1">
        <f t="array" ref="AU31">INDEX('[3]EU Corn Exports'!$NF$294:$PM$294,1,ROW(A3))</f>
        <v>346.57900000000001</v>
      </c>
      <c r="AV31" s="213" cm="1">
        <f t="array" ref="AV31">INDEX('[3]EU Corn Exports'!$NR$294:$PM$294,1,ROW(A3))</f>
        <v>601.81500000000005</v>
      </c>
      <c r="AW31" s="213" cm="1">
        <f t="array" ref="AW31">INDEX('[3]EU Corn Exports'!$OD$294:$PM$294,1,ROW(A3))</f>
        <v>309.85899999999998</v>
      </c>
      <c r="AX31" s="213" cm="1">
        <f t="array" ref="AX31">INDEX('[3]EU Corn Exports'!$OP$294:$PM$294,1,ROW(A3))</f>
        <v>676.83500000000004</v>
      </c>
      <c r="AY31" s="42" cm="1">
        <f t="array" ref="AY31">INDEX('[3]EU Corn Exports'!$PB$294:$ZZ$294,1,ROW(A3))</f>
        <v>37.424999999999997</v>
      </c>
      <c r="AZ31" s="107" cm="1">
        <f t="array" ref="AZ31">(SUM(AU31:AY31/SUM(AU$41:AY$41))*AZ$41)</f>
        <v>283.55722506475053</v>
      </c>
      <c r="BD31" s="42"/>
    </row>
    <row r="32" spans="1:56" ht="15.75">
      <c r="A32" s="93" t="s">
        <v>77</v>
      </c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213" cm="1">
        <f t="array" ref="AK32">INDEX('[3]EU Corn Exports'!$IP$294:$PM$294,1,ROW(A4))</f>
        <v>114.45698200000015</v>
      </c>
      <c r="AL32" s="213" cm="1">
        <f t="array" ref="AL32">INDEX('[3]EU Corn Exports'!$JB$294:$PM$294,1,ROW(A4))</f>
        <v>237.31943599999977</v>
      </c>
      <c r="AM32" s="213" cm="1">
        <f t="array" ref="AM32">INDEX('[3]EU Corn Exports'!$JN$294:$PM$294,1,ROW(A4))</f>
        <v>223.24980400000004</v>
      </c>
      <c r="AN32" s="213" cm="1">
        <f t="array" ref="AN32">INDEX('[3]EU Corn Exports'!$JZ$294:$PM$294,1,ROW(A4))</f>
        <v>105.53236699999979</v>
      </c>
      <c r="AO32" s="213" cm="1">
        <f t="array" ref="AO32">INDEX('[3]EU Corn Exports'!$KL$294:$PM$294,1,ROW(A4))</f>
        <v>373.74476699999968</v>
      </c>
      <c r="AP32" s="213" cm="1">
        <f t="array" ref="AP32">INDEX('[3]EU Corn Exports'!$KX$294:$PM$294,1,ROW(A4))</f>
        <v>132.60343399999988</v>
      </c>
      <c r="AQ32" s="213" cm="1">
        <f t="array" ref="AQ32">INDEX('[3]EU Corn Exports'!$LJ$294:$PM$294,1,ROW(A4))</f>
        <v>254.53730200000018</v>
      </c>
      <c r="AR32" s="213" cm="1">
        <f t="array" ref="AR32">INDEX('[3]EU Corn Exports'!$LV$294:$PM$294,1,ROW(A4))</f>
        <v>130.64893799999959</v>
      </c>
      <c r="AS32" s="213" cm="1">
        <f t="array" ref="AS32">INDEX('[3]EU Corn Exports'!$MH$294:$PM$294,1,ROW(A4))</f>
        <v>246.780303</v>
      </c>
      <c r="AT32" s="213" cm="1">
        <f t="array" ref="AT32">INDEX('[3]EU Corn Exports'!$MT$294:$PM$294,1,ROW(A4))</f>
        <v>801.66700000000003</v>
      </c>
      <c r="AU32" s="213" cm="1">
        <f t="array" ref="AU32">INDEX('[3]EU Corn Exports'!$NF$294:$PM$294,1,ROW(A4))</f>
        <v>313.66399999999999</v>
      </c>
      <c r="AV32" s="213" cm="1">
        <f t="array" ref="AV32">INDEX('[3]EU Corn Exports'!$NR$294:$PM$294,1,ROW(A4))</f>
        <v>410.23599999999999</v>
      </c>
      <c r="AW32" s="213" cm="1">
        <f t="array" ref="AW32">INDEX('[3]EU Corn Exports'!$OD$294:$PM$294,1,ROW(A4))</f>
        <v>379.411</v>
      </c>
      <c r="AX32" s="213" cm="1">
        <f t="array" ref="AX32">INDEX('[3]EU Corn Exports'!$OP$294:$PM$294,1,ROW(A4))</f>
        <v>371.62700000000001</v>
      </c>
      <c r="AY32" s="107">
        <f t="shared" ref="AY32:AY40" si="14">(SUM(AT32:AX32)/SUM(AT$41:AX$41))*AY$41</f>
        <v>250.72084902551902</v>
      </c>
      <c r="AZ32" s="107" cm="1">
        <f t="array" ref="AZ32">(SUM(AU32:AY32/SUM(AU$41:AY$41))*AZ$41)</f>
        <v>248.07087945078561</v>
      </c>
      <c r="BD32" s="42"/>
    </row>
    <row r="33" spans="1:56" ht="15.75">
      <c r="A33" s="93" t="s">
        <v>78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213" cm="1">
        <f t="array" ref="AK33">INDEX('[3]EU Corn Exports'!$IP$294:$PM$294,1,ROW(A5))</f>
        <v>101.85857200000032</v>
      </c>
      <c r="AL33" s="213" cm="1">
        <f t="array" ref="AL33">INDEX('[3]EU Corn Exports'!$JB$294:$PM$294,1,ROW(A5))</f>
        <v>331.4759210000002</v>
      </c>
      <c r="AM33" s="213" cm="1">
        <f t="array" ref="AM33">INDEX('[3]EU Corn Exports'!$JN$294:$PM$294,1,ROW(A5))</f>
        <v>145.43921500000022</v>
      </c>
      <c r="AN33" s="213" cm="1">
        <f t="array" ref="AN33">INDEX('[3]EU Corn Exports'!$JZ$294:$PM$294,1,ROW(A5))</f>
        <v>238.40320699999995</v>
      </c>
      <c r="AO33" s="213" cm="1">
        <f t="array" ref="AO33">INDEX('[3]EU Corn Exports'!$KL$294:$PM$294,1,ROW(A5))</f>
        <v>344.65989599999989</v>
      </c>
      <c r="AP33" s="213" cm="1">
        <f t="array" ref="AP33">INDEX('[3]EU Corn Exports'!$KX$294:$PM$294,1,ROW(A5))</f>
        <v>192.54300500000022</v>
      </c>
      <c r="AQ33" s="213" cm="1">
        <f t="array" ref="AQ33">INDEX('[3]EU Corn Exports'!$LJ$294:$PM$294,1,ROW(A5))</f>
        <v>346.70279399999959</v>
      </c>
      <c r="AR33" s="213" cm="1">
        <f t="array" ref="AR33">INDEX('[3]EU Corn Exports'!$LV$294:$PM$294,1,ROW(A5))</f>
        <v>214.3666209999999</v>
      </c>
      <c r="AS33" s="213" cm="1">
        <f t="array" ref="AS33">INDEX('[3]EU Corn Exports'!$MH$294:$PM$294,1,ROW(A5))</f>
        <v>379.82042499999989</v>
      </c>
      <c r="AT33" s="213" cm="1">
        <f t="array" ref="AT33">INDEX('[3]EU Corn Exports'!$MT$294:$PM$294,1,ROW(A5))</f>
        <v>586.27099999999996</v>
      </c>
      <c r="AU33" s="213" cm="1">
        <f t="array" ref="AU33">INDEX('[3]EU Corn Exports'!$NF$294:$PM$294,1,ROW(A5))</f>
        <v>348.03199999999998</v>
      </c>
      <c r="AV33" s="213" cm="1">
        <f t="array" ref="AV33">INDEX('[3]EU Corn Exports'!$NR$294:$PM$294,1,ROW(A5))</f>
        <v>489.38499999999999</v>
      </c>
      <c r="AW33" s="213" cm="1">
        <f t="array" ref="AW33">INDEX('[3]EU Corn Exports'!$OD$294:$PM$294,1,ROW(A5))</f>
        <v>450.97699999999998</v>
      </c>
      <c r="AX33" s="213" cm="1">
        <f t="array" ref="AX33">INDEX('[3]EU Corn Exports'!$OP$294:$PM$294,1,ROW(A5))</f>
        <v>564.726</v>
      </c>
      <c r="AY33" s="107">
        <f t="shared" si="14"/>
        <v>268.64835253599546</v>
      </c>
      <c r="AZ33" s="107" cm="1">
        <f t="array" ref="AZ33">(SUM(AU33:AY33/SUM(AU$41:AY$41))*AZ$41)</f>
        <v>305.01332375265167</v>
      </c>
      <c r="BD33" s="42"/>
    </row>
    <row r="34" spans="1:56" ht="15.75">
      <c r="A34" s="93" t="s">
        <v>79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213" cm="1">
        <f t="array" ref="AK34">INDEX('[3]EU Corn Exports'!$IP$294:$PM$294,1,ROW(A6))</f>
        <v>133.20477400000004</v>
      </c>
      <c r="AL34" s="213" cm="1">
        <f t="array" ref="AL34">INDEX('[3]EU Corn Exports'!$JB$294:$PM$294,1,ROW(A6))</f>
        <v>253.57827899999961</v>
      </c>
      <c r="AM34" s="213" cm="1">
        <f t="array" ref="AM34">INDEX('[3]EU Corn Exports'!$JN$294:$PM$294,1,ROW(A6))</f>
        <v>206.98463900000002</v>
      </c>
      <c r="AN34" s="213" cm="1">
        <f t="array" ref="AN34">INDEX('[3]EU Corn Exports'!$JZ$294:$PM$294,1,ROW(A6))</f>
        <v>123.17246800000044</v>
      </c>
      <c r="AO34" s="213" cm="1">
        <f t="array" ref="AO34">INDEX('[3]EU Corn Exports'!$KL$294:$PM$294,1,ROW(A6))</f>
        <v>447.01640299999985</v>
      </c>
      <c r="AP34" s="213" cm="1">
        <f t="array" ref="AP34">INDEX('[3]EU Corn Exports'!$KX$294:$PM$294,1,ROW(A6))</f>
        <v>179.65943899999979</v>
      </c>
      <c r="AQ34" s="213" cm="1">
        <f t="array" ref="AQ34">INDEX('[3]EU Corn Exports'!$LJ$294:$PM$294,1,ROW(A6))</f>
        <v>221.82901000000015</v>
      </c>
      <c r="AR34" s="213" cm="1">
        <f t="array" ref="AR34">INDEX('[3]EU Corn Exports'!$LV$294:$PM$294,1,ROW(A6))</f>
        <v>332.20030900000029</v>
      </c>
      <c r="AS34" s="213" cm="1">
        <f t="array" ref="AS34">INDEX('[3]EU Corn Exports'!$MH$294:$PM$294,1,ROW(A6))</f>
        <v>412.07262100000025</v>
      </c>
      <c r="AT34" s="213" cm="1">
        <f t="array" ref="AT34">INDEX('[3]EU Corn Exports'!$MT$294:$PM$294,1,ROW(A6))</f>
        <v>637.28599999999994</v>
      </c>
      <c r="AU34" s="213" cm="1">
        <f t="array" ref="AU34">INDEX('[3]EU Corn Exports'!$NF$294:$PM$294,1,ROW(A6))</f>
        <v>335.15300000000002</v>
      </c>
      <c r="AV34" s="213" cm="1">
        <f t="array" ref="AV34">INDEX('[3]EU Corn Exports'!$NR$294:$PM$294,1,ROW(A6))</f>
        <v>859.803</v>
      </c>
      <c r="AW34" s="213" cm="1">
        <f t="array" ref="AW34">INDEX('[3]EU Corn Exports'!$OD$294:$PM$294,1,ROW(A6))</f>
        <v>551.95100000000002</v>
      </c>
      <c r="AX34" s="213" cm="1">
        <f t="array" ref="AX34">INDEX('[3]EU Corn Exports'!$OP$294:$PM$294,1,ROW(A6))</f>
        <v>323.77600000000001</v>
      </c>
      <c r="AY34" s="107">
        <f t="shared" si="14"/>
        <v>298.22665188505943</v>
      </c>
      <c r="AZ34" s="107" cm="1">
        <f t="array" ref="AZ34">(SUM(AU34:AY34/SUM(AU$41:AY$41))*AZ$41)</f>
        <v>340.54094818012948</v>
      </c>
      <c r="BD34" s="42"/>
    </row>
    <row r="35" spans="1:56" ht="15.75">
      <c r="A35" s="93" t="s">
        <v>80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213" cm="1">
        <f t="array" ref="AK35">INDEX('[3]EU Corn Exports'!$IP$294:$PM$294,1,ROW(A7))</f>
        <v>107.30201199999988</v>
      </c>
      <c r="AL35" s="213" cm="1">
        <f t="array" ref="AL35">INDEX('[3]EU Corn Exports'!$JB$294:$PM$294,1,ROW(A7))</f>
        <v>250.08315800000037</v>
      </c>
      <c r="AM35" s="213" cm="1">
        <f t="array" ref="AM35">INDEX('[3]EU Corn Exports'!$JN$294:$PM$294,1,ROW(A7))</f>
        <v>308.26370099999986</v>
      </c>
      <c r="AN35" s="213" cm="1">
        <f t="array" ref="AN35">INDEX('[3]EU Corn Exports'!$JZ$294:$PM$294,1,ROW(A7))</f>
        <v>154.37672100000032</v>
      </c>
      <c r="AO35" s="213" cm="1">
        <f t="array" ref="AO35">INDEX('[3]EU Corn Exports'!$KL$294:$PM$294,1,ROW(A7))</f>
        <v>426.10264799999982</v>
      </c>
      <c r="AP35" s="213" cm="1">
        <f t="array" ref="AP35">INDEX('[3]EU Corn Exports'!$KX$294:$PM$294,1,ROW(A7))</f>
        <v>199.59906899999987</v>
      </c>
      <c r="AQ35" s="213" cm="1">
        <f t="array" ref="AQ35">INDEX('[3]EU Corn Exports'!$LJ$294:$PM$294,1,ROW(A7))</f>
        <v>210.36393999999996</v>
      </c>
      <c r="AR35" s="213" cm="1">
        <f t="array" ref="AR35">INDEX('[3]EU Corn Exports'!$LV$294:$PM$294,1,ROW(A7))</f>
        <v>379.64752099999987</v>
      </c>
      <c r="AS35" s="213" cm="1">
        <f t="array" ref="AS35">INDEX('[3]EU Corn Exports'!$MH$294:$PM$294,1,ROW(A7))</f>
        <v>444.84438999999998</v>
      </c>
      <c r="AT35" s="213" cm="1">
        <f t="array" ref="AT35">INDEX('[3]EU Corn Exports'!$MT$294:$PM$294,1,ROW(A7))</f>
        <v>565.38699999999994</v>
      </c>
      <c r="AU35" s="213" cm="1">
        <f t="array" ref="AU35">INDEX('[3]EU Corn Exports'!$NF$294:$PM$294,1,ROW(A7))</f>
        <v>263.62099999999998</v>
      </c>
      <c r="AV35" s="213" cm="1">
        <f t="array" ref="AV35">INDEX('[3]EU Corn Exports'!$NR$294:$PM$294,1,ROW(A7))</f>
        <v>314.88600000000002</v>
      </c>
      <c r="AW35" s="213" cm="1">
        <f t="array" ref="AW35">INDEX('[3]EU Corn Exports'!$OD$294:$PM$294,1,ROW(A7))</f>
        <v>640.41</v>
      </c>
      <c r="AX35" s="213" cm="1">
        <f t="array" ref="AX35">INDEX('[3]EU Corn Exports'!$OP$294:$PM$294,1,ROW(A7))</f>
        <v>448.38799999999998</v>
      </c>
      <c r="AY35" s="107">
        <f t="shared" si="14"/>
        <v>245.88474234769939</v>
      </c>
      <c r="AZ35" s="107" cm="1">
        <f t="array" ref="AZ35">(SUM(AU35:AY35/SUM(AU$41:AY$41))*AZ$41)</f>
        <v>275.02925170199575</v>
      </c>
      <c r="BD35" s="42"/>
    </row>
    <row r="36" spans="1:56" ht="15.75">
      <c r="A36" s="93" t="s">
        <v>81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213" cm="1">
        <f t="array" ref="AK36">INDEX('[3]EU Corn Exports'!$IP$294:$PM$294,1,ROW(A8))</f>
        <v>116.30946499999982</v>
      </c>
      <c r="AL36" s="213" cm="1">
        <f t="array" ref="AL36">INDEX('[3]EU Corn Exports'!$JB$294:$PM$294,1,ROW(A8))</f>
        <v>316.69341200000031</v>
      </c>
      <c r="AM36" s="213" cm="1">
        <f t="array" ref="AM36">INDEX('[3]EU Corn Exports'!$JN$294:$PM$294,1,ROW(A8))</f>
        <v>392.54721199999972</v>
      </c>
      <c r="AN36" s="213" cm="1">
        <f t="array" ref="AN36">INDEX('[3]EU Corn Exports'!$JZ$294:$PM$294,1,ROW(A8))</f>
        <v>168.15944499999978</v>
      </c>
      <c r="AO36" s="213" cm="1">
        <f t="array" ref="AO36">INDEX('[3]EU Corn Exports'!$KL$294:$PM$294,1,ROW(A8))</f>
        <v>539.23398599999973</v>
      </c>
      <c r="AP36" s="213" cm="1">
        <f t="array" ref="AP36">INDEX('[3]EU Corn Exports'!$KX$294:$PM$294,1,ROW(A8))</f>
        <v>268.44701200000009</v>
      </c>
      <c r="AQ36" s="213" cm="1">
        <f t="array" ref="AQ36">INDEX('[3]EU Corn Exports'!$LJ$294:$PM$294,1,ROW(A8))</f>
        <v>218.03372800000011</v>
      </c>
      <c r="AR36" s="213" cm="1">
        <f t="array" ref="AR36">INDEX('[3]EU Corn Exports'!$LV$294:$PM$294,1,ROW(A8))</f>
        <v>234.72898000000009</v>
      </c>
      <c r="AS36" s="213" cm="1">
        <f t="array" ref="AS36">INDEX('[3]EU Corn Exports'!$MH$294:$PM$294,1,ROW(A8))</f>
        <v>371.61093899999992</v>
      </c>
      <c r="AT36" s="213" cm="1">
        <f t="array" ref="AT36">INDEX('[3]EU Corn Exports'!$MT$294:$PM$294,1,ROW(A8))</f>
        <v>286.35599999999999</v>
      </c>
      <c r="AU36" s="213" cm="1">
        <f t="array" ref="AU36">INDEX('[3]EU Corn Exports'!$NF$294:$PM$294,1,ROW(A8))</f>
        <v>304.25400000000002</v>
      </c>
      <c r="AV36" s="213" cm="1">
        <f t="array" ref="AV36">INDEX('[3]EU Corn Exports'!$NR$294:$PM$294,1,ROW(A8))</f>
        <v>378.19299999999998</v>
      </c>
      <c r="AW36" s="213" cm="1">
        <f t="array" ref="AW36">INDEX('[3]EU Corn Exports'!$OD$294:$PM$294,1,ROW(A8))</f>
        <v>663.16700000000003</v>
      </c>
      <c r="AX36" s="213" cm="1">
        <f t="array" ref="AX36">INDEX('[3]EU Corn Exports'!$OP$294:$PM$294,1,ROW(A8))</f>
        <v>321.024</v>
      </c>
      <c r="AY36" s="107">
        <f t="shared" si="14"/>
        <v>215.08180550501496</v>
      </c>
      <c r="AZ36" s="107" cm="1">
        <f t="array" ref="AZ36">(SUM(AU36:AY36/SUM(AU$41:AY$41))*AZ$41)</f>
        <v>270.50531296796731</v>
      </c>
      <c r="BD36" s="42"/>
    </row>
    <row r="37" spans="1:56" ht="15.75">
      <c r="A37" s="93" t="s">
        <v>82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213" cm="1">
        <f t="array" ref="AK37">INDEX('[3]EU Corn Exports'!$IP$294:$PM$294,1,ROW(A9))</f>
        <v>94.37524099999996</v>
      </c>
      <c r="AL37" s="213" cm="1">
        <f t="array" ref="AL37">INDEX('[3]EU Corn Exports'!$JB$294:$PM$294,1,ROW(A9))</f>
        <v>315.63368500000024</v>
      </c>
      <c r="AM37" s="213" cm="1">
        <f t="array" ref="AM37">INDEX('[3]EU Corn Exports'!$JN$294:$PM$294,1,ROW(A9))</f>
        <v>194.35859800000026</v>
      </c>
      <c r="AN37" s="213" cm="1">
        <f t="array" ref="AN37">INDEX('[3]EU Corn Exports'!$JZ$294:$PM$294,1,ROW(A9))</f>
        <v>192.52916600000003</v>
      </c>
      <c r="AO37" s="213" cm="1">
        <f t="array" ref="AO37">INDEX('[3]EU Corn Exports'!$KL$294:$PM$294,1,ROW(A9))</f>
        <v>600.61728300000004</v>
      </c>
      <c r="AP37" s="213" cm="1">
        <f t="array" ref="AP37">INDEX('[3]EU Corn Exports'!$KX$294:$PM$294,1,ROW(A9))</f>
        <v>322.37464799999998</v>
      </c>
      <c r="AQ37" s="213" cm="1">
        <f t="array" ref="AQ37">INDEX('[3]EU Corn Exports'!$LJ$294:$PM$294,1,ROW(A9))</f>
        <v>137.6729620000001</v>
      </c>
      <c r="AR37" s="213" cm="1">
        <f t="array" ref="AR37">INDEX('[3]EU Corn Exports'!$LV$294:$PM$294,1,ROW(A9))</f>
        <v>134.34097199999997</v>
      </c>
      <c r="AS37" s="213" cm="1">
        <f t="array" ref="AS37">INDEX('[3]EU Corn Exports'!$MH$294:$PM$294,1,ROW(A9))</f>
        <v>532.01192300000025</v>
      </c>
      <c r="AT37" s="213" cm="1">
        <f t="array" ref="AT37">INDEX('[3]EU Corn Exports'!$MT$294:$PM$294,1,ROW(A9))</f>
        <v>156.32900000000001</v>
      </c>
      <c r="AU37" s="213" cm="1">
        <f t="array" ref="AU37">INDEX('[3]EU Corn Exports'!$NF$294:$PM$294,1,ROW(A9))</f>
        <v>360.50599999999997</v>
      </c>
      <c r="AV37" s="213" cm="1">
        <f t="array" ref="AV37">INDEX('[3]EU Corn Exports'!$NR$294:$PM$294,1,ROW(A9))</f>
        <v>448.53</v>
      </c>
      <c r="AW37" s="213" cm="1">
        <f t="array" ref="AW37">INDEX('[3]EU Corn Exports'!$OD$294:$PM$294,1,ROW(A9))</f>
        <v>370.71</v>
      </c>
      <c r="AX37" s="213" cm="1">
        <f t="array" ref="AX37">INDEX('[3]EU Corn Exports'!$OP$294:$PM$294,1,ROW(A9))</f>
        <v>295.69200000000001</v>
      </c>
      <c r="AY37" s="107">
        <f t="shared" si="14"/>
        <v>179.70531016659638</v>
      </c>
      <c r="AZ37" s="107" cm="1">
        <f t="array" ref="AZ37">(SUM(AU37:AY37/SUM(AU$41:AY$41))*AZ$41)</f>
        <v>237.93396754055652</v>
      </c>
      <c r="BD37" s="42"/>
    </row>
    <row r="38" spans="1:56" ht="15.75">
      <c r="A38" s="93" t="s">
        <v>83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213" cm="1">
        <f t="array" ref="AK38">INDEX('[3]EU Corn Exports'!$IP$294:$PM$294,1,ROW(A10))</f>
        <v>114.17763100000002</v>
      </c>
      <c r="AL38" s="213" cm="1">
        <f t="array" ref="AL38">INDEX('[3]EU Corn Exports'!$JB$294:$PM$294,1,ROW(A10))</f>
        <v>128.55326900000023</v>
      </c>
      <c r="AM38" s="213" cm="1">
        <f t="array" ref="AM38">INDEX('[3]EU Corn Exports'!$JN$294:$PM$294,1,ROW(A10))</f>
        <v>459.12579299999993</v>
      </c>
      <c r="AN38" s="213" cm="1">
        <f t="array" ref="AN38">INDEX('[3]EU Corn Exports'!$JZ$294:$PM$294,1,ROW(A10))</f>
        <v>98.19664499999999</v>
      </c>
      <c r="AO38" s="213" cm="1">
        <f t="array" ref="AO38">INDEX('[3]EU Corn Exports'!$KL$294:$PM$294,1,ROW(A10))</f>
        <v>340.32236899999975</v>
      </c>
      <c r="AP38" s="213" cm="1">
        <f t="array" ref="AP38">INDEX('[3]EU Corn Exports'!$KX$294:$PM$294,1,ROW(A10))</f>
        <v>179.69619799999998</v>
      </c>
      <c r="AQ38" s="213" cm="1">
        <f t="array" ref="AQ38">INDEX('[3]EU Corn Exports'!$LJ$294:$PM$294,1,ROW(A10))</f>
        <v>88.556161999999972</v>
      </c>
      <c r="AR38" s="213" cm="1">
        <f t="array" ref="AR38">INDEX('[3]EU Corn Exports'!$LV$294:$PM$294,1,ROW(A10))</f>
        <v>99.486171000000013</v>
      </c>
      <c r="AS38" s="213" cm="1">
        <f t="array" ref="AS38">INDEX('[3]EU Corn Exports'!$MH$294:$PM$294,1,ROW(A10))</f>
        <v>136.75756999999999</v>
      </c>
      <c r="AT38" s="213" cm="1">
        <f t="array" ref="AT38">INDEX('[3]EU Corn Exports'!$MT$294:$PM$294,1,ROW(A10))</f>
        <v>81.766000000000005</v>
      </c>
      <c r="AU38" s="213" cm="1">
        <f t="array" ref="AU38">INDEX('[3]EU Corn Exports'!$NF$294:$PM$294,1,ROW(A10))</f>
        <v>144.55500000000001</v>
      </c>
      <c r="AV38" s="213" cm="1">
        <f t="array" ref="AV38">INDEX('[3]EU Corn Exports'!$NR$294:$PM$294,1,ROW(A10))</f>
        <v>149.88800000000001</v>
      </c>
      <c r="AW38" s="213" cm="1">
        <f t="array" ref="AW38">INDEX('[3]EU Corn Exports'!$OD$294:$PM$294,1,ROW(A10))</f>
        <v>186.30500000000001</v>
      </c>
      <c r="AX38" s="213" cm="1">
        <f t="array" ref="AX38">INDEX('[3]EU Corn Exports'!$OP$294:$PM$294,1,ROW(A10))</f>
        <v>113.18300000000001</v>
      </c>
      <c r="AY38" s="107">
        <f t="shared" si="14"/>
        <v>74.414018032990427</v>
      </c>
      <c r="AZ38" s="107" cm="1">
        <f t="array" ref="AZ38">(SUM(AU38:AY38/SUM(AU$41:AY$41))*AZ$41)</f>
        <v>96.077470059404135</v>
      </c>
      <c r="BD38" s="42"/>
    </row>
    <row r="39" spans="1:56" ht="15.75">
      <c r="A39" s="93" t="s">
        <v>84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213" cm="1">
        <f t="array" ref="AK39">INDEX('[3]EU Corn Exports'!$IP$294:$PM$294,1,ROW(A11))</f>
        <v>48.270520999999917</v>
      </c>
      <c r="AL39" s="213" cm="1">
        <f t="array" ref="AL39">INDEX('[3]EU Corn Exports'!$JB$294:$PM$294,1,ROW(A11))</f>
        <v>95.431871000000001</v>
      </c>
      <c r="AM39" s="213" cm="1">
        <f t="array" ref="AM39">INDEX('[3]EU Corn Exports'!$JN$294:$PM$294,1,ROW(A11))</f>
        <v>133.02782300000024</v>
      </c>
      <c r="AN39" s="213" cm="1">
        <f t="array" ref="AN39">INDEX('[3]EU Corn Exports'!$JZ$294:$PM$294,1,ROW(A11))</f>
        <v>75.340716000000043</v>
      </c>
      <c r="AO39" s="213" cm="1">
        <f t="array" ref="AO39">INDEX('[3]EU Corn Exports'!$KL$294:$PM$294,1,ROW(A11))</f>
        <v>232.15343699999994</v>
      </c>
      <c r="AP39" s="213" cm="1">
        <f t="array" ref="AP39">INDEX('[3]EU Corn Exports'!$KX$294:$PM$294,1,ROW(A11))</f>
        <v>186.7465820000001</v>
      </c>
      <c r="AQ39" s="213" cm="1">
        <f t="array" ref="AQ39">INDEX('[3]EU Corn Exports'!$LJ$294:$PM$294,1,ROW(A11))</f>
        <v>59.472098999999844</v>
      </c>
      <c r="AR39" s="213" cm="1">
        <f t="array" ref="AR39">INDEX('[3]EU Corn Exports'!$LV$294:$PM$294,1,ROW(A11))</f>
        <v>86.221884000000159</v>
      </c>
      <c r="AS39" s="213" cm="1">
        <f t="array" ref="AS39">INDEX('[3]EU Corn Exports'!$MH$294:$PM$294,1,ROW(A11))</f>
        <v>75.645516000000043</v>
      </c>
      <c r="AT39" s="213" cm="1">
        <f t="array" ref="AT39">INDEX('[3]EU Corn Exports'!$MT$294:$PM$294,1,ROW(A11))</f>
        <v>78.486000000000004</v>
      </c>
      <c r="AU39" s="213" cm="1">
        <f t="array" ref="AU39">INDEX('[3]EU Corn Exports'!$NF$294:$PM$294,1,ROW(A11))</f>
        <v>117.011</v>
      </c>
      <c r="AV39" s="213" cm="1">
        <f t="array" ref="AV39">INDEX('[3]EU Corn Exports'!$NR$294:$PM$294,1,ROW(A11))</f>
        <v>95.034000000000006</v>
      </c>
      <c r="AW39" s="213" cm="1">
        <f t="array" ref="AW39">INDEX('[3]EU Corn Exports'!$OD$294:$PM$294,1,ROW(A11))</f>
        <v>48.843000000000004</v>
      </c>
      <c r="AX39" s="213" cm="1">
        <f t="array" ref="AX39">INDEX('[3]EU Corn Exports'!$OP$294:$PM$294,1,ROW(A11))</f>
        <v>63.831000000000003</v>
      </c>
      <c r="AY39" s="107">
        <f t="shared" si="14"/>
        <v>44.404672717197059</v>
      </c>
      <c r="AZ39" s="107" cm="1">
        <f t="array" ref="AZ39">(SUM(AU39:AY39/SUM(AU$41:AY$41))*AZ$41)</f>
        <v>53.063115092979139</v>
      </c>
      <c r="BD39" s="42"/>
    </row>
    <row r="40" spans="1:56" ht="15.75">
      <c r="A40" s="93" t="s">
        <v>73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213" cm="1">
        <f t="array" ref="AK40">INDEX('[3]EU Corn Exports'!$IP$294:$PM$294,1,ROW(A12))</f>
        <v>142.555747</v>
      </c>
      <c r="AL40" s="213" cm="1">
        <f t="array" ref="AL40">INDEX('[3]EU Corn Exports'!$JB$294:$PM$294,1,ROW(A12))</f>
        <v>82.893911000000003</v>
      </c>
      <c r="AM40" s="213" cm="1">
        <f t="array" ref="AM40">INDEX('[3]EU Corn Exports'!$JN$294:$PM$294,1,ROW(A12))</f>
        <v>455.66843200000005</v>
      </c>
      <c r="AN40" s="213" cm="1">
        <f t="array" ref="AN40">INDEX('[3]EU Corn Exports'!$JZ$294:$PM$294,1,ROW(A12))</f>
        <v>340.02468599999997</v>
      </c>
      <c r="AO40" s="213" cm="1">
        <f t="array" ref="AO40">INDEX('[3]EU Corn Exports'!$KL$294:$PM$294,1,ROW(A12))</f>
        <v>210.25740699999983</v>
      </c>
      <c r="AP40" s="213" cm="1">
        <f t="array" ref="AP40">INDEX('[3]EU Corn Exports'!$KX$294:$PM$294,1,ROW(A12))</f>
        <v>233.31061999999997</v>
      </c>
      <c r="AQ40" s="213" cm="1">
        <f t="array" ref="AQ40">INDEX('[3]EU Corn Exports'!$LJ$294:$PM$294,1,ROW(A12))</f>
        <v>203.7023180000001</v>
      </c>
      <c r="AR40" s="213" cm="1">
        <f t="array" ref="AR40">INDEX('[3]EU Corn Exports'!$LV$294:$PM$294,1,ROW(A12))</f>
        <v>316.96666200000004</v>
      </c>
      <c r="AS40" s="213" cm="1">
        <f t="array" ref="AS40">INDEX('[3]EU Corn Exports'!$MH$294:$PM$294,1,ROW(A12))</f>
        <v>522.2141280000003</v>
      </c>
      <c r="AT40" s="213" cm="1">
        <f t="array" ref="AT40">INDEX('[3]EU Corn Exports'!$MT$294:$PM$294,1,ROW(A12))</f>
        <v>306.06299999999999</v>
      </c>
      <c r="AU40" s="213" cm="1">
        <f t="array" ref="AU40">INDEX('[3]EU Corn Exports'!$NF$294:$PM$294,1,ROW(A12))</f>
        <v>488.53699999999998</v>
      </c>
      <c r="AV40" s="213" cm="1">
        <f t="array" ref="AV40">INDEX('[3]EU Corn Exports'!$NR$294:$PM$294,1,ROW(A12))</f>
        <v>148.476</v>
      </c>
      <c r="AW40" s="213" cm="1">
        <f t="array" ref="AW40">INDEX('[3]EU Corn Exports'!$OD$294:$PM$294,1,ROW(A12))</f>
        <v>347.26100000000002</v>
      </c>
      <c r="AX40" s="213" cm="1">
        <f t="array" ref="AX40">INDEX('[3]EU Corn Exports'!$OP$294:$PM$294,1,ROW(A12))</f>
        <v>114.236</v>
      </c>
      <c r="AY40" s="107">
        <f t="shared" si="14"/>
        <v>154.68460056897018</v>
      </c>
      <c r="AZ40" s="107" cm="1">
        <f t="array" ref="AZ40">(SUM(AU40:AY40/SUM(AU$41:AY$41))*AZ$41)</f>
        <v>180.15211225653044</v>
      </c>
      <c r="BD40" s="42"/>
    </row>
    <row r="41" spans="1:56" ht="15.75">
      <c r="A41" s="93" t="s">
        <v>85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42">
        <f>SUM(AK29:AK40)</f>
        <v>1563.9342650000003</v>
      </c>
      <c r="AL41" s="42">
        <f t="shared" ref="AL41:AW41" si="15">SUM(AL29:AL40)</f>
        <v>3763.5967590000009</v>
      </c>
      <c r="AM41" s="42">
        <f t="shared" si="15"/>
        <v>3151.6569969999996</v>
      </c>
      <c r="AN41" s="42">
        <f t="shared" si="15"/>
        <v>3365.7837730000001</v>
      </c>
      <c r="AO41" s="42">
        <f t="shared" si="15"/>
        <v>4898.0102289999986</v>
      </c>
      <c r="AP41" s="42">
        <f t="shared" si="15"/>
        <v>2632.2389910000002</v>
      </c>
      <c r="AQ41" s="42">
        <f t="shared" si="15"/>
        <v>2790.4978260000003</v>
      </c>
      <c r="AR41" s="42">
        <f t="shared" si="15"/>
        <v>2703.4515650000003</v>
      </c>
      <c r="AS41" s="42">
        <f t="shared" si="15"/>
        <v>4230.8449900000005</v>
      </c>
      <c r="AT41" s="42">
        <f t="shared" si="15"/>
        <v>5339.677999999999</v>
      </c>
      <c r="AU41" s="42">
        <f t="shared" si="15"/>
        <v>3720.3249999999994</v>
      </c>
      <c r="AV41" s="42">
        <f t="shared" si="15"/>
        <v>5995.9149999999991</v>
      </c>
      <c r="AW41" s="42">
        <f t="shared" si="15"/>
        <v>4174.3229999999994</v>
      </c>
      <c r="AX41" s="42">
        <f>SUM(AX29:AX40)</f>
        <v>4378.3779999999997</v>
      </c>
      <c r="AY41" s="107">
        <v>2600</v>
      </c>
      <c r="AZ41" s="107">
        <v>3000</v>
      </c>
    </row>
    <row r="42" spans="1:56" ht="16.5" thickBot="1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107"/>
      <c r="AY42" s="107"/>
      <c r="AZ42" s="107"/>
    </row>
    <row r="43" spans="1:56" ht="15.75">
      <c r="A43" s="98" t="s">
        <v>252</v>
      </c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</row>
    <row r="44" spans="1:56" ht="16.5" thickBot="1">
      <c r="A44" s="93" t="s">
        <v>86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</row>
    <row r="45" spans="1:56" ht="16.5" thickBo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5" t="str">
        <f t="shared" ref="Z45:AZ45" si="16">Z2</f>
        <v xml:space="preserve">98/99 </v>
      </c>
      <c r="AA45" s="95" t="str">
        <f t="shared" si="16"/>
        <v xml:space="preserve">99/00 </v>
      </c>
      <c r="AB45" s="95" t="str">
        <f t="shared" si="16"/>
        <v xml:space="preserve">00/01 </v>
      </c>
      <c r="AC45" s="95" t="str">
        <f t="shared" si="16"/>
        <v xml:space="preserve">01/02 </v>
      </c>
      <c r="AD45" s="95" t="str">
        <f t="shared" si="16"/>
        <v xml:space="preserve">02/03 </v>
      </c>
      <c r="AE45" s="95" t="str">
        <f t="shared" si="16"/>
        <v xml:space="preserve">03/04 </v>
      </c>
      <c r="AF45" s="95" t="str">
        <f t="shared" si="16"/>
        <v xml:space="preserve">04/05 </v>
      </c>
      <c r="AG45" s="95" t="str">
        <f t="shared" si="16"/>
        <v xml:space="preserve">05/06 </v>
      </c>
      <c r="AH45" s="95" t="str">
        <f t="shared" si="16"/>
        <v xml:space="preserve">06/07 </v>
      </c>
      <c r="AI45" s="95" t="str">
        <f t="shared" si="16"/>
        <v xml:space="preserve">07/08 </v>
      </c>
      <c r="AJ45" s="95" t="str">
        <f t="shared" si="16"/>
        <v xml:space="preserve">08/09 </v>
      </c>
      <c r="AK45" s="95" t="str">
        <f t="shared" si="16"/>
        <v>10/11</v>
      </c>
      <c r="AL45" s="95" t="str">
        <f t="shared" si="16"/>
        <v>11/12</v>
      </c>
      <c r="AM45" s="95" t="str">
        <f t="shared" si="16"/>
        <v xml:space="preserve">12/13 </v>
      </c>
      <c r="AN45" s="95" t="str">
        <f t="shared" si="16"/>
        <v xml:space="preserve">13/14 </v>
      </c>
      <c r="AO45" s="95" t="str">
        <f t="shared" si="16"/>
        <v xml:space="preserve">14/15 </v>
      </c>
      <c r="AP45" s="95" t="str">
        <f t="shared" si="16"/>
        <v xml:space="preserve">15/16 </v>
      </c>
      <c r="AQ45" s="95" t="str">
        <f t="shared" si="16"/>
        <v xml:space="preserve">16/17 </v>
      </c>
      <c r="AR45" s="95" t="str">
        <f t="shared" si="16"/>
        <v xml:space="preserve">17/18 </v>
      </c>
      <c r="AS45" s="95" t="str">
        <f t="shared" si="16"/>
        <v xml:space="preserve">18/19 </v>
      </c>
      <c r="AT45" s="95" t="str">
        <f t="shared" si="16"/>
        <v>19/20</v>
      </c>
      <c r="AU45" s="95" t="str">
        <f t="shared" si="16"/>
        <v>20/21</v>
      </c>
      <c r="AV45" s="95" t="str">
        <f t="shared" si="16"/>
        <v>21/22</v>
      </c>
      <c r="AW45" s="95" t="str">
        <f t="shared" si="16"/>
        <v>22/23</v>
      </c>
      <c r="AX45" s="95" t="str">
        <f t="shared" si="16"/>
        <v>23/24</v>
      </c>
      <c r="AY45" s="95" t="str">
        <f t="shared" si="16"/>
        <v>24/25</v>
      </c>
      <c r="AZ45" s="95" t="str">
        <f t="shared" si="16"/>
        <v>25/26</v>
      </c>
    </row>
    <row r="46" spans="1:56" ht="15.75">
      <c r="A46" s="93" t="s">
        <v>74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213" t="e" cm="1">
        <f t="array" ref="AA46">INDEX(#REF!,1,ROW(A1))</f>
        <v>#REF!</v>
      </c>
      <c r="AB46" s="213" t="e" cm="1">
        <f t="array" ref="AB46">INDEX(#REF!,1,ROW(A1))</f>
        <v>#REF!</v>
      </c>
      <c r="AC46" s="213" t="e" cm="1">
        <f t="array" ref="AC46">INDEX(#REF!,1,ROW(A1))</f>
        <v>#REF!</v>
      </c>
      <c r="AD46" s="213" t="e" cm="1">
        <f t="array" ref="AD46">INDEX(#REF!,1,ROW(A1))</f>
        <v>#REF!</v>
      </c>
      <c r="AE46" s="213" t="e" cm="1">
        <f t="array" ref="AE46">INDEX(#REF!,1,ROW(A1))</f>
        <v>#REF!</v>
      </c>
      <c r="AF46" s="213" t="e" cm="1">
        <f t="array" ref="AF46">INDEX(#REF!,1,ROW(A1))</f>
        <v>#REF!</v>
      </c>
      <c r="AG46" s="213" t="e" cm="1">
        <f t="array" ref="AG46">INDEX(#REF!,1,ROW(A1))</f>
        <v>#REF!</v>
      </c>
      <c r="AH46" s="213" t="e" cm="1">
        <f t="array" ref="AH46">INDEX(#REF!,1,ROW(A1))</f>
        <v>#REF!</v>
      </c>
      <c r="AI46" s="213" t="e" cm="1">
        <f t="array" ref="AI46">INDEX(#REF!,1,ROW(A1))</f>
        <v>#REF!</v>
      </c>
      <c r="AJ46" s="213" t="e" cm="1">
        <f t="array" ref="AJ46">INDEX(#REF!,1,ROW(A1))</f>
        <v>#REF!</v>
      </c>
      <c r="AK46" s="213" cm="1">
        <f t="array" ref="AK46">INDEX('[3]EU Corn Imports'!$IP$294:$PM$294,1,ROW(A1))</f>
        <v>736.59353799999997</v>
      </c>
      <c r="AL46" s="213" cm="1">
        <f t="array" ref="AL46">INDEX('[3]EU Corn Imports'!$JB$294:$PM$294,1,ROW(B1))</f>
        <v>57.435765000000174</v>
      </c>
      <c r="AM46" s="213" cm="1">
        <f t="array" ref="AM46">INDEX('[3]EU Corn Imports'!$JN$294:$PM$294,1,ROW(C1))</f>
        <v>626.18399099999988</v>
      </c>
      <c r="AN46" s="213" cm="1">
        <f t="array" ref="AN46">INDEX('[3]EU Corn Imports'!$JZ$294:$PM$294,1,ROW(D1))</f>
        <v>325.89589300000011</v>
      </c>
      <c r="AO46" s="213" cm="1">
        <f t="array" ref="AO46">INDEX('[3]EU Corn Imports'!$KL$294:$PM$294,1,ROW(E1))</f>
        <v>529.02434900000003</v>
      </c>
      <c r="AP46" s="213" cm="1">
        <f t="array" ref="AP46">INDEX('[3]EU Corn Imports'!$KX$294:$PM$294,1,ROW(F1))</f>
        <v>1063.9176489999993</v>
      </c>
      <c r="AQ46" s="213" cm="1">
        <f t="array" ref="AQ46">INDEX('[3]EU Corn Imports'!$LJ$294:$PM$294,1,ROW(G1))</f>
        <v>558.13332300000025</v>
      </c>
      <c r="AR46" s="213" cm="1">
        <f t="array" ref="AR46">INDEX('[3]EU Corn Imports'!$LV$294:$PM$294,1,ROW(H1))</f>
        <v>1407.2715780000003</v>
      </c>
      <c r="AS46" s="213" cm="1">
        <f t="array" ref="AS46">INDEX('[3]EU Corn Imports'!$MH$294:$PM$294,1,ROW(I1))</f>
        <v>1740.9258359999999</v>
      </c>
      <c r="AT46" s="213" cm="1">
        <f t="array" ref="AT46">INDEX('[3]EU Corn Imports'!$MT$294:$PM$294,1,ROW(J1))</f>
        <v>1606.4880000000001</v>
      </c>
      <c r="AU46" s="213" cm="1">
        <f t="array" ref="AU46">INDEX('[3]EU Corn Imports'!$NF$294:$PM$294,1,ROW(K1))</f>
        <v>1286.3420000000001</v>
      </c>
      <c r="AV46" s="213" cm="1">
        <f t="array" ref="AV46">INDEX('[3]EU Corn Imports'!$NR$294:$PM$294,1,ROW(L1))</f>
        <v>686.29</v>
      </c>
      <c r="AW46" s="213" cm="1">
        <f t="array" ref="AW46">INDEX('[3]EU Corn Imports'!$OD$294:$PM$294,1,ROW(M1))</f>
        <v>2459.5219999999999</v>
      </c>
      <c r="AX46" s="213" cm="1">
        <f t="array" ref="AX46">INDEX('[3]EU Corn Imports'!$OP$294:$PM$294,1,ROW(N1))</f>
        <v>1383.4059999999999</v>
      </c>
      <c r="AY46" s="213" cm="1">
        <f t="array" ref="AY46">INDEX('[3]EU Corn Imports'!$PB$294:$ZZ$294,1,ROW(N1))</f>
        <v>1911.9570000000001</v>
      </c>
      <c r="AZ46" s="221" cm="1">
        <f t="array" ref="AZ46">(SUM(AU46:AY46/SUM(AU$58:AY$58))*AZ$58)</f>
        <v>1487.9854327385242</v>
      </c>
    </row>
    <row r="47" spans="1:56" ht="15.75">
      <c r="A47" s="93" t="s">
        <v>75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213" t="e" cm="1">
        <f t="array" ref="AA47">INDEX(#REF!,1,ROW(A2))</f>
        <v>#REF!</v>
      </c>
      <c r="AB47" s="213" t="e" cm="1">
        <f t="array" ref="AB47">INDEX(#REF!,1,ROW(A2))</f>
        <v>#REF!</v>
      </c>
      <c r="AC47" s="213" t="e" cm="1">
        <f t="array" ref="AC47">INDEX(#REF!,1,ROW(A2))</f>
        <v>#REF!</v>
      </c>
      <c r="AD47" s="213" t="e" cm="1">
        <f t="array" ref="AD47">INDEX(#REF!,1,ROW(A2))</f>
        <v>#REF!</v>
      </c>
      <c r="AE47" s="213" t="e" cm="1">
        <f t="array" ref="AE47">INDEX(#REF!,1,ROW(A2))</f>
        <v>#REF!</v>
      </c>
      <c r="AF47" s="213" t="e" cm="1">
        <f t="array" ref="AF47">INDEX(#REF!,1,ROW(A2))</f>
        <v>#REF!</v>
      </c>
      <c r="AG47" s="213" t="e" cm="1">
        <f t="array" ref="AG47">INDEX(#REF!,1,ROW(A2))</f>
        <v>#REF!</v>
      </c>
      <c r="AH47" s="213" t="e" cm="1">
        <f t="array" ref="AH47">INDEX(#REF!,1,ROW(A2))</f>
        <v>#REF!</v>
      </c>
      <c r="AI47" s="213" t="e" cm="1">
        <f t="array" ref="AI47">INDEX(#REF!,1,ROW(A2))</f>
        <v>#REF!</v>
      </c>
      <c r="AJ47" s="213" t="e" cm="1">
        <f t="array" ref="AJ47">INDEX(#REF!,1,ROW(A2))</f>
        <v>#REF!</v>
      </c>
      <c r="AK47" s="213" cm="1">
        <f t="array" ref="AK47">INDEX('[3]EU Corn Imports'!$IP$294:$PM$294,1,ROW(A2))</f>
        <v>398.09232499999985</v>
      </c>
      <c r="AL47" s="213" cm="1">
        <f t="array" ref="AL47">INDEX('[3]EU Corn Imports'!$JB$294:$PM$294,1,ROW(B2))</f>
        <v>598.90060600000015</v>
      </c>
      <c r="AM47" s="213" cm="1">
        <f t="array" ref="AM47">INDEX('[3]EU Corn Imports'!$JN$294:$PM$294,1,ROW(C2))</f>
        <v>1470.123198</v>
      </c>
      <c r="AN47" s="213" cm="1">
        <f t="array" ref="AN47">INDEX('[3]EU Corn Imports'!$JZ$294:$PM$294,1,ROW(D2))</f>
        <v>948.83181699999977</v>
      </c>
      <c r="AO47" s="213" cm="1">
        <f t="array" ref="AO47">INDEX('[3]EU Corn Imports'!$KL$294:$PM$294,1,ROW(E2))</f>
        <v>292.28410099999974</v>
      </c>
      <c r="AP47" s="213" cm="1">
        <f t="array" ref="AP47">INDEX('[3]EU Corn Imports'!$KX$294:$PM$294,1,ROW(F2))</f>
        <v>1476.2601389999993</v>
      </c>
      <c r="AQ47" s="213" cm="1">
        <f t="array" ref="AQ47">INDEX('[3]EU Corn Imports'!$LJ$294:$PM$294,1,ROW(G2))</f>
        <v>852.86562200000026</v>
      </c>
      <c r="AR47" s="213" cm="1">
        <f t="array" ref="AR47">INDEX('[3]EU Corn Imports'!$LV$294:$PM$294,1,ROW(H2))</f>
        <v>1015.4557760000002</v>
      </c>
      <c r="AS47" s="213" cm="1">
        <f t="array" ref="AS47">INDEX('[3]EU Corn Imports'!$MH$294:$PM$294,1,ROW(I2))</f>
        <v>2188.0250160000005</v>
      </c>
      <c r="AT47" s="213" cm="1">
        <f t="array" ref="AT47">INDEX('[3]EU Corn Imports'!$MT$294:$PM$294,1,ROW(J2))</f>
        <v>1985.7139999999999</v>
      </c>
      <c r="AU47" s="213" cm="1">
        <f t="array" ref="AU47">INDEX('[3]EU Corn Imports'!$NF$294:$PM$294,1,ROW(K2))</f>
        <v>1494.9480000000001</v>
      </c>
      <c r="AV47" s="213" cm="1">
        <f t="array" ref="AV47">INDEX('[3]EU Corn Imports'!$NR$294:$PM$294,1,ROW(L2))</f>
        <v>1035.711</v>
      </c>
      <c r="AW47" s="213" cm="1">
        <f t="array" ref="AW47">INDEX('[3]EU Corn Imports'!$OD$294:$PM$294,1,ROW(M2))</f>
        <v>2839.1610000000001</v>
      </c>
      <c r="AX47" s="213" cm="1">
        <f t="array" ref="AX47">INDEX('[3]EU Corn Imports'!$OP$294:$PM$294,1,ROW(N2))</f>
        <v>1513.0409999999999</v>
      </c>
      <c r="AY47" s="213" cm="1">
        <f t="array" ref="AY47">INDEX('[3]EU Corn Imports'!$PB$294:$ZZ$294,1,ROW(N2))</f>
        <v>1198.596</v>
      </c>
      <c r="AZ47" s="221" cm="1">
        <f t="array" ref="AZ47">(SUM(AU47:AY47/SUM(AU$58:AY$58))*AZ$58)</f>
        <v>1556.1389630463154</v>
      </c>
    </row>
    <row r="48" spans="1:56" ht="15.75">
      <c r="A48" s="93" t="s">
        <v>76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213" t="e" cm="1">
        <f t="array" ref="AA48">INDEX(#REF!,1,ROW(A3))</f>
        <v>#REF!</v>
      </c>
      <c r="AB48" s="213" t="e" cm="1">
        <f t="array" ref="AB48">INDEX(#REF!,1,ROW(A3))</f>
        <v>#REF!</v>
      </c>
      <c r="AC48" s="213" t="e" cm="1">
        <f t="array" ref="AC48">INDEX(#REF!,1,ROW(A3))</f>
        <v>#REF!</v>
      </c>
      <c r="AD48" s="213" t="e" cm="1">
        <f t="array" ref="AD48">INDEX(#REF!,1,ROW(A3))</f>
        <v>#REF!</v>
      </c>
      <c r="AE48" s="213" t="e" cm="1">
        <f t="array" ref="AE48">INDEX(#REF!,1,ROW(A3))</f>
        <v>#REF!</v>
      </c>
      <c r="AF48" s="213" t="e" cm="1">
        <f t="array" ref="AF48">INDEX(#REF!,1,ROW(A3))</f>
        <v>#REF!</v>
      </c>
      <c r="AG48" s="213" t="e" cm="1">
        <f t="array" ref="AG48">INDEX(#REF!,1,ROW(A3))</f>
        <v>#REF!</v>
      </c>
      <c r="AH48" s="213" t="e" cm="1">
        <f t="array" ref="AH48">INDEX(#REF!,1,ROW(A3))</f>
        <v>#REF!</v>
      </c>
      <c r="AI48" s="213" t="e" cm="1">
        <f t="array" ref="AI48">INDEX(#REF!,1,ROW(A3))</f>
        <v>#REF!</v>
      </c>
      <c r="AJ48" s="213" t="e" cm="1">
        <f t="array" ref="AJ48">INDEX(#REF!,1,ROW(A3))</f>
        <v>#REF!</v>
      </c>
      <c r="AK48" s="213" cm="1">
        <f t="array" ref="AK48">INDEX('[3]EU Corn Imports'!$IP$294:$PM$294,1,ROW(A3))</f>
        <v>468.29104900000038</v>
      </c>
      <c r="AL48" s="213" cm="1">
        <f t="array" ref="AL48">INDEX('[3]EU Corn Imports'!$JB$294:$PM$294,1,ROW(B3))</f>
        <v>759.02284800000007</v>
      </c>
      <c r="AM48" s="213" cm="1">
        <f t="array" ref="AM48">INDEX('[3]EU Corn Imports'!$JN$294:$PM$294,1,ROW(C3))</f>
        <v>1462.4170269999997</v>
      </c>
      <c r="AN48" s="213" cm="1">
        <f t="array" ref="AN48">INDEX('[3]EU Corn Imports'!$JZ$294:$PM$294,1,ROW(D3))</f>
        <v>2003.5804759999999</v>
      </c>
      <c r="AO48" s="213" cm="1">
        <f t="array" ref="AO48">INDEX('[3]EU Corn Imports'!$KL$294:$PM$294,1,ROW(E3))</f>
        <v>796.72727900000018</v>
      </c>
      <c r="AP48" s="213" cm="1">
        <f t="array" ref="AP48">INDEX('[3]EU Corn Imports'!$KX$294:$PM$294,1,ROW(F3))</f>
        <v>1857.1190930000005</v>
      </c>
      <c r="AQ48" s="213" cm="1">
        <f t="array" ref="AQ48">INDEX('[3]EU Corn Imports'!$LJ$294:$PM$294,1,ROW(G3))</f>
        <v>1175.3291350000002</v>
      </c>
      <c r="AR48" s="213" cm="1">
        <f t="array" ref="AR48">INDEX('[3]EU Corn Imports'!$LV$294:$PM$294,1,ROW(H3))</f>
        <v>1530.5386870000002</v>
      </c>
      <c r="AS48" s="213" cm="1">
        <f t="array" ref="AS48">INDEX('[3]EU Corn Imports'!$MH$294:$PM$294,1,ROW(I3))</f>
        <v>2907.8494280000004</v>
      </c>
      <c r="AT48" s="213" cm="1">
        <f t="array" ref="AT48">INDEX('[3]EU Corn Imports'!$MT$294:$PM$294,1,ROW(J3))</f>
        <v>2214.63</v>
      </c>
      <c r="AU48" s="213" cm="1">
        <f t="array" ref="AU48">INDEX('[3]EU Corn Imports'!$NF$294:$PM$294,1,ROW(K3))</f>
        <v>1439.7760000000001</v>
      </c>
      <c r="AV48" s="213" cm="1">
        <f t="array" ref="AV48">INDEX('[3]EU Corn Imports'!$NR$294:$PM$294,1,ROW(L3))</f>
        <v>2018.559</v>
      </c>
      <c r="AW48" s="213" cm="1">
        <f t="array" ref="AW48">INDEX('[3]EU Corn Imports'!$OD$294:$PM$294,1,ROW(M3))</f>
        <v>2562.64</v>
      </c>
      <c r="AX48" s="213" cm="1">
        <f t="array" ref="AX48">INDEX('[3]EU Corn Imports'!$OP$294:$PM$294,1,ROW(N3))</f>
        <v>1653.3520000000001</v>
      </c>
      <c r="AY48" s="222">
        <f t="shared" ref="AY48" si="17">(SUM(AT48:AX48)/SUM(AT$58:AX$58))*AY$58</f>
        <v>2038.4224199159992</v>
      </c>
      <c r="AZ48" s="221" cm="1">
        <f t="array" ref="AZ48">(SUM(AU48:AY48/SUM(AU$58:AY$58))*AZ$58)</f>
        <v>1870.2553030520098</v>
      </c>
    </row>
    <row r="49" spans="1:52" ht="15.75">
      <c r="A49" s="93" t="s">
        <v>77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213" t="e" cm="1">
        <f t="array" ref="AA49">INDEX(#REF!,1,ROW(A4))</f>
        <v>#REF!</v>
      </c>
      <c r="AB49" s="213" t="e" cm="1">
        <f t="array" ref="AB49">INDEX(#REF!,1,ROW(A4))</f>
        <v>#REF!</v>
      </c>
      <c r="AC49" s="213" t="e" cm="1">
        <f t="array" ref="AC49">INDEX(#REF!,1,ROW(A4))</f>
        <v>#REF!</v>
      </c>
      <c r="AD49" s="213" t="e" cm="1">
        <f t="array" ref="AD49">INDEX(#REF!,1,ROW(A4))</f>
        <v>#REF!</v>
      </c>
      <c r="AE49" s="213" t="e" cm="1">
        <f t="array" ref="AE49">INDEX(#REF!,1,ROW(A4))</f>
        <v>#REF!</v>
      </c>
      <c r="AF49" s="213" t="e" cm="1">
        <f t="array" ref="AF49">INDEX(#REF!,1,ROW(A4))</f>
        <v>#REF!</v>
      </c>
      <c r="AG49" s="213" t="e" cm="1">
        <f t="array" ref="AG49">INDEX(#REF!,1,ROW(A4))</f>
        <v>#REF!</v>
      </c>
      <c r="AH49" s="213" t="e" cm="1">
        <f t="array" ref="AH49">INDEX(#REF!,1,ROW(A4))</f>
        <v>#REF!</v>
      </c>
      <c r="AI49" s="213" t="e" cm="1">
        <f t="array" ref="AI49">INDEX(#REF!,1,ROW(A4))</f>
        <v>#REF!</v>
      </c>
      <c r="AJ49" s="213" t="e" cm="1">
        <f t="array" ref="AJ49">INDEX(#REF!,1,ROW(A4))</f>
        <v>#REF!</v>
      </c>
      <c r="AK49" s="213" cm="1">
        <f t="array" ref="AK49">INDEX('[3]EU Corn Imports'!$IP$294:$PM$294,1,ROW(A4))</f>
        <v>826.83445400000016</v>
      </c>
      <c r="AL49" s="213" cm="1">
        <f t="array" ref="AL49">INDEX('[3]EU Corn Imports'!$JB$294:$PM$294,1,ROW(B4))</f>
        <v>587.41587099999992</v>
      </c>
      <c r="AM49" s="213" cm="1">
        <f t="array" ref="AM49">INDEX('[3]EU Corn Imports'!$JN$294:$PM$294,1,ROW(C4))</f>
        <v>1738.4482370000005</v>
      </c>
      <c r="AN49" s="213" cm="1">
        <f t="array" ref="AN49">INDEX('[3]EU Corn Imports'!$JZ$294:$PM$294,1,ROW(D4))</f>
        <v>2257.862873</v>
      </c>
      <c r="AO49" s="213" cm="1">
        <f t="array" ref="AO49">INDEX('[3]EU Corn Imports'!$KL$294:$PM$294,1,ROW(E4))</f>
        <v>1028.0829200000005</v>
      </c>
      <c r="AP49" s="213" cm="1">
        <f t="array" ref="AP49">INDEX('[3]EU Corn Imports'!$KX$294:$PM$294,1,ROW(F4))</f>
        <v>1660.9360550000001</v>
      </c>
      <c r="AQ49" s="213" cm="1">
        <f t="array" ref="AQ49">INDEX('[3]EU Corn Imports'!$LJ$294:$PM$294,1,ROW(G4))</f>
        <v>1461.4791890000001</v>
      </c>
      <c r="AR49" s="213" cm="1">
        <f t="array" ref="AR49">INDEX('[3]EU Corn Imports'!$LV$294:$PM$294,1,ROW(H4))</f>
        <v>2326.8594780000003</v>
      </c>
      <c r="AS49" s="213" cm="1">
        <f t="array" ref="AS49">INDEX('[3]EU Corn Imports'!$MH$294:$PM$294,1,ROW(I4))</f>
        <v>2934.4270240000001</v>
      </c>
      <c r="AT49" s="213" cm="1">
        <f t="array" ref="AT49">INDEX('[3]EU Corn Imports'!$MT$294:$PM$294,1,ROW(J4))</f>
        <v>2091.17</v>
      </c>
      <c r="AU49" s="213" cm="1">
        <f t="array" ref="AU49">INDEX('[3]EU Corn Imports'!$NF$294:$PM$294,1,ROW(K4))</f>
        <v>1594.7260000000001</v>
      </c>
      <c r="AV49" s="213" cm="1">
        <f t="array" ref="AV49">INDEX('[3]EU Corn Imports'!$NR$294:$PM$294,1,ROW(L4))</f>
        <v>2349.991</v>
      </c>
      <c r="AW49" s="213" cm="1">
        <f t="array" ref="AW49">INDEX('[3]EU Corn Imports'!$OD$294:$PM$294,1,ROW(M4))</f>
        <v>2400.0610000000001</v>
      </c>
      <c r="AX49" s="213" cm="1">
        <f t="array" ref="AX49">INDEX('[3]EU Corn Imports'!$OP$294:$PM$294,1,ROW(N4))</f>
        <v>1950.6569999999999</v>
      </c>
      <c r="AY49" s="222">
        <f>(SUM(AT49:AX49)/SUM(AT$58:AX$58))*AY$58</f>
        <v>2141.0031916218886</v>
      </c>
      <c r="AZ49" s="221" cm="1">
        <f t="array" ref="AZ49">(SUM(AU49:AY49/SUM(AU$58:AY$58))*AZ$58)</f>
        <v>2009.6064491102841</v>
      </c>
    </row>
    <row r="50" spans="1:52" ht="15.75">
      <c r="A50" s="93" t="s">
        <v>78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213" t="e" cm="1">
        <f t="array" ref="AA50">INDEX(#REF!,1,ROW(A5))</f>
        <v>#REF!</v>
      </c>
      <c r="AB50" s="213" t="e" cm="1">
        <f t="array" ref="AB50">INDEX(#REF!,1,ROW(A5))</f>
        <v>#REF!</v>
      </c>
      <c r="AC50" s="213" t="e" cm="1">
        <f t="array" ref="AC50">INDEX(#REF!,1,ROW(A5))</f>
        <v>#REF!</v>
      </c>
      <c r="AD50" s="213" t="e" cm="1">
        <f t="array" ref="AD50">INDEX(#REF!,1,ROW(A5))</f>
        <v>#REF!</v>
      </c>
      <c r="AE50" s="213" t="e" cm="1">
        <f t="array" ref="AE50">INDEX(#REF!,1,ROW(A5))</f>
        <v>#REF!</v>
      </c>
      <c r="AF50" s="213" t="e" cm="1">
        <f t="array" ref="AF50">INDEX(#REF!,1,ROW(A5))</f>
        <v>#REF!</v>
      </c>
      <c r="AG50" s="213" t="e" cm="1">
        <f t="array" ref="AG50">INDEX(#REF!,1,ROW(A5))</f>
        <v>#REF!</v>
      </c>
      <c r="AH50" s="213" t="e" cm="1">
        <f t="array" ref="AH50">INDEX(#REF!,1,ROW(A5))</f>
        <v>#REF!</v>
      </c>
      <c r="AI50" s="213" t="e" cm="1">
        <f t="array" ref="AI50">INDEX(#REF!,1,ROW(A5))</f>
        <v>#REF!</v>
      </c>
      <c r="AJ50" s="213" t="e" cm="1">
        <f t="array" ref="AJ50">INDEX(#REF!,1,ROW(A5))</f>
        <v>#REF!</v>
      </c>
      <c r="AK50" s="213" cm="1">
        <f t="array" ref="AK50">INDEX('[3]EU Corn Imports'!$IP$294:$PM$294,1,ROW(A5))</f>
        <v>938.53129599999988</v>
      </c>
      <c r="AL50" s="213" cm="1">
        <f t="array" ref="AL50">INDEX('[3]EU Corn Imports'!$JB$294:$PM$294,1,ROW(B5))</f>
        <v>372.9434510000001</v>
      </c>
      <c r="AM50" s="213" cm="1">
        <f t="array" ref="AM50">INDEX('[3]EU Corn Imports'!$JN$294:$PM$294,1,ROW(C5))</f>
        <v>1078.1522319999999</v>
      </c>
      <c r="AN50" s="213" cm="1">
        <f t="array" ref="AN50">INDEX('[3]EU Corn Imports'!$JZ$294:$PM$294,1,ROW(D5))</f>
        <v>1343.4229139999998</v>
      </c>
      <c r="AO50" s="213" cm="1">
        <f t="array" ref="AO50">INDEX('[3]EU Corn Imports'!$KL$294:$PM$294,1,ROW(E5))</f>
        <v>908.56324999999993</v>
      </c>
      <c r="AP50" s="213" cm="1">
        <f t="array" ref="AP50">INDEX('[3]EU Corn Imports'!$KX$294:$PM$294,1,ROW(F5))</f>
        <v>1337.7795919999996</v>
      </c>
      <c r="AQ50" s="213" cm="1">
        <f t="array" ref="AQ50">INDEX('[3]EU Corn Imports'!$LJ$294:$PM$294,1,ROW(G5))</f>
        <v>983.05116199999998</v>
      </c>
      <c r="AR50" s="213" cm="1">
        <f t="array" ref="AR50">INDEX('[3]EU Corn Imports'!$LV$294:$PM$294,1,ROW(H5))</f>
        <v>1114.2576979999997</v>
      </c>
      <c r="AS50" s="213" cm="1">
        <f t="array" ref="AS50">INDEX('[3]EU Corn Imports'!$MH$294:$PM$294,1,ROW(I5))</f>
        <v>1924.838616</v>
      </c>
      <c r="AT50" s="213" cm="1">
        <f t="array" ref="AT50">INDEX('[3]EU Corn Imports'!$MT$294:$PM$294,1,ROW(J5))</f>
        <v>1529.453</v>
      </c>
      <c r="AU50" s="213" cm="1">
        <f t="array" ref="AU50">INDEX('[3]EU Corn Imports'!$NF$294:$PM$294,1,ROW(K5))</f>
        <v>1108.008</v>
      </c>
      <c r="AV50" s="213" cm="1">
        <f t="array" ref="AV50">INDEX('[3]EU Corn Imports'!$NR$294:$PM$294,1,ROW(L5))</f>
        <v>1796.9939999999999</v>
      </c>
      <c r="AW50" s="213" cm="1">
        <f t="array" ref="AW50">INDEX('[3]EU Corn Imports'!$OD$294:$PM$294,1,ROW(M5))</f>
        <v>1960.4549999999999</v>
      </c>
      <c r="AX50" s="213" cm="1">
        <f t="array" ref="AX50">INDEX('[3]EU Corn Imports'!$OP$294:$PM$294,1,ROW(N5))</f>
        <v>1536.373</v>
      </c>
      <c r="AY50" s="222">
        <f t="shared" ref="AY50:AY57" si="18">(SUM(AT50:AX50)/SUM(AT$58:AX$58))*AY$58</f>
        <v>1634.8847594239337</v>
      </c>
      <c r="AZ50" s="221" cm="1">
        <f t="array" ref="AZ50">(SUM(AU50:AY50/SUM(AU$58:AY$58))*AZ$58)</f>
        <v>1547.5235433448422</v>
      </c>
    </row>
    <row r="51" spans="1:52" ht="15.75">
      <c r="A51" s="93" t="s">
        <v>79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213" t="e" cm="1">
        <f t="array" ref="AA51">INDEX(#REF!,1,ROW(A6))</f>
        <v>#REF!</v>
      </c>
      <c r="AB51" s="213" t="e" cm="1">
        <f t="array" ref="AB51">INDEX(#REF!,1,ROW(A6))</f>
        <v>#REF!</v>
      </c>
      <c r="AC51" s="213" t="e" cm="1">
        <f t="array" ref="AC51">INDEX(#REF!,1,ROW(A6))</f>
        <v>#REF!</v>
      </c>
      <c r="AD51" s="213" t="e" cm="1">
        <f t="array" ref="AD51">INDEX(#REF!,1,ROW(A6))</f>
        <v>#REF!</v>
      </c>
      <c r="AE51" s="213" t="e" cm="1">
        <f t="array" ref="AE51">INDEX(#REF!,1,ROW(A6))</f>
        <v>#REF!</v>
      </c>
      <c r="AF51" s="213" t="e" cm="1">
        <f t="array" ref="AF51">INDEX(#REF!,1,ROW(A6))</f>
        <v>#REF!</v>
      </c>
      <c r="AG51" s="213" t="e" cm="1">
        <f t="array" ref="AG51">INDEX(#REF!,1,ROW(A6))</f>
        <v>#REF!</v>
      </c>
      <c r="AH51" s="213" t="e" cm="1">
        <f t="array" ref="AH51">INDEX(#REF!,1,ROW(A6))</f>
        <v>#REF!</v>
      </c>
      <c r="AI51" s="213" t="e" cm="1">
        <f t="array" ref="AI51">INDEX(#REF!,1,ROW(A6))</f>
        <v>#REF!</v>
      </c>
      <c r="AJ51" s="213" t="e" cm="1">
        <f t="array" ref="AJ51">INDEX(#REF!,1,ROW(A6))</f>
        <v>#REF!</v>
      </c>
      <c r="AK51" s="213" cm="1">
        <f t="array" ref="AK51">INDEX('[3]EU Corn Imports'!$IP$294:$PM$294,1,ROW(A6))</f>
        <v>701.73898199999985</v>
      </c>
      <c r="AL51" s="213" cm="1">
        <f t="array" ref="AL51">INDEX('[3]EU Corn Imports'!$JB$294:$PM$294,1,ROW(B6))</f>
        <v>476.87566199999992</v>
      </c>
      <c r="AM51" s="213" cm="1">
        <f t="array" ref="AM51">INDEX('[3]EU Corn Imports'!$JN$294:$PM$294,1,ROW(C6))</f>
        <v>1007.3318200000001</v>
      </c>
      <c r="AN51" s="213" cm="1">
        <f t="array" ref="AN51">INDEX('[3]EU Corn Imports'!$JZ$294:$PM$294,1,ROW(D6))</f>
        <v>1789.2770199999998</v>
      </c>
      <c r="AO51" s="213" cm="1">
        <f t="array" ref="AO51">INDEX('[3]EU Corn Imports'!$KL$294:$PM$294,1,ROW(E6))</f>
        <v>1195.0149919999999</v>
      </c>
      <c r="AP51" s="213" cm="1">
        <f t="array" ref="AP51">INDEX('[3]EU Corn Imports'!$KX$294:$PM$294,1,ROW(F6))</f>
        <v>1339.0110909999999</v>
      </c>
      <c r="AQ51" s="213" cm="1">
        <f t="array" ref="AQ51">INDEX('[3]EU Corn Imports'!$LJ$294:$PM$294,1,ROW(G6))</f>
        <v>1246.154507</v>
      </c>
      <c r="AR51" s="213" cm="1">
        <f t="array" ref="AR51">INDEX('[3]EU Corn Imports'!$LV$294:$PM$294,1,ROW(H6))</f>
        <v>1979.9820089999998</v>
      </c>
      <c r="AS51" s="213" cm="1">
        <f t="array" ref="AS51">INDEX('[3]EU Corn Imports'!$MH$294:$PM$294,1,ROW(I6))</f>
        <v>1953.7590810000008</v>
      </c>
      <c r="AT51" s="213" cm="1">
        <f t="array" ref="AT51">INDEX('[3]EU Corn Imports'!$MT$294:$PM$294,1,ROW(J6))</f>
        <v>1314.9179999999999</v>
      </c>
      <c r="AU51" s="213" cm="1">
        <f t="array" ref="AU51">INDEX('[3]EU Corn Imports'!$NF$294:$PM$294,1,ROW(K6))</f>
        <v>1289.818</v>
      </c>
      <c r="AV51" s="213" cm="1">
        <f t="array" ref="AV51">INDEX('[3]EU Corn Imports'!$NR$294:$PM$294,1,ROW(L6))</f>
        <v>1014.958</v>
      </c>
      <c r="AW51" s="213" cm="1">
        <f t="array" ref="AW51">INDEX('[3]EU Corn Imports'!$OD$294:$PM$294,1,ROW(M6))</f>
        <v>2109.5650000000001</v>
      </c>
      <c r="AX51" s="213" cm="1">
        <f t="array" ref="AX51">INDEX('[3]EU Corn Imports'!$OP$294:$PM$294,1,ROW(N6))</f>
        <v>1129.8889999999999</v>
      </c>
      <c r="AY51" s="222">
        <f t="shared" si="18"/>
        <v>1413.8843019260764</v>
      </c>
      <c r="AZ51" s="221" cm="1">
        <f t="array" ref="AZ51">(SUM(AU51:AY51/SUM(AU$58:AY$58))*AZ$58)</f>
        <v>1339.8317623365417</v>
      </c>
    </row>
    <row r="52" spans="1:52" ht="15.75">
      <c r="A52" s="93" t="s">
        <v>80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213" t="e" cm="1">
        <f t="array" ref="AA52">INDEX(#REF!,1,ROW(A7))</f>
        <v>#REF!</v>
      </c>
      <c r="AB52" s="213" t="e" cm="1">
        <f t="array" ref="AB52">INDEX(#REF!,1,ROW(A7))</f>
        <v>#REF!</v>
      </c>
      <c r="AC52" s="213" t="e" cm="1">
        <f t="array" ref="AC52">INDEX(#REF!,1,ROW(A7))</f>
        <v>#REF!</v>
      </c>
      <c r="AD52" s="213" t="e" cm="1">
        <f t="array" ref="AD52">INDEX(#REF!,1,ROW(A7))</f>
        <v>#REF!</v>
      </c>
      <c r="AE52" s="213" t="e" cm="1">
        <f t="array" ref="AE52">INDEX(#REF!,1,ROW(A7))</f>
        <v>#REF!</v>
      </c>
      <c r="AF52" s="213" t="e" cm="1">
        <f t="array" ref="AF52">INDEX(#REF!,1,ROW(A7))</f>
        <v>#REF!</v>
      </c>
      <c r="AG52" s="213" t="e" cm="1">
        <f t="array" ref="AG52">INDEX(#REF!,1,ROW(A7))</f>
        <v>#REF!</v>
      </c>
      <c r="AH52" s="213" t="e" cm="1">
        <f t="array" ref="AH52">INDEX(#REF!,1,ROW(A7))</f>
        <v>#REF!</v>
      </c>
      <c r="AI52" s="213" t="e" cm="1">
        <f t="array" ref="AI52">INDEX(#REF!,1,ROW(A7))</f>
        <v>#REF!</v>
      </c>
      <c r="AJ52" s="213" t="e" cm="1">
        <f t="array" ref="AJ52">INDEX(#REF!,1,ROW(A7))</f>
        <v>#REF!</v>
      </c>
      <c r="AK52" s="213" cm="1">
        <f t="array" ref="AK52">INDEX('[3]EU Corn Imports'!$IP$294:$PM$294,1,ROW(A7))</f>
        <v>605.04621200000042</v>
      </c>
      <c r="AL52" s="213" cm="1">
        <f t="array" ref="AL52">INDEX('[3]EU Corn Imports'!$JB$294:$PM$294,1,ROW(B7))</f>
        <v>574.69915500000025</v>
      </c>
      <c r="AM52" s="213" cm="1">
        <f t="array" ref="AM52">INDEX('[3]EU Corn Imports'!$JN$294:$PM$294,1,ROW(C7))</f>
        <v>959.10602800000004</v>
      </c>
      <c r="AN52" s="213" cm="1">
        <f t="array" ref="AN52">INDEX('[3]EU Corn Imports'!$JZ$294:$PM$294,1,ROW(D7))</f>
        <v>1599.9915399999998</v>
      </c>
      <c r="AO52" s="213" cm="1">
        <f t="array" ref="AO52">INDEX('[3]EU Corn Imports'!$KL$294:$PM$294,1,ROW(E7))</f>
        <v>780.76100900000029</v>
      </c>
      <c r="AP52" s="213" cm="1">
        <f t="array" ref="AP52">INDEX('[3]EU Corn Imports'!$KX$294:$PM$294,1,ROW(F7))</f>
        <v>960.9185309999998</v>
      </c>
      <c r="AQ52" s="213" cm="1">
        <f t="array" ref="AQ52">INDEX('[3]EU Corn Imports'!$LJ$294:$PM$294,1,ROW(G7))</f>
        <v>1131.3263609999999</v>
      </c>
      <c r="AR52" s="213" cm="1">
        <f t="array" ref="AR52">INDEX('[3]EU Corn Imports'!$LV$294:$PM$294,1,ROW(H7))</f>
        <v>1236.9443310000004</v>
      </c>
      <c r="AS52" s="213" cm="1">
        <f t="array" ref="AS52">INDEX('[3]EU Corn Imports'!$MH$294:$PM$294,1,ROW(I7))</f>
        <v>1626.0292980000004</v>
      </c>
      <c r="AT52" s="213" cm="1">
        <f t="array" ref="AT52">INDEX('[3]EU Corn Imports'!$MT$294:$PM$294,1,ROW(J7))</f>
        <v>1453.1890000000001</v>
      </c>
      <c r="AU52" s="213" cm="1">
        <f t="array" ref="AU52">INDEX('[3]EU Corn Imports'!$NF$294:$PM$294,1,ROW(K7))</f>
        <v>859.62300000000005</v>
      </c>
      <c r="AV52" s="213" cm="1">
        <f t="array" ref="AV52">INDEX('[3]EU Corn Imports'!$NR$294:$PM$294,1,ROW(L7))</f>
        <v>1163.069</v>
      </c>
      <c r="AW52" s="213" cm="1">
        <f t="array" ref="AW52">INDEX('[3]EU Corn Imports'!$OD$294:$PM$294,1,ROW(M7))</f>
        <v>1689.91</v>
      </c>
      <c r="AX52" s="213" cm="1">
        <f t="array" ref="AX52">INDEX('[3]EU Corn Imports'!$OP$294:$PM$294,1,ROW(N7))</f>
        <v>1605.942</v>
      </c>
      <c r="AY52" s="222">
        <f t="shared" si="18"/>
        <v>1395.8653444326869</v>
      </c>
      <c r="AZ52" s="221" cm="1">
        <f t="array" ref="AZ52">(SUM(AU52:AY52/SUM(AU$58:AY$58))*AZ$58)</f>
        <v>1292.9047317475022</v>
      </c>
    </row>
    <row r="53" spans="1:52" ht="15.75">
      <c r="A53" s="93" t="s">
        <v>81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213" t="e" cm="1">
        <f t="array" ref="AA53">INDEX(#REF!,1,ROW(A8))</f>
        <v>#REF!</v>
      </c>
      <c r="AB53" s="213" t="e" cm="1">
        <f t="array" ref="AB53">INDEX(#REF!,1,ROW(A8))</f>
        <v>#REF!</v>
      </c>
      <c r="AC53" s="213" t="e" cm="1">
        <f t="array" ref="AC53">INDEX(#REF!,1,ROW(A8))</f>
        <v>#REF!</v>
      </c>
      <c r="AD53" s="213" t="e" cm="1">
        <f t="array" ref="AD53">INDEX(#REF!,1,ROW(A8))</f>
        <v>#REF!</v>
      </c>
      <c r="AE53" s="213" t="e" cm="1">
        <f t="array" ref="AE53">INDEX(#REF!,1,ROW(A8))</f>
        <v>#REF!</v>
      </c>
      <c r="AF53" s="213" t="e" cm="1">
        <f t="array" ref="AF53">INDEX(#REF!,1,ROW(A8))</f>
        <v>#REF!</v>
      </c>
      <c r="AG53" s="213" t="e" cm="1">
        <f t="array" ref="AG53">INDEX(#REF!,1,ROW(A8))</f>
        <v>#REF!</v>
      </c>
      <c r="AH53" s="213" t="e" cm="1">
        <f t="array" ref="AH53">INDEX(#REF!,1,ROW(A8))</f>
        <v>#REF!</v>
      </c>
      <c r="AI53" s="213" t="e" cm="1">
        <f t="array" ref="AI53">INDEX(#REF!,1,ROW(A8))</f>
        <v>#REF!</v>
      </c>
      <c r="AJ53" s="213" t="e" cm="1">
        <f t="array" ref="AJ53">INDEX(#REF!,1,ROW(A8))</f>
        <v>#REF!</v>
      </c>
      <c r="AK53" s="213" cm="1">
        <f t="array" ref="AK53">INDEX('[3]EU Corn Imports'!$IP$294:$PM$294,1,ROW(A8))</f>
        <v>643.55474799999956</v>
      </c>
      <c r="AL53" s="213" cm="1">
        <f t="array" ref="AL53">INDEX('[3]EU Corn Imports'!$JB$294:$PM$294,1,ROW(B8))</f>
        <v>809.02077700000041</v>
      </c>
      <c r="AM53" s="213" cm="1">
        <f t="array" ref="AM53">INDEX('[3]EU Corn Imports'!$JN$294:$PM$294,1,ROW(C8))</f>
        <v>645.04298800000015</v>
      </c>
      <c r="AN53" s="213" cm="1">
        <f t="array" ref="AN53">INDEX('[3]EU Corn Imports'!$JZ$294:$PM$294,1,ROW(D8))</f>
        <v>1462.9356460000004</v>
      </c>
      <c r="AO53" s="213" cm="1">
        <f t="array" ref="AO53">INDEX('[3]EU Corn Imports'!$KL$294:$PM$294,1,ROW(E8))</f>
        <v>674.19643900000005</v>
      </c>
      <c r="AP53" s="213" cm="1">
        <f t="array" ref="AP53">INDEX('[3]EU Corn Imports'!$KX$294:$PM$294,1,ROW(F8))</f>
        <v>1075.1391900000003</v>
      </c>
      <c r="AQ53" s="213" cm="1">
        <f t="array" ref="AQ53">INDEX('[3]EU Corn Imports'!$LJ$294:$PM$294,1,ROW(G8))</f>
        <v>1465.6240699999998</v>
      </c>
      <c r="AR53" s="213" cm="1">
        <f t="array" ref="AR53">INDEX('[3]EU Corn Imports'!$LV$294:$PM$294,1,ROW(H8))</f>
        <v>1649.9013380000001</v>
      </c>
      <c r="AS53" s="213" cm="1">
        <f t="array" ref="AS53">INDEX('[3]EU Corn Imports'!$MH$294:$PM$294,1,ROW(I8))</f>
        <v>1754.8434350000002</v>
      </c>
      <c r="AT53" s="213" cm="1">
        <f t="array" ref="AT53">INDEX('[3]EU Corn Imports'!$MT$294:$PM$294,1,ROW(J8))</f>
        <v>1084.422</v>
      </c>
      <c r="AU53" s="213" cm="1">
        <f t="array" ref="AU53">INDEX('[3]EU Corn Imports'!$NF$294:$PM$294,1,ROW(K8))</f>
        <v>1197.799</v>
      </c>
      <c r="AV53" s="213" cm="1">
        <f t="array" ref="AV53">INDEX('[3]EU Corn Imports'!$NR$294:$PM$294,1,ROW(L8))</f>
        <v>1717.1110000000001</v>
      </c>
      <c r="AW53" s="213" cm="1">
        <f t="array" ref="AW53">INDEX('[3]EU Corn Imports'!$OD$294:$PM$294,1,ROW(M8))</f>
        <v>1488.7639999999999</v>
      </c>
      <c r="AX53" s="213" cm="1">
        <f t="array" ref="AX53">INDEX('[3]EU Corn Imports'!$OP$294:$PM$294,1,ROW(N8))</f>
        <v>1453.482</v>
      </c>
      <c r="AY53" s="222">
        <f t="shared" si="18"/>
        <v>1430.8756954647151</v>
      </c>
      <c r="AZ53" s="221" cm="1">
        <f t="array" ref="AZ53">(SUM(AU53:AY53/SUM(AU$58:AY$58))*AZ$58)</f>
        <v>1403.359578010394</v>
      </c>
    </row>
    <row r="54" spans="1:52" ht="15.75">
      <c r="A54" s="93" t="s">
        <v>82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213" t="e" cm="1">
        <f t="array" ref="AA54">INDEX(#REF!,1,ROW(A9))</f>
        <v>#REF!</v>
      </c>
      <c r="AB54" s="213" t="e" cm="1">
        <f t="array" ref="AB54">INDEX(#REF!,1,ROW(A9))</f>
        <v>#REF!</v>
      </c>
      <c r="AC54" s="213" t="e" cm="1">
        <f t="array" ref="AC54">INDEX(#REF!,1,ROW(A9))</f>
        <v>#REF!</v>
      </c>
      <c r="AD54" s="213" t="e" cm="1">
        <f t="array" ref="AD54">INDEX(#REF!,1,ROW(A9))</f>
        <v>#REF!</v>
      </c>
      <c r="AE54" s="213" t="e" cm="1">
        <f t="array" ref="AE54">INDEX(#REF!,1,ROW(A9))</f>
        <v>#REF!</v>
      </c>
      <c r="AF54" s="213" t="e" cm="1">
        <f t="array" ref="AF54">INDEX(#REF!,1,ROW(A9))</f>
        <v>#REF!</v>
      </c>
      <c r="AG54" s="213" t="e" cm="1">
        <f t="array" ref="AG54">INDEX(#REF!,1,ROW(A9))</f>
        <v>#REF!</v>
      </c>
      <c r="AH54" s="213" t="e" cm="1">
        <f t="array" ref="AH54">INDEX(#REF!,1,ROW(A9))</f>
        <v>#REF!</v>
      </c>
      <c r="AI54" s="213" t="e" cm="1">
        <f t="array" ref="AI54">INDEX(#REF!,1,ROW(A9))</f>
        <v>#REF!</v>
      </c>
      <c r="AJ54" s="213" t="e" cm="1">
        <f t="array" ref="AJ54">INDEX(#REF!,1,ROW(A9))</f>
        <v>#REF!</v>
      </c>
      <c r="AK54" s="213" cm="1">
        <f t="array" ref="AK54">INDEX('[3]EU Corn Imports'!$IP$294:$PM$294,1,ROW(A9))</f>
        <v>752.41165400000011</v>
      </c>
      <c r="AL54" s="213" cm="1">
        <f t="array" ref="AL54">INDEX('[3]EU Corn Imports'!$JB$294:$PM$294,1,ROW(B9))</f>
        <v>784.46430699999974</v>
      </c>
      <c r="AM54" s="213" cm="1">
        <f t="array" ref="AM54">INDEX('[3]EU Corn Imports'!$JN$294:$PM$294,1,ROW(C9))</f>
        <v>636.06876899999997</v>
      </c>
      <c r="AN54" s="213" cm="1">
        <f t="array" ref="AN54">INDEX('[3]EU Corn Imports'!$JZ$294:$PM$294,1,ROW(D9))</f>
        <v>1156.0691700000002</v>
      </c>
      <c r="AO54" s="213" cm="1">
        <f t="array" ref="AO54">INDEX('[3]EU Corn Imports'!$KL$294:$PM$294,1,ROW(E9))</f>
        <v>720.38754600000038</v>
      </c>
      <c r="AP54" s="213" cm="1">
        <f t="array" ref="AP54">INDEX('[3]EU Corn Imports'!$KX$294:$PM$294,1,ROW(F9))</f>
        <v>751.06914600000027</v>
      </c>
      <c r="AQ54" s="213" cm="1">
        <f t="array" ref="AQ54">INDEX('[3]EU Corn Imports'!$LJ$294:$PM$294,1,ROW(G9))</f>
        <v>1697.2629010000001</v>
      </c>
      <c r="AR54" s="213" cm="1">
        <f t="array" ref="AR54">INDEX('[3]EU Corn Imports'!$LV$294:$PM$294,1,ROW(H9))</f>
        <v>1449.769479</v>
      </c>
      <c r="AS54" s="213" cm="1">
        <f t="array" ref="AS54">INDEX('[3]EU Corn Imports'!$MH$294:$PM$294,1,ROW(I9))</f>
        <v>1235.3351400000006</v>
      </c>
      <c r="AT54" s="213" cm="1">
        <f t="array" ref="AT54">INDEX('[3]EU Corn Imports'!$MT$294:$PM$294,1,ROW(J9))</f>
        <v>936.02099999999996</v>
      </c>
      <c r="AU54" s="213" cm="1">
        <f t="array" ref="AU54">INDEX('[3]EU Corn Imports'!$NF$294:$PM$294,1,ROW(K9))</f>
        <v>1444.2719999999999</v>
      </c>
      <c r="AV54" s="213" cm="1">
        <f t="array" ref="AV54">INDEX('[3]EU Corn Imports'!$NR$294:$PM$294,1,ROW(L9))</f>
        <v>1189.4110000000001</v>
      </c>
      <c r="AW54" s="213" cm="1">
        <f t="array" ref="AW54">INDEX('[3]EU Corn Imports'!$OD$294:$PM$294,1,ROW(M9))</f>
        <v>1247.826</v>
      </c>
      <c r="AX54" s="213" cm="1">
        <f t="array" ref="AX54">INDEX('[3]EU Corn Imports'!$OP$294:$PM$294,1,ROW(N9))</f>
        <v>1962.52</v>
      </c>
      <c r="AY54" s="222">
        <f t="shared" si="18"/>
        <v>1397.579737494204</v>
      </c>
      <c r="AZ54" s="221" cm="1">
        <f t="array" ref="AZ54">(SUM(AU54:AY54/SUM(AU$58:AY$58))*AZ$58)</f>
        <v>1394.4205248572589</v>
      </c>
    </row>
    <row r="55" spans="1:52" ht="15.75">
      <c r="A55" s="93" t="s">
        <v>83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213" t="e" cm="1">
        <f t="array" ref="AA55">INDEX(#REF!,1,ROW(A10))</f>
        <v>#REF!</v>
      </c>
      <c r="AB55" s="213" t="e" cm="1">
        <f t="array" ref="AB55">INDEX(#REF!,1,ROW(A10))</f>
        <v>#REF!</v>
      </c>
      <c r="AC55" s="213" t="e" cm="1">
        <f t="array" ref="AC55">INDEX(#REF!,1,ROW(A10))</f>
        <v>#REF!</v>
      </c>
      <c r="AD55" s="213" t="e" cm="1">
        <f t="array" ref="AD55">INDEX(#REF!,1,ROW(A10))</f>
        <v>#REF!</v>
      </c>
      <c r="AE55" s="213" t="e" cm="1">
        <f t="array" ref="AE55">INDEX(#REF!,1,ROW(A10))</f>
        <v>#REF!</v>
      </c>
      <c r="AF55" s="213" t="e" cm="1">
        <f t="array" ref="AF55">INDEX(#REF!,1,ROW(A10))</f>
        <v>#REF!</v>
      </c>
      <c r="AG55" s="213" t="e" cm="1">
        <f t="array" ref="AG55">INDEX(#REF!,1,ROW(A10))</f>
        <v>#REF!</v>
      </c>
      <c r="AH55" s="213" t="e" cm="1">
        <f t="array" ref="AH55">INDEX(#REF!,1,ROW(A10))</f>
        <v>#REF!</v>
      </c>
      <c r="AI55" s="213" t="e" cm="1">
        <f t="array" ref="AI55">INDEX(#REF!,1,ROW(A10))</f>
        <v>#REF!</v>
      </c>
      <c r="AJ55" s="213" t="e" cm="1">
        <f t="array" ref="AJ55">INDEX(#REF!,1,ROW(A10))</f>
        <v>#REF!</v>
      </c>
      <c r="AK55" s="213" cm="1">
        <f t="array" ref="AK55">INDEX('[3]EU Corn Imports'!$IP$294:$PM$294,1,ROW(A10))</f>
        <v>512.73194300000011</v>
      </c>
      <c r="AL55" s="213" cm="1">
        <f t="array" ref="AL55">INDEX('[3]EU Corn Imports'!$JB$294:$PM$294,1,ROW(B10))</f>
        <v>440.85596499999997</v>
      </c>
      <c r="AM55" s="213" cm="1">
        <f t="array" ref="AM55">INDEX('[3]EU Corn Imports'!$JN$294:$PM$294,1,ROW(C10))</f>
        <v>393.8653979999998</v>
      </c>
      <c r="AN55" s="213" cm="1">
        <f t="array" ref="AN55">INDEX('[3]EU Corn Imports'!$JZ$294:$PM$294,1,ROW(D10))</f>
        <v>1194.3354669999999</v>
      </c>
      <c r="AO55" s="213" cm="1">
        <f t="array" ref="AO55">INDEX('[3]EU Corn Imports'!$KL$294:$PM$294,1,ROW(E10))</f>
        <v>647.2660229999999</v>
      </c>
      <c r="AP55" s="213" cm="1">
        <f t="array" ref="AP55">INDEX('[3]EU Corn Imports'!$KX$294:$PM$294,1,ROW(F10))</f>
        <v>850.23103300000002</v>
      </c>
      <c r="AQ55" s="213" cm="1">
        <f t="array" ref="AQ55">INDEX('[3]EU Corn Imports'!$LJ$294:$PM$294,1,ROW(G10))</f>
        <v>1351.9677979999997</v>
      </c>
      <c r="AR55" s="213" cm="1">
        <f t="array" ref="AR55">INDEX('[3]EU Corn Imports'!$LV$294:$PM$294,1,ROW(H10))</f>
        <v>1135.820622</v>
      </c>
      <c r="AS55" s="213" cm="1">
        <f t="array" ref="AS55">INDEX('[3]EU Corn Imports'!$MH$294:$PM$294,1,ROW(I10))</f>
        <v>1748.9483359999999</v>
      </c>
      <c r="AT55" s="213" cm="1">
        <f t="array" ref="AT55">INDEX('[3]EU Corn Imports'!$MT$294:$PM$294,1,ROW(J10))</f>
        <v>942.91</v>
      </c>
      <c r="AU55" s="213" cm="1">
        <f t="array" ref="AU55">INDEX('[3]EU Corn Imports'!$NF$294:$PM$294,1,ROW(K10))</f>
        <v>1296.8530000000001</v>
      </c>
      <c r="AV55" s="213" cm="1">
        <f t="array" ref="AV55">INDEX('[3]EU Corn Imports'!$NR$294:$PM$294,1,ROW(L10))</f>
        <v>1598.1880000000001</v>
      </c>
      <c r="AW55" s="213" cm="1">
        <f t="array" ref="AW55">INDEX('[3]EU Corn Imports'!$OD$294:$PM$294,1,ROW(M10))</f>
        <v>1335.3689999999999</v>
      </c>
      <c r="AX55" s="213" cm="1">
        <f t="array" ref="AX55">INDEX('[3]EU Corn Imports'!$OP$294:$PM$294,1,ROW(N10))</f>
        <v>2408.3090000000002</v>
      </c>
      <c r="AY55" s="222">
        <f t="shared" si="18"/>
        <v>1562.8101662374827</v>
      </c>
      <c r="AZ55" s="221" cm="1">
        <f t="array" ref="AZ55">(SUM(AU55:AY55/SUM(AU$58:AY$58))*AZ$58)</f>
        <v>1579.2596671791866</v>
      </c>
    </row>
    <row r="56" spans="1:52" ht="15.75">
      <c r="A56" s="93" t="s">
        <v>84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213" t="e" cm="1">
        <f t="array" ref="AA56">INDEX(#REF!,1,ROW(A11))</f>
        <v>#REF!</v>
      </c>
      <c r="AB56" s="213" t="e" cm="1">
        <f t="array" ref="AB56">INDEX(#REF!,1,ROW(A11))</f>
        <v>#REF!</v>
      </c>
      <c r="AC56" s="213" t="e" cm="1">
        <f t="array" ref="AC56">INDEX(#REF!,1,ROW(A11))</f>
        <v>#REF!</v>
      </c>
      <c r="AD56" s="213" t="e" cm="1">
        <f t="array" ref="AD56">INDEX(#REF!,1,ROW(A11))</f>
        <v>#REF!</v>
      </c>
      <c r="AE56" s="213" t="e" cm="1">
        <f t="array" ref="AE56">INDEX(#REF!,1,ROW(A11))</f>
        <v>#REF!</v>
      </c>
      <c r="AF56" s="213" t="e" cm="1">
        <f t="array" ref="AF56">INDEX(#REF!,1,ROW(A11))</f>
        <v>#REF!</v>
      </c>
      <c r="AG56" s="213" t="e" cm="1">
        <f t="array" ref="AG56">INDEX(#REF!,1,ROW(A11))</f>
        <v>#REF!</v>
      </c>
      <c r="AH56" s="213" t="e" cm="1">
        <f t="array" ref="AH56">INDEX(#REF!,1,ROW(A11))</f>
        <v>#REF!</v>
      </c>
      <c r="AI56" s="213" t="e" cm="1">
        <f t="array" ref="AI56">INDEX(#REF!,1,ROW(A11))</f>
        <v>#REF!</v>
      </c>
      <c r="AJ56" s="213" t="e" cm="1">
        <f t="array" ref="AJ56">INDEX(#REF!,1,ROW(A11))</f>
        <v>#REF!</v>
      </c>
      <c r="AK56" s="213" cm="1">
        <f t="array" ref="AK56">INDEX('[3]EU Corn Imports'!$IP$294:$PM$294,1,ROW(A11))</f>
        <v>386.78669599999989</v>
      </c>
      <c r="AL56" s="213" cm="1">
        <f t="array" ref="AL56">INDEX('[3]EU Corn Imports'!$JB$294:$PM$294,1,ROW(B11))</f>
        <v>251.79591799999992</v>
      </c>
      <c r="AM56" s="213" cm="1">
        <f t="array" ref="AM56">INDEX('[3]EU Corn Imports'!$JN$294:$PM$294,1,ROW(C11))</f>
        <v>539.65853299999981</v>
      </c>
      <c r="AN56" s="213" cm="1">
        <f t="array" ref="AN56">INDEX('[3]EU Corn Imports'!$JZ$294:$PM$294,1,ROW(D11))</f>
        <v>430.99503600000003</v>
      </c>
      <c r="AO56" s="213" cm="1">
        <f t="array" ref="AO56">INDEX('[3]EU Corn Imports'!$KL$294:$PM$294,1,ROW(E11))</f>
        <v>592.0806520000001</v>
      </c>
      <c r="AP56" s="213" cm="1">
        <f t="array" ref="AP56">INDEX('[3]EU Corn Imports'!$KX$294:$PM$294,1,ROW(F11))</f>
        <v>613.26897100000019</v>
      </c>
      <c r="AQ56" s="213" cm="1">
        <f t="array" ref="AQ56">INDEX('[3]EU Corn Imports'!$LJ$294:$PM$294,1,ROW(G11))</f>
        <v>1403.6228330000004</v>
      </c>
      <c r="AR56" s="213" cm="1">
        <f t="array" ref="AR56">INDEX('[3]EU Corn Imports'!$LV$294:$PM$294,1,ROW(H11))</f>
        <v>1102.2144009999997</v>
      </c>
      <c r="AS56" s="213" cm="1">
        <f t="array" ref="AS56">INDEX('[3]EU Corn Imports'!$MH$294:$PM$294,1,ROW(I11))</f>
        <v>1524.3769540000003</v>
      </c>
      <c r="AT56" s="213" cm="1">
        <f t="array" ref="AT56">INDEX('[3]EU Corn Imports'!$MT$294:$PM$294,1,ROW(J11))</f>
        <v>1716.347</v>
      </c>
      <c r="AU56" s="213" cm="1">
        <f t="array" ref="AU56">INDEX('[3]EU Corn Imports'!$NF$294:$PM$294,1,ROW(K11))</f>
        <v>1687.252</v>
      </c>
      <c r="AV56" s="213" cm="1">
        <f t="array" ref="AV56">INDEX('[3]EU Corn Imports'!$NR$294:$PM$294,1,ROW(L11))</f>
        <v>2793.422</v>
      </c>
      <c r="AW56" s="213" cm="1">
        <f t="array" ref="AW56">INDEX('[3]EU Corn Imports'!$OD$294:$PM$294,1,ROW(M11))</f>
        <v>1318.395</v>
      </c>
      <c r="AX56" s="213" cm="1">
        <f t="array" ref="AX56">INDEX('[3]EU Corn Imports'!$OP$294:$PM$294,1,ROW(N11))</f>
        <v>1513.74</v>
      </c>
      <c r="AY56" s="222">
        <f t="shared" si="18"/>
        <v>1861.1906213485474</v>
      </c>
      <c r="AZ56" s="221" cm="1">
        <f t="array" ref="AZ56">(SUM(AU56:AY56/SUM(AU$58:AY$58))*AZ$58)</f>
        <v>1766.5154015857065</v>
      </c>
    </row>
    <row r="57" spans="1:52" ht="15.75">
      <c r="A57" s="93" t="s">
        <v>73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213" t="e" cm="1">
        <f t="array" ref="AA57">INDEX(#REF!,1,ROW(A12))</f>
        <v>#REF!</v>
      </c>
      <c r="AB57" s="213" t="e" cm="1">
        <f t="array" ref="AB57">INDEX(#REF!,1,ROW(A12))</f>
        <v>#REF!</v>
      </c>
      <c r="AC57" s="213" t="e" cm="1">
        <f t="array" ref="AC57">INDEX(#REF!,1,ROW(A12))</f>
        <v>#REF!</v>
      </c>
      <c r="AD57" s="213" t="e" cm="1">
        <f t="array" ref="AD57">INDEX(#REF!,1,ROW(A12))</f>
        <v>#REF!</v>
      </c>
      <c r="AE57" s="213" t="e" cm="1">
        <f t="array" ref="AE57">INDEX(#REF!,1,ROW(A12))</f>
        <v>#REF!</v>
      </c>
      <c r="AF57" s="213" t="e" cm="1">
        <f t="array" ref="AF57">INDEX(#REF!,1,ROW(A12))</f>
        <v>#REF!</v>
      </c>
      <c r="AG57" s="213" t="e" cm="1">
        <f t="array" ref="AG57">INDEX(#REF!,1,ROW(A12))</f>
        <v>#REF!</v>
      </c>
      <c r="AH57" s="213" t="e" cm="1">
        <f t="array" ref="AH57">INDEX(#REF!,1,ROW(A12))</f>
        <v>#REF!</v>
      </c>
      <c r="AI57" s="213" t="e" cm="1">
        <f t="array" ref="AI57">INDEX(#REF!,1,ROW(A12))</f>
        <v>#REF!</v>
      </c>
      <c r="AJ57" s="213" t="e" cm="1">
        <f t="array" ref="AJ57">INDEX(#REF!,1,ROW(A12))</f>
        <v>#REF!</v>
      </c>
      <c r="AK57" s="213" cm="1">
        <f t="array" ref="AK57">INDEX('[3]EU Corn Imports'!$IP$294:$PM$294,1,ROW(A12))</f>
        <v>90.732334000000151</v>
      </c>
      <c r="AL57" s="213" cm="1">
        <f t="array" ref="AL57">INDEX('[3]EU Corn Imports'!$JB$294:$PM$294,1,ROW(B12))</f>
        <v>198.16289400000005</v>
      </c>
      <c r="AM57" s="213" cm="1">
        <f t="array" ref="AM57">INDEX('[3]EU Corn Imports'!$JN$294:$PM$294,1,ROW(C12))</f>
        <v>277.57496700000002</v>
      </c>
      <c r="AN57" s="213" cm="1">
        <f t="array" ref="AN57">INDEX('[3]EU Corn Imports'!$JZ$294:$PM$294,1,ROW(D12))</f>
        <v>580.63192800000013</v>
      </c>
      <c r="AO57" s="213" cm="1">
        <f t="array" ref="AO57">INDEX('[3]EU Corn Imports'!$KL$294:$PM$294,1,ROW(E12))</f>
        <v>336.09703800000011</v>
      </c>
      <c r="AP57" s="213" cm="1">
        <f t="array" ref="AP57">INDEX('[3]EU Corn Imports'!$KX$294:$PM$294,1,ROW(F12))</f>
        <v>602.00091000000009</v>
      </c>
      <c r="AQ57" s="213" cm="1">
        <f t="array" ref="AQ57">INDEX('[3]EU Corn Imports'!$LJ$294:$PM$294,1,ROW(G12))</f>
        <v>601.89381200000048</v>
      </c>
      <c r="AR57" s="213" cm="1">
        <f t="array" ref="AR57">INDEX('[3]EU Corn Imports'!$LV$294:$PM$294,1,ROW(H12))</f>
        <v>1509.0331840000003</v>
      </c>
      <c r="AS57" s="213" cm="1">
        <f t="array" ref="AS57">INDEX('[3]EU Corn Imports'!$MH$294:$PM$294,1,ROW(I12))</f>
        <v>1494.8434000000002</v>
      </c>
      <c r="AT57" s="213" cm="1">
        <f t="array" ref="AT57">INDEX('[3]EU Corn Imports'!$MT$294:$PM$294,1,ROW(J12))</f>
        <v>1478.1110000000001</v>
      </c>
      <c r="AU57" s="213" cm="1">
        <f t="array" ref="AU57">INDEX('[3]EU Corn Imports'!$NF$294:$PM$294,1,ROW(K12))</f>
        <v>939.37699999999995</v>
      </c>
      <c r="AV57" s="213" cm="1">
        <f t="array" ref="AV57">INDEX('[3]EU Corn Imports'!$NR$294:$PM$294,1,ROW(L12))</f>
        <v>2956.8130000000001</v>
      </c>
      <c r="AW57" s="213" cm="1">
        <f t="array" ref="AW57">INDEX('[3]EU Corn Imports'!$OD$294:$PM$294,1,ROW(M12))</f>
        <v>1656.125</v>
      </c>
      <c r="AX57" s="213" cm="1">
        <f t="array" ref="AX57">INDEX('[3]EU Corn Imports'!$OP$294:$PM$294,1,ROW(N12))</f>
        <v>1534.403</v>
      </c>
      <c r="AY57" s="222">
        <f t="shared" si="18"/>
        <v>1765.4783468415051</v>
      </c>
      <c r="AZ57" s="221" cm="1">
        <f t="array" ref="AZ57">(SUM(AU57:AY57/SUM(AU$58:AY$58))*AZ$58)</f>
        <v>1704.5500141690195</v>
      </c>
    </row>
    <row r="58" spans="1:52" ht="16.5" thickBot="1">
      <c r="A58" s="93" t="s">
        <v>85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223" t="e">
        <f>SUM(AA46:AA57)</f>
        <v>#REF!</v>
      </c>
      <c r="AB58" s="223" t="e">
        <f t="shared" ref="AB58:AW58" si="19">SUM(AB46:AB57)</f>
        <v>#REF!</v>
      </c>
      <c r="AC58" s="223" t="e">
        <f t="shared" si="19"/>
        <v>#REF!</v>
      </c>
      <c r="AD58" s="223" t="e">
        <f t="shared" si="19"/>
        <v>#REF!</v>
      </c>
      <c r="AE58" s="223" t="e">
        <f t="shared" si="19"/>
        <v>#REF!</v>
      </c>
      <c r="AF58" s="223" t="e">
        <f t="shared" si="19"/>
        <v>#REF!</v>
      </c>
      <c r="AG58" s="223" t="e">
        <f t="shared" si="19"/>
        <v>#REF!</v>
      </c>
      <c r="AH58" s="223" t="e">
        <f t="shared" si="19"/>
        <v>#REF!</v>
      </c>
      <c r="AI58" s="223" t="e">
        <f t="shared" si="19"/>
        <v>#REF!</v>
      </c>
      <c r="AJ58" s="223" t="e">
        <f t="shared" si="19"/>
        <v>#REF!</v>
      </c>
      <c r="AK58" s="223">
        <f t="shared" si="19"/>
        <v>7061.3452310000002</v>
      </c>
      <c r="AL58" s="223">
        <f t="shared" si="19"/>
        <v>5911.5932190000003</v>
      </c>
      <c r="AM58" s="223">
        <f t="shared" si="19"/>
        <v>10833.973187999998</v>
      </c>
      <c r="AN58" s="223">
        <f t="shared" si="19"/>
        <v>15093.829780000002</v>
      </c>
      <c r="AO58" s="223">
        <f t="shared" si="19"/>
        <v>8500.4855980000011</v>
      </c>
      <c r="AP58" s="223">
        <f t="shared" si="19"/>
        <v>13587.651399999999</v>
      </c>
      <c r="AQ58" s="223">
        <f t="shared" si="19"/>
        <v>13928.710713000002</v>
      </c>
      <c r="AR58" s="223">
        <f t="shared" si="19"/>
        <v>17458.048580999999</v>
      </c>
      <c r="AS58" s="223">
        <f t="shared" si="19"/>
        <v>23034.201564000003</v>
      </c>
      <c r="AT58" s="223">
        <f t="shared" si="19"/>
        <v>18353.373000000003</v>
      </c>
      <c r="AU58" s="223">
        <f t="shared" si="19"/>
        <v>15638.793999999998</v>
      </c>
      <c r="AV58" s="223">
        <f t="shared" si="19"/>
        <v>20320.517</v>
      </c>
      <c r="AW58" s="223">
        <f t="shared" si="19"/>
        <v>23067.793000000001</v>
      </c>
      <c r="AX58" s="223">
        <f>SUM(AX46:AX57)</f>
        <v>19645.114000000001</v>
      </c>
      <c r="AY58" s="224">
        <v>20000</v>
      </c>
      <c r="AZ58" s="224">
        <v>19000</v>
      </c>
    </row>
    <row r="59" spans="1:52" ht="15.7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/>
      <c r="AL59" s="98"/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C831-F37A-420D-8F09-EF09051CCC91}">
  <sheetPr>
    <tabColor rgb="FF92D050"/>
  </sheetPr>
  <dimension ref="A1:BM71"/>
  <sheetViews>
    <sheetView zoomScale="90" zoomScaleNormal="90" workbookViewId="0">
      <pane xSplit="1" ySplit="2" topLeftCell="AT3" activePane="bottomRight" state="frozen"/>
      <selection activeCell="P12" sqref="P12"/>
      <selection pane="topRight" activeCell="P12" sqref="P12"/>
      <selection pane="bottomLeft" activeCell="P12" sqref="P12"/>
      <selection pane="bottomRight" activeCell="BA37" sqref="BA37"/>
    </sheetView>
  </sheetViews>
  <sheetFormatPr defaultColWidth="9.140625" defaultRowHeight="12.75"/>
  <cols>
    <col min="1" max="1" width="27.42578125" style="3" customWidth="1"/>
    <col min="2" max="16" width="8" style="3" hidden="1" customWidth="1"/>
    <col min="17" max="37" width="8" style="3" customWidth="1"/>
    <col min="38" max="38" width="9.85546875" style="3" bestFit="1" customWidth="1"/>
    <col min="39" max="45" width="8" style="3" customWidth="1"/>
    <col min="46" max="51" width="8.85546875" style="3" bestFit="1" customWidth="1"/>
    <col min="52" max="52" width="9.42578125" style="3" bestFit="1" customWidth="1"/>
    <col min="53" max="53" width="9.140625" style="3"/>
    <col min="54" max="54" width="8" style="3" customWidth="1"/>
    <col min="55" max="16384" width="9.140625" style="3"/>
  </cols>
  <sheetData>
    <row r="1" spans="1:65" ht="21.75" thickBot="1">
      <c r="A1" s="225" t="s">
        <v>280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6"/>
      <c r="AP1" s="226"/>
      <c r="AQ1" s="226"/>
      <c r="AR1" s="226"/>
      <c r="AS1" s="226"/>
      <c r="AT1" s="226"/>
      <c r="AU1" s="226"/>
      <c r="AV1" s="226"/>
      <c r="AW1" s="226"/>
      <c r="AX1" s="226"/>
      <c r="AY1" s="226"/>
      <c r="AZ1" s="226"/>
      <c r="BA1" s="226"/>
      <c r="BB1" s="226"/>
      <c r="BC1" s="226"/>
      <c r="BD1" s="226"/>
      <c r="BE1" s="226"/>
      <c r="BF1" s="226"/>
      <c r="BG1" s="226"/>
      <c r="BH1" s="226"/>
      <c r="BI1" s="226"/>
      <c r="BJ1" s="226"/>
      <c r="BK1" s="226"/>
      <c r="BL1" s="226"/>
      <c r="BM1" s="226"/>
    </row>
    <row r="2" spans="1:65" ht="14.25" thickBot="1">
      <c r="A2" s="227" t="s">
        <v>42</v>
      </c>
      <c r="B2" s="228" t="str">
        <f>Argentina!B2</f>
        <v>74/75</v>
      </c>
      <c r="C2" s="228" t="str">
        <f>Argentina!C2</f>
        <v xml:space="preserve">75/76 </v>
      </c>
      <c r="D2" s="228" t="str">
        <f>Argentina!D2</f>
        <v xml:space="preserve">76/77 </v>
      </c>
      <c r="E2" s="228" t="str">
        <f>Argentina!E2</f>
        <v xml:space="preserve">77/78 </v>
      </c>
      <c r="F2" s="228" t="str">
        <f>Argentina!F2</f>
        <v xml:space="preserve">78/79 </v>
      </c>
      <c r="G2" s="228" t="str">
        <f>Argentina!G2</f>
        <v xml:space="preserve">79/80 </v>
      </c>
      <c r="H2" s="228" t="str">
        <f>Argentina!H2</f>
        <v xml:space="preserve">80/81 </v>
      </c>
      <c r="I2" s="228" t="str">
        <f>Argentina!I2</f>
        <v xml:space="preserve">81/82 </v>
      </c>
      <c r="J2" s="228" t="str">
        <f>Argentina!J2</f>
        <v xml:space="preserve">82/83 </v>
      </c>
      <c r="K2" s="228" t="str">
        <f>Argentina!K2</f>
        <v xml:space="preserve">83/84 </v>
      </c>
      <c r="L2" s="228" t="str">
        <f>Argentina!L2</f>
        <v xml:space="preserve">84/85 </v>
      </c>
      <c r="M2" s="228" t="str">
        <f>Argentina!M2</f>
        <v xml:space="preserve">85/86 </v>
      </c>
      <c r="N2" s="228" t="str">
        <f>Argentina!N2</f>
        <v xml:space="preserve">86/87 </v>
      </c>
      <c r="O2" s="228" t="str">
        <f>Argentina!O2</f>
        <v xml:space="preserve">87/88 </v>
      </c>
      <c r="P2" s="228" t="str">
        <f>Argentina!P2</f>
        <v xml:space="preserve">88/89 </v>
      </c>
      <c r="Q2" s="228" t="str">
        <f>Argentina!Q2</f>
        <v xml:space="preserve">89/90 </v>
      </c>
      <c r="R2" s="228" t="str">
        <f>Argentina!R2</f>
        <v xml:space="preserve">90/91 </v>
      </c>
      <c r="S2" s="228" t="str">
        <f>Argentina!S2</f>
        <v xml:space="preserve">91/92 </v>
      </c>
      <c r="T2" s="228" t="str">
        <f>Argentina!T2</f>
        <v xml:space="preserve">92/93 </v>
      </c>
      <c r="U2" s="228" t="str">
        <f>Argentina!U2</f>
        <v xml:space="preserve">93/94 </v>
      </c>
      <c r="V2" s="228" t="str">
        <f>Argentina!V2</f>
        <v xml:space="preserve">94/95 </v>
      </c>
      <c r="W2" s="228" t="str">
        <f>Argentina!W2</f>
        <v xml:space="preserve">95/96 </v>
      </c>
      <c r="X2" s="228" t="str">
        <f>Argentina!X2</f>
        <v xml:space="preserve">96/97 </v>
      </c>
      <c r="Y2" s="228" t="str">
        <f>Argentina!Y2</f>
        <v xml:space="preserve">97/98 </v>
      </c>
      <c r="Z2" s="228" t="str">
        <f>Argentina!Z2</f>
        <v xml:space="preserve">98/99 </v>
      </c>
      <c r="AA2" s="228" t="str">
        <f>Argentina!AA2</f>
        <v xml:space="preserve">99/00 </v>
      </c>
      <c r="AB2" s="228" t="str">
        <f>Argentina!AB2</f>
        <v xml:space="preserve">00/01 </v>
      </c>
      <c r="AC2" s="228" t="str">
        <f>Argentina!AC2</f>
        <v xml:space="preserve">01/02 </v>
      </c>
      <c r="AD2" s="228" t="str">
        <f>Argentina!AD2</f>
        <v xml:space="preserve">02/03 </v>
      </c>
      <c r="AE2" s="228" t="str">
        <f>Argentina!AE2</f>
        <v xml:space="preserve">03/04 </v>
      </c>
      <c r="AF2" s="228" t="str">
        <f>Argentina!AF2</f>
        <v xml:space="preserve">04/05 </v>
      </c>
      <c r="AG2" s="228" t="str">
        <f>Argentina!AG2</f>
        <v xml:space="preserve">05/06 </v>
      </c>
      <c r="AH2" s="228" t="str">
        <f>Argentina!AH2</f>
        <v xml:space="preserve">06/07 </v>
      </c>
      <c r="AI2" s="228" t="str">
        <f>Argentina!AI2</f>
        <v xml:space="preserve">07/08 </v>
      </c>
      <c r="AJ2" s="228" t="str">
        <f>Argentina!AJ2</f>
        <v xml:space="preserve">08/09 </v>
      </c>
      <c r="AK2" s="228" t="str">
        <f>Argentina!AK2</f>
        <v xml:space="preserve">09/10 </v>
      </c>
      <c r="AL2" s="228" t="s">
        <v>54</v>
      </c>
      <c r="AM2" s="228" t="s">
        <v>55</v>
      </c>
      <c r="AN2" s="228" t="s">
        <v>56</v>
      </c>
      <c r="AO2" s="228" t="s">
        <v>57</v>
      </c>
      <c r="AP2" s="228" t="s">
        <v>58</v>
      </c>
      <c r="AQ2" s="228" t="s">
        <v>59</v>
      </c>
      <c r="AR2" s="228" t="s">
        <v>60</v>
      </c>
      <c r="AS2" s="228" t="s">
        <v>61</v>
      </c>
      <c r="AT2" s="228" t="s">
        <v>62</v>
      </c>
      <c r="AU2" s="228" t="s">
        <v>63</v>
      </c>
      <c r="AV2" s="228" t="s">
        <v>64</v>
      </c>
      <c r="AW2" s="228" t="s">
        <v>65</v>
      </c>
      <c r="AX2" s="228" t="s">
        <v>2</v>
      </c>
      <c r="AY2" s="228" t="s">
        <v>3</v>
      </c>
      <c r="AZ2" s="228" t="s">
        <v>4</v>
      </c>
      <c r="BA2" s="228" t="s">
        <v>163</v>
      </c>
      <c r="BB2" s="228" t="s">
        <v>192</v>
      </c>
      <c r="BC2" s="228" t="s">
        <v>193</v>
      </c>
      <c r="BD2" s="228" t="s">
        <v>194</v>
      </c>
      <c r="BE2" s="228" t="s">
        <v>195</v>
      </c>
      <c r="BF2" s="228" t="s">
        <v>196</v>
      </c>
      <c r="BG2" s="228" t="s">
        <v>197</v>
      </c>
      <c r="BH2" s="228" t="s">
        <v>198</v>
      </c>
      <c r="BI2" s="228" t="s">
        <v>199</v>
      </c>
      <c r="BJ2" s="228" t="s">
        <v>200</v>
      </c>
      <c r="BK2" s="228" t="s">
        <v>201</v>
      </c>
      <c r="BL2" s="228" t="s">
        <v>202</v>
      </c>
      <c r="BM2" s="228" t="s">
        <v>203</v>
      </c>
    </row>
    <row r="3" spans="1:65" ht="13.5">
      <c r="A3" s="229" t="s">
        <v>9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1"/>
      <c r="AL3" s="231"/>
      <c r="AM3" s="231"/>
      <c r="AN3" s="231"/>
      <c r="AO3" s="231"/>
      <c r="AP3" s="232"/>
      <c r="AQ3" s="231"/>
      <c r="AR3" s="231"/>
      <c r="AS3" s="231"/>
      <c r="AT3" s="231"/>
      <c r="AU3" s="233"/>
      <c r="AV3" s="233"/>
      <c r="AW3" s="231"/>
      <c r="AX3" s="231"/>
      <c r="AY3" s="231"/>
      <c r="AZ3" s="231"/>
      <c r="BA3" s="231"/>
      <c r="BB3" s="231"/>
      <c r="BC3" s="231"/>
      <c r="BD3" s="231"/>
      <c r="BE3" s="231"/>
      <c r="BF3" s="231"/>
      <c r="BG3" s="231"/>
      <c r="BH3" s="231"/>
      <c r="BI3" s="231"/>
      <c r="BJ3" s="231"/>
      <c r="BK3" s="231"/>
      <c r="BL3" s="231"/>
      <c r="BM3" s="231"/>
    </row>
    <row r="4" spans="1:65" ht="13.5">
      <c r="A4" s="229" t="s">
        <v>10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34">
        <v>0.78</v>
      </c>
      <c r="R4" s="234">
        <v>0.68</v>
      </c>
      <c r="S4" s="234">
        <v>0.74</v>
      </c>
      <c r="T4" s="234">
        <v>0.76</v>
      </c>
      <c r="U4" s="234">
        <v>0.46</v>
      </c>
      <c r="V4" s="234">
        <v>0.59</v>
      </c>
      <c r="W4" s="234">
        <v>0.46</v>
      </c>
      <c r="X4" s="234">
        <v>0.85</v>
      </c>
      <c r="Y4" s="234">
        <v>0.49</v>
      </c>
      <c r="Z4" s="234">
        <v>0.52</v>
      </c>
      <c r="AA4" s="234">
        <v>0.7</v>
      </c>
      <c r="AB4" s="234">
        <v>0.45</v>
      </c>
      <c r="AC4" s="234">
        <v>0.53</v>
      </c>
      <c r="AD4" s="234">
        <v>0.64</v>
      </c>
      <c r="AE4" s="234">
        <v>0.84</v>
      </c>
      <c r="AF4" s="234">
        <v>0.8</v>
      </c>
      <c r="AG4" s="234">
        <v>0.97</v>
      </c>
      <c r="AH4" s="234">
        <v>1.3</v>
      </c>
      <c r="AI4" s="234">
        <v>1.73</v>
      </c>
      <c r="AJ4" s="234">
        <v>1.1200000000000001</v>
      </c>
      <c r="AK4" s="234">
        <v>1.02</v>
      </c>
      <c r="AL4" s="234">
        <v>1.6040000000000001</v>
      </c>
      <c r="AM4" s="234">
        <v>1.9370000000000001</v>
      </c>
      <c r="AN4" s="234">
        <v>2.3220000000000001</v>
      </c>
      <c r="AO4" s="234">
        <v>2.5960000000000001</v>
      </c>
      <c r="AP4" s="234">
        <v>2.6709999999999998</v>
      </c>
      <c r="AQ4" s="234">
        <v>2.7770000000000001</v>
      </c>
      <c r="AR4" s="234">
        <v>2.694</v>
      </c>
      <c r="AS4" s="234">
        <v>2.3730000000000002</v>
      </c>
      <c r="AT4" s="234">
        <v>2.504</v>
      </c>
      <c r="AU4" s="234">
        <v>2.7309999999999999</v>
      </c>
      <c r="AV4" s="234">
        <v>2.9</v>
      </c>
      <c r="AW4" s="234">
        <v>2.64</v>
      </c>
      <c r="AX4" s="234">
        <v>2.4</v>
      </c>
      <c r="AY4" s="234">
        <v>2.5</v>
      </c>
      <c r="AZ4" s="235">
        <f>FORECAST(AZ22,AK4:AY4,AK22:AY22)</f>
        <v>2.9673619047619297</v>
      </c>
      <c r="BA4" s="235">
        <f t="shared" ref="BA4:BM4" si="0">FORECAST(BA22,AL4:AZ4,AL22:AZ22)</f>
        <v>2.9046869841269967</v>
      </c>
      <c r="BB4" s="235">
        <f t="shared" si="0"/>
        <v>2.8642122207105132</v>
      </c>
      <c r="BC4" s="235">
        <f t="shared" si="0"/>
        <v>2.8296959875031575</v>
      </c>
      <c r="BD4" s="235">
        <f t="shared" si="0"/>
        <v>2.8218169810392553</v>
      </c>
      <c r="BE4" s="235">
        <f t="shared" si="0"/>
        <v>2.8416932113039373</v>
      </c>
      <c r="BF4" s="235">
        <f t="shared" si="0"/>
        <v>2.8725607130380766</v>
      </c>
      <c r="BG4" s="235">
        <f t="shared" si="0"/>
        <v>2.9239445044354966</v>
      </c>
      <c r="BH4" s="235">
        <f t="shared" si="0"/>
        <v>2.9728622388806514</v>
      </c>
      <c r="BI4" s="235">
        <f t="shared" si="0"/>
        <v>2.9762834309558954</v>
      </c>
      <c r="BJ4" s="235">
        <f t="shared" si="0"/>
        <v>2.9846875436165234</v>
      </c>
      <c r="BK4" s="235">
        <f t="shared" si="0"/>
        <v>3.0185913216259905</v>
      </c>
      <c r="BL4" s="235">
        <f t="shared" si="0"/>
        <v>3.0816497963346592</v>
      </c>
      <c r="BM4" s="235">
        <f t="shared" si="0"/>
        <v>3.1160403027287131</v>
      </c>
    </row>
    <row r="5" spans="1:65" ht="13.5">
      <c r="A5" s="236" t="s">
        <v>11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1">
        <f t="shared" ref="Q5:AJ5" si="1">Q8/Q4</f>
        <v>3.1423076923076922</v>
      </c>
      <c r="R5" s="231">
        <f t="shared" si="1"/>
        <v>2.8955882352941176</v>
      </c>
      <c r="S5" s="231">
        <f t="shared" si="1"/>
        <v>2.8851351351351351</v>
      </c>
      <c r="T5" s="231">
        <f t="shared" si="1"/>
        <v>3.219736842105263</v>
      </c>
      <c r="U5" s="231">
        <f t="shared" si="1"/>
        <v>1.9565217391304348</v>
      </c>
      <c r="V5" s="231">
        <f t="shared" si="1"/>
        <v>2.8813559322033897</v>
      </c>
      <c r="W5" s="231">
        <f t="shared" si="1"/>
        <v>2.3499999999999996</v>
      </c>
      <c r="X5" s="231">
        <f t="shared" si="1"/>
        <v>3.12</v>
      </c>
      <c r="Y5" s="231">
        <f t="shared" si="1"/>
        <v>1.6326530612244898</v>
      </c>
      <c r="Z5" s="231">
        <f t="shared" si="1"/>
        <v>1.9884615384615385</v>
      </c>
      <c r="AA5" s="231">
        <f t="shared" si="1"/>
        <v>2.1271428571428572</v>
      </c>
      <c r="AB5" s="231">
        <f t="shared" si="1"/>
        <v>1.7955555555555556</v>
      </c>
      <c r="AC5" s="231">
        <f t="shared" si="1"/>
        <v>2.828301886792453</v>
      </c>
      <c r="AD5" s="231">
        <f t="shared" si="1"/>
        <v>3.1734375000000004</v>
      </c>
      <c r="AE5" s="231">
        <f t="shared" si="1"/>
        <v>4.0154761904761909</v>
      </c>
      <c r="AF5" s="231">
        <f t="shared" si="1"/>
        <v>3.8249999999999997</v>
      </c>
      <c r="AG5" s="231">
        <f t="shared" si="1"/>
        <v>3.6185567010309279</v>
      </c>
      <c r="AH5" s="231">
        <f t="shared" si="1"/>
        <v>2.9215384615384616</v>
      </c>
      <c r="AI5" s="231">
        <f t="shared" si="1"/>
        <v>3.86242774566474</v>
      </c>
      <c r="AJ5" s="231">
        <f t="shared" si="1"/>
        <v>3.5383928571428567</v>
      </c>
      <c r="AK5" s="231">
        <f>AK8/AK4</f>
        <v>3.0147058823529411</v>
      </c>
      <c r="AL5" s="231">
        <f t="shared" ref="AL5:AX5" si="2">AL8/AL4</f>
        <v>4.3403990024937649</v>
      </c>
      <c r="AM5" s="231">
        <f t="shared" si="2"/>
        <v>4.2400619514713469</v>
      </c>
      <c r="AN5" s="231">
        <f t="shared" si="2"/>
        <v>5.010766580534022</v>
      </c>
      <c r="AO5" s="231">
        <f t="shared" si="2"/>
        <v>4.3624807395993832</v>
      </c>
      <c r="AP5" s="231">
        <f t="shared" si="2"/>
        <v>4.929988768251591</v>
      </c>
      <c r="AQ5" s="231">
        <f t="shared" si="2"/>
        <v>5.511343176089305</v>
      </c>
      <c r="AR5" s="231">
        <f t="shared" si="2"/>
        <v>4.9001484780994806</v>
      </c>
      <c r="AS5" s="231">
        <f>AS8/AS4</f>
        <v>4.8103666245259156</v>
      </c>
      <c r="AT5" s="231">
        <f>AT8/AT4</f>
        <v>5.7008785942492013</v>
      </c>
      <c r="AU5" s="231">
        <f t="shared" si="2"/>
        <v>5.0794580739655801</v>
      </c>
      <c r="AV5" s="231">
        <f t="shared" si="2"/>
        <v>5.25</v>
      </c>
      <c r="AW5" s="231">
        <f t="shared" si="2"/>
        <v>5.9969696969696971</v>
      </c>
      <c r="AX5" s="231">
        <f t="shared" si="2"/>
        <v>6.9166666666666679</v>
      </c>
      <c r="AY5" s="231">
        <f>AY8/AY4</f>
        <v>5.4799999999999995</v>
      </c>
      <c r="AZ5" s="235">
        <f>FORECAST(AZ22,AK5:AY5,AK22:AY22)-0.7</f>
        <v>5.6347929199927647</v>
      </c>
      <c r="BA5" s="235">
        <f t="shared" ref="BA5:BM5" si="3">FORECAST(BA22,AL5:AZ5,AL22:AZ22)</f>
        <v>6.1670929109831718</v>
      </c>
      <c r="BB5" s="235">
        <f t="shared" si="3"/>
        <v>6.2811159655659878</v>
      </c>
      <c r="BC5" s="235">
        <f t="shared" si="3"/>
        <v>6.3571088671533005</v>
      </c>
      <c r="BD5" s="235">
        <f t="shared" si="3"/>
        <v>6.5198314629903678</v>
      </c>
      <c r="BE5" s="235">
        <f t="shared" si="3"/>
        <v>6.5825192638530439</v>
      </c>
      <c r="BF5" s="235">
        <f t="shared" si="3"/>
        <v>6.6921674717735584</v>
      </c>
      <c r="BG5" s="235">
        <f t="shared" si="3"/>
        <v>6.8779640917722702</v>
      </c>
      <c r="BH5" s="235">
        <f t="shared" si="3"/>
        <v>6.9806133080289214</v>
      </c>
      <c r="BI5" s="235">
        <f t="shared" si="3"/>
        <v>7.0395905214609797</v>
      </c>
      <c r="BJ5" s="235">
        <f t="shared" si="3"/>
        <v>7.1964660721395433</v>
      </c>
      <c r="BK5" s="235">
        <f t="shared" si="3"/>
        <v>7.2563152494137739</v>
      </c>
      <c r="BL5" s="235">
        <f t="shared" si="3"/>
        <v>7.2992498144188858</v>
      </c>
      <c r="BM5" s="235">
        <f t="shared" si="3"/>
        <v>7.4172482548562186</v>
      </c>
    </row>
    <row r="6" spans="1:65" ht="13.5">
      <c r="A6" s="236" t="s">
        <v>66</v>
      </c>
      <c r="B6" s="236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37"/>
      <c r="AB6" s="237"/>
      <c r="AC6" s="237"/>
      <c r="AD6" s="237"/>
      <c r="AE6" s="237"/>
      <c r="AF6" s="237"/>
      <c r="AG6" s="237"/>
      <c r="AH6" s="237"/>
      <c r="AI6" s="237"/>
      <c r="AJ6" s="237"/>
      <c r="AK6" s="237"/>
      <c r="AL6" s="237"/>
      <c r="AM6" s="237"/>
      <c r="AN6" s="237"/>
      <c r="AO6" s="237"/>
      <c r="AP6" s="237"/>
      <c r="AQ6" s="237"/>
      <c r="AR6" s="237"/>
      <c r="AS6" s="237"/>
      <c r="AT6" s="237"/>
      <c r="AU6" s="237"/>
      <c r="AV6" s="237"/>
      <c r="AW6" s="237"/>
      <c r="AX6" s="237"/>
      <c r="AY6" s="237"/>
      <c r="AZ6" s="238"/>
      <c r="BA6" s="238"/>
      <c r="BB6" s="238"/>
      <c r="BC6" s="238"/>
      <c r="BD6" s="238"/>
      <c r="BE6" s="238"/>
      <c r="BF6" s="238"/>
      <c r="BG6" s="238"/>
      <c r="BH6" s="238"/>
      <c r="BI6" s="238"/>
      <c r="BJ6" s="238"/>
      <c r="BK6" s="238"/>
      <c r="BL6" s="238"/>
      <c r="BM6" s="238"/>
    </row>
    <row r="7" spans="1:65" ht="13.5">
      <c r="A7" s="239" t="s">
        <v>251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40">
        <v>2.3559999999999999</v>
      </c>
      <c r="R7" s="240">
        <v>1.857</v>
      </c>
      <c r="S7" s="240">
        <v>1.256</v>
      </c>
      <c r="T7" s="240">
        <v>1.387</v>
      </c>
      <c r="U7" s="240">
        <v>0.94499999999999995</v>
      </c>
      <c r="V7" s="240">
        <v>0.155</v>
      </c>
      <c r="W7" s="240">
        <v>0.16700000000000001</v>
      </c>
      <c r="X7" s="240">
        <v>0.14899999999999999</v>
      </c>
      <c r="Y7" s="240">
        <v>0.5</v>
      </c>
      <c r="Z7" s="240">
        <v>0.10100000000000001</v>
      </c>
      <c r="AA7" s="240">
        <v>0.16</v>
      </c>
      <c r="AB7" s="240">
        <v>9.8000000000000004E-2</v>
      </c>
      <c r="AC7" s="240">
        <v>0.09</v>
      </c>
      <c r="AD7" s="240">
        <v>7.5999999999999998E-2</v>
      </c>
      <c r="AE7" s="240">
        <v>5.2999999999999999E-2</v>
      </c>
      <c r="AF7" s="240">
        <v>0.108</v>
      </c>
      <c r="AG7" s="240">
        <v>0.121</v>
      </c>
      <c r="AH7" s="240">
        <v>6.2E-2</v>
      </c>
      <c r="AI7" s="240">
        <v>5.1999999999999998E-2</v>
      </c>
      <c r="AJ7" s="240">
        <v>0.254</v>
      </c>
      <c r="AK7" s="240">
        <v>0.122</v>
      </c>
      <c r="AL7" s="240">
        <v>7.1999999999999995E-2</v>
      </c>
      <c r="AM7" s="240">
        <v>0.35</v>
      </c>
      <c r="AN7" s="240">
        <v>0.29699999999999999</v>
      </c>
      <c r="AO7" s="240">
        <v>0.69</v>
      </c>
      <c r="AP7" s="240">
        <v>0.748</v>
      </c>
      <c r="AQ7" s="240">
        <v>0.56899999999999995</v>
      </c>
      <c r="AR7" s="240">
        <v>0.77900000000000003</v>
      </c>
      <c r="AS7" s="240">
        <v>0.19500000000000001</v>
      </c>
      <c r="AT7" s="240">
        <v>0.377</v>
      </c>
      <c r="AU7" s="240">
        <v>0.83</v>
      </c>
      <c r="AV7" s="240">
        <v>0.751</v>
      </c>
      <c r="AW7" s="240">
        <v>0.92600000000000005</v>
      </c>
      <c r="AX7" s="240">
        <v>0.90800000000000003</v>
      </c>
      <c r="AY7" s="240">
        <v>0.75800000000000001</v>
      </c>
      <c r="AZ7" s="241">
        <f>AY16</f>
        <v>0.75800000000000001</v>
      </c>
      <c r="BA7" s="241">
        <f t="shared" ref="BA7:BM7" si="4">AZ16</f>
        <v>1</v>
      </c>
      <c r="BB7" s="241">
        <f t="shared" si="4"/>
        <v>1</v>
      </c>
      <c r="BC7" s="241">
        <f t="shared" si="4"/>
        <v>1</v>
      </c>
      <c r="BD7" s="241">
        <f t="shared" si="4"/>
        <v>1.1000000000000001</v>
      </c>
      <c r="BE7" s="241">
        <f t="shared" si="4"/>
        <v>1.2</v>
      </c>
      <c r="BF7" s="241">
        <f t="shared" si="4"/>
        <v>1.3</v>
      </c>
      <c r="BG7" s="241">
        <f t="shared" si="4"/>
        <v>1.3</v>
      </c>
      <c r="BH7" s="241">
        <f t="shared" si="4"/>
        <v>1.4</v>
      </c>
      <c r="BI7" s="241">
        <f t="shared" si="4"/>
        <v>1.5</v>
      </c>
      <c r="BJ7" s="241">
        <f t="shared" si="4"/>
        <v>1.6</v>
      </c>
      <c r="BK7" s="241">
        <f t="shared" si="4"/>
        <v>1.7</v>
      </c>
      <c r="BL7" s="241">
        <f t="shared" si="4"/>
        <v>1.7</v>
      </c>
      <c r="BM7" s="241">
        <f t="shared" si="4"/>
        <v>1.8</v>
      </c>
    </row>
    <row r="8" spans="1:65" ht="13.5">
      <c r="A8" s="242" t="s">
        <v>13</v>
      </c>
      <c r="B8" s="242"/>
      <c r="C8" s="242"/>
      <c r="D8" s="242"/>
      <c r="E8" s="242"/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34">
        <v>2.4510000000000001</v>
      </c>
      <c r="R8" s="234">
        <v>1.9690000000000001</v>
      </c>
      <c r="S8" s="234">
        <v>2.1349999999999998</v>
      </c>
      <c r="T8" s="234">
        <v>2.4470000000000001</v>
      </c>
      <c r="U8" s="234">
        <v>0.9</v>
      </c>
      <c r="V8" s="234">
        <v>1.7</v>
      </c>
      <c r="W8" s="234">
        <v>1.081</v>
      </c>
      <c r="X8" s="234">
        <v>2.6520000000000001</v>
      </c>
      <c r="Y8" s="234">
        <v>0.8</v>
      </c>
      <c r="Z8" s="234">
        <v>1.034</v>
      </c>
      <c r="AA8" s="234">
        <v>1.4890000000000001</v>
      </c>
      <c r="AB8" s="234">
        <v>0.80800000000000005</v>
      </c>
      <c r="AC8" s="234">
        <v>1.4990000000000001</v>
      </c>
      <c r="AD8" s="234">
        <v>2.0310000000000001</v>
      </c>
      <c r="AE8" s="234">
        <v>3.3730000000000002</v>
      </c>
      <c r="AF8" s="234">
        <v>3.06</v>
      </c>
      <c r="AG8" s="234">
        <v>3.51</v>
      </c>
      <c r="AH8" s="234">
        <v>3.798</v>
      </c>
      <c r="AI8" s="234">
        <v>6.6820000000000004</v>
      </c>
      <c r="AJ8" s="234">
        <v>3.9630000000000001</v>
      </c>
      <c r="AK8" s="234">
        <v>3.0750000000000002</v>
      </c>
      <c r="AL8" s="234">
        <v>6.9619999999999997</v>
      </c>
      <c r="AM8" s="234">
        <v>8.2129999999999992</v>
      </c>
      <c r="AN8" s="234">
        <v>11.635</v>
      </c>
      <c r="AO8" s="234">
        <v>11.324999999999999</v>
      </c>
      <c r="AP8" s="234">
        <v>13.167999999999999</v>
      </c>
      <c r="AQ8" s="234">
        <v>15.305</v>
      </c>
      <c r="AR8" s="234">
        <v>13.201000000000001</v>
      </c>
      <c r="AS8" s="234">
        <v>11.414999999999999</v>
      </c>
      <c r="AT8" s="234">
        <v>14.275</v>
      </c>
      <c r="AU8" s="234">
        <v>13.872</v>
      </c>
      <c r="AV8" s="234">
        <v>15.225</v>
      </c>
      <c r="AW8" s="234">
        <v>15.832000000000001</v>
      </c>
      <c r="AX8" s="234">
        <v>16.600000000000001</v>
      </c>
      <c r="AY8" s="234">
        <v>13.7</v>
      </c>
      <c r="AZ8" s="243">
        <f>AZ5*AZ4</f>
        <v>16.720469852008765</v>
      </c>
      <c r="BA8" s="243">
        <f t="shared" ref="BA8:BM8" si="5">BA5*BA4</f>
        <v>17.913474508434689</v>
      </c>
      <c r="BB8" s="243">
        <f t="shared" si="5"/>
        <v>17.990449108274017</v>
      </c>
      <c r="BC8" s="243">
        <f t="shared" si="5"/>
        <v>17.988685453504438</v>
      </c>
      <c r="BD8" s="243">
        <f t="shared" si="5"/>
        <v>18.397771135780232</v>
      </c>
      <c r="BE8" s="243">
        <f t="shared" si="5"/>
        <v>18.705500305368584</v>
      </c>
      <c r="BF8" s="243">
        <f t="shared" si="5"/>
        <v>19.223657364488076</v>
      </c>
      <c r="BG8" s="243">
        <f t="shared" si="5"/>
        <v>20.11078530784221</v>
      </c>
      <c r="BH8" s="243">
        <f t="shared" si="5"/>
        <v>20.75240170766693</v>
      </c>
      <c r="BI8" s="243">
        <f t="shared" si="5"/>
        <v>20.951816629738484</v>
      </c>
      <c r="BJ8" s="243">
        <f t="shared" si="5"/>
        <v>21.479202643573824</v>
      </c>
      <c r="BK8" s="243">
        <f t="shared" si="5"/>
        <v>21.903850238862752</v>
      </c>
      <c r="BL8" s="243">
        <f t="shared" si="5"/>
        <v>22.493731703999757</v>
      </c>
      <c r="BM8" s="243">
        <f t="shared" si="5"/>
        <v>23.11244449747619</v>
      </c>
    </row>
    <row r="9" spans="1:65" ht="13.5">
      <c r="A9" s="242" t="s">
        <v>14</v>
      </c>
      <c r="B9" s="242"/>
      <c r="C9" s="242"/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4"/>
      <c r="AI9" s="234"/>
      <c r="AJ9" s="234"/>
      <c r="AK9" s="234">
        <f t="shared" ref="AK9:AY9" si="6">AK53</f>
        <v>3.2000000000000001E-2</v>
      </c>
      <c r="AL9" s="234">
        <f t="shared" si="6"/>
        <v>0.112</v>
      </c>
      <c r="AM9" s="234">
        <f t="shared" si="6"/>
        <v>4.2999999999999997E-2</v>
      </c>
      <c r="AN9" s="234">
        <f t="shared" si="6"/>
        <v>5.0999999999999997E-2</v>
      </c>
      <c r="AO9" s="234">
        <f t="shared" si="6"/>
        <v>5.1999999999999998E-2</v>
      </c>
      <c r="AP9" s="234">
        <f t="shared" si="6"/>
        <v>4.5999999999999999E-2</v>
      </c>
      <c r="AQ9" s="234">
        <f t="shared" si="6"/>
        <v>4.3999999999999997E-2</v>
      </c>
      <c r="AR9" s="234">
        <f t="shared" si="6"/>
        <v>5.2999999999999999E-2</v>
      </c>
      <c r="AS9" s="234">
        <f t="shared" si="6"/>
        <v>4.7E-2</v>
      </c>
      <c r="AT9" s="234">
        <f t="shared" si="6"/>
        <v>3.6999999999999998E-2</v>
      </c>
      <c r="AU9" s="234">
        <f t="shared" si="6"/>
        <v>0.05</v>
      </c>
      <c r="AV9" s="234">
        <f t="shared" si="6"/>
        <v>3.7999999999999999E-2</v>
      </c>
      <c r="AW9" s="234">
        <f t="shared" si="6"/>
        <v>0.05</v>
      </c>
      <c r="AX9" s="234">
        <f t="shared" si="6"/>
        <v>0.05</v>
      </c>
      <c r="AY9" s="234">
        <f t="shared" si="6"/>
        <v>0.05</v>
      </c>
      <c r="AZ9" s="243">
        <v>0.05</v>
      </c>
      <c r="BA9" s="243">
        <v>1.05</v>
      </c>
      <c r="BB9" s="243">
        <v>2.0499999999999998</v>
      </c>
      <c r="BC9" s="243">
        <v>3.05</v>
      </c>
      <c r="BD9" s="243">
        <v>4.05</v>
      </c>
      <c r="BE9" s="243">
        <v>5.05</v>
      </c>
      <c r="BF9" s="243">
        <v>6.05</v>
      </c>
      <c r="BG9" s="243">
        <v>7.05</v>
      </c>
      <c r="BH9" s="243">
        <v>8.0500000000000007</v>
      </c>
      <c r="BI9" s="243">
        <v>9.0500000000000007</v>
      </c>
      <c r="BJ9" s="243">
        <v>10.050000000000001</v>
      </c>
      <c r="BK9" s="243">
        <v>11.05</v>
      </c>
      <c r="BL9" s="243">
        <v>12.05</v>
      </c>
      <c r="BM9" s="243">
        <v>13.05</v>
      </c>
    </row>
    <row r="10" spans="1:65" ht="13.5">
      <c r="A10" s="242" t="s">
        <v>15</v>
      </c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34">
        <f>SUM(Q7:Q9)</f>
        <v>4.8070000000000004</v>
      </c>
      <c r="R10" s="234">
        <f t="shared" ref="R10:BM10" si="7">SUM(R7:R9)</f>
        <v>3.8260000000000001</v>
      </c>
      <c r="S10" s="234">
        <f t="shared" si="7"/>
        <v>3.391</v>
      </c>
      <c r="T10" s="234">
        <f t="shared" si="7"/>
        <v>3.8340000000000001</v>
      </c>
      <c r="U10" s="234">
        <f t="shared" si="7"/>
        <v>1.845</v>
      </c>
      <c r="V10" s="234">
        <f t="shared" si="7"/>
        <v>1.855</v>
      </c>
      <c r="W10" s="234">
        <f t="shared" si="7"/>
        <v>1.248</v>
      </c>
      <c r="X10" s="234">
        <f t="shared" si="7"/>
        <v>2.8010000000000002</v>
      </c>
      <c r="Y10" s="234">
        <f t="shared" si="7"/>
        <v>1.3</v>
      </c>
      <c r="Z10" s="234">
        <f t="shared" si="7"/>
        <v>1.135</v>
      </c>
      <c r="AA10" s="234">
        <f t="shared" si="7"/>
        <v>1.649</v>
      </c>
      <c r="AB10" s="234">
        <f t="shared" si="7"/>
        <v>0.90600000000000003</v>
      </c>
      <c r="AC10" s="234">
        <f t="shared" si="7"/>
        <v>1.5890000000000002</v>
      </c>
      <c r="AD10" s="234">
        <f t="shared" si="7"/>
        <v>2.1070000000000002</v>
      </c>
      <c r="AE10" s="234">
        <f t="shared" si="7"/>
        <v>3.4260000000000002</v>
      </c>
      <c r="AF10" s="234">
        <f t="shared" si="7"/>
        <v>3.1680000000000001</v>
      </c>
      <c r="AG10" s="234">
        <f t="shared" si="7"/>
        <v>3.6309999999999998</v>
      </c>
      <c r="AH10" s="234">
        <f t="shared" si="7"/>
        <v>3.86</v>
      </c>
      <c r="AI10" s="234">
        <f t="shared" si="7"/>
        <v>6.734</v>
      </c>
      <c r="AJ10" s="234">
        <f t="shared" si="7"/>
        <v>4.2170000000000005</v>
      </c>
      <c r="AK10" s="234">
        <f t="shared" si="7"/>
        <v>3.2290000000000001</v>
      </c>
      <c r="AL10" s="234">
        <f t="shared" si="7"/>
        <v>7.1459999999999999</v>
      </c>
      <c r="AM10" s="234">
        <f t="shared" si="7"/>
        <v>8.6059999999999981</v>
      </c>
      <c r="AN10" s="234">
        <f t="shared" si="7"/>
        <v>11.983000000000001</v>
      </c>
      <c r="AO10" s="234">
        <f t="shared" si="7"/>
        <v>12.066999999999998</v>
      </c>
      <c r="AP10" s="234">
        <f t="shared" si="7"/>
        <v>13.961999999999998</v>
      </c>
      <c r="AQ10" s="234">
        <f t="shared" si="7"/>
        <v>15.917999999999999</v>
      </c>
      <c r="AR10" s="234">
        <f t="shared" si="7"/>
        <v>14.033000000000001</v>
      </c>
      <c r="AS10" s="234">
        <f t="shared" si="7"/>
        <v>11.657</v>
      </c>
      <c r="AT10" s="234">
        <f t="shared" si="7"/>
        <v>14.689000000000002</v>
      </c>
      <c r="AU10" s="234">
        <f t="shared" si="7"/>
        <v>14.752000000000001</v>
      </c>
      <c r="AV10" s="234">
        <f t="shared" si="7"/>
        <v>16.013999999999999</v>
      </c>
      <c r="AW10" s="234">
        <f t="shared" si="7"/>
        <v>16.808</v>
      </c>
      <c r="AX10" s="234">
        <f>SUM(AX7:AX9)</f>
        <v>17.558000000000003</v>
      </c>
      <c r="AY10" s="234">
        <f t="shared" si="7"/>
        <v>14.507999999999999</v>
      </c>
      <c r="AZ10" s="243">
        <f t="shared" si="7"/>
        <v>17.528469852008765</v>
      </c>
      <c r="BA10" s="243">
        <f t="shared" si="7"/>
        <v>19.96347450843469</v>
      </c>
      <c r="BB10" s="243">
        <f t="shared" si="7"/>
        <v>21.040449108274018</v>
      </c>
      <c r="BC10" s="243">
        <f t="shared" si="7"/>
        <v>22.038685453504439</v>
      </c>
      <c r="BD10" s="243">
        <f t="shared" si="7"/>
        <v>23.547771135780234</v>
      </c>
      <c r="BE10" s="243">
        <f t="shared" si="7"/>
        <v>24.955500305368584</v>
      </c>
      <c r="BF10" s="243">
        <f t="shared" si="7"/>
        <v>26.573657364488078</v>
      </c>
      <c r="BG10" s="243">
        <f t="shared" si="7"/>
        <v>28.460785307842212</v>
      </c>
      <c r="BH10" s="243">
        <f t="shared" si="7"/>
        <v>30.20240170766693</v>
      </c>
      <c r="BI10" s="243">
        <f t="shared" si="7"/>
        <v>31.501816629738485</v>
      </c>
      <c r="BJ10" s="243">
        <f t="shared" si="7"/>
        <v>33.129202643573826</v>
      </c>
      <c r="BK10" s="243">
        <f t="shared" si="7"/>
        <v>34.653850238862752</v>
      </c>
      <c r="BL10" s="243">
        <f t="shared" si="7"/>
        <v>36.243731703999757</v>
      </c>
      <c r="BM10" s="243">
        <f t="shared" si="7"/>
        <v>37.962444497476191</v>
      </c>
    </row>
    <row r="11" spans="1:65" ht="13.5">
      <c r="A11" s="239" t="s">
        <v>17</v>
      </c>
      <c r="B11" s="239"/>
      <c r="C11" s="239"/>
      <c r="D11" s="239"/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40">
        <f t="shared" ref="Q11:AW11" si="8">Q13-Q12</f>
        <v>7.52</v>
      </c>
      <c r="R11" s="240">
        <f t="shared" si="8"/>
        <v>7.04</v>
      </c>
      <c r="S11" s="240">
        <f t="shared" si="8"/>
        <v>5</v>
      </c>
      <c r="T11" s="240">
        <f t="shared" si="8"/>
        <v>4.5500000000000007</v>
      </c>
      <c r="U11" s="240">
        <f t="shared" si="8"/>
        <v>1</v>
      </c>
      <c r="V11" s="240">
        <f t="shared" si="8"/>
        <v>1</v>
      </c>
      <c r="W11" s="240">
        <f t="shared" si="8"/>
        <v>1</v>
      </c>
      <c r="X11" s="240">
        <f t="shared" si="8"/>
        <v>1.4650000000000001</v>
      </c>
      <c r="Y11" s="240">
        <f t="shared" si="8"/>
        <v>1.45</v>
      </c>
      <c r="Z11" s="240">
        <f t="shared" si="8"/>
        <v>1.51</v>
      </c>
      <c r="AA11" s="240">
        <f t="shared" si="8"/>
        <v>1.2999999999999998</v>
      </c>
      <c r="AB11" s="240">
        <f t="shared" si="8"/>
        <v>0.95000000000000007</v>
      </c>
      <c r="AC11" s="240">
        <f t="shared" si="8"/>
        <v>1.2000000000000002</v>
      </c>
      <c r="AD11" s="240">
        <f t="shared" si="8"/>
        <v>2.15</v>
      </c>
      <c r="AE11" s="240">
        <f t="shared" si="8"/>
        <v>3</v>
      </c>
      <c r="AF11" s="240">
        <f t="shared" si="8"/>
        <v>2.8</v>
      </c>
      <c r="AG11" s="240">
        <f t="shared" si="8"/>
        <v>3.1</v>
      </c>
      <c r="AH11" s="240">
        <f t="shared" si="8"/>
        <v>3.4999999999999996</v>
      </c>
      <c r="AI11" s="240">
        <f t="shared" si="8"/>
        <v>4.5</v>
      </c>
      <c r="AJ11" s="240">
        <f t="shared" si="8"/>
        <v>3.2</v>
      </c>
      <c r="AK11" s="240">
        <f t="shared" si="8"/>
        <v>2.8000000000000003</v>
      </c>
      <c r="AL11" s="240">
        <f t="shared" si="8"/>
        <v>4</v>
      </c>
      <c r="AM11" s="240">
        <f t="shared" si="8"/>
        <v>5.6000000000000005</v>
      </c>
      <c r="AN11" s="240">
        <f t="shared" si="8"/>
        <v>6.1999999999999993</v>
      </c>
      <c r="AO11" s="240">
        <f t="shared" si="8"/>
        <v>7.1999999999999993</v>
      </c>
      <c r="AP11" s="240">
        <f t="shared" si="8"/>
        <v>7.7999999999999989</v>
      </c>
      <c r="AQ11" s="240">
        <f t="shared" si="8"/>
        <v>8.6000000000000014</v>
      </c>
      <c r="AR11" s="240">
        <f t="shared" si="8"/>
        <v>7.4</v>
      </c>
      <c r="AS11" s="240">
        <f t="shared" si="8"/>
        <v>7.6</v>
      </c>
      <c r="AT11" s="240">
        <f t="shared" si="8"/>
        <v>8.8000000000000007</v>
      </c>
      <c r="AU11" s="240">
        <f t="shared" si="8"/>
        <v>8.9</v>
      </c>
      <c r="AV11" s="240">
        <f t="shared" si="8"/>
        <v>10</v>
      </c>
      <c r="AW11" s="240">
        <f t="shared" si="8"/>
        <v>8.9</v>
      </c>
      <c r="AX11" s="240">
        <f>AX13-AX12</f>
        <v>9.1</v>
      </c>
      <c r="AY11" s="240">
        <f t="shared" ref="AY11:BM11" si="9">AY13-AY12</f>
        <v>9.7000000000000011</v>
      </c>
      <c r="AZ11" s="241">
        <f>AZ13-AZ12</f>
        <v>10.928469852008766</v>
      </c>
      <c r="BA11" s="241">
        <f t="shared" si="9"/>
        <v>16.35797450843469</v>
      </c>
      <c r="BB11" s="241">
        <f t="shared" si="9"/>
        <v>17.429421608274019</v>
      </c>
      <c r="BC11" s="241">
        <f t="shared" si="9"/>
        <v>18.322102816004438</v>
      </c>
      <c r="BD11" s="241">
        <f t="shared" si="9"/>
        <v>19.725605585092737</v>
      </c>
      <c r="BE11" s="241">
        <f t="shared" si="9"/>
        <v>21.027723926927646</v>
      </c>
      <c r="BF11" s="241">
        <f t="shared" si="9"/>
        <v>22.640242104154936</v>
      </c>
      <c r="BG11" s="241">
        <f t="shared" si="9"/>
        <v>24.421702971207406</v>
      </c>
      <c r="BH11" s="241">
        <f t="shared" si="9"/>
        <v>26.057623959348948</v>
      </c>
      <c r="BI11" s="241">
        <f t="shared" si="9"/>
        <v>27.251314992678914</v>
      </c>
      <c r="BJ11" s="241">
        <f t="shared" si="9"/>
        <v>28.772948498328958</v>
      </c>
      <c r="BK11" s="241">
        <f t="shared" si="9"/>
        <v>30.291814822891656</v>
      </c>
      <c r="BL11" s="241">
        <f t="shared" si="9"/>
        <v>31.775886110948811</v>
      </c>
      <c r="BM11" s="241">
        <f t="shared" si="9"/>
        <v>33.388759676459991</v>
      </c>
    </row>
    <row r="12" spans="1:65" ht="13.5">
      <c r="A12" s="242" t="s">
        <v>18</v>
      </c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34">
        <v>1.08</v>
      </c>
      <c r="R12" s="234">
        <v>1.2549999999999999</v>
      </c>
      <c r="S12" s="234">
        <v>1.175</v>
      </c>
      <c r="T12" s="234">
        <v>1.1000000000000001</v>
      </c>
      <c r="U12" s="234">
        <v>0.8</v>
      </c>
      <c r="V12" s="234">
        <v>0.8</v>
      </c>
      <c r="W12" s="234">
        <v>0.33</v>
      </c>
      <c r="X12" s="234">
        <v>0.90500000000000003</v>
      </c>
      <c r="Y12" s="234">
        <v>0.26</v>
      </c>
      <c r="Z12" s="234">
        <v>0.33500000000000002</v>
      </c>
      <c r="AA12" s="234">
        <v>0.4</v>
      </c>
      <c r="AB12" s="234">
        <v>0.4</v>
      </c>
      <c r="AC12" s="234">
        <v>0.4</v>
      </c>
      <c r="AD12" s="234">
        <v>0.4</v>
      </c>
      <c r="AE12" s="234">
        <v>0.5</v>
      </c>
      <c r="AF12" s="234">
        <v>0.5</v>
      </c>
      <c r="AG12" s="234">
        <v>0.5</v>
      </c>
      <c r="AH12" s="234">
        <v>0.6</v>
      </c>
      <c r="AI12" s="234">
        <v>0.7</v>
      </c>
      <c r="AJ12" s="234">
        <v>0.5</v>
      </c>
      <c r="AK12" s="234">
        <v>0.4</v>
      </c>
      <c r="AL12" s="234">
        <v>0.7</v>
      </c>
      <c r="AM12" s="234">
        <v>0.8</v>
      </c>
      <c r="AN12" s="234">
        <v>0.9</v>
      </c>
      <c r="AO12" s="234">
        <v>0.9</v>
      </c>
      <c r="AP12" s="234">
        <v>0.9</v>
      </c>
      <c r="AQ12" s="234">
        <v>0.95</v>
      </c>
      <c r="AR12" s="234">
        <v>0.9</v>
      </c>
      <c r="AS12" s="234">
        <v>0.9</v>
      </c>
      <c r="AT12" s="234">
        <v>1</v>
      </c>
      <c r="AU12" s="234">
        <v>1.1000000000000001</v>
      </c>
      <c r="AV12" s="234">
        <v>1.1000000000000001</v>
      </c>
      <c r="AW12" s="234">
        <v>1.1000000000000001</v>
      </c>
      <c r="AX12" s="234">
        <v>1.1000000000000001</v>
      </c>
      <c r="AY12" s="234">
        <v>1.1000000000000001</v>
      </c>
      <c r="AZ12" s="243">
        <v>1.1000000000000001</v>
      </c>
      <c r="BA12" s="243">
        <f>AZ12*1.005</f>
        <v>1.1054999999999999</v>
      </c>
      <c r="BB12" s="243">
        <f t="shared" ref="BB12:BM12" si="10">BA12*1.005</f>
        <v>1.1110274999999998</v>
      </c>
      <c r="BC12" s="243">
        <f t="shared" si="10"/>
        <v>1.1165826374999996</v>
      </c>
      <c r="BD12" s="243">
        <f t="shared" si="10"/>
        <v>1.1221655506874995</v>
      </c>
      <c r="BE12" s="243">
        <f t="shared" si="10"/>
        <v>1.1277763784409369</v>
      </c>
      <c r="BF12" s="243">
        <f t="shared" si="10"/>
        <v>1.1334152603331415</v>
      </c>
      <c r="BG12" s="243">
        <f t="shared" si="10"/>
        <v>1.1390823366348071</v>
      </c>
      <c r="BH12" s="243">
        <f t="shared" si="10"/>
        <v>1.1447777483179811</v>
      </c>
      <c r="BI12" s="243">
        <f t="shared" si="10"/>
        <v>1.1505016370595709</v>
      </c>
      <c r="BJ12" s="243">
        <f t="shared" si="10"/>
        <v>1.1562541452448687</v>
      </c>
      <c r="BK12" s="243">
        <f t="shared" si="10"/>
        <v>1.1620354159710928</v>
      </c>
      <c r="BL12" s="243">
        <f t="shared" si="10"/>
        <v>1.1678455930509481</v>
      </c>
      <c r="BM12" s="243">
        <f t="shared" si="10"/>
        <v>1.1736848210162028</v>
      </c>
    </row>
    <row r="13" spans="1:65" ht="13.5">
      <c r="A13" s="242" t="s">
        <v>68</v>
      </c>
      <c r="B13" s="242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34">
        <v>8.6</v>
      </c>
      <c r="R13" s="234">
        <v>8.2949999999999999</v>
      </c>
      <c r="S13" s="234">
        <v>6.1749999999999998</v>
      </c>
      <c r="T13" s="234">
        <v>5.65</v>
      </c>
      <c r="U13" s="234">
        <v>1.8</v>
      </c>
      <c r="V13" s="234">
        <v>1.8</v>
      </c>
      <c r="W13" s="234">
        <v>1.33</v>
      </c>
      <c r="X13" s="234">
        <v>2.37</v>
      </c>
      <c r="Y13" s="234">
        <v>1.71</v>
      </c>
      <c r="Z13" s="234">
        <v>1.845</v>
      </c>
      <c r="AA13" s="234">
        <v>1.7</v>
      </c>
      <c r="AB13" s="234">
        <v>1.35</v>
      </c>
      <c r="AC13" s="234">
        <v>1.6</v>
      </c>
      <c r="AD13" s="234">
        <v>2.5499999999999998</v>
      </c>
      <c r="AE13" s="234">
        <v>3.5</v>
      </c>
      <c r="AF13" s="234">
        <v>3.3</v>
      </c>
      <c r="AG13" s="234">
        <v>3.6</v>
      </c>
      <c r="AH13" s="234">
        <v>4.0999999999999996</v>
      </c>
      <c r="AI13" s="234">
        <v>5.2</v>
      </c>
      <c r="AJ13" s="234">
        <v>3.7</v>
      </c>
      <c r="AK13" s="234">
        <v>3.2</v>
      </c>
      <c r="AL13" s="234">
        <v>4.7</v>
      </c>
      <c r="AM13" s="234">
        <v>6.4</v>
      </c>
      <c r="AN13" s="234">
        <v>7.1</v>
      </c>
      <c r="AO13" s="234">
        <v>8.1</v>
      </c>
      <c r="AP13" s="234">
        <v>8.6999999999999993</v>
      </c>
      <c r="AQ13" s="234">
        <v>9.5500000000000007</v>
      </c>
      <c r="AR13" s="234">
        <v>8.3000000000000007</v>
      </c>
      <c r="AS13" s="234">
        <v>8.5</v>
      </c>
      <c r="AT13" s="234">
        <v>9.8000000000000007</v>
      </c>
      <c r="AU13" s="234">
        <v>10</v>
      </c>
      <c r="AV13" s="234">
        <v>11.1</v>
      </c>
      <c r="AW13" s="234">
        <v>10</v>
      </c>
      <c r="AX13" s="234">
        <v>10.199999999999999</v>
      </c>
      <c r="AY13" s="234">
        <v>10.8</v>
      </c>
      <c r="AZ13" s="243">
        <f>AZ15-AZ14</f>
        <v>12.028469852008765</v>
      </c>
      <c r="BA13" s="243">
        <f t="shared" ref="BA13:BM13" si="11">BA15-BA14</f>
        <v>17.46347450843469</v>
      </c>
      <c r="BB13" s="243">
        <f t="shared" si="11"/>
        <v>18.540449108274018</v>
      </c>
      <c r="BC13" s="243">
        <f t="shared" si="11"/>
        <v>19.438685453504437</v>
      </c>
      <c r="BD13" s="243">
        <f t="shared" si="11"/>
        <v>20.847771135780235</v>
      </c>
      <c r="BE13" s="243">
        <f t="shared" si="11"/>
        <v>22.155500305368584</v>
      </c>
      <c r="BF13" s="243">
        <f t="shared" si="11"/>
        <v>23.773657364488077</v>
      </c>
      <c r="BG13" s="243">
        <f t="shared" si="11"/>
        <v>25.560785307842213</v>
      </c>
      <c r="BH13" s="243">
        <f t="shared" si="11"/>
        <v>27.20240170766693</v>
      </c>
      <c r="BI13" s="243">
        <f t="shared" si="11"/>
        <v>28.401816629738484</v>
      </c>
      <c r="BJ13" s="243">
        <f t="shared" si="11"/>
        <v>29.929202643573827</v>
      </c>
      <c r="BK13" s="243">
        <f t="shared" si="11"/>
        <v>31.453850238862749</v>
      </c>
      <c r="BL13" s="243">
        <f t="shared" si="11"/>
        <v>32.943731703999759</v>
      </c>
      <c r="BM13" s="243">
        <f t="shared" si="11"/>
        <v>34.562444497476193</v>
      </c>
    </row>
    <row r="14" spans="1:65" ht="13.5">
      <c r="A14" s="242" t="s">
        <v>19</v>
      </c>
      <c r="B14" s="244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34">
        <f>Q37</f>
        <v>0</v>
      </c>
      <c r="R14" s="234">
        <f t="shared" ref="R14:AK14" si="12">R37</f>
        <v>0</v>
      </c>
      <c r="S14" s="234">
        <f t="shared" si="12"/>
        <v>0.3</v>
      </c>
      <c r="T14" s="234">
        <f t="shared" si="12"/>
        <v>0.1</v>
      </c>
      <c r="U14" s="234">
        <f t="shared" si="12"/>
        <v>4.0000000000000001E-3</v>
      </c>
      <c r="V14" s="234">
        <f t="shared" si="12"/>
        <v>1E-3</v>
      </c>
      <c r="W14" s="234">
        <f t="shared" si="12"/>
        <v>0</v>
      </c>
      <c r="X14" s="234">
        <f t="shared" si="12"/>
        <v>0</v>
      </c>
      <c r="Y14" s="234">
        <f t="shared" si="12"/>
        <v>1.6E-2</v>
      </c>
      <c r="Z14" s="234">
        <f t="shared" si="12"/>
        <v>1.2999999999999999E-2</v>
      </c>
      <c r="AA14" s="234">
        <f t="shared" si="12"/>
        <v>0</v>
      </c>
      <c r="AB14" s="234">
        <f t="shared" si="12"/>
        <v>1E-3</v>
      </c>
      <c r="AC14" s="234">
        <f t="shared" si="12"/>
        <v>0</v>
      </c>
      <c r="AD14" s="234">
        <f t="shared" si="12"/>
        <v>1.2E-2</v>
      </c>
      <c r="AE14" s="234">
        <f t="shared" si="12"/>
        <v>0</v>
      </c>
      <c r="AF14" s="234">
        <f t="shared" si="12"/>
        <v>4.3999999999999997E-2</v>
      </c>
      <c r="AG14" s="234">
        <f t="shared" si="12"/>
        <v>5.2999999999999999E-2</v>
      </c>
      <c r="AH14" s="234">
        <f t="shared" si="12"/>
        <v>7.6999999999999999E-2</v>
      </c>
      <c r="AI14" s="234">
        <f t="shared" si="12"/>
        <v>4.9000000000000002E-2</v>
      </c>
      <c r="AJ14" s="234">
        <f t="shared" si="12"/>
        <v>1.331</v>
      </c>
      <c r="AK14" s="234">
        <f t="shared" si="12"/>
        <v>0.42699999999999999</v>
      </c>
      <c r="AL14" s="234">
        <f>AL37/1000</f>
        <v>1.822132E-3</v>
      </c>
      <c r="AM14" s="234">
        <f t="shared" ref="AM14:AY14" si="13">AM37/1000</f>
        <v>1.8755629999999998E-3</v>
      </c>
      <c r="AN14" s="234">
        <f t="shared" si="13"/>
        <v>1.8709580000000003E-3</v>
      </c>
      <c r="AO14" s="234">
        <f t="shared" si="13"/>
        <v>1.7489939999999998E-3</v>
      </c>
      <c r="AP14" s="234">
        <f t="shared" si="13"/>
        <v>1.7522999999999998E-3</v>
      </c>
      <c r="AQ14" s="234">
        <f t="shared" si="13"/>
        <v>0.20262458699999999</v>
      </c>
      <c r="AR14" s="234">
        <f t="shared" si="13"/>
        <v>6.1737619999999993E-3</v>
      </c>
      <c r="AS14" s="234">
        <f t="shared" si="13"/>
        <v>7.6181860000000016E-3</v>
      </c>
      <c r="AT14" s="234">
        <f t="shared" si="13"/>
        <v>2.9418644380000001</v>
      </c>
      <c r="AU14" s="234">
        <f t="shared" si="13"/>
        <v>3.9881529720000009</v>
      </c>
      <c r="AV14" s="234">
        <f t="shared" si="13"/>
        <v>4</v>
      </c>
      <c r="AW14" s="234">
        <f t="shared" si="13"/>
        <v>5.9</v>
      </c>
      <c r="AX14" s="234">
        <f t="shared" si="13"/>
        <v>6.6</v>
      </c>
      <c r="AY14" s="234">
        <f t="shared" si="13"/>
        <v>3.3</v>
      </c>
      <c r="AZ14" s="243">
        <f>AZ37/1000</f>
        <v>4.5</v>
      </c>
      <c r="BA14" s="243">
        <v>1.5</v>
      </c>
      <c r="BB14" s="243">
        <v>1.5</v>
      </c>
      <c r="BC14" s="243">
        <v>1.5</v>
      </c>
      <c r="BD14" s="243">
        <v>1.5</v>
      </c>
      <c r="BE14" s="243">
        <v>1.5</v>
      </c>
      <c r="BF14" s="243">
        <v>1.5</v>
      </c>
      <c r="BG14" s="243">
        <v>1.5</v>
      </c>
      <c r="BH14" s="243">
        <v>1.5</v>
      </c>
      <c r="BI14" s="243">
        <v>1.5</v>
      </c>
      <c r="BJ14" s="243">
        <v>1.5</v>
      </c>
      <c r="BK14" s="243">
        <v>1.5</v>
      </c>
      <c r="BL14" s="243">
        <v>1.5</v>
      </c>
      <c r="BM14" s="243">
        <v>1.5</v>
      </c>
    </row>
    <row r="15" spans="1:65" ht="13.5">
      <c r="A15" s="242" t="s">
        <v>69</v>
      </c>
      <c r="B15" s="242"/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2"/>
      <c r="P15" s="242"/>
      <c r="Q15" s="234">
        <f>Q10-Q16</f>
        <v>2.95</v>
      </c>
      <c r="R15" s="234">
        <f t="shared" ref="R15:AW15" si="14">R10-R16</f>
        <v>2.5700000000000003</v>
      </c>
      <c r="S15" s="234">
        <f t="shared" si="14"/>
        <v>2.1349999999999998</v>
      </c>
      <c r="T15" s="234">
        <f t="shared" si="14"/>
        <v>2.4470000000000001</v>
      </c>
      <c r="U15" s="234">
        <f t="shared" si="14"/>
        <v>0.9</v>
      </c>
      <c r="V15" s="234">
        <f t="shared" si="14"/>
        <v>1.7</v>
      </c>
      <c r="W15" s="234">
        <f t="shared" si="14"/>
        <v>1.081</v>
      </c>
      <c r="X15" s="234">
        <f t="shared" si="14"/>
        <v>2.6520000000000001</v>
      </c>
      <c r="Y15" s="234">
        <f t="shared" si="14"/>
        <v>0.8</v>
      </c>
      <c r="Z15" s="234">
        <f t="shared" si="14"/>
        <v>1.034</v>
      </c>
      <c r="AA15" s="234">
        <f t="shared" si="14"/>
        <v>1.4890000000000001</v>
      </c>
      <c r="AB15" s="234">
        <f t="shared" si="14"/>
        <v>0.80800000000000005</v>
      </c>
      <c r="AC15" s="234">
        <f t="shared" si="14"/>
        <v>1.4990000000000001</v>
      </c>
      <c r="AD15" s="234">
        <f t="shared" si="14"/>
        <v>2.0310000000000001</v>
      </c>
      <c r="AE15" s="234">
        <f t="shared" si="14"/>
        <v>3.3730000000000002</v>
      </c>
      <c r="AF15" s="234">
        <f t="shared" si="14"/>
        <v>3.06</v>
      </c>
      <c r="AG15" s="234">
        <f t="shared" si="14"/>
        <v>3.51</v>
      </c>
      <c r="AH15" s="234">
        <f t="shared" si="14"/>
        <v>3.798</v>
      </c>
      <c r="AI15" s="234">
        <f t="shared" si="14"/>
        <v>6.6820000000000004</v>
      </c>
      <c r="AJ15" s="234">
        <f t="shared" si="14"/>
        <v>3.9630000000000005</v>
      </c>
      <c r="AK15" s="234">
        <f t="shared" si="14"/>
        <v>3.1070000000000002</v>
      </c>
      <c r="AL15" s="234">
        <f t="shared" si="14"/>
        <v>7.0739999999999998</v>
      </c>
      <c r="AM15" s="234">
        <f t="shared" si="14"/>
        <v>8.2559999999999985</v>
      </c>
      <c r="AN15" s="234">
        <f t="shared" si="14"/>
        <v>11.686</v>
      </c>
      <c r="AO15" s="234">
        <f t="shared" si="14"/>
        <v>11.376999999999999</v>
      </c>
      <c r="AP15" s="234">
        <f t="shared" si="14"/>
        <v>13.213999999999999</v>
      </c>
      <c r="AQ15" s="234">
        <f t="shared" si="14"/>
        <v>15.349</v>
      </c>
      <c r="AR15" s="234">
        <f t="shared" si="14"/>
        <v>13.254000000000001</v>
      </c>
      <c r="AS15" s="234">
        <f t="shared" si="14"/>
        <v>11.462</v>
      </c>
      <c r="AT15" s="234">
        <f t="shared" si="14"/>
        <v>14.312000000000001</v>
      </c>
      <c r="AU15" s="234">
        <f t="shared" si="14"/>
        <v>13.922000000000001</v>
      </c>
      <c r="AV15" s="234">
        <f t="shared" si="14"/>
        <v>15.263</v>
      </c>
      <c r="AW15" s="234">
        <f t="shared" si="14"/>
        <v>15.9</v>
      </c>
      <c r="AX15" s="234">
        <f>AX10-AX16</f>
        <v>16.800000000000004</v>
      </c>
      <c r="AY15" s="234">
        <f>AY10-AY16</f>
        <v>13.75</v>
      </c>
      <c r="AZ15" s="243">
        <f>AZ10-AZ16</f>
        <v>16.528469852008765</v>
      </c>
      <c r="BA15" s="243">
        <f t="shared" ref="BA15:BM15" si="15">BA10-BA16</f>
        <v>18.96347450843469</v>
      </c>
      <c r="BB15" s="243">
        <f t="shared" si="15"/>
        <v>20.040449108274018</v>
      </c>
      <c r="BC15" s="243">
        <f t="shared" si="15"/>
        <v>20.938685453504437</v>
      </c>
      <c r="BD15" s="243">
        <f t="shared" si="15"/>
        <v>22.347771135780235</v>
      </c>
      <c r="BE15" s="243">
        <f t="shared" si="15"/>
        <v>23.655500305368584</v>
      </c>
      <c r="BF15" s="243">
        <f t="shared" si="15"/>
        <v>25.273657364488077</v>
      </c>
      <c r="BG15" s="243">
        <f t="shared" si="15"/>
        <v>27.060785307842213</v>
      </c>
      <c r="BH15" s="243">
        <f t="shared" si="15"/>
        <v>28.70240170766693</v>
      </c>
      <c r="BI15" s="243">
        <f t="shared" si="15"/>
        <v>29.901816629738484</v>
      </c>
      <c r="BJ15" s="243">
        <f t="shared" si="15"/>
        <v>31.429202643573827</v>
      </c>
      <c r="BK15" s="243">
        <f t="shared" si="15"/>
        <v>32.953850238862749</v>
      </c>
      <c r="BL15" s="243">
        <f t="shared" si="15"/>
        <v>34.443731703999759</v>
      </c>
      <c r="BM15" s="243">
        <f t="shared" si="15"/>
        <v>36.062444497476193</v>
      </c>
    </row>
    <row r="16" spans="1:65" ht="13.5">
      <c r="A16" s="239" t="s">
        <v>70</v>
      </c>
      <c r="B16" s="239"/>
      <c r="C16" s="239"/>
      <c r="D16" s="239"/>
      <c r="E16" s="239"/>
      <c r="F16" s="239"/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40">
        <v>1.857</v>
      </c>
      <c r="R16" s="240">
        <v>1.256</v>
      </c>
      <c r="S16" s="240">
        <v>1.256</v>
      </c>
      <c r="T16" s="240">
        <v>1.387</v>
      </c>
      <c r="U16" s="240">
        <v>0.94499999999999995</v>
      </c>
      <c r="V16" s="240">
        <v>0.155</v>
      </c>
      <c r="W16" s="240">
        <v>0.16700000000000001</v>
      </c>
      <c r="X16" s="240">
        <v>0.14899999999999999</v>
      </c>
      <c r="Y16" s="240">
        <v>0.5</v>
      </c>
      <c r="Z16" s="240">
        <v>0.10100000000000001</v>
      </c>
      <c r="AA16" s="240">
        <v>0.16</v>
      </c>
      <c r="AB16" s="240">
        <v>9.8000000000000004E-2</v>
      </c>
      <c r="AC16" s="240">
        <v>0.09</v>
      </c>
      <c r="AD16" s="240">
        <v>7.5999999999999998E-2</v>
      </c>
      <c r="AE16" s="240">
        <v>5.2999999999999999E-2</v>
      </c>
      <c r="AF16" s="240">
        <v>0.108</v>
      </c>
      <c r="AG16" s="240">
        <v>0.121</v>
      </c>
      <c r="AH16" s="240">
        <v>6.2E-2</v>
      </c>
      <c r="AI16" s="240">
        <v>5.1999999999999998E-2</v>
      </c>
      <c r="AJ16" s="240">
        <v>0.254</v>
      </c>
      <c r="AK16" s="240">
        <v>0.122</v>
      </c>
      <c r="AL16" s="240">
        <v>7.1999999999999995E-2</v>
      </c>
      <c r="AM16" s="240">
        <v>0.35</v>
      </c>
      <c r="AN16" s="240">
        <v>0.29699999999999999</v>
      </c>
      <c r="AO16" s="240">
        <v>0.69</v>
      </c>
      <c r="AP16" s="240">
        <v>0.748</v>
      </c>
      <c r="AQ16" s="240">
        <v>0.56899999999999995</v>
      </c>
      <c r="AR16" s="240">
        <v>0.77900000000000003</v>
      </c>
      <c r="AS16" s="240">
        <v>0.19500000000000001</v>
      </c>
      <c r="AT16" s="240">
        <v>0.377</v>
      </c>
      <c r="AU16" s="240">
        <v>0.83</v>
      </c>
      <c r="AV16" s="240">
        <v>0.751</v>
      </c>
      <c r="AW16" s="240">
        <v>0.90800000000000003</v>
      </c>
      <c r="AX16" s="240">
        <v>0.75800000000000001</v>
      </c>
      <c r="AY16" s="240">
        <v>0.75800000000000001</v>
      </c>
      <c r="AZ16" s="241">
        <v>1</v>
      </c>
      <c r="BA16" s="241">
        <v>1</v>
      </c>
      <c r="BB16" s="241">
        <v>1</v>
      </c>
      <c r="BC16" s="241">
        <v>1.1000000000000001</v>
      </c>
      <c r="BD16" s="241">
        <v>1.2</v>
      </c>
      <c r="BE16" s="241">
        <v>1.3</v>
      </c>
      <c r="BF16" s="241">
        <v>1.3</v>
      </c>
      <c r="BG16" s="241">
        <v>1.4</v>
      </c>
      <c r="BH16" s="241">
        <v>1.5</v>
      </c>
      <c r="BI16" s="241">
        <v>1.6</v>
      </c>
      <c r="BJ16" s="241">
        <v>1.7</v>
      </c>
      <c r="BK16" s="241">
        <v>1.7</v>
      </c>
      <c r="BL16" s="241">
        <v>1.8</v>
      </c>
      <c r="BM16" s="241">
        <v>1.9</v>
      </c>
    </row>
    <row r="17" spans="1:65" ht="14.25" thickBot="1">
      <c r="A17" s="245" t="s">
        <v>22</v>
      </c>
      <c r="B17" s="245"/>
      <c r="C17" s="245"/>
      <c r="D17" s="245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  <c r="Q17" s="246">
        <f>Q16/Q15</f>
        <v>0.62949152542372877</v>
      </c>
      <c r="R17" s="246">
        <f t="shared" ref="R17:BM17" si="16">R16/R15</f>
        <v>0.48871595330739293</v>
      </c>
      <c r="S17" s="246">
        <f t="shared" si="16"/>
        <v>0.58829039812646378</v>
      </c>
      <c r="T17" s="246">
        <f t="shared" si="16"/>
        <v>0.56681651001225986</v>
      </c>
      <c r="U17" s="246">
        <f t="shared" si="16"/>
        <v>1.0499999999999998</v>
      </c>
      <c r="V17" s="246">
        <f t="shared" si="16"/>
        <v>9.1176470588235289E-2</v>
      </c>
      <c r="W17" s="246">
        <f t="shared" si="16"/>
        <v>0.15448658649398705</v>
      </c>
      <c r="X17" s="246">
        <f t="shared" si="16"/>
        <v>5.6184012066365002E-2</v>
      </c>
      <c r="Y17" s="246">
        <f t="shared" si="16"/>
        <v>0.625</v>
      </c>
      <c r="Z17" s="246">
        <f t="shared" si="16"/>
        <v>9.7678916827852999E-2</v>
      </c>
      <c r="AA17" s="246">
        <f t="shared" si="16"/>
        <v>0.10745466756212223</v>
      </c>
      <c r="AB17" s="246">
        <f t="shared" si="16"/>
        <v>0.12128712871287128</v>
      </c>
      <c r="AC17" s="246">
        <f t="shared" si="16"/>
        <v>6.00400266844563E-2</v>
      </c>
      <c r="AD17" s="246">
        <f t="shared" si="16"/>
        <v>3.7419990152634169E-2</v>
      </c>
      <c r="AE17" s="246">
        <f t="shared" si="16"/>
        <v>1.5713015120071151E-2</v>
      </c>
      <c r="AF17" s="246">
        <f t="shared" si="16"/>
        <v>3.5294117647058823E-2</v>
      </c>
      <c r="AG17" s="246">
        <f t="shared" si="16"/>
        <v>3.4472934472934473E-2</v>
      </c>
      <c r="AH17" s="246">
        <f t="shared" si="16"/>
        <v>1.6324381253291206E-2</v>
      </c>
      <c r="AI17" s="246">
        <f t="shared" si="16"/>
        <v>7.7821011673151743E-3</v>
      </c>
      <c r="AJ17" s="246">
        <f t="shared" si="16"/>
        <v>6.4092858945243497E-2</v>
      </c>
      <c r="AK17" s="246">
        <f t="shared" si="16"/>
        <v>3.9266173157386543E-2</v>
      </c>
      <c r="AL17" s="246">
        <f t="shared" si="16"/>
        <v>1.0178117048346055E-2</v>
      </c>
      <c r="AM17" s="246">
        <f t="shared" si="16"/>
        <v>4.2393410852713184E-2</v>
      </c>
      <c r="AN17" s="246">
        <f t="shared" si="16"/>
        <v>2.5415026527468763E-2</v>
      </c>
      <c r="AO17" s="246">
        <f t="shared" si="16"/>
        <v>6.0648677155664937E-2</v>
      </c>
      <c r="AP17" s="246">
        <f t="shared" si="16"/>
        <v>5.6606629332526116E-2</v>
      </c>
      <c r="AQ17" s="246">
        <f t="shared" si="16"/>
        <v>3.707081894585966E-2</v>
      </c>
      <c r="AR17" s="246">
        <f t="shared" si="16"/>
        <v>5.877470952165384E-2</v>
      </c>
      <c r="AS17" s="246">
        <f t="shared" si="16"/>
        <v>1.7012737742104347E-2</v>
      </c>
      <c r="AT17" s="246">
        <f t="shared" si="16"/>
        <v>2.6341531581889323E-2</v>
      </c>
      <c r="AU17" s="246">
        <f t="shared" si="16"/>
        <v>5.9617870995546614E-2</v>
      </c>
      <c r="AV17" s="246">
        <f t="shared" si="16"/>
        <v>4.9203957282316711E-2</v>
      </c>
      <c r="AW17" s="246">
        <f t="shared" si="16"/>
        <v>5.7106918238993713E-2</v>
      </c>
      <c r="AX17" s="246">
        <f t="shared" si="16"/>
        <v>4.5119047619047607E-2</v>
      </c>
      <c r="AY17" s="246">
        <f t="shared" si="16"/>
        <v>5.5127272727272726E-2</v>
      </c>
      <c r="AZ17" s="247">
        <f t="shared" si="16"/>
        <v>6.0501668270185723E-2</v>
      </c>
      <c r="BA17" s="247">
        <f t="shared" si="16"/>
        <v>5.2732952474253275E-2</v>
      </c>
      <c r="BB17" s="247">
        <f t="shared" si="16"/>
        <v>4.9899081332819735E-2</v>
      </c>
      <c r="BC17" s="247">
        <f t="shared" si="16"/>
        <v>5.2534339008177652E-2</v>
      </c>
      <c r="BD17" s="247">
        <f t="shared" si="16"/>
        <v>5.3696630089374857E-2</v>
      </c>
      <c r="BE17" s="247">
        <f t="shared" si="16"/>
        <v>5.495550646650102E-2</v>
      </c>
      <c r="BF17" s="247">
        <f t="shared" si="16"/>
        <v>5.1436955928136671E-2</v>
      </c>
      <c r="BG17" s="247">
        <f t="shared" si="16"/>
        <v>5.1735379593521258E-2</v>
      </c>
      <c r="BH17" s="247">
        <f t="shared" si="16"/>
        <v>5.2260435042246756E-2</v>
      </c>
      <c r="BI17" s="247">
        <f t="shared" si="16"/>
        <v>5.3508454680600906E-2</v>
      </c>
      <c r="BJ17" s="247">
        <f t="shared" si="16"/>
        <v>5.4089822744758383E-2</v>
      </c>
      <c r="BK17" s="247">
        <f t="shared" si="16"/>
        <v>5.158729519244995E-2</v>
      </c>
      <c r="BL17" s="247">
        <f t="shared" si="16"/>
        <v>5.2259145886651301E-2</v>
      </c>
      <c r="BM17" s="247">
        <f t="shared" si="16"/>
        <v>5.2686389579967886E-2</v>
      </c>
    </row>
    <row r="18" spans="1:65" ht="14.25" hidden="1" thickBot="1">
      <c r="A18" s="248"/>
      <c r="B18" s="248"/>
      <c r="C18" s="248"/>
      <c r="D18" s="248"/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48"/>
      <c r="AF18" s="248"/>
      <c r="AG18" s="248"/>
      <c r="AH18" s="248"/>
      <c r="AI18" s="248"/>
      <c r="AJ18" s="248"/>
      <c r="AK18" s="248"/>
      <c r="AL18" s="248"/>
      <c r="AM18" s="248"/>
      <c r="AN18" s="248"/>
      <c r="AO18" s="248"/>
      <c r="AP18" s="248"/>
      <c r="AQ18" s="248"/>
      <c r="AR18" s="248"/>
      <c r="AS18" s="248"/>
      <c r="AT18" s="248"/>
      <c r="AU18" s="248"/>
      <c r="AV18" s="248"/>
      <c r="AW18" s="249"/>
      <c r="AX18" s="249"/>
      <c r="AY18" s="249"/>
      <c r="AZ18" s="249"/>
      <c r="BA18" s="249"/>
      <c r="BB18" s="249"/>
      <c r="BC18" s="249"/>
      <c r="BD18" s="249"/>
      <c r="BE18" s="249"/>
      <c r="BF18" s="249"/>
      <c r="BG18" s="249"/>
      <c r="BH18" s="249"/>
      <c r="BI18" s="249"/>
      <c r="BJ18" s="249"/>
      <c r="BK18" s="249"/>
      <c r="BL18" s="249"/>
      <c r="BM18" s="249"/>
    </row>
    <row r="19" spans="1:65" ht="14.25" hidden="1" thickBot="1">
      <c r="A19" s="248"/>
      <c r="B19" s="248"/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8"/>
      <c r="AF19" s="248"/>
      <c r="AG19" s="248"/>
      <c r="AH19" s="248"/>
      <c r="AI19" s="248"/>
      <c r="AJ19" s="248"/>
      <c r="AK19" s="248"/>
      <c r="AL19" s="248"/>
      <c r="AM19" s="248"/>
      <c r="AN19" s="248"/>
      <c r="AO19" s="248"/>
      <c r="AP19" s="248"/>
      <c r="AQ19" s="248"/>
      <c r="AR19" s="248"/>
      <c r="AS19" s="248"/>
      <c r="AT19" s="248"/>
      <c r="AU19" s="248"/>
      <c r="AV19" s="248"/>
      <c r="AW19" s="249"/>
      <c r="AX19" s="249"/>
      <c r="AY19" s="249"/>
      <c r="AZ19" s="249"/>
      <c r="BA19" s="249"/>
      <c r="BB19" s="249"/>
      <c r="BC19" s="249"/>
      <c r="BD19" s="249"/>
      <c r="BE19" s="249"/>
      <c r="BF19" s="249"/>
      <c r="BG19" s="249"/>
      <c r="BH19" s="249"/>
      <c r="BI19" s="249"/>
      <c r="BJ19" s="249"/>
      <c r="BK19" s="249"/>
      <c r="BL19" s="249"/>
      <c r="BM19" s="249"/>
    </row>
    <row r="20" spans="1:65" ht="13.5">
      <c r="A20" s="250" t="s">
        <v>281</v>
      </c>
      <c r="B20" s="250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1"/>
      <c r="AL20" s="251"/>
      <c r="AM20" s="251"/>
      <c r="AN20" s="251"/>
      <c r="AO20" s="251"/>
      <c r="AP20" s="251"/>
      <c r="AQ20" s="251"/>
      <c r="AR20" s="251"/>
      <c r="AS20" s="251"/>
      <c r="AT20" s="251"/>
      <c r="AU20" s="251"/>
      <c r="AV20" s="251"/>
      <c r="AW20" s="251"/>
      <c r="AX20" s="251"/>
      <c r="AY20" s="251"/>
      <c r="AZ20" s="251"/>
      <c r="BA20" s="251"/>
      <c r="BB20" s="251"/>
      <c r="BC20" s="251"/>
      <c r="BD20" s="251"/>
      <c r="BE20" s="251"/>
      <c r="BF20" s="251"/>
      <c r="BG20" s="251"/>
      <c r="BH20" s="251"/>
      <c r="BI20" s="251"/>
      <c r="BJ20" s="251"/>
      <c r="BK20" s="251"/>
      <c r="BL20" s="251"/>
      <c r="BM20" s="251"/>
    </row>
    <row r="21" spans="1:65" ht="13.5">
      <c r="A21" s="252"/>
      <c r="B21" s="252"/>
      <c r="C21" s="252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  <c r="AA21" s="252"/>
      <c r="AB21" s="252"/>
      <c r="AC21" s="252"/>
      <c r="AD21" s="252"/>
      <c r="AE21" s="252"/>
      <c r="AF21" s="252"/>
      <c r="AG21" s="252"/>
      <c r="AH21" s="252"/>
      <c r="AI21" s="252"/>
      <c r="AJ21" s="252"/>
      <c r="AK21" s="252"/>
      <c r="AL21" s="252"/>
      <c r="AM21" s="252"/>
      <c r="AN21" s="252"/>
      <c r="AO21" s="253">
        <f>AO11/AO10</f>
        <v>0.59666860031490843</v>
      </c>
      <c r="AP21" s="253">
        <f t="shared" ref="AP21:BM21" si="17">AP11/AP10</f>
        <v>0.55865921787709494</v>
      </c>
      <c r="AQ21" s="253">
        <f t="shared" si="17"/>
        <v>0.54026887799974888</v>
      </c>
      <c r="AR21" s="253">
        <f t="shared" si="17"/>
        <v>0.52732844010546565</v>
      </c>
      <c r="AS21" s="253">
        <f t="shared" si="17"/>
        <v>0.65196877412713383</v>
      </c>
      <c r="AT21" s="253">
        <f t="shared" si="17"/>
        <v>0.5990877527401457</v>
      </c>
      <c r="AU21" s="253">
        <f t="shared" si="17"/>
        <v>0.6033080260303687</v>
      </c>
      <c r="AV21" s="253">
        <f t="shared" si="17"/>
        <v>0.62445360309728992</v>
      </c>
      <c r="AW21" s="253">
        <f t="shared" si="17"/>
        <v>0.5295097572584484</v>
      </c>
      <c r="AX21" s="253">
        <f t="shared" si="17"/>
        <v>0.51828226449481707</v>
      </c>
      <c r="AY21" s="253">
        <f t="shared" si="17"/>
        <v>0.66859663633857191</v>
      </c>
      <c r="AZ21" s="253">
        <f t="shared" si="17"/>
        <v>0.62346970067991192</v>
      </c>
      <c r="BA21" s="253">
        <f t="shared" si="17"/>
        <v>0.81939516598292284</v>
      </c>
      <c r="BB21" s="253">
        <f t="shared" si="17"/>
        <v>0.82837688105336182</v>
      </c>
      <c r="BC21" s="253">
        <f t="shared" si="17"/>
        <v>0.83136096545590399</v>
      </c>
      <c r="BD21" s="253">
        <f t="shared" si="17"/>
        <v>0.83768461445254094</v>
      </c>
      <c r="BE21" s="253">
        <f t="shared" si="17"/>
        <v>0.84260879043182435</v>
      </c>
      <c r="BF21" s="253">
        <f t="shared" si="17"/>
        <v>0.85198065865071348</v>
      </c>
      <c r="BG21" s="253">
        <f t="shared" si="17"/>
        <v>0.85808254083832824</v>
      </c>
      <c r="BH21" s="253">
        <f t="shared" si="17"/>
        <v>0.8627666174221561</v>
      </c>
      <c r="BI21" s="253">
        <f t="shared" si="17"/>
        <v>0.86507122154196681</v>
      </c>
      <c r="BJ21" s="253">
        <f t="shared" si="17"/>
        <v>0.86850712369650518</v>
      </c>
      <c r="BK21" s="253">
        <f t="shared" si="17"/>
        <v>0.87412551892778523</v>
      </c>
      <c r="BL21" s="253">
        <f t="shared" si="17"/>
        <v>0.87672777103805</v>
      </c>
      <c r="BM21" s="253">
        <f t="shared" si="17"/>
        <v>0.87952080321591863</v>
      </c>
    </row>
    <row r="22" spans="1:65" ht="13.5">
      <c r="A22" s="252"/>
      <c r="B22" s="252"/>
      <c r="C22" s="252"/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2">
        <v>1991</v>
      </c>
      <c r="S22" s="252">
        <v>1992</v>
      </c>
      <c r="T22" s="252">
        <v>1993</v>
      </c>
      <c r="U22" s="252">
        <v>1994</v>
      </c>
      <c r="V22" s="252">
        <v>1995</v>
      </c>
      <c r="W22" s="252">
        <v>1996</v>
      </c>
      <c r="X22" s="252">
        <v>1997</v>
      </c>
      <c r="Y22" s="252">
        <v>1998</v>
      </c>
      <c r="Z22" s="252">
        <v>1999</v>
      </c>
      <c r="AA22" s="252">
        <v>2000</v>
      </c>
      <c r="AB22" s="252">
        <v>2001</v>
      </c>
      <c r="AC22" s="252">
        <v>2002</v>
      </c>
      <c r="AD22" s="252">
        <v>2003</v>
      </c>
      <c r="AE22" s="252">
        <v>2004</v>
      </c>
      <c r="AF22" s="252">
        <v>2005</v>
      </c>
      <c r="AG22" s="252">
        <v>2006</v>
      </c>
      <c r="AH22" s="252">
        <v>2007</v>
      </c>
      <c r="AI22" s="252">
        <v>2008</v>
      </c>
      <c r="AJ22" s="252">
        <v>2009</v>
      </c>
      <c r="AK22" s="252">
        <v>2010</v>
      </c>
      <c r="AL22" s="252">
        <v>2011</v>
      </c>
      <c r="AM22" s="252">
        <v>2012</v>
      </c>
      <c r="AN22" s="252">
        <v>2013</v>
      </c>
      <c r="AO22" s="252">
        <v>2014</v>
      </c>
      <c r="AP22" s="252">
        <v>2015</v>
      </c>
      <c r="AQ22" s="252">
        <v>2016</v>
      </c>
      <c r="AR22" s="252">
        <v>2017</v>
      </c>
      <c r="AS22" s="252">
        <v>2018</v>
      </c>
      <c r="AT22" s="252">
        <v>2019</v>
      </c>
      <c r="AU22" s="252">
        <v>2020</v>
      </c>
      <c r="AV22" s="252">
        <v>2021</v>
      </c>
      <c r="AW22" s="252">
        <v>2022</v>
      </c>
      <c r="AX22" s="252">
        <v>2023</v>
      </c>
      <c r="AY22" s="252">
        <v>2024</v>
      </c>
      <c r="AZ22" s="252">
        <v>2025</v>
      </c>
      <c r="BA22" s="252">
        <v>2026</v>
      </c>
      <c r="BB22" s="252">
        <v>2027</v>
      </c>
      <c r="BC22" s="252">
        <v>2028</v>
      </c>
      <c r="BD22" s="252">
        <v>2029</v>
      </c>
      <c r="BE22" s="252">
        <v>2030</v>
      </c>
      <c r="BF22" s="252">
        <v>2031</v>
      </c>
      <c r="BG22" s="252">
        <v>2032</v>
      </c>
      <c r="BH22" s="252">
        <v>2033</v>
      </c>
      <c r="BI22" s="252">
        <v>2034</v>
      </c>
      <c r="BJ22" s="252">
        <v>2035</v>
      </c>
      <c r="BK22" s="252">
        <v>2036</v>
      </c>
      <c r="BL22" s="252">
        <v>2037</v>
      </c>
      <c r="BM22" s="252">
        <v>2038</v>
      </c>
    </row>
    <row r="23" spans="1:65" ht="14.25" thickBot="1">
      <c r="A23" s="252" t="s">
        <v>72</v>
      </c>
      <c r="B23" s="252"/>
      <c r="C23" s="252"/>
      <c r="D23" s="252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  <c r="AA23" s="252"/>
      <c r="AB23" s="252"/>
      <c r="AC23" s="252"/>
      <c r="AD23" s="252"/>
      <c r="AE23" s="252"/>
      <c r="AF23" s="252"/>
      <c r="AG23" s="252"/>
      <c r="AH23" s="252"/>
      <c r="AI23" s="252"/>
      <c r="AJ23" s="252"/>
      <c r="AK23" s="252"/>
      <c r="AL23" s="252"/>
      <c r="AM23" s="252"/>
      <c r="AN23" s="252"/>
      <c r="AO23" s="252"/>
      <c r="AP23" s="252"/>
      <c r="AQ23" s="252"/>
      <c r="AR23" s="252"/>
      <c r="AS23" s="252"/>
      <c r="AT23" s="252"/>
      <c r="AU23" s="252"/>
      <c r="AV23" s="252"/>
      <c r="AW23" s="252"/>
      <c r="AX23" s="252"/>
      <c r="AY23" s="252"/>
      <c r="AZ23" s="252"/>
      <c r="BA23" s="252"/>
      <c r="BB23" s="252"/>
      <c r="BC23" s="252"/>
      <c r="BD23" s="252"/>
      <c r="BE23" s="252"/>
      <c r="BF23" s="252"/>
      <c r="BG23" s="252"/>
      <c r="BH23" s="252"/>
      <c r="BI23" s="252"/>
      <c r="BJ23" s="252"/>
      <c r="BK23" s="252"/>
      <c r="BL23" s="252"/>
      <c r="BM23" s="252"/>
    </row>
    <row r="24" spans="1:65" ht="14.25" thickBot="1">
      <c r="A24" s="254"/>
      <c r="B24" s="254"/>
      <c r="C24" s="254"/>
      <c r="D24" s="254"/>
      <c r="E24" s="254"/>
      <c r="F24" s="254"/>
      <c r="G24" s="254"/>
      <c r="H24" s="254"/>
      <c r="I24" s="254"/>
      <c r="J24" s="254"/>
      <c r="K24" s="254"/>
      <c r="L24" s="254"/>
      <c r="M24" s="254"/>
      <c r="N24" s="254"/>
      <c r="O24" s="254"/>
      <c r="P24" s="254"/>
      <c r="Q24" s="255" t="str">
        <f t="shared" ref="Q24:BM24" si="18">Q2</f>
        <v xml:space="preserve">89/90 </v>
      </c>
      <c r="R24" s="255" t="str">
        <f t="shared" si="18"/>
        <v xml:space="preserve">90/91 </v>
      </c>
      <c r="S24" s="255" t="str">
        <f t="shared" si="18"/>
        <v xml:space="preserve">91/92 </v>
      </c>
      <c r="T24" s="255" t="str">
        <f t="shared" si="18"/>
        <v xml:space="preserve">92/93 </v>
      </c>
      <c r="U24" s="255" t="str">
        <f t="shared" si="18"/>
        <v xml:space="preserve">93/94 </v>
      </c>
      <c r="V24" s="255" t="str">
        <f t="shared" si="18"/>
        <v xml:space="preserve">94/95 </v>
      </c>
      <c r="W24" s="255" t="str">
        <f t="shared" si="18"/>
        <v xml:space="preserve">95/96 </v>
      </c>
      <c r="X24" s="255" t="str">
        <f t="shared" si="18"/>
        <v xml:space="preserve">96/97 </v>
      </c>
      <c r="Y24" s="255" t="str">
        <f t="shared" si="18"/>
        <v xml:space="preserve">97/98 </v>
      </c>
      <c r="Z24" s="255" t="str">
        <f t="shared" si="18"/>
        <v xml:space="preserve">98/99 </v>
      </c>
      <c r="AA24" s="255" t="str">
        <f t="shared" si="18"/>
        <v xml:space="preserve">99/00 </v>
      </c>
      <c r="AB24" s="255" t="str">
        <f t="shared" si="18"/>
        <v xml:space="preserve">00/01 </v>
      </c>
      <c r="AC24" s="255" t="str">
        <f t="shared" si="18"/>
        <v xml:space="preserve">01/02 </v>
      </c>
      <c r="AD24" s="255" t="str">
        <f t="shared" si="18"/>
        <v xml:space="preserve">02/03 </v>
      </c>
      <c r="AE24" s="255" t="str">
        <f t="shared" si="18"/>
        <v xml:space="preserve">03/04 </v>
      </c>
      <c r="AF24" s="255" t="str">
        <f t="shared" si="18"/>
        <v xml:space="preserve">04/05 </v>
      </c>
      <c r="AG24" s="255" t="str">
        <f t="shared" si="18"/>
        <v xml:space="preserve">05/06 </v>
      </c>
      <c r="AH24" s="255" t="str">
        <f t="shared" si="18"/>
        <v xml:space="preserve">06/07 </v>
      </c>
      <c r="AI24" s="255" t="str">
        <f t="shared" si="18"/>
        <v xml:space="preserve">07/08 </v>
      </c>
      <c r="AJ24" s="255" t="str">
        <f t="shared" si="18"/>
        <v xml:space="preserve">08/09 </v>
      </c>
      <c r="AK24" s="255" t="str">
        <f t="shared" si="18"/>
        <v xml:space="preserve">09/10 </v>
      </c>
      <c r="AL24" s="255" t="str">
        <f t="shared" si="18"/>
        <v xml:space="preserve">11/12 </v>
      </c>
      <c r="AM24" s="255" t="str">
        <f t="shared" si="18"/>
        <v xml:space="preserve">12/13 </v>
      </c>
      <c r="AN24" s="255" t="str">
        <f t="shared" si="18"/>
        <v xml:space="preserve">13/14 </v>
      </c>
      <c r="AO24" s="255" t="str">
        <f t="shared" si="18"/>
        <v xml:space="preserve">14/15 </v>
      </c>
      <c r="AP24" s="255" t="str">
        <f t="shared" si="18"/>
        <v xml:space="preserve">15/16 </v>
      </c>
      <c r="AQ24" s="255" t="str">
        <f t="shared" si="18"/>
        <v xml:space="preserve">16/17 </v>
      </c>
      <c r="AR24" s="255" t="str">
        <f t="shared" si="18"/>
        <v xml:space="preserve">17/18 </v>
      </c>
      <c r="AS24" s="255" t="str">
        <f t="shared" si="18"/>
        <v xml:space="preserve">18/19 </v>
      </c>
      <c r="AT24" s="255" t="str">
        <f t="shared" si="18"/>
        <v>19/20</v>
      </c>
      <c r="AU24" s="255" t="str">
        <f t="shared" si="18"/>
        <v>20/21</v>
      </c>
      <c r="AV24" s="255" t="str">
        <f t="shared" si="18"/>
        <v>21/22</v>
      </c>
      <c r="AW24" s="255" t="str">
        <f t="shared" si="18"/>
        <v>22/23</v>
      </c>
      <c r="AX24" s="255" t="str">
        <f t="shared" si="18"/>
        <v>23/24</v>
      </c>
      <c r="AY24" s="255" t="str">
        <f t="shared" si="18"/>
        <v>24/25</v>
      </c>
      <c r="AZ24" s="255" t="str">
        <f t="shared" si="18"/>
        <v>25/26</v>
      </c>
      <c r="BA24" s="255" t="str">
        <f t="shared" si="18"/>
        <v>26/27</v>
      </c>
      <c r="BB24" s="255" t="str">
        <f t="shared" si="18"/>
        <v>27/28</v>
      </c>
      <c r="BC24" s="255" t="str">
        <f t="shared" si="18"/>
        <v>28/29</v>
      </c>
      <c r="BD24" s="255" t="str">
        <f t="shared" si="18"/>
        <v>29/30</v>
      </c>
      <c r="BE24" s="255" t="str">
        <f t="shared" si="18"/>
        <v>30/31</v>
      </c>
      <c r="BF24" s="255" t="str">
        <f t="shared" si="18"/>
        <v>31/32</v>
      </c>
      <c r="BG24" s="255" t="str">
        <f t="shared" si="18"/>
        <v>32/33</v>
      </c>
      <c r="BH24" s="255" t="str">
        <f t="shared" si="18"/>
        <v>33/34</v>
      </c>
      <c r="BI24" s="255" t="str">
        <f t="shared" si="18"/>
        <v>34/35</v>
      </c>
      <c r="BJ24" s="255" t="str">
        <f t="shared" si="18"/>
        <v>35/36</v>
      </c>
      <c r="BK24" s="255" t="str">
        <f t="shared" si="18"/>
        <v>36/37</v>
      </c>
      <c r="BL24" s="255" t="str">
        <f t="shared" si="18"/>
        <v>37/38</v>
      </c>
      <c r="BM24" s="255" t="str">
        <f t="shared" si="18"/>
        <v>38/39</v>
      </c>
    </row>
    <row r="25" spans="1:65" ht="15.75">
      <c r="A25" s="252" t="s">
        <v>74</v>
      </c>
      <c r="B25" s="252"/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  <c r="AA25" s="252"/>
      <c r="AB25" s="252"/>
      <c r="AC25" s="252"/>
      <c r="AD25" s="252"/>
      <c r="AE25" s="252"/>
      <c r="AF25" s="252"/>
      <c r="AG25" s="252"/>
      <c r="AH25" s="252"/>
      <c r="AI25" s="252"/>
      <c r="AJ25" s="252"/>
      <c r="AK25" s="256"/>
      <c r="AL25" s="213" cm="1">
        <f t="array" ref="AL25">INDEX('[3]Russia Corn Exports'!$JB$290:$OY$290,1,ROW(A1))</f>
        <v>0.112952</v>
      </c>
      <c r="AM25" s="213" cm="1">
        <f t="array" ref="AM25">INDEX('[3]Russia Corn Exports'!$JN$290:$OY$290,1,ROW(A1))</f>
        <v>0.20474300000000001</v>
      </c>
      <c r="AN25" s="213" cm="1">
        <f t="array" ref="AN25">INDEX('[3]Russia Corn Exports'!$JZ$290:$OY$290,1,ROW(A1))</f>
        <v>0.12721399999999999</v>
      </c>
      <c r="AO25" s="213" cm="1">
        <f t="array" ref="AO25">INDEX('[3]Russia Corn Exports'!$KL$290:$OY$290,1,ROW(A1))</f>
        <v>0.18231</v>
      </c>
      <c r="AP25" s="213" cm="1">
        <f t="array" ref="AP25">INDEX('[3]Russia Corn Exports'!$KX$290:$OY$290,1,ROW(A1))</f>
        <v>0.17178199999999999</v>
      </c>
      <c r="AQ25" s="213" cm="1">
        <f t="array" ref="AQ25">INDEX('[3]Russia Corn Exports'!$LJ$290:$OY$290,1,ROW(A1))</f>
        <v>0.71404500000000004</v>
      </c>
      <c r="AR25" s="213" cm="1">
        <f t="array" ref="AR25">INDEX('[3]Russia Corn Exports'!$LV$290:$OY$290,1,ROW(A1))</f>
        <v>0.57865699999999998</v>
      </c>
      <c r="AS25" s="213" cm="1">
        <f t="array" ref="AS25">INDEX('[3]Russia Corn Exports'!$MH$290:$OY$290,1,ROW(A1))</f>
        <v>0.27050200000000002</v>
      </c>
      <c r="AT25" s="213" cm="1">
        <f t="array" ref="AT25">INDEX('[3]Russia Corn Exports'!$MT$290:$OY$290,1,ROW(A1))</f>
        <v>0.702712</v>
      </c>
      <c r="AU25" s="213" cm="1">
        <f t="array" ref="AU25">INDEX('[3]Russia Corn Exports'!$NF$290:$OY$290,1,ROW(A1))</f>
        <v>139.63566700000001</v>
      </c>
      <c r="AV25" s="213" cm="1">
        <f t="array" ref="AV25">INDEX('[3]Russia Corn Exports'!$NR$290:$OY$290,1,ROW(A1))</f>
        <v>252.009874</v>
      </c>
      <c r="AW25" s="213" cm="1">
        <f t="array" ref="AW25">INDEX('[3]Russia Corn Exports'!$OD$290:$OY$290,1,ROW(A1))</f>
        <v>45.009078000000002</v>
      </c>
      <c r="AX25" s="213" cm="1">
        <f t="array" ref="AX25">INDEX('[3]Russia Corn Exports'!$OP$290:$ZZ$290,1,ROW(A1))</f>
        <v>171.56736900000001</v>
      </c>
      <c r="AY25" s="222">
        <f>(SUM(AU25:AX25)/SUM(AU$37:AX$37))*AY$37</f>
        <v>97.965520032139281</v>
      </c>
      <c r="AZ25" s="222">
        <f>(SUM(AV25:AY25)/SUM(AV$37:AY$37))*AZ$37</f>
        <v>128.76178205275892</v>
      </c>
      <c r="BA25" s="257"/>
      <c r="BB25" s="257"/>
      <c r="BC25" s="257"/>
      <c r="BD25" s="257"/>
      <c r="BE25" s="257"/>
      <c r="BF25" s="257"/>
      <c r="BG25" s="257"/>
      <c r="BH25" s="257"/>
      <c r="BI25" s="257"/>
      <c r="BJ25" s="257"/>
      <c r="BK25" s="257"/>
      <c r="BL25" s="257"/>
      <c r="BM25" s="257"/>
    </row>
    <row r="26" spans="1:65" ht="15.75">
      <c r="A26" s="252" t="s">
        <v>75</v>
      </c>
      <c r="B26" s="252"/>
      <c r="C26" s="252"/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  <c r="AA26" s="252"/>
      <c r="AB26" s="252"/>
      <c r="AC26" s="252"/>
      <c r="AD26" s="252"/>
      <c r="AE26" s="252"/>
      <c r="AF26" s="252"/>
      <c r="AG26" s="252"/>
      <c r="AH26" s="252"/>
      <c r="AI26" s="252"/>
      <c r="AJ26" s="252"/>
      <c r="AK26" s="256"/>
      <c r="AL26" s="213" cm="1">
        <f t="array" ref="AL26">INDEX('[3]Russia Corn Exports'!$JB$290:$OY$290,1,ROW(A2))</f>
        <v>0.190388</v>
      </c>
      <c r="AM26" s="213" cm="1">
        <f t="array" ref="AM26">INDEX('[3]Russia Corn Exports'!$JN$290:$OY$290,1,ROW(A2))</f>
        <v>0.13894899999999999</v>
      </c>
      <c r="AN26" s="213" cm="1">
        <f t="array" ref="AN26">INDEX('[3]Russia Corn Exports'!$JZ$290:$OY$290,1,ROW(A2))</f>
        <v>0.18177299999999999</v>
      </c>
      <c r="AO26" s="213" cm="1">
        <f t="array" ref="AO26">INDEX('[3]Russia Corn Exports'!$KL$290:$OY$290,1,ROW(A2))</f>
        <v>0.14033399999999999</v>
      </c>
      <c r="AP26" s="213" cm="1">
        <f t="array" ref="AP26">INDEX('[3]Russia Corn Exports'!$KX$290:$OY$290,1,ROW(A2))</f>
        <v>8.8511999999999993E-2</v>
      </c>
      <c r="AQ26" s="213" cm="1">
        <f t="array" ref="AQ26">INDEX('[3]Russia Corn Exports'!$LJ$290:$OY$290,1,ROW(A2))</f>
        <v>197.611447</v>
      </c>
      <c r="AR26" s="213" cm="1">
        <f t="array" ref="AR26">INDEX('[3]Russia Corn Exports'!$LV$290:$OY$290,1,ROW(A2))</f>
        <v>0.65880499999999997</v>
      </c>
      <c r="AS26" s="213" cm="1">
        <f t="array" ref="AS26">INDEX('[3]Russia Corn Exports'!$MH$290:$OY$290,1,ROW(A2))</f>
        <v>0.42059999999999997</v>
      </c>
      <c r="AT26" s="213" cm="1">
        <f t="array" ref="AT26">INDEX('[3]Russia Corn Exports'!$MT$290:$OY$290,1,ROW(A2))</f>
        <v>0.41020899999999999</v>
      </c>
      <c r="AU26" s="213" cm="1">
        <f t="array" ref="AU26">INDEX('[3]Russia Corn Exports'!$NF$290:$OY$290,1,ROW(A2))</f>
        <v>333.19723399999998</v>
      </c>
      <c r="AV26" s="213" cm="1">
        <f t="array" ref="AV26">INDEX('[3]Russia Corn Exports'!$NR$290:$OY$290,1,ROW(A2))</f>
        <v>350.61065200000002</v>
      </c>
      <c r="AW26" s="213" cm="1">
        <f t="array" ref="AW26">INDEX('[3]Russia Corn Exports'!$OD$290:$OY$290,1,ROW(A2))</f>
        <v>97.161614</v>
      </c>
      <c r="AX26" s="213" cm="1">
        <f t="array" ref="AX26">INDEX('[3]Russia Corn Exports'!$OP$290:$ZZ$290,1,ROW(A2))</f>
        <v>169.14677599999999</v>
      </c>
      <c r="AY26" s="222">
        <f t="shared" ref="AY26:AY36" si="19">(SUM(AU26:AX26)/SUM(AU$37:AX$37))*AY$37</f>
        <v>153.03398579095693</v>
      </c>
      <c r="AZ26" s="222">
        <f t="shared" ref="AZ26:AZ36" si="20">(SUM(AV26:AY26)/SUM(AV$37:AY$37))*AZ$37</f>
        <v>174.98932449794475</v>
      </c>
      <c r="BA26" s="257"/>
      <c r="BB26" s="257"/>
      <c r="BC26" s="257"/>
      <c r="BD26" s="257"/>
      <c r="BE26" s="257"/>
      <c r="BF26" s="257"/>
      <c r="BG26" s="257"/>
      <c r="BH26" s="257"/>
      <c r="BI26" s="257"/>
      <c r="BJ26" s="257"/>
      <c r="BK26" s="257"/>
      <c r="BL26" s="257"/>
      <c r="BM26" s="257"/>
    </row>
    <row r="27" spans="1:65" ht="15.75">
      <c r="A27" s="252" t="s">
        <v>76</v>
      </c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6"/>
      <c r="AL27" s="213" cm="1">
        <f t="array" ref="AL27">INDEX('[3]Russia Corn Exports'!$JB$290:$OY$290,1,ROW(A3))</f>
        <v>8.2594000000000001E-2</v>
      </c>
      <c r="AM27" s="213" cm="1">
        <f t="array" ref="AM27">INDEX('[3]Russia Corn Exports'!$JN$290:$OY$290,1,ROW(A3))</f>
        <v>9.1098999999999999E-2</v>
      </c>
      <c r="AN27" s="213" cm="1">
        <f t="array" ref="AN27">INDEX('[3]Russia Corn Exports'!$JZ$290:$OY$290,1,ROW(A3))</f>
        <v>0.14976</v>
      </c>
      <c r="AO27" s="213" cm="1">
        <f t="array" ref="AO27">INDEX('[3]Russia Corn Exports'!$KL$290:$OY$290,1,ROW(A3))</f>
        <v>0.25173200000000001</v>
      </c>
      <c r="AP27" s="213" cm="1">
        <f t="array" ref="AP27">INDEX('[3]Russia Corn Exports'!$KX$290:$OY$290,1,ROW(A3))</f>
        <v>5.2638999999999998E-2</v>
      </c>
      <c r="AQ27" s="213" cm="1">
        <f t="array" ref="AQ27">INDEX('[3]Russia Corn Exports'!$LJ$290:$OY$290,1,ROW(A3))</f>
        <v>0.43198500000000001</v>
      </c>
      <c r="AR27" s="213" cm="1">
        <f t="array" ref="AR27">INDEX('[3]Russia Corn Exports'!$LV$290:$OY$290,1,ROW(A3))</f>
        <v>0.42616799999999999</v>
      </c>
      <c r="AS27" s="213" cm="1">
        <f t="array" ref="AS27">INDEX('[3]Russia Corn Exports'!$MH$290:$OY$290,1,ROW(A3))</f>
        <v>7.7713000000000004E-2</v>
      </c>
      <c r="AT27" s="213" cm="1">
        <f t="array" ref="AT27">INDEX('[3]Russia Corn Exports'!$MT$290:$OY$290,1,ROW(A3))</f>
        <v>0.254689</v>
      </c>
      <c r="AU27" s="213" cm="1">
        <f t="array" ref="AU27">INDEX('[3]Russia Corn Exports'!$NF$290:$OY$290,1,ROW(A3))</f>
        <v>388.52427499999999</v>
      </c>
      <c r="AV27" s="213" cm="1">
        <f t="array" ref="AV27">INDEX('[3]Russia Corn Exports'!$NR$290:$OY$290,1,ROW(A3))</f>
        <v>407.12554399999999</v>
      </c>
      <c r="AW27" s="213" cm="1">
        <f t="array" ref="AW27">INDEX('[3]Russia Corn Exports'!$OD$290:$OY$290,1,ROW(A3))</f>
        <v>861.61826799999994</v>
      </c>
      <c r="AX27" s="213" cm="1">
        <f t="array" ref="AX27">INDEX('[3]Russia Corn Exports'!$OP$290:$ZZ$290,1,ROW(A3))</f>
        <v>236.59499</v>
      </c>
      <c r="AY27" s="222">
        <f t="shared" si="19"/>
        <v>305.04204857515356</v>
      </c>
      <c r="AZ27" s="222">
        <f t="shared" si="20"/>
        <v>411.45019331253491</v>
      </c>
      <c r="BA27" s="257"/>
      <c r="BB27" s="257"/>
      <c r="BC27" s="257"/>
      <c r="BD27" s="257"/>
      <c r="BE27" s="257"/>
      <c r="BF27" s="257"/>
      <c r="BG27" s="257"/>
      <c r="BH27" s="257"/>
      <c r="BI27" s="257"/>
      <c r="BJ27" s="257"/>
      <c r="BK27" s="257"/>
      <c r="BL27" s="257"/>
      <c r="BM27" s="257"/>
    </row>
    <row r="28" spans="1:65" ht="15.75">
      <c r="A28" s="252" t="s">
        <v>77</v>
      </c>
      <c r="B28" s="252"/>
      <c r="C28" s="252"/>
      <c r="D28" s="252"/>
      <c r="E28" s="252"/>
      <c r="F28" s="252"/>
      <c r="G28" s="252"/>
      <c r="H28" s="252"/>
      <c r="I28" s="252"/>
      <c r="J28" s="252"/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  <c r="AA28" s="252"/>
      <c r="AB28" s="252"/>
      <c r="AC28" s="252"/>
      <c r="AD28" s="252"/>
      <c r="AE28" s="252"/>
      <c r="AF28" s="252"/>
      <c r="AG28" s="252"/>
      <c r="AH28" s="252"/>
      <c r="AI28" s="252"/>
      <c r="AJ28" s="252"/>
      <c r="AK28" s="256"/>
      <c r="AL28" s="213" cm="1">
        <f t="array" ref="AL28">INDEX('[3]Russia Corn Exports'!$JB$290:$OY$290,1,ROW(A4))</f>
        <v>0.156829</v>
      </c>
      <c r="AM28" s="213" cm="1">
        <f t="array" ref="AM28">INDEX('[3]Russia Corn Exports'!$JN$290:$OY$290,1,ROW(A4))</f>
        <v>0.13849800000000001</v>
      </c>
      <c r="AN28" s="213" cm="1">
        <f t="array" ref="AN28">INDEX('[3]Russia Corn Exports'!$JZ$290:$OY$290,1,ROW(A4))</f>
        <v>0.24326400000000001</v>
      </c>
      <c r="AO28" s="213" cm="1">
        <f t="array" ref="AO28">INDEX('[3]Russia Corn Exports'!$KL$290:$OY$290,1,ROW(A4))</f>
        <v>0.13048299999999999</v>
      </c>
      <c r="AP28" s="213" cm="1">
        <f t="array" ref="AP28">INDEX('[3]Russia Corn Exports'!$KX$290:$OY$290,1,ROW(A4))</f>
        <v>0.18023700000000001</v>
      </c>
      <c r="AQ28" s="213" cm="1">
        <f t="array" ref="AQ28">INDEX('[3]Russia Corn Exports'!$LJ$290:$OY$290,1,ROW(A4))</f>
        <v>7.7599000000000001E-2</v>
      </c>
      <c r="AR28" s="213" cm="1">
        <f t="array" ref="AR28">INDEX('[3]Russia Corn Exports'!$LV$290:$OY$290,1,ROW(A4))</f>
        <v>0.51149599999999995</v>
      </c>
      <c r="AS28" s="213" cm="1">
        <f t="array" ref="AS28">INDEX('[3]Russia Corn Exports'!$MH$290:$OY$290,1,ROW(A4))</f>
        <v>0.22603999999999999</v>
      </c>
      <c r="AT28" s="213" cm="1">
        <f t="array" ref="AT28">INDEX('[3]Russia Corn Exports'!$MT$290:$OY$290,1,ROW(A4))</f>
        <v>351.960847</v>
      </c>
      <c r="AU28" s="213" cm="1">
        <f t="array" ref="AU28">INDEX('[3]Russia Corn Exports'!$NF$290:$OY$290,1,ROW(A4))</f>
        <v>374.24158899999998</v>
      </c>
      <c r="AV28" s="213" cm="1">
        <f t="array" ref="AV28">INDEX('[3]Russia Corn Exports'!$NR$290:$OY$290,1,ROW(A4))</f>
        <v>151.31098600000001</v>
      </c>
      <c r="AW28" s="213" cm="1">
        <f t="array" ref="AW28">INDEX('[3]Russia Corn Exports'!$OD$290:$OY$290,1,ROW(A4))</f>
        <v>425.014903</v>
      </c>
      <c r="AX28" s="213" cm="1">
        <f t="array" ref="AX28">INDEX('[3]Russia Corn Exports'!$OP$290:$ZZ$290,1,ROW(A4))</f>
        <v>489.77310299999999</v>
      </c>
      <c r="AY28" s="222">
        <f t="shared" si="19"/>
        <v>231.99377336726377</v>
      </c>
      <c r="AZ28" s="222">
        <f t="shared" si="20"/>
        <v>295.02108303801447</v>
      </c>
      <c r="BA28" s="257"/>
      <c r="BB28" s="257"/>
      <c r="BC28" s="257"/>
      <c r="BD28" s="257"/>
      <c r="BE28" s="257"/>
      <c r="BF28" s="257"/>
      <c r="BG28" s="257"/>
      <c r="BH28" s="257"/>
      <c r="BI28" s="257"/>
      <c r="BJ28" s="257"/>
      <c r="BK28" s="257"/>
      <c r="BL28" s="257"/>
      <c r="BM28" s="257"/>
    </row>
    <row r="29" spans="1:65" ht="15.75">
      <c r="A29" s="252" t="s">
        <v>78</v>
      </c>
      <c r="B29" s="252"/>
      <c r="C29" s="252"/>
      <c r="D29" s="252"/>
      <c r="E29" s="252"/>
      <c r="F29" s="252"/>
      <c r="G29" s="252"/>
      <c r="H29" s="252"/>
      <c r="I29" s="252"/>
      <c r="J29" s="252"/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  <c r="AA29" s="252"/>
      <c r="AB29" s="252"/>
      <c r="AC29" s="252"/>
      <c r="AD29" s="252"/>
      <c r="AE29" s="252"/>
      <c r="AF29" s="252"/>
      <c r="AG29" s="252"/>
      <c r="AH29" s="252"/>
      <c r="AI29" s="252"/>
      <c r="AJ29" s="252"/>
      <c r="AK29" s="256"/>
      <c r="AL29" s="213" cm="1">
        <f t="array" ref="AL29">INDEX('[3]Russia Corn Exports'!$JB$290:$OY$290,1,ROW(A5))</f>
        <v>0.19811300000000001</v>
      </c>
      <c r="AM29" s="213" cm="1">
        <f t="array" ref="AM29">INDEX('[3]Russia Corn Exports'!$JN$290:$OY$290,1,ROW(A5))</f>
        <v>0.10415000000000001</v>
      </c>
      <c r="AN29" s="213" cm="1">
        <f t="array" ref="AN29">INDEX('[3]Russia Corn Exports'!$JZ$290:$OY$290,1,ROW(A5))</f>
        <v>0.19062100000000001</v>
      </c>
      <c r="AO29" s="213" cm="1">
        <f t="array" ref="AO29">INDEX('[3]Russia Corn Exports'!$KL$290:$OY$290,1,ROW(A5))</f>
        <v>0.10244499999999999</v>
      </c>
      <c r="AP29" s="213" cm="1">
        <f t="array" ref="AP29">INDEX('[3]Russia Corn Exports'!$KX$290:$OY$290,1,ROW(A5))</f>
        <v>0.12899099999999999</v>
      </c>
      <c r="AQ29" s="213" cm="1">
        <f t="array" ref="AQ29">INDEX('[3]Russia Corn Exports'!$LJ$290:$OY$290,1,ROW(A5))</f>
        <v>0.107351</v>
      </c>
      <c r="AR29" s="213" cm="1">
        <f t="array" ref="AR29">INDEX('[3]Russia Corn Exports'!$LV$290:$OY$290,1,ROW(A5))</f>
        <v>0.48482599999999998</v>
      </c>
      <c r="AS29" s="213" cm="1">
        <f t="array" ref="AS29">INDEX('[3]Russia Corn Exports'!$MH$290:$OY$290,1,ROW(A5))</f>
        <v>0.22855800000000001</v>
      </c>
      <c r="AT29" s="213" cm="1">
        <f t="array" ref="AT29">INDEX('[3]Russia Corn Exports'!$MT$290:$OY$290,1,ROW(A5))</f>
        <v>335.47479199999998</v>
      </c>
      <c r="AU29" s="213" cm="1">
        <f t="array" ref="AU29">INDEX('[3]Russia Corn Exports'!$NF$290:$OY$290,1,ROW(A5))</f>
        <v>450.66192000000001</v>
      </c>
      <c r="AV29" s="213" cm="1">
        <f t="array" ref="AV29">INDEX('[3]Russia Corn Exports'!$NR$290:$OY$290,1,ROW(A5))</f>
        <v>297.96802700000001</v>
      </c>
      <c r="AW29" s="213" cm="1">
        <f t="array" ref="AW29">INDEX('[3]Russia Corn Exports'!$OD$290:$OY$290,1,ROW(A5))</f>
        <v>415.256551</v>
      </c>
      <c r="AX29" s="213" cm="1">
        <f t="array" ref="AX29">INDEX('[3]Russia Corn Exports'!$OP$290:$ZZ$290,1,ROW(A5))</f>
        <v>408.81700799999999</v>
      </c>
      <c r="AY29" s="222">
        <f t="shared" si="19"/>
        <v>253.31329656181171</v>
      </c>
      <c r="AZ29" s="222">
        <f t="shared" si="20"/>
        <v>312.58065512768451</v>
      </c>
      <c r="BA29" s="257"/>
      <c r="BB29" s="257"/>
      <c r="BC29" s="257"/>
      <c r="BD29" s="257"/>
      <c r="BE29" s="257"/>
      <c r="BF29" s="257"/>
      <c r="BG29" s="257"/>
      <c r="BH29" s="257"/>
      <c r="BI29" s="257"/>
      <c r="BJ29" s="257"/>
      <c r="BK29" s="257"/>
      <c r="BL29" s="257"/>
      <c r="BM29" s="257"/>
    </row>
    <row r="30" spans="1:65" ht="15.75">
      <c r="A30" s="252" t="s">
        <v>79</v>
      </c>
      <c r="B30" s="252"/>
      <c r="C30" s="252"/>
      <c r="D30" s="252"/>
      <c r="E30" s="252"/>
      <c r="F30" s="252"/>
      <c r="G30" s="252"/>
      <c r="H30" s="252"/>
      <c r="I30" s="252"/>
      <c r="J30" s="252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6"/>
      <c r="AL30" s="213" cm="1">
        <f t="array" ref="AL30">INDEX('[3]Russia Corn Exports'!$JB$290:$OY$290,1,ROW(A6))</f>
        <v>0.12806500000000001</v>
      </c>
      <c r="AM30" s="213" cm="1">
        <f t="array" ref="AM30">INDEX('[3]Russia Corn Exports'!$JN$290:$OY$290,1,ROW(A6))</f>
        <v>0.16860600000000001</v>
      </c>
      <c r="AN30" s="213" cm="1">
        <f t="array" ref="AN30">INDEX('[3]Russia Corn Exports'!$JZ$290:$OY$290,1,ROW(A6))</f>
        <v>0.177537</v>
      </c>
      <c r="AO30" s="213" cm="1">
        <f t="array" ref="AO30">INDEX('[3]Russia Corn Exports'!$KL$290:$OY$290,1,ROW(A6))</f>
        <v>0.16067999999999999</v>
      </c>
      <c r="AP30" s="213" cm="1">
        <f t="array" ref="AP30">INDEX('[3]Russia Corn Exports'!$KX$290:$OY$290,1,ROW(A6))</f>
        <v>7.2081999999999993E-2</v>
      </c>
      <c r="AQ30" s="213" cm="1">
        <f t="array" ref="AQ30">INDEX('[3]Russia Corn Exports'!$LJ$290:$OY$290,1,ROW(A6))</f>
        <v>0.45479199999999997</v>
      </c>
      <c r="AR30" s="213" cm="1">
        <f t="array" ref="AR30">INDEX('[3]Russia Corn Exports'!$LV$290:$OY$290,1,ROW(A6))</f>
        <v>0.65244199999999997</v>
      </c>
      <c r="AS30" s="213" cm="1">
        <f t="array" ref="AS30">INDEX('[3]Russia Corn Exports'!$MH$290:$OY$290,1,ROW(A6))</f>
        <v>0.78634099999999996</v>
      </c>
      <c r="AT30" s="213" cm="1">
        <f t="array" ref="AT30">INDEX('[3]Russia Corn Exports'!$MT$290:$OY$290,1,ROW(A6))</f>
        <v>547.86053800000002</v>
      </c>
      <c r="AU30" s="213" cm="1">
        <f t="array" ref="AU30">INDEX('[3]Russia Corn Exports'!$NF$290:$OY$290,1,ROW(A6))</f>
        <v>982.25797999999998</v>
      </c>
      <c r="AV30" s="213" cm="1">
        <f t="array" ref="AV30">INDEX('[3]Russia Corn Exports'!$NR$290:$OY$290,1,ROW(A6))</f>
        <v>103.80676800000001</v>
      </c>
      <c r="AW30" s="213" cm="1">
        <f t="array" ref="AW30">INDEX('[3]Russia Corn Exports'!$OD$290:$OY$290,1,ROW(A6))</f>
        <v>562.64107300000001</v>
      </c>
      <c r="AX30" s="213" cm="1">
        <f t="array" ref="AX30">INDEX('[3]Russia Corn Exports'!$OP$290:$ZZ$290,1,ROW(A6))</f>
        <v>375.700491</v>
      </c>
      <c r="AY30" s="222">
        <f t="shared" si="19"/>
        <v>326.06847668161782</v>
      </c>
      <c r="AZ30" s="222">
        <f t="shared" si="20"/>
        <v>310.95836560945855</v>
      </c>
      <c r="BA30" s="257"/>
      <c r="BB30" s="257"/>
      <c r="BC30" s="257"/>
      <c r="BD30" s="257"/>
      <c r="BE30" s="257"/>
      <c r="BF30" s="257"/>
      <c r="BG30" s="257"/>
      <c r="BH30" s="257"/>
      <c r="BI30" s="257"/>
      <c r="BJ30" s="257"/>
      <c r="BK30" s="257"/>
      <c r="BL30" s="257"/>
      <c r="BM30" s="257"/>
    </row>
    <row r="31" spans="1:65" ht="15.75">
      <c r="A31" s="252" t="s">
        <v>80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  <c r="AA31" s="252"/>
      <c r="AB31" s="252"/>
      <c r="AC31" s="252"/>
      <c r="AD31" s="252"/>
      <c r="AE31" s="252"/>
      <c r="AF31" s="252"/>
      <c r="AG31" s="252"/>
      <c r="AH31" s="252"/>
      <c r="AI31" s="252"/>
      <c r="AJ31" s="252"/>
      <c r="AK31" s="256"/>
      <c r="AL31" s="213" cm="1">
        <f t="array" ref="AL31">INDEX('[3]Russia Corn Exports'!$JB$290:$OY$290,1,ROW(A7))</f>
        <v>0.13093399999999999</v>
      </c>
      <c r="AM31" s="213" cm="1">
        <f t="array" ref="AM31">INDEX('[3]Russia Corn Exports'!$JN$290:$OY$290,1,ROW(A7))</f>
        <v>0.13666300000000001</v>
      </c>
      <c r="AN31" s="213" cm="1">
        <f t="array" ref="AN31">INDEX('[3]Russia Corn Exports'!$JZ$290:$OY$290,1,ROW(A7))</f>
        <v>0.18130199999999999</v>
      </c>
      <c r="AO31" s="213" cm="1">
        <f t="array" ref="AO31">INDEX('[3]Russia Corn Exports'!$KL$290:$OY$290,1,ROW(A7))</f>
        <v>0.141515</v>
      </c>
      <c r="AP31" s="213" cm="1">
        <f t="array" ref="AP31">INDEX('[3]Russia Corn Exports'!$KX$290:$OY$290,1,ROW(A7))</f>
        <v>0.17818300000000001</v>
      </c>
      <c r="AQ31" s="213" cm="1">
        <f t="array" ref="AQ31">INDEX('[3]Russia Corn Exports'!$LJ$290:$OY$290,1,ROW(A7))</f>
        <v>0.65113799999999999</v>
      </c>
      <c r="AR31" s="213" cm="1">
        <f t="array" ref="AR31">INDEX('[3]Russia Corn Exports'!$LV$290:$OY$290,1,ROW(A7))</f>
        <v>0.51038799999999995</v>
      </c>
      <c r="AS31" s="213" cm="1">
        <f t="array" ref="AS31">INDEX('[3]Russia Corn Exports'!$MH$290:$OY$290,1,ROW(A7))</f>
        <v>1.1954370000000001</v>
      </c>
      <c r="AT31" s="213" cm="1">
        <f t="array" ref="AT31">INDEX('[3]Russia Corn Exports'!$MT$290:$OY$290,1,ROW(A7))</f>
        <v>876.59863900000005</v>
      </c>
      <c r="AU31" s="213" cm="1">
        <f t="array" ref="AU31">INDEX('[3]Russia Corn Exports'!$NF$290:$OY$290,1,ROW(A7))</f>
        <v>286.72890200000001</v>
      </c>
      <c r="AV31" s="213" cm="1">
        <f t="array" ref="AV31">INDEX('[3]Russia Corn Exports'!$NR$290:$OY$290,1,ROW(A7))</f>
        <v>324.71499499999999</v>
      </c>
      <c r="AW31" s="213" cm="1">
        <f t="array" ref="AW31">INDEX('[3]Russia Corn Exports'!$OD$290:$OY$290,1,ROW(A7))</f>
        <v>627.66947500000003</v>
      </c>
      <c r="AX31" s="213" cm="1">
        <f t="array" ref="AX31">INDEX('[3]Russia Corn Exports'!$OP$290:$ZZ$290,1,ROW(A7))</f>
        <v>430.11151000000001</v>
      </c>
      <c r="AY31" s="222">
        <f t="shared" si="19"/>
        <v>268.85986834089323</v>
      </c>
      <c r="AZ31" s="222">
        <f t="shared" si="20"/>
        <v>375.308147350203</v>
      </c>
      <c r="BA31" s="257"/>
      <c r="BB31" s="257"/>
      <c r="BC31" s="257"/>
      <c r="BD31" s="257"/>
      <c r="BE31" s="257"/>
      <c r="BF31" s="257"/>
      <c r="BG31" s="257"/>
      <c r="BH31" s="257"/>
      <c r="BI31" s="257"/>
      <c r="BJ31" s="257"/>
      <c r="BK31" s="257"/>
      <c r="BL31" s="257"/>
      <c r="BM31" s="257"/>
    </row>
    <row r="32" spans="1:65" ht="15.75">
      <c r="A32" s="252" t="s">
        <v>81</v>
      </c>
      <c r="B32" s="252"/>
      <c r="C32" s="252"/>
      <c r="D32" s="252"/>
      <c r="E32" s="252"/>
      <c r="F32" s="252"/>
      <c r="G32" s="252"/>
      <c r="H32" s="252"/>
      <c r="I32" s="252"/>
      <c r="J32" s="252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  <c r="AA32" s="252"/>
      <c r="AB32" s="252"/>
      <c r="AC32" s="252"/>
      <c r="AD32" s="252"/>
      <c r="AE32" s="252"/>
      <c r="AF32" s="252"/>
      <c r="AG32" s="252"/>
      <c r="AH32" s="252"/>
      <c r="AI32" s="252"/>
      <c r="AJ32" s="252"/>
      <c r="AK32" s="256"/>
      <c r="AL32" s="213" cm="1">
        <f t="array" ref="AL32">INDEX('[3]Russia Corn Exports'!$JB$290:$OY$290,1,ROW(A8))</f>
        <v>0.125914</v>
      </c>
      <c r="AM32" s="213" cm="1">
        <f t="array" ref="AM32">INDEX('[3]Russia Corn Exports'!$JN$290:$OY$290,1,ROW(A8))</f>
        <v>0.200603</v>
      </c>
      <c r="AN32" s="213" cm="1">
        <f t="array" ref="AN32">INDEX('[3]Russia Corn Exports'!$JZ$290:$OY$290,1,ROW(A8))</f>
        <v>0.108001</v>
      </c>
      <c r="AO32" s="213" cm="1">
        <f t="array" ref="AO32">INDEX('[3]Russia Corn Exports'!$KL$290:$OY$290,1,ROW(A8))</f>
        <v>0.12845899999999999</v>
      </c>
      <c r="AP32" s="213" cm="1">
        <f t="array" ref="AP32">INDEX('[3]Russia Corn Exports'!$KX$290:$OY$290,1,ROW(A8))</f>
        <v>0.11208799999999999</v>
      </c>
      <c r="AQ32" s="213" cm="1">
        <f t="array" ref="AQ32">INDEX('[3]Russia Corn Exports'!$LJ$290:$OY$290,1,ROW(A8))</f>
        <v>0.76893400000000001</v>
      </c>
      <c r="AR32" s="213" cm="1">
        <f t="array" ref="AR32">INDEX('[3]Russia Corn Exports'!$LV$290:$OY$290,1,ROW(A8))</f>
        <v>0.456955</v>
      </c>
      <c r="AS32" s="213" cm="1">
        <f t="array" ref="AS32">INDEX('[3]Russia Corn Exports'!$MH$290:$OY$290,1,ROW(A8))</f>
        <v>0.424653</v>
      </c>
      <c r="AT32" s="213" cm="1">
        <f t="array" ref="AT32">INDEX('[3]Russia Corn Exports'!$MT$290:$OY$290,1,ROW(A8))</f>
        <v>248.240115</v>
      </c>
      <c r="AU32" s="213" cm="1">
        <f t="array" ref="AU32">INDEX('[3]Russia Corn Exports'!$NF$290:$OY$290,1,ROW(A8))</f>
        <v>550.99269200000003</v>
      </c>
      <c r="AV32" s="213" cm="1">
        <f t="array" ref="AV32">INDEX('[3]Russia Corn Exports'!$NR$290:$OY$290,1,ROW(A8))</f>
        <v>381.27319</v>
      </c>
      <c r="AW32" s="213" cm="1">
        <f t="array" ref="AW32">INDEX('[3]Russia Corn Exports'!$OD$290:$OY$290,1,ROW(A8))</f>
        <v>371.70623499999999</v>
      </c>
      <c r="AX32" s="222">
        <f>(SUM(AT32:AW32)/SUM(AT$37:AW$37))*AX$37</f>
        <v>608.71004952810688</v>
      </c>
      <c r="AY32" s="222">
        <f t="shared" si="19"/>
        <v>308.07321470943731</v>
      </c>
      <c r="AZ32" s="222">
        <f t="shared" si="20"/>
        <v>379.49152028126002</v>
      </c>
      <c r="BA32" s="257"/>
      <c r="BB32" s="257"/>
      <c r="BC32" s="257"/>
      <c r="BD32" s="257"/>
      <c r="BE32" s="257"/>
      <c r="BF32" s="257"/>
      <c r="BG32" s="257"/>
      <c r="BH32" s="257"/>
      <c r="BI32" s="257"/>
      <c r="BJ32" s="257"/>
      <c r="BK32" s="257"/>
      <c r="BL32" s="257"/>
      <c r="BM32" s="257"/>
    </row>
    <row r="33" spans="1:65" ht="15.75">
      <c r="A33" s="252" t="s">
        <v>82</v>
      </c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  <c r="AA33" s="252"/>
      <c r="AB33" s="252"/>
      <c r="AC33" s="252"/>
      <c r="AD33" s="252"/>
      <c r="AE33" s="252"/>
      <c r="AF33" s="252"/>
      <c r="AG33" s="252"/>
      <c r="AH33" s="252"/>
      <c r="AI33" s="252"/>
      <c r="AJ33" s="252"/>
      <c r="AK33" s="256"/>
      <c r="AL33" s="213" cm="1">
        <f t="array" ref="AL33">INDEX('[3]Russia Corn Exports'!$JB$290:$OY$290,1,ROW(A9))</f>
        <v>0.15024399999999999</v>
      </c>
      <c r="AM33" s="213" cm="1">
        <f t="array" ref="AM33">INDEX('[3]Russia Corn Exports'!$JN$290:$OY$290,1,ROW(A9))</f>
        <v>0.12934200000000001</v>
      </c>
      <c r="AN33" s="213" cm="1">
        <f t="array" ref="AN33">INDEX('[3]Russia Corn Exports'!$JZ$290:$OY$290,1,ROW(A9))</f>
        <v>5.8645000000000003E-2</v>
      </c>
      <c r="AO33" s="213" cm="1">
        <f t="array" ref="AO33">INDEX('[3]Russia Corn Exports'!$KL$290:$OY$290,1,ROW(A9))</f>
        <v>8.9607999999999993E-2</v>
      </c>
      <c r="AP33" s="213" cm="1">
        <f t="array" ref="AP33">INDEX('[3]Russia Corn Exports'!$KX$290:$OY$290,1,ROW(A9))</f>
        <v>0.13122</v>
      </c>
      <c r="AQ33" s="213" cm="1">
        <f t="array" ref="AQ33">INDEX('[3]Russia Corn Exports'!$LJ$290:$OY$290,1,ROW(A9))</f>
        <v>0.31646099999999999</v>
      </c>
      <c r="AR33" s="213" cm="1">
        <f t="array" ref="AR33">INDEX('[3]Russia Corn Exports'!$LV$290:$OY$290,1,ROW(A9))</f>
        <v>0.71077699999999999</v>
      </c>
      <c r="AS33" s="213" cm="1">
        <f t="array" ref="AS33">INDEX('[3]Russia Corn Exports'!$MH$290:$OY$290,1,ROW(A9))</f>
        <v>0.77966999999999997</v>
      </c>
      <c r="AT33" s="213" cm="1">
        <f t="array" ref="AT33">INDEX('[3]Russia Corn Exports'!$MT$290:$OY$290,1,ROW(A9))</f>
        <v>87.061824000000001</v>
      </c>
      <c r="AU33" s="213" cm="1">
        <f t="array" ref="AU33">INDEX('[3]Russia Corn Exports'!$NF$290:$OY$290,1,ROW(A9))</f>
        <v>201.658636</v>
      </c>
      <c r="AV33" s="213" cm="1">
        <f t="array" ref="AV33">INDEX('[3]Russia Corn Exports'!$NR$290:$OY$290,1,ROW(A9))</f>
        <v>268.08351599999997</v>
      </c>
      <c r="AW33" s="213" cm="1">
        <f t="array" ref="AW33">INDEX('[3]Russia Corn Exports'!$OD$290:$OY$290,1,ROW(A9))</f>
        <v>423.86201299999999</v>
      </c>
      <c r="AX33" s="222">
        <f t="shared" ref="AX33:AX36" si="21">(SUM(AT33:AW33)/SUM(AT$37:AW$37))*AX$37</f>
        <v>384.57449981924879</v>
      </c>
      <c r="AY33" s="222">
        <f t="shared" si="19"/>
        <v>205.87456564132495</v>
      </c>
      <c r="AZ33" s="222">
        <f t="shared" si="20"/>
        <v>291.45331692285765</v>
      </c>
      <c r="BA33" s="257"/>
      <c r="BB33" s="257"/>
      <c r="BC33" s="257"/>
      <c r="BD33" s="257"/>
      <c r="BE33" s="257"/>
      <c r="BF33" s="257"/>
      <c r="BG33" s="257"/>
      <c r="BH33" s="257"/>
      <c r="BI33" s="257"/>
      <c r="BJ33" s="257"/>
      <c r="BK33" s="257"/>
      <c r="BL33" s="257"/>
      <c r="BM33" s="257"/>
    </row>
    <row r="34" spans="1:65" ht="15.75">
      <c r="A34" s="252" t="s">
        <v>83</v>
      </c>
      <c r="B34" s="252"/>
      <c r="C34" s="252"/>
      <c r="D34" s="252"/>
      <c r="E34" s="252"/>
      <c r="F34" s="252"/>
      <c r="G34" s="252"/>
      <c r="H34" s="252"/>
      <c r="I34" s="252"/>
      <c r="J34" s="252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  <c r="AA34" s="252"/>
      <c r="AB34" s="252"/>
      <c r="AC34" s="252"/>
      <c r="AD34" s="252"/>
      <c r="AE34" s="252"/>
      <c r="AF34" s="252"/>
      <c r="AG34" s="252"/>
      <c r="AH34" s="252"/>
      <c r="AI34" s="252"/>
      <c r="AJ34" s="252"/>
      <c r="AK34" s="256"/>
      <c r="AL34" s="213" cm="1">
        <f t="array" ref="AL34">INDEX('[3]Russia Corn Exports'!$JB$290:$OY$290,1,ROW(A10))</f>
        <v>0.167517</v>
      </c>
      <c r="AM34" s="213" cm="1">
        <f t="array" ref="AM34">INDEX('[3]Russia Corn Exports'!$JN$290:$OY$290,1,ROW(A10))</f>
        <v>0.221329</v>
      </c>
      <c r="AN34" s="213" cm="1">
        <f t="array" ref="AN34">INDEX('[3]Russia Corn Exports'!$JZ$290:$OY$290,1,ROW(A10))</f>
        <v>0.13739599999999999</v>
      </c>
      <c r="AO34" s="213" cm="1">
        <f t="array" ref="AO34">INDEX('[3]Russia Corn Exports'!$KL$290:$OY$290,1,ROW(A10))</f>
        <v>0.12006799999999999</v>
      </c>
      <c r="AP34" s="213" cm="1">
        <f t="array" ref="AP34">INDEX('[3]Russia Corn Exports'!$KX$290:$OY$290,1,ROW(A10))</f>
        <v>0.27108500000000002</v>
      </c>
      <c r="AQ34" s="213" cm="1">
        <f t="array" ref="AQ34">INDEX('[3]Russia Corn Exports'!$LJ$290:$OY$290,1,ROW(A10))</f>
        <v>0.29971100000000001</v>
      </c>
      <c r="AR34" s="213" cm="1">
        <f t="array" ref="AR34">INDEX('[3]Russia Corn Exports'!$LV$290:$OY$290,1,ROW(A10))</f>
        <v>0.49288599999999999</v>
      </c>
      <c r="AS34" s="213" cm="1">
        <f t="array" ref="AS34">INDEX('[3]Russia Corn Exports'!$MH$290:$OY$290,1,ROW(A10))</f>
        <v>0.60073399999999999</v>
      </c>
      <c r="AT34" s="213" cm="1">
        <f t="array" ref="AT34">INDEX('[3]Russia Corn Exports'!$MT$290:$OY$290,1,ROW(A10))</f>
        <v>249.71451999999999</v>
      </c>
      <c r="AU34" s="213" cm="1">
        <f t="array" ref="AU34">INDEX('[3]Russia Corn Exports'!$NF$290:$OY$290,1,ROW(A10))</f>
        <v>134.157051</v>
      </c>
      <c r="AV34" s="213" cm="1">
        <f t="array" ref="AV34">INDEX('[3]Russia Corn Exports'!$NR$290:$OY$290,1,ROW(A10))</f>
        <v>179.49280999999999</v>
      </c>
      <c r="AW34" s="213" cm="1">
        <f t="array" ref="AW34">INDEX('[3]Russia Corn Exports'!$OD$290:$OY$290,1,ROW(A10))</f>
        <v>202.83081000000001</v>
      </c>
      <c r="AX34" s="222">
        <f t="shared" si="21"/>
        <v>300.46839152972689</v>
      </c>
      <c r="AY34" s="222">
        <f t="shared" si="19"/>
        <v>131.58491690453874</v>
      </c>
      <c r="AZ34" s="222">
        <f t="shared" si="20"/>
        <v>185.08566555324219</v>
      </c>
      <c r="BA34" s="257"/>
      <c r="BB34" s="257"/>
      <c r="BC34" s="257"/>
      <c r="BD34" s="257"/>
      <c r="BE34" s="257"/>
      <c r="BF34" s="257"/>
      <c r="BG34" s="257"/>
      <c r="BH34" s="257"/>
      <c r="BI34" s="257"/>
      <c r="BJ34" s="257"/>
      <c r="BK34" s="257"/>
      <c r="BL34" s="257"/>
      <c r="BM34" s="257"/>
    </row>
    <row r="35" spans="1:65" ht="15.75">
      <c r="A35" s="252" t="s">
        <v>84</v>
      </c>
      <c r="B35" s="252"/>
      <c r="C35" s="252"/>
      <c r="D35" s="252"/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  <c r="AA35" s="252"/>
      <c r="AB35" s="252"/>
      <c r="AC35" s="252"/>
      <c r="AD35" s="252"/>
      <c r="AE35" s="252"/>
      <c r="AF35" s="252"/>
      <c r="AG35" s="252"/>
      <c r="AH35" s="252"/>
      <c r="AI35" s="252"/>
      <c r="AJ35" s="252"/>
      <c r="AK35" s="256"/>
      <c r="AL35" s="213" cm="1">
        <f t="array" ref="AL35">INDEX('[3]Russia Corn Exports'!$JB$290:$OY$290,1,ROW(A11))</f>
        <v>0.14268</v>
      </c>
      <c r="AM35" s="213" cm="1">
        <f t="array" ref="AM35">INDEX('[3]Russia Corn Exports'!$JN$290:$OY$290,1,ROW(A11))</f>
        <v>0.21166499999999999</v>
      </c>
      <c r="AN35" s="213" cm="1">
        <f t="array" ref="AN35">INDEX('[3]Russia Corn Exports'!$JZ$290:$OY$290,1,ROW(A11))</f>
        <v>0.17782500000000001</v>
      </c>
      <c r="AO35" s="213" cm="1">
        <f t="array" ref="AO35">INDEX('[3]Russia Corn Exports'!$KL$290:$OY$290,1,ROW(A11))</f>
        <v>0.209428</v>
      </c>
      <c r="AP35" s="213" cm="1">
        <f t="array" ref="AP35">INDEX('[3]Russia Corn Exports'!$KX$290:$OY$290,1,ROW(A11))</f>
        <v>0.126307</v>
      </c>
      <c r="AQ35" s="213" cm="1">
        <f t="array" ref="AQ35">INDEX('[3]Russia Corn Exports'!$LJ$290:$OY$290,1,ROW(A11))</f>
        <v>0.29646499999999998</v>
      </c>
      <c r="AR35" s="213" cm="1">
        <f t="array" ref="AR35">INDEX('[3]Russia Corn Exports'!$LV$290:$OY$290,1,ROW(A11))</f>
        <v>0.336034</v>
      </c>
      <c r="AS35" s="213" cm="1">
        <f t="array" ref="AS35">INDEX('[3]Russia Corn Exports'!$MH$290:$OY$290,1,ROW(A11))</f>
        <v>0.77002400000000004</v>
      </c>
      <c r="AT35" s="213" cm="1">
        <f t="array" ref="AT35">INDEX('[3]Russia Corn Exports'!$MT$290:$OY$290,1,ROW(A11))</f>
        <v>156.03197599999999</v>
      </c>
      <c r="AU35" s="213" cm="1">
        <f t="array" ref="AU35">INDEX('[3]Russia Corn Exports'!$NF$290:$OY$290,1,ROW(A11))</f>
        <v>67.577223000000004</v>
      </c>
      <c r="AV35" s="213" cm="1">
        <f t="array" ref="AV35">INDEX('[3]Russia Corn Exports'!$NR$290:$OY$290,1,ROW(A11))</f>
        <v>49.040756000000002</v>
      </c>
      <c r="AW35" s="213" cm="1">
        <f t="array" ref="AW35">INDEX('[3]Russia Corn Exports'!$OD$290:$OY$290,1,ROW(A11))</f>
        <v>117.466959</v>
      </c>
      <c r="AX35" s="222">
        <f t="shared" si="21"/>
        <v>152.98686683889767</v>
      </c>
      <c r="AY35" s="222">
        <f t="shared" si="19"/>
        <v>62.34514930233226</v>
      </c>
      <c r="AZ35" s="222">
        <f t="shared" si="20"/>
        <v>86.781757077552271</v>
      </c>
      <c r="BA35" s="257"/>
      <c r="BB35" s="257"/>
      <c r="BC35" s="257"/>
      <c r="BD35" s="257"/>
      <c r="BE35" s="257"/>
      <c r="BF35" s="257"/>
      <c r="BG35" s="257"/>
      <c r="BH35" s="257"/>
      <c r="BI35" s="257"/>
      <c r="BJ35" s="257"/>
      <c r="BK35" s="257"/>
      <c r="BL35" s="257"/>
      <c r="BM35" s="257"/>
    </row>
    <row r="36" spans="1:65" ht="15.75">
      <c r="A36" s="252" t="s">
        <v>73</v>
      </c>
      <c r="B36" s="252"/>
      <c r="C36" s="252"/>
      <c r="D36" s="252"/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  <c r="AA36" s="252"/>
      <c r="AB36" s="252"/>
      <c r="AC36" s="252"/>
      <c r="AD36" s="252"/>
      <c r="AE36" s="252"/>
      <c r="AF36" s="252"/>
      <c r="AG36" s="252"/>
      <c r="AH36" s="252"/>
      <c r="AI36" s="252"/>
      <c r="AJ36" s="252"/>
      <c r="AK36" s="256"/>
      <c r="AL36" s="213" cm="1">
        <f t="array" ref="AL36">INDEX('[3]Russia Corn Exports'!$JB$290:$OY$290,1,ROW(A12))</f>
        <v>0.235902</v>
      </c>
      <c r="AM36" s="213" cm="1">
        <f t="array" ref="AM36">INDEX('[3]Russia Corn Exports'!$JN$290:$OY$290,1,ROW(A12))</f>
        <v>0.129916</v>
      </c>
      <c r="AN36" s="213" cm="1">
        <f t="array" ref="AN36">INDEX('[3]Russia Corn Exports'!$JZ$290:$OY$290,1,ROW(A12))</f>
        <v>0.13761999999999999</v>
      </c>
      <c r="AO36" s="213" cm="1">
        <f t="array" ref="AO36">INDEX('[3]Russia Corn Exports'!$KL$290:$OY$290,1,ROW(A12))</f>
        <v>9.1932E-2</v>
      </c>
      <c r="AP36" s="213" cm="1">
        <f t="array" ref="AP36">INDEX('[3]Russia Corn Exports'!$KX$290:$OY$290,1,ROW(A12))</f>
        <v>0.239174</v>
      </c>
      <c r="AQ36" s="213" cm="1">
        <f t="array" ref="AQ36">INDEX('[3]Russia Corn Exports'!$LJ$290:$OY$290,1,ROW(A12))</f>
        <v>0.89465899999999998</v>
      </c>
      <c r="AR36" s="213" cm="1">
        <f t="array" ref="AR36">INDEX('[3]Russia Corn Exports'!$LV$290:$OY$290,1,ROW(A12))</f>
        <v>0.35432799999999998</v>
      </c>
      <c r="AS36" s="213" cm="1">
        <f t="array" ref="AS36">INDEX('[3]Russia Corn Exports'!$MH$290:$OY$290,1,ROW(A12))</f>
        <v>1.837914</v>
      </c>
      <c r="AT36" s="213" cm="1">
        <f t="array" ref="AT36">INDEX('[3]Russia Corn Exports'!$MT$290:$OY$290,1,ROW(A12))</f>
        <v>87.553577000000004</v>
      </c>
      <c r="AU36" s="213" cm="1">
        <f t="array" ref="AU36">INDEX('[3]Russia Corn Exports'!$NF$290:$OY$290,1,ROW(A12))</f>
        <v>78.519802999999996</v>
      </c>
      <c r="AV36" s="213" cm="1">
        <f t="array" ref="AV36">INDEX('[3]Russia Corn Exports'!$NR$290:$OY$290,1,ROW(A12))</f>
        <v>11.749909000000001</v>
      </c>
      <c r="AW36" s="213" cm="1">
        <f t="array" ref="AW36">INDEX('[3]Russia Corn Exports'!$OD$290:$OY$290,1,ROW(A12))</f>
        <v>41.548068000000001</v>
      </c>
      <c r="AX36" s="222">
        <f t="shared" si="21"/>
        <v>86.02789414464425</v>
      </c>
      <c r="AY36" s="222">
        <f t="shared" si="19"/>
        <v>35.088117784936166</v>
      </c>
      <c r="AZ36" s="222">
        <f t="shared" si="20"/>
        <v>39.639542938541005</v>
      </c>
      <c r="BA36" s="257"/>
      <c r="BB36" s="257"/>
      <c r="BC36" s="257"/>
      <c r="BD36" s="257"/>
      <c r="BE36" s="257"/>
      <c r="BF36" s="257"/>
      <c r="BG36" s="257"/>
      <c r="BH36" s="257"/>
      <c r="BI36" s="257"/>
      <c r="BJ36" s="257"/>
      <c r="BK36" s="257"/>
      <c r="BL36" s="257"/>
      <c r="BM36" s="257"/>
    </row>
    <row r="37" spans="1:65" ht="14.25" thickBot="1">
      <c r="A37" s="252" t="s">
        <v>85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252"/>
      <c r="R37" s="252"/>
      <c r="S37" s="258">
        <v>0.3</v>
      </c>
      <c r="T37" s="258">
        <v>0.1</v>
      </c>
      <c r="U37" s="258">
        <v>4.0000000000000001E-3</v>
      </c>
      <c r="V37" s="258">
        <v>1E-3</v>
      </c>
      <c r="W37" s="258">
        <v>0</v>
      </c>
      <c r="X37" s="258">
        <v>0</v>
      </c>
      <c r="Y37" s="258">
        <v>1.6E-2</v>
      </c>
      <c r="Z37" s="258">
        <v>1.2999999999999999E-2</v>
      </c>
      <c r="AA37" s="258">
        <v>0</v>
      </c>
      <c r="AB37" s="258">
        <v>1E-3</v>
      </c>
      <c r="AC37" s="258">
        <v>0</v>
      </c>
      <c r="AD37" s="258">
        <v>1.2E-2</v>
      </c>
      <c r="AE37" s="258">
        <v>0</v>
      </c>
      <c r="AF37" s="258">
        <v>4.3999999999999997E-2</v>
      </c>
      <c r="AG37" s="258">
        <v>5.2999999999999999E-2</v>
      </c>
      <c r="AH37" s="258">
        <v>7.6999999999999999E-2</v>
      </c>
      <c r="AI37" s="258">
        <v>4.9000000000000002E-2</v>
      </c>
      <c r="AJ37" s="258">
        <v>1.331</v>
      </c>
      <c r="AK37" s="258">
        <v>0.42699999999999999</v>
      </c>
      <c r="AL37" s="258">
        <f>SUM(AL25:AL36)</f>
        <v>1.8221319999999999</v>
      </c>
      <c r="AM37" s="258">
        <f t="shared" ref="AM37:AU37" si="22">SUM(AM25:AM36)</f>
        <v>1.8755629999999999</v>
      </c>
      <c r="AN37" s="258">
        <f t="shared" si="22"/>
        <v>1.8709580000000003</v>
      </c>
      <c r="AO37" s="258">
        <f t="shared" si="22"/>
        <v>1.7489939999999997</v>
      </c>
      <c r="AP37" s="258">
        <f t="shared" si="22"/>
        <v>1.7522999999999997</v>
      </c>
      <c r="AQ37" s="258">
        <f t="shared" si="22"/>
        <v>202.62458699999999</v>
      </c>
      <c r="AR37" s="258">
        <f>SUM(AR25:AR36)</f>
        <v>6.1737619999999991</v>
      </c>
      <c r="AS37" s="258">
        <f t="shared" si="22"/>
        <v>7.6181860000000015</v>
      </c>
      <c r="AT37" s="258">
        <f t="shared" si="22"/>
        <v>2941.8644380000001</v>
      </c>
      <c r="AU37" s="259">
        <f t="shared" si="22"/>
        <v>3988.1529720000008</v>
      </c>
      <c r="AV37" s="259">
        <v>4000</v>
      </c>
      <c r="AW37" s="259">
        <v>5900</v>
      </c>
      <c r="AX37" s="259">
        <v>6600</v>
      </c>
      <c r="AY37" s="259">
        <v>3300</v>
      </c>
      <c r="AZ37" s="258">
        <v>4500</v>
      </c>
      <c r="BA37" s="257"/>
      <c r="BB37" s="257"/>
      <c r="BC37" s="257"/>
      <c r="BD37" s="257"/>
      <c r="BE37" s="257"/>
      <c r="BF37" s="257"/>
      <c r="BG37" s="257"/>
      <c r="BH37" s="257"/>
      <c r="BI37" s="257"/>
      <c r="BJ37" s="257"/>
      <c r="BK37" s="257"/>
      <c r="BL37" s="257"/>
      <c r="BM37" s="257"/>
    </row>
    <row r="38" spans="1:65" ht="13.5">
      <c r="A38" s="260" t="s">
        <v>252</v>
      </c>
      <c r="B38" s="260"/>
      <c r="C38" s="260"/>
      <c r="D38" s="260"/>
      <c r="E38" s="260"/>
      <c r="F38" s="260"/>
      <c r="G38" s="260"/>
      <c r="H38" s="260"/>
      <c r="I38" s="260"/>
      <c r="J38" s="260"/>
      <c r="K38" s="260"/>
      <c r="L38" s="260"/>
      <c r="M38" s="260"/>
      <c r="N38" s="260"/>
      <c r="O38" s="260"/>
      <c r="P38" s="260"/>
      <c r="Q38" s="260"/>
      <c r="R38" s="260"/>
      <c r="S38" s="260"/>
      <c r="T38" s="260"/>
      <c r="U38" s="260"/>
      <c r="V38" s="260"/>
      <c r="W38" s="260"/>
      <c r="X38" s="260"/>
      <c r="Y38" s="260"/>
      <c r="Z38" s="260"/>
      <c r="AA38" s="260"/>
      <c r="AB38" s="260"/>
      <c r="AC38" s="260"/>
      <c r="AD38" s="260"/>
      <c r="AE38" s="260"/>
      <c r="AF38" s="260"/>
      <c r="AG38" s="260"/>
      <c r="AH38" s="260"/>
      <c r="AI38" s="260"/>
      <c r="AJ38" s="260"/>
      <c r="AK38" s="260"/>
      <c r="AL38" s="260"/>
      <c r="AM38" s="260"/>
      <c r="AN38" s="260"/>
      <c r="AO38" s="260"/>
      <c r="AP38" s="260"/>
      <c r="AQ38" s="260"/>
      <c r="AR38" s="260"/>
      <c r="AS38" s="260"/>
      <c r="AT38" s="260"/>
      <c r="AU38" s="260"/>
      <c r="AV38" s="260"/>
      <c r="AW38" s="260"/>
      <c r="AX38" s="260"/>
      <c r="AY38" s="260"/>
      <c r="AZ38" s="260"/>
      <c r="BA38" s="260"/>
      <c r="BB38" s="260"/>
      <c r="BC38" s="260"/>
      <c r="BD38" s="260"/>
      <c r="BE38" s="260"/>
      <c r="BF38" s="260"/>
      <c r="BG38" s="260"/>
      <c r="BH38" s="260"/>
      <c r="BI38" s="260"/>
      <c r="BJ38" s="260"/>
      <c r="BK38" s="260"/>
      <c r="BL38" s="260"/>
      <c r="BM38" s="260"/>
    </row>
    <row r="39" spans="1:65" ht="14.25" thickBot="1">
      <c r="A39" s="252" t="s">
        <v>86</v>
      </c>
      <c r="B39" s="252"/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  <c r="AA39" s="252"/>
      <c r="AB39" s="252"/>
      <c r="AC39" s="252"/>
      <c r="AD39" s="252"/>
      <c r="AE39" s="252"/>
      <c r="AF39" s="252"/>
      <c r="AG39" s="252"/>
      <c r="AH39" s="252"/>
      <c r="AI39" s="252"/>
      <c r="AJ39" s="252"/>
      <c r="AK39" s="252"/>
      <c r="AL39" s="252"/>
      <c r="AM39" s="252"/>
      <c r="AN39" s="252"/>
      <c r="AO39" s="252"/>
      <c r="AP39" s="252"/>
      <c r="AQ39" s="252"/>
      <c r="AR39" s="252"/>
      <c r="AS39" s="252"/>
      <c r="AT39" s="252"/>
      <c r="AU39" s="252"/>
      <c r="AV39" s="252"/>
      <c r="AW39" s="252"/>
      <c r="AX39" s="252"/>
      <c r="AY39" s="252"/>
      <c r="AZ39" s="252"/>
      <c r="BA39" s="252"/>
      <c r="BB39" s="252"/>
      <c r="BC39" s="252"/>
      <c r="BD39" s="252"/>
      <c r="BE39" s="252"/>
      <c r="BF39" s="252"/>
      <c r="BG39" s="252"/>
      <c r="BH39" s="252"/>
      <c r="BI39" s="252"/>
      <c r="BJ39" s="252"/>
      <c r="BK39" s="252"/>
      <c r="BL39" s="252"/>
      <c r="BM39" s="252"/>
    </row>
    <row r="40" spans="1:65" ht="14.25" thickBot="1">
      <c r="A40" s="254"/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5" t="str">
        <f t="shared" ref="Q40:BM40" si="23">Q2</f>
        <v xml:space="preserve">89/90 </v>
      </c>
      <c r="R40" s="255" t="str">
        <f t="shared" si="23"/>
        <v xml:space="preserve">90/91 </v>
      </c>
      <c r="S40" s="255" t="str">
        <f t="shared" si="23"/>
        <v xml:space="preserve">91/92 </v>
      </c>
      <c r="T40" s="255" t="str">
        <f t="shared" si="23"/>
        <v xml:space="preserve">92/93 </v>
      </c>
      <c r="U40" s="255" t="str">
        <f t="shared" si="23"/>
        <v xml:space="preserve">93/94 </v>
      </c>
      <c r="V40" s="255" t="str">
        <f t="shared" si="23"/>
        <v xml:space="preserve">94/95 </v>
      </c>
      <c r="W40" s="255" t="str">
        <f t="shared" si="23"/>
        <v xml:space="preserve">95/96 </v>
      </c>
      <c r="X40" s="255" t="str">
        <f t="shared" si="23"/>
        <v xml:space="preserve">96/97 </v>
      </c>
      <c r="Y40" s="255" t="str">
        <f t="shared" si="23"/>
        <v xml:space="preserve">97/98 </v>
      </c>
      <c r="Z40" s="255" t="str">
        <f t="shared" si="23"/>
        <v xml:space="preserve">98/99 </v>
      </c>
      <c r="AA40" s="255" t="str">
        <f t="shared" si="23"/>
        <v xml:space="preserve">99/00 </v>
      </c>
      <c r="AB40" s="255" t="str">
        <f t="shared" si="23"/>
        <v xml:space="preserve">00/01 </v>
      </c>
      <c r="AC40" s="255" t="str">
        <f t="shared" si="23"/>
        <v xml:space="preserve">01/02 </v>
      </c>
      <c r="AD40" s="255" t="str">
        <f t="shared" si="23"/>
        <v xml:space="preserve">02/03 </v>
      </c>
      <c r="AE40" s="255" t="str">
        <f t="shared" si="23"/>
        <v xml:space="preserve">03/04 </v>
      </c>
      <c r="AF40" s="255" t="str">
        <f t="shared" si="23"/>
        <v xml:space="preserve">04/05 </v>
      </c>
      <c r="AG40" s="255" t="str">
        <f t="shared" si="23"/>
        <v xml:space="preserve">05/06 </v>
      </c>
      <c r="AH40" s="255" t="str">
        <f t="shared" si="23"/>
        <v xml:space="preserve">06/07 </v>
      </c>
      <c r="AI40" s="255" t="str">
        <f t="shared" si="23"/>
        <v xml:space="preserve">07/08 </v>
      </c>
      <c r="AJ40" s="255" t="str">
        <f t="shared" si="23"/>
        <v xml:space="preserve">08/09 </v>
      </c>
      <c r="AK40" s="255" t="str">
        <f t="shared" si="23"/>
        <v xml:space="preserve">09/10 </v>
      </c>
      <c r="AL40" s="255" t="str">
        <f t="shared" si="23"/>
        <v xml:space="preserve">11/12 </v>
      </c>
      <c r="AM40" s="255" t="str">
        <f t="shared" si="23"/>
        <v xml:space="preserve">12/13 </v>
      </c>
      <c r="AN40" s="255" t="str">
        <f t="shared" si="23"/>
        <v xml:space="preserve">13/14 </v>
      </c>
      <c r="AO40" s="255" t="str">
        <f t="shared" si="23"/>
        <v xml:space="preserve">14/15 </v>
      </c>
      <c r="AP40" s="255" t="str">
        <f t="shared" si="23"/>
        <v xml:space="preserve">15/16 </v>
      </c>
      <c r="AQ40" s="255" t="str">
        <f t="shared" si="23"/>
        <v xml:space="preserve">16/17 </v>
      </c>
      <c r="AR40" s="255" t="str">
        <f t="shared" si="23"/>
        <v xml:space="preserve">17/18 </v>
      </c>
      <c r="AS40" s="255" t="str">
        <f t="shared" si="23"/>
        <v xml:space="preserve">18/19 </v>
      </c>
      <c r="AT40" s="255" t="str">
        <f t="shared" si="23"/>
        <v>19/20</v>
      </c>
      <c r="AU40" s="255" t="str">
        <f t="shared" si="23"/>
        <v>20/21</v>
      </c>
      <c r="AV40" s="255" t="str">
        <f t="shared" si="23"/>
        <v>21/22</v>
      </c>
      <c r="AW40" s="255" t="str">
        <f t="shared" si="23"/>
        <v>22/23</v>
      </c>
      <c r="AX40" s="255" t="str">
        <f t="shared" si="23"/>
        <v>23/24</v>
      </c>
      <c r="AY40" s="255" t="str">
        <f t="shared" si="23"/>
        <v>24/25</v>
      </c>
      <c r="AZ40" s="255" t="str">
        <f t="shared" si="23"/>
        <v>25/26</v>
      </c>
      <c r="BA40" s="255" t="str">
        <f t="shared" si="23"/>
        <v>26/27</v>
      </c>
      <c r="BB40" s="255" t="str">
        <f t="shared" si="23"/>
        <v>27/28</v>
      </c>
      <c r="BC40" s="255" t="str">
        <f t="shared" si="23"/>
        <v>28/29</v>
      </c>
      <c r="BD40" s="255" t="str">
        <f t="shared" si="23"/>
        <v>29/30</v>
      </c>
      <c r="BE40" s="255" t="str">
        <f t="shared" si="23"/>
        <v>30/31</v>
      </c>
      <c r="BF40" s="255" t="str">
        <f t="shared" si="23"/>
        <v>31/32</v>
      </c>
      <c r="BG40" s="255" t="str">
        <f t="shared" si="23"/>
        <v>32/33</v>
      </c>
      <c r="BH40" s="255" t="str">
        <f t="shared" si="23"/>
        <v>33/34</v>
      </c>
      <c r="BI40" s="255" t="str">
        <f t="shared" si="23"/>
        <v>34/35</v>
      </c>
      <c r="BJ40" s="255" t="str">
        <f t="shared" si="23"/>
        <v>35/36</v>
      </c>
      <c r="BK40" s="255" t="str">
        <f t="shared" si="23"/>
        <v>36/37</v>
      </c>
      <c r="BL40" s="255" t="str">
        <f t="shared" si="23"/>
        <v>37/38</v>
      </c>
      <c r="BM40" s="255" t="str">
        <f t="shared" si="23"/>
        <v>38/39</v>
      </c>
    </row>
    <row r="41" spans="1:65" ht="13.5">
      <c r="A41" s="252" t="s">
        <v>74</v>
      </c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  <c r="AA41" s="252"/>
      <c r="AB41" s="252"/>
      <c r="AC41" s="252"/>
      <c r="AD41" s="252"/>
      <c r="AE41" s="252"/>
      <c r="AF41" s="252"/>
      <c r="AG41" s="252"/>
      <c r="AH41" s="252"/>
      <c r="AI41" s="252"/>
      <c r="AJ41" s="252"/>
      <c r="AK41" s="261"/>
      <c r="AL41" s="261"/>
      <c r="AM41" s="261"/>
      <c r="AN41" s="261"/>
      <c r="AO41" s="261"/>
      <c r="AP41" s="261"/>
      <c r="AQ41" s="261"/>
      <c r="AR41" s="261"/>
      <c r="AS41" s="261"/>
      <c r="AT41" s="261"/>
      <c r="AU41" s="261"/>
      <c r="AV41" s="261"/>
      <c r="AW41" s="261"/>
      <c r="AX41" s="261"/>
      <c r="AY41" s="262"/>
      <c r="AZ41" s="262"/>
      <c r="BA41" s="262"/>
      <c r="BB41" s="262"/>
      <c r="BC41" s="262"/>
      <c r="BD41" s="262"/>
      <c r="BE41" s="262"/>
      <c r="BF41" s="262"/>
      <c r="BG41" s="262"/>
      <c r="BH41" s="262"/>
      <c r="BI41" s="262"/>
      <c r="BJ41" s="262"/>
      <c r="BK41" s="262"/>
      <c r="BL41" s="262"/>
      <c r="BM41" s="262"/>
    </row>
    <row r="42" spans="1:65" ht="13.5">
      <c r="A42" s="252" t="s">
        <v>75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  <c r="AA42" s="252"/>
      <c r="AB42" s="252"/>
      <c r="AC42" s="252"/>
      <c r="AD42" s="252"/>
      <c r="AE42" s="252"/>
      <c r="AF42" s="252"/>
      <c r="AG42" s="252"/>
      <c r="AH42" s="252"/>
      <c r="AI42" s="252"/>
      <c r="AJ42" s="252"/>
      <c r="AK42" s="261"/>
      <c r="AL42" s="261"/>
      <c r="AM42" s="261"/>
      <c r="AN42" s="261"/>
      <c r="AO42" s="261"/>
      <c r="AP42" s="261"/>
      <c r="AQ42" s="261"/>
      <c r="AR42" s="261"/>
      <c r="AS42" s="261"/>
      <c r="AT42" s="261"/>
      <c r="AU42" s="261"/>
      <c r="AV42" s="261"/>
      <c r="AW42" s="261"/>
      <c r="AX42" s="261"/>
      <c r="AY42" s="262"/>
      <c r="AZ42" s="262"/>
      <c r="BA42" s="262"/>
      <c r="BB42" s="262"/>
      <c r="BC42" s="262"/>
      <c r="BD42" s="262"/>
      <c r="BE42" s="262"/>
      <c r="BF42" s="262"/>
      <c r="BG42" s="262"/>
      <c r="BH42" s="262"/>
      <c r="BI42" s="262"/>
      <c r="BJ42" s="262"/>
      <c r="BK42" s="262"/>
      <c r="BL42" s="262"/>
      <c r="BM42" s="262"/>
    </row>
    <row r="43" spans="1:65" ht="13.5">
      <c r="A43" s="252" t="s">
        <v>76</v>
      </c>
      <c r="B43" s="252"/>
      <c r="C43" s="252"/>
      <c r="D43" s="252"/>
      <c r="E43" s="252"/>
      <c r="F43" s="252"/>
      <c r="G43" s="252"/>
      <c r="H43" s="252"/>
      <c r="I43" s="252"/>
      <c r="J43" s="252"/>
      <c r="K43" s="252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  <c r="AA43" s="252"/>
      <c r="AB43" s="252"/>
      <c r="AC43" s="252"/>
      <c r="AD43" s="252"/>
      <c r="AE43" s="252"/>
      <c r="AF43" s="252"/>
      <c r="AG43" s="252"/>
      <c r="AH43" s="252"/>
      <c r="AI43" s="252"/>
      <c r="AJ43" s="252"/>
      <c r="AK43" s="261"/>
      <c r="AL43" s="261"/>
      <c r="AM43" s="261"/>
      <c r="AN43" s="261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2"/>
      <c r="AZ43" s="262"/>
      <c r="BA43" s="262"/>
      <c r="BB43" s="262"/>
      <c r="BC43" s="262"/>
      <c r="BD43" s="262"/>
      <c r="BE43" s="262"/>
      <c r="BF43" s="262"/>
      <c r="BG43" s="262"/>
      <c r="BH43" s="262"/>
      <c r="BI43" s="262"/>
      <c r="BJ43" s="262"/>
      <c r="BK43" s="262"/>
      <c r="BL43" s="262"/>
      <c r="BM43" s="262"/>
    </row>
    <row r="44" spans="1:65" ht="13.5">
      <c r="A44" s="252" t="s">
        <v>77</v>
      </c>
      <c r="B44" s="252"/>
      <c r="C44" s="252"/>
      <c r="D44" s="252"/>
      <c r="E44" s="252"/>
      <c r="F44" s="252"/>
      <c r="G44" s="252"/>
      <c r="H44" s="252"/>
      <c r="I44" s="252"/>
      <c r="J44" s="252"/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  <c r="AA44" s="252"/>
      <c r="AB44" s="252"/>
      <c r="AC44" s="252"/>
      <c r="AD44" s="252"/>
      <c r="AE44" s="252"/>
      <c r="AF44" s="252"/>
      <c r="AG44" s="252"/>
      <c r="AH44" s="252"/>
      <c r="AI44" s="252"/>
      <c r="AJ44" s="252"/>
      <c r="AK44" s="261"/>
      <c r="AL44" s="261"/>
      <c r="AM44" s="261"/>
      <c r="AN44" s="261"/>
      <c r="AO44" s="261"/>
      <c r="AP44" s="261"/>
      <c r="AQ44" s="261"/>
      <c r="AR44" s="261"/>
      <c r="AS44" s="261"/>
      <c r="AT44" s="261"/>
      <c r="AU44" s="261"/>
      <c r="AV44" s="261"/>
      <c r="AW44" s="261"/>
      <c r="AX44" s="261"/>
      <c r="AY44" s="262"/>
      <c r="AZ44" s="262"/>
      <c r="BA44" s="262"/>
      <c r="BB44" s="262"/>
      <c r="BC44" s="262"/>
      <c r="BD44" s="262"/>
      <c r="BE44" s="262"/>
      <c r="BF44" s="262"/>
      <c r="BG44" s="262"/>
      <c r="BH44" s="262"/>
      <c r="BI44" s="262"/>
      <c r="BJ44" s="262"/>
      <c r="BK44" s="262"/>
      <c r="BL44" s="262"/>
      <c r="BM44" s="262"/>
    </row>
    <row r="45" spans="1:65" ht="13.5">
      <c r="A45" s="252" t="s">
        <v>78</v>
      </c>
      <c r="B45" s="252"/>
      <c r="C45" s="252"/>
      <c r="D45" s="252"/>
      <c r="E45" s="252"/>
      <c r="F45" s="252"/>
      <c r="G45" s="252"/>
      <c r="H45" s="252"/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  <c r="AA45" s="252"/>
      <c r="AB45" s="252"/>
      <c r="AC45" s="252"/>
      <c r="AD45" s="252"/>
      <c r="AE45" s="252"/>
      <c r="AF45" s="252"/>
      <c r="AG45" s="252"/>
      <c r="AH45" s="252"/>
      <c r="AI45" s="252"/>
      <c r="AJ45" s="252"/>
      <c r="AK45" s="261"/>
      <c r="AL45" s="261"/>
      <c r="AM45" s="261"/>
      <c r="AN45" s="261"/>
      <c r="AO45" s="261"/>
      <c r="AP45" s="261"/>
      <c r="AQ45" s="261"/>
      <c r="AR45" s="261"/>
      <c r="AS45" s="261"/>
      <c r="AT45" s="261"/>
      <c r="AU45" s="261"/>
      <c r="AV45" s="261"/>
      <c r="AW45" s="261"/>
      <c r="AX45" s="261"/>
      <c r="AY45" s="262"/>
      <c r="AZ45" s="262"/>
      <c r="BA45" s="262"/>
      <c r="BB45" s="262"/>
      <c r="BC45" s="262"/>
      <c r="BD45" s="262"/>
      <c r="BE45" s="262"/>
      <c r="BF45" s="262"/>
      <c r="BG45" s="262"/>
      <c r="BH45" s="262"/>
      <c r="BI45" s="262"/>
      <c r="BJ45" s="262"/>
      <c r="BK45" s="262"/>
      <c r="BL45" s="262"/>
      <c r="BM45" s="262"/>
    </row>
    <row r="46" spans="1:65" ht="13.5">
      <c r="A46" s="252" t="s">
        <v>79</v>
      </c>
      <c r="B46" s="252"/>
      <c r="C46" s="252"/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  <c r="AA46" s="252"/>
      <c r="AB46" s="252"/>
      <c r="AC46" s="252"/>
      <c r="AD46" s="252"/>
      <c r="AE46" s="252"/>
      <c r="AF46" s="252"/>
      <c r="AG46" s="252"/>
      <c r="AH46" s="252"/>
      <c r="AI46" s="252"/>
      <c r="AJ46" s="252"/>
      <c r="AK46" s="261"/>
      <c r="AL46" s="261"/>
      <c r="AM46" s="261"/>
      <c r="AN46" s="261"/>
      <c r="AO46" s="261"/>
      <c r="AP46" s="261"/>
      <c r="AQ46" s="261"/>
      <c r="AR46" s="261"/>
      <c r="AS46" s="261"/>
      <c r="AT46" s="261"/>
      <c r="AU46" s="261"/>
      <c r="AV46" s="261"/>
      <c r="AW46" s="261"/>
      <c r="AX46" s="261"/>
      <c r="AY46" s="262"/>
      <c r="AZ46" s="262"/>
      <c r="BA46" s="262"/>
      <c r="BB46" s="262"/>
      <c r="BC46" s="262"/>
      <c r="BD46" s="262"/>
      <c r="BE46" s="262"/>
      <c r="BF46" s="262"/>
      <c r="BG46" s="262"/>
      <c r="BH46" s="262"/>
      <c r="BI46" s="262"/>
      <c r="BJ46" s="262"/>
      <c r="BK46" s="262"/>
      <c r="BL46" s="262"/>
      <c r="BM46" s="262"/>
    </row>
    <row r="47" spans="1:65" ht="13.5">
      <c r="A47" s="252" t="s">
        <v>80</v>
      </c>
      <c r="B47" s="252"/>
      <c r="C47" s="252"/>
      <c r="D47" s="252"/>
      <c r="E47" s="252"/>
      <c r="F47" s="252"/>
      <c r="G47" s="252"/>
      <c r="H47" s="252"/>
      <c r="I47" s="252"/>
      <c r="J47" s="252"/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  <c r="AA47" s="252"/>
      <c r="AB47" s="252"/>
      <c r="AC47" s="252"/>
      <c r="AD47" s="252"/>
      <c r="AE47" s="252"/>
      <c r="AF47" s="252"/>
      <c r="AG47" s="252"/>
      <c r="AH47" s="252"/>
      <c r="AI47" s="252"/>
      <c r="AJ47" s="252"/>
      <c r="AK47" s="261"/>
      <c r="AL47" s="261"/>
      <c r="AM47" s="261"/>
      <c r="AN47" s="261"/>
      <c r="AO47" s="261"/>
      <c r="AP47" s="261"/>
      <c r="AQ47" s="261"/>
      <c r="AR47" s="261"/>
      <c r="AS47" s="261"/>
      <c r="AT47" s="261"/>
      <c r="AU47" s="261"/>
      <c r="AV47" s="261"/>
      <c r="AW47" s="261"/>
      <c r="AX47" s="261"/>
      <c r="AY47" s="262"/>
      <c r="AZ47" s="262"/>
      <c r="BA47" s="262"/>
      <c r="BB47" s="262"/>
      <c r="BC47" s="262"/>
      <c r="BD47" s="262"/>
      <c r="BE47" s="262"/>
      <c r="BF47" s="262"/>
      <c r="BG47" s="262"/>
      <c r="BH47" s="262"/>
      <c r="BI47" s="262"/>
      <c r="BJ47" s="262"/>
      <c r="BK47" s="262"/>
      <c r="BL47" s="262"/>
      <c r="BM47" s="262"/>
    </row>
    <row r="48" spans="1:65" ht="13.5">
      <c r="A48" s="252" t="s">
        <v>81</v>
      </c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  <c r="AA48" s="252"/>
      <c r="AB48" s="252"/>
      <c r="AC48" s="252"/>
      <c r="AD48" s="252"/>
      <c r="AE48" s="252"/>
      <c r="AF48" s="252"/>
      <c r="AG48" s="252"/>
      <c r="AH48" s="252"/>
      <c r="AI48" s="252"/>
      <c r="AJ48" s="252"/>
      <c r="AK48" s="261"/>
      <c r="AL48" s="261"/>
      <c r="AM48" s="261"/>
      <c r="AN48" s="261"/>
      <c r="AO48" s="261"/>
      <c r="AP48" s="261"/>
      <c r="AQ48" s="261"/>
      <c r="AR48" s="261"/>
      <c r="AS48" s="261"/>
      <c r="AT48" s="261"/>
      <c r="AU48" s="261"/>
      <c r="AV48" s="261"/>
      <c r="AW48" s="261"/>
      <c r="AX48" s="261"/>
      <c r="AY48" s="262"/>
      <c r="AZ48" s="262"/>
      <c r="BA48" s="262"/>
      <c r="BB48" s="262"/>
      <c r="BC48" s="262"/>
      <c r="BD48" s="262"/>
      <c r="BE48" s="262"/>
      <c r="BF48" s="262"/>
      <c r="BG48" s="262"/>
      <c r="BH48" s="262"/>
      <c r="BI48" s="262"/>
      <c r="BJ48" s="262"/>
      <c r="BK48" s="262"/>
      <c r="BL48" s="262"/>
      <c r="BM48" s="262"/>
    </row>
    <row r="49" spans="1:65" ht="13.5">
      <c r="A49" s="252" t="s">
        <v>82</v>
      </c>
      <c r="B49" s="252"/>
      <c r="C49" s="252"/>
      <c r="D49" s="252"/>
      <c r="E49" s="252"/>
      <c r="F49" s="252"/>
      <c r="G49" s="252"/>
      <c r="H49" s="252"/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  <c r="AE49" s="252"/>
      <c r="AF49" s="252"/>
      <c r="AG49" s="252"/>
      <c r="AH49" s="252"/>
      <c r="AI49" s="252"/>
      <c r="AJ49" s="252"/>
      <c r="AK49" s="261"/>
      <c r="AL49" s="261"/>
      <c r="AM49" s="261"/>
      <c r="AN49" s="261"/>
      <c r="AO49" s="261"/>
      <c r="AP49" s="261"/>
      <c r="AQ49" s="261"/>
      <c r="AR49" s="261"/>
      <c r="AS49" s="261"/>
      <c r="AT49" s="261"/>
      <c r="AU49" s="261"/>
      <c r="AV49" s="261"/>
      <c r="AW49" s="261"/>
      <c r="AX49" s="261"/>
      <c r="AY49" s="262"/>
      <c r="AZ49" s="262"/>
      <c r="BA49" s="262"/>
      <c r="BB49" s="262"/>
      <c r="BC49" s="262"/>
      <c r="BD49" s="262"/>
      <c r="BE49" s="262"/>
      <c r="BF49" s="262"/>
      <c r="BG49" s="262"/>
      <c r="BH49" s="262"/>
      <c r="BI49" s="262"/>
      <c r="BJ49" s="262"/>
      <c r="BK49" s="262"/>
      <c r="BL49" s="262"/>
      <c r="BM49" s="262"/>
    </row>
    <row r="50" spans="1:65" ht="13.5">
      <c r="A50" s="252" t="s">
        <v>83</v>
      </c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  <c r="AA50" s="252"/>
      <c r="AB50" s="252"/>
      <c r="AC50" s="252"/>
      <c r="AD50" s="252"/>
      <c r="AE50" s="252"/>
      <c r="AF50" s="252"/>
      <c r="AG50" s="252"/>
      <c r="AH50" s="252"/>
      <c r="AI50" s="252"/>
      <c r="AJ50" s="252"/>
      <c r="AK50" s="261"/>
      <c r="AL50" s="261"/>
      <c r="AM50" s="261"/>
      <c r="AN50" s="261"/>
      <c r="AO50" s="261"/>
      <c r="AP50" s="261"/>
      <c r="AQ50" s="261"/>
      <c r="AR50" s="261"/>
      <c r="AS50" s="261"/>
      <c r="AT50" s="261"/>
      <c r="AU50" s="261"/>
      <c r="AV50" s="261"/>
      <c r="AW50" s="261"/>
      <c r="AX50" s="261"/>
      <c r="AY50" s="262"/>
      <c r="AZ50" s="262"/>
      <c r="BA50" s="262"/>
      <c r="BB50" s="262"/>
      <c r="BC50" s="262"/>
      <c r="BD50" s="262"/>
      <c r="BE50" s="262"/>
      <c r="BF50" s="262"/>
      <c r="BG50" s="262"/>
      <c r="BH50" s="262"/>
      <c r="BI50" s="262"/>
      <c r="BJ50" s="262"/>
      <c r="BK50" s="262"/>
      <c r="BL50" s="262"/>
      <c r="BM50" s="262"/>
    </row>
    <row r="51" spans="1:65" ht="13.5">
      <c r="A51" s="252" t="s">
        <v>84</v>
      </c>
      <c r="B51" s="252"/>
      <c r="C51" s="252"/>
      <c r="D51" s="252"/>
      <c r="E51" s="252"/>
      <c r="F51" s="252"/>
      <c r="G51" s="252"/>
      <c r="H51" s="252"/>
      <c r="I51" s="252"/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  <c r="AA51" s="252"/>
      <c r="AB51" s="252"/>
      <c r="AC51" s="252"/>
      <c r="AD51" s="252"/>
      <c r="AE51" s="252"/>
      <c r="AF51" s="252"/>
      <c r="AG51" s="252"/>
      <c r="AH51" s="252"/>
      <c r="AI51" s="252"/>
      <c r="AJ51" s="252"/>
      <c r="AK51" s="261"/>
      <c r="AL51" s="261"/>
      <c r="AM51" s="261"/>
      <c r="AN51" s="261"/>
      <c r="AO51" s="261"/>
      <c r="AP51" s="261"/>
      <c r="AQ51" s="261"/>
      <c r="AR51" s="261"/>
      <c r="AS51" s="261"/>
      <c r="AT51" s="261"/>
      <c r="AU51" s="261"/>
      <c r="AV51" s="261"/>
      <c r="AW51" s="261"/>
      <c r="AX51" s="262"/>
      <c r="AY51" s="262"/>
      <c r="AZ51" s="262"/>
      <c r="BA51" s="262"/>
      <c r="BB51" s="262"/>
      <c r="BC51" s="262"/>
      <c r="BD51" s="262"/>
      <c r="BE51" s="262"/>
      <c r="BF51" s="262"/>
      <c r="BG51" s="262"/>
      <c r="BH51" s="262"/>
      <c r="BI51" s="262"/>
      <c r="BJ51" s="262"/>
      <c r="BK51" s="262"/>
      <c r="BL51" s="262"/>
      <c r="BM51" s="262"/>
    </row>
    <row r="52" spans="1:65" ht="13.5">
      <c r="A52" s="252" t="s">
        <v>73</v>
      </c>
      <c r="B52" s="252"/>
      <c r="C52" s="252"/>
      <c r="D52" s="252"/>
      <c r="E52" s="252"/>
      <c r="F52" s="252"/>
      <c r="G52" s="252"/>
      <c r="H52" s="252"/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  <c r="AA52" s="252"/>
      <c r="AB52" s="252"/>
      <c r="AC52" s="252"/>
      <c r="AD52" s="252"/>
      <c r="AE52" s="252"/>
      <c r="AF52" s="252"/>
      <c r="AG52" s="252"/>
      <c r="AH52" s="252"/>
      <c r="AI52" s="252"/>
      <c r="AJ52" s="252"/>
      <c r="AK52" s="261"/>
      <c r="AL52" s="261"/>
      <c r="AM52" s="261"/>
      <c r="AN52" s="261"/>
      <c r="AO52" s="261"/>
      <c r="AP52" s="261"/>
      <c r="AQ52" s="261"/>
      <c r="AR52" s="261"/>
      <c r="AS52" s="261"/>
      <c r="AT52" s="261"/>
      <c r="AU52" s="261"/>
      <c r="AV52" s="261"/>
      <c r="AW52" s="261"/>
      <c r="AX52" s="262"/>
      <c r="AY52" s="262"/>
      <c r="AZ52" s="262"/>
      <c r="BA52" s="262"/>
      <c r="BB52" s="262"/>
      <c r="BC52" s="262"/>
      <c r="BD52" s="262"/>
      <c r="BE52" s="262"/>
      <c r="BF52" s="262"/>
      <c r="BG52" s="262"/>
      <c r="BH52" s="262"/>
      <c r="BI52" s="262"/>
      <c r="BJ52" s="262"/>
      <c r="BK52" s="262"/>
      <c r="BL52" s="262"/>
      <c r="BM52" s="262"/>
    </row>
    <row r="53" spans="1:65" ht="14.25" thickBot="1">
      <c r="A53" s="252" t="s">
        <v>85</v>
      </c>
      <c r="B53" s="252"/>
      <c r="C53" s="252"/>
      <c r="D53" s="252"/>
      <c r="E53" s="252"/>
      <c r="F53" s="252"/>
      <c r="G53" s="252"/>
      <c r="H53" s="252"/>
      <c r="I53" s="252"/>
      <c r="J53" s="252"/>
      <c r="K53" s="252"/>
      <c r="L53" s="252"/>
      <c r="M53" s="252"/>
      <c r="N53" s="252"/>
      <c r="O53" s="252"/>
      <c r="P53" s="252"/>
      <c r="Q53" s="252"/>
      <c r="R53" s="252"/>
      <c r="S53" s="263">
        <v>6.0250000000000004</v>
      </c>
      <c r="T53" s="263">
        <v>4.2709999999999999</v>
      </c>
      <c r="U53" s="263">
        <v>2.7650000000000001</v>
      </c>
      <c r="V53" s="263">
        <v>0.111</v>
      </c>
      <c r="W53" s="263">
        <v>0.112</v>
      </c>
      <c r="X53" s="263">
        <v>0.23100000000000001</v>
      </c>
      <c r="Y53" s="263">
        <v>8.5000000000000006E-2</v>
      </c>
      <c r="Z53" s="263">
        <v>0.52400000000000002</v>
      </c>
      <c r="AA53" s="263">
        <v>0.87</v>
      </c>
      <c r="AB53" s="263">
        <v>0.15</v>
      </c>
      <c r="AC53" s="263">
        <v>0.53400000000000003</v>
      </c>
      <c r="AD53" s="263">
        <v>9.9000000000000005E-2</v>
      </c>
      <c r="AE53" s="263">
        <v>0.496</v>
      </c>
      <c r="AF53" s="263">
        <v>0.22600000000000001</v>
      </c>
      <c r="AG53" s="263">
        <v>0.30599999999999999</v>
      </c>
      <c r="AH53" s="263">
        <v>0.108</v>
      </c>
      <c r="AI53" s="263">
        <v>0.34100000000000003</v>
      </c>
      <c r="AJ53" s="263">
        <v>5.0999999999999997E-2</v>
      </c>
      <c r="AK53" s="263">
        <v>3.2000000000000001E-2</v>
      </c>
      <c r="AL53" s="263">
        <v>0.112</v>
      </c>
      <c r="AM53" s="263">
        <v>4.2999999999999997E-2</v>
      </c>
      <c r="AN53" s="263">
        <v>5.0999999999999997E-2</v>
      </c>
      <c r="AO53" s="263">
        <v>5.1999999999999998E-2</v>
      </c>
      <c r="AP53" s="263">
        <v>4.5999999999999999E-2</v>
      </c>
      <c r="AQ53" s="263">
        <v>4.3999999999999997E-2</v>
      </c>
      <c r="AR53" s="263">
        <v>5.2999999999999999E-2</v>
      </c>
      <c r="AS53" s="263">
        <v>4.7E-2</v>
      </c>
      <c r="AT53" s="263">
        <v>3.6999999999999998E-2</v>
      </c>
      <c r="AU53" s="263">
        <v>0.05</v>
      </c>
      <c r="AV53" s="263">
        <v>3.7999999999999999E-2</v>
      </c>
      <c r="AW53" s="263">
        <v>0.05</v>
      </c>
      <c r="AX53" s="264">
        <v>0.05</v>
      </c>
      <c r="AY53" s="264">
        <v>0.05</v>
      </c>
      <c r="AZ53" s="262"/>
      <c r="BA53" s="262"/>
      <c r="BB53" s="262"/>
      <c r="BC53" s="262"/>
      <c r="BD53" s="262"/>
      <c r="BE53" s="262"/>
      <c r="BF53" s="262"/>
      <c r="BG53" s="262"/>
      <c r="BH53" s="262"/>
      <c r="BI53" s="262"/>
      <c r="BJ53" s="262"/>
      <c r="BK53" s="262"/>
      <c r="BL53" s="262"/>
      <c r="BM53" s="262"/>
    </row>
    <row r="54" spans="1:65" ht="13.5">
      <c r="A54" s="260"/>
      <c r="B54" s="26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60"/>
      <c r="O54" s="260"/>
      <c r="P54" s="260"/>
      <c r="Q54" s="260"/>
      <c r="R54" s="260"/>
      <c r="S54" s="260"/>
      <c r="T54" s="260"/>
      <c r="U54" s="260"/>
      <c r="V54" s="260"/>
      <c r="W54" s="260"/>
      <c r="X54" s="260"/>
      <c r="Y54" s="260"/>
      <c r="Z54" s="260"/>
      <c r="AA54" s="260"/>
      <c r="AB54" s="260"/>
      <c r="AC54" s="260"/>
      <c r="AD54" s="260"/>
      <c r="AE54" s="260"/>
      <c r="AF54" s="260"/>
      <c r="AG54" s="260"/>
      <c r="AH54" s="260"/>
      <c r="AI54" s="260"/>
      <c r="AJ54" s="260"/>
      <c r="AK54" s="260"/>
      <c r="AL54" s="260"/>
      <c r="AM54" s="260"/>
      <c r="AN54" s="260"/>
      <c r="AO54" s="260"/>
      <c r="AP54" s="260"/>
      <c r="AQ54" s="260"/>
      <c r="AR54" s="260"/>
      <c r="AS54" s="260"/>
      <c r="AT54" s="260"/>
      <c r="AU54" s="260"/>
      <c r="AV54" s="260"/>
      <c r="AW54" s="260"/>
      <c r="AX54" s="260"/>
      <c r="AY54" s="260"/>
      <c r="AZ54" s="260"/>
      <c r="BA54" s="260"/>
      <c r="BB54" s="260"/>
      <c r="BC54" s="260"/>
      <c r="BD54" s="260"/>
      <c r="BE54" s="260"/>
      <c r="BF54" s="260"/>
      <c r="BG54" s="260"/>
      <c r="BH54" s="260"/>
      <c r="BI54" s="260"/>
      <c r="BJ54" s="260"/>
      <c r="BK54" s="260"/>
      <c r="BL54" s="260"/>
      <c r="BM54" s="260"/>
    </row>
    <row r="56" spans="1:65" ht="15.75" thickBot="1">
      <c r="A56" s="265" t="s">
        <v>282</v>
      </c>
      <c r="B56" s="252"/>
      <c r="C56" s="252"/>
      <c r="D56" s="252"/>
      <c r="E56" s="252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  <c r="AA56" s="252"/>
      <c r="AB56" s="252"/>
      <c r="AC56" s="252"/>
      <c r="AD56" s="252"/>
      <c r="AE56" s="252"/>
      <c r="AF56" s="252"/>
      <c r="AG56" s="252"/>
      <c r="AH56" s="252"/>
      <c r="AI56" s="252"/>
      <c r="AJ56" s="252"/>
      <c r="AK56" s="252"/>
      <c r="AL56" s="252"/>
      <c r="AM56" s="252"/>
      <c r="AN56" s="252"/>
      <c r="AO56" s="252"/>
      <c r="AP56" s="252"/>
      <c r="AQ56" s="252"/>
      <c r="AR56" s="252"/>
      <c r="AS56" s="252"/>
      <c r="AT56" s="252"/>
      <c r="AU56" s="252"/>
      <c r="AV56" s="252"/>
      <c r="AW56" s="252"/>
      <c r="AX56" s="252"/>
      <c r="AY56" s="252"/>
      <c r="AZ56" s="252"/>
      <c r="BA56" s="252"/>
      <c r="BB56" s="252"/>
      <c r="BC56" s="252"/>
      <c r="BD56" s="252"/>
      <c r="BE56" s="252"/>
      <c r="BF56" s="252"/>
      <c r="BG56" s="252"/>
      <c r="BH56" s="252"/>
      <c r="BI56" s="252"/>
      <c r="BJ56" s="252"/>
      <c r="BK56" s="252"/>
      <c r="BL56" s="252"/>
      <c r="BM56" s="252"/>
    </row>
    <row r="57" spans="1:65" ht="14.25" thickBot="1">
      <c r="A57" s="266"/>
      <c r="B57" s="266" t="str">
        <f t="shared" ref="B57:AY57" si="24">B2</f>
        <v>74/75</v>
      </c>
      <c r="C57" s="266" t="str">
        <f t="shared" si="24"/>
        <v xml:space="preserve">75/76 </v>
      </c>
      <c r="D57" s="266" t="str">
        <f t="shared" si="24"/>
        <v xml:space="preserve">76/77 </v>
      </c>
      <c r="E57" s="266" t="str">
        <f t="shared" si="24"/>
        <v xml:space="preserve">77/78 </v>
      </c>
      <c r="F57" s="266" t="str">
        <f t="shared" si="24"/>
        <v xml:space="preserve">78/79 </v>
      </c>
      <c r="G57" s="266" t="str">
        <f t="shared" si="24"/>
        <v xml:space="preserve">79/80 </v>
      </c>
      <c r="H57" s="266" t="str">
        <f t="shared" si="24"/>
        <v xml:space="preserve">80/81 </v>
      </c>
      <c r="I57" s="266" t="str">
        <f t="shared" si="24"/>
        <v xml:space="preserve">81/82 </v>
      </c>
      <c r="J57" s="266" t="str">
        <f t="shared" si="24"/>
        <v xml:space="preserve">82/83 </v>
      </c>
      <c r="K57" s="266" t="str">
        <f t="shared" si="24"/>
        <v xml:space="preserve">83/84 </v>
      </c>
      <c r="L57" s="266" t="str">
        <f t="shared" si="24"/>
        <v xml:space="preserve">84/85 </v>
      </c>
      <c r="M57" s="266" t="str">
        <f t="shared" si="24"/>
        <v xml:space="preserve">85/86 </v>
      </c>
      <c r="N57" s="266" t="str">
        <f t="shared" si="24"/>
        <v xml:space="preserve">86/87 </v>
      </c>
      <c r="O57" s="266" t="str">
        <f t="shared" si="24"/>
        <v xml:space="preserve">87/88 </v>
      </c>
      <c r="P57" s="266" t="str">
        <f t="shared" si="24"/>
        <v xml:space="preserve">88/89 </v>
      </c>
      <c r="Q57" s="266" t="str">
        <f t="shared" si="24"/>
        <v xml:space="preserve">89/90 </v>
      </c>
      <c r="R57" s="266" t="str">
        <f t="shared" si="24"/>
        <v xml:space="preserve">90/91 </v>
      </c>
      <c r="S57" s="266" t="str">
        <f t="shared" si="24"/>
        <v xml:space="preserve">91/92 </v>
      </c>
      <c r="T57" s="266" t="str">
        <f t="shared" si="24"/>
        <v xml:space="preserve">92/93 </v>
      </c>
      <c r="U57" s="266" t="str">
        <f t="shared" si="24"/>
        <v xml:space="preserve">93/94 </v>
      </c>
      <c r="V57" s="266" t="str">
        <f t="shared" si="24"/>
        <v xml:space="preserve">94/95 </v>
      </c>
      <c r="W57" s="266" t="str">
        <f t="shared" si="24"/>
        <v xml:space="preserve">95/96 </v>
      </c>
      <c r="X57" s="266" t="str">
        <f t="shared" si="24"/>
        <v xml:space="preserve">96/97 </v>
      </c>
      <c r="Y57" s="266" t="str">
        <f t="shared" si="24"/>
        <v xml:space="preserve">97/98 </v>
      </c>
      <c r="Z57" s="266" t="str">
        <f t="shared" si="24"/>
        <v xml:space="preserve">98/99 </v>
      </c>
      <c r="AA57" s="266" t="str">
        <f t="shared" si="24"/>
        <v xml:space="preserve">99/00 </v>
      </c>
      <c r="AB57" s="266" t="str">
        <f t="shared" si="24"/>
        <v xml:space="preserve">00/01 </v>
      </c>
      <c r="AC57" s="266" t="str">
        <f t="shared" si="24"/>
        <v xml:space="preserve">01/02 </v>
      </c>
      <c r="AD57" s="266" t="str">
        <f t="shared" si="24"/>
        <v xml:space="preserve">02/03 </v>
      </c>
      <c r="AE57" s="266" t="str">
        <f t="shared" si="24"/>
        <v xml:space="preserve">03/04 </v>
      </c>
      <c r="AF57" s="266" t="str">
        <f t="shared" si="24"/>
        <v xml:space="preserve">04/05 </v>
      </c>
      <c r="AG57" s="266" t="str">
        <f t="shared" si="24"/>
        <v xml:space="preserve">05/06 </v>
      </c>
      <c r="AH57" s="266" t="str">
        <f t="shared" si="24"/>
        <v xml:space="preserve">06/07 </v>
      </c>
      <c r="AI57" s="266" t="str">
        <f t="shared" si="24"/>
        <v xml:space="preserve">07/08 </v>
      </c>
      <c r="AJ57" s="266" t="str">
        <f t="shared" si="24"/>
        <v xml:space="preserve">08/09 </v>
      </c>
      <c r="AK57" s="266" t="str">
        <f t="shared" si="24"/>
        <v xml:space="preserve">09/10 </v>
      </c>
      <c r="AL57" s="266" t="str">
        <f t="shared" si="24"/>
        <v xml:space="preserve">11/12 </v>
      </c>
      <c r="AM57" s="266" t="str">
        <f t="shared" si="24"/>
        <v xml:space="preserve">12/13 </v>
      </c>
      <c r="AN57" s="266" t="str">
        <f t="shared" si="24"/>
        <v xml:space="preserve">13/14 </v>
      </c>
      <c r="AO57" s="266" t="str">
        <f t="shared" si="24"/>
        <v xml:space="preserve">14/15 </v>
      </c>
      <c r="AP57" s="266" t="str">
        <f t="shared" si="24"/>
        <v xml:space="preserve">15/16 </v>
      </c>
      <c r="AQ57" s="266" t="str">
        <f t="shared" si="24"/>
        <v xml:space="preserve">16/17 </v>
      </c>
      <c r="AR57" s="266" t="str">
        <f t="shared" si="24"/>
        <v xml:space="preserve">17/18 </v>
      </c>
      <c r="AS57" s="266" t="str">
        <f t="shared" si="24"/>
        <v xml:space="preserve">18/19 </v>
      </c>
      <c r="AT57" s="266" t="str">
        <f t="shared" si="24"/>
        <v>19/20</v>
      </c>
      <c r="AU57" s="266" t="str">
        <f t="shared" si="24"/>
        <v>20/21</v>
      </c>
      <c r="AV57" s="266" t="str">
        <f t="shared" si="24"/>
        <v>21/22</v>
      </c>
      <c r="AW57" s="266" t="str">
        <f t="shared" si="24"/>
        <v>22/23</v>
      </c>
      <c r="AX57" s="266" t="str">
        <f t="shared" si="24"/>
        <v>23/24</v>
      </c>
      <c r="AY57" s="266" t="str">
        <f t="shared" si="24"/>
        <v>24/25</v>
      </c>
      <c r="AZ57" s="266" t="str">
        <f>AZ2</f>
        <v>25/26</v>
      </c>
      <c r="BA57" s="266" t="str">
        <f t="shared" ref="BA57:BM57" si="25">BA2</f>
        <v>26/27</v>
      </c>
      <c r="BB57" s="266" t="str">
        <f t="shared" si="25"/>
        <v>27/28</v>
      </c>
      <c r="BC57" s="266" t="str">
        <f t="shared" si="25"/>
        <v>28/29</v>
      </c>
      <c r="BD57" s="266" t="str">
        <f t="shared" si="25"/>
        <v>29/30</v>
      </c>
      <c r="BE57" s="266" t="str">
        <f t="shared" si="25"/>
        <v>30/31</v>
      </c>
      <c r="BF57" s="266" t="str">
        <f t="shared" si="25"/>
        <v>31/32</v>
      </c>
      <c r="BG57" s="266" t="str">
        <f t="shared" si="25"/>
        <v>32/33</v>
      </c>
      <c r="BH57" s="266" t="str">
        <f t="shared" si="25"/>
        <v>33/34</v>
      </c>
      <c r="BI57" s="266" t="str">
        <f t="shared" si="25"/>
        <v>34/35</v>
      </c>
      <c r="BJ57" s="266" t="str">
        <f t="shared" si="25"/>
        <v>35/36</v>
      </c>
      <c r="BK57" s="266" t="str">
        <f t="shared" si="25"/>
        <v>36/37</v>
      </c>
      <c r="BL57" s="266" t="str">
        <f t="shared" si="25"/>
        <v>37/38</v>
      </c>
      <c r="BM57" s="266" t="str">
        <f t="shared" si="25"/>
        <v>38/39</v>
      </c>
    </row>
    <row r="58" spans="1:65" ht="13.5">
      <c r="A58" s="252" t="s">
        <v>74</v>
      </c>
      <c r="B58" s="252"/>
      <c r="C58" s="252"/>
      <c r="D58" s="252"/>
      <c r="E58" s="252"/>
      <c r="F58" s="252"/>
      <c r="G58" s="252"/>
      <c r="H58" s="252"/>
      <c r="I58" s="252"/>
      <c r="J58" s="252"/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  <c r="AA58" s="252"/>
      <c r="AB58" s="252"/>
      <c r="AC58" s="252"/>
      <c r="AD58" s="252"/>
      <c r="AE58" s="252"/>
      <c r="AF58" s="252"/>
      <c r="AG58" s="252"/>
      <c r="AH58" s="252"/>
      <c r="AI58" s="252"/>
      <c r="AJ58" s="252"/>
      <c r="AK58" s="261"/>
      <c r="AL58" s="261"/>
      <c r="AM58" s="261"/>
      <c r="AN58" s="261"/>
      <c r="AO58" s="261"/>
      <c r="AP58" s="261"/>
      <c r="AQ58" s="261"/>
      <c r="AR58" s="261"/>
      <c r="AS58" s="261"/>
      <c r="AT58" s="261"/>
      <c r="AU58" s="261"/>
      <c r="AV58" s="261"/>
      <c r="AW58" s="261"/>
      <c r="AX58" s="261"/>
      <c r="AY58" s="262"/>
      <c r="AZ58" s="262"/>
      <c r="BA58" s="262"/>
      <c r="BB58" s="262"/>
      <c r="BC58" s="262"/>
      <c r="BD58" s="262"/>
      <c r="BE58" s="262"/>
      <c r="BF58" s="262"/>
      <c r="BG58" s="262"/>
      <c r="BH58" s="262"/>
      <c r="BI58" s="262"/>
      <c r="BJ58" s="262"/>
      <c r="BK58" s="262"/>
      <c r="BL58" s="262"/>
      <c r="BM58" s="262"/>
    </row>
    <row r="59" spans="1:65" ht="13.5">
      <c r="A59" s="252" t="s">
        <v>75</v>
      </c>
      <c r="B59" s="252"/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  <c r="AA59" s="252"/>
      <c r="AB59" s="252"/>
      <c r="AC59" s="252"/>
      <c r="AD59" s="252"/>
      <c r="AE59" s="252"/>
      <c r="AF59" s="252"/>
      <c r="AG59" s="252"/>
      <c r="AH59" s="252"/>
      <c r="AI59" s="252"/>
      <c r="AJ59" s="252"/>
      <c r="AK59" s="261"/>
      <c r="AL59" s="261"/>
      <c r="AM59" s="261"/>
      <c r="AN59" s="261"/>
      <c r="AO59" s="261"/>
      <c r="AP59" s="261"/>
      <c r="AQ59" s="261"/>
      <c r="AR59" s="261"/>
      <c r="AS59" s="261"/>
      <c r="AT59" s="261"/>
      <c r="AU59" s="261"/>
      <c r="AV59" s="261"/>
      <c r="AW59" s="261"/>
      <c r="AX59" s="261"/>
      <c r="AY59" s="262"/>
      <c r="AZ59" s="262"/>
      <c r="BA59" s="262"/>
      <c r="BB59" s="262"/>
      <c r="BC59" s="262"/>
      <c r="BD59" s="262"/>
      <c r="BE59" s="262"/>
      <c r="BF59" s="262"/>
      <c r="BG59" s="262"/>
      <c r="BH59" s="262"/>
      <c r="BI59" s="262"/>
      <c r="BJ59" s="262"/>
      <c r="BK59" s="262"/>
      <c r="BL59" s="262"/>
      <c r="BM59" s="262"/>
    </row>
    <row r="60" spans="1:65" ht="13.5">
      <c r="A60" s="252" t="s">
        <v>76</v>
      </c>
      <c r="B60" s="252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  <c r="AA60" s="252"/>
      <c r="AB60" s="252"/>
      <c r="AC60" s="252"/>
      <c r="AD60" s="252"/>
      <c r="AE60" s="252"/>
      <c r="AF60" s="252"/>
      <c r="AG60" s="252"/>
      <c r="AH60" s="252"/>
      <c r="AI60" s="252"/>
      <c r="AJ60" s="252"/>
      <c r="AK60" s="261"/>
      <c r="AL60" s="261"/>
      <c r="AM60" s="261"/>
      <c r="AN60" s="261"/>
      <c r="AO60" s="261"/>
      <c r="AP60" s="261"/>
      <c r="AQ60" s="261"/>
      <c r="AR60" s="261"/>
      <c r="AS60" s="261"/>
      <c r="AT60" s="261"/>
      <c r="AU60" s="261"/>
      <c r="AV60" s="261"/>
      <c r="AW60" s="261"/>
      <c r="AX60" s="261"/>
      <c r="AY60" s="262"/>
      <c r="AZ60" s="262"/>
      <c r="BA60" s="262"/>
      <c r="BB60" s="262"/>
      <c r="BC60" s="262"/>
      <c r="BD60" s="262"/>
      <c r="BE60" s="262"/>
      <c r="BF60" s="262"/>
      <c r="BG60" s="262"/>
      <c r="BH60" s="262"/>
      <c r="BI60" s="262"/>
      <c r="BJ60" s="262"/>
      <c r="BK60" s="262"/>
      <c r="BL60" s="262"/>
      <c r="BM60" s="262"/>
    </row>
    <row r="61" spans="1:65" ht="13.5">
      <c r="A61" s="252" t="s">
        <v>77</v>
      </c>
      <c r="B61" s="252"/>
      <c r="C61" s="252"/>
      <c r="D61" s="252"/>
      <c r="E61" s="252"/>
      <c r="F61" s="252"/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  <c r="AA61" s="252"/>
      <c r="AB61" s="252"/>
      <c r="AC61" s="252"/>
      <c r="AD61" s="252"/>
      <c r="AE61" s="252"/>
      <c r="AF61" s="252"/>
      <c r="AG61" s="252"/>
      <c r="AH61" s="252"/>
      <c r="AI61" s="252"/>
      <c r="AJ61" s="252"/>
      <c r="AK61" s="261"/>
      <c r="AL61" s="261"/>
      <c r="AM61" s="261"/>
      <c r="AN61" s="261"/>
      <c r="AO61" s="261"/>
      <c r="AP61" s="261"/>
      <c r="AQ61" s="261"/>
      <c r="AR61" s="261"/>
      <c r="AS61" s="261"/>
      <c r="AT61" s="261"/>
      <c r="AU61" s="261"/>
      <c r="AV61" s="261"/>
      <c r="AW61" s="261"/>
      <c r="AX61" s="261"/>
      <c r="AY61" s="262"/>
      <c r="AZ61" s="262"/>
      <c r="BA61" s="262"/>
      <c r="BB61" s="262"/>
      <c r="BC61" s="262"/>
      <c r="BD61" s="262"/>
      <c r="BE61" s="262"/>
      <c r="BF61" s="262"/>
      <c r="BG61" s="262"/>
      <c r="BH61" s="262"/>
      <c r="BI61" s="262"/>
      <c r="BJ61" s="262"/>
      <c r="BK61" s="262"/>
      <c r="BL61" s="262"/>
      <c r="BM61" s="262"/>
    </row>
    <row r="62" spans="1:65" ht="13.5">
      <c r="A62" s="252" t="s">
        <v>78</v>
      </c>
      <c r="B62" s="252"/>
      <c r="C62" s="252"/>
      <c r="D62" s="252"/>
      <c r="E62" s="252"/>
      <c r="F62" s="252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  <c r="AA62" s="252"/>
      <c r="AB62" s="252"/>
      <c r="AC62" s="252"/>
      <c r="AD62" s="252"/>
      <c r="AE62" s="252"/>
      <c r="AF62" s="252"/>
      <c r="AG62" s="252"/>
      <c r="AH62" s="252"/>
      <c r="AI62" s="252"/>
      <c r="AJ62" s="252"/>
      <c r="AK62" s="261"/>
      <c r="AL62" s="261"/>
      <c r="AM62" s="261"/>
      <c r="AN62" s="261"/>
      <c r="AO62" s="261"/>
      <c r="AP62" s="261"/>
      <c r="AQ62" s="261"/>
      <c r="AR62" s="261"/>
      <c r="AS62" s="261"/>
      <c r="AT62" s="261"/>
      <c r="AU62" s="261"/>
      <c r="AV62" s="261"/>
      <c r="AW62" s="261"/>
      <c r="AX62" s="261"/>
      <c r="AY62" s="262"/>
      <c r="AZ62" s="262"/>
      <c r="BA62" s="262"/>
      <c r="BB62" s="262"/>
      <c r="BC62" s="262"/>
      <c r="BD62" s="262"/>
      <c r="BE62" s="262"/>
      <c r="BF62" s="262"/>
      <c r="BG62" s="262"/>
      <c r="BH62" s="262"/>
      <c r="BI62" s="262"/>
      <c r="BJ62" s="262"/>
      <c r="BK62" s="262"/>
      <c r="BL62" s="262"/>
      <c r="BM62" s="262"/>
    </row>
    <row r="63" spans="1:65" ht="13.5">
      <c r="A63" s="252" t="s">
        <v>79</v>
      </c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  <c r="AA63" s="252"/>
      <c r="AB63" s="252"/>
      <c r="AC63" s="252"/>
      <c r="AD63" s="252"/>
      <c r="AE63" s="252"/>
      <c r="AF63" s="252"/>
      <c r="AG63" s="252"/>
      <c r="AH63" s="252"/>
      <c r="AI63" s="252"/>
      <c r="AJ63" s="252"/>
      <c r="AK63" s="261"/>
      <c r="AL63" s="261"/>
      <c r="AM63" s="261"/>
      <c r="AN63" s="261"/>
      <c r="AO63" s="261"/>
      <c r="AP63" s="261"/>
      <c r="AQ63" s="261"/>
      <c r="AR63" s="261"/>
      <c r="AS63" s="261"/>
      <c r="AT63" s="261"/>
      <c r="AU63" s="261"/>
      <c r="AV63" s="261"/>
      <c r="AW63" s="261"/>
      <c r="AX63" s="261"/>
      <c r="AY63" s="262"/>
      <c r="AZ63" s="262"/>
      <c r="BA63" s="262"/>
      <c r="BB63" s="262"/>
      <c r="BC63" s="262"/>
      <c r="BD63" s="262"/>
      <c r="BE63" s="262"/>
      <c r="BF63" s="262"/>
      <c r="BG63" s="262"/>
      <c r="BH63" s="262"/>
      <c r="BI63" s="262"/>
      <c r="BJ63" s="262"/>
      <c r="BK63" s="262"/>
      <c r="BL63" s="262"/>
      <c r="BM63" s="262"/>
    </row>
    <row r="64" spans="1:65" ht="13.5">
      <c r="A64" s="252" t="s">
        <v>80</v>
      </c>
      <c r="B64" s="252"/>
      <c r="C64" s="252"/>
      <c r="D64" s="252"/>
      <c r="E64" s="252"/>
      <c r="F64" s="252"/>
      <c r="G64" s="252"/>
      <c r="H64" s="252"/>
      <c r="I64" s="252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  <c r="AA64" s="252"/>
      <c r="AB64" s="252"/>
      <c r="AC64" s="252"/>
      <c r="AD64" s="252"/>
      <c r="AE64" s="252"/>
      <c r="AF64" s="252"/>
      <c r="AG64" s="252"/>
      <c r="AH64" s="252"/>
      <c r="AI64" s="252"/>
      <c r="AJ64" s="252"/>
      <c r="AK64" s="261"/>
      <c r="AL64" s="261"/>
      <c r="AM64" s="261"/>
      <c r="AN64" s="261"/>
      <c r="AO64" s="261"/>
      <c r="AP64" s="261"/>
      <c r="AQ64" s="261"/>
      <c r="AR64" s="261"/>
      <c r="AS64" s="261"/>
      <c r="AT64" s="261"/>
      <c r="AU64" s="261"/>
      <c r="AV64" s="261"/>
      <c r="AW64" s="261"/>
      <c r="AX64" s="261"/>
      <c r="AY64" s="262"/>
      <c r="AZ64" s="262"/>
      <c r="BA64" s="262"/>
      <c r="BB64" s="262"/>
      <c r="BC64" s="262"/>
      <c r="BD64" s="262"/>
      <c r="BE64" s="262"/>
      <c r="BF64" s="262"/>
      <c r="BG64" s="262"/>
      <c r="BH64" s="262"/>
      <c r="BI64" s="262"/>
      <c r="BJ64" s="262"/>
      <c r="BK64" s="262"/>
      <c r="BL64" s="262"/>
      <c r="BM64" s="262"/>
    </row>
    <row r="65" spans="1:65" ht="13.5">
      <c r="A65" s="252" t="s">
        <v>81</v>
      </c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  <c r="AA65" s="252"/>
      <c r="AB65" s="252"/>
      <c r="AC65" s="252"/>
      <c r="AD65" s="252"/>
      <c r="AE65" s="252"/>
      <c r="AF65" s="252"/>
      <c r="AG65" s="252"/>
      <c r="AH65" s="252"/>
      <c r="AI65" s="252"/>
      <c r="AJ65" s="252"/>
      <c r="AK65" s="261"/>
      <c r="AL65" s="261"/>
      <c r="AM65" s="261"/>
      <c r="AN65" s="261"/>
      <c r="AO65" s="261"/>
      <c r="AP65" s="261"/>
      <c r="AQ65" s="261"/>
      <c r="AR65" s="261"/>
      <c r="AS65" s="261"/>
      <c r="AT65" s="261"/>
      <c r="AU65" s="261"/>
      <c r="AV65" s="261"/>
      <c r="AW65" s="261"/>
      <c r="AX65" s="261"/>
      <c r="AY65" s="262"/>
      <c r="AZ65" s="262"/>
      <c r="BA65" s="262"/>
      <c r="BB65" s="262"/>
      <c r="BC65" s="262"/>
      <c r="BD65" s="262"/>
      <c r="BE65" s="262"/>
      <c r="BF65" s="262"/>
      <c r="BG65" s="262"/>
      <c r="BH65" s="262"/>
      <c r="BI65" s="262"/>
      <c r="BJ65" s="262"/>
      <c r="BK65" s="262"/>
      <c r="BL65" s="262"/>
      <c r="BM65" s="262"/>
    </row>
    <row r="66" spans="1:65" ht="13.5">
      <c r="A66" s="252" t="s">
        <v>82</v>
      </c>
      <c r="B66" s="252"/>
      <c r="C66" s="252"/>
      <c r="D66" s="252"/>
      <c r="E66" s="252"/>
      <c r="F66" s="252"/>
      <c r="G66" s="252"/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  <c r="AA66" s="252"/>
      <c r="AB66" s="252"/>
      <c r="AC66" s="252"/>
      <c r="AD66" s="252"/>
      <c r="AE66" s="252"/>
      <c r="AF66" s="252"/>
      <c r="AG66" s="252"/>
      <c r="AH66" s="252"/>
      <c r="AI66" s="252"/>
      <c r="AJ66" s="252"/>
      <c r="AK66" s="261"/>
      <c r="AL66" s="261"/>
      <c r="AM66" s="261"/>
      <c r="AN66" s="261"/>
      <c r="AO66" s="261"/>
      <c r="AP66" s="261"/>
      <c r="AQ66" s="261"/>
      <c r="AR66" s="261"/>
      <c r="AS66" s="261"/>
      <c r="AT66" s="261"/>
      <c r="AU66" s="261"/>
      <c r="AV66" s="261"/>
      <c r="AW66" s="261"/>
      <c r="AX66" s="261"/>
      <c r="AY66" s="262"/>
      <c r="AZ66" s="262"/>
      <c r="BA66" s="262"/>
      <c r="BB66" s="262"/>
      <c r="BC66" s="262"/>
      <c r="BD66" s="262"/>
      <c r="BE66" s="262"/>
      <c r="BF66" s="262"/>
      <c r="BG66" s="262"/>
      <c r="BH66" s="262"/>
      <c r="BI66" s="262"/>
      <c r="BJ66" s="262"/>
      <c r="BK66" s="262"/>
      <c r="BL66" s="262"/>
      <c r="BM66" s="262"/>
    </row>
    <row r="67" spans="1:65" ht="13.5">
      <c r="A67" s="252" t="s">
        <v>83</v>
      </c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2"/>
      <c r="AB67" s="252"/>
      <c r="AC67" s="252"/>
      <c r="AD67" s="252"/>
      <c r="AE67" s="252"/>
      <c r="AF67" s="252"/>
      <c r="AG67" s="252"/>
      <c r="AH67" s="252"/>
      <c r="AI67" s="252"/>
      <c r="AJ67" s="252"/>
      <c r="AK67" s="261"/>
      <c r="AL67" s="261"/>
      <c r="AM67" s="261"/>
      <c r="AN67" s="261"/>
      <c r="AO67" s="261"/>
      <c r="AP67" s="261"/>
      <c r="AQ67" s="261"/>
      <c r="AR67" s="261"/>
      <c r="AS67" s="261"/>
      <c r="AT67" s="261"/>
      <c r="AU67" s="261"/>
      <c r="AV67" s="261"/>
      <c r="AW67" s="261"/>
      <c r="AX67" s="261"/>
      <c r="AY67" s="262"/>
      <c r="AZ67" s="262"/>
      <c r="BA67" s="262"/>
      <c r="BB67" s="262"/>
      <c r="BC67" s="262"/>
      <c r="BD67" s="262"/>
      <c r="BE67" s="262"/>
      <c r="BF67" s="262"/>
      <c r="BG67" s="262"/>
      <c r="BH67" s="262"/>
      <c r="BI67" s="262"/>
      <c r="BJ67" s="262"/>
      <c r="BK67" s="262"/>
      <c r="BL67" s="262"/>
      <c r="BM67" s="262"/>
    </row>
    <row r="68" spans="1:65" ht="13.5">
      <c r="A68" s="252" t="s">
        <v>84</v>
      </c>
      <c r="B68" s="252"/>
      <c r="C68" s="252"/>
      <c r="D68" s="252"/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  <c r="AA68" s="252"/>
      <c r="AB68" s="252"/>
      <c r="AC68" s="252"/>
      <c r="AD68" s="252"/>
      <c r="AE68" s="252"/>
      <c r="AF68" s="252"/>
      <c r="AG68" s="252"/>
      <c r="AH68" s="252"/>
      <c r="AI68" s="252"/>
      <c r="AJ68" s="252"/>
      <c r="AK68" s="261"/>
      <c r="AL68" s="261"/>
      <c r="AM68" s="261"/>
      <c r="AN68" s="261"/>
      <c r="AO68" s="261"/>
      <c r="AP68" s="261"/>
      <c r="AQ68" s="261"/>
      <c r="AR68" s="261"/>
      <c r="AS68" s="261"/>
      <c r="AT68" s="261"/>
      <c r="AU68" s="261"/>
      <c r="AV68" s="261"/>
      <c r="AW68" s="261"/>
      <c r="AX68" s="262"/>
      <c r="AY68" s="262"/>
      <c r="AZ68" s="262"/>
      <c r="BA68" s="262"/>
      <c r="BB68" s="262"/>
      <c r="BC68" s="262"/>
      <c r="BD68" s="262"/>
      <c r="BE68" s="262"/>
      <c r="BF68" s="262"/>
      <c r="BG68" s="262"/>
      <c r="BH68" s="262"/>
      <c r="BI68" s="262"/>
      <c r="BJ68" s="262"/>
      <c r="BK68" s="262"/>
      <c r="BL68" s="262"/>
      <c r="BM68" s="262"/>
    </row>
    <row r="69" spans="1:65" ht="13.5">
      <c r="A69" s="252" t="s">
        <v>73</v>
      </c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  <c r="AA69" s="252"/>
      <c r="AB69" s="252"/>
      <c r="AC69" s="252"/>
      <c r="AD69" s="252"/>
      <c r="AE69" s="252"/>
      <c r="AF69" s="252"/>
      <c r="AG69" s="252"/>
      <c r="AH69" s="252"/>
      <c r="AI69" s="252"/>
      <c r="AJ69" s="252"/>
      <c r="AK69" s="261"/>
      <c r="AL69" s="261"/>
      <c r="AM69" s="261"/>
      <c r="AN69" s="261"/>
      <c r="AO69" s="261"/>
      <c r="AP69" s="261"/>
      <c r="AQ69" s="261"/>
      <c r="AR69" s="261"/>
      <c r="AS69" s="261"/>
      <c r="AT69" s="261"/>
      <c r="AU69" s="261"/>
      <c r="AV69" s="261"/>
      <c r="AW69" s="261"/>
      <c r="AX69" s="262"/>
      <c r="AY69" s="262"/>
      <c r="AZ69" s="262"/>
      <c r="BA69" s="262"/>
      <c r="BB69" s="262"/>
      <c r="BC69" s="262"/>
      <c r="BD69" s="262"/>
      <c r="BE69" s="262"/>
      <c r="BF69" s="262"/>
      <c r="BG69" s="262"/>
      <c r="BH69" s="262"/>
      <c r="BI69" s="262"/>
      <c r="BJ69" s="262"/>
      <c r="BK69" s="262"/>
      <c r="BL69" s="262"/>
      <c r="BM69" s="262"/>
    </row>
    <row r="70" spans="1:65" ht="14.25" thickBot="1">
      <c r="A70" s="252" t="s">
        <v>283</v>
      </c>
      <c r="B70" s="252"/>
      <c r="C70" s="252"/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  <c r="AA70" s="252"/>
      <c r="AB70" s="252"/>
      <c r="AC70" s="252"/>
      <c r="AD70" s="252"/>
      <c r="AE70" s="252"/>
      <c r="AF70" s="252"/>
      <c r="AG70" s="252"/>
      <c r="AH70" s="252"/>
      <c r="AI70" s="252"/>
      <c r="AJ70" s="252"/>
      <c r="AK70" s="261"/>
      <c r="AL70" s="261"/>
      <c r="AM70" s="261"/>
      <c r="AN70" s="261"/>
      <c r="AO70" s="261"/>
      <c r="AP70" s="261"/>
      <c r="AQ70" s="261"/>
      <c r="AR70" s="261"/>
      <c r="AS70" s="261"/>
      <c r="AT70" s="261"/>
      <c r="AU70" s="261"/>
      <c r="AV70" s="261"/>
      <c r="AW70" s="261"/>
      <c r="AX70" s="262"/>
      <c r="AY70" s="262"/>
      <c r="AZ70" s="262"/>
      <c r="BA70" s="262"/>
      <c r="BB70" s="262"/>
      <c r="BC70" s="262"/>
      <c r="BD70" s="262"/>
      <c r="BE70" s="262"/>
      <c r="BF70" s="262"/>
      <c r="BG70" s="262"/>
      <c r="BH70" s="262"/>
      <c r="BI70" s="262"/>
      <c r="BJ70" s="262"/>
      <c r="BK70" s="262"/>
      <c r="BL70" s="262"/>
      <c r="BM70" s="262"/>
    </row>
    <row r="71" spans="1:65" ht="13.5">
      <c r="A71" s="260"/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60"/>
      <c r="X71" s="260"/>
      <c r="Y71" s="260"/>
      <c r="Z71" s="260"/>
      <c r="AA71" s="260"/>
      <c r="AB71" s="260"/>
      <c r="AC71" s="260"/>
      <c r="AD71" s="260"/>
      <c r="AE71" s="260"/>
      <c r="AF71" s="260"/>
      <c r="AG71" s="260"/>
      <c r="AH71" s="260"/>
      <c r="AI71" s="260"/>
      <c r="AJ71" s="260"/>
      <c r="AK71" s="260"/>
      <c r="AL71" s="260"/>
      <c r="AM71" s="260"/>
      <c r="AN71" s="260"/>
      <c r="AO71" s="260"/>
      <c r="AP71" s="260"/>
      <c r="AQ71" s="260"/>
      <c r="AR71" s="260"/>
      <c r="AS71" s="260"/>
      <c r="AT71" s="260"/>
      <c r="AU71" s="260"/>
      <c r="AV71" s="260"/>
      <c r="AW71" s="260"/>
      <c r="AX71" s="260"/>
      <c r="AY71" s="260"/>
      <c r="AZ71" s="260"/>
      <c r="BA71" s="260"/>
      <c r="BB71" s="260"/>
      <c r="BC71" s="260"/>
      <c r="BD71" s="260"/>
      <c r="BE71" s="260"/>
      <c r="BF71" s="260"/>
      <c r="BG71" s="260"/>
      <c r="BH71" s="260"/>
      <c r="BI71" s="260"/>
      <c r="BJ71" s="260"/>
      <c r="BK71" s="260"/>
      <c r="BL71" s="260"/>
      <c r="BM71" s="26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D7D8-E036-4384-A153-552B28BA0C70}">
  <sheetPr>
    <tabColor rgb="FF92D050"/>
  </sheetPr>
  <dimension ref="A1:AX71"/>
  <sheetViews>
    <sheetView zoomScale="110" zoomScaleNormal="110" workbookViewId="0">
      <pane xSplit="1" ySplit="2" topLeftCell="AN3" activePane="bottomRight" state="frozen"/>
      <selection activeCell="P12" sqref="P12"/>
      <selection pane="topRight" activeCell="P12" sqref="P12"/>
      <selection pane="bottomLeft" activeCell="P12" sqref="P12"/>
      <selection pane="bottomRight" activeCell="P12" sqref="P12"/>
    </sheetView>
  </sheetViews>
  <sheetFormatPr defaultColWidth="9.140625" defaultRowHeight="12.75"/>
  <cols>
    <col min="1" max="1" width="27.42578125" style="3" customWidth="1"/>
    <col min="2" max="34" width="8" style="3" customWidth="1"/>
    <col min="35" max="42" width="10" style="3" customWidth="1"/>
    <col min="43" max="43" width="9.140625" style="3"/>
    <col min="44" max="44" width="15.42578125" style="3" bestFit="1" customWidth="1"/>
    <col min="45" max="16384" width="9.140625" style="3"/>
  </cols>
  <sheetData>
    <row r="1" spans="1:50" ht="18.75" thickBot="1">
      <c r="A1" s="64" t="s">
        <v>284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</row>
    <row r="2" spans="1:50" ht="17.25" thickBot="1">
      <c r="A2" s="65" t="s">
        <v>42</v>
      </c>
      <c r="B2" s="66" t="str">
        <f>China!L2</f>
        <v xml:space="preserve">85/86 </v>
      </c>
      <c r="C2" s="66" t="str">
        <f>China!M2</f>
        <v xml:space="preserve">86/87 </v>
      </c>
      <c r="D2" s="66" t="str">
        <f>China!N2</f>
        <v xml:space="preserve">87/88 </v>
      </c>
      <c r="E2" s="66" t="str">
        <f>China!O2</f>
        <v xml:space="preserve">88/89 </v>
      </c>
      <c r="F2" s="66" t="str">
        <f>China!P2</f>
        <v xml:space="preserve">89/90 </v>
      </c>
      <c r="G2" s="66" t="str">
        <f>China!Q2</f>
        <v xml:space="preserve">90/91 </v>
      </c>
      <c r="H2" s="66" t="str">
        <f>China!R2</f>
        <v xml:space="preserve">91/92 </v>
      </c>
      <c r="I2" s="66" t="str">
        <f>China!S2</f>
        <v xml:space="preserve">92/93 </v>
      </c>
      <c r="J2" s="66" t="str">
        <f>China!T2</f>
        <v xml:space="preserve">93/94 </v>
      </c>
      <c r="K2" s="66" t="str">
        <f>China!U2</f>
        <v xml:space="preserve">94/95 </v>
      </c>
      <c r="L2" s="66" t="str">
        <f>China!V2</f>
        <v xml:space="preserve">95/96 </v>
      </c>
      <c r="M2" s="66" t="str">
        <f>China!W2</f>
        <v xml:space="preserve">96/97 </v>
      </c>
      <c r="N2" s="66" t="str">
        <f>China!X2</f>
        <v xml:space="preserve">97/98 </v>
      </c>
      <c r="O2" s="66" t="str">
        <f>China!Y2</f>
        <v xml:space="preserve">98/99 </v>
      </c>
      <c r="P2" s="66" t="str">
        <f>China!Z2</f>
        <v xml:space="preserve">99/00 </v>
      </c>
      <c r="Q2" s="66" t="str">
        <f>China!AA2</f>
        <v xml:space="preserve">00/01 </v>
      </c>
      <c r="R2" s="66" t="str">
        <f>China!AB2</f>
        <v xml:space="preserve">01/02 </v>
      </c>
      <c r="S2" s="66" t="str">
        <f>China!AC2</f>
        <v xml:space="preserve">02/03 </v>
      </c>
      <c r="T2" s="66" t="str">
        <f>China!AD2</f>
        <v xml:space="preserve">03/04 </v>
      </c>
      <c r="U2" s="66" t="str">
        <f>China!AE2</f>
        <v xml:space="preserve">04/05 </v>
      </c>
      <c r="V2" s="66" t="str">
        <f>China!AF2</f>
        <v xml:space="preserve">05/06 </v>
      </c>
      <c r="W2" s="66" t="str">
        <f>China!AG2</f>
        <v xml:space="preserve">06/07 </v>
      </c>
      <c r="X2" s="66" t="str">
        <f>China!AH2</f>
        <v xml:space="preserve">07/08 </v>
      </c>
      <c r="Y2" s="66" t="str">
        <f>China!AI2</f>
        <v xml:space="preserve">08/09 </v>
      </c>
      <c r="Z2" s="66" t="str">
        <f>China!AJ2</f>
        <v xml:space="preserve">09/10 </v>
      </c>
      <c r="AA2" s="66" t="str">
        <f>China!AK2</f>
        <v xml:space="preserve">10/11 </v>
      </c>
      <c r="AB2" s="66" t="s">
        <v>54</v>
      </c>
      <c r="AC2" s="66" t="s">
        <v>55</v>
      </c>
      <c r="AD2" s="66" t="s">
        <v>56</v>
      </c>
      <c r="AE2" s="66" t="s">
        <v>57</v>
      </c>
      <c r="AF2" s="66" t="s">
        <v>58</v>
      </c>
      <c r="AG2" s="66" t="s">
        <v>59</v>
      </c>
      <c r="AH2" s="66" t="s">
        <v>60</v>
      </c>
      <c r="AI2" s="66" t="s">
        <v>61</v>
      </c>
      <c r="AJ2" s="66" t="s">
        <v>62</v>
      </c>
      <c r="AK2" s="66" t="s">
        <v>63</v>
      </c>
      <c r="AL2" s="66" t="s">
        <v>64</v>
      </c>
      <c r="AM2" s="66" t="s">
        <v>65</v>
      </c>
      <c r="AN2" s="66" t="s">
        <v>2</v>
      </c>
      <c r="AO2" s="66" t="s">
        <v>3</v>
      </c>
      <c r="AP2" s="66" t="s">
        <v>4</v>
      </c>
    </row>
    <row r="3" spans="1:50" ht="16.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8">
        <v>1999</v>
      </c>
      <c r="Q3" s="68">
        <v>2000</v>
      </c>
      <c r="R3" s="68">
        <v>2001</v>
      </c>
      <c r="S3" s="68">
        <v>2002</v>
      </c>
      <c r="T3" s="68">
        <v>2003</v>
      </c>
      <c r="U3" s="68">
        <v>2004</v>
      </c>
      <c r="V3" s="68">
        <v>2005</v>
      </c>
      <c r="W3" s="68">
        <v>2006</v>
      </c>
      <c r="X3" s="68">
        <v>2007</v>
      </c>
      <c r="Y3" s="68">
        <v>2008</v>
      </c>
      <c r="Z3" s="68">
        <v>2009</v>
      </c>
      <c r="AA3" s="68">
        <v>2010</v>
      </c>
      <c r="AB3" s="68">
        <v>2011</v>
      </c>
      <c r="AC3" s="68">
        <v>2012</v>
      </c>
      <c r="AD3" s="68">
        <v>2013</v>
      </c>
      <c r="AE3" s="68">
        <v>2014</v>
      </c>
      <c r="AF3" s="68">
        <v>2015</v>
      </c>
      <c r="AG3" s="68">
        <v>2016</v>
      </c>
      <c r="AH3" s="68">
        <v>2017</v>
      </c>
      <c r="AI3" s="68">
        <v>2018</v>
      </c>
      <c r="AJ3" s="68">
        <v>2019</v>
      </c>
      <c r="AK3" s="68">
        <v>2020</v>
      </c>
      <c r="AL3" s="68">
        <v>2021</v>
      </c>
      <c r="AM3" s="68">
        <v>2022</v>
      </c>
      <c r="AN3" s="68">
        <v>2023</v>
      </c>
      <c r="AO3" s="68">
        <v>2024</v>
      </c>
      <c r="AP3" s="68">
        <v>2025</v>
      </c>
    </row>
    <row r="4" spans="1:50" ht="15.75">
      <c r="A4" s="69" t="s">
        <v>9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70">
        <v>2.7363</v>
      </c>
      <c r="AB4" s="70">
        <v>3.6261999999999999</v>
      </c>
      <c r="AC4" s="70">
        <v>4.7195</v>
      </c>
      <c r="AD4" s="70">
        <v>4.9132999999999996</v>
      </c>
      <c r="AE4" s="70">
        <v>4.7145999999999999</v>
      </c>
      <c r="AF4" s="199">
        <v>4.1374000000000004</v>
      </c>
      <c r="AG4" s="70">
        <v>4.2576999999999998</v>
      </c>
      <c r="AH4" s="70">
        <v>4.5223999999999993</v>
      </c>
      <c r="AI4" s="70">
        <v>4.5808</v>
      </c>
      <c r="AJ4" s="70">
        <v>4.9738999999999995</v>
      </c>
      <c r="AK4" s="216">
        <v>5.4512999999999998</v>
      </c>
      <c r="AL4" s="216">
        <v>5.4748000000000001</v>
      </c>
      <c r="AM4" s="70">
        <v>4.3</v>
      </c>
      <c r="AN4" s="70">
        <v>4.1127000000000002</v>
      </c>
      <c r="AO4" s="99">
        <v>4.0204008156666671</v>
      </c>
      <c r="AP4" s="99">
        <f>FORECAST(AP3,AF4:AO4,AF3:AO3)</f>
        <v>4.5824536595999996</v>
      </c>
      <c r="AR4" s="71" t="s">
        <v>285</v>
      </c>
    </row>
    <row r="5" spans="1:50" ht="15.75">
      <c r="A5" s="69" t="s">
        <v>10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70">
        <v>2.6480000000000001</v>
      </c>
      <c r="AB5" s="70">
        <v>3.544</v>
      </c>
      <c r="AC5" s="70">
        <v>4.37</v>
      </c>
      <c r="AD5" s="70">
        <v>4.8250000000000002</v>
      </c>
      <c r="AE5" s="70">
        <v>4.625</v>
      </c>
      <c r="AF5" s="70">
        <v>4.085</v>
      </c>
      <c r="AG5" s="70">
        <v>4.2389999999999999</v>
      </c>
      <c r="AH5" s="70">
        <v>4.4329999999999998</v>
      </c>
      <c r="AI5" s="70">
        <v>4.5670000000000002</v>
      </c>
      <c r="AJ5" s="70">
        <f>AVERAGE(AE7:AI7)*AJ4</f>
        <v>4.8758989424393677</v>
      </c>
      <c r="AK5" s="70">
        <v>5.3949999999999996</v>
      </c>
      <c r="AL5" s="70">
        <f>AVERAGE(AG7:AK7)*AL4</f>
        <v>5.4121641767307134</v>
      </c>
      <c r="AM5" s="70">
        <v>4.05</v>
      </c>
      <c r="AN5" s="70">
        <f>AVERAGE(AI7:AM7)*AN4</f>
        <v>4.0282878744455388</v>
      </c>
      <c r="AO5" s="217">
        <f>AVERAGE(AJ7:AN7)*AO4</f>
        <v>3.9238019170233889</v>
      </c>
      <c r="AP5" s="99">
        <f>AVERAGE(AK7:AO7)*AP4</f>
        <v>4.4683871998889373</v>
      </c>
    </row>
    <row r="6" spans="1:50" ht="15.75">
      <c r="A6" s="72" t="s">
        <v>11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3">
        <f t="shared" ref="AA6:AN6" si="0">AA9/AA5</f>
        <v>4.5011329305135952</v>
      </c>
      <c r="AB6" s="73">
        <f t="shared" si="0"/>
        <v>6.4441309255079009</v>
      </c>
      <c r="AC6" s="73">
        <f t="shared" si="0"/>
        <v>4.7876430205949658</v>
      </c>
      <c r="AD6" s="73">
        <f t="shared" si="0"/>
        <v>6.4041450777202069</v>
      </c>
      <c r="AE6" s="73">
        <f t="shared" si="0"/>
        <v>6.1513513513513516</v>
      </c>
      <c r="AF6" s="73">
        <f t="shared" si="0"/>
        <v>5.7118727050183598</v>
      </c>
      <c r="AG6" s="73">
        <f t="shared" si="0"/>
        <v>6.5980184005661719</v>
      </c>
      <c r="AH6" s="73">
        <f t="shared" si="0"/>
        <v>5.4398826979472137</v>
      </c>
      <c r="AI6" s="73">
        <f t="shared" si="0"/>
        <v>7.8399386906065249</v>
      </c>
      <c r="AJ6" s="73">
        <f t="shared" si="0"/>
        <v>7.3600787103364498</v>
      </c>
      <c r="AK6" s="73">
        <f t="shared" si="0"/>
        <v>5.6157553290083415</v>
      </c>
      <c r="AL6" s="73">
        <f t="shared" si="0"/>
        <v>7.7835776270642887</v>
      </c>
      <c r="AM6" s="73">
        <f t="shared" si="0"/>
        <v>6.666666666666667</v>
      </c>
      <c r="AN6" s="73">
        <f t="shared" si="0"/>
        <v>7.894172658744508</v>
      </c>
      <c r="AO6" s="100">
        <v>6.2928899999999999</v>
      </c>
      <c r="AP6" s="100">
        <f>FORECAST(AP3,AA6:AO6,AA3:AO3)-1</f>
        <v>6.4828535731728039</v>
      </c>
    </row>
    <row r="7" spans="1:50" ht="15.75">
      <c r="A7" s="74" t="s">
        <v>66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5">
        <f t="shared" ref="AA7:AP7" si="1">AA5/AA4</f>
        <v>0.96773014654825862</v>
      </c>
      <c r="AB7" s="75">
        <f t="shared" si="1"/>
        <v>0.97733164193922017</v>
      </c>
      <c r="AC7" s="75">
        <f t="shared" si="1"/>
        <v>0.9259455450789279</v>
      </c>
      <c r="AD7" s="75">
        <f t="shared" si="1"/>
        <v>0.98202837196995918</v>
      </c>
      <c r="AE7" s="75">
        <f>AE5/AD4</f>
        <v>0.94132253271731836</v>
      </c>
      <c r="AF7" s="75">
        <f>AF5/AF4</f>
        <v>0.98733504133030392</v>
      </c>
      <c r="AG7" s="75">
        <f t="shared" si="1"/>
        <v>0.99560795734786389</v>
      </c>
      <c r="AH7" s="75">
        <f t="shared" si="1"/>
        <v>0.9802317353617549</v>
      </c>
      <c r="AI7" s="75">
        <f t="shared" si="1"/>
        <v>0.99698742577715682</v>
      </c>
      <c r="AJ7" s="75">
        <f t="shared" si="1"/>
        <v>0.9802969385068796</v>
      </c>
      <c r="AK7" s="75">
        <f t="shared" si="1"/>
        <v>0.98967218828536307</v>
      </c>
      <c r="AL7" s="75">
        <f t="shared" si="1"/>
        <v>0.9885592490558035</v>
      </c>
      <c r="AM7" s="75">
        <f t="shared" si="1"/>
        <v>0.94186046511627908</v>
      </c>
      <c r="AN7" s="75">
        <f t="shared" si="1"/>
        <v>0.97947525334829644</v>
      </c>
      <c r="AO7" s="102">
        <f t="shared" si="1"/>
        <v>0.97597281886252429</v>
      </c>
      <c r="AP7" s="102">
        <f t="shared" si="1"/>
        <v>0.9751079949336533</v>
      </c>
      <c r="AS7" s="144">
        <f>AI4/AI5-1</f>
        <v>3.0216772498357081E-3</v>
      </c>
      <c r="AT7" s="144">
        <f>AJ4/AJ5-1</f>
        <v>2.0099074799856842E-2</v>
      </c>
      <c r="AU7" s="144">
        <f t="shared" ref="AU7:AX7" si="2">AK4/AK5-1</f>
        <v>1.0435588507877736E-2</v>
      </c>
      <c r="AV7" s="144">
        <f t="shared" si="2"/>
        <v>1.1573156545876095E-2</v>
      </c>
      <c r="AW7" s="144">
        <f t="shared" si="2"/>
        <v>6.1728395061728447E-2</v>
      </c>
      <c r="AX7" s="144">
        <f t="shared" si="2"/>
        <v>2.095483942196652E-2</v>
      </c>
    </row>
    <row r="8" spans="1:50" ht="15.75">
      <c r="A8" s="69" t="s">
        <v>286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80">
        <v>0.67200000000000004</v>
      </c>
      <c r="AB8" s="80">
        <f>AA17</f>
        <v>0.52100000000000002</v>
      </c>
      <c r="AC8" s="80">
        <f t="shared" ref="AC8:AP8" si="3">AB17</f>
        <v>1.3</v>
      </c>
      <c r="AD8" s="80">
        <f t="shared" si="3"/>
        <v>0.94</v>
      </c>
      <c r="AE8" s="80">
        <f t="shared" si="3"/>
        <v>1.302</v>
      </c>
      <c r="AF8" s="80">
        <f t="shared" si="3"/>
        <v>1.5189999999999999</v>
      </c>
      <c r="AG8" s="80">
        <f t="shared" si="3"/>
        <v>1.4350000000000001</v>
      </c>
      <c r="AH8" s="80">
        <f t="shared" si="3"/>
        <v>1.599</v>
      </c>
      <c r="AI8" s="80">
        <f t="shared" si="3"/>
        <v>1.5669999999999999</v>
      </c>
      <c r="AJ8" s="80">
        <f t="shared" si="3"/>
        <v>0.89100000000000001</v>
      </c>
      <c r="AK8" s="80">
        <f t="shared" si="3"/>
        <v>1.478</v>
      </c>
      <c r="AL8" s="80">
        <f t="shared" si="3"/>
        <v>0.83199999999999996</v>
      </c>
      <c r="AM8" s="80">
        <f t="shared" si="3"/>
        <v>7.7960000000000003</v>
      </c>
      <c r="AN8" s="80">
        <f t="shared" si="3"/>
        <v>2.7949999999999999</v>
      </c>
      <c r="AO8" s="103">
        <f t="shared" si="3"/>
        <v>0.5</v>
      </c>
      <c r="AP8" s="103">
        <f t="shared" si="3"/>
        <v>0.4</v>
      </c>
      <c r="AR8" s="76"/>
      <c r="AT8" s="139"/>
      <c r="AU8" s="78"/>
    </row>
    <row r="9" spans="1:50" ht="15.75">
      <c r="A9" s="79" t="s">
        <v>13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80">
        <v>11.919</v>
      </c>
      <c r="AB9" s="80">
        <v>22.838000000000001</v>
      </c>
      <c r="AC9" s="80">
        <v>20.922000000000001</v>
      </c>
      <c r="AD9" s="80">
        <v>30.9</v>
      </c>
      <c r="AE9" s="80">
        <v>28.45</v>
      </c>
      <c r="AF9" s="80">
        <v>23.332999999999998</v>
      </c>
      <c r="AG9" s="80">
        <v>27.969000000000001</v>
      </c>
      <c r="AH9" s="80">
        <v>24.114999999999998</v>
      </c>
      <c r="AI9" s="80">
        <v>35.805</v>
      </c>
      <c r="AJ9" s="80">
        <v>35.887</v>
      </c>
      <c r="AK9" s="80">
        <v>30.297000000000001</v>
      </c>
      <c r="AL9" s="80">
        <v>42.125999999999998</v>
      </c>
      <c r="AM9" s="80">
        <v>27</v>
      </c>
      <c r="AN9" s="80">
        <v>31.8</v>
      </c>
      <c r="AO9" s="103">
        <f>AO5*AO6</f>
        <v>24.692053845617313</v>
      </c>
      <c r="AP9" s="103">
        <f>AP6*AP5</f>
        <v>28.967899925119617</v>
      </c>
    </row>
    <row r="10" spans="1:50" ht="15.75">
      <c r="A10" s="79" t="s">
        <v>14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80">
        <f>AA54</f>
        <v>0</v>
      </c>
      <c r="AB10" s="80">
        <f t="shared" ref="AB10:AO10" si="4">AB54</f>
        <v>0</v>
      </c>
      <c r="AC10" s="80">
        <f t="shared" si="4"/>
        <v>0</v>
      </c>
      <c r="AD10" s="80">
        <f t="shared" si="4"/>
        <v>0</v>
      </c>
      <c r="AE10" s="80">
        <f t="shared" si="4"/>
        <v>0</v>
      </c>
      <c r="AF10" s="80">
        <f t="shared" si="4"/>
        <v>0</v>
      </c>
      <c r="AG10" s="80">
        <f t="shared" si="4"/>
        <v>0</v>
      </c>
      <c r="AH10" s="80">
        <f t="shared" si="4"/>
        <v>0</v>
      </c>
      <c r="AI10" s="80">
        <f t="shared" si="4"/>
        <v>0</v>
      </c>
      <c r="AJ10" s="80">
        <f t="shared" si="4"/>
        <v>0</v>
      </c>
      <c r="AK10" s="80">
        <f t="shared" si="4"/>
        <v>0</v>
      </c>
      <c r="AL10" s="80">
        <f t="shared" si="4"/>
        <v>0</v>
      </c>
      <c r="AM10" s="80">
        <f t="shared" si="4"/>
        <v>0</v>
      </c>
      <c r="AN10" s="80">
        <f t="shared" si="4"/>
        <v>0</v>
      </c>
      <c r="AO10" s="103">
        <f t="shared" si="4"/>
        <v>0</v>
      </c>
      <c r="AP10" s="103">
        <v>1.4999999999999999E-2</v>
      </c>
    </row>
    <row r="11" spans="1:50" ht="15.75">
      <c r="A11" s="79" t="s">
        <v>15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80">
        <f t="shared" ref="AA11:AJ11" si="5">SUM(AA8:AA10)</f>
        <v>12.591000000000001</v>
      </c>
      <c r="AB11" s="80">
        <f t="shared" si="5"/>
        <v>23.359000000000002</v>
      </c>
      <c r="AC11" s="80">
        <f t="shared" si="5"/>
        <v>22.222000000000001</v>
      </c>
      <c r="AD11" s="80">
        <f t="shared" si="5"/>
        <v>31.84</v>
      </c>
      <c r="AE11" s="80">
        <f t="shared" si="5"/>
        <v>29.751999999999999</v>
      </c>
      <c r="AF11" s="80">
        <f t="shared" si="5"/>
        <v>24.851999999999997</v>
      </c>
      <c r="AG11" s="80">
        <f t="shared" si="5"/>
        <v>29.404</v>
      </c>
      <c r="AH11" s="80">
        <f t="shared" si="5"/>
        <v>25.713999999999999</v>
      </c>
      <c r="AI11" s="80">
        <f t="shared" si="5"/>
        <v>37.372</v>
      </c>
      <c r="AJ11" s="80">
        <f t="shared" si="5"/>
        <v>36.777999999999999</v>
      </c>
      <c r="AK11" s="80">
        <f>SUM(AK8:AK10)</f>
        <v>31.775000000000002</v>
      </c>
      <c r="AL11" s="80">
        <f t="shared" ref="AL11:AP11" si="6">SUM(AL8:AL10)</f>
        <v>42.957999999999998</v>
      </c>
      <c r="AM11" s="80">
        <f t="shared" si="6"/>
        <v>34.795999999999999</v>
      </c>
      <c r="AN11" s="80">
        <f>SUM(AN8:AN10)</f>
        <v>34.594999999999999</v>
      </c>
      <c r="AO11" s="103">
        <f>SUM(AO8:AO10)</f>
        <v>25.192053845617313</v>
      </c>
      <c r="AP11" s="103">
        <f t="shared" si="6"/>
        <v>29.382899925119617</v>
      </c>
      <c r="AR11" s="32"/>
    </row>
    <row r="12" spans="1:50" ht="15.75">
      <c r="A12" s="83" t="s">
        <v>17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104">
        <f>AA14-AA13</f>
        <v>5.9617514959999998</v>
      </c>
      <c r="AB12" s="104">
        <f t="shared" ref="AB12:AM12" si="7">AB14-AB13</f>
        <v>5.6018137850000036</v>
      </c>
      <c r="AC12" s="104">
        <f t="shared" si="7"/>
        <v>7.2567269690000016</v>
      </c>
      <c r="AD12" s="104">
        <f t="shared" si="7"/>
        <v>9.1309023640000024</v>
      </c>
      <c r="AE12" s="104">
        <f t="shared" si="7"/>
        <v>7.178478195999995</v>
      </c>
      <c r="AF12" s="104">
        <f t="shared" si="7"/>
        <v>5.4735242670000002</v>
      </c>
      <c r="AG12" s="104">
        <f t="shared" si="7"/>
        <v>5.1713675090000004</v>
      </c>
      <c r="AH12" s="104">
        <f t="shared" si="7"/>
        <v>4.8620054239999959</v>
      </c>
      <c r="AI12" s="104">
        <f t="shared" si="7"/>
        <v>4.9597280010000011</v>
      </c>
      <c r="AJ12" s="104">
        <f t="shared" si="7"/>
        <v>5.1711940289999978</v>
      </c>
      <c r="AK12" s="104">
        <f t="shared" si="7"/>
        <v>5.878789088000004</v>
      </c>
      <c r="AL12" s="104">
        <f t="shared" si="7"/>
        <v>7.3742571820000009</v>
      </c>
      <c r="AM12" s="104">
        <f t="shared" si="7"/>
        <v>3.985217762</v>
      </c>
      <c r="AN12" s="104">
        <f>AN14-AN13</f>
        <v>3.7066489120000008</v>
      </c>
      <c r="AO12" s="105">
        <f>AO14-AO13</f>
        <v>0.84205384561731411</v>
      </c>
      <c r="AP12" s="105">
        <f>AP14-AP13</f>
        <v>3.4295665917862834</v>
      </c>
    </row>
    <row r="13" spans="1:50" ht="15.75">
      <c r="A13" s="79" t="s">
        <v>18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80">
        <v>1.1000000000000001</v>
      </c>
      <c r="AB13" s="80">
        <v>1.3</v>
      </c>
      <c r="AC13" s="80">
        <v>1.3</v>
      </c>
      <c r="AD13" s="80">
        <v>1.4</v>
      </c>
      <c r="AE13" s="80">
        <v>1.4</v>
      </c>
      <c r="AF13" s="80">
        <v>1.35</v>
      </c>
      <c r="AG13" s="80">
        <v>1.3</v>
      </c>
      <c r="AH13" s="80">
        <v>1.25</v>
      </c>
      <c r="AI13" s="80">
        <v>1.2</v>
      </c>
      <c r="AJ13" s="80">
        <v>1.2</v>
      </c>
      <c r="AK13" s="80">
        <v>1.2</v>
      </c>
      <c r="AL13" s="80">
        <v>1</v>
      </c>
      <c r="AM13" s="80">
        <v>0.9</v>
      </c>
      <c r="AN13" s="80">
        <v>0.9</v>
      </c>
      <c r="AO13" s="103">
        <v>0.95</v>
      </c>
      <c r="AP13" s="103">
        <f>FORECAST(AP3,AA13:AO13,AA3:AO3)</f>
        <v>0.95333333333333314</v>
      </c>
    </row>
    <row r="14" spans="1:50" ht="15.75">
      <c r="A14" s="79" t="s">
        <v>68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80">
        <f>AA16-AA15</f>
        <v>7.0617514959999994</v>
      </c>
      <c r="AB14" s="80">
        <f t="shared" ref="AB14:AL14" si="8">AB16-AB15</f>
        <v>6.9018137850000034</v>
      </c>
      <c r="AC14" s="80">
        <f t="shared" si="8"/>
        <v>8.5567269690000014</v>
      </c>
      <c r="AD14" s="80">
        <f t="shared" si="8"/>
        <v>10.530902364000003</v>
      </c>
      <c r="AE14" s="80">
        <f t="shared" si="8"/>
        <v>8.5784781959999954</v>
      </c>
      <c r="AF14" s="80">
        <f t="shared" si="8"/>
        <v>6.8235242669999998</v>
      </c>
      <c r="AG14" s="80">
        <f t="shared" si="8"/>
        <v>6.4713675090000002</v>
      </c>
      <c r="AH14" s="80">
        <f t="shared" si="8"/>
        <v>6.1120054239999959</v>
      </c>
      <c r="AI14" s="80">
        <f t="shared" si="8"/>
        <v>6.1597280010000013</v>
      </c>
      <c r="AJ14" s="80">
        <f t="shared" si="8"/>
        <v>6.371194028999998</v>
      </c>
      <c r="AK14" s="80">
        <f t="shared" si="8"/>
        <v>7.0787890880000042</v>
      </c>
      <c r="AL14" s="80">
        <f t="shared" si="8"/>
        <v>8.3742571820000009</v>
      </c>
      <c r="AM14" s="80">
        <f>AM16-AM15</f>
        <v>4.8852177619999999</v>
      </c>
      <c r="AN14" s="80">
        <f>AN16-AN15</f>
        <v>4.6066489120000007</v>
      </c>
      <c r="AO14" s="103">
        <f>AO16-AO15</f>
        <v>1.7920538456173141</v>
      </c>
      <c r="AP14" s="103">
        <f>AP16-AP15</f>
        <v>4.3828999251196166</v>
      </c>
    </row>
    <row r="15" spans="1:50" ht="15.75">
      <c r="A15" s="79" t="s">
        <v>19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80">
        <f t="shared" ref="P15:S15" si="9">P38</f>
        <v>0</v>
      </c>
      <c r="Q15" s="80">
        <f t="shared" si="9"/>
        <v>0</v>
      </c>
      <c r="R15" s="80">
        <f t="shared" si="9"/>
        <v>234</v>
      </c>
      <c r="S15" s="80">
        <f t="shared" si="9"/>
        <v>806</v>
      </c>
      <c r="T15" s="80">
        <f t="shared" ref="T15:AM15" si="10">T38/1000</f>
        <v>1.246</v>
      </c>
      <c r="U15" s="80">
        <f t="shared" si="10"/>
        <v>2.3290000000000002</v>
      </c>
      <c r="V15" s="80">
        <f t="shared" si="10"/>
        <v>2.4620000000000002</v>
      </c>
      <c r="W15" s="80">
        <f t="shared" si="10"/>
        <v>1.0269999999999999</v>
      </c>
      <c r="X15" s="80">
        <f t="shared" si="10"/>
        <v>2.0750000000000002</v>
      </c>
      <c r="Y15" s="80">
        <f t="shared" si="10"/>
        <v>5.491900653000001</v>
      </c>
      <c r="Z15" s="80">
        <f t="shared" si="10"/>
        <v>5.0742500909999988</v>
      </c>
      <c r="AA15" s="80">
        <f t="shared" si="10"/>
        <v>5.0082485040000009</v>
      </c>
      <c r="AB15" s="80">
        <f t="shared" si="10"/>
        <v>15.157186214999998</v>
      </c>
      <c r="AC15" s="80">
        <f t="shared" si="10"/>
        <v>12.725273030999999</v>
      </c>
      <c r="AD15" s="80">
        <f t="shared" si="10"/>
        <v>20.007097635999997</v>
      </c>
      <c r="AE15" s="80">
        <f t="shared" si="10"/>
        <v>19.654521804000005</v>
      </c>
      <c r="AF15" s="80">
        <f t="shared" si="10"/>
        <v>16.593475732999998</v>
      </c>
      <c r="AG15" s="80">
        <f t="shared" si="10"/>
        <v>21.333632490999999</v>
      </c>
      <c r="AH15" s="80">
        <f t="shared" si="10"/>
        <v>18.034994576000003</v>
      </c>
      <c r="AI15" s="80">
        <f t="shared" si="10"/>
        <v>30.321271999</v>
      </c>
      <c r="AJ15" s="80">
        <f t="shared" si="10"/>
        <v>28.928805970999999</v>
      </c>
      <c r="AK15" s="80">
        <f t="shared" si="10"/>
        <v>23.864210911999997</v>
      </c>
      <c r="AL15" s="80">
        <f t="shared" si="10"/>
        <v>26.787742817999998</v>
      </c>
      <c r="AM15" s="80">
        <f t="shared" si="10"/>
        <v>27.115782237999998</v>
      </c>
      <c r="AN15" s="80">
        <f>AN38/1000</f>
        <v>29.488351087999998</v>
      </c>
      <c r="AO15" s="103">
        <f>AO38/1000</f>
        <v>23</v>
      </c>
      <c r="AP15" s="103">
        <f>AP38/1000</f>
        <v>23</v>
      </c>
    </row>
    <row r="16" spans="1:50" ht="15.75">
      <c r="A16" s="79" t="s">
        <v>69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80">
        <f>AA11-AA17</f>
        <v>12.07</v>
      </c>
      <c r="AB16" s="80">
        <f t="shared" ref="AB16:AO16" si="11">AB11-AB17</f>
        <v>22.059000000000001</v>
      </c>
      <c r="AC16" s="80">
        <f t="shared" si="11"/>
        <v>21.282</v>
      </c>
      <c r="AD16" s="80">
        <f t="shared" si="11"/>
        <v>30.538</v>
      </c>
      <c r="AE16" s="80">
        <f t="shared" si="11"/>
        <v>28.233000000000001</v>
      </c>
      <c r="AF16" s="80">
        <f t="shared" si="11"/>
        <v>23.416999999999998</v>
      </c>
      <c r="AG16" s="80">
        <f t="shared" si="11"/>
        <v>27.805</v>
      </c>
      <c r="AH16" s="80">
        <f t="shared" si="11"/>
        <v>24.146999999999998</v>
      </c>
      <c r="AI16" s="80">
        <f t="shared" si="11"/>
        <v>36.481000000000002</v>
      </c>
      <c r="AJ16" s="80">
        <f t="shared" si="11"/>
        <v>35.299999999999997</v>
      </c>
      <c r="AK16" s="80">
        <f t="shared" si="11"/>
        <v>30.943000000000001</v>
      </c>
      <c r="AL16" s="80">
        <f t="shared" si="11"/>
        <v>35.161999999999999</v>
      </c>
      <c r="AM16" s="80">
        <f t="shared" si="11"/>
        <v>32.000999999999998</v>
      </c>
      <c r="AN16" s="80">
        <f>AN11-AN17</f>
        <v>34.094999999999999</v>
      </c>
      <c r="AO16" s="103">
        <f t="shared" si="11"/>
        <v>24.792053845617314</v>
      </c>
      <c r="AP16" s="103">
        <f>AP11-AP17</f>
        <v>27.382899925119617</v>
      </c>
      <c r="AR16" s="32"/>
    </row>
    <row r="17" spans="1:46" ht="15.75">
      <c r="A17" s="83" t="s">
        <v>279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104">
        <v>0.52100000000000002</v>
      </c>
      <c r="AB17" s="104">
        <v>1.3</v>
      </c>
      <c r="AC17" s="104">
        <v>0.94</v>
      </c>
      <c r="AD17" s="104">
        <v>1.302</v>
      </c>
      <c r="AE17" s="104">
        <v>1.5189999999999999</v>
      </c>
      <c r="AF17" s="104">
        <v>1.4350000000000001</v>
      </c>
      <c r="AG17" s="104">
        <v>1.599</v>
      </c>
      <c r="AH17" s="104">
        <v>1.5669999999999999</v>
      </c>
      <c r="AI17" s="104">
        <v>0.89100000000000001</v>
      </c>
      <c r="AJ17" s="104">
        <v>1.478</v>
      </c>
      <c r="AK17" s="104">
        <v>0.83199999999999996</v>
      </c>
      <c r="AL17" s="104">
        <v>7.7960000000000003</v>
      </c>
      <c r="AM17" s="104">
        <v>2.7949999999999999</v>
      </c>
      <c r="AN17" s="104">
        <v>0.5</v>
      </c>
      <c r="AO17" s="105">
        <v>0.4</v>
      </c>
      <c r="AP17" s="105">
        <v>2</v>
      </c>
      <c r="AR17" s="267"/>
    </row>
    <row r="18" spans="1:46" ht="16.5" thickBot="1">
      <c r="A18" s="106" t="s">
        <v>22</v>
      </c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88">
        <f>AA17/AA16</f>
        <v>4.3164871582435795E-2</v>
      </c>
      <c r="AB18" s="88">
        <f t="shared" ref="AB18:AP18" si="12">AB17/AB16</f>
        <v>5.893286187043837E-2</v>
      </c>
      <c r="AC18" s="88">
        <f t="shared" si="12"/>
        <v>4.4168781129593084E-2</v>
      </c>
      <c r="AD18" s="88">
        <f t="shared" si="12"/>
        <v>4.2635405069094245E-2</v>
      </c>
      <c r="AE18" s="88">
        <f t="shared" si="12"/>
        <v>5.3802288102574994E-2</v>
      </c>
      <c r="AF18" s="88">
        <f t="shared" si="12"/>
        <v>6.1280266473075121E-2</v>
      </c>
      <c r="AG18" s="88">
        <f t="shared" si="12"/>
        <v>5.7507642510339865E-2</v>
      </c>
      <c r="AH18" s="88">
        <f t="shared" si="12"/>
        <v>6.4894189754420836E-2</v>
      </c>
      <c r="AI18" s="88">
        <f t="shared" si="12"/>
        <v>2.442367259669417E-2</v>
      </c>
      <c r="AJ18" s="88">
        <f t="shared" si="12"/>
        <v>4.1869688385269124E-2</v>
      </c>
      <c r="AK18" s="88">
        <f t="shared" si="12"/>
        <v>2.6888149177519954E-2</v>
      </c>
      <c r="AL18" s="88">
        <f t="shared" si="12"/>
        <v>0.22171662590296343</v>
      </c>
      <c r="AM18" s="88">
        <f t="shared" si="12"/>
        <v>8.7341020593106472E-2</v>
      </c>
      <c r="AN18" s="88">
        <f t="shared" si="12"/>
        <v>1.4664906877841326E-2</v>
      </c>
      <c r="AO18" s="89">
        <f t="shared" si="12"/>
        <v>1.6134201808807026E-2</v>
      </c>
      <c r="AP18" s="89">
        <f t="shared" si="12"/>
        <v>7.3038283215770966E-2</v>
      </c>
    </row>
    <row r="19" spans="1:46" ht="13.5" hidden="1" thickBo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90"/>
      <c r="AN19" s="90"/>
      <c r="AO19" s="90"/>
      <c r="AP19" s="90"/>
    </row>
    <row r="20" spans="1:46" ht="13.5" hidden="1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90"/>
      <c r="AN20" s="90"/>
      <c r="AO20" s="90"/>
      <c r="AP20" s="90"/>
    </row>
    <row r="21" spans="1:46">
      <c r="A21" s="91" t="s">
        <v>71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</row>
    <row r="24" spans="1:46" ht="16.5" thickBot="1">
      <c r="A24" s="93" t="s">
        <v>72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46" ht="16.5" thickBo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5" t="str">
        <f t="shared" ref="P25:AP25" si="13">P2</f>
        <v xml:space="preserve">99/00 </v>
      </c>
      <c r="Q25" s="95" t="str">
        <f t="shared" si="13"/>
        <v xml:space="preserve">00/01 </v>
      </c>
      <c r="R25" s="95" t="str">
        <f t="shared" si="13"/>
        <v xml:space="preserve">01/02 </v>
      </c>
      <c r="S25" s="95" t="str">
        <f t="shared" si="13"/>
        <v xml:space="preserve">02/03 </v>
      </c>
      <c r="T25" s="95" t="str">
        <f t="shared" si="13"/>
        <v xml:space="preserve">03/04 </v>
      </c>
      <c r="U25" s="95" t="str">
        <f t="shared" si="13"/>
        <v xml:space="preserve">04/05 </v>
      </c>
      <c r="V25" s="95" t="str">
        <f t="shared" si="13"/>
        <v xml:space="preserve">05/06 </v>
      </c>
      <c r="W25" s="95" t="str">
        <f t="shared" si="13"/>
        <v xml:space="preserve">06/07 </v>
      </c>
      <c r="X25" s="95" t="str">
        <f t="shared" si="13"/>
        <v xml:space="preserve">07/08 </v>
      </c>
      <c r="Y25" s="95" t="str">
        <f t="shared" si="13"/>
        <v xml:space="preserve">08/09 </v>
      </c>
      <c r="Z25" s="95" t="str">
        <f t="shared" si="13"/>
        <v xml:space="preserve">09/10 </v>
      </c>
      <c r="AA25" s="95" t="str">
        <f t="shared" si="13"/>
        <v xml:space="preserve">10/11 </v>
      </c>
      <c r="AB25" s="95" t="str">
        <f t="shared" si="13"/>
        <v xml:space="preserve">11/12 </v>
      </c>
      <c r="AC25" s="95" t="str">
        <f t="shared" si="13"/>
        <v xml:space="preserve">12/13 </v>
      </c>
      <c r="AD25" s="95" t="str">
        <f t="shared" si="13"/>
        <v xml:space="preserve">13/14 </v>
      </c>
      <c r="AE25" s="95" t="str">
        <f t="shared" si="13"/>
        <v xml:space="preserve">14/15 </v>
      </c>
      <c r="AF25" s="95" t="str">
        <f t="shared" si="13"/>
        <v xml:space="preserve">15/16 </v>
      </c>
      <c r="AG25" s="95" t="str">
        <f t="shared" si="13"/>
        <v xml:space="preserve">16/17 </v>
      </c>
      <c r="AH25" s="95" t="str">
        <f t="shared" si="13"/>
        <v xml:space="preserve">17/18 </v>
      </c>
      <c r="AI25" s="95" t="str">
        <f t="shared" si="13"/>
        <v xml:space="preserve">18/19 </v>
      </c>
      <c r="AJ25" s="95" t="str">
        <f t="shared" si="13"/>
        <v>19/20</v>
      </c>
      <c r="AK25" s="95" t="str">
        <f t="shared" si="13"/>
        <v>20/21</v>
      </c>
      <c r="AL25" s="95" t="str">
        <f t="shared" si="13"/>
        <v>21/22</v>
      </c>
      <c r="AM25" s="95" t="str">
        <f t="shared" si="13"/>
        <v>22/23</v>
      </c>
      <c r="AN25" s="95" t="str">
        <f t="shared" si="13"/>
        <v>23/24</v>
      </c>
      <c r="AO25" s="95" t="str">
        <f t="shared" si="13"/>
        <v>24/25</v>
      </c>
      <c r="AP25" s="95" t="str">
        <f t="shared" si="13"/>
        <v>25/26</v>
      </c>
    </row>
    <row r="26" spans="1:46" ht="15.75">
      <c r="A26" s="93" t="s">
        <v>74</v>
      </c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 cm="1">
        <f t="array" ref="P26">INDEX('[3]Ukraine Corn Exports'!$DN$290:$OY$290,1,ROW(A1))/1000</f>
        <v>0</v>
      </c>
      <c r="Q26" s="213" cm="1">
        <f t="array" ref="Q26">INDEX('[3]Ukraine Corn Exports'!$DZ$290:$OY$290,1,ROW(A1))</f>
        <v>0</v>
      </c>
      <c r="R26" s="213" cm="1">
        <f t="array" ref="R26">INDEX('[3]Ukraine Corn Exports'!$EL$290:$OY$290,1,ROW(B1))</f>
        <v>0</v>
      </c>
      <c r="S26" s="213" cm="1">
        <f t="array" ref="S26">INDEX('[3]Ukraine Corn Exports'!$EX$290:$OY$290,1,ROW(C1))</f>
        <v>24</v>
      </c>
      <c r="T26" s="213" cm="1">
        <f t="array" ref="T26">INDEX('[3]Ukraine Corn Exports'!$FI$290:$OY$290,1,ROW(D1))</f>
        <v>16</v>
      </c>
      <c r="U26" s="213" cm="1">
        <f t="array" ref="U26">INDEX('[3]Ukraine Corn Exports'!$FV$290:$OY$290,1,ROW(E1))</f>
        <v>27</v>
      </c>
      <c r="V26" s="213" cm="1">
        <f t="array" ref="V26">INDEX('[3]Ukraine Corn Exports'!$GH$290:$OY$290,1,ROW(F1))</f>
        <v>122</v>
      </c>
      <c r="W26" s="213" cm="1">
        <f t="array" ref="W26">INDEX('[3]Ukraine Corn Exports'!$GT$290:$OY$290,1,ROW(G1))</f>
        <v>73</v>
      </c>
      <c r="X26" s="213" cm="1">
        <f t="array" ref="X26">INDEX('[3]Ukraine Corn Exports'!$HF$290:$OY$290,1,ROW(H1))</f>
        <v>0</v>
      </c>
      <c r="Y26" s="213" cm="1">
        <f t="array" ref="Y26">INDEX('[3]Ukraine Corn Exports'!$HR$290:$OY$290,1,ROW(I1))</f>
        <v>51</v>
      </c>
      <c r="Z26" s="213" cm="1">
        <f t="array" ref="Z26">INDEX('[3]Ukraine Corn Exports'!$ID$290:$OY$290,1,ROW(J1))</f>
        <v>347</v>
      </c>
      <c r="AA26" s="213" cm="1">
        <f t="array" ref="AA26">INDEX('[3]Ukraine Corn Exports'!$IP$290:$OY$290,1,ROW(K1))</f>
        <v>240.404571</v>
      </c>
      <c r="AB26" s="213" cm="1">
        <f t="array" ref="AB26">INDEX('[3]Ukraine Corn Exports'!$JB$290:$OY$290,1,ROW(L1))</f>
        <v>635.44557099999997</v>
      </c>
      <c r="AC26" s="213" cm="1">
        <f t="array" ref="AC26">INDEX('[3]Ukraine Corn Exports'!$JN$290:$OY$290,1,ROW(M1))</f>
        <v>1056.9425510000001</v>
      </c>
      <c r="AD26" s="213" cm="1">
        <f t="array" ref="AD26">INDEX('[3]Ukraine Corn Exports'!$JZ$290:$OY$290,1,ROW(N1))</f>
        <v>1304.08989</v>
      </c>
      <c r="AE26" s="213" cm="1">
        <f t="array" ref="AE26">INDEX('[3]Ukraine Corn Exports'!$KL$290:$OY$290,1,ROW(O1))</f>
        <v>1275.0119830000001</v>
      </c>
      <c r="AF26" s="213" cm="1">
        <f t="array" ref="AF26">INDEX('[3]Ukraine Corn Exports'!$KX$290:$OY$290,1,ROW(A1))</f>
        <v>1314.8006499999999</v>
      </c>
      <c r="AG26" s="213" cm="1">
        <f t="array" ref="AG26">INDEX('[3]Ukraine Corn Exports'!$LJ$290:$OY$290,1,ROW(A1))</f>
        <v>1354.834875</v>
      </c>
      <c r="AH26" s="213" cm="1">
        <f t="array" ref="AH26">INDEX('[3]Ukraine Corn Exports'!$LV$290:$OY$290,1,ROW(A1))</f>
        <v>500.66571299999998</v>
      </c>
      <c r="AI26" s="213" cm="1">
        <f t="array" ref="AI26">INDEX('[3]Ukraine Corn Exports'!$MH$290:$OY$290,1,ROW(A1))</f>
        <v>1347.638815</v>
      </c>
      <c r="AJ26" s="213" cm="1">
        <f t="array" ref="AJ26">INDEX('[3]Ukraine Corn Exports'!$MT$290:$OY$290,1,ROW(A1))</f>
        <v>2290.6244929999998</v>
      </c>
      <c r="AK26" s="213" cm="1">
        <f t="array" ref="AK26">INDEX('[3]Ukraine Corn Exports'!$NF$290:$OY$290,1,ROW(A1))</f>
        <v>1842.4636170000001</v>
      </c>
      <c r="AL26" s="213" cm="1">
        <f t="array" ref="AL26">INDEX('[3]Ukraine Corn Exports'!$NR$290:$OY$290,1,ROW(A1))</f>
        <v>894.84591899999998</v>
      </c>
      <c r="AM26" s="213" cm="1">
        <f t="array" ref="AM26">INDEX('[3]Ukraine Corn Exports'!$OD$290:$OY$290,1,ROW(A1))</f>
        <v>2203.660985</v>
      </c>
      <c r="AN26" s="213" cm="1">
        <f t="array" ref="AN26">INDEX('[3]Ukraine Corn Exports'!$OP$290:$ZZ$290,1,ROW(A1))</f>
        <v>1118.518734</v>
      </c>
      <c r="AO26" s="213" cm="1">
        <f t="array" ref="AO26">INDEX('[3]Ukraine Corn Exports'!$PB$290:$ZZ$290,1,ROW(A1))</f>
        <v>1916.51358</v>
      </c>
      <c r="AP26" s="222">
        <f>(SUM(AJ26:AN26)/SUM(AJ$38:AN$38))*AP$38</f>
        <v>1410.2343654660995</v>
      </c>
    </row>
    <row r="27" spans="1:46" ht="15.75">
      <c r="A27" s="93" t="s">
        <v>75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 cm="1">
        <f t="array" ref="P27">INDEX('[3]Ukraine Corn Exports'!$DM$290:$OY$290,1,ROW(A2))/1000</f>
        <v>0</v>
      </c>
      <c r="Q27" s="213" cm="1">
        <f t="array" ref="Q27">INDEX('[3]Ukraine Corn Exports'!$DZ$290:$OY$290,1,ROW(A2))</f>
        <v>0</v>
      </c>
      <c r="R27" s="213" cm="1">
        <f t="array" ref="R27">INDEX('[3]Ukraine Corn Exports'!$EL$290:$OY$290,1,ROW(B2))</f>
        <v>0</v>
      </c>
      <c r="S27" s="213" cm="1">
        <f t="array" ref="S27">INDEX('[3]Ukraine Corn Exports'!$EX$290:$OY$290,1,ROW(C2))</f>
        <v>57</v>
      </c>
      <c r="T27" s="213" cm="1">
        <f t="array" ref="T27">INDEX('[3]Ukraine Corn Exports'!$FI$290:$OY$290,1,ROW(D2))</f>
        <v>53</v>
      </c>
      <c r="U27" s="213" cm="1">
        <f t="array" ref="U27">INDEX('[3]Ukraine Corn Exports'!$FV$290:$OY$290,1,ROW(E2))</f>
        <v>134</v>
      </c>
      <c r="V27" s="213" cm="1">
        <f t="array" ref="V27">INDEX('[3]Ukraine Corn Exports'!$GH$290:$OY$290,1,ROW(F2))</f>
        <v>246</v>
      </c>
      <c r="W27" s="213" cm="1">
        <f t="array" ref="W27">INDEX('[3]Ukraine Corn Exports'!$GT$290:$OY$290,1,ROW(G2))</f>
        <v>0</v>
      </c>
      <c r="X27" s="213" cm="1">
        <f t="array" ref="X27">INDEX('[3]Ukraine Corn Exports'!$HF$290:$OY$290,1,ROW(H2))</f>
        <v>0</v>
      </c>
      <c r="Y27" s="213" cm="1">
        <f t="array" ref="Y27">INDEX('[3]Ukraine Corn Exports'!$HR$290:$OY$290,1,ROW(I2))</f>
        <v>232</v>
      </c>
      <c r="Z27" s="213" cm="1">
        <f t="array" ref="Z27">INDEX('[3]Ukraine Corn Exports'!$ID$290:$OY$290,1,ROW(J2))</f>
        <v>1001</v>
      </c>
      <c r="AA27" s="213" cm="1">
        <f t="array" ref="AA27">INDEX('[3]Ukraine Corn Exports'!$IP$290:$OY$290,1,ROW(K2))</f>
        <v>198.948669</v>
      </c>
      <c r="AB27" s="213" cm="1">
        <f t="array" ref="AB27">INDEX('[3]Ukraine Corn Exports'!$JB$290:$OY$290,1,ROW(L2))</f>
        <v>1784.981648</v>
      </c>
      <c r="AC27" s="213" cm="1">
        <f t="array" ref="AC27">INDEX('[3]Ukraine Corn Exports'!$JN$290:$OY$290,1,ROW(M2))</f>
        <v>1467.294226</v>
      </c>
      <c r="AD27" s="213" cm="1">
        <f t="array" ref="AD27">INDEX('[3]Ukraine Corn Exports'!$JZ$290:$OY$290,1,ROW(N2))</f>
        <v>3263.7349180000001</v>
      </c>
      <c r="AE27" s="213" cm="1">
        <f t="array" ref="AE27">INDEX('[3]Ukraine Corn Exports'!$KL$290:$OY$290,1,ROW(O2))</f>
        <v>2223.1290779999999</v>
      </c>
      <c r="AF27" s="213" cm="1">
        <f t="array" ref="AF27">INDEX('[3]Ukraine Corn Exports'!$KX$290:$OY$290,1,ROW(A2))</f>
        <v>1877.996302</v>
      </c>
      <c r="AG27" s="213" cm="1">
        <f t="array" ref="AG27">INDEX('[3]Ukraine Corn Exports'!$LJ$290:$OY$290,1,ROW(A2))</f>
        <v>2264.4704230000002</v>
      </c>
      <c r="AH27" s="213" cm="1">
        <f t="array" ref="AH27">INDEX('[3]Ukraine Corn Exports'!$LV$290:$OY$290,1,ROW(A2))</f>
        <v>1581.8334279999999</v>
      </c>
      <c r="AI27" s="213" cm="1">
        <f t="array" ref="AI27">INDEX('[3]Ukraine Corn Exports'!$MH$290:$OY$290,1,ROW(A2))</f>
        <v>3118.7139280000001</v>
      </c>
      <c r="AJ27" s="213" cm="1">
        <f t="array" ref="AJ27">INDEX('[3]Ukraine Corn Exports'!$MT$290:$OY$290,1,ROW(A2))</f>
        <v>3201.3637739999999</v>
      </c>
      <c r="AK27" s="213" cm="1">
        <f t="array" ref="AK27">INDEX('[3]Ukraine Corn Exports'!$NF$290:$OY$290,1,ROW(A2))</f>
        <v>3106.3188009999999</v>
      </c>
      <c r="AL27" s="213" cm="1">
        <f t="array" ref="AL27">INDEX('[3]Ukraine Corn Exports'!$NR$290:$OY$290,1,ROW(A2))</f>
        <v>3791.8031449999999</v>
      </c>
      <c r="AM27" s="213" cm="1">
        <f t="array" ref="AM27">INDEX('[3]Ukraine Corn Exports'!$OD$290:$OY$290,1,ROW(A2))</f>
        <v>2510.97955</v>
      </c>
      <c r="AN27" s="213" cm="1">
        <f t="array" ref="AN27">INDEX('[3]Ukraine Corn Exports'!$OP$290:$ZZ$290,1,ROW(A2))</f>
        <v>2376.3739049999999</v>
      </c>
      <c r="AO27" s="213" cm="1">
        <f t="array" ref="AO27">INDEX('[3]Ukraine Corn Exports'!$PB$290:$ZZ$290,1,ROW(A2))</f>
        <v>2560.39</v>
      </c>
      <c r="AP27" s="222">
        <f t="shared" ref="AP27:AP37" si="14">(SUM(AJ27:AN27)/SUM(AJ$38:AN$38))*AP$38</f>
        <v>2531.0979313737857</v>
      </c>
    </row>
    <row r="28" spans="1:46" ht="15.75">
      <c r="A28" s="93" t="s">
        <v>76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 cm="1">
        <f t="array" ref="P28">INDEX('[3]Ukraine Corn Exports'!$DM$290:$OY$290,1,ROW(A3))/1000</f>
        <v>0</v>
      </c>
      <c r="Q28" s="213" cm="1">
        <f t="array" ref="Q28">INDEX('[3]Ukraine Corn Exports'!$DZ$290:$OY$290,1,ROW(A3))</f>
        <v>0</v>
      </c>
      <c r="R28" s="213" cm="1">
        <f t="array" ref="R28">INDEX('[3]Ukraine Corn Exports'!$EL$290:$OY$290,1,ROW(B3))</f>
        <v>0</v>
      </c>
      <c r="S28" s="213" cm="1">
        <f t="array" ref="S28">INDEX('[3]Ukraine Corn Exports'!$EX$290:$OY$290,1,ROW(C3))</f>
        <v>180</v>
      </c>
      <c r="T28" s="213" cm="1">
        <f t="array" ref="T28">INDEX('[3]Ukraine Corn Exports'!$FI$290:$OY$290,1,ROW(D3))</f>
        <v>114</v>
      </c>
      <c r="U28" s="213" cm="1">
        <f t="array" ref="U28">INDEX('[3]Ukraine Corn Exports'!$FV$290:$OY$290,1,ROW(E3))</f>
        <v>230</v>
      </c>
      <c r="V28" s="213" cm="1">
        <f t="array" ref="V28">INDEX('[3]Ukraine Corn Exports'!$GH$290:$OY$290,1,ROW(F3))</f>
        <v>485</v>
      </c>
      <c r="W28" s="213" cm="1">
        <f t="array" ref="W28">INDEX('[3]Ukraine Corn Exports'!$GT$290:$OY$290,1,ROW(G3))</f>
        <v>0</v>
      </c>
      <c r="X28" s="213" cm="1">
        <f t="array" ref="X28">INDEX('[3]Ukraine Corn Exports'!$HF$290:$OY$290,1,ROW(H3))</f>
        <v>0</v>
      </c>
      <c r="Y28" s="213" cm="1">
        <f t="array" ref="Y28">INDEX('[3]Ukraine Corn Exports'!$HR$290:$OY$290,1,ROW(I3))</f>
        <v>454</v>
      </c>
      <c r="Z28" s="213" cm="1">
        <f t="array" ref="Z28">INDEX('[3]Ukraine Corn Exports'!$ID$290:$OY$290,1,ROW(J3))</f>
        <v>1074</v>
      </c>
      <c r="AA28" s="213" cm="1">
        <f t="array" ref="AA28">INDEX('[3]Ukraine Corn Exports'!$IP$290:$OY$290,1,ROW(K3))</f>
        <v>965.15887299999997</v>
      </c>
      <c r="AB28" s="213" cm="1">
        <f t="array" ref="AB28">INDEX('[3]Ukraine Corn Exports'!$JB$290:$OY$290,1,ROW(L3))</f>
        <v>1782.7933410000001</v>
      </c>
      <c r="AC28" s="213" cm="1">
        <f t="array" ref="AC28">INDEX('[3]Ukraine Corn Exports'!$JN$290:$OY$290,1,ROW(M3))</f>
        <v>2102.1808270000001</v>
      </c>
      <c r="AD28" s="213" cm="1">
        <f t="array" ref="AD28">INDEX('[3]Ukraine Corn Exports'!$JZ$290:$OY$290,1,ROW(N3))</f>
        <v>4062.8966719999999</v>
      </c>
      <c r="AE28" s="213" cm="1">
        <f t="array" ref="AE28">INDEX('[3]Ukraine Corn Exports'!$KL$290:$OY$290,1,ROW(O3))</f>
        <v>2683.575601</v>
      </c>
      <c r="AF28" s="213" cm="1">
        <f t="array" ref="AF28">INDEX('[3]Ukraine Corn Exports'!$KX$290:$OY$290,1,ROW(A3))</f>
        <v>2375.2430220000001</v>
      </c>
      <c r="AG28" s="213" cm="1">
        <f t="array" ref="AG28">INDEX('[3]Ukraine Corn Exports'!$LJ$290:$OY$290,1,ROW(A3))</f>
        <v>2647.3693830000002</v>
      </c>
      <c r="AH28" s="213" cm="1">
        <f t="array" ref="AH28">INDEX('[3]Ukraine Corn Exports'!$LV$290:$OY$290,1,ROW(A3))</f>
        <v>2245.080418</v>
      </c>
      <c r="AI28" s="213" cm="1">
        <f t="array" ref="AI28">INDEX('[3]Ukraine Corn Exports'!$MH$290:$OY$290,1,ROW(A3))</f>
        <v>3260.6781089999999</v>
      </c>
      <c r="AJ28" s="213" cm="1">
        <f t="array" ref="AJ28">INDEX('[3]Ukraine Corn Exports'!$MT$290:$OY$290,1,ROW(A3))</f>
        <v>4257.5918369999999</v>
      </c>
      <c r="AK28" s="213" cm="1">
        <f t="array" ref="AK28">INDEX('[3]Ukraine Corn Exports'!$NF$290:$OY$290,1,ROW(A3))</f>
        <v>3824.478752</v>
      </c>
      <c r="AL28" s="213" cm="1">
        <f t="array" ref="AL28">INDEX('[3]Ukraine Corn Exports'!$NR$290:$OY$290,1,ROW(A3))</f>
        <v>4897.2252520000002</v>
      </c>
      <c r="AM28" s="213" cm="1">
        <f t="array" ref="AM28">INDEX('[3]Ukraine Corn Exports'!$OD$290:$OY$290,1,ROW(A3))</f>
        <v>3059.9740149999998</v>
      </c>
      <c r="AN28" s="213" cm="1">
        <f t="array" ref="AN28">INDEX('[3]Ukraine Corn Exports'!$OP$290:$ZZ$290,1,ROW(A3))</f>
        <v>3451.5684700000002</v>
      </c>
      <c r="AO28" s="222">
        <f t="shared" ref="AO28:AO35" si="15">(SUM(AJ28:AN28)/SUM(AJ$38:AN$38))*AO$38</f>
        <v>3291.7695313614718</v>
      </c>
      <c r="AP28" s="222">
        <f t="shared" si="14"/>
        <v>3291.7695313614718</v>
      </c>
      <c r="AT28" s="42"/>
    </row>
    <row r="29" spans="1:46" ht="15.75">
      <c r="A29" s="93" t="s">
        <v>77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 cm="1">
        <f t="array" ref="P29">INDEX('[3]Ukraine Corn Exports'!$DM$290:$OY$290,1,ROW(A4))/1000</f>
        <v>0</v>
      </c>
      <c r="Q29" s="213" cm="1">
        <f t="array" ref="Q29">INDEX('[3]Ukraine Corn Exports'!$DZ$290:$OY$290,1,ROW(A4))</f>
        <v>0</v>
      </c>
      <c r="R29" s="213" cm="1">
        <f t="array" ref="R29">INDEX('[3]Ukraine Corn Exports'!$EL$290:$OY$290,1,ROW(B4))</f>
        <v>28</v>
      </c>
      <c r="S29" s="213" cm="1">
        <f t="array" ref="S29">INDEX('[3]Ukraine Corn Exports'!$EX$290:$OY$290,1,ROW(C4))</f>
        <v>158</v>
      </c>
      <c r="T29" s="213" cm="1">
        <f t="array" ref="T29">INDEX('[3]Ukraine Corn Exports'!$FI$290:$OY$290,1,ROW(D4))</f>
        <v>228</v>
      </c>
      <c r="U29" s="213" cm="1">
        <f t="array" ref="U29">INDEX('[3]Ukraine Corn Exports'!$FV$290:$OY$290,1,ROW(E4))</f>
        <v>206</v>
      </c>
      <c r="V29" s="213" cm="1">
        <f t="array" ref="V29">INDEX('[3]Ukraine Corn Exports'!$GH$290:$OY$290,1,ROW(F4))</f>
        <v>383</v>
      </c>
      <c r="W29" s="213" cm="1">
        <f t="array" ref="W29">INDEX('[3]Ukraine Corn Exports'!$GT$290:$OY$290,1,ROW(G4))</f>
        <v>1</v>
      </c>
      <c r="X29" s="213" cm="1">
        <f t="array" ref="X29">INDEX('[3]Ukraine Corn Exports'!$HF$290:$OY$290,1,ROW(H4))</f>
        <v>1</v>
      </c>
      <c r="Y29" s="213" cm="1">
        <f t="array" ref="Y29">INDEX('[3]Ukraine Corn Exports'!$HR$290:$OY$290,1,ROW(I4))</f>
        <v>552</v>
      </c>
      <c r="Z29" s="213" cm="1">
        <f t="array" ref="Z29">INDEX('[3]Ukraine Corn Exports'!$ID$290:$OY$290,1,ROW(J4))</f>
        <v>696.556603</v>
      </c>
      <c r="AA29" s="213" cm="1">
        <f t="array" ref="AA29">INDEX('[3]Ukraine Corn Exports'!$IP$290:$OY$290,1,ROW(K4))</f>
        <v>315.19096100000002</v>
      </c>
      <c r="AB29" s="213" cm="1">
        <f t="array" ref="AB29">INDEX('[3]Ukraine Corn Exports'!$JB$290:$OY$290,1,ROW(L4))</f>
        <v>1776.476551</v>
      </c>
      <c r="AC29" s="213" cm="1">
        <f t="array" ref="AC29">INDEX('[3]Ukraine Corn Exports'!$JN$290:$OY$290,1,ROW(M4))</f>
        <v>1636.8878500000001</v>
      </c>
      <c r="AD29" s="213" cm="1">
        <f t="array" ref="AD29">INDEX('[3]Ukraine Corn Exports'!$JZ$290:$OY$290,1,ROW(N4))</f>
        <v>2510.3344739999998</v>
      </c>
      <c r="AE29" s="213" cm="1">
        <f t="array" ref="AE29">INDEX('[3]Ukraine Corn Exports'!$KL$290:$OY$290,1,ROW(O4))</f>
        <v>1894.7909520000001</v>
      </c>
      <c r="AF29" s="213" cm="1">
        <f t="array" ref="AF29">INDEX('[3]Ukraine Corn Exports'!$KX$290:$OY$290,1,ROW(A4))</f>
        <v>1675.9802830000001</v>
      </c>
      <c r="AG29" s="213" cm="1">
        <f t="array" ref="AG29">INDEX('[3]Ukraine Corn Exports'!$LJ$290:$OY$290,1,ROW(A4))</f>
        <v>2312.2631849999998</v>
      </c>
      <c r="AH29" s="213" cm="1">
        <f t="array" ref="AH29">INDEX('[3]Ukraine Corn Exports'!$LV$290:$OY$290,1,ROW(A4))</f>
        <v>2082.0567390000001</v>
      </c>
      <c r="AI29" s="213" cm="1">
        <f t="array" ref="AI29">INDEX('[3]Ukraine Corn Exports'!$MH$290:$OY$290,1,ROW(A4))</f>
        <v>3378.3320399999998</v>
      </c>
      <c r="AJ29" s="213" cm="1">
        <f t="array" ref="AJ29">INDEX('[3]Ukraine Corn Exports'!$MT$290:$OY$290,1,ROW(A4))</f>
        <v>4542.5581590000002</v>
      </c>
      <c r="AK29" s="213" cm="1">
        <f t="array" ref="AK29">INDEX('[3]Ukraine Corn Exports'!$NF$290:$OY$290,1,ROW(A4))</f>
        <v>1995.5410830000001</v>
      </c>
      <c r="AL29" s="213" cm="1">
        <f t="array" ref="AL29">INDEX('[3]Ukraine Corn Exports'!$NR$290:$OY$290,1,ROW(A4))</f>
        <v>4503.1841109999996</v>
      </c>
      <c r="AM29" s="213" cm="1">
        <f t="array" ref="AM29">INDEX('[3]Ukraine Corn Exports'!$OD$290:$OY$290,1,ROW(A4))</f>
        <v>2681.5767799999999</v>
      </c>
      <c r="AN29" s="213" cm="1">
        <f t="array" ref="AN29">INDEX('[3]Ukraine Corn Exports'!$OP$290:$ZZ$290,1,ROW(A4))</f>
        <v>3363.1904979999999</v>
      </c>
      <c r="AO29" s="222">
        <f t="shared" si="15"/>
        <v>2885.6296449495903</v>
      </c>
      <c r="AP29" s="222">
        <f t="shared" si="14"/>
        <v>2885.6296449495903</v>
      </c>
      <c r="AT29" s="42"/>
    </row>
    <row r="30" spans="1:46" ht="15.75">
      <c r="A30" s="93" t="s">
        <v>78</v>
      </c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 cm="1">
        <f t="array" ref="P30">INDEX('[3]Ukraine Corn Exports'!$DM$290:$OY$290,1,ROW(A5))/1000</f>
        <v>0</v>
      </c>
      <c r="Q30" s="213" cm="1">
        <f t="array" ref="Q30">INDEX('[3]Ukraine Corn Exports'!$DZ$290:$OY$290,1,ROW(A5))</f>
        <v>0</v>
      </c>
      <c r="R30" s="213" cm="1">
        <f t="array" ref="R30">INDEX('[3]Ukraine Corn Exports'!$EL$290:$OY$290,1,ROW(B5))</f>
        <v>31</v>
      </c>
      <c r="S30" s="213" cm="1">
        <f t="array" ref="S30">INDEX('[3]Ukraine Corn Exports'!$EX$290:$OY$290,1,ROW(C5))</f>
        <v>218</v>
      </c>
      <c r="T30" s="213" cm="1">
        <f t="array" ref="T30">INDEX('[3]Ukraine Corn Exports'!$FI$290:$OY$290,1,ROW(D5))</f>
        <v>119</v>
      </c>
      <c r="U30" s="213" cm="1">
        <f t="array" ref="U30">INDEX('[3]Ukraine Corn Exports'!$FV$290:$OY$290,1,ROW(E5))</f>
        <v>169</v>
      </c>
      <c r="V30" s="213" cm="1">
        <f t="array" ref="V30">INDEX('[3]Ukraine Corn Exports'!$GH$290:$OY$290,1,ROW(F5))</f>
        <v>315</v>
      </c>
      <c r="W30" s="213" cm="1">
        <f t="array" ref="W30">INDEX('[3]Ukraine Corn Exports'!$GT$290:$OY$290,1,ROW(G5))</f>
        <v>88</v>
      </c>
      <c r="X30" s="213" cm="1">
        <f t="array" ref="X30">INDEX('[3]Ukraine Corn Exports'!$HF$290:$OY$290,1,ROW(H5))</f>
        <v>100</v>
      </c>
      <c r="Y30" s="213" cm="1">
        <f t="array" ref="Y30">INDEX('[3]Ukraine Corn Exports'!$HR$290:$OY$290,1,ROW(I5))</f>
        <v>679</v>
      </c>
      <c r="Z30" s="213" cm="1">
        <f t="array" ref="Z30">INDEX('[3]Ukraine Corn Exports'!$ID$290:$OY$290,1,ROW(J5))</f>
        <v>555.53447500000004</v>
      </c>
      <c r="AA30" s="213" cm="1">
        <f t="array" ref="AA30">INDEX('[3]Ukraine Corn Exports'!$IP$290:$OY$290,1,ROW(K5))</f>
        <v>483.49068299999999</v>
      </c>
      <c r="AB30" s="213" cm="1">
        <f t="array" ref="AB30">INDEX('[3]Ukraine Corn Exports'!$JB$290:$OY$290,1,ROW(L5))</f>
        <v>1215.720474</v>
      </c>
      <c r="AC30" s="213" cm="1">
        <f t="array" ref="AC30">INDEX('[3]Ukraine Corn Exports'!$JN$290:$OY$290,1,ROW(M5))</f>
        <v>1432.3359270000001</v>
      </c>
      <c r="AD30" s="213" cm="1">
        <f t="array" ref="AD30">INDEX('[3]Ukraine Corn Exports'!$JZ$290:$OY$290,1,ROW(N5))</f>
        <v>2516.3874350000001</v>
      </c>
      <c r="AE30" s="213" cm="1">
        <f t="array" ref="AE30">INDEX('[3]Ukraine Corn Exports'!$KL$290:$OY$290,1,ROW(O5))</f>
        <v>2216.5367160000001</v>
      </c>
      <c r="AF30" s="213" cm="1">
        <f t="array" ref="AF30">INDEX('[3]Ukraine Corn Exports'!$KX$290:$OY$290,1,ROW(A5))</f>
        <v>2370.9245219999998</v>
      </c>
      <c r="AG30" s="213" cm="1">
        <f t="array" ref="AG30">INDEX('[3]Ukraine Corn Exports'!$LJ$290:$OY$290,1,ROW(A5))</f>
        <v>1811.9257</v>
      </c>
      <c r="AH30" s="213" cm="1">
        <f t="array" ref="AH30">INDEX('[3]Ukraine Corn Exports'!$LV$290:$OY$290,1,ROW(A5))</f>
        <v>2025.7516430000001</v>
      </c>
      <c r="AI30" s="213" cm="1">
        <f t="array" ref="AI30">INDEX('[3]Ukraine Corn Exports'!$MH$290:$OY$290,1,ROW(A5))</f>
        <v>3742.895458</v>
      </c>
      <c r="AJ30" s="213" cm="1">
        <f t="array" ref="AJ30">INDEX('[3]Ukraine Corn Exports'!$MT$290:$OY$290,1,ROW(A5))</f>
        <v>3457.330582</v>
      </c>
      <c r="AK30" s="213" cm="1">
        <f t="array" ref="AK30">INDEX('[3]Ukraine Corn Exports'!$NF$290:$OY$290,1,ROW(A5))</f>
        <v>2476.1427180000001</v>
      </c>
      <c r="AL30" s="213" cm="1">
        <f t="array" ref="AL30">INDEX('[3]Ukraine Corn Exports'!$NR$290:$OY$290,1,ROW(A5))</f>
        <v>3792.5958850000002</v>
      </c>
      <c r="AM30" s="213" cm="1">
        <f t="array" ref="AM30">INDEX('[3]Ukraine Corn Exports'!$OD$290:$OY$290,1,ROW(A5))</f>
        <v>3326.8100519999998</v>
      </c>
      <c r="AN30" s="213" cm="1">
        <f t="array" ref="AN30">INDEX('[3]Ukraine Corn Exports'!$OP$290:$ZZ$290,1,ROW(A5))</f>
        <v>3022.096822</v>
      </c>
      <c r="AO30" s="222">
        <f t="shared" si="15"/>
        <v>2714.8712396733936</v>
      </c>
      <c r="AP30" s="222">
        <f t="shared" si="14"/>
        <v>2714.8712396733936</v>
      </c>
      <c r="AT30" s="42"/>
    </row>
    <row r="31" spans="1:46" ht="15.75">
      <c r="A31" s="93" t="s">
        <v>79</v>
      </c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 cm="1">
        <f t="array" ref="P31">INDEX('[3]Ukraine Corn Exports'!$DM$290:$OY$290,1,ROW(A6))/1000</f>
        <v>0</v>
      </c>
      <c r="Q31" s="213" cm="1">
        <f t="array" ref="Q31">INDEX('[3]Ukraine Corn Exports'!$DZ$290:$OY$290,1,ROW(A6))</f>
        <v>0</v>
      </c>
      <c r="R31" s="213" cm="1">
        <f t="array" ref="R31">INDEX('[3]Ukraine Corn Exports'!$EL$290:$OY$290,1,ROW(B6))</f>
        <v>27</v>
      </c>
      <c r="S31" s="213" cm="1">
        <f t="array" ref="S31">INDEX('[3]Ukraine Corn Exports'!$EX$290:$OY$290,1,ROW(C6))</f>
        <v>135</v>
      </c>
      <c r="T31" s="213" cm="1">
        <f t="array" ref="T31">INDEX('[3]Ukraine Corn Exports'!$FI$290:$OY$290,1,ROW(D6))</f>
        <v>140</v>
      </c>
      <c r="U31" s="213" cm="1">
        <f t="array" ref="U31">INDEX('[3]Ukraine Corn Exports'!$FV$290:$OY$290,1,ROW(E6))</f>
        <v>445</v>
      </c>
      <c r="V31" s="213" cm="1">
        <f t="array" ref="V31">INDEX('[3]Ukraine Corn Exports'!$GH$290:$OY$290,1,ROW(F6))</f>
        <v>387</v>
      </c>
      <c r="W31" s="213" cm="1">
        <f t="array" ref="W31">INDEX('[3]Ukraine Corn Exports'!$GT$290:$OY$290,1,ROW(G6))</f>
        <v>252</v>
      </c>
      <c r="X31" s="213" cm="1">
        <f t="array" ref="X31">INDEX('[3]Ukraine Corn Exports'!$HF$290:$OY$290,1,ROW(H6))</f>
        <v>358</v>
      </c>
      <c r="Y31" s="213" cm="1">
        <f t="array" ref="Y31">INDEX('[3]Ukraine Corn Exports'!$HR$290:$OY$290,1,ROW(I6))</f>
        <v>1008</v>
      </c>
      <c r="Z31" s="213" cm="1">
        <f t="array" ref="Z31">INDEX('[3]Ukraine Corn Exports'!$ID$290:$OY$290,1,ROW(J6))</f>
        <v>500.22123800000003</v>
      </c>
      <c r="AA31" s="213" cm="1">
        <f t="array" ref="AA31">INDEX('[3]Ukraine Corn Exports'!$IP$290:$OY$290,1,ROW(K6))</f>
        <v>750.14603099999999</v>
      </c>
      <c r="AB31" s="213" cm="1">
        <f t="array" ref="AB31">INDEX('[3]Ukraine Corn Exports'!$JB$290:$OY$290,1,ROW(L6))</f>
        <v>1913.820039</v>
      </c>
      <c r="AC31" s="213" cm="1">
        <f t="array" ref="AC31">INDEX('[3]Ukraine Corn Exports'!$JN$290:$OY$290,1,ROW(M6))</f>
        <v>1473.992313</v>
      </c>
      <c r="AD31" s="213" cm="1">
        <f t="array" ref="AD31">INDEX('[3]Ukraine Corn Exports'!$JZ$290:$OY$290,1,ROW(N6))</f>
        <v>2717.7795310000001</v>
      </c>
      <c r="AE31" s="213" cm="1">
        <f t="array" ref="AE31">INDEX('[3]Ukraine Corn Exports'!$KL$290:$OY$290,1,ROW(O6))</f>
        <v>1836.6450560000001</v>
      </c>
      <c r="AF31" s="213" cm="1">
        <f t="array" ref="AF31">INDEX('[3]Ukraine Corn Exports'!$KX$290:$OY$290,1,ROW(A6))</f>
        <v>2367.4566100000002</v>
      </c>
      <c r="AG31" s="213" cm="1">
        <f t="array" ref="AG31">INDEX('[3]Ukraine Corn Exports'!$LJ$290:$OY$290,1,ROW(A6))</f>
        <v>3127.1517090000002</v>
      </c>
      <c r="AH31" s="213" cm="1">
        <f t="array" ref="AH31">INDEX('[3]Ukraine Corn Exports'!$LV$290:$OY$290,1,ROW(A6))</f>
        <v>2490.251385</v>
      </c>
      <c r="AI31" s="213" cm="1">
        <f t="array" ref="AI31">INDEX('[3]Ukraine Corn Exports'!$MH$290:$OY$290,1,ROW(A6))</f>
        <v>3772.680347</v>
      </c>
      <c r="AJ31" s="213" cm="1">
        <f t="array" ref="AJ31">INDEX('[3]Ukraine Corn Exports'!$MT$290:$OY$290,1,ROW(A6))</f>
        <v>3529.466383</v>
      </c>
      <c r="AK31" s="213" cm="1">
        <f t="array" ref="AK31">INDEX('[3]Ukraine Corn Exports'!$NF$290:$OY$290,1,ROW(A6))</f>
        <v>2620.1082999999999</v>
      </c>
      <c r="AL31" s="213" cm="1">
        <f t="array" ref="AL31">INDEX('[3]Ukraine Corn Exports'!$NR$290:$OY$290,1,ROW(A6))</f>
        <v>1107.367988</v>
      </c>
      <c r="AM31" s="213" cm="1">
        <f t="array" ref="AM31">INDEX('[3]Ukraine Corn Exports'!$OD$290:$OY$290,1,ROW(A6))</f>
        <v>3801.7647630000001</v>
      </c>
      <c r="AN31" s="213" cm="1">
        <f t="array" ref="AN31">INDEX('[3]Ukraine Corn Exports'!$OP$290:$ZZ$290,1,ROW(A6))</f>
        <v>2770.04882</v>
      </c>
      <c r="AO31" s="222">
        <f t="shared" si="15"/>
        <v>2335.511573805335</v>
      </c>
      <c r="AP31" s="222">
        <f t="shared" si="14"/>
        <v>2335.511573805335</v>
      </c>
      <c r="AT31" s="42"/>
    </row>
    <row r="32" spans="1:46" ht="15.75">
      <c r="A32" s="93" t="s">
        <v>80</v>
      </c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 cm="1">
        <f t="array" ref="P32">INDEX('[3]Ukraine Corn Exports'!$DM$290:$OY$290,1,ROW(A7))/1000</f>
        <v>0</v>
      </c>
      <c r="Q32" s="213" cm="1">
        <f t="array" ref="Q32">INDEX('[3]Ukraine Corn Exports'!$DZ$290:$OY$290,1,ROW(A7))</f>
        <v>0</v>
      </c>
      <c r="R32" s="213" cm="1">
        <f t="array" ref="R32">INDEX('[3]Ukraine Corn Exports'!$EL$290:$OY$290,1,ROW(B7))</f>
        <v>36</v>
      </c>
      <c r="S32" s="213" cm="1">
        <f t="array" ref="S32">INDEX('[3]Ukraine Corn Exports'!$EX$290:$OY$290,1,ROW(C7))</f>
        <v>13</v>
      </c>
      <c r="T32" s="213" cm="1">
        <f t="array" ref="T32">INDEX('[3]Ukraine Corn Exports'!$FI$290:$OY$290,1,ROW(D7))</f>
        <v>146</v>
      </c>
      <c r="U32" s="213" cm="1">
        <f t="array" ref="U32">INDEX('[3]Ukraine Corn Exports'!$FV$290:$OY$290,1,ROW(E7))</f>
        <v>299</v>
      </c>
      <c r="V32" s="213" cm="1">
        <f t="array" ref="V32">INDEX('[3]Ukraine Corn Exports'!$GH$290:$OY$290,1,ROW(F7))</f>
        <v>110</v>
      </c>
      <c r="W32" s="213" cm="1">
        <f t="array" ref="W32">INDEX('[3]Ukraine Corn Exports'!$GT$290:$OY$290,1,ROW(G7))</f>
        <v>187</v>
      </c>
      <c r="X32" s="213" cm="1">
        <f t="array" ref="X32">INDEX('[3]Ukraine Corn Exports'!$HF$290:$OY$290,1,ROW(H7))</f>
        <v>192</v>
      </c>
      <c r="Y32" s="213" cm="1">
        <f t="array" ref="Y32">INDEX('[3]Ukraine Corn Exports'!$HR$290:$OY$290,1,ROW(I7))</f>
        <v>795.90065300000003</v>
      </c>
      <c r="Z32" s="213" cm="1">
        <f t="array" ref="Z32">INDEX('[3]Ukraine Corn Exports'!$ID$290:$OY$290,1,ROW(J7))</f>
        <v>263.41884700000003</v>
      </c>
      <c r="AA32" s="213" cm="1">
        <f t="array" ref="AA32">INDEX('[3]Ukraine Corn Exports'!$IP$290:$OY$290,1,ROW(K7))</f>
        <v>264.50781699999999</v>
      </c>
      <c r="AB32" s="213" cm="1">
        <f t="array" ref="AB32">INDEX('[3]Ukraine Corn Exports'!$JB$290:$OY$290,1,ROW(L7))</f>
        <v>1414.8318790000001</v>
      </c>
      <c r="AC32" s="213" cm="1">
        <f t="array" ref="AC32">INDEX('[3]Ukraine Corn Exports'!$JN$290:$OY$290,1,ROW(M7))</f>
        <v>1321.771917</v>
      </c>
      <c r="AD32" s="213" cm="1">
        <f t="array" ref="AD32">INDEX('[3]Ukraine Corn Exports'!$JZ$290:$OY$290,1,ROW(N7))</f>
        <v>1395.1736880000001</v>
      </c>
      <c r="AE32" s="213" cm="1">
        <f t="array" ref="AE32">INDEX('[3]Ukraine Corn Exports'!$KL$290:$OY$290,1,ROW(O7))</f>
        <v>2013.4247250000001</v>
      </c>
      <c r="AF32" s="213" cm="1">
        <f t="array" ref="AF32">INDEX('[3]Ukraine Corn Exports'!$KX$290:$OY$290,1,ROW(A7))</f>
        <v>2046.063218</v>
      </c>
      <c r="AG32" s="213" cm="1">
        <f t="array" ref="AG32">INDEX('[3]Ukraine Corn Exports'!$LJ$290:$OY$290,1,ROW(A7))</f>
        <v>1950.0162769999999</v>
      </c>
      <c r="AH32" s="213" cm="1">
        <f t="array" ref="AH32">INDEX('[3]Ukraine Corn Exports'!$LV$290:$OY$290,1,ROW(A7))</f>
        <v>2300.6768769999999</v>
      </c>
      <c r="AI32" s="213" cm="1">
        <f t="array" ref="AI32">INDEX('[3]Ukraine Corn Exports'!$MH$290:$OY$290,1,ROW(A7))</f>
        <v>3654.196915</v>
      </c>
      <c r="AJ32" s="213" cm="1">
        <f t="array" ref="AJ32">INDEX('[3]Ukraine Corn Exports'!$MT$290:$OY$290,1,ROW(A7))</f>
        <v>3091.4266830000001</v>
      </c>
      <c r="AK32" s="213" cm="1">
        <f t="array" ref="AK32">INDEX('[3]Ukraine Corn Exports'!$NF$290:$OY$290,1,ROW(A7))</f>
        <v>2627.965224</v>
      </c>
      <c r="AL32" s="213" cm="1">
        <f t="array" ref="AL32">INDEX('[3]Ukraine Corn Exports'!$NR$290:$OY$290,1,ROW(A7))</f>
        <v>740.95979599999998</v>
      </c>
      <c r="AM32" s="213" cm="1">
        <f t="array" ref="AM32">INDEX('[3]Ukraine Corn Exports'!$OD$290:$OY$290,1,ROW(A7))</f>
        <v>2319.2728400000001</v>
      </c>
      <c r="AN32" s="213" cm="1">
        <f t="array" ref="AN32">INDEX('[3]Ukraine Corn Exports'!$OP$290:$ZZ$290,1,ROW(A7))</f>
        <v>4135.5002510000004</v>
      </c>
      <c r="AO32" s="222">
        <f t="shared" si="15"/>
        <v>2181.210144968923</v>
      </c>
      <c r="AP32" s="222">
        <f t="shared" si="14"/>
        <v>2181.210144968923</v>
      </c>
      <c r="AT32" s="42"/>
    </row>
    <row r="33" spans="1:46" ht="15.75">
      <c r="A33" s="93" t="s">
        <v>81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 cm="1">
        <f t="array" ref="P33">INDEX('[3]Ukraine Corn Exports'!$DM$290:$OY$290,1,ROW(A8))/1000</f>
        <v>0</v>
      </c>
      <c r="Q33" s="213" cm="1">
        <f t="array" ref="Q33">INDEX('[3]Ukraine Corn Exports'!$DZ$290:$OY$290,1,ROW(A8))</f>
        <v>0</v>
      </c>
      <c r="R33" s="213" cm="1">
        <f t="array" ref="R33">INDEX('[3]Ukraine Corn Exports'!$EL$290:$OY$290,1,ROW(B8))</f>
        <v>15</v>
      </c>
      <c r="S33" s="213" cm="1">
        <f t="array" ref="S33">INDEX('[3]Ukraine Corn Exports'!$EX$290:$OY$290,1,ROW(C8))</f>
        <v>3</v>
      </c>
      <c r="T33" s="213" cm="1">
        <f t="array" ref="T33">INDEX('[3]Ukraine Corn Exports'!$FI$290:$OY$290,1,ROW(D8))</f>
        <v>149</v>
      </c>
      <c r="U33" s="213" cm="1">
        <f t="array" ref="U33">INDEX('[3]Ukraine Corn Exports'!$FV$290:$OY$290,1,ROW(E8))</f>
        <v>299</v>
      </c>
      <c r="V33" s="213" cm="1">
        <f t="array" ref="V33">INDEX('[3]Ukraine Corn Exports'!$GH$290:$OY$290,1,ROW(F8))</f>
        <v>213</v>
      </c>
      <c r="W33" s="213" cm="1">
        <f t="array" ref="W33">INDEX('[3]Ukraine Corn Exports'!$GT$290:$OY$290,1,ROW(G8))</f>
        <v>203</v>
      </c>
      <c r="X33" s="213" cm="1">
        <f t="array" ref="X33">INDEX('[3]Ukraine Corn Exports'!$HF$290:$OY$290,1,ROW(H8))</f>
        <v>466</v>
      </c>
      <c r="Y33" s="213" cm="1">
        <f t="array" ref="Y33">INDEX('[3]Ukraine Corn Exports'!$HR$290:$OY$290,1,ROW(I8))</f>
        <v>724</v>
      </c>
      <c r="Z33" s="213" cm="1">
        <f t="array" ref="Z33">INDEX('[3]Ukraine Corn Exports'!$ID$290:$OY$290,1,ROW(J8))</f>
        <v>279.64773500000001</v>
      </c>
      <c r="AA33" s="213" cm="1">
        <f t="array" ref="AA33">INDEX('[3]Ukraine Corn Exports'!$IP$290:$OY$290,1,ROW(K8))</f>
        <v>1052.5037890000001</v>
      </c>
      <c r="AB33" s="213" cm="1">
        <f t="array" ref="AB33">INDEX('[3]Ukraine Corn Exports'!$JB$290:$OY$290,1,ROW(L8))</f>
        <v>1738.894029</v>
      </c>
      <c r="AC33" s="213" cm="1">
        <f t="array" ref="AC33">INDEX('[3]Ukraine Corn Exports'!$JN$290:$OY$290,1,ROW(M8))</f>
        <v>728.87366099999997</v>
      </c>
      <c r="AD33" s="213" cm="1">
        <f t="array" ref="AD33">INDEX('[3]Ukraine Corn Exports'!$JZ$290:$OY$290,1,ROW(N8))</f>
        <v>1293.8660050000001</v>
      </c>
      <c r="AE33" s="213" cm="1">
        <f t="array" ref="AE33">INDEX('[3]Ukraine Corn Exports'!$KL$290:$OY$290,1,ROW(O8))</f>
        <v>2075.7380830000002</v>
      </c>
      <c r="AF33" s="213" cm="1">
        <f t="array" ref="AF33">INDEX('[3]Ukraine Corn Exports'!$KX$290:$OY$290,1,ROW(A8))</f>
        <v>1002.836714</v>
      </c>
      <c r="AG33" s="213" cm="1">
        <f t="array" ref="AG33">INDEX('[3]Ukraine Corn Exports'!$LJ$290:$OY$290,1,ROW(A8))</f>
        <v>2655.0475580000002</v>
      </c>
      <c r="AH33" s="213" cm="1">
        <f t="array" ref="AH33">INDEX('[3]Ukraine Corn Exports'!$LV$290:$OY$290,1,ROW(A8))</f>
        <v>1811.4612970000001</v>
      </c>
      <c r="AI33" s="213" cm="1">
        <f t="array" ref="AI33">INDEX('[3]Ukraine Corn Exports'!$MH$290:$OY$290,1,ROW(A8))</f>
        <v>3805.499589</v>
      </c>
      <c r="AJ33" s="213" cm="1">
        <f t="array" ref="AJ33">INDEX('[3]Ukraine Corn Exports'!$MT$290:$OY$290,1,ROW(A8))</f>
        <v>2379.071524</v>
      </c>
      <c r="AK33" s="213" cm="1">
        <f t="array" ref="AK33">INDEX('[3]Ukraine Corn Exports'!$NF$290:$OY$290,1,ROW(A8))</f>
        <v>2245.3996569999999</v>
      </c>
      <c r="AL33" s="213" cm="1">
        <f t="array" ref="AL33">INDEX('[3]Ukraine Corn Exports'!$NR$290:$OY$290,1,ROW(A8))</f>
        <v>1074.4899250000001</v>
      </c>
      <c r="AM33" s="213" cm="1">
        <f t="array" ref="AM33">INDEX('[3]Ukraine Corn Exports'!$OD$290:$OY$290,1,ROW(A8))</f>
        <v>2201.4859740000002</v>
      </c>
      <c r="AN33" s="213" cm="1">
        <f t="array" ref="AN33">INDEX('[3]Ukraine Corn Exports'!$OP$290:$ZZ$290,1,ROW(A8))</f>
        <v>3679.1223949999999</v>
      </c>
      <c r="AO33" s="222">
        <f t="shared" si="15"/>
        <v>1955.6508215062986</v>
      </c>
      <c r="AP33" s="222">
        <f t="shared" si="14"/>
        <v>1955.6508215062986</v>
      </c>
      <c r="AT33" s="42"/>
    </row>
    <row r="34" spans="1:46" ht="15.75">
      <c r="A34" s="93" t="s">
        <v>82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 cm="1">
        <f t="array" ref="P34">INDEX('[3]Ukraine Corn Exports'!$DM$290:$OY$290,1,ROW(A9))/1000</f>
        <v>0</v>
      </c>
      <c r="Q34" s="213" cm="1">
        <f t="array" ref="Q34">INDEX('[3]Ukraine Corn Exports'!$DZ$290:$OY$290,1,ROW(A9))</f>
        <v>0</v>
      </c>
      <c r="R34" s="213" cm="1">
        <f t="array" ref="R34">INDEX('[3]Ukraine Corn Exports'!$EL$290:$OY$290,1,ROW(B9))</f>
        <v>42</v>
      </c>
      <c r="S34" s="213" cm="1">
        <f t="array" ref="S34">INDEX('[3]Ukraine Corn Exports'!$EX$290:$OY$290,1,ROW(C9))</f>
        <v>2</v>
      </c>
      <c r="T34" s="213" cm="1">
        <f t="array" ref="T34">INDEX('[3]Ukraine Corn Exports'!$FI$290:$OY$290,1,ROW(D9))</f>
        <v>61</v>
      </c>
      <c r="U34" s="213" cm="1">
        <f t="array" ref="U34">INDEX('[3]Ukraine Corn Exports'!$FV$290:$OY$290,1,ROW(E9))</f>
        <v>292</v>
      </c>
      <c r="V34" s="213" cm="1">
        <f t="array" ref="V34">INDEX('[3]Ukraine Corn Exports'!$GH$290:$OY$290,1,ROW(F9))</f>
        <v>109</v>
      </c>
      <c r="W34" s="213" cm="1">
        <f t="array" ref="W34">INDEX('[3]Ukraine Corn Exports'!$GT$290:$OY$290,1,ROW(G9))</f>
        <v>211</v>
      </c>
      <c r="X34" s="213" cm="1">
        <f t="array" ref="X34">INDEX('[3]Ukraine Corn Exports'!$HF$290:$OY$290,1,ROW(H9))</f>
        <v>478</v>
      </c>
      <c r="Y34" s="213" cm="1">
        <f t="array" ref="Y34">INDEX('[3]Ukraine Corn Exports'!$HR$290:$OY$290,1,ROW(I9))</f>
        <v>526</v>
      </c>
      <c r="Z34" s="213" cm="1">
        <f t="array" ref="Z34">INDEX('[3]Ukraine Corn Exports'!$ID$290:$OY$290,1,ROW(J9))</f>
        <v>160.09809200000001</v>
      </c>
      <c r="AA34" s="213" cm="1">
        <f t="array" ref="AA34">INDEX('[3]Ukraine Corn Exports'!$IP$290:$OY$290,1,ROW(K9))</f>
        <v>629.12134300000002</v>
      </c>
      <c r="AB34" s="213" cm="1">
        <f t="array" ref="AB34">INDEX('[3]Ukraine Corn Exports'!$JB$290:$OY$290,1,ROW(L9))</f>
        <v>1312.683487</v>
      </c>
      <c r="AC34" s="213" cm="1">
        <f t="array" ref="AC34">INDEX('[3]Ukraine Corn Exports'!$JN$290:$OY$290,1,ROW(M9))</f>
        <v>741.91698899999994</v>
      </c>
      <c r="AD34" s="213" cm="1">
        <f t="array" ref="AD34">INDEX('[3]Ukraine Corn Exports'!$JZ$290:$OY$290,1,ROW(N9))</f>
        <v>308.12559800000002</v>
      </c>
      <c r="AE34" s="213" cm="1">
        <f t="array" ref="AE34">INDEX('[3]Ukraine Corn Exports'!$KL$290:$OY$290,1,ROW(O9))</f>
        <v>1976.6492519999999</v>
      </c>
      <c r="AF34" s="213" cm="1">
        <f t="array" ref="AF34">INDEX('[3]Ukraine Corn Exports'!$KX$290:$OY$290,1,ROW(A9))</f>
        <v>919.73097099999995</v>
      </c>
      <c r="AG34" s="213" cm="1">
        <f t="array" ref="AG34">INDEX('[3]Ukraine Corn Exports'!$LJ$290:$OY$290,1,ROW(A9))</f>
        <v>1948.173528</v>
      </c>
      <c r="AH34" s="213" cm="1">
        <f t="array" ref="AH34">INDEX('[3]Ukraine Corn Exports'!$LV$290:$OY$290,1,ROW(A9))</f>
        <v>1469.6646740000001</v>
      </c>
      <c r="AI34" s="213" cm="1">
        <f t="array" ref="AI34">INDEX('[3]Ukraine Corn Exports'!$MH$290:$OY$290,1,ROW(A9))</f>
        <v>2211.2336150000001</v>
      </c>
      <c r="AJ34" s="213" cm="1">
        <f t="array" ref="AJ34">INDEX('[3]Ukraine Corn Exports'!$MT$290:$OY$290,1,ROW(A9))</f>
        <v>1546.6901769999999</v>
      </c>
      <c r="AK34" s="213" cm="1">
        <f t="array" ref="AK34">INDEX('[3]Ukraine Corn Exports'!$NF$290:$OY$290,1,ROW(A9))</f>
        <v>1698.2049219999999</v>
      </c>
      <c r="AL34" s="213" cm="1">
        <f t="array" ref="AL34">INDEX('[3]Ukraine Corn Exports'!$NR$290:$OY$290,1,ROW(A9))</f>
        <v>1179.672458</v>
      </c>
      <c r="AM34" s="213" cm="1">
        <f t="array" ref="AM34">INDEX('[3]Ukraine Corn Exports'!$OD$290:$OY$290,1,ROW(A9))</f>
        <v>2325.4534819999999</v>
      </c>
      <c r="AN34" s="213" cm="1">
        <f t="array" ref="AN34">INDEX('[3]Ukraine Corn Exports'!$OP$290:$ZZ$290,1,ROW(A9))</f>
        <v>2808.6483400000002</v>
      </c>
      <c r="AO34" s="222">
        <f t="shared" si="15"/>
        <v>1614.3449602256007</v>
      </c>
      <c r="AP34" s="222">
        <f t="shared" si="14"/>
        <v>1614.3449602256007</v>
      </c>
      <c r="AT34" s="42"/>
    </row>
    <row r="35" spans="1:46" ht="15.75">
      <c r="A35" s="93" t="s">
        <v>83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 cm="1">
        <f t="array" ref="P35">INDEX('[3]Ukraine Corn Exports'!$DM$290:$OY$290,1,ROW(A10))/1000</f>
        <v>0</v>
      </c>
      <c r="Q35" s="213" cm="1">
        <f t="array" ref="Q35">INDEX('[3]Ukraine Corn Exports'!$DZ$290:$OY$290,1,ROW(A10))</f>
        <v>0</v>
      </c>
      <c r="R35" s="213" cm="1">
        <f t="array" ref="R35">INDEX('[3]Ukraine Corn Exports'!$EL$290:$OY$290,1,ROW(B10))</f>
        <v>22</v>
      </c>
      <c r="S35" s="213" cm="1">
        <f t="array" ref="S35">INDEX('[3]Ukraine Corn Exports'!$EX$290:$OY$290,1,ROW(C10))</f>
        <v>0</v>
      </c>
      <c r="T35" s="213" cm="1">
        <f t="array" ref="T35">INDEX('[3]Ukraine Corn Exports'!$FI$290:$OY$290,1,ROW(D10))</f>
        <v>100</v>
      </c>
      <c r="U35" s="213" cm="1">
        <f t="array" ref="U35">INDEX('[3]Ukraine Corn Exports'!$FV$290:$OY$290,1,ROW(E10))</f>
        <v>139</v>
      </c>
      <c r="V35" s="213" cm="1">
        <f t="array" ref="V35">INDEX('[3]Ukraine Corn Exports'!$GH$290:$OY$290,1,ROW(F10))</f>
        <v>63</v>
      </c>
      <c r="W35" s="213" cm="1">
        <f t="array" ref="W35">INDEX('[3]Ukraine Corn Exports'!$GT$290:$OY$290,1,ROW(G10))</f>
        <v>9</v>
      </c>
      <c r="X35" s="213" cm="1">
        <f t="array" ref="X35">INDEX('[3]Ukraine Corn Exports'!$HF$290:$OY$290,1,ROW(H10))</f>
        <v>268</v>
      </c>
      <c r="Y35" s="213" cm="1">
        <f t="array" ref="Y35">INDEX('[3]Ukraine Corn Exports'!$HR$290:$OY$290,1,ROW(I10))</f>
        <v>287</v>
      </c>
      <c r="Z35" s="213" cm="1">
        <f t="array" ref="Z35">INDEX('[3]Ukraine Corn Exports'!$ID$290:$OY$290,1,ROW(J10))</f>
        <v>65.368092000000004</v>
      </c>
      <c r="AA35" s="213" cm="1">
        <f t="array" ref="AA35">INDEX('[3]Ukraine Corn Exports'!$IP$290:$OY$290,1,ROW(K10))</f>
        <v>33.341566999999998</v>
      </c>
      <c r="AB35" s="213" cm="1">
        <f t="array" ref="AB35">INDEX('[3]Ukraine Corn Exports'!$JB$290:$OY$290,1,ROW(L10))</f>
        <v>939.08806700000002</v>
      </c>
      <c r="AC35" s="213" cm="1">
        <f t="array" ref="AC35">INDEX('[3]Ukraine Corn Exports'!$JN$290:$OY$290,1,ROW(M10))</f>
        <v>556.67978500000004</v>
      </c>
      <c r="AD35" s="213" cm="1">
        <f t="array" ref="AD35">INDEX('[3]Ukraine Corn Exports'!$JZ$290:$OY$290,1,ROW(N10))</f>
        <v>373.82065</v>
      </c>
      <c r="AE35" s="213" cm="1">
        <f t="array" ref="AE35">INDEX('[3]Ukraine Corn Exports'!$KL$290:$OY$290,1,ROW(O10))</f>
        <v>999.34350700000005</v>
      </c>
      <c r="AF35" s="213" cm="1">
        <f t="array" ref="AF35">INDEX('[3]Ukraine Corn Exports'!$KX$290:$OY$290,1,ROW(A10))</f>
        <v>438.632296</v>
      </c>
      <c r="AG35" s="213" cm="1">
        <f t="array" ref="AG35">INDEX('[3]Ukraine Corn Exports'!$LJ$290:$OY$290,1,ROW(A10))</f>
        <v>873.03268400000002</v>
      </c>
      <c r="AH35" s="213" cm="1">
        <f t="array" ref="AH35">INDEX('[3]Ukraine Corn Exports'!$LV$290:$OY$290,1,ROW(A10))</f>
        <v>700.41141100000004</v>
      </c>
      <c r="AI35" s="213" cm="1">
        <f t="array" ref="AI35">INDEX('[3]Ukraine Corn Exports'!$MH$290:$OY$290,1,ROW(A10))</f>
        <v>1574.867947</v>
      </c>
      <c r="AJ35" s="213" cm="1">
        <f t="array" ref="AJ35">INDEX('[3]Ukraine Corn Exports'!$MT$290:$OY$290,1,ROW(A10))</f>
        <v>424.65196300000002</v>
      </c>
      <c r="AK35" s="213" cm="1">
        <f t="array" ref="AK35">INDEX('[3]Ukraine Corn Exports'!$NF$290:$OY$290,1,ROW(A10))</f>
        <v>961.50103000000001</v>
      </c>
      <c r="AL35" s="213" cm="1">
        <f t="array" ref="AL35">INDEX('[3]Ukraine Corn Exports'!$NR$290:$OY$290,1,ROW(A10))</f>
        <v>1132.3324540000001</v>
      </c>
      <c r="AM35" s="213" cm="1">
        <f t="array" ref="AM35">INDEX('[3]Ukraine Corn Exports'!$OD$290:$OY$290,1,ROW(A10))</f>
        <v>1153.243731</v>
      </c>
      <c r="AN35" s="213" cm="1">
        <f t="array" ref="AN35">INDEX('[3]Ukraine Corn Exports'!$OP$290:$ZZ$290,1,ROW(A10))</f>
        <v>1560.3205089999999</v>
      </c>
      <c r="AO35" s="222">
        <f t="shared" si="15"/>
        <v>883.63062984630722</v>
      </c>
      <c r="AP35" s="222">
        <f t="shared" si="14"/>
        <v>883.63062984630722</v>
      </c>
      <c r="AT35" s="42"/>
    </row>
    <row r="36" spans="1:46" ht="15.75">
      <c r="A36" s="93" t="s">
        <v>84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 cm="1">
        <f t="array" ref="P36">INDEX('[3]Ukraine Corn Exports'!$DM$290:$OY$290,1,ROW(A11))/1000</f>
        <v>0</v>
      </c>
      <c r="Q36" s="213" cm="1">
        <f t="array" ref="Q36">INDEX('[3]Ukraine Corn Exports'!$DZ$290:$OY$290,1,ROW(A11))</f>
        <v>0</v>
      </c>
      <c r="R36" s="213" cm="1">
        <f t="array" ref="R36">INDEX('[3]Ukraine Corn Exports'!$EL$290:$OY$290,1,ROW(B11))</f>
        <v>25</v>
      </c>
      <c r="S36" s="213" cm="1">
        <f t="array" ref="S36">INDEX('[3]Ukraine Corn Exports'!$EX$290:$OY$290,1,ROW(C11))</f>
        <v>0</v>
      </c>
      <c r="T36" s="213" cm="1">
        <f t="array" ref="T36">INDEX('[3]Ukraine Corn Exports'!$FI$290:$OY$290,1,ROW(D11))</f>
        <v>76</v>
      </c>
      <c r="U36" s="213" cm="1">
        <f t="array" ref="U36">INDEX('[3]Ukraine Corn Exports'!$FV$290:$OY$290,1,ROW(E11))</f>
        <v>45</v>
      </c>
      <c r="V36" s="213" cm="1">
        <f t="array" ref="V36">INDEX('[3]Ukraine Corn Exports'!$GH$290:$OY$290,1,ROW(F11))</f>
        <v>21</v>
      </c>
      <c r="W36" s="213" cm="1">
        <f t="array" ref="W36">INDEX('[3]Ukraine Corn Exports'!$GT$290:$OY$290,1,ROW(G11))</f>
        <v>0</v>
      </c>
      <c r="X36" s="213" cm="1">
        <f t="array" ref="X36">INDEX('[3]Ukraine Corn Exports'!$HF$290:$OY$290,1,ROW(H11))</f>
        <v>158</v>
      </c>
      <c r="Y36" s="213" cm="1">
        <f t="array" ref="Y36">INDEX('[3]Ukraine Corn Exports'!$HR$290:$OY$290,1,ROW(I11))</f>
        <v>149</v>
      </c>
      <c r="Z36" s="213" cm="1">
        <f t="array" ref="Z36">INDEX('[3]Ukraine Corn Exports'!$ID$290:$OY$290,1,ROW(J11))</f>
        <v>4.0765640000000003</v>
      </c>
      <c r="AA36" s="213" cm="1">
        <f t="array" ref="AA36">INDEX('[3]Ukraine Corn Exports'!$IP$290:$OY$290,1,ROW(K11))</f>
        <v>12.799662</v>
      </c>
      <c r="AB36" s="213" cm="1">
        <f t="array" ref="AB36">INDEX('[3]Ukraine Corn Exports'!$JB$290:$OY$290,1,ROW(L11))</f>
        <v>245.82250400000001</v>
      </c>
      <c r="AC36" s="213" cm="1">
        <f t="array" ref="AC36">INDEX('[3]Ukraine Corn Exports'!$JN$290:$OY$290,1,ROW(M11))</f>
        <v>28.224482999999999</v>
      </c>
      <c r="AD36" s="213" cm="1">
        <f t="array" ref="AD36">INDEX('[3]Ukraine Corn Exports'!$JZ$290:$OY$290,1,ROW(N11))</f>
        <v>87.511883999999995</v>
      </c>
      <c r="AE36" s="213" cm="1">
        <f t="array" ref="AE36">INDEX('[3]Ukraine Corn Exports'!$KL$290:$OY$290,1,ROW(O11))</f>
        <v>309.34798499999999</v>
      </c>
      <c r="AF36" s="213" cm="1">
        <f t="array" ref="AF36">INDEX('[3]Ukraine Corn Exports'!$KX$290:$OY$290,1,ROW(A11))</f>
        <v>135.97869900000001</v>
      </c>
      <c r="AG36" s="213" cm="1">
        <f t="array" ref="AG36">INDEX('[3]Ukraine Corn Exports'!$LJ$290:$OY$290,1,ROW(A11))</f>
        <v>269.91936299999998</v>
      </c>
      <c r="AH36" s="213" cm="1">
        <f t="array" ref="AH36">INDEX('[3]Ukraine Corn Exports'!$LV$290:$OY$290,1,ROW(A11))</f>
        <v>541.72435299999995</v>
      </c>
      <c r="AI36" s="213" cm="1">
        <f t="array" ref="AI36">INDEX('[3]Ukraine Corn Exports'!$MH$290:$OY$290,1,ROW(A11))</f>
        <v>279.04677900000002</v>
      </c>
      <c r="AJ36" s="213" cm="1">
        <f t="array" ref="AJ36">INDEX('[3]Ukraine Corn Exports'!$MT$290:$OY$290,1,ROW(A11))</f>
        <v>178.791392</v>
      </c>
      <c r="AK36" s="213" cm="1">
        <f t="array" ref="AK36">INDEX('[3]Ukraine Corn Exports'!$NF$290:$OY$290,1,ROW(A11))</f>
        <v>301.502115</v>
      </c>
      <c r="AL36" s="213" cm="1">
        <f t="array" ref="AL36">INDEX('[3]Ukraine Corn Exports'!$NR$290:$OY$290,1,ROW(A11))</f>
        <v>1524.7293340000001</v>
      </c>
      <c r="AM36" s="213" cm="1">
        <f t="array" ref="AM36">INDEX('[3]Ukraine Corn Exports'!$OD$290:$OY$290,1,ROW(A11))</f>
        <v>900.82476799999995</v>
      </c>
      <c r="AN36" s="213" cm="1">
        <f t="array" ref="AN36">INDEX('[3]Ukraine Corn Exports'!$OP$290:$ZZ$290,1,ROW(A11))</f>
        <v>774.56079999999997</v>
      </c>
      <c r="AO36" s="222">
        <f>(SUM(AJ36:AN36)/SUM(AJ$38:AN$38))*AO$38</f>
        <v>621.57697175866201</v>
      </c>
      <c r="AP36" s="222">
        <f t="shared" si="14"/>
        <v>621.57697175866201</v>
      </c>
      <c r="AT36" s="42"/>
    </row>
    <row r="37" spans="1:46" ht="15.75">
      <c r="A37" s="93" t="s">
        <v>73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 cm="1">
        <f t="array" ref="P37">INDEX('[3]Ukraine Corn Exports'!$DM$290:$OY$290,1,ROW(A12))/1000</f>
        <v>0</v>
      </c>
      <c r="Q37" s="213" cm="1">
        <f t="array" ref="Q37">INDEX('[3]Ukraine Corn Exports'!$DZ$290:$OY$290,1,ROW(A12))</f>
        <v>0</v>
      </c>
      <c r="R37" s="213" cm="1">
        <f t="array" ref="R37">INDEX('[3]Ukraine Corn Exports'!$EL$290:$OY$290,1,ROW(B12))</f>
        <v>8</v>
      </c>
      <c r="S37" s="213" cm="1">
        <f t="array" ref="S37">INDEX('[3]Ukraine Corn Exports'!$EX$290:$OY$290,1,ROW(C12))</f>
        <v>16</v>
      </c>
      <c r="T37" s="213" cm="1">
        <f t="array" ref="T37">INDEX('[3]Ukraine Corn Exports'!$FI$290:$OY$290,1,ROW(D12))</f>
        <v>44</v>
      </c>
      <c r="U37" s="213" cm="1">
        <f t="array" ref="U37">INDEX('[3]Ukraine Corn Exports'!$FV$290:$OY$290,1,ROW(E12))</f>
        <v>44</v>
      </c>
      <c r="V37" s="213" cm="1">
        <f t="array" ref="V37">INDEX('[3]Ukraine Corn Exports'!$GH$290:$OY$290,1,ROW(F12))</f>
        <v>8</v>
      </c>
      <c r="W37" s="213" cm="1">
        <f t="array" ref="W37">INDEX('[3]Ukraine Corn Exports'!$GT$290:$OY$290,1,ROW(G12))</f>
        <v>3</v>
      </c>
      <c r="X37" s="213" cm="1">
        <f t="array" ref="X37">INDEX('[3]Ukraine Corn Exports'!$HF$290:$OY$290,1,ROW(H12))</f>
        <v>54</v>
      </c>
      <c r="Y37" s="213" cm="1">
        <f t="array" ref="Y37">INDEX('[3]Ukraine Corn Exports'!$HR$290:$OY$290,1,ROW(I12))</f>
        <v>34</v>
      </c>
      <c r="Z37" s="213" cm="1">
        <f t="array" ref="Z37">INDEX('[3]Ukraine Corn Exports'!$ID$290:$OY$290,1,ROW(J12))</f>
        <v>127.328445</v>
      </c>
      <c r="AA37" s="213" cm="1">
        <f t="array" ref="AA37">INDEX('[3]Ukraine Corn Exports'!$IP$290:$OY$290,1,ROW(K12))</f>
        <v>62.634537999999999</v>
      </c>
      <c r="AB37" s="213" cm="1">
        <f t="array" ref="AB37">INDEX('[3]Ukraine Corn Exports'!$JB$290:$OY$290,1,ROW(L12))</f>
        <v>396.628625</v>
      </c>
      <c r="AC37" s="213" cm="1">
        <f t="array" ref="AC37">INDEX('[3]Ukraine Corn Exports'!$JN$290:$OY$290,1,ROW(M12))</f>
        <v>178.17250200000001</v>
      </c>
      <c r="AD37" s="213" cm="1">
        <f t="array" ref="AD37">INDEX('[3]Ukraine Corn Exports'!$JZ$290:$OY$290,1,ROW(N12))</f>
        <v>173.376891</v>
      </c>
      <c r="AE37" s="213" cm="1">
        <f t="array" ref="AE37">INDEX('[3]Ukraine Corn Exports'!$KL$290:$OY$290,1,ROW(O12))</f>
        <v>150.328866</v>
      </c>
      <c r="AF37" s="213" cm="1">
        <f t="array" ref="AF37">INDEX('[3]Ukraine Corn Exports'!$KX$290:$OY$290,1,ROW(A12))</f>
        <v>67.832446000000004</v>
      </c>
      <c r="AG37" s="213" cm="1">
        <f t="array" ref="AG37">INDEX('[3]Ukraine Corn Exports'!$LJ$290:$OY$290,1,ROW(A12))</f>
        <v>119.427806</v>
      </c>
      <c r="AH37" s="213" cm="1">
        <f t="array" ref="AH37">INDEX('[3]Ukraine Corn Exports'!$LV$290:$OY$290,1,ROW(A12))</f>
        <v>285.41663799999998</v>
      </c>
      <c r="AI37" s="213" cm="1">
        <f t="array" ref="AI37">INDEX('[3]Ukraine Corn Exports'!$MH$290:$OY$290,1,ROW(A12))</f>
        <v>175.48845700000001</v>
      </c>
      <c r="AJ37" s="213" cm="1">
        <f t="array" ref="AJ37">INDEX('[3]Ukraine Corn Exports'!$MT$290:$OY$290,1,ROW(A12))</f>
        <v>29.239004000000001</v>
      </c>
      <c r="AK37" s="213" cm="1">
        <f t="array" ref="AK37">INDEX('[3]Ukraine Corn Exports'!$NF$290:$OY$290,1,ROW(A12))</f>
        <v>164.58469299999999</v>
      </c>
      <c r="AL37" s="213" cm="1">
        <f t="array" ref="AL37">INDEX('[3]Ukraine Corn Exports'!$NR$290:$OY$290,1,ROW(A12))</f>
        <v>2148.5365510000001</v>
      </c>
      <c r="AM37" s="213" cm="1">
        <f t="array" ref="AM37">INDEX('[3]Ukraine Corn Exports'!$OD$290:$OY$290,1,ROW(A12))</f>
        <v>630.73529799999994</v>
      </c>
      <c r="AN37" s="213" cm="1">
        <f t="array" ref="AN37">INDEX('[3]Ukraine Corn Exports'!$OP$290:$ZZ$290,1,ROW(A12))</f>
        <v>428.401544</v>
      </c>
      <c r="AO37" s="222">
        <f t="shared" ref="AO37" si="16">(SUM(AJ37:AN37)/SUM(AJ$38:AN$38))*AO$38</f>
        <v>574.47218506453021</v>
      </c>
      <c r="AP37" s="222">
        <f t="shared" si="14"/>
        <v>574.47218506453021</v>
      </c>
      <c r="AT37" s="42"/>
    </row>
    <row r="38" spans="1:46" ht="16.5" thickBot="1">
      <c r="A38" s="268" t="s">
        <v>85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268">
        <f>SUM(P26:P37)</f>
        <v>0</v>
      </c>
      <c r="Q38" s="222">
        <f t="shared" ref="Q38:AN38" si="17">SUM(Q26:Q37)</f>
        <v>0</v>
      </c>
      <c r="R38" s="222">
        <f t="shared" si="17"/>
        <v>234</v>
      </c>
      <c r="S38" s="222">
        <f t="shared" si="17"/>
        <v>806</v>
      </c>
      <c r="T38" s="222">
        <f t="shared" si="17"/>
        <v>1246</v>
      </c>
      <c r="U38" s="222">
        <f t="shared" si="17"/>
        <v>2329</v>
      </c>
      <c r="V38" s="222">
        <f t="shared" si="17"/>
        <v>2462</v>
      </c>
      <c r="W38" s="222">
        <f t="shared" si="17"/>
        <v>1027</v>
      </c>
      <c r="X38" s="222">
        <f t="shared" si="17"/>
        <v>2075</v>
      </c>
      <c r="Y38" s="222">
        <f t="shared" si="17"/>
        <v>5491.9006530000006</v>
      </c>
      <c r="Z38" s="222">
        <f t="shared" si="17"/>
        <v>5074.250090999999</v>
      </c>
      <c r="AA38" s="222">
        <f t="shared" si="17"/>
        <v>5008.248504000001</v>
      </c>
      <c r="AB38" s="222">
        <f t="shared" si="17"/>
        <v>15157.186214999998</v>
      </c>
      <c r="AC38" s="222">
        <f t="shared" si="17"/>
        <v>12725.273030999999</v>
      </c>
      <c r="AD38" s="222">
        <f t="shared" si="17"/>
        <v>20007.097635999999</v>
      </c>
      <c r="AE38" s="222">
        <f t="shared" si="17"/>
        <v>19654.521804000004</v>
      </c>
      <c r="AF38" s="222">
        <f t="shared" si="17"/>
        <v>16593.475732999999</v>
      </c>
      <c r="AG38" s="222">
        <f t="shared" si="17"/>
        <v>21333.632491</v>
      </c>
      <c r="AH38" s="222">
        <f t="shared" si="17"/>
        <v>18034.994576000001</v>
      </c>
      <c r="AI38" s="222">
        <f t="shared" si="17"/>
        <v>30321.271999000001</v>
      </c>
      <c r="AJ38" s="222">
        <f t="shared" si="17"/>
        <v>28928.805970999998</v>
      </c>
      <c r="AK38" s="222">
        <f t="shared" si="17"/>
        <v>23864.210911999999</v>
      </c>
      <c r="AL38" s="222">
        <f t="shared" si="17"/>
        <v>26787.742817999999</v>
      </c>
      <c r="AM38" s="222">
        <f t="shared" si="17"/>
        <v>27115.782237999996</v>
      </c>
      <c r="AN38" s="222">
        <f t="shared" si="17"/>
        <v>29488.351087999999</v>
      </c>
      <c r="AO38" s="222">
        <v>23000</v>
      </c>
      <c r="AP38" s="269">
        <v>23000</v>
      </c>
    </row>
    <row r="39" spans="1:46" ht="15.75">
      <c r="A39" s="98" t="s">
        <v>287</v>
      </c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</row>
    <row r="40" spans="1:46" ht="16.5" thickBot="1">
      <c r="A40" s="93" t="s">
        <v>86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46" ht="16.5" thickBo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5" t="str">
        <f t="shared" ref="P41:AP41" si="18">P2</f>
        <v xml:space="preserve">99/00 </v>
      </c>
      <c r="Q41" s="95" t="str">
        <f t="shared" si="18"/>
        <v xml:space="preserve">00/01 </v>
      </c>
      <c r="R41" s="95" t="str">
        <f t="shared" si="18"/>
        <v xml:space="preserve">01/02 </v>
      </c>
      <c r="S41" s="95" t="str">
        <f t="shared" si="18"/>
        <v xml:space="preserve">02/03 </v>
      </c>
      <c r="T41" s="95" t="str">
        <f t="shared" si="18"/>
        <v xml:space="preserve">03/04 </v>
      </c>
      <c r="U41" s="95" t="str">
        <f t="shared" si="18"/>
        <v xml:space="preserve">04/05 </v>
      </c>
      <c r="V41" s="95" t="str">
        <f t="shared" si="18"/>
        <v xml:space="preserve">05/06 </v>
      </c>
      <c r="W41" s="95" t="str">
        <f t="shared" si="18"/>
        <v xml:space="preserve">06/07 </v>
      </c>
      <c r="X41" s="95" t="str">
        <f t="shared" si="18"/>
        <v xml:space="preserve">07/08 </v>
      </c>
      <c r="Y41" s="95" t="str">
        <f t="shared" si="18"/>
        <v xml:space="preserve">08/09 </v>
      </c>
      <c r="Z41" s="95" t="str">
        <f t="shared" si="18"/>
        <v xml:space="preserve">09/10 </v>
      </c>
      <c r="AA41" s="95" t="str">
        <f t="shared" si="18"/>
        <v xml:space="preserve">10/11 </v>
      </c>
      <c r="AB41" s="95" t="str">
        <f t="shared" si="18"/>
        <v xml:space="preserve">11/12 </v>
      </c>
      <c r="AC41" s="95" t="str">
        <f t="shared" si="18"/>
        <v xml:space="preserve">12/13 </v>
      </c>
      <c r="AD41" s="95" t="str">
        <f t="shared" si="18"/>
        <v xml:space="preserve">13/14 </v>
      </c>
      <c r="AE41" s="95" t="str">
        <f t="shared" si="18"/>
        <v xml:space="preserve">14/15 </v>
      </c>
      <c r="AF41" s="95" t="str">
        <f t="shared" si="18"/>
        <v xml:space="preserve">15/16 </v>
      </c>
      <c r="AG41" s="95" t="str">
        <f t="shared" si="18"/>
        <v xml:space="preserve">16/17 </v>
      </c>
      <c r="AH41" s="95" t="str">
        <f t="shared" si="18"/>
        <v xml:space="preserve">17/18 </v>
      </c>
      <c r="AI41" s="95" t="str">
        <f t="shared" si="18"/>
        <v xml:space="preserve">18/19 </v>
      </c>
      <c r="AJ41" s="95" t="str">
        <f t="shared" si="18"/>
        <v>19/20</v>
      </c>
      <c r="AK41" s="95" t="str">
        <f t="shared" si="18"/>
        <v>20/21</v>
      </c>
      <c r="AL41" s="95" t="str">
        <f t="shared" si="18"/>
        <v>21/22</v>
      </c>
      <c r="AM41" s="95" t="str">
        <f t="shared" si="18"/>
        <v>22/23</v>
      </c>
      <c r="AN41" s="95" t="str">
        <f t="shared" si="18"/>
        <v>23/24</v>
      </c>
      <c r="AO41" s="95" t="str">
        <f t="shared" si="18"/>
        <v>24/25</v>
      </c>
      <c r="AP41" s="95" t="str">
        <f t="shared" si="18"/>
        <v>25/26</v>
      </c>
    </row>
    <row r="42" spans="1:46" ht="15.75">
      <c r="A42" s="93" t="s">
        <v>74</v>
      </c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108"/>
      <c r="AP42" s="108"/>
    </row>
    <row r="43" spans="1:46" ht="15.75">
      <c r="A43" s="93" t="s">
        <v>75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108"/>
      <c r="AP43" s="108"/>
    </row>
    <row r="44" spans="1:46" ht="15.75">
      <c r="A44" s="93" t="s">
        <v>76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108"/>
      <c r="AP44" s="108"/>
    </row>
    <row r="45" spans="1:46" ht="15.75">
      <c r="A45" s="93" t="s">
        <v>77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108"/>
      <c r="AP45" s="108"/>
    </row>
    <row r="46" spans="1:46" ht="15.75">
      <c r="A46" s="93" t="s">
        <v>78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108"/>
      <c r="AP46" s="108"/>
    </row>
    <row r="47" spans="1:46" ht="15.75">
      <c r="A47" s="93" t="s">
        <v>79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108"/>
      <c r="AP47" s="108"/>
    </row>
    <row r="48" spans="1:46" ht="15.75">
      <c r="A48" s="93" t="s">
        <v>80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108"/>
      <c r="AP48" s="108"/>
    </row>
    <row r="49" spans="1:42" ht="15.75">
      <c r="A49" s="93" t="s">
        <v>81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108"/>
      <c r="AP49" s="108"/>
    </row>
    <row r="50" spans="1:42" ht="15.75">
      <c r="A50" s="93" t="s">
        <v>82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108"/>
      <c r="AP50" s="108"/>
    </row>
    <row r="51" spans="1:42" ht="15.75">
      <c r="A51" s="93" t="s">
        <v>83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108"/>
      <c r="AP51" s="108"/>
    </row>
    <row r="52" spans="1:42" ht="15.75">
      <c r="A52" s="93" t="s">
        <v>84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108"/>
      <c r="AO52" s="108"/>
      <c r="AP52" s="108"/>
    </row>
    <row r="53" spans="1:42" ht="15.75">
      <c r="A53" s="93" t="s">
        <v>73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108"/>
      <c r="AO53" s="108"/>
      <c r="AP53" s="108"/>
    </row>
    <row r="54" spans="1:42" ht="16.5" thickBot="1">
      <c r="A54" s="93" t="s">
        <v>85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108"/>
      <c r="AO54" s="108"/>
      <c r="AP54" s="108"/>
    </row>
    <row r="55" spans="1:42" ht="15.75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</row>
    <row r="56" spans="1:42" ht="15.75" thickBot="1">
      <c r="A56" s="265" t="s">
        <v>282</v>
      </c>
      <c r="B56" s="252"/>
      <c r="C56" s="252"/>
      <c r="D56" s="252"/>
      <c r="E56" s="252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  <c r="AA56" s="252"/>
      <c r="AB56" s="252"/>
      <c r="AC56" s="252"/>
      <c r="AD56" s="252"/>
      <c r="AE56" s="252"/>
      <c r="AF56" s="252"/>
      <c r="AG56" s="252"/>
      <c r="AH56" s="252"/>
      <c r="AI56" s="252"/>
      <c r="AJ56" s="252"/>
      <c r="AK56" s="252"/>
      <c r="AL56" s="252"/>
      <c r="AM56" s="252"/>
      <c r="AN56" s="252"/>
      <c r="AO56" s="252"/>
      <c r="AP56" s="252"/>
    </row>
    <row r="57" spans="1:42" ht="14.25" thickBot="1">
      <c r="A57" s="266"/>
      <c r="B57" s="266" t="str">
        <f t="shared" ref="B57:AP57" si="19">B2</f>
        <v xml:space="preserve">85/86 </v>
      </c>
      <c r="C57" s="266" t="str">
        <f t="shared" si="19"/>
        <v xml:space="preserve">86/87 </v>
      </c>
      <c r="D57" s="266" t="str">
        <f t="shared" si="19"/>
        <v xml:space="preserve">87/88 </v>
      </c>
      <c r="E57" s="266" t="str">
        <f t="shared" si="19"/>
        <v xml:space="preserve">88/89 </v>
      </c>
      <c r="F57" s="266" t="str">
        <f t="shared" si="19"/>
        <v xml:space="preserve">89/90 </v>
      </c>
      <c r="G57" s="266" t="str">
        <f t="shared" si="19"/>
        <v xml:space="preserve">90/91 </v>
      </c>
      <c r="H57" s="266" t="str">
        <f t="shared" si="19"/>
        <v xml:space="preserve">91/92 </v>
      </c>
      <c r="I57" s="266" t="str">
        <f t="shared" si="19"/>
        <v xml:space="preserve">92/93 </v>
      </c>
      <c r="J57" s="266" t="str">
        <f t="shared" si="19"/>
        <v xml:space="preserve">93/94 </v>
      </c>
      <c r="K57" s="266" t="str">
        <f t="shared" si="19"/>
        <v xml:space="preserve">94/95 </v>
      </c>
      <c r="L57" s="266" t="str">
        <f t="shared" si="19"/>
        <v xml:space="preserve">95/96 </v>
      </c>
      <c r="M57" s="266" t="str">
        <f t="shared" si="19"/>
        <v xml:space="preserve">96/97 </v>
      </c>
      <c r="N57" s="266" t="str">
        <f t="shared" si="19"/>
        <v xml:space="preserve">97/98 </v>
      </c>
      <c r="O57" s="266" t="str">
        <f t="shared" si="19"/>
        <v xml:space="preserve">98/99 </v>
      </c>
      <c r="P57" s="266" t="str">
        <f t="shared" si="19"/>
        <v xml:space="preserve">99/00 </v>
      </c>
      <c r="Q57" s="266" t="str">
        <f t="shared" si="19"/>
        <v xml:space="preserve">00/01 </v>
      </c>
      <c r="R57" s="266" t="str">
        <f t="shared" si="19"/>
        <v xml:space="preserve">01/02 </v>
      </c>
      <c r="S57" s="266" t="str">
        <f t="shared" si="19"/>
        <v xml:space="preserve">02/03 </v>
      </c>
      <c r="T57" s="266" t="str">
        <f t="shared" si="19"/>
        <v xml:space="preserve">03/04 </v>
      </c>
      <c r="U57" s="266" t="str">
        <f t="shared" si="19"/>
        <v xml:space="preserve">04/05 </v>
      </c>
      <c r="V57" s="266" t="str">
        <f t="shared" si="19"/>
        <v xml:space="preserve">05/06 </v>
      </c>
      <c r="W57" s="266" t="str">
        <f t="shared" si="19"/>
        <v xml:space="preserve">06/07 </v>
      </c>
      <c r="X57" s="266" t="str">
        <f t="shared" si="19"/>
        <v xml:space="preserve">07/08 </v>
      </c>
      <c r="Y57" s="266" t="str">
        <f t="shared" si="19"/>
        <v xml:space="preserve">08/09 </v>
      </c>
      <c r="Z57" s="266" t="str">
        <f t="shared" si="19"/>
        <v xml:space="preserve">09/10 </v>
      </c>
      <c r="AA57" s="266" t="str">
        <f t="shared" si="19"/>
        <v xml:space="preserve">10/11 </v>
      </c>
      <c r="AB57" s="266" t="str">
        <f t="shared" si="19"/>
        <v xml:space="preserve">11/12 </v>
      </c>
      <c r="AC57" s="266" t="str">
        <f t="shared" si="19"/>
        <v xml:space="preserve">12/13 </v>
      </c>
      <c r="AD57" s="266" t="str">
        <f t="shared" si="19"/>
        <v xml:space="preserve">13/14 </v>
      </c>
      <c r="AE57" s="266" t="str">
        <f t="shared" si="19"/>
        <v xml:space="preserve">14/15 </v>
      </c>
      <c r="AF57" s="266" t="str">
        <f t="shared" si="19"/>
        <v xml:space="preserve">15/16 </v>
      </c>
      <c r="AG57" s="266" t="str">
        <f t="shared" si="19"/>
        <v xml:space="preserve">16/17 </v>
      </c>
      <c r="AH57" s="266" t="str">
        <f t="shared" si="19"/>
        <v xml:space="preserve">17/18 </v>
      </c>
      <c r="AI57" s="266" t="str">
        <f t="shared" si="19"/>
        <v xml:space="preserve">18/19 </v>
      </c>
      <c r="AJ57" s="266" t="str">
        <f t="shared" si="19"/>
        <v>19/20</v>
      </c>
      <c r="AK57" s="266" t="str">
        <f t="shared" si="19"/>
        <v>20/21</v>
      </c>
      <c r="AL57" s="266" t="str">
        <f t="shared" si="19"/>
        <v>21/22</v>
      </c>
      <c r="AM57" s="266" t="str">
        <f t="shared" si="19"/>
        <v>22/23</v>
      </c>
      <c r="AN57" s="266" t="str">
        <f t="shared" si="19"/>
        <v>23/24</v>
      </c>
      <c r="AO57" s="266" t="str">
        <f t="shared" si="19"/>
        <v>24/25</v>
      </c>
      <c r="AP57" s="266" t="str">
        <f t="shared" si="19"/>
        <v>25/26</v>
      </c>
    </row>
    <row r="58" spans="1:42" ht="13.5">
      <c r="A58" s="252" t="s">
        <v>74</v>
      </c>
      <c r="B58" s="252"/>
      <c r="C58" s="252"/>
      <c r="D58" s="252"/>
      <c r="E58" s="252"/>
      <c r="F58" s="252"/>
      <c r="G58" s="252"/>
      <c r="H58" s="252"/>
      <c r="I58" s="252"/>
      <c r="J58" s="252"/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  <c r="AA58" s="252"/>
      <c r="AB58" s="252"/>
      <c r="AC58" s="252"/>
      <c r="AD58" s="252"/>
      <c r="AE58" s="252"/>
      <c r="AF58" s="252"/>
      <c r="AG58" s="252"/>
      <c r="AH58" s="252"/>
      <c r="AI58" s="252"/>
      <c r="AJ58" s="252"/>
      <c r="AK58" s="261"/>
      <c r="AL58" s="261"/>
      <c r="AM58" s="261"/>
      <c r="AN58" s="261"/>
      <c r="AO58" s="261"/>
      <c r="AP58" s="261"/>
    </row>
    <row r="59" spans="1:42" ht="13.5">
      <c r="A59" s="252" t="s">
        <v>75</v>
      </c>
      <c r="B59" s="252"/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  <c r="AA59" s="252"/>
      <c r="AB59" s="252"/>
      <c r="AC59" s="252"/>
      <c r="AD59" s="252"/>
      <c r="AE59" s="252"/>
      <c r="AF59" s="252"/>
      <c r="AG59" s="252"/>
      <c r="AH59" s="252"/>
      <c r="AI59" s="252"/>
      <c r="AJ59" s="252"/>
      <c r="AK59" s="261"/>
      <c r="AL59" s="261"/>
      <c r="AM59" s="261"/>
      <c r="AN59" s="261"/>
      <c r="AO59" s="261"/>
      <c r="AP59" s="261"/>
    </row>
    <row r="60" spans="1:42" ht="13.5">
      <c r="A60" s="252" t="s">
        <v>76</v>
      </c>
      <c r="B60" s="252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  <c r="AA60" s="252"/>
      <c r="AB60" s="252"/>
      <c r="AC60" s="252"/>
      <c r="AD60" s="252"/>
      <c r="AE60" s="252"/>
      <c r="AF60" s="252"/>
      <c r="AG60" s="252"/>
      <c r="AH60" s="252"/>
      <c r="AI60" s="252"/>
      <c r="AJ60" s="252"/>
      <c r="AK60" s="261"/>
      <c r="AL60" s="261"/>
      <c r="AM60" s="261"/>
      <c r="AN60" s="261"/>
      <c r="AO60" s="261"/>
      <c r="AP60" s="261"/>
    </row>
    <row r="61" spans="1:42" ht="13.5">
      <c r="A61" s="252" t="s">
        <v>77</v>
      </c>
      <c r="B61" s="252"/>
      <c r="C61" s="252"/>
      <c r="D61" s="252"/>
      <c r="E61" s="252"/>
      <c r="F61" s="252"/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  <c r="AA61" s="252"/>
      <c r="AB61" s="252"/>
      <c r="AC61" s="252"/>
      <c r="AD61" s="252"/>
      <c r="AE61" s="252"/>
      <c r="AF61" s="252"/>
      <c r="AG61" s="252"/>
      <c r="AH61" s="252"/>
      <c r="AI61" s="252"/>
      <c r="AJ61" s="252"/>
      <c r="AK61" s="261"/>
      <c r="AL61" s="261"/>
      <c r="AM61" s="261"/>
      <c r="AN61" s="261"/>
      <c r="AO61" s="261"/>
      <c r="AP61" s="261"/>
    </row>
    <row r="62" spans="1:42" ht="13.5">
      <c r="A62" s="252" t="s">
        <v>78</v>
      </c>
      <c r="B62" s="252"/>
      <c r="C62" s="252"/>
      <c r="D62" s="252"/>
      <c r="E62" s="252"/>
      <c r="F62" s="252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  <c r="AA62" s="252"/>
      <c r="AB62" s="252"/>
      <c r="AC62" s="252"/>
      <c r="AD62" s="252"/>
      <c r="AE62" s="252"/>
      <c r="AF62" s="252"/>
      <c r="AG62" s="252"/>
      <c r="AH62" s="252"/>
      <c r="AI62" s="252"/>
      <c r="AJ62" s="252"/>
      <c r="AK62" s="261"/>
      <c r="AL62" s="261"/>
      <c r="AM62" s="261"/>
      <c r="AN62" s="261"/>
      <c r="AO62" s="261"/>
      <c r="AP62" s="261"/>
    </row>
    <row r="63" spans="1:42" ht="13.5">
      <c r="A63" s="252" t="s">
        <v>79</v>
      </c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  <c r="AA63" s="252"/>
      <c r="AB63" s="252"/>
      <c r="AC63" s="252"/>
      <c r="AD63" s="252"/>
      <c r="AE63" s="252"/>
      <c r="AF63" s="252"/>
      <c r="AG63" s="252"/>
      <c r="AH63" s="252"/>
      <c r="AI63" s="252"/>
      <c r="AJ63" s="252"/>
      <c r="AK63" s="261"/>
      <c r="AL63" s="261"/>
      <c r="AM63" s="261"/>
      <c r="AN63" s="261"/>
      <c r="AO63" s="261"/>
      <c r="AP63" s="261"/>
    </row>
    <row r="64" spans="1:42" ht="13.5">
      <c r="A64" s="252" t="s">
        <v>80</v>
      </c>
      <c r="B64" s="252"/>
      <c r="C64" s="252"/>
      <c r="D64" s="252"/>
      <c r="E64" s="252"/>
      <c r="F64" s="252"/>
      <c r="G64" s="252"/>
      <c r="H64" s="252"/>
      <c r="I64" s="252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  <c r="AA64" s="252"/>
      <c r="AB64" s="252"/>
      <c r="AC64" s="252"/>
      <c r="AD64" s="252"/>
      <c r="AE64" s="252"/>
      <c r="AF64" s="252"/>
      <c r="AG64" s="252"/>
      <c r="AH64" s="252"/>
      <c r="AI64" s="252"/>
      <c r="AJ64" s="252"/>
      <c r="AK64" s="261"/>
      <c r="AL64" s="261"/>
      <c r="AM64" s="261"/>
      <c r="AN64" s="261"/>
      <c r="AO64" s="261"/>
      <c r="AP64" s="261"/>
    </row>
    <row r="65" spans="1:42" ht="13.5">
      <c r="A65" s="252" t="s">
        <v>81</v>
      </c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  <c r="AA65" s="252"/>
      <c r="AB65" s="252"/>
      <c r="AC65" s="252"/>
      <c r="AD65" s="252"/>
      <c r="AE65" s="252"/>
      <c r="AF65" s="252"/>
      <c r="AG65" s="252"/>
      <c r="AH65" s="252"/>
      <c r="AI65" s="252"/>
      <c r="AJ65" s="252"/>
      <c r="AK65" s="261"/>
      <c r="AL65" s="261"/>
      <c r="AM65" s="261"/>
      <c r="AN65" s="261"/>
      <c r="AO65" s="261"/>
      <c r="AP65" s="261"/>
    </row>
    <row r="66" spans="1:42" ht="13.5">
      <c r="A66" s="252" t="s">
        <v>82</v>
      </c>
      <c r="B66" s="252"/>
      <c r="C66" s="252"/>
      <c r="D66" s="252"/>
      <c r="E66" s="252"/>
      <c r="F66" s="252"/>
      <c r="G66" s="252"/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  <c r="AA66" s="252"/>
      <c r="AB66" s="252"/>
      <c r="AC66" s="252"/>
      <c r="AD66" s="252"/>
      <c r="AE66" s="252"/>
      <c r="AF66" s="252"/>
      <c r="AG66" s="252"/>
      <c r="AH66" s="252"/>
      <c r="AI66" s="252"/>
      <c r="AJ66" s="252"/>
      <c r="AK66" s="261"/>
      <c r="AL66" s="261"/>
      <c r="AM66" s="261"/>
      <c r="AN66" s="261"/>
      <c r="AO66" s="261"/>
      <c r="AP66" s="261"/>
    </row>
    <row r="67" spans="1:42" ht="13.5">
      <c r="A67" s="252" t="s">
        <v>83</v>
      </c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2"/>
      <c r="AB67" s="252"/>
      <c r="AC67" s="252"/>
      <c r="AD67" s="252"/>
      <c r="AE67" s="252"/>
      <c r="AF67" s="252"/>
      <c r="AG67" s="252"/>
      <c r="AH67" s="252"/>
      <c r="AI67" s="252"/>
      <c r="AJ67" s="252"/>
      <c r="AK67" s="261"/>
      <c r="AL67" s="261"/>
      <c r="AM67" s="261"/>
      <c r="AN67" s="261"/>
      <c r="AO67" s="261"/>
      <c r="AP67" s="261"/>
    </row>
    <row r="68" spans="1:42" ht="13.5">
      <c r="A68" s="252" t="s">
        <v>84</v>
      </c>
      <c r="B68" s="252"/>
      <c r="C68" s="252"/>
      <c r="D68" s="252"/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  <c r="AA68" s="252"/>
      <c r="AB68" s="252"/>
      <c r="AC68" s="252"/>
      <c r="AD68" s="252"/>
      <c r="AE68" s="252"/>
      <c r="AF68" s="252"/>
      <c r="AG68" s="252"/>
      <c r="AH68" s="252"/>
      <c r="AI68" s="252"/>
      <c r="AJ68" s="252"/>
      <c r="AK68" s="261"/>
      <c r="AL68" s="261"/>
      <c r="AM68" s="261"/>
      <c r="AN68" s="261"/>
      <c r="AO68" s="261"/>
      <c r="AP68" s="261"/>
    </row>
    <row r="69" spans="1:42" ht="13.5">
      <c r="A69" s="252" t="s">
        <v>73</v>
      </c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  <c r="AA69" s="252"/>
      <c r="AB69" s="252"/>
      <c r="AC69" s="252"/>
      <c r="AD69" s="252"/>
      <c r="AE69" s="252"/>
      <c r="AF69" s="252"/>
      <c r="AG69" s="252"/>
      <c r="AH69" s="252"/>
      <c r="AI69" s="252"/>
      <c r="AJ69" s="252"/>
      <c r="AK69" s="261"/>
      <c r="AL69" s="261"/>
      <c r="AM69" s="261"/>
      <c r="AN69" s="261"/>
      <c r="AO69" s="261"/>
      <c r="AP69" s="261"/>
    </row>
    <row r="70" spans="1:42" ht="14.25" thickBot="1">
      <c r="A70" s="252" t="s">
        <v>283</v>
      </c>
      <c r="B70" s="252"/>
      <c r="C70" s="252"/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  <c r="AA70" s="252"/>
      <c r="AB70" s="252"/>
      <c r="AC70" s="252"/>
      <c r="AD70" s="252"/>
      <c r="AE70" s="252"/>
      <c r="AF70" s="252"/>
      <c r="AG70" s="252"/>
      <c r="AH70" s="252"/>
      <c r="AI70" s="252"/>
      <c r="AJ70" s="252"/>
      <c r="AK70" s="261"/>
      <c r="AL70" s="261"/>
      <c r="AM70" s="261"/>
      <c r="AN70" s="261"/>
      <c r="AO70" s="261"/>
      <c r="AP70" s="261"/>
    </row>
    <row r="71" spans="1:42" ht="13.5">
      <c r="A71" s="260"/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60"/>
      <c r="X71" s="260"/>
      <c r="Y71" s="260"/>
      <c r="Z71" s="260"/>
      <c r="AA71" s="260"/>
      <c r="AB71" s="260"/>
      <c r="AC71" s="260"/>
      <c r="AD71" s="260"/>
      <c r="AE71" s="260"/>
      <c r="AF71" s="260"/>
      <c r="AG71" s="260"/>
      <c r="AH71" s="260"/>
      <c r="AI71" s="260"/>
      <c r="AJ71" s="260"/>
      <c r="AK71" s="260"/>
      <c r="AL71" s="260"/>
      <c r="AM71" s="260"/>
      <c r="AN71" s="260"/>
      <c r="AO71" s="260"/>
      <c r="AP71" s="260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F8215-3CA8-49F2-A981-0238EC8A7053}">
  <sheetPr>
    <tabColor rgb="FF92D050"/>
  </sheetPr>
  <dimension ref="A1:AU56"/>
  <sheetViews>
    <sheetView zoomScale="70" zoomScaleNormal="70" workbookViewId="0">
      <pane xSplit="1" ySplit="2" topLeftCell="AI3" activePane="bottomRight" state="frozen"/>
      <selection activeCell="P12" sqref="P12"/>
      <selection pane="topRight" activeCell="P12" sqref="P12"/>
      <selection pane="bottomLeft" activeCell="P12" sqref="P12"/>
      <selection pane="bottomRight" activeCell="AO6" sqref="AO6"/>
    </sheetView>
  </sheetViews>
  <sheetFormatPr defaultColWidth="9.140625" defaultRowHeight="12.75"/>
  <cols>
    <col min="1" max="1" width="26.7109375" style="3" customWidth="1"/>
    <col min="2" max="6" width="8" style="3" customWidth="1"/>
    <col min="7" max="15" width="8" style="3" hidden="1" customWidth="1"/>
    <col min="16" max="34" width="8" style="3" customWidth="1"/>
    <col min="35" max="42" width="10" style="3" customWidth="1"/>
    <col min="43" max="43" width="9.140625" style="3"/>
    <col min="44" max="44" width="15.42578125" style="3" bestFit="1" customWidth="1"/>
    <col min="45" max="16384" width="9.140625" style="3"/>
  </cols>
  <sheetData>
    <row r="1" spans="1:47" ht="18.75" thickBot="1">
      <c r="A1" s="64" t="s">
        <v>288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</row>
    <row r="2" spans="1:47" ht="17.25" thickBot="1">
      <c r="A2" s="65" t="s">
        <v>42</v>
      </c>
      <c r="B2" s="66" t="str">
        <f>China!L2</f>
        <v xml:space="preserve">85/86 </v>
      </c>
      <c r="C2" s="66" t="str">
        <f>China!M2</f>
        <v xml:space="preserve">86/87 </v>
      </c>
      <c r="D2" s="66" t="str">
        <f>China!N2</f>
        <v xml:space="preserve">87/88 </v>
      </c>
      <c r="E2" s="66" t="str">
        <f>China!O2</f>
        <v xml:space="preserve">88/89 </v>
      </c>
      <c r="F2" s="66" t="str">
        <f>China!P2</f>
        <v xml:space="preserve">89/90 </v>
      </c>
      <c r="G2" s="66" t="str">
        <f>China!Q2</f>
        <v xml:space="preserve">90/91 </v>
      </c>
      <c r="H2" s="66" t="str">
        <f>China!R2</f>
        <v xml:space="preserve">91/92 </v>
      </c>
      <c r="I2" s="66" t="str">
        <f>China!S2</f>
        <v xml:space="preserve">92/93 </v>
      </c>
      <c r="J2" s="66" t="str">
        <f>China!T2</f>
        <v xml:space="preserve">93/94 </v>
      </c>
      <c r="K2" s="66" t="str">
        <f>China!U2</f>
        <v xml:space="preserve">94/95 </v>
      </c>
      <c r="L2" s="66" t="str">
        <f>China!V2</f>
        <v xml:space="preserve">95/96 </v>
      </c>
      <c r="M2" s="66" t="str">
        <f>China!W2</f>
        <v xml:space="preserve">96/97 </v>
      </c>
      <c r="N2" s="66" t="str">
        <f>China!X2</f>
        <v xml:space="preserve">97/98 </v>
      </c>
      <c r="O2" s="66" t="str">
        <f>China!Y2</f>
        <v xml:space="preserve">98/99 </v>
      </c>
      <c r="P2" s="66" t="str">
        <f>China!Z2</f>
        <v xml:space="preserve">99/00 </v>
      </c>
      <c r="Q2" s="66" t="str">
        <f>China!AA2</f>
        <v xml:space="preserve">00/01 </v>
      </c>
      <c r="R2" s="66" t="str">
        <f>China!AB2</f>
        <v xml:space="preserve">01/02 </v>
      </c>
      <c r="S2" s="66" t="str">
        <f>China!AC2</f>
        <v xml:space="preserve">02/03 </v>
      </c>
      <c r="T2" s="66" t="str">
        <f>China!AD2</f>
        <v xml:space="preserve">03/04 </v>
      </c>
      <c r="U2" s="66" t="str">
        <f>China!AE2</f>
        <v xml:space="preserve">04/05 </v>
      </c>
      <c r="V2" s="66" t="str">
        <f>China!AF2</f>
        <v xml:space="preserve">05/06 </v>
      </c>
      <c r="W2" s="66" t="str">
        <f>China!AG2</f>
        <v xml:space="preserve">06/07 </v>
      </c>
      <c r="X2" s="66" t="str">
        <f>China!AH2</f>
        <v xml:space="preserve">07/08 </v>
      </c>
      <c r="Y2" s="66" t="str">
        <f>China!AI2</f>
        <v xml:space="preserve">08/09 </v>
      </c>
      <c r="Z2" s="66" t="str">
        <f>China!AJ2</f>
        <v xml:space="preserve">09/10 </v>
      </c>
      <c r="AA2" s="66" t="str">
        <f>China!AK2</f>
        <v xml:space="preserve">10/11 </v>
      </c>
      <c r="AB2" s="66" t="s">
        <v>54</v>
      </c>
      <c r="AC2" s="66" t="s">
        <v>55</v>
      </c>
      <c r="AD2" s="66" t="s">
        <v>56</v>
      </c>
      <c r="AE2" s="66" t="s">
        <v>57</v>
      </c>
      <c r="AF2" s="66" t="s">
        <v>58</v>
      </c>
      <c r="AG2" s="66" t="s">
        <v>59</v>
      </c>
      <c r="AH2" s="66" t="s">
        <v>60</v>
      </c>
      <c r="AI2" s="66" t="s">
        <v>61</v>
      </c>
      <c r="AJ2" s="66" t="s">
        <v>62</v>
      </c>
      <c r="AK2" s="66" t="s">
        <v>63</v>
      </c>
      <c r="AL2" s="66" t="s">
        <v>64</v>
      </c>
      <c r="AM2" s="66" t="s">
        <v>65</v>
      </c>
      <c r="AN2" s="66" t="s">
        <v>2</v>
      </c>
      <c r="AO2" s="66" t="s">
        <v>3</v>
      </c>
      <c r="AP2" s="66" t="s">
        <v>4</v>
      </c>
    </row>
    <row r="3" spans="1:47" ht="16.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8">
        <v>1999</v>
      </c>
      <c r="Q3" s="68">
        <v>2000</v>
      </c>
      <c r="R3" s="68">
        <v>2001</v>
      </c>
      <c r="S3" s="68">
        <v>2002</v>
      </c>
      <c r="T3" s="68">
        <v>2003</v>
      </c>
      <c r="U3" s="68">
        <v>2004</v>
      </c>
      <c r="V3" s="68">
        <v>2005</v>
      </c>
      <c r="W3" s="68">
        <v>2006</v>
      </c>
      <c r="X3" s="68">
        <v>2007</v>
      </c>
      <c r="Y3" s="68">
        <v>2008</v>
      </c>
      <c r="Z3" s="68">
        <v>2009</v>
      </c>
      <c r="AA3" s="68">
        <v>2010</v>
      </c>
      <c r="AB3" s="68">
        <v>2011</v>
      </c>
      <c r="AC3" s="68">
        <v>2012</v>
      </c>
      <c r="AD3" s="68">
        <v>2013</v>
      </c>
      <c r="AE3" s="68">
        <v>2014</v>
      </c>
      <c r="AF3" s="68">
        <v>2015</v>
      </c>
      <c r="AG3" s="68">
        <v>2016</v>
      </c>
      <c r="AH3" s="68">
        <v>2017</v>
      </c>
      <c r="AI3" s="68">
        <v>2018</v>
      </c>
      <c r="AJ3" s="68">
        <v>2019</v>
      </c>
      <c r="AK3" s="68">
        <v>2020</v>
      </c>
      <c r="AL3" s="68">
        <v>2021</v>
      </c>
      <c r="AM3" s="68">
        <v>2022</v>
      </c>
      <c r="AN3" s="68">
        <v>2023</v>
      </c>
      <c r="AO3" s="68">
        <v>2024</v>
      </c>
      <c r="AP3" s="68">
        <v>2025</v>
      </c>
    </row>
    <row r="4" spans="1:47" ht="15.75">
      <c r="A4" s="69" t="s">
        <v>9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70"/>
      <c r="AB4" s="70"/>
      <c r="AC4" s="70"/>
      <c r="AD4" s="70"/>
      <c r="AE4" s="70"/>
      <c r="AF4" s="199"/>
      <c r="AG4" s="70"/>
      <c r="AH4" s="70"/>
      <c r="AI4" s="70"/>
      <c r="AJ4" s="70"/>
      <c r="AK4" s="216"/>
      <c r="AL4" s="216"/>
      <c r="AM4" s="70"/>
      <c r="AN4" s="70"/>
      <c r="AO4" s="99"/>
      <c r="AP4" s="99"/>
      <c r="AR4" s="71"/>
    </row>
    <row r="5" spans="1:47" ht="15.75">
      <c r="A5" s="69" t="s">
        <v>10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217"/>
      <c r="AP5" s="99"/>
    </row>
    <row r="6" spans="1:47" ht="15.75">
      <c r="A6" s="72" t="s">
        <v>11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3" t="e">
        <f t="shared" ref="AA6:AN6" si="0">AA9/AA5</f>
        <v>#DIV/0!</v>
      </c>
      <c r="AB6" s="73" t="e">
        <f t="shared" si="0"/>
        <v>#DIV/0!</v>
      </c>
      <c r="AC6" s="73" t="e">
        <f t="shared" si="0"/>
        <v>#DIV/0!</v>
      </c>
      <c r="AD6" s="73" t="e">
        <f t="shared" si="0"/>
        <v>#DIV/0!</v>
      </c>
      <c r="AE6" s="73" t="e">
        <f t="shared" si="0"/>
        <v>#DIV/0!</v>
      </c>
      <c r="AF6" s="73" t="e">
        <f t="shared" si="0"/>
        <v>#DIV/0!</v>
      </c>
      <c r="AG6" s="73" t="e">
        <f t="shared" si="0"/>
        <v>#DIV/0!</v>
      </c>
      <c r="AH6" s="73" t="e">
        <f t="shared" si="0"/>
        <v>#DIV/0!</v>
      </c>
      <c r="AI6" s="73" t="e">
        <f t="shared" si="0"/>
        <v>#DIV/0!</v>
      </c>
      <c r="AJ6" s="73" t="e">
        <f t="shared" si="0"/>
        <v>#DIV/0!</v>
      </c>
      <c r="AK6" s="73" t="e">
        <f t="shared" si="0"/>
        <v>#DIV/0!</v>
      </c>
      <c r="AL6" s="73" t="e">
        <f t="shared" si="0"/>
        <v>#DIV/0!</v>
      </c>
      <c r="AM6" s="73" t="e">
        <f t="shared" si="0"/>
        <v>#DIV/0!</v>
      </c>
      <c r="AN6" s="73" t="e">
        <f t="shared" si="0"/>
        <v>#DIV/0!</v>
      </c>
      <c r="AO6" s="100">
        <v>7.4033999999999995</v>
      </c>
      <c r="AP6" s="100" t="e">
        <f>FORECAST(AP3,AA6:AO6,AA3:AO3)</f>
        <v>#DIV/0!</v>
      </c>
    </row>
    <row r="7" spans="1:47" ht="15.75">
      <c r="A7" s="74" t="s">
        <v>66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5" t="e">
        <f t="shared" ref="AA7:AP7" si="1">AA5/AA4</f>
        <v>#DIV/0!</v>
      </c>
      <c r="AB7" s="75" t="e">
        <f t="shared" si="1"/>
        <v>#DIV/0!</v>
      </c>
      <c r="AC7" s="75" t="e">
        <f t="shared" si="1"/>
        <v>#DIV/0!</v>
      </c>
      <c r="AD7" s="75" t="e">
        <f t="shared" si="1"/>
        <v>#DIV/0!</v>
      </c>
      <c r="AE7" s="75" t="e">
        <f>AE5/AD4</f>
        <v>#DIV/0!</v>
      </c>
      <c r="AF7" s="75" t="e">
        <f>AF5/AE4</f>
        <v>#DIV/0!</v>
      </c>
      <c r="AG7" s="75" t="e">
        <f t="shared" si="1"/>
        <v>#DIV/0!</v>
      </c>
      <c r="AH7" s="75" t="e">
        <f t="shared" si="1"/>
        <v>#DIV/0!</v>
      </c>
      <c r="AI7" s="75" t="e">
        <f t="shared" si="1"/>
        <v>#DIV/0!</v>
      </c>
      <c r="AJ7" s="75" t="e">
        <f t="shared" si="1"/>
        <v>#DIV/0!</v>
      </c>
      <c r="AK7" s="75" t="e">
        <f t="shared" si="1"/>
        <v>#DIV/0!</v>
      </c>
      <c r="AL7" s="75" t="e">
        <f t="shared" si="1"/>
        <v>#DIV/0!</v>
      </c>
      <c r="AM7" s="75" t="e">
        <f t="shared" si="1"/>
        <v>#DIV/0!</v>
      </c>
      <c r="AN7" s="75" t="e">
        <f t="shared" si="1"/>
        <v>#DIV/0!</v>
      </c>
      <c r="AO7" s="102" t="e">
        <f t="shared" si="1"/>
        <v>#DIV/0!</v>
      </c>
      <c r="AP7" s="102" t="e">
        <f t="shared" si="1"/>
        <v>#DIV/0!</v>
      </c>
    </row>
    <row r="8" spans="1:47" ht="15.75">
      <c r="A8" s="69" t="s">
        <v>275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103"/>
      <c r="AP8" s="103">
        <f t="shared" ref="AP8" si="2">AO17</f>
        <v>1.48</v>
      </c>
      <c r="AR8" s="76"/>
      <c r="AT8" s="139"/>
      <c r="AU8" s="78"/>
    </row>
    <row r="9" spans="1:47" ht="15.75">
      <c r="A9" s="79" t="s">
        <v>13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103"/>
      <c r="AP9" s="103" t="e">
        <f>AP6*AP5</f>
        <v>#DIV/0!</v>
      </c>
    </row>
    <row r="10" spans="1:47" ht="15.75">
      <c r="A10" s="79" t="s">
        <v>14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80">
        <f>AA39</f>
        <v>0</v>
      </c>
      <c r="AB10" s="80">
        <f t="shared" ref="AB10:AO10" si="3">AB39</f>
        <v>0</v>
      </c>
      <c r="AC10" s="80">
        <f t="shared" si="3"/>
        <v>0</v>
      </c>
      <c r="AD10" s="80">
        <f t="shared" si="3"/>
        <v>0</v>
      </c>
      <c r="AE10" s="80">
        <f t="shared" si="3"/>
        <v>0</v>
      </c>
      <c r="AF10" s="80">
        <f t="shared" si="3"/>
        <v>0</v>
      </c>
      <c r="AG10" s="80">
        <f t="shared" si="3"/>
        <v>0</v>
      </c>
      <c r="AH10" s="80">
        <f t="shared" si="3"/>
        <v>0</v>
      </c>
      <c r="AI10" s="80">
        <f t="shared" si="3"/>
        <v>0</v>
      </c>
      <c r="AJ10" s="80">
        <f t="shared" si="3"/>
        <v>0</v>
      </c>
      <c r="AK10" s="80">
        <f t="shared" si="3"/>
        <v>0</v>
      </c>
      <c r="AL10" s="80">
        <f t="shared" si="3"/>
        <v>0</v>
      </c>
      <c r="AM10" s="80">
        <f t="shared" si="3"/>
        <v>0</v>
      </c>
      <c r="AN10" s="80">
        <f t="shared" si="3"/>
        <v>0</v>
      </c>
      <c r="AO10" s="103">
        <f t="shared" si="3"/>
        <v>0</v>
      </c>
      <c r="AP10" s="103">
        <v>1.4999999999999999E-2</v>
      </c>
    </row>
    <row r="11" spans="1:47" ht="15.75">
      <c r="A11" s="79" t="s">
        <v>15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80">
        <f t="shared" ref="AA11:AJ11" si="4">SUM(AA8:AA10)</f>
        <v>0</v>
      </c>
      <c r="AB11" s="80">
        <f t="shared" si="4"/>
        <v>0</v>
      </c>
      <c r="AC11" s="80">
        <f t="shared" si="4"/>
        <v>0</v>
      </c>
      <c r="AD11" s="80">
        <f t="shared" si="4"/>
        <v>0</v>
      </c>
      <c r="AE11" s="80">
        <f t="shared" si="4"/>
        <v>0</v>
      </c>
      <c r="AF11" s="80">
        <f t="shared" si="4"/>
        <v>0</v>
      </c>
      <c r="AG11" s="80">
        <f t="shared" si="4"/>
        <v>0</v>
      </c>
      <c r="AH11" s="80">
        <f t="shared" si="4"/>
        <v>0</v>
      </c>
      <c r="AI11" s="80">
        <f t="shared" si="4"/>
        <v>0</v>
      </c>
      <c r="AJ11" s="80">
        <f t="shared" si="4"/>
        <v>0</v>
      </c>
      <c r="AK11" s="80">
        <f>SUM(AK8:AK10)</f>
        <v>0</v>
      </c>
      <c r="AL11" s="80">
        <f t="shared" ref="AL11:AP11" si="5">SUM(AL8:AL10)</f>
        <v>0</v>
      </c>
      <c r="AM11" s="80">
        <f t="shared" si="5"/>
        <v>0</v>
      </c>
      <c r="AN11" s="80">
        <f t="shared" si="5"/>
        <v>0</v>
      </c>
      <c r="AO11" s="103">
        <f>SUM(AO8:AO10)</f>
        <v>0</v>
      </c>
      <c r="AP11" s="103" t="e">
        <f t="shared" si="5"/>
        <v>#DIV/0!</v>
      </c>
    </row>
    <row r="12" spans="1:47" ht="15.75">
      <c r="A12" s="83" t="s">
        <v>17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104">
        <f t="shared" ref="AA12:AP12" si="6">AA14-AA13</f>
        <v>-0.52100000000000002</v>
      </c>
      <c r="AB12" s="104">
        <f t="shared" si="6"/>
        <v>-1.3</v>
      </c>
      <c r="AC12" s="104">
        <f t="shared" si="6"/>
        <v>-0.94</v>
      </c>
      <c r="AD12" s="104">
        <f t="shared" si="6"/>
        <v>-1.302</v>
      </c>
      <c r="AE12" s="104">
        <f t="shared" si="6"/>
        <v>-1.5189999999999999</v>
      </c>
      <c r="AF12" s="104">
        <f t="shared" si="6"/>
        <v>-1.4350000000000001</v>
      </c>
      <c r="AG12" s="104">
        <f t="shared" si="6"/>
        <v>-1.599</v>
      </c>
      <c r="AH12" s="104">
        <f t="shared" si="6"/>
        <v>-1.5669999999999999</v>
      </c>
      <c r="AI12" s="104">
        <f t="shared" si="6"/>
        <v>-0.89100000000000001</v>
      </c>
      <c r="AJ12" s="104">
        <f t="shared" si="6"/>
        <v>-1.478</v>
      </c>
      <c r="AK12" s="104">
        <f t="shared" si="6"/>
        <v>-0.83199999999999996</v>
      </c>
      <c r="AL12" s="104">
        <f t="shared" si="6"/>
        <v>-7.7960000000000003</v>
      </c>
      <c r="AM12" s="104">
        <f t="shared" si="6"/>
        <v>-2.7949999999999999</v>
      </c>
      <c r="AN12" s="104">
        <f t="shared" si="6"/>
        <v>-2.91</v>
      </c>
      <c r="AO12" s="105">
        <f>AO14-AO13</f>
        <v>-1.48</v>
      </c>
      <c r="AP12" s="105" t="e">
        <f t="shared" si="6"/>
        <v>#DIV/0!</v>
      </c>
    </row>
    <row r="13" spans="1:47" ht="15.75">
      <c r="A13" s="79" t="s">
        <v>289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103"/>
      <c r="AP13" s="103" t="e">
        <f>FORECAST(AP3,AA13:AO13,AA3:AO3)</f>
        <v>#DIV/0!</v>
      </c>
    </row>
    <row r="14" spans="1:47" ht="15.75">
      <c r="A14" s="79" t="s">
        <v>68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80">
        <f t="shared" ref="AA14:AP14" si="7">AA16-AA15</f>
        <v>-0.52100000000000002</v>
      </c>
      <c r="AB14" s="80">
        <f t="shared" si="7"/>
        <v>-1.3</v>
      </c>
      <c r="AC14" s="80">
        <f t="shared" si="7"/>
        <v>-0.94</v>
      </c>
      <c r="AD14" s="80">
        <f t="shared" si="7"/>
        <v>-1.302</v>
      </c>
      <c r="AE14" s="80">
        <f t="shared" si="7"/>
        <v>-1.5189999999999999</v>
      </c>
      <c r="AF14" s="80">
        <f t="shared" si="7"/>
        <v>-1.4350000000000001</v>
      </c>
      <c r="AG14" s="80">
        <f t="shared" si="7"/>
        <v>-1.599</v>
      </c>
      <c r="AH14" s="80">
        <f t="shared" si="7"/>
        <v>-1.5669999999999999</v>
      </c>
      <c r="AI14" s="80">
        <f t="shared" si="7"/>
        <v>-0.89100000000000001</v>
      </c>
      <c r="AJ14" s="80">
        <f t="shared" si="7"/>
        <v>-1.478</v>
      </c>
      <c r="AK14" s="80">
        <f t="shared" si="7"/>
        <v>-0.83199999999999996</v>
      </c>
      <c r="AL14" s="80">
        <f t="shared" si="7"/>
        <v>-7.7960000000000003</v>
      </c>
      <c r="AM14" s="80">
        <f t="shared" si="7"/>
        <v>-2.7949999999999999</v>
      </c>
      <c r="AN14" s="80">
        <f t="shared" si="7"/>
        <v>-2.91</v>
      </c>
      <c r="AO14" s="103">
        <f>AO16-AO15</f>
        <v>-1.48</v>
      </c>
      <c r="AP14" s="103" t="e">
        <f t="shared" si="7"/>
        <v>#DIV/0!</v>
      </c>
    </row>
    <row r="15" spans="1:47" ht="15.75">
      <c r="A15" s="79" t="s">
        <v>19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80">
        <f t="shared" ref="P15:Z15" si="8">P55</f>
        <v>0</v>
      </c>
      <c r="Q15" s="80">
        <f t="shared" si="8"/>
        <v>16270</v>
      </c>
      <c r="R15" s="80">
        <f t="shared" si="8"/>
        <v>16396</v>
      </c>
      <c r="S15" s="80">
        <f t="shared" si="8"/>
        <v>16857</v>
      </c>
      <c r="T15" s="80">
        <f t="shared" si="8"/>
        <v>16879</v>
      </c>
      <c r="U15" s="80">
        <f t="shared" si="8"/>
        <v>16482</v>
      </c>
      <c r="V15" s="80">
        <f t="shared" si="8"/>
        <v>16614</v>
      </c>
      <c r="W15" s="80">
        <f t="shared" si="8"/>
        <v>16700</v>
      </c>
      <c r="X15" s="80">
        <f t="shared" si="8"/>
        <v>16609</v>
      </c>
      <c r="Y15" s="80">
        <f t="shared" si="8"/>
        <v>16523</v>
      </c>
      <c r="Z15" s="80">
        <f t="shared" si="8"/>
        <v>15966.668000000001</v>
      </c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103">
        <v>26</v>
      </c>
    </row>
    <row r="16" spans="1:47" ht="15.75">
      <c r="A16" s="79" t="s">
        <v>69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80">
        <f>AA11-AA17</f>
        <v>-0.52100000000000002</v>
      </c>
      <c r="AB16" s="80">
        <f t="shared" ref="AB16:AO16" si="9">AB11-AB17</f>
        <v>-1.3</v>
      </c>
      <c r="AC16" s="80">
        <f t="shared" si="9"/>
        <v>-0.94</v>
      </c>
      <c r="AD16" s="80">
        <f t="shared" si="9"/>
        <v>-1.302</v>
      </c>
      <c r="AE16" s="80">
        <f t="shared" si="9"/>
        <v>-1.5189999999999999</v>
      </c>
      <c r="AF16" s="80">
        <f t="shared" si="9"/>
        <v>-1.4350000000000001</v>
      </c>
      <c r="AG16" s="80">
        <f t="shared" si="9"/>
        <v>-1.599</v>
      </c>
      <c r="AH16" s="80">
        <f t="shared" si="9"/>
        <v>-1.5669999999999999</v>
      </c>
      <c r="AI16" s="80">
        <f t="shared" si="9"/>
        <v>-0.89100000000000001</v>
      </c>
      <c r="AJ16" s="80">
        <f t="shared" si="9"/>
        <v>-1.478</v>
      </c>
      <c r="AK16" s="80">
        <f t="shared" si="9"/>
        <v>-0.83199999999999996</v>
      </c>
      <c r="AL16" s="80">
        <f t="shared" si="9"/>
        <v>-7.7960000000000003</v>
      </c>
      <c r="AM16" s="80">
        <f t="shared" si="9"/>
        <v>-2.7949999999999999</v>
      </c>
      <c r="AN16" s="80">
        <f t="shared" si="9"/>
        <v>-2.91</v>
      </c>
      <c r="AO16" s="103">
        <f t="shared" si="9"/>
        <v>-1.48</v>
      </c>
      <c r="AP16" s="103" t="e">
        <f>AP11-AP17</f>
        <v>#DIV/0!</v>
      </c>
    </row>
    <row r="17" spans="1:42" ht="15.75">
      <c r="A17" s="83" t="s">
        <v>279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104">
        <v>0.52100000000000002</v>
      </c>
      <c r="AB17" s="104">
        <v>1.3</v>
      </c>
      <c r="AC17" s="104">
        <v>0.94</v>
      </c>
      <c r="AD17" s="104">
        <v>1.302</v>
      </c>
      <c r="AE17" s="104">
        <v>1.5189999999999999</v>
      </c>
      <c r="AF17" s="104">
        <v>1.4350000000000001</v>
      </c>
      <c r="AG17" s="104">
        <v>1.599</v>
      </c>
      <c r="AH17" s="104">
        <v>1.5669999999999999</v>
      </c>
      <c r="AI17" s="104">
        <v>0.89100000000000001</v>
      </c>
      <c r="AJ17" s="104">
        <v>1.478</v>
      </c>
      <c r="AK17" s="104">
        <v>0.83199999999999996</v>
      </c>
      <c r="AL17" s="104">
        <v>7.7960000000000003</v>
      </c>
      <c r="AM17" s="104">
        <v>2.7949999999999999</v>
      </c>
      <c r="AN17" s="104">
        <v>2.91</v>
      </c>
      <c r="AO17" s="105">
        <v>1.48</v>
      </c>
      <c r="AP17" s="105">
        <v>2</v>
      </c>
    </row>
    <row r="18" spans="1:42" ht="16.5" thickBot="1">
      <c r="A18" s="106" t="s">
        <v>22</v>
      </c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88">
        <f>AA17/AA16</f>
        <v>-1</v>
      </c>
      <c r="AB18" s="88">
        <f t="shared" ref="AB18:AP18" si="10">AB17/AB16</f>
        <v>-1</v>
      </c>
      <c r="AC18" s="88">
        <f t="shared" si="10"/>
        <v>-1</v>
      </c>
      <c r="AD18" s="88">
        <f t="shared" si="10"/>
        <v>-1</v>
      </c>
      <c r="AE18" s="88">
        <f t="shared" si="10"/>
        <v>-1</v>
      </c>
      <c r="AF18" s="88">
        <f t="shared" si="10"/>
        <v>-1</v>
      </c>
      <c r="AG18" s="88">
        <f t="shared" si="10"/>
        <v>-1</v>
      </c>
      <c r="AH18" s="88">
        <f t="shared" si="10"/>
        <v>-1</v>
      </c>
      <c r="AI18" s="88">
        <f t="shared" si="10"/>
        <v>-1</v>
      </c>
      <c r="AJ18" s="88">
        <f t="shared" si="10"/>
        <v>-1</v>
      </c>
      <c r="AK18" s="88">
        <f t="shared" si="10"/>
        <v>-1</v>
      </c>
      <c r="AL18" s="88">
        <f t="shared" si="10"/>
        <v>-1</v>
      </c>
      <c r="AM18" s="88">
        <f t="shared" si="10"/>
        <v>-1</v>
      </c>
      <c r="AN18" s="88">
        <f t="shared" si="10"/>
        <v>-1</v>
      </c>
      <c r="AO18" s="89">
        <f t="shared" si="10"/>
        <v>-1</v>
      </c>
      <c r="AP18" s="89" t="e">
        <f t="shared" si="10"/>
        <v>#DIV/0!</v>
      </c>
    </row>
    <row r="19" spans="1:42" ht="13.5" hidden="1" thickBo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90"/>
      <c r="AN19" s="90"/>
      <c r="AO19" s="90"/>
      <c r="AP19" s="90"/>
    </row>
    <row r="20" spans="1:42" ht="13.5" hidden="1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90"/>
      <c r="AN20" s="90"/>
      <c r="AO20" s="90"/>
      <c r="AP20" s="90"/>
    </row>
    <row r="21" spans="1:42">
      <c r="A21" s="91" t="s">
        <v>71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</row>
    <row r="24" spans="1:42" ht="15.75">
      <c r="A24" s="93" t="s">
        <v>290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</row>
    <row r="25" spans="1:42" ht="16.5" thickBot="1">
      <c r="A25" s="93" t="s">
        <v>72</v>
      </c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42" ht="16.5" thickBo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5" t="str">
        <f t="shared" ref="P26:AP26" si="11">P2</f>
        <v xml:space="preserve">99/00 </v>
      </c>
      <c r="Q26" s="95" t="str">
        <f t="shared" si="11"/>
        <v xml:space="preserve">00/01 </v>
      </c>
      <c r="R26" s="95" t="str">
        <f t="shared" si="11"/>
        <v xml:space="preserve">01/02 </v>
      </c>
      <c r="S26" s="95" t="str">
        <f t="shared" si="11"/>
        <v xml:space="preserve">02/03 </v>
      </c>
      <c r="T26" s="95" t="str">
        <f t="shared" si="11"/>
        <v xml:space="preserve">03/04 </v>
      </c>
      <c r="U26" s="95" t="str">
        <f t="shared" si="11"/>
        <v xml:space="preserve">04/05 </v>
      </c>
      <c r="V26" s="95" t="str">
        <f t="shared" si="11"/>
        <v xml:space="preserve">05/06 </v>
      </c>
      <c r="W26" s="95" t="str">
        <f t="shared" si="11"/>
        <v xml:space="preserve">06/07 </v>
      </c>
      <c r="X26" s="95" t="str">
        <f t="shared" si="11"/>
        <v xml:space="preserve">07/08 </v>
      </c>
      <c r="Y26" s="95" t="str">
        <f t="shared" si="11"/>
        <v xml:space="preserve">08/09 </v>
      </c>
      <c r="Z26" s="95" t="str">
        <f t="shared" si="11"/>
        <v xml:space="preserve">09/10 </v>
      </c>
      <c r="AA26" s="95" t="str">
        <f t="shared" si="11"/>
        <v xml:space="preserve">10/11 </v>
      </c>
      <c r="AB26" s="95" t="str">
        <f t="shared" si="11"/>
        <v xml:space="preserve">11/12 </v>
      </c>
      <c r="AC26" s="95" t="str">
        <f t="shared" si="11"/>
        <v xml:space="preserve">12/13 </v>
      </c>
      <c r="AD26" s="95" t="str">
        <f t="shared" si="11"/>
        <v xml:space="preserve">13/14 </v>
      </c>
      <c r="AE26" s="95" t="str">
        <f t="shared" si="11"/>
        <v xml:space="preserve">14/15 </v>
      </c>
      <c r="AF26" s="95" t="str">
        <f t="shared" si="11"/>
        <v xml:space="preserve">15/16 </v>
      </c>
      <c r="AG26" s="95" t="str">
        <f t="shared" si="11"/>
        <v xml:space="preserve">16/17 </v>
      </c>
      <c r="AH26" s="95" t="str">
        <f t="shared" si="11"/>
        <v xml:space="preserve">17/18 </v>
      </c>
      <c r="AI26" s="95" t="str">
        <f t="shared" si="11"/>
        <v xml:space="preserve">18/19 </v>
      </c>
      <c r="AJ26" s="95" t="str">
        <f t="shared" si="11"/>
        <v>19/20</v>
      </c>
      <c r="AK26" s="95" t="str">
        <f t="shared" si="11"/>
        <v>20/21</v>
      </c>
      <c r="AL26" s="95" t="str">
        <f t="shared" si="11"/>
        <v>21/22</v>
      </c>
      <c r="AM26" s="95" t="str">
        <f t="shared" si="11"/>
        <v>22/23</v>
      </c>
      <c r="AN26" s="95" t="str">
        <f t="shared" si="11"/>
        <v>23/24</v>
      </c>
      <c r="AO26" s="95" t="str">
        <f t="shared" si="11"/>
        <v>24/25</v>
      </c>
      <c r="AP26" s="95" t="str">
        <f t="shared" si="11"/>
        <v>25/26</v>
      </c>
    </row>
    <row r="27" spans="1:42" ht="15.75">
      <c r="A27" s="93" t="s">
        <v>74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108"/>
      <c r="AP27" s="108"/>
    </row>
    <row r="28" spans="1:42" ht="15.75">
      <c r="A28" s="93" t="s">
        <v>75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108"/>
      <c r="AP28" s="108"/>
    </row>
    <row r="29" spans="1:42" ht="15.75">
      <c r="A29" s="93" t="s">
        <v>76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108"/>
      <c r="AP29" s="108"/>
    </row>
    <row r="30" spans="1:42" ht="15.75">
      <c r="A30" s="93" t="s">
        <v>77</v>
      </c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108"/>
      <c r="AP30" s="108"/>
    </row>
    <row r="31" spans="1:42" ht="15.75">
      <c r="A31" s="93" t="s">
        <v>78</v>
      </c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108"/>
      <c r="AP31" s="108"/>
    </row>
    <row r="32" spans="1:42" ht="15.75">
      <c r="A32" s="93" t="s">
        <v>79</v>
      </c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108"/>
      <c r="AP32" s="108"/>
    </row>
    <row r="33" spans="1:46" ht="15.75">
      <c r="A33" s="93" t="s">
        <v>80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108"/>
      <c r="AP33" s="108"/>
    </row>
    <row r="34" spans="1:46" ht="15.75">
      <c r="A34" s="93" t="s">
        <v>81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108"/>
      <c r="AP34" s="108"/>
    </row>
    <row r="35" spans="1:46" ht="15.75">
      <c r="A35" s="93" t="s">
        <v>82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108"/>
      <c r="AP35" s="108"/>
    </row>
    <row r="36" spans="1:46" ht="15.75">
      <c r="A36" s="93" t="s">
        <v>83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108"/>
      <c r="AP36" s="108"/>
    </row>
    <row r="37" spans="1:46" ht="15.75">
      <c r="A37" s="93" t="s">
        <v>84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108"/>
      <c r="AO37" s="108"/>
      <c r="AP37" s="108"/>
    </row>
    <row r="38" spans="1:46" ht="15.75">
      <c r="A38" s="93" t="s">
        <v>73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108"/>
      <c r="AO38" s="108"/>
      <c r="AP38" s="108"/>
    </row>
    <row r="39" spans="1:46" ht="15.75">
      <c r="A39" s="268" t="s">
        <v>85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  <c r="AA39" s="268"/>
      <c r="AB39" s="268"/>
      <c r="AC39" s="268"/>
      <c r="AD39" s="268"/>
      <c r="AE39" s="268"/>
      <c r="AF39" s="268"/>
      <c r="AG39" s="268"/>
      <c r="AH39" s="268"/>
      <c r="AI39" s="268"/>
      <c r="AJ39" s="268"/>
      <c r="AK39" s="268"/>
      <c r="AL39" s="268"/>
      <c r="AM39" s="268"/>
      <c r="AN39" s="268"/>
      <c r="AO39" s="268"/>
      <c r="AP39" s="107"/>
    </row>
    <row r="40" spans="1:46" ht="15.75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108"/>
      <c r="AO40" s="108"/>
      <c r="AP40" s="108"/>
    </row>
    <row r="41" spans="1:46" ht="16.5" thickBot="1">
      <c r="A41" s="93" t="s">
        <v>86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46" ht="16.5" thickBo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5" t="str">
        <f t="shared" ref="P42:AP42" si="12">P2</f>
        <v xml:space="preserve">99/00 </v>
      </c>
      <c r="Q42" s="95" t="str">
        <f t="shared" si="12"/>
        <v xml:space="preserve">00/01 </v>
      </c>
      <c r="R42" s="95" t="str">
        <f t="shared" si="12"/>
        <v xml:space="preserve">01/02 </v>
      </c>
      <c r="S42" s="95" t="str">
        <f t="shared" si="12"/>
        <v xml:space="preserve">02/03 </v>
      </c>
      <c r="T42" s="95" t="str">
        <f t="shared" si="12"/>
        <v xml:space="preserve">03/04 </v>
      </c>
      <c r="U42" s="95" t="str">
        <f t="shared" si="12"/>
        <v xml:space="preserve">04/05 </v>
      </c>
      <c r="V42" s="95" t="str">
        <f t="shared" si="12"/>
        <v xml:space="preserve">05/06 </v>
      </c>
      <c r="W42" s="95" t="str">
        <f t="shared" si="12"/>
        <v xml:space="preserve">06/07 </v>
      </c>
      <c r="X42" s="95" t="str">
        <f t="shared" si="12"/>
        <v xml:space="preserve">07/08 </v>
      </c>
      <c r="Y42" s="95" t="str">
        <f t="shared" si="12"/>
        <v xml:space="preserve">08/09 </v>
      </c>
      <c r="Z42" s="95" t="str">
        <f t="shared" si="12"/>
        <v xml:space="preserve">09/10 </v>
      </c>
      <c r="AA42" s="95" t="str">
        <f t="shared" si="12"/>
        <v xml:space="preserve">10/11 </v>
      </c>
      <c r="AB42" s="95" t="str">
        <f t="shared" si="12"/>
        <v xml:space="preserve">11/12 </v>
      </c>
      <c r="AC42" s="95" t="str">
        <f t="shared" si="12"/>
        <v xml:space="preserve">12/13 </v>
      </c>
      <c r="AD42" s="95" t="str">
        <f t="shared" si="12"/>
        <v xml:space="preserve">13/14 </v>
      </c>
      <c r="AE42" s="95" t="str">
        <f t="shared" si="12"/>
        <v xml:space="preserve">14/15 </v>
      </c>
      <c r="AF42" s="95" t="str">
        <f t="shared" si="12"/>
        <v xml:space="preserve">15/16 </v>
      </c>
      <c r="AG42" s="95" t="str">
        <f t="shared" si="12"/>
        <v xml:space="preserve">16/17 </v>
      </c>
      <c r="AH42" s="95" t="str">
        <f t="shared" si="12"/>
        <v xml:space="preserve">17/18 </v>
      </c>
      <c r="AI42" s="95" t="str">
        <f t="shared" si="12"/>
        <v xml:space="preserve">18/19 </v>
      </c>
      <c r="AJ42" s="95" t="str">
        <f t="shared" si="12"/>
        <v>19/20</v>
      </c>
      <c r="AK42" s="95" t="str">
        <f t="shared" si="12"/>
        <v>20/21</v>
      </c>
      <c r="AL42" s="95" t="str">
        <f t="shared" si="12"/>
        <v>21/22</v>
      </c>
      <c r="AM42" s="95" t="str">
        <f t="shared" si="12"/>
        <v>22/23</v>
      </c>
      <c r="AN42" s="95" t="str">
        <f t="shared" si="12"/>
        <v>23/24</v>
      </c>
      <c r="AO42" s="95" t="str">
        <f t="shared" si="12"/>
        <v>24/25</v>
      </c>
      <c r="AP42" s="95" t="str">
        <f t="shared" si="12"/>
        <v>25/26</v>
      </c>
    </row>
    <row r="43" spans="1:46" ht="15.75">
      <c r="A43" s="93" t="s">
        <v>74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 cm="1">
        <f t="array" ref="P43">INDEX('[3]Ukraine Corn Exports'!$DN$290:$OY$290,1,ROW(A1))/1000</f>
        <v>0</v>
      </c>
      <c r="Q43" s="213" cm="1">
        <f t="array" ref="Q43">INDEX('[3]Japan Corn Imports'!$DZ$290:$US$290,1,ROW(A1))</f>
        <v>1360</v>
      </c>
      <c r="R43" s="213" cm="1">
        <f t="array" ref="R43">INDEX('[3]Japan Corn Imports'!$EL$290:$US$290,1,ROW(A1))</f>
        <v>1301</v>
      </c>
      <c r="S43" s="213" cm="1">
        <f t="array" ref="S43">INDEX('[3]Japan Corn Imports'!$EX$290:$US$290,1,ROW(A1))</f>
        <v>1299</v>
      </c>
      <c r="T43" s="213" cm="1">
        <f t="array" ref="T43">INDEX('[3]Japan Corn Imports'!$FI$290:$US$290,1,ROW(A1))</f>
        <v>1478</v>
      </c>
      <c r="U43" s="213" cm="1">
        <f t="array" ref="U43">INDEX('[3]Japan Corn Imports'!$FV$290:$US$290,1,ROW(A1))</f>
        <v>1172</v>
      </c>
      <c r="V43" s="213" cm="1">
        <f t="array" ref="V43">INDEX('[3]Japan Corn Imports'!$GH$290:$US$290,1,ROW(A1))</f>
        <v>1198</v>
      </c>
      <c r="W43" s="213" cm="1">
        <f t="array" ref="W43">INDEX('[3]Japan Corn Imports'!$GT$290:$US$290,1,ROW(A1))</f>
        <v>1370</v>
      </c>
      <c r="X43" s="213" cm="1">
        <f t="array" ref="X43">INDEX('[3]Japan Corn Imports'!$HF$290:$US$290,1,ROW(A1))</f>
        <v>1408</v>
      </c>
      <c r="Y43" s="213" cm="1">
        <f t="array" ref="Y43">INDEX('[3]Japan Corn Imports'!$HR$290:$US$290,1,ROW(A1))</f>
        <v>1440</v>
      </c>
      <c r="Z43" s="213" cm="1">
        <f t="array" ref="Z43">INDEX('[3]Japan Corn Imports'!$ID$290:$US$290,1,ROW(A1))</f>
        <v>1334</v>
      </c>
      <c r="AA43" s="213" cm="1">
        <f t="array" ref="AA43">INDEX('[3]Japan Corn Imports'!$IP$290:$US$290,1,ROW(A1))</f>
        <v>1298.0740000000001</v>
      </c>
      <c r="AB43" s="213" cm="1">
        <f t="array" ref="AB43">INDEX('[3]Japan Corn Imports'!$JB$290:$US$290,1,ROW(A1))</f>
        <v>1113.568</v>
      </c>
      <c r="AC43" s="213" cm="1">
        <f t="array" ref="AC43">INDEX('[3]Japan Corn Imports'!$JN$290:$US$290,1,ROW(A1))</f>
        <v>1175.123</v>
      </c>
      <c r="AD43" s="213" cm="1">
        <f t="array" ref="AD43">INDEX('[3]Japan Corn Imports'!$JZ$290:$US$290,1,ROW(A1))</f>
        <v>1244.501</v>
      </c>
      <c r="AE43" s="213" cm="1">
        <f t="array" ref="AE43">INDEX('[3]Japan Corn Imports'!$KL$290:$US$290,1,ROW(A1))</f>
        <v>1224.73</v>
      </c>
      <c r="AF43" s="213" cm="1">
        <f t="array" ref="AF43">INDEX('[3]Japan Corn Imports'!$KX$290:$US$290,1,ROW(A1))</f>
        <v>1441.415</v>
      </c>
      <c r="AG43" s="213" cm="1">
        <f t="array" ref="AG43">INDEX('[3]Japan Corn Imports'!$LJ$290:$US$290,1,ROW(A1))</f>
        <v>1277.7139999999999</v>
      </c>
      <c r="AH43" s="213" cm="1">
        <f t="array" ref="AH43">INDEX('[3]Japan Corn Imports'!$LV$290:$US$290,1,ROW(A1))</f>
        <v>1286.7919999999999</v>
      </c>
      <c r="AI43" s="213" cm="1">
        <f t="array" ref="AI43">INDEX('[3]Japan Corn Imports'!$MH$290:$US$290,1,ROW(A1))</f>
        <v>1447.3209999999999</v>
      </c>
      <c r="AJ43" s="213" cm="1">
        <f t="array" ref="AJ43">INDEX('[3]Japan Corn Imports'!$MT$290:$US$290,1,ROW(A1))</f>
        <v>1330.7149999999999</v>
      </c>
      <c r="AK43" s="213" cm="1">
        <f t="array" ref="AK43">INDEX('[3]Japan Corn Imports'!$NF$290:$US$290,1,ROW(A1))</f>
        <v>1279.8510000000001</v>
      </c>
      <c r="AL43" s="213" cm="1">
        <f t="array" ref="AL43">INDEX('[3]Japan Corn Imports'!$NR$290:$US$290,1,ROW(A1))</f>
        <v>1128.2049999999999</v>
      </c>
      <c r="AM43" s="213" cm="1">
        <f t="array" ref="AM43">INDEX('[3]Japan Corn Imports'!$OD$290:$US$290,1,ROW(A1))</f>
        <v>1189.857</v>
      </c>
      <c r="AN43" s="213" cm="1">
        <f t="array" ref="AN43">INDEX('[3]Japan Corn Imports'!$OP$290:$US$290,1,ROW(A1))</f>
        <v>1074.325</v>
      </c>
      <c r="AO43" s="213" cm="1">
        <f t="array" ref="AO43">INDEX('[3]Japan Corn Imports'!$PB$290:$ZZ$290,1,ROW(A1))</f>
        <v>1213.261</v>
      </c>
      <c r="AP43" s="222">
        <f>(SUM(AJ43:AN43)/SUM(AJ$55:AN$55))*AP$55</f>
        <v>1172.1047507068124</v>
      </c>
    </row>
    <row r="44" spans="1:46" ht="15.75">
      <c r="A44" s="93" t="s">
        <v>75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 cm="1">
        <f t="array" ref="P44">INDEX('[3]Ukraine Corn Exports'!$DM$290:$OY$290,1,ROW(A2))/1000</f>
        <v>0</v>
      </c>
      <c r="Q44" s="213" cm="1">
        <f t="array" ref="Q44">INDEX('[3]Japan Corn Imports'!$DZ$290:$US$290,1,ROW(A2))</f>
        <v>1321</v>
      </c>
      <c r="R44" s="213" cm="1">
        <f t="array" ref="R44">INDEX('[3]Japan Corn Imports'!$EL$290:$US$290,1,ROW(A2))</f>
        <v>1430</v>
      </c>
      <c r="S44" s="213" cm="1">
        <f t="array" ref="S44">INDEX('[3]Japan Corn Imports'!$EX$290:$US$290,1,ROW(A2))</f>
        <v>1421</v>
      </c>
      <c r="T44" s="213" cm="1">
        <f t="array" ref="T44">INDEX('[3]Japan Corn Imports'!$FI$290:$US$290,1,ROW(A2))</f>
        <v>1369</v>
      </c>
      <c r="U44" s="213" cm="1">
        <f t="array" ref="U44">INDEX('[3]Japan Corn Imports'!$FV$290:$US$290,1,ROW(A2))</f>
        <v>1355</v>
      </c>
      <c r="V44" s="213" cm="1">
        <f t="array" ref="V44">INDEX('[3]Japan Corn Imports'!$GH$290:$US$290,1,ROW(A2))</f>
        <v>1443</v>
      </c>
      <c r="W44" s="213" cm="1">
        <f t="array" ref="W44">INDEX('[3]Japan Corn Imports'!$GT$290:$US$290,1,ROW(A2))</f>
        <v>1514</v>
      </c>
      <c r="X44" s="213" cm="1">
        <f t="array" ref="X44">INDEX('[3]Japan Corn Imports'!$HF$290:$US$290,1,ROW(A2))</f>
        <v>1465</v>
      </c>
      <c r="Y44" s="213" cm="1">
        <f t="array" ref="Y44">INDEX('[3]Japan Corn Imports'!$HR$290:$US$290,1,ROW(A2))</f>
        <v>1285</v>
      </c>
      <c r="Z44" s="213" cm="1">
        <f t="array" ref="Z44">INDEX('[3]Japan Corn Imports'!$ID$290:$US$290,1,ROW(A2))</f>
        <v>1271</v>
      </c>
      <c r="AA44" s="213" cm="1">
        <f t="array" ref="AA44">INDEX('[3]Japan Corn Imports'!$IP$290:$US$290,1,ROW(A2))</f>
        <v>1396.02</v>
      </c>
      <c r="AB44" s="213" cm="1">
        <f t="array" ref="AB44">INDEX('[3]Japan Corn Imports'!$JB$290:$US$290,1,ROW(A2))</f>
        <v>1273.7439999999999</v>
      </c>
      <c r="AC44" s="213" cm="1">
        <f t="array" ref="AC44">INDEX('[3]Japan Corn Imports'!$JN$290:$US$290,1,ROW(A2))</f>
        <v>1288.08</v>
      </c>
      <c r="AD44" s="213" cm="1">
        <f t="array" ref="AD44">INDEX('[3]Japan Corn Imports'!$JZ$290:$US$290,1,ROW(A2))</f>
        <v>1214.1310000000001</v>
      </c>
      <c r="AE44" s="213" cm="1">
        <f t="array" ref="AE44">INDEX('[3]Japan Corn Imports'!$KL$290:$US$290,1,ROW(A2))</f>
        <v>1216.55</v>
      </c>
      <c r="AF44" s="213" cm="1">
        <f t="array" ref="AF44">INDEX('[3]Japan Corn Imports'!$KX$290:$US$290,1,ROW(A2))</f>
        <v>1069.558</v>
      </c>
      <c r="AG44" s="213" cm="1">
        <f t="array" ref="AG44">INDEX('[3]Japan Corn Imports'!$LJ$290:$US$290,1,ROW(A2))</f>
        <v>1340.5139999999999</v>
      </c>
      <c r="AH44" s="213" cm="1">
        <f t="array" ref="AH44">INDEX('[3]Japan Corn Imports'!$LV$290:$US$290,1,ROW(A2))</f>
        <v>1337.39</v>
      </c>
      <c r="AI44" s="213" cm="1">
        <f t="array" ref="AI44">INDEX('[3]Japan Corn Imports'!$MH$290:$US$290,1,ROW(A2))</f>
        <v>1354.6590000000001</v>
      </c>
      <c r="AJ44" s="213" cm="1">
        <f t="array" ref="AJ44">INDEX('[3]Japan Corn Imports'!$MT$290:$US$290,1,ROW(A2))</f>
        <v>1389.5419999999999</v>
      </c>
      <c r="AK44" s="213" cm="1">
        <f t="array" ref="AK44">INDEX('[3]Japan Corn Imports'!$NF$290:$US$290,1,ROW(A2))</f>
        <v>1185.194</v>
      </c>
      <c r="AL44" s="213" cm="1">
        <f t="array" ref="AL44">INDEX('[3]Japan Corn Imports'!$NR$290:$US$290,1,ROW(A2))</f>
        <v>1176.4269999999999</v>
      </c>
      <c r="AM44" s="213" cm="1">
        <f t="array" ref="AM44">INDEX('[3]Japan Corn Imports'!$OD$290:$US$290,1,ROW(A2))</f>
        <v>1365.1120000000001</v>
      </c>
      <c r="AN44" s="213" cm="1">
        <f t="array" ref="AN44">INDEX('[3]Japan Corn Imports'!$OP$290:$US$290,1,ROW(A2))</f>
        <v>1396.126</v>
      </c>
      <c r="AO44" s="213" cm="1">
        <f t="array" ref="AO44">INDEX('[3]Japan Corn Imports'!$PB$290:$ZZ$290,1,ROW(A2))</f>
        <v>1331.8969999999999</v>
      </c>
      <c r="AP44" s="222">
        <f t="shared" ref="AP44:AP54" si="13">(SUM(AJ44:AN44)/SUM(AJ$55:AN$55))*AP$55</f>
        <v>1271.5768640213901</v>
      </c>
    </row>
    <row r="45" spans="1:46" ht="15.75">
      <c r="A45" s="93" t="s">
        <v>76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 cm="1">
        <f t="array" ref="P45">INDEX('[3]Ukraine Corn Exports'!$DM$290:$OY$290,1,ROW(A3))/1000</f>
        <v>0</v>
      </c>
      <c r="Q45" s="213" cm="1">
        <f t="array" ref="Q45">INDEX('[3]Japan Corn Imports'!$DZ$290:$US$290,1,ROW(A3))</f>
        <v>1422</v>
      </c>
      <c r="R45" s="213" cm="1">
        <f t="array" ref="R45">INDEX('[3]Japan Corn Imports'!$EL$290:$US$290,1,ROW(A3))</f>
        <v>1318</v>
      </c>
      <c r="S45" s="213" cm="1">
        <f t="array" ref="S45">INDEX('[3]Japan Corn Imports'!$EX$290:$US$290,1,ROW(A3))</f>
        <v>1352</v>
      </c>
      <c r="T45" s="213" cm="1">
        <f t="array" ref="T45">INDEX('[3]Japan Corn Imports'!$FI$290:$US$290,1,ROW(A3))</f>
        <v>1334</v>
      </c>
      <c r="U45" s="213" cm="1">
        <f t="array" ref="U45">INDEX('[3]Japan Corn Imports'!$FV$290:$US$290,1,ROW(A3))</f>
        <v>1446</v>
      </c>
      <c r="V45" s="213" cm="1">
        <f t="array" ref="V45">INDEX('[3]Japan Corn Imports'!$GH$290:$US$290,1,ROW(A3))</f>
        <v>1504</v>
      </c>
      <c r="W45" s="213" cm="1">
        <f t="array" ref="W45">INDEX('[3]Japan Corn Imports'!$GT$290:$US$290,1,ROW(A3))</f>
        <v>1525</v>
      </c>
      <c r="X45" s="213" cm="1">
        <f t="array" ref="X45">INDEX('[3]Japan Corn Imports'!$HF$290:$US$290,1,ROW(A3))</f>
        <v>1459</v>
      </c>
      <c r="Y45" s="213" cm="1">
        <f t="array" ref="Y45">INDEX('[3]Japan Corn Imports'!$HR$290:$US$290,1,ROW(A3))</f>
        <v>1450</v>
      </c>
      <c r="Z45" s="213" cm="1">
        <f t="array" ref="Z45">INDEX('[3]Japan Corn Imports'!$ID$290:$US$290,1,ROW(A3))</f>
        <v>1333</v>
      </c>
      <c r="AA45" s="213" cm="1">
        <f t="array" ref="AA45">INDEX('[3]Japan Corn Imports'!$IP$290:$US$290,1,ROW(A3))</f>
        <v>1465.2929999999999</v>
      </c>
      <c r="AB45" s="213" cm="1">
        <f t="array" ref="AB45">INDEX('[3]Japan Corn Imports'!$JB$290:$US$290,1,ROW(A3))</f>
        <v>1408.769</v>
      </c>
      <c r="AC45" s="213" cm="1">
        <f t="array" ref="AC45">INDEX('[3]Japan Corn Imports'!$JN$290:$US$290,1,ROW(A3))</f>
        <v>1336.1210000000001</v>
      </c>
      <c r="AD45" s="213" cm="1">
        <f t="array" ref="AD45">INDEX('[3]Japan Corn Imports'!$JZ$290:$US$290,1,ROW(A3))</f>
        <v>1330.097</v>
      </c>
      <c r="AE45" s="213" cm="1">
        <f t="array" ref="AE45">INDEX('[3]Japan Corn Imports'!$KL$290:$US$290,1,ROW(A3))</f>
        <v>1262.2249999999999</v>
      </c>
      <c r="AF45" s="213" cm="1">
        <f t="array" ref="AF45">INDEX('[3]Japan Corn Imports'!$KX$290:$US$290,1,ROW(A3))</f>
        <v>1243.598</v>
      </c>
      <c r="AG45" s="213" cm="1">
        <f t="array" ref="AG45">INDEX('[3]Japan Corn Imports'!$LJ$290:$US$290,1,ROW(A3))</f>
        <v>1273.67</v>
      </c>
      <c r="AH45" s="213" cm="1">
        <f t="array" ref="AH45">INDEX('[3]Japan Corn Imports'!$LV$290:$US$290,1,ROW(A3))</f>
        <v>1404.173</v>
      </c>
      <c r="AI45" s="213" cm="1">
        <f t="array" ref="AI45">INDEX('[3]Japan Corn Imports'!$MH$290:$US$290,1,ROW(A3))</f>
        <v>1370.614</v>
      </c>
      <c r="AJ45" s="213" cm="1">
        <f t="array" ref="AJ45">INDEX('[3]Japan Corn Imports'!$MT$290:$US$290,1,ROW(A3))</f>
        <v>1384.97</v>
      </c>
      <c r="AK45" s="213" cm="1">
        <f t="array" ref="AK45">INDEX('[3]Japan Corn Imports'!$NF$290:$US$290,1,ROW(A3))</f>
        <v>1524.4449999999999</v>
      </c>
      <c r="AL45" s="213" cm="1">
        <f t="array" ref="AL45">INDEX('[3]Japan Corn Imports'!$NR$290:$US$290,1,ROW(A3))</f>
        <v>1442.4059999999999</v>
      </c>
      <c r="AM45" s="213" cm="1">
        <f t="array" ref="AM45">INDEX('[3]Japan Corn Imports'!$OD$290:$US$290,1,ROW(A3))</f>
        <v>1449.2070000000001</v>
      </c>
      <c r="AN45" s="213" cm="1">
        <f t="array" ref="AN45">INDEX('[3]Japan Corn Imports'!$OP$290:$US$290,1,ROW(A3))</f>
        <v>1470.357</v>
      </c>
      <c r="AO45" s="213" cm="1">
        <f t="array" ref="AO45">INDEX('[3]Japan Corn Imports'!$PB$290:$ZZ$290,1,ROW(A3))</f>
        <v>1370.6110000000001</v>
      </c>
      <c r="AP45" s="222">
        <f t="shared" si="13"/>
        <v>1419.7720526411342</v>
      </c>
      <c r="AT45" s="42"/>
    </row>
    <row r="46" spans="1:46" ht="15.75">
      <c r="A46" s="93" t="s">
        <v>77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 cm="1">
        <f t="array" ref="P46">INDEX('[3]Ukraine Corn Exports'!$DM$290:$OY$290,1,ROW(A4))/1000</f>
        <v>0</v>
      </c>
      <c r="Q46" s="213" cm="1">
        <f t="array" ref="Q46">INDEX('[3]Japan Corn Imports'!$DZ$290:$US$290,1,ROW(A4))</f>
        <v>1231</v>
      </c>
      <c r="R46" s="213" cm="1">
        <f t="array" ref="R46">INDEX('[3]Japan Corn Imports'!$EL$290:$US$290,1,ROW(A4))</f>
        <v>1305</v>
      </c>
      <c r="S46" s="213" cm="1">
        <f t="array" ref="S46">INDEX('[3]Japan Corn Imports'!$EX$290:$US$290,1,ROW(A4))</f>
        <v>1594</v>
      </c>
      <c r="T46" s="213" cm="1">
        <f t="array" ref="T46">INDEX('[3]Japan Corn Imports'!$FI$290:$US$290,1,ROW(A4))</f>
        <v>1572</v>
      </c>
      <c r="U46" s="213" cm="1">
        <f t="array" ref="U46">INDEX('[3]Japan Corn Imports'!$FV$290:$US$290,1,ROW(A4))</f>
        <v>1345</v>
      </c>
      <c r="V46" s="213" cm="1">
        <f t="array" ref="V46">INDEX('[3]Japan Corn Imports'!$GH$290:$US$290,1,ROW(A4))</f>
        <v>1324</v>
      </c>
      <c r="W46" s="213" cm="1">
        <f t="array" ref="W46">INDEX('[3]Japan Corn Imports'!$GT$290:$US$290,1,ROW(A4))</f>
        <v>1279</v>
      </c>
      <c r="X46" s="213" cm="1">
        <f t="array" ref="X46">INDEX('[3]Japan Corn Imports'!$HF$290:$US$290,1,ROW(A4))</f>
        <v>1236</v>
      </c>
      <c r="Y46" s="213" cm="1">
        <f t="array" ref="Y46">INDEX('[3]Japan Corn Imports'!$HR$290:$US$290,1,ROW(A4))</f>
        <v>1252</v>
      </c>
      <c r="Z46" s="213" cm="1">
        <f t="array" ref="Z46">INDEX('[3]Japan Corn Imports'!$ID$290:$US$290,1,ROW(A4))</f>
        <v>1322.66</v>
      </c>
      <c r="AA46" s="213" cm="1">
        <f t="array" ref="AA46">INDEX('[3]Japan Corn Imports'!$IP$290:$US$290,1,ROW(A4))</f>
        <v>1327.3150000000001</v>
      </c>
      <c r="AB46" s="213" cm="1">
        <f t="array" ref="AB46">INDEX('[3]Japan Corn Imports'!$JB$290:$US$290,1,ROW(A4))</f>
        <v>1287.9639999999999</v>
      </c>
      <c r="AC46" s="213" cm="1">
        <f t="array" ref="AC46">INDEX('[3]Japan Corn Imports'!$JN$290:$US$290,1,ROW(A4))</f>
        <v>1188.19</v>
      </c>
      <c r="AD46" s="213" cm="1">
        <f t="array" ref="AD46">INDEX('[3]Japan Corn Imports'!$JZ$290:$US$290,1,ROW(A4))</f>
        <v>1304.6949999999999</v>
      </c>
      <c r="AE46" s="213" cm="1">
        <f t="array" ref="AE46">INDEX('[3]Japan Corn Imports'!$KL$290:$US$290,1,ROW(A4))</f>
        <v>1209.654</v>
      </c>
      <c r="AF46" s="213" cm="1">
        <f t="array" ref="AF46">INDEX('[3]Japan Corn Imports'!$KX$290:$US$290,1,ROW(A4))</f>
        <v>1243.348</v>
      </c>
      <c r="AG46" s="213" cm="1">
        <f t="array" ref="AG46">INDEX('[3]Japan Corn Imports'!$LJ$290:$US$290,1,ROW(A4))</f>
        <v>1049.384</v>
      </c>
      <c r="AH46" s="213" cm="1">
        <f t="array" ref="AH46">INDEX('[3]Japan Corn Imports'!$LV$290:$US$290,1,ROW(A4))</f>
        <v>1308.6220000000001</v>
      </c>
      <c r="AI46" s="213" cm="1">
        <f t="array" ref="AI46">INDEX('[3]Japan Corn Imports'!$MH$290:$US$290,1,ROW(A4))</f>
        <v>1235.876</v>
      </c>
      <c r="AJ46" s="213" cm="1">
        <f t="array" ref="AJ46">INDEX('[3]Japan Corn Imports'!$MT$290:$US$290,1,ROW(A4))</f>
        <v>1335.588</v>
      </c>
      <c r="AK46" s="213" cm="1">
        <f t="array" ref="AK46">INDEX('[3]Japan Corn Imports'!$NF$290:$US$290,1,ROW(A4))</f>
        <v>1066.866</v>
      </c>
      <c r="AL46" s="213" cm="1">
        <f t="array" ref="AL46">INDEX('[3]Japan Corn Imports'!$NR$290:$US$290,1,ROW(A4))</f>
        <v>1083.8620000000001</v>
      </c>
      <c r="AM46" s="213" cm="1">
        <f t="array" ref="AM46">INDEX('[3]Japan Corn Imports'!$OD$290:$US$290,1,ROW(A4))</f>
        <v>1135.3800000000001</v>
      </c>
      <c r="AN46" s="213" cm="1">
        <f t="array" ref="AN46">INDEX('[3]Japan Corn Imports'!$OP$290:$US$290,1,ROW(A4))</f>
        <v>994.54499999999996</v>
      </c>
      <c r="AO46" s="222">
        <f t="shared" ref="AO46:AO51" si="14">(SUM(AJ46:AN46)/SUM(AJ$55:AN$55))*AO$55</f>
        <v>1133.1506647569718</v>
      </c>
      <c r="AP46" s="222">
        <f t="shared" si="13"/>
        <v>1096.5974175067468</v>
      </c>
      <c r="AT46" s="42"/>
    </row>
    <row r="47" spans="1:46" ht="15.75">
      <c r="A47" s="93" t="s">
        <v>78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 cm="1">
        <f t="array" ref="P47">INDEX('[3]Ukraine Corn Exports'!$DM$290:$OY$290,1,ROW(A5))/1000</f>
        <v>0</v>
      </c>
      <c r="Q47" s="213" cm="1">
        <f t="array" ref="Q47">INDEX('[3]Japan Corn Imports'!$DZ$290:$US$290,1,ROW(A5))</f>
        <v>1234</v>
      </c>
      <c r="R47" s="213" cm="1">
        <f t="array" ref="R47">INDEX('[3]Japan Corn Imports'!$EL$290:$US$290,1,ROW(A5))</f>
        <v>1262</v>
      </c>
      <c r="S47" s="213" cm="1">
        <f t="array" ref="S47">INDEX('[3]Japan Corn Imports'!$EX$290:$US$290,1,ROW(A5))</f>
        <v>1266</v>
      </c>
      <c r="T47" s="213" cm="1">
        <f t="array" ref="T47">INDEX('[3]Japan Corn Imports'!$FI$290:$US$290,1,ROW(A5))</f>
        <v>1434</v>
      </c>
      <c r="U47" s="213" cm="1">
        <f t="array" ref="U47">INDEX('[3]Japan Corn Imports'!$FV$290:$US$290,1,ROW(A5))</f>
        <v>1217</v>
      </c>
      <c r="V47" s="213" cm="1">
        <f t="array" ref="V47">INDEX('[3]Japan Corn Imports'!$GH$290:$US$290,1,ROW(A5))</f>
        <v>1358</v>
      </c>
      <c r="W47" s="213" cm="1">
        <f t="array" ref="W47">INDEX('[3]Japan Corn Imports'!$GT$290:$US$290,1,ROW(A5))</f>
        <v>1227</v>
      </c>
      <c r="X47" s="213" cm="1">
        <f t="array" ref="X47">INDEX('[3]Japan Corn Imports'!$HF$290:$US$290,1,ROW(A5))</f>
        <v>1324</v>
      </c>
      <c r="Y47" s="213" cm="1">
        <f t="array" ref="Y47">INDEX('[3]Japan Corn Imports'!$HR$290:$US$290,1,ROW(A5))</f>
        <v>1221</v>
      </c>
      <c r="Z47" s="213" cm="1">
        <f t="array" ref="Z47">INDEX('[3]Japan Corn Imports'!$ID$290:$US$290,1,ROW(A5))</f>
        <v>1211.2940000000001</v>
      </c>
      <c r="AA47" s="213" cm="1">
        <f t="array" ref="AA47">INDEX('[3]Japan Corn Imports'!$IP$290:$US$290,1,ROW(A5))</f>
        <v>1219.0809999999999</v>
      </c>
      <c r="AB47" s="213" cm="1">
        <f t="array" ref="AB47">INDEX('[3]Japan Corn Imports'!$JB$290:$US$290,1,ROW(A5))</f>
        <v>1083.2170000000001</v>
      </c>
      <c r="AC47" s="213" cm="1">
        <f t="array" ref="AC47">INDEX('[3]Japan Corn Imports'!$JN$290:$US$290,1,ROW(A5))</f>
        <v>1160.7270000000001</v>
      </c>
      <c r="AD47" s="213" cm="1">
        <f t="array" ref="AD47">INDEX('[3]Japan Corn Imports'!$JZ$290:$US$290,1,ROW(A5))</f>
        <v>1176.125</v>
      </c>
      <c r="AE47" s="213" cm="1">
        <f t="array" ref="AE47">INDEX('[3]Japan Corn Imports'!$KL$290:$US$290,1,ROW(A5))</f>
        <v>1033.575</v>
      </c>
      <c r="AF47" s="213" cm="1">
        <f t="array" ref="AF47">INDEX('[3]Japan Corn Imports'!$KX$290:$US$290,1,ROW(A5))</f>
        <v>1324.8720000000001</v>
      </c>
      <c r="AG47" s="213" cm="1">
        <f t="array" ref="AG47">INDEX('[3]Japan Corn Imports'!$LJ$290:$US$290,1,ROW(A5))</f>
        <v>962.35199999999998</v>
      </c>
      <c r="AH47" s="213" cm="1">
        <f t="array" ref="AH47">INDEX('[3]Japan Corn Imports'!$LV$290:$US$290,1,ROW(A5))</f>
        <v>1180.1489999999999</v>
      </c>
      <c r="AI47" s="213" cm="1">
        <f t="array" ref="AI47">INDEX('[3]Japan Corn Imports'!$MH$290:$US$290,1,ROW(A5))</f>
        <v>1266.614</v>
      </c>
      <c r="AJ47" s="213" cm="1">
        <f t="array" ref="AJ47">INDEX('[3]Japan Corn Imports'!$MT$290:$US$290,1,ROW(A5))</f>
        <v>1256.6980000000001</v>
      </c>
      <c r="AK47" s="213" cm="1">
        <f t="array" ref="AK47">INDEX('[3]Japan Corn Imports'!$NF$290:$US$290,1,ROW(A5))</f>
        <v>1195.0830000000001</v>
      </c>
      <c r="AL47" s="213" cm="1">
        <f t="array" ref="AL47">INDEX('[3]Japan Corn Imports'!$NR$290:$US$290,1,ROW(A5))</f>
        <v>1073.433</v>
      </c>
      <c r="AM47" s="213" cm="1">
        <f t="array" ref="AM47">INDEX('[3]Japan Corn Imports'!$OD$290:$US$290,1,ROW(A5))</f>
        <v>1004.359</v>
      </c>
      <c r="AN47" s="213" cm="1">
        <f t="array" ref="AN47">INDEX('[3]Japan Corn Imports'!$OP$290:$US$290,1,ROW(A5))</f>
        <v>1238.539</v>
      </c>
      <c r="AO47" s="222">
        <f t="shared" si="14"/>
        <v>1163.7926412332852</v>
      </c>
      <c r="AP47" s="222">
        <f t="shared" si="13"/>
        <v>1126.2509431289855</v>
      </c>
      <c r="AT47" s="42"/>
    </row>
    <row r="48" spans="1:46" ht="15.75">
      <c r="A48" s="93" t="s">
        <v>79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 cm="1">
        <f t="array" ref="P48">INDEX('[3]Ukraine Corn Exports'!$DM$290:$OY$290,1,ROW(A6))/1000</f>
        <v>0</v>
      </c>
      <c r="Q48" s="213" cm="1">
        <f t="array" ref="Q48">INDEX('[3]Japan Corn Imports'!$DZ$290:$US$290,1,ROW(A6))</f>
        <v>1475</v>
      </c>
      <c r="R48" s="213" cm="1">
        <f t="array" ref="R48">INDEX('[3]Japan Corn Imports'!$EL$290:$US$290,1,ROW(A6))</f>
        <v>1435</v>
      </c>
      <c r="S48" s="213" cm="1">
        <f t="array" ref="S48">INDEX('[3]Japan Corn Imports'!$EX$290:$US$290,1,ROW(A6))</f>
        <v>1501</v>
      </c>
      <c r="T48" s="213" cm="1">
        <f t="array" ref="T48">INDEX('[3]Japan Corn Imports'!$FI$290:$US$290,1,ROW(A6))</f>
        <v>1254</v>
      </c>
      <c r="U48" s="213" cm="1">
        <f t="array" ref="U48">INDEX('[3]Japan Corn Imports'!$FV$290:$US$290,1,ROW(A6))</f>
        <v>1518</v>
      </c>
      <c r="V48" s="213" cm="1">
        <f t="array" ref="V48">INDEX('[3]Japan Corn Imports'!$GH$290:$US$290,1,ROW(A6))</f>
        <v>1538</v>
      </c>
      <c r="W48" s="213" cm="1">
        <f t="array" ref="W48">INDEX('[3]Japan Corn Imports'!$GT$290:$US$290,1,ROW(A6))</f>
        <v>1525</v>
      </c>
      <c r="X48" s="213" cm="1">
        <f t="array" ref="X48">INDEX('[3]Japan Corn Imports'!$HF$290:$US$290,1,ROW(A6))</f>
        <v>1560</v>
      </c>
      <c r="Y48" s="213" cm="1">
        <f t="array" ref="Y48">INDEX('[3]Japan Corn Imports'!$HR$290:$US$290,1,ROW(A6))</f>
        <v>1545</v>
      </c>
      <c r="Z48" s="213" cm="1">
        <f t="array" ref="Z48">INDEX('[3]Japan Corn Imports'!$ID$290:$US$290,1,ROW(A6))</f>
        <v>1397.9860000000001</v>
      </c>
      <c r="AA48" s="213" cm="1">
        <f t="array" ref="AA48">INDEX('[3]Japan Corn Imports'!$IP$290:$US$290,1,ROW(A6))</f>
        <v>1244.3420000000001</v>
      </c>
      <c r="AB48" s="213" cm="1">
        <f t="array" ref="AB48">INDEX('[3]Japan Corn Imports'!$JB$290:$US$290,1,ROW(A6))</f>
        <v>1448.742</v>
      </c>
      <c r="AC48" s="213" cm="1">
        <f t="array" ref="AC48">INDEX('[3]Japan Corn Imports'!$JN$290:$US$290,1,ROW(A6))</f>
        <v>1314.018</v>
      </c>
      <c r="AD48" s="213" cm="1">
        <f t="array" ref="AD48">INDEX('[3]Japan Corn Imports'!$JZ$290:$US$290,1,ROW(A6))</f>
        <v>1418.6679999999999</v>
      </c>
      <c r="AE48" s="213" cm="1">
        <f t="array" ref="AE48">INDEX('[3]Japan Corn Imports'!$KL$290:$US$290,1,ROW(A6))</f>
        <v>1352.0630000000001</v>
      </c>
      <c r="AF48" s="213" cm="1">
        <f t="array" ref="AF48">INDEX('[3]Japan Corn Imports'!$KX$290:$US$290,1,ROW(A6))</f>
        <v>1414.6659999999999</v>
      </c>
      <c r="AG48" s="213" cm="1">
        <f t="array" ref="AG48">INDEX('[3]Japan Corn Imports'!$LJ$290:$US$290,1,ROW(A6))</f>
        <v>1505.3420000000001</v>
      </c>
      <c r="AH48" s="213" cm="1">
        <f t="array" ref="AH48">INDEX('[3]Japan Corn Imports'!$LV$290:$US$290,1,ROW(A6))</f>
        <v>1374.25</v>
      </c>
      <c r="AI48" s="213" cm="1">
        <f t="array" ref="AI48">INDEX('[3]Japan Corn Imports'!$MH$290:$US$290,1,ROW(A6))</f>
        <v>1318.0889999999999</v>
      </c>
      <c r="AJ48" s="213" cm="1">
        <f t="array" ref="AJ48">INDEX('[3]Japan Corn Imports'!$MT$290:$US$290,1,ROW(A6))</f>
        <v>1471.96</v>
      </c>
      <c r="AK48" s="213" cm="1">
        <f t="array" ref="AK48">INDEX('[3]Japan Corn Imports'!$NF$290:$US$290,1,ROW(A6))</f>
        <v>1398.2449999999999</v>
      </c>
      <c r="AL48" s="213" cm="1">
        <f t="array" ref="AL48">INDEX('[3]Japan Corn Imports'!$NR$290:$US$290,1,ROW(A6))</f>
        <v>1573.414</v>
      </c>
      <c r="AM48" s="213" cm="1">
        <f t="array" ref="AM48">INDEX('[3]Japan Corn Imports'!$OD$290:$US$290,1,ROW(A6))</f>
        <v>1381.971</v>
      </c>
      <c r="AN48" s="213" cm="1">
        <f t="array" ref="AN48">INDEX('[3]Japan Corn Imports'!$OP$290:$US$290,1,ROW(A6))</f>
        <v>1400.1959999999999</v>
      </c>
      <c r="AO48" s="222">
        <f t="shared" si="14"/>
        <v>1457.8975883142514</v>
      </c>
      <c r="AP48" s="222">
        <f t="shared" si="13"/>
        <v>1410.8686338525013</v>
      </c>
      <c r="AT48" s="42"/>
    </row>
    <row r="49" spans="1:46" ht="15.75">
      <c r="A49" s="93" t="s">
        <v>80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 cm="1">
        <f t="array" ref="P49">INDEX('[3]Ukraine Corn Exports'!$DM$290:$OY$290,1,ROW(A7))/1000</f>
        <v>0</v>
      </c>
      <c r="Q49" s="213" cm="1">
        <f t="array" ref="Q49">INDEX('[3]Japan Corn Imports'!$DZ$290:$US$290,1,ROW(A7))</f>
        <v>1362</v>
      </c>
      <c r="R49" s="213" cm="1">
        <f t="array" ref="R49">INDEX('[3]Japan Corn Imports'!$EL$290:$US$290,1,ROW(A7))</f>
        <v>1468</v>
      </c>
      <c r="S49" s="213" cm="1">
        <f t="array" ref="S49">INDEX('[3]Japan Corn Imports'!$EX$290:$US$290,1,ROW(A7))</f>
        <v>1396</v>
      </c>
      <c r="T49" s="213" cm="1">
        <f t="array" ref="T49">INDEX('[3]Japan Corn Imports'!$FI$290:$US$290,1,ROW(A7))</f>
        <v>1623</v>
      </c>
      <c r="U49" s="213" cm="1">
        <f t="array" ref="U49">INDEX('[3]Japan Corn Imports'!$FV$290:$US$290,1,ROW(A7))</f>
        <v>1471</v>
      </c>
      <c r="V49" s="213" cm="1">
        <f t="array" ref="V49">INDEX('[3]Japan Corn Imports'!$GH$290:$US$290,1,ROW(A7))</f>
        <v>1360</v>
      </c>
      <c r="W49" s="213" cm="1">
        <f t="array" ref="W49">INDEX('[3]Japan Corn Imports'!$GT$290:$US$290,1,ROW(A7))</f>
        <v>1341</v>
      </c>
      <c r="X49" s="213" cm="1">
        <f t="array" ref="X49">INDEX('[3]Japan Corn Imports'!$HF$290:$US$290,1,ROW(A7))</f>
        <v>1260</v>
      </c>
      <c r="Y49" s="213" cm="1">
        <f t="array" ref="Y49">INDEX('[3]Japan Corn Imports'!$HR$290:$US$290,1,ROW(A7))</f>
        <v>1391</v>
      </c>
      <c r="Z49" s="213" cm="1">
        <f t="array" ref="Z49">INDEX('[3]Japan Corn Imports'!$ID$290:$US$290,1,ROW(A7))</f>
        <v>1469.1780000000001</v>
      </c>
      <c r="AA49" s="213" cm="1">
        <f t="array" ref="AA49">INDEX('[3]Japan Corn Imports'!$IP$290:$US$290,1,ROW(A7))</f>
        <v>1270.5160000000001</v>
      </c>
      <c r="AB49" s="213" cm="1">
        <f t="array" ref="AB49">INDEX('[3]Japan Corn Imports'!$JB$290:$US$290,1,ROW(A7))</f>
        <v>1256.155</v>
      </c>
      <c r="AC49" s="213" cm="1">
        <f t="array" ref="AC49">INDEX('[3]Japan Corn Imports'!$JN$290:$US$290,1,ROW(A7))</f>
        <v>1034.076</v>
      </c>
      <c r="AD49" s="213" cm="1">
        <f t="array" ref="AD49">INDEX('[3]Japan Corn Imports'!$JZ$290:$US$290,1,ROW(A7))</f>
        <v>1181.0530000000001</v>
      </c>
      <c r="AE49" s="213" cm="1">
        <f t="array" ref="AE49">INDEX('[3]Japan Corn Imports'!$KL$290:$US$290,1,ROW(A7))</f>
        <v>1270.0540000000001</v>
      </c>
      <c r="AF49" s="213" cm="1">
        <f t="array" ref="AF49">INDEX('[3]Japan Corn Imports'!$KX$290:$US$290,1,ROW(A7))</f>
        <v>1301.2139999999999</v>
      </c>
      <c r="AG49" s="213" cm="1">
        <f t="array" ref="AG49">INDEX('[3]Japan Corn Imports'!$LJ$290:$US$290,1,ROW(A7))</f>
        <v>1267.7660000000001</v>
      </c>
      <c r="AH49" s="213" cm="1">
        <f t="array" ref="AH49">INDEX('[3]Japan Corn Imports'!$LV$290:$US$290,1,ROW(A7))</f>
        <v>1246.0139999999999</v>
      </c>
      <c r="AI49" s="213" cm="1">
        <f t="array" ref="AI49">INDEX('[3]Japan Corn Imports'!$MH$290:$US$290,1,ROW(A7))</f>
        <v>1436.421</v>
      </c>
      <c r="AJ49" s="213" cm="1">
        <f t="array" ref="AJ49">INDEX('[3]Japan Corn Imports'!$MT$290:$US$290,1,ROW(A7))</f>
        <v>1269.587</v>
      </c>
      <c r="AK49" s="213" cm="1">
        <f t="array" ref="AK49">INDEX('[3]Japan Corn Imports'!$NF$290:$US$290,1,ROW(A7))</f>
        <v>1484.989</v>
      </c>
      <c r="AL49" s="213" cm="1">
        <f t="array" ref="AL49">INDEX('[3]Japan Corn Imports'!$NR$290:$US$290,1,ROW(A7))</f>
        <v>1205.154</v>
      </c>
      <c r="AM49" s="213" cm="1">
        <f t="array" ref="AM49">INDEX('[3]Japan Corn Imports'!$OD$290:$US$290,1,ROW(A7))</f>
        <v>1118.4639999999999</v>
      </c>
      <c r="AN49" s="213" cm="1">
        <f t="array" ref="AN49">INDEX('[3]Japan Corn Imports'!$OP$290:$US$290,1,ROW(A7))</f>
        <v>1266.998</v>
      </c>
      <c r="AO49" s="222">
        <f t="shared" si="14"/>
        <v>1280.2261393004001</v>
      </c>
      <c r="AP49" s="222">
        <f t="shared" si="13"/>
        <v>1238.928521903613</v>
      </c>
      <c r="AT49" s="42"/>
    </row>
    <row r="50" spans="1:46" ht="15.75">
      <c r="A50" s="93" t="s">
        <v>81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 cm="1">
        <f t="array" ref="P50">INDEX('[3]Ukraine Corn Exports'!$DM$290:$OY$290,1,ROW(A8))/1000</f>
        <v>0</v>
      </c>
      <c r="Q50" s="213" cm="1">
        <f t="array" ref="Q50">INDEX('[3]Japan Corn Imports'!$DZ$290:$US$290,1,ROW(A8))</f>
        <v>1507</v>
      </c>
      <c r="R50" s="213" cm="1">
        <f t="array" ref="R50">INDEX('[3]Japan Corn Imports'!$EL$290:$US$290,1,ROW(A8))</f>
        <v>1429</v>
      </c>
      <c r="S50" s="213" cm="1">
        <f t="array" ref="S50">INDEX('[3]Japan Corn Imports'!$EX$290:$US$290,1,ROW(A8))</f>
        <v>1445</v>
      </c>
      <c r="T50" s="213" cm="1">
        <f t="array" ref="T50">INDEX('[3]Japan Corn Imports'!$FI$290:$US$290,1,ROW(A8))</f>
        <v>1527</v>
      </c>
      <c r="U50" s="213" cm="1">
        <f t="array" ref="U50">INDEX('[3]Japan Corn Imports'!$FV$290:$US$290,1,ROW(A8))</f>
        <v>1515</v>
      </c>
      <c r="V50" s="213" cm="1">
        <f t="array" ref="V50">INDEX('[3]Japan Corn Imports'!$GH$290:$US$290,1,ROW(A8))</f>
        <v>1367</v>
      </c>
      <c r="W50" s="213" cm="1">
        <f t="array" ref="W50">INDEX('[3]Japan Corn Imports'!$GT$290:$US$290,1,ROW(A8))</f>
        <v>1369</v>
      </c>
      <c r="X50" s="213" cm="1">
        <f t="array" ref="X50">INDEX('[3]Japan Corn Imports'!$HF$290:$US$290,1,ROW(A8))</f>
        <v>1486</v>
      </c>
      <c r="Y50" s="213" cm="1">
        <f t="array" ref="Y50">INDEX('[3]Japan Corn Imports'!$HR$290:$US$290,1,ROW(A8))</f>
        <v>1411</v>
      </c>
      <c r="Z50" s="213" cm="1">
        <f t="array" ref="Z50">INDEX('[3]Japan Corn Imports'!$ID$290:$US$290,1,ROW(A8))</f>
        <v>1370.7829999999999</v>
      </c>
      <c r="AA50" s="213" cm="1">
        <f t="array" ref="AA50">INDEX('[3]Japan Corn Imports'!$IP$290:$US$290,1,ROW(A8))</f>
        <v>1399.124</v>
      </c>
      <c r="AB50" s="213" cm="1">
        <f t="array" ref="AB50">INDEX('[3]Japan Corn Imports'!$JB$290:$US$290,1,ROW(A8))</f>
        <v>1435.7940000000001</v>
      </c>
      <c r="AC50" s="213" cm="1">
        <f t="array" ref="AC50">INDEX('[3]Japan Corn Imports'!$JN$290:$US$290,1,ROW(A8))</f>
        <v>1336.761</v>
      </c>
      <c r="AD50" s="213" cm="1">
        <f t="array" ref="AD50">INDEX('[3]Japan Corn Imports'!$JZ$290:$US$290,1,ROW(A8))</f>
        <v>1403.2539999999999</v>
      </c>
      <c r="AE50" s="213" cm="1">
        <f t="array" ref="AE50">INDEX('[3]Japan Corn Imports'!$KL$290:$US$290,1,ROW(A8))</f>
        <v>1113.453</v>
      </c>
      <c r="AF50" s="213" cm="1">
        <f t="array" ref="AF50">INDEX('[3]Japan Corn Imports'!$KX$290:$US$290,1,ROW(A8))</f>
        <v>1182.0540000000001</v>
      </c>
      <c r="AG50" s="213" cm="1">
        <f t="array" ref="AG50">INDEX('[3]Japan Corn Imports'!$LJ$290:$US$290,1,ROW(A8))</f>
        <v>1416.954</v>
      </c>
      <c r="AH50" s="213" cm="1">
        <f t="array" ref="AH50">INDEX('[3]Japan Corn Imports'!$LV$290:$US$290,1,ROW(A8))</f>
        <v>1362.2339999999999</v>
      </c>
      <c r="AI50" s="213" cm="1">
        <f t="array" ref="AI50">INDEX('[3]Japan Corn Imports'!$MH$290:$US$290,1,ROW(A8))</f>
        <v>1294.5170000000001</v>
      </c>
      <c r="AJ50" s="213" cm="1">
        <f t="array" ref="AJ50">INDEX('[3]Japan Corn Imports'!$MT$290:$US$290,1,ROW(A8))</f>
        <v>1346.0229999999999</v>
      </c>
      <c r="AK50" s="213" cm="1">
        <f t="array" ref="AK50">INDEX('[3]Japan Corn Imports'!$NF$290:$US$290,1,ROW(A8))</f>
        <v>1197.27</v>
      </c>
      <c r="AL50" s="213" cm="1">
        <f t="array" ref="AL50">INDEX('[3]Japan Corn Imports'!$NR$290:$US$290,1,ROW(A8))</f>
        <v>1262.518</v>
      </c>
      <c r="AM50" s="213" cm="1">
        <f t="array" ref="AM50">INDEX('[3]Japan Corn Imports'!$OD$290:$US$290,1,ROW(A8))</f>
        <v>1393.712</v>
      </c>
      <c r="AN50" s="213" cm="1">
        <f t="array" ref="AN50">INDEX('[3]Japan Corn Imports'!$OP$290:$US$290,1,ROW(A8))</f>
        <v>1449.0509999999999</v>
      </c>
      <c r="AO50" s="222">
        <f t="shared" si="14"/>
        <v>1341.4374575068834</v>
      </c>
      <c r="AP50" s="222">
        <f t="shared" si="13"/>
        <v>1298.1652814582744</v>
      </c>
      <c r="AT50" s="42"/>
    </row>
    <row r="51" spans="1:46" ht="15.75">
      <c r="A51" s="93" t="s">
        <v>82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 cm="1">
        <f t="array" ref="P51">INDEX('[3]Ukraine Corn Exports'!$DM$290:$OY$290,1,ROW(A9))/1000</f>
        <v>0</v>
      </c>
      <c r="Q51" s="213" cm="1">
        <f t="array" ref="Q51">INDEX('[3]Japan Corn Imports'!$DZ$290:$US$290,1,ROW(A9))</f>
        <v>1383</v>
      </c>
      <c r="R51" s="213" cm="1">
        <f t="array" ref="R51">INDEX('[3]Japan Corn Imports'!$EL$290:$US$290,1,ROW(A9))</f>
        <v>1288</v>
      </c>
      <c r="S51" s="213" cm="1">
        <f t="array" ref="S51">INDEX('[3]Japan Corn Imports'!$EX$290:$US$290,1,ROW(A9))</f>
        <v>1348</v>
      </c>
      <c r="T51" s="213" cm="1">
        <f t="array" ref="T51">INDEX('[3]Japan Corn Imports'!$FI$290:$US$290,1,ROW(A9))</f>
        <v>1291</v>
      </c>
      <c r="U51" s="213" cm="1">
        <f t="array" ref="U51">INDEX('[3]Japan Corn Imports'!$FV$290:$US$290,1,ROW(A9))</f>
        <v>1383</v>
      </c>
      <c r="V51" s="213" cm="1">
        <f t="array" ref="V51">INDEX('[3]Japan Corn Imports'!$GH$290:$US$290,1,ROW(A9))</f>
        <v>1468</v>
      </c>
      <c r="W51" s="213" cm="1">
        <f t="array" ref="W51">INDEX('[3]Japan Corn Imports'!$GT$290:$US$290,1,ROW(A9))</f>
        <v>1413</v>
      </c>
      <c r="X51" s="213" cm="1">
        <f t="array" ref="X51">INDEX('[3]Japan Corn Imports'!$HF$290:$US$290,1,ROW(A9))</f>
        <v>1308</v>
      </c>
      <c r="Y51" s="213" cm="1">
        <f t="array" ref="Y51">INDEX('[3]Japan Corn Imports'!$HR$290:$US$290,1,ROW(A9))</f>
        <v>1368</v>
      </c>
      <c r="Z51" s="213" cm="1">
        <f t="array" ref="Z51">INDEX('[3]Japan Corn Imports'!$ID$290:$US$290,1,ROW(A9))</f>
        <v>1298.7460000000001</v>
      </c>
      <c r="AA51" s="213" cm="1">
        <f t="array" ref="AA51">INDEX('[3]Japan Corn Imports'!$IP$290:$US$290,1,ROW(A9))</f>
        <v>1208.482</v>
      </c>
      <c r="AB51" s="213" cm="1">
        <f t="array" ref="AB51">INDEX('[3]Japan Corn Imports'!$JB$290:$US$290,1,ROW(A9))</f>
        <v>1133.8420000000001</v>
      </c>
      <c r="AC51" s="213" cm="1">
        <f t="array" ref="AC51">INDEX('[3]Japan Corn Imports'!$JN$290:$US$290,1,ROW(A9))</f>
        <v>997.62699999999995</v>
      </c>
      <c r="AD51" s="213" cm="1">
        <f t="array" ref="AD51">INDEX('[3]Japan Corn Imports'!$JZ$290:$US$290,1,ROW(A9))</f>
        <v>1260.402</v>
      </c>
      <c r="AE51" s="213" cm="1">
        <f t="array" ref="AE51">INDEX('[3]Japan Corn Imports'!$KL$290:$US$290,1,ROW(A9))</f>
        <v>1298.1880000000001</v>
      </c>
      <c r="AF51" s="213" cm="1">
        <f t="array" ref="AF51">INDEX('[3]Japan Corn Imports'!$KX$290:$US$290,1,ROW(A9))</f>
        <v>1250.3019999999999</v>
      </c>
      <c r="AG51" s="213" cm="1">
        <f t="array" ref="AG51">INDEX('[3]Japan Corn Imports'!$LJ$290:$US$290,1,ROW(A9))</f>
        <v>1387.607</v>
      </c>
      <c r="AH51" s="213" cm="1">
        <f t="array" ref="AH51">INDEX('[3]Japan Corn Imports'!$LV$290:$US$290,1,ROW(A9))</f>
        <v>1297.9480000000001</v>
      </c>
      <c r="AI51" s="213" cm="1">
        <f t="array" ref="AI51">INDEX('[3]Japan Corn Imports'!$MH$290:$US$290,1,ROW(A9))</f>
        <v>1408.479</v>
      </c>
      <c r="AJ51" s="213" cm="1">
        <f t="array" ref="AJ51">INDEX('[3]Japan Corn Imports'!$MT$290:$US$290,1,ROW(A9))</f>
        <v>1222.864</v>
      </c>
      <c r="AK51" s="213" cm="1">
        <f t="array" ref="AK51">INDEX('[3]Japan Corn Imports'!$NF$290:$US$290,1,ROW(A9))</f>
        <v>1351.4269999999999</v>
      </c>
      <c r="AL51" s="213" cm="1">
        <f t="array" ref="AL51">INDEX('[3]Japan Corn Imports'!$NR$290:$US$290,1,ROW(A9))</f>
        <v>1334.9159999999999</v>
      </c>
      <c r="AM51" s="213" cm="1">
        <f t="array" ref="AM51">INDEX('[3]Japan Corn Imports'!$OD$290:$US$290,1,ROW(A9))</f>
        <v>1202.075</v>
      </c>
      <c r="AN51" s="213" cm="1">
        <f t="array" ref="AN51">INDEX('[3]Japan Corn Imports'!$OP$290:$US$290,1,ROW(A9))</f>
        <v>1183.4849999999999</v>
      </c>
      <c r="AO51" s="222">
        <f t="shared" si="14"/>
        <v>1270.0522307607969</v>
      </c>
      <c r="AP51" s="222">
        <f t="shared" si="13"/>
        <v>1229.0828039620615</v>
      </c>
      <c r="AT51" s="42"/>
    </row>
    <row r="52" spans="1:46" ht="15.75">
      <c r="A52" s="93" t="s">
        <v>83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 cm="1">
        <f t="array" ref="P52">INDEX('[3]Ukraine Corn Exports'!$DM$290:$OY$290,1,ROW(A10))/1000</f>
        <v>0</v>
      </c>
      <c r="Q52" s="213" cm="1">
        <f t="array" ref="Q52">INDEX('[3]Japan Corn Imports'!$DZ$290:$US$290,1,ROW(A10))</f>
        <v>1268</v>
      </c>
      <c r="R52" s="213" cm="1">
        <f t="array" ref="R52">INDEX('[3]Japan Corn Imports'!$EL$290:$US$290,1,ROW(A10))</f>
        <v>1385</v>
      </c>
      <c r="S52" s="213" cm="1">
        <f t="array" ref="S52">INDEX('[3]Japan Corn Imports'!$EX$290:$US$290,1,ROW(A10))</f>
        <v>1452</v>
      </c>
      <c r="T52" s="213" cm="1">
        <f t="array" ref="T52">INDEX('[3]Japan Corn Imports'!$FI$290:$US$290,1,ROW(A10))</f>
        <v>1337</v>
      </c>
      <c r="U52" s="213" cm="1">
        <f t="array" ref="U52">INDEX('[3]Japan Corn Imports'!$FV$290:$US$290,1,ROW(A10))</f>
        <v>1322</v>
      </c>
      <c r="V52" s="213" cm="1">
        <f t="array" ref="V52">INDEX('[3]Japan Corn Imports'!$GH$290:$US$290,1,ROW(A10))</f>
        <v>1276</v>
      </c>
      <c r="W52" s="213" cm="1">
        <f t="array" ref="W52">INDEX('[3]Japan Corn Imports'!$GT$290:$US$290,1,ROW(A10))</f>
        <v>1446</v>
      </c>
      <c r="X52" s="213" cm="1">
        <f t="array" ref="X52">INDEX('[3]Japan Corn Imports'!$HF$290:$US$290,1,ROW(A10))</f>
        <v>1411</v>
      </c>
      <c r="Y52" s="213" cm="1">
        <f t="array" ref="Y52">INDEX('[3]Japan Corn Imports'!$HR$290:$US$290,1,ROW(A10))</f>
        <v>1452</v>
      </c>
      <c r="Z52" s="213" cm="1">
        <f t="array" ref="Z52">INDEX('[3]Japan Corn Imports'!$ID$290:$US$290,1,ROW(A10))</f>
        <v>1420.7159999999999</v>
      </c>
      <c r="AA52" s="213" cm="1">
        <f t="array" ref="AA52">INDEX('[3]Japan Corn Imports'!$IP$290:$US$290,1,ROW(A10))</f>
        <v>1301.3579999999999</v>
      </c>
      <c r="AB52" s="213" cm="1">
        <f t="array" ref="AB52">INDEX('[3]Japan Corn Imports'!$JB$290:$US$290,1,ROW(A10))</f>
        <v>1167.9659999999999</v>
      </c>
      <c r="AC52" s="213" cm="1">
        <f t="array" ref="AC52">INDEX('[3]Japan Corn Imports'!$JN$290:$US$290,1,ROW(A10))</f>
        <v>1174.383</v>
      </c>
      <c r="AD52" s="213" cm="1">
        <f t="array" ref="AD52">INDEX('[3]Japan Corn Imports'!$JZ$290:$US$290,1,ROW(A10))</f>
        <v>1191.2729999999999</v>
      </c>
      <c r="AE52" s="213" cm="1">
        <f t="array" ref="AE52">INDEX('[3]Japan Corn Imports'!$KL$290:$US$290,1,ROW(A10))</f>
        <v>1252.528</v>
      </c>
      <c r="AF52" s="213" cm="1">
        <f t="array" ref="AF52">INDEX('[3]Japan Corn Imports'!$KX$290:$US$290,1,ROW(A10))</f>
        <v>1132.8489999999999</v>
      </c>
      <c r="AG52" s="213" cm="1">
        <f t="array" ref="AG52">INDEX('[3]Japan Corn Imports'!$LJ$290:$US$290,1,ROW(A10))</f>
        <v>1201.912</v>
      </c>
      <c r="AH52" s="213" cm="1">
        <f t="array" ref="AH52">INDEX('[3]Japan Corn Imports'!$LV$290:$US$290,1,ROW(A10))</f>
        <v>1304.3230000000001</v>
      </c>
      <c r="AI52" s="213" cm="1">
        <f t="array" ref="AI52">INDEX('[3]Japan Corn Imports'!$MH$290:$US$290,1,ROW(A10))</f>
        <v>1239.8789999999999</v>
      </c>
      <c r="AJ52" s="213" cm="1">
        <f t="array" ref="AJ52">INDEX('[3]Japan Corn Imports'!$MT$290:$US$290,1,ROW(A10))</f>
        <v>1316.633</v>
      </c>
      <c r="AK52" s="213" cm="1">
        <f t="array" ref="AK52">INDEX('[3]Japan Corn Imports'!$NF$290:$US$290,1,ROW(A10))</f>
        <v>1248.395</v>
      </c>
      <c r="AL52" s="213" cm="1">
        <f t="array" ref="AL52">INDEX('[3]Japan Corn Imports'!$NR$290:$US$290,1,ROW(A10))</f>
        <v>1217.2139999999999</v>
      </c>
      <c r="AM52" s="213" cm="1">
        <f t="array" ref="AM52">INDEX('[3]Japan Corn Imports'!$OD$290:$US$290,1,ROW(A10))</f>
        <v>1206.597</v>
      </c>
      <c r="AN52" s="213" cm="1">
        <f t="array" ref="AN52">INDEX('[3]Japan Corn Imports'!$OP$290:$US$290,1,ROW(A10))</f>
        <v>1345.8720000000001</v>
      </c>
      <c r="AO52" s="222">
        <f>(SUM(AJ52:AN52)/SUM(AJ$55:AN$55))*AO$55</f>
        <v>1278.1114593717225</v>
      </c>
      <c r="AP52" s="222">
        <f t="shared" si="13"/>
        <v>1236.8820574565057</v>
      </c>
      <c r="AT52" s="42"/>
    </row>
    <row r="53" spans="1:46" ht="15.75">
      <c r="A53" s="93" t="s">
        <v>84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 cm="1">
        <f t="array" ref="P53">INDEX('[3]Ukraine Corn Exports'!$DM$290:$OY$290,1,ROW(A11))/1000</f>
        <v>0</v>
      </c>
      <c r="Q53" s="213" cm="1">
        <f t="array" ref="Q53">INDEX('[3]Japan Corn Imports'!$DZ$290:$US$290,1,ROW(A11))</f>
        <v>1389</v>
      </c>
      <c r="R53" s="213" cm="1">
        <f t="array" ref="R53">INDEX('[3]Japan Corn Imports'!$EL$290:$US$290,1,ROW(A11))</f>
        <v>1337</v>
      </c>
      <c r="S53" s="213" cm="1">
        <f t="array" ref="S53">INDEX('[3]Japan Corn Imports'!$EX$290:$US$290,1,ROW(A11))</f>
        <v>1305</v>
      </c>
      <c r="T53" s="213" cm="1">
        <f t="array" ref="T53">INDEX('[3]Japan Corn Imports'!$FI$290:$US$290,1,ROW(A11))</f>
        <v>1396</v>
      </c>
      <c r="U53" s="213" cm="1">
        <f t="array" ref="U53">INDEX('[3]Japan Corn Imports'!$FV$290:$US$290,1,ROW(A11))</f>
        <v>1384</v>
      </c>
      <c r="V53" s="213" cm="1">
        <f t="array" ref="V53">INDEX('[3]Japan Corn Imports'!$GH$290:$US$290,1,ROW(A11))</f>
        <v>1468</v>
      </c>
      <c r="W53" s="213" cm="1">
        <f t="array" ref="W53">INDEX('[3]Japan Corn Imports'!$GT$290:$US$290,1,ROW(A11))</f>
        <v>1362</v>
      </c>
      <c r="X53" s="213" cm="1">
        <f t="array" ref="X53">INDEX('[3]Japan Corn Imports'!$HF$290:$US$290,1,ROW(A11))</f>
        <v>1300</v>
      </c>
      <c r="Y53" s="213" cm="1">
        <f t="array" ref="Y53">INDEX('[3]Japan Corn Imports'!$HR$290:$US$290,1,ROW(A11))</f>
        <v>1394</v>
      </c>
      <c r="Z53" s="213" cm="1">
        <f t="array" ref="Z53">INDEX('[3]Japan Corn Imports'!$ID$290:$US$290,1,ROW(A11))</f>
        <v>1308.6310000000001</v>
      </c>
      <c r="AA53" s="213" cm="1">
        <f t="array" ref="AA53">INDEX('[3]Japan Corn Imports'!$IP$290:$US$290,1,ROW(A11))</f>
        <v>1282.33</v>
      </c>
      <c r="AB53" s="213" cm="1">
        <f t="array" ref="AB53">INDEX('[3]Japan Corn Imports'!$JB$290:$US$290,1,ROW(A11))</f>
        <v>1151.0139999999999</v>
      </c>
      <c r="AC53" s="213" cm="1">
        <f t="array" ref="AC53">INDEX('[3]Japan Corn Imports'!$JN$290:$US$290,1,ROW(A11))</f>
        <v>1221.502</v>
      </c>
      <c r="AD53" s="213" cm="1">
        <f t="array" ref="AD53">INDEX('[3]Japan Corn Imports'!$JZ$290:$US$290,1,ROW(A11))</f>
        <v>1200.625</v>
      </c>
      <c r="AE53" s="213" cm="1">
        <f t="array" ref="AE53">INDEX('[3]Japan Corn Imports'!$KL$290:$US$290,1,ROW(A11))</f>
        <v>1171.6210000000001</v>
      </c>
      <c r="AF53" s="213" cm="1">
        <f t="array" ref="AF53">INDEX('[3]Japan Corn Imports'!$KX$290:$US$290,1,ROW(A11))</f>
        <v>1273.9670000000001</v>
      </c>
      <c r="AG53" s="213" cm="1">
        <f t="array" ref="AG53">INDEX('[3]Japan Corn Imports'!$LJ$290:$US$290,1,ROW(A11))</f>
        <v>1181.614</v>
      </c>
      <c r="AH53" s="213" cm="1">
        <f t="array" ref="AH53">INDEX('[3]Japan Corn Imports'!$LV$290:$US$290,1,ROW(A11))</f>
        <v>1363.6369999999999</v>
      </c>
      <c r="AI53" s="213" cm="1">
        <f t="array" ref="AI53">INDEX('[3]Japan Corn Imports'!$MH$290:$US$290,1,ROW(A11))</f>
        <v>1316.259</v>
      </c>
      <c r="AJ53" s="213" cm="1">
        <f t="array" ref="AJ53">INDEX('[3]Japan Corn Imports'!$MT$290:$US$290,1,ROW(A11))</f>
        <v>1245.777</v>
      </c>
      <c r="AK53" s="213" cm="1">
        <f t="array" ref="AK53">INDEX('[3]Japan Corn Imports'!$NF$290:$US$290,1,ROW(A11))</f>
        <v>1171.5830000000001</v>
      </c>
      <c r="AL53" s="213" cm="1">
        <f t="array" ref="AL53">INDEX('[3]Japan Corn Imports'!$NR$290:$US$290,1,ROW(A11))</f>
        <v>1290.739</v>
      </c>
      <c r="AM53" s="213" cm="1">
        <f t="array" ref="AM53">INDEX('[3]Japan Corn Imports'!$OD$290:$US$290,1,ROW(A11))</f>
        <v>1161.1859999999999</v>
      </c>
      <c r="AN53" s="213" cm="1">
        <f t="array" ref="AN53">INDEX('[3]Japan Corn Imports'!$OP$290:$US$290,1,ROW(A11))</f>
        <v>1164.249</v>
      </c>
      <c r="AO53" s="222">
        <f t="shared" ref="AO53:AO54" si="15">(SUM(AJ53:AN53)/SUM(AJ$55:AN$55))*AO$55</f>
        <v>1217.345028985364</v>
      </c>
      <c r="AP53" s="222">
        <f t="shared" si="13"/>
        <v>1178.0758345019653</v>
      </c>
      <c r="AT53" s="42"/>
    </row>
    <row r="54" spans="1:46" ht="15.75">
      <c r="A54" s="93" t="s">
        <v>73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 cm="1">
        <f t="array" ref="P54">INDEX('[3]Ukraine Corn Exports'!$DM$290:$OY$290,1,ROW(A12))/1000</f>
        <v>0</v>
      </c>
      <c r="Q54" s="213" cm="1">
        <f t="array" ref="Q54">INDEX('[3]Japan Corn Imports'!$DZ$290:$US$290,1,ROW(A12))</f>
        <v>1318</v>
      </c>
      <c r="R54" s="213" cm="1">
        <f t="array" ref="R54">INDEX('[3]Japan Corn Imports'!$EL$290:$US$290,1,ROW(A12))</f>
        <v>1438</v>
      </c>
      <c r="S54" s="213" cm="1">
        <f t="array" ref="S54">INDEX('[3]Japan Corn Imports'!$EX$290:$US$290,1,ROW(A12))</f>
        <v>1478</v>
      </c>
      <c r="T54" s="213" cm="1">
        <f t="array" ref="T54">INDEX('[3]Japan Corn Imports'!$FI$290:$US$290,1,ROW(A12))</f>
        <v>1264</v>
      </c>
      <c r="U54" s="213" cm="1">
        <f t="array" ref="U54">INDEX('[3]Japan Corn Imports'!$FV$290:$US$290,1,ROW(A12))</f>
        <v>1354</v>
      </c>
      <c r="V54" s="213" cm="1">
        <f t="array" ref="V54">INDEX('[3]Japan Corn Imports'!$GH$290:$US$290,1,ROW(A12))</f>
        <v>1310</v>
      </c>
      <c r="W54" s="213" cm="1">
        <f t="array" ref="W54">INDEX('[3]Japan Corn Imports'!$GT$290:$US$290,1,ROW(A12))</f>
        <v>1329</v>
      </c>
      <c r="X54" s="213" cm="1">
        <f t="array" ref="X54">INDEX('[3]Japan Corn Imports'!$HF$290:$US$290,1,ROW(A12))</f>
        <v>1392</v>
      </c>
      <c r="Y54" s="213" cm="1">
        <f t="array" ref="Y54">INDEX('[3]Japan Corn Imports'!$HR$290:$US$290,1,ROW(A12))</f>
        <v>1314</v>
      </c>
      <c r="Z54" s="213" cm="1">
        <f t="array" ref="Z54">INDEX('[3]Japan Corn Imports'!$ID$290:$US$290,1,ROW(A12))</f>
        <v>1228.674</v>
      </c>
      <c r="AA54" s="213" cm="1">
        <f t="array" ref="AA54">INDEX('[3]Japan Corn Imports'!$IP$290:$US$290,1,ROW(A12))</f>
        <v>1235.932</v>
      </c>
      <c r="AB54" s="213" cm="1">
        <f t="array" ref="AB54">INDEX('[3]Japan Corn Imports'!$JB$290:$US$290,1,ROW(A12))</f>
        <v>1126.806</v>
      </c>
      <c r="AC54" s="213" cm="1">
        <f t="array" ref="AC54">INDEX('[3]Japan Corn Imports'!$JN$290:$US$290,1,ROW(A12))</f>
        <v>1184.8879999999999</v>
      </c>
      <c r="AD54" s="213" cm="1">
        <f t="array" ref="AD54">INDEX('[3]Japan Corn Imports'!$JZ$290:$US$290,1,ROW(A12))</f>
        <v>1195.24</v>
      </c>
      <c r="AE54" s="213" cm="1">
        <f t="array" ref="AE54">INDEX('[3]Japan Corn Imports'!$KL$290:$US$290,1,ROW(A12))</f>
        <v>1252.4829999999999</v>
      </c>
      <c r="AF54" s="213" cm="1">
        <f t="array" ref="AF54">INDEX('[3]Japan Corn Imports'!$KX$290:$US$290,1,ROW(A12))</f>
        <v>1326.585</v>
      </c>
      <c r="AG54" s="213" cm="1">
        <f t="array" ref="AG54">INDEX('[3]Japan Corn Imports'!$LJ$290:$US$290,1,ROW(A12))</f>
        <v>1304.3779999999999</v>
      </c>
      <c r="AH54" s="213" cm="1">
        <f t="array" ref="AH54">INDEX('[3]Japan Corn Imports'!$LV$290:$US$290,1,ROW(A12))</f>
        <v>1192.0630000000001</v>
      </c>
      <c r="AI54" s="213" cm="1">
        <f t="array" ref="AI54">INDEX('[3]Japan Corn Imports'!$MH$290:$US$290,1,ROW(A12))</f>
        <v>1361.463</v>
      </c>
      <c r="AJ54" s="213" cm="1">
        <f t="array" ref="AJ54">INDEX('[3]Japan Corn Imports'!$MT$290:$US$290,1,ROW(A12))</f>
        <v>1317.546</v>
      </c>
      <c r="AK54" s="213" cm="1">
        <f t="array" ref="AK54">INDEX('[3]Japan Corn Imports'!$NF$290:$US$290,1,ROW(A12))</f>
        <v>1378.7280000000001</v>
      </c>
      <c r="AL54" s="213" cm="1">
        <f t="array" ref="AL54">INDEX('[3]Japan Corn Imports'!$NR$290:$US$290,1,ROW(A12))</f>
        <v>1225.4090000000001</v>
      </c>
      <c r="AM54" s="213" cm="1">
        <f t="array" ref="AM54">INDEX('[3]Japan Corn Imports'!$OD$290:$US$290,1,ROW(A12))</f>
        <v>1331.1410000000001</v>
      </c>
      <c r="AN54" s="213" cm="1">
        <f t="array" ref="AN54">INDEX('[3]Japan Corn Imports'!$OP$290:$US$290,1,ROW(A12))</f>
        <v>1317.89</v>
      </c>
      <c r="AO54" s="222">
        <f t="shared" si="15"/>
        <v>1325.7281760216383</v>
      </c>
      <c r="AP54" s="222">
        <f t="shared" si="13"/>
        <v>1282.962750988682</v>
      </c>
      <c r="AT54" s="42"/>
    </row>
    <row r="55" spans="1:46" ht="16.5" thickBot="1">
      <c r="A55" s="268" t="s">
        <v>85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268">
        <f>SUM(P43:P54)</f>
        <v>0</v>
      </c>
      <c r="Q55" s="268">
        <f t="shared" ref="Q55:AM55" si="16">SUM(Q43:Q54)</f>
        <v>16270</v>
      </c>
      <c r="R55" s="268">
        <f t="shared" si="16"/>
        <v>16396</v>
      </c>
      <c r="S55" s="268">
        <f t="shared" si="16"/>
        <v>16857</v>
      </c>
      <c r="T55" s="268">
        <f t="shared" si="16"/>
        <v>16879</v>
      </c>
      <c r="U55" s="268">
        <f t="shared" si="16"/>
        <v>16482</v>
      </c>
      <c r="V55" s="268">
        <f t="shared" si="16"/>
        <v>16614</v>
      </c>
      <c r="W55" s="268">
        <f t="shared" si="16"/>
        <v>16700</v>
      </c>
      <c r="X55" s="268">
        <f t="shared" si="16"/>
        <v>16609</v>
      </c>
      <c r="Y55" s="268">
        <f t="shared" si="16"/>
        <v>16523</v>
      </c>
      <c r="Z55" s="268">
        <f t="shared" si="16"/>
        <v>15966.668000000001</v>
      </c>
      <c r="AA55" s="268">
        <f t="shared" si="16"/>
        <v>15647.867</v>
      </c>
      <c r="AB55" s="268">
        <f t="shared" si="16"/>
        <v>14887.581000000002</v>
      </c>
      <c r="AC55" s="268">
        <f t="shared" si="16"/>
        <v>14411.495999999999</v>
      </c>
      <c r="AD55" s="268">
        <f t="shared" si="16"/>
        <v>15120.064</v>
      </c>
      <c r="AE55" s="268">
        <f t="shared" si="16"/>
        <v>14657.124</v>
      </c>
      <c r="AF55" s="268">
        <f t="shared" si="16"/>
        <v>15204.428</v>
      </c>
      <c r="AG55" s="268">
        <f t="shared" si="16"/>
        <v>15169.207</v>
      </c>
      <c r="AH55" s="268">
        <f t="shared" si="16"/>
        <v>15657.595000000001</v>
      </c>
      <c r="AI55" s="268">
        <f t="shared" si="16"/>
        <v>16050.191000000001</v>
      </c>
      <c r="AJ55" s="268">
        <f t="shared" si="16"/>
        <v>15887.902999999998</v>
      </c>
      <c r="AK55" s="268">
        <f t="shared" si="16"/>
        <v>15482.076000000001</v>
      </c>
      <c r="AL55" s="268">
        <f t="shared" si="16"/>
        <v>15013.696999999998</v>
      </c>
      <c r="AM55" s="268">
        <f t="shared" si="16"/>
        <v>14939.061</v>
      </c>
      <c r="AN55" s="268">
        <v>15500</v>
      </c>
      <c r="AO55" s="268">
        <v>15500</v>
      </c>
      <c r="AP55" s="268">
        <v>15000</v>
      </c>
    </row>
    <row r="56" spans="1:46" ht="15.75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B949-1866-4DAC-B53F-2CACC7F8F123}">
  <sheetPr>
    <tabColor rgb="FF92D050"/>
  </sheetPr>
  <dimension ref="A1:AU56"/>
  <sheetViews>
    <sheetView zoomScale="70" zoomScaleNormal="70" workbookViewId="0">
      <pane xSplit="1" ySplit="2" topLeftCell="W3" activePane="bottomRight" state="frozen"/>
      <selection activeCell="P12" sqref="P12"/>
      <selection pane="topRight" activeCell="P12" sqref="P12"/>
      <selection pane="bottomLeft" activeCell="P12" sqref="P12"/>
      <selection pane="bottomRight" activeCell="AO6" sqref="AO6"/>
    </sheetView>
  </sheetViews>
  <sheetFormatPr defaultColWidth="9.140625" defaultRowHeight="12.75"/>
  <cols>
    <col min="1" max="1" width="26.7109375" style="3" customWidth="1"/>
    <col min="2" max="6" width="8" style="3" customWidth="1"/>
    <col min="7" max="15" width="8" style="3" hidden="1" customWidth="1"/>
    <col min="16" max="34" width="8" style="3" customWidth="1"/>
    <col min="35" max="42" width="10" style="3" customWidth="1"/>
    <col min="43" max="43" width="9.140625" style="3"/>
    <col min="44" max="44" width="15.42578125" style="3" bestFit="1" customWidth="1"/>
    <col min="45" max="16384" width="9.140625" style="3"/>
  </cols>
  <sheetData>
    <row r="1" spans="1:47" ht="18.75" thickBot="1">
      <c r="A1" s="64" t="s">
        <v>288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</row>
    <row r="2" spans="1:47" ht="17.25" thickBot="1">
      <c r="A2" s="65" t="s">
        <v>42</v>
      </c>
      <c r="B2" s="66" t="str">
        <f>China!L2</f>
        <v xml:space="preserve">85/86 </v>
      </c>
      <c r="C2" s="66" t="str">
        <f>China!M2</f>
        <v xml:space="preserve">86/87 </v>
      </c>
      <c r="D2" s="66" t="str">
        <f>China!N2</f>
        <v xml:space="preserve">87/88 </v>
      </c>
      <c r="E2" s="66" t="str">
        <f>China!O2</f>
        <v xml:space="preserve">88/89 </v>
      </c>
      <c r="F2" s="66" t="str">
        <f>China!P2</f>
        <v xml:space="preserve">89/90 </v>
      </c>
      <c r="G2" s="66" t="str">
        <f>China!Q2</f>
        <v xml:space="preserve">90/91 </v>
      </c>
      <c r="H2" s="66" t="str">
        <f>China!R2</f>
        <v xml:space="preserve">91/92 </v>
      </c>
      <c r="I2" s="66" t="str">
        <f>China!S2</f>
        <v xml:space="preserve">92/93 </v>
      </c>
      <c r="J2" s="66" t="str">
        <f>China!T2</f>
        <v xml:space="preserve">93/94 </v>
      </c>
      <c r="K2" s="66" t="str">
        <f>China!U2</f>
        <v xml:space="preserve">94/95 </v>
      </c>
      <c r="L2" s="66" t="str">
        <f>China!V2</f>
        <v xml:space="preserve">95/96 </v>
      </c>
      <c r="M2" s="66" t="str">
        <f>China!W2</f>
        <v xml:space="preserve">96/97 </v>
      </c>
      <c r="N2" s="66" t="str">
        <f>China!X2</f>
        <v xml:space="preserve">97/98 </v>
      </c>
      <c r="O2" s="66" t="str">
        <f>China!Y2</f>
        <v xml:space="preserve">98/99 </v>
      </c>
      <c r="P2" s="66" t="str">
        <f>China!Z2</f>
        <v xml:space="preserve">99/00 </v>
      </c>
      <c r="Q2" s="66" t="str">
        <f>China!AA2</f>
        <v xml:space="preserve">00/01 </v>
      </c>
      <c r="R2" s="66" t="str">
        <f>China!AB2</f>
        <v xml:space="preserve">01/02 </v>
      </c>
      <c r="S2" s="66" t="str">
        <f>China!AC2</f>
        <v xml:space="preserve">02/03 </v>
      </c>
      <c r="T2" s="66" t="str">
        <f>China!AD2</f>
        <v xml:space="preserve">03/04 </v>
      </c>
      <c r="U2" s="66" t="str">
        <f>China!AE2</f>
        <v xml:space="preserve">04/05 </v>
      </c>
      <c r="V2" s="66" t="str">
        <f>China!AF2</f>
        <v xml:space="preserve">05/06 </v>
      </c>
      <c r="W2" s="66" t="str">
        <f>China!AG2</f>
        <v xml:space="preserve">06/07 </v>
      </c>
      <c r="X2" s="66" t="str">
        <f>China!AH2</f>
        <v xml:space="preserve">07/08 </v>
      </c>
      <c r="Y2" s="66" t="str">
        <f>China!AI2</f>
        <v xml:space="preserve">08/09 </v>
      </c>
      <c r="Z2" s="66" t="str">
        <f>China!AJ2</f>
        <v xml:space="preserve">09/10 </v>
      </c>
      <c r="AA2" s="66" t="str">
        <f>China!AK2</f>
        <v xml:space="preserve">10/11 </v>
      </c>
      <c r="AB2" s="66" t="s">
        <v>54</v>
      </c>
      <c r="AC2" s="66" t="s">
        <v>55</v>
      </c>
      <c r="AD2" s="66" t="s">
        <v>56</v>
      </c>
      <c r="AE2" s="66" t="s">
        <v>57</v>
      </c>
      <c r="AF2" s="66" t="s">
        <v>58</v>
      </c>
      <c r="AG2" s="66" t="s">
        <v>59</v>
      </c>
      <c r="AH2" s="66" t="s">
        <v>60</v>
      </c>
      <c r="AI2" s="66" t="s">
        <v>61</v>
      </c>
      <c r="AJ2" s="66" t="s">
        <v>62</v>
      </c>
      <c r="AK2" s="66" t="s">
        <v>63</v>
      </c>
      <c r="AL2" s="66" t="s">
        <v>64</v>
      </c>
      <c r="AM2" s="66" t="s">
        <v>65</v>
      </c>
      <c r="AN2" s="66" t="s">
        <v>2</v>
      </c>
      <c r="AO2" s="66" t="s">
        <v>3</v>
      </c>
      <c r="AP2" s="66" t="s">
        <v>4</v>
      </c>
    </row>
    <row r="3" spans="1:47" ht="16.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8">
        <v>1999</v>
      </c>
      <c r="Q3" s="68">
        <v>2000</v>
      </c>
      <c r="R3" s="68">
        <v>2001</v>
      </c>
      <c r="S3" s="68">
        <v>2002</v>
      </c>
      <c r="T3" s="68">
        <v>2003</v>
      </c>
      <c r="U3" s="68">
        <v>2004</v>
      </c>
      <c r="V3" s="68">
        <v>2005</v>
      </c>
      <c r="W3" s="68">
        <v>2006</v>
      </c>
      <c r="X3" s="68">
        <v>2007</v>
      </c>
      <c r="Y3" s="68">
        <v>2008</v>
      </c>
      <c r="Z3" s="68">
        <v>2009</v>
      </c>
      <c r="AA3" s="68">
        <v>2010</v>
      </c>
      <c r="AB3" s="68">
        <v>2011</v>
      </c>
      <c r="AC3" s="68">
        <v>2012</v>
      </c>
      <c r="AD3" s="68">
        <v>2013</v>
      </c>
      <c r="AE3" s="68">
        <v>2014</v>
      </c>
      <c r="AF3" s="68">
        <v>2015</v>
      </c>
      <c r="AG3" s="68">
        <v>2016</v>
      </c>
      <c r="AH3" s="68">
        <v>2017</v>
      </c>
      <c r="AI3" s="68">
        <v>2018</v>
      </c>
      <c r="AJ3" s="68">
        <v>2019</v>
      </c>
      <c r="AK3" s="68">
        <v>2020</v>
      </c>
      <c r="AL3" s="68">
        <v>2021</v>
      </c>
      <c r="AM3" s="68">
        <v>2022</v>
      </c>
      <c r="AN3" s="68">
        <v>2023</v>
      </c>
      <c r="AO3" s="68">
        <v>2024</v>
      </c>
      <c r="AP3" s="68">
        <v>2025</v>
      </c>
    </row>
    <row r="4" spans="1:47" ht="15.75">
      <c r="A4" s="69" t="s">
        <v>9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70"/>
      <c r="AB4" s="70"/>
      <c r="AC4" s="70"/>
      <c r="AD4" s="70"/>
      <c r="AE4" s="70"/>
      <c r="AF4" s="199"/>
      <c r="AG4" s="70"/>
      <c r="AH4" s="70"/>
      <c r="AI4" s="70"/>
      <c r="AJ4" s="70"/>
      <c r="AK4" s="216"/>
      <c r="AL4" s="216"/>
      <c r="AM4" s="70"/>
      <c r="AN4" s="70"/>
      <c r="AO4" s="99"/>
      <c r="AP4" s="99"/>
      <c r="AR4" s="71" t="s">
        <v>285</v>
      </c>
    </row>
    <row r="5" spans="1:47" ht="15.75">
      <c r="A5" s="69" t="s">
        <v>10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217"/>
      <c r="AP5" s="99"/>
    </row>
    <row r="6" spans="1:47" ht="15.75">
      <c r="A6" s="72" t="s">
        <v>11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3" t="e">
        <f t="shared" ref="AA6:AN6" si="0">AA9/AA5</f>
        <v>#DIV/0!</v>
      </c>
      <c r="AB6" s="73" t="e">
        <f t="shared" si="0"/>
        <v>#DIV/0!</v>
      </c>
      <c r="AC6" s="73" t="e">
        <f t="shared" si="0"/>
        <v>#DIV/0!</v>
      </c>
      <c r="AD6" s="73" t="e">
        <f t="shared" si="0"/>
        <v>#DIV/0!</v>
      </c>
      <c r="AE6" s="73" t="e">
        <f t="shared" si="0"/>
        <v>#DIV/0!</v>
      </c>
      <c r="AF6" s="73" t="e">
        <f t="shared" si="0"/>
        <v>#DIV/0!</v>
      </c>
      <c r="AG6" s="73" t="e">
        <f t="shared" si="0"/>
        <v>#DIV/0!</v>
      </c>
      <c r="AH6" s="73" t="e">
        <f t="shared" si="0"/>
        <v>#DIV/0!</v>
      </c>
      <c r="AI6" s="73" t="e">
        <f t="shared" si="0"/>
        <v>#DIV/0!</v>
      </c>
      <c r="AJ6" s="73" t="e">
        <f t="shared" si="0"/>
        <v>#DIV/0!</v>
      </c>
      <c r="AK6" s="73" t="e">
        <f t="shared" si="0"/>
        <v>#DIV/0!</v>
      </c>
      <c r="AL6" s="73" t="e">
        <f t="shared" si="0"/>
        <v>#DIV/0!</v>
      </c>
      <c r="AM6" s="73" t="e">
        <f t="shared" si="0"/>
        <v>#DIV/0!</v>
      </c>
      <c r="AN6" s="73" t="e">
        <f t="shared" si="0"/>
        <v>#DIV/0!</v>
      </c>
      <c r="AO6" s="100">
        <v>7.4033999999999995</v>
      </c>
      <c r="AP6" s="100" t="e">
        <f>FORECAST(AP3,AA6:AO6,AA3:AO3)</f>
        <v>#DIV/0!</v>
      </c>
    </row>
    <row r="7" spans="1:47" ht="15.75">
      <c r="A7" s="74" t="s">
        <v>66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5" t="e">
        <f t="shared" ref="AA7:AP7" si="1">AA5/AA4</f>
        <v>#DIV/0!</v>
      </c>
      <c r="AB7" s="75" t="e">
        <f t="shared" si="1"/>
        <v>#DIV/0!</v>
      </c>
      <c r="AC7" s="75" t="e">
        <f t="shared" si="1"/>
        <v>#DIV/0!</v>
      </c>
      <c r="AD7" s="75" t="e">
        <f t="shared" si="1"/>
        <v>#DIV/0!</v>
      </c>
      <c r="AE7" s="75" t="e">
        <f>AE5/AD4</f>
        <v>#DIV/0!</v>
      </c>
      <c r="AF7" s="75" t="e">
        <f>AF5/AE4</f>
        <v>#DIV/0!</v>
      </c>
      <c r="AG7" s="75" t="e">
        <f t="shared" si="1"/>
        <v>#DIV/0!</v>
      </c>
      <c r="AH7" s="75" t="e">
        <f t="shared" si="1"/>
        <v>#DIV/0!</v>
      </c>
      <c r="AI7" s="75" t="e">
        <f t="shared" si="1"/>
        <v>#DIV/0!</v>
      </c>
      <c r="AJ7" s="75" t="e">
        <f t="shared" si="1"/>
        <v>#DIV/0!</v>
      </c>
      <c r="AK7" s="75" t="e">
        <f t="shared" si="1"/>
        <v>#DIV/0!</v>
      </c>
      <c r="AL7" s="75" t="e">
        <f t="shared" si="1"/>
        <v>#DIV/0!</v>
      </c>
      <c r="AM7" s="75" t="e">
        <f t="shared" si="1"/>
        <v>#DIV/0!</v>
      </c>
      <c r="AN7" s="75" t="e">
        <f t="shared" si="1"/>
        <v>#DIV/0!</v>
      </c>
      <c r="AO7" s="102" t="e">
        <f t="shared" si="1"/>
        <v>#DIV/0!</v>
      </c>
      <c r="AP7" s="102" t="e">
        <f t="shared" si="1"/>
        <v>#DIV/0!</v>
      </c>
    </row>
    <row r="8" spans="1:47" ht="15.75">
      <c r="A8" s="69" t="s">
        <v>275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103"/>
      <c r="AP8" s="103">
        <f t="shared" ref="AP8" si="2">AO17</f>
        <v>1.48</v>
      </c>
      <c r="AR8" s="76"/>
      <c r="AT8" s="139"/>
      <c r="AU8" s="78"/>
    </row>
    <row r="9" spans="1:47" ht="15.75">
      <c r="A9" s="79" t="s">
        <v>13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103"/>
      <c r="AP9" s="103" t="e">
        <f>AP6*AP5</f>
        <v>#DIV/0!</v>
      </c>
    </row>
    <row r="10" spans="1:47" ht="15.75">
      <c r="A10" s="79" t="s">
        <v>14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80">
        <f>AA39</f>
        <v>0</v>
      </c>
      <c r="AB10" s="80">
        <f t="shared" ref="AB10:AO10" si="3">AB39</f>
        <v>0</v>
      </c>
      <c r="AC10" s="80">
        <f t="shared" si="3"/>
        <v>0</v>
      </c>
      <c r="AD10" s="80">
        <f t="shared" si="3"/>
        <v>0</v>
      </c>
      <c r="AE10" s="80">
        <f t="shared" si="3"/>
        <v>0</v>
      </c>
      <c r="AF10" s="80">
        <f t="shared" si="3"/>
        <v>0</v>
      </c>
      <c r="AG10" s="80">
        <f t="shared" si="3"/>
        <v>0</v>
      </c>
      <c r="AH10" s="80">
        <f t="shared" si="3"/>
        <v>0</v>
      </c>
      <c r="AI10" s="80">
        <f t="shared" si="3"/>
        <v>0</v>
      </c>
      <c r="AJ10" s="80">
        <f t="shared" si="3"/>
        <v>0</v>
      </c>
      <c r="AK10" s="80">
        <f t="shared" si="3"/>
        <v>0</v>
      </c>
      <c r="AL10" s="80">
        <f t="shared" si="3"/>
        <v>0</v>
      </c>
      <c r="AM10" s="80">
        <f t="shared" si="3"/>
        <v>0</v>
      </c>
      <c r="AN10" s="80">
        <f t="shared" si="3"/>
        <v>0</v>
      </c>
      <c r="AO10" s="103">
        <f t="shared" si="3"/>
        <v>0</v>
      </c>
      <c r="AP10" s="103">
        <v>1.4999999999999999E-2</v>
      </c>
    </row>
    <row r="11" spans="1:47" ht="15.75">
      <c r="A11" s="79" t="s">
        <v>15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80">
        <f t="shared" ref="AA11:AJ11" si="4">SUM(AA8:AA10)</f>
        <v>0</v>
      </c>
      <c r="AB11" s="80">
        <f t="shared" si="4"/>
        <v>0</v>
      </c>
      <c r="AC11" s="80">
        <f t="shared" si="4"/>
        <v>0</v>
      </c>
      <c r="AD11" s="80">
        <f t="shared" si="4"/>
        <v>0</v>
      </c>
      <c r="AE11" s="80">
        <f t="shared" si="4"/>
        <v>0</v>
      </c>
      <c r="AF11" s="80">
        <f t="shared" si="4"/>
        <v>0</v>
      </c>
      <c r="AG11" s="80">
        <f t="shared" si="4"/>
        <v>0</v>
      </c>
      <c r="AH11" s="80">
        <f t="shared" si="4"/>
        <v>0</v>
      </c>
      <c r="AI11" s="80">
        <f t="shared" si="4"/>
        <v>0</v>
      </c>
      <c r="AJ11" s="80">
        <f t="shared" si="4"/>
        <v>0</v>
      </c>
      <c r="AK11" s="80">
        <f>SUM(AK8:AK10)</f>
        <v>0</v>
      </c>
      <c r="AL11" s="80">
        <f t="shared" ref="AL11:AP11" si="5">SUM(AL8:AL10)</f>
        <v>0</v>
      </c>
      <c r="AM11" s="80">
        <f t="shared" si="5"/>
        <v>0</v>
      </c>
      <c r="AN11" s="80">
        <f t="shared" si="5"/>
        <v>0</v>
      </c>
      <c r="AO11" s="103">
        <f>SUM(AO8:AO10)</f>
        <v>0</v>
      </c>
      <c r="AP11" s="103" t="e">
        <f t="shared" si="5"/>
        <v>#DIV/0!</v>
      </c>
    </row>
    <row r="12" spans="1:47" ht="15.75">
      <c r="A12" s="83" t="s">
        <v>17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104">
        <f t="shared" ref="AA12:AP12" si="6">AA14-AA13</f>
        <v>-0.52100000000000002</v>
      </c>
      <c r="AB12" s="104">
        <f t="shared" si="6"/>
        <v>-1.3</v>
      </c>
      <c r="AC12" s="104">
        <f t="shared" si="6"/>
        <v>-0.94</v>
      </c>
      <c r="AD12" s="104">
        <f t="shared" si="6"/>
        <v>-1.302</v>
      </c>
      <c r="AE12" s="104">
        <f t="shared" si="6"/>
        <v>-1.5189999999999999</v>
      </c>
      <c r="AF12" s="104">
        <f t="shared" si="6"/>
        <v>-1.4350000000000001</v>
      </c>
      <c r="AG12" s="104">
        <f t="shared" si="6"/>
        <v>-1.599</v>
      </c>
      <c r="AH12" s="104">
        <f t="shared" si="6"/>
        <v>-1.5669999999999999</v>
      </c>
      <c r="AI12" s="104">
        <f t="shared" si="6"/>
        <v>-0.89100000000000001</v>
      </c>
      <c r="AJ12" s="104">
        <f t="shared" si="6"/>
        <v>-1.478</v>
      </c>
      <c r="AK12" s="104">
        <f t="shared" si="6"/>
        <v>-0.83199999999999996</v>
      </c>
      <c r="AL12" s="104">
        <f t="shared" si="6"/>
        <v>-7.7960000000000003</v>
      </c>
      <c r="AM12" s="104">
        <f t="shared" si="6"/>
        <v>-2.7949999999999999</v>
      </c>
      <c r="AN12" s="104">
        <f t="shared" si="6"/>
        <v>-2.91</v>
      </c>
      <c r="AO12" s="105">
        <f>AO14-AO13</f>
        <v>-1.48</v>
      </c>
      <c r="AP12" s="105" t="e">
        <f t="shared" si="6"/>
        <v>#DIV/0!</v>
      </c>
    </row>
    <row r="13" spans="1:47" ht="15.75">
      <c r="A13" s="79" t="s">
        <v>289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103"/>
      <c r="AP13" s="103" t="e">
        <f>FORECAST(AP3,AA13:AO13,AA3:AO3)</f>
        <v>#DIV/0!</v>
      </c>
    </row>
    <row r="14" spans="1:47" ht="15.75">
      <c r="A14" s="79" t="s">
        <v>68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80">
        <f t="shared" ref="AA14:AP14" si="7">AA16-AA15</f>
        <v>-0.52100000000000002</v>
      </c>
      <c r="AB14" s="80">
        <f t="shared" si="7"/>
        <v>-1.3</v>
      </c>
      <c r="AC14" s="80">
        <f t="shared" si="7"/>
        <v>-0.94</v>
      </c>
      <c r="AD14" s="80">
        <f t="shared" si="7"/>
        <v>-1.302</v>
      </c>
      <c r="AE14" s="80">
        <f t="shared" si="7"/>
        <v>-1.5189999999999999</v>
      </c>
      <c r="AF14" s="80">
        <f t="shared" si="7"/>
        <v>-1.4350000000000001</v>
      </c>
      <c r="AG14" s="80">
        <f t="shared" si="7"/>
        <v>-1.599</v>
      </c>
      <c r="AH14" s="80">
        <f t="shared" si="7"/>
        <v>-1.5669999999999999</v>
      </c>
      <c r="AI14" s="80">
        <f t="shared" si="7"/>
        <v>-0.89100000000000001</v>
      </c>
      <c r="AJ14" s="80">
        <f t="shared" si="7"/>
        <v>-1.478</v>
      </c>
      <c r="AK14" s="80">
        <f t="shared" si="7"/>
        <v>-0.83199999999999996</v>
      </c>
      <c r="AL14" s="80">
        <f t="shared" si="7"/>
        <v>-7.7960000000000003</v>
      </c>
      <c r="AM14" s="80">
        <f t="shared" si="7"/>
        <v>-2.7949999999999999</v>
      </c>
      <c r="AN14" s="80">
        <f t="shared" si="7"/>
        <v>-2.91</v>
      </c>
      <c r="AO14" s="103">
        <f>AO16-AO15</f>
        <v>-1.48</v>
      </c>
      <c r="AP14" s="103" t="e">
        <f t="shared" si="7"/>
        <v>#DIV/0!</v>
      </c>
    </row>
    <row r="15" spans="1:47" ht="15.75">
      <c r="A15" s="79" t="s">
        <v>19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80">
        <f t="shared" ref="P15:Z15" si="8">P55</f>
        <v>1.5499999999999997E-4</v>
      </c>
      <c r="Q15" s="80">
        <f t="shared" si="8"/>
        <v>0.26800000000000002</v>
      </c>
      <c r="R15" s="80">
        <f t="shared" si="8"/>
        <v>4.4915999999999998E-2</v>
      </c>
      <c r="S15" s="80">
        <f t="shared" si="8"/>
        <v>7.2044000000000011E-2</v>
      </c>
      <c r="T15" s="80">
        <f t="shared" si="8"/>
        <v>0</v>
      </c>
      <c r="U15" s="80">
        <f t="shared" si="8"/>
        <v>4.6730000000000001E-3</v>
      </c>
      <c r="V15" s="80">
        <f t="shared" si="8"/>
        <v>4.0419999999999996E-3</v>
      </c>
      <c r="W15" s="80">
        <f t="shared" si="8"/>
        <v>0.30918699999999999</v>
      </c>
      <c r="X15" s="80">
        <f t="shared" si="8"/>
        <v>6.8199999999999997E-3</v>
      </c>
      <c r="Y15" s="80">
        <f t="shared" si="8"/>
        <v>6.1502899999999983</v>
      </c>
      <c r="Z15" s="80">
        <f t="shared" si="8"/>
        <v>1.4356609999999999</v>
      </c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103">
        <v>26</v>
      </c>
    </row>
    <row r="16" spans="1:47" ht="15.75">
      <c r="A16" s="79" t="s">
        <v>69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80">
        <f>AA11-AA17</f>
        <v>-0.52100000000000002</v>
      </c>
      <c r="AB16" s="80">
        <f t="shared" ref="AB16:AO16" si="9">AB11-AB17</f>
        <v>-1.3</v>
      </c>
      <c r="AC16" s="80">
        <f t="shared" si="9"/>
        <v>-0.94</v>
      </c>
      <c r="AD16" s="80">
        <f t="shared" si="9"/>
        <v>-1.302</v>
      </c>
      <c r="AE16" s="80">
        <f t="shared" si="9"/>
        <v>-1.5189999999999999</v>
      </c>
      <c r="AF16" s="80">
        <f t="shared" si="9"/>
        <v>-1.4350000000000001</v>
      </c>
      <c r="AG16" s="80">
        <f t="shared" si="9"/>
        <v>-1.599</v>
      </c>
      <c r="AH16" s="80">
        <f t="shared" si="9"/>
        <v>-1.5669999999999999</v>
      </c>
      <c r="AI16" s="80">
        <f t="shared" si="9"/>
        <v>-0.89100000000000001</v>
      </c>
      <c r="AJ16" s="80">
        <f t="shared" si="9"/>
        <v>-1.478</v>
      </c>
      <c r="AK16" s="80">
        <f t="shared" si="9"/>
        <v>-0.83199999999999996</v>
      </c>
      <c r="AL16" s="80">
        <f t="shared" si="9"/>
        <v>-7.7960000000000003</v>
      </c>
      <c r="AM16" s="80">
        <f t="shared" si="9"/>
        <v>-2.7949999999999999</v>
      </c>
      <c r="AN16" s="80">
        <f t="shared" si="9"/>
        <v>-2.91</v>
      </c>
      <c r="AO16" s="103">
        <f t="shared" si="9"/>
        <v>-1.48</v>
      </c>
      <c r="AP16" s="103" t="e">
        <f>AP11-AP17</f>
        <v>#DIV/0!</v>
      </c>
    </row>
    <row r="17" spans="1:42" ht="15.75">
      <c r="A17" s="83" t="s">
        <v>279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104">
        <v>0.52100000000000002</v>
      </c>
      <c r="AB17" s="104">
        <v>1.3</v>
      </c>
      <c r="AC17" s="104">
        <v>0.94</v>
      </c>
      <c r="AD17" s="104">
        <v>1.302</v>
      </c>
      <c r="AE17" s="104">
        <v>1.5189999999999999</v>
      </c>
      <c r="AF17" s="104">
        <v>1.4350000000000001</v>
      </c>
      <c r="AG17" s="104">
        <v>1.599</v>
      </c>
      <c r="AH17" s="104">
        <v>1.5669999999999999</v>
      </c>
      <c r="AI17" s="104">
        <v>0.89100000000000001</v>
      </c>
      <c r="AJ17" s="104">
        <v>1.478</v>
      </c>
      <c r="AK17" s="104">
        <v>0.83199999999999996</v>
      </c>
      <c r="AL17" s="104">
        <v>7.7960000000000003</v>
      </c>
      <c r="AM17" s="104">
        <v>2.7949999999999999</v>
      </c>
      <c r="AN17" s="104">
        <v>2.91</v>
      </c>
      <c r="AO17" s="105">
        <v>1.48</v>
      </c>
      <c r="AP17" s="105">
        <v>2</v>
      </c>
    </row>
    <row r="18" spans="1:42" ht="16.5" thickBot="1">
      <c r="A18" s="106" t="s">
        <v>22</v>
      </c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88">
        <f>AA17/AA16</f>
        <v>-1</v>
      </c>
      <c r="AB18" s="88">
        <f t="shared" ref="AB18:AP18" si="10">AB17/AB16</f>
        <v>-1</v>
      </c>
      <c r="AC18" s="88">
        <f t="shared" si="10"/>
        <v>-1</v>
      </c>
      <c r="AD18" s="88">
        <f t="shared" si="10"/>
        <v>-1</v>
      </c>
      <c r="AE18" s="88">
        <f t="shared" si="10"/>
        <v>-1</v>
      </c>
      <c r="AF18" s="88">
        <f t="shared" si="10"/>
        <v>-1</v>
      </c>
      <c r="AG18" s="88">
        <f t="shared" si="10"/>
        <v>-1</v>
      </c>
      <c r="AH18" s="88">
        <f t="shared" si="10"/>
        <v>-1</v>
      </c>
      <c r="AI18" s="88">
        <f t="shared" si="10"/>
        <v>-1</v>
      </c>
      <c r="AJ18" s="88">
        <f t="shared" si="10"/>
        <v>-1</v>
      </c>
      <c r="AK18" s="88">
        <f t="shared" si="10"/>
        <v>-1</v>
      </c>
      <c r="AL18" s="88">
        <f t="shared" si="10"/>
        <v>-1</v>
      </c>
      <c r="AM18" s="88">
        <f t="shared" si="10"/>
        <v>-1</v>
      </c>
      <c r="AN18" s="88">
        <f t="shared" si="10"/>
        <v>-1</v>
      </c>
      <c r="AO18" s="89">
        <f t="shared" si="10"/>
        <v>-1</v>
      </c>
      <c r="AP18" s="89" t="e">
        <f t="shared" si="10"/>
        <v>#DIV/0!</v>
      </c>
    </row>
    <row r="19" spans="1:42" ht="13.5" hidden="1" thickBo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90"/>
      <c r="AN19" s="90"/>
      <c r="AO19" s="90"/>
      <c r="AP19" s="90"/>
    </row>
    <row r="20" spans="1:42" ht="13.5" hidden="1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90"/>
      <c r="AN20" s="90"/>
      <c r="AO20" s="90"/>
      <c r="AP20" s="90"/>
    </row>
    <row r="21" spans="1:42">
      <c r="A21" s="91" t="s">
        <v>71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</row>
    <row r="24" spans="1:42" ht="15.75">
      <c r="A24" s="93" t="s">
        <v>290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</row>
    <row r="25" spans="1:42" ht="16.5" thickBot="1">
      <c r="A25" s="93" t="s">
        <v>72</v>
      </c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42" ht="16.5" thickBo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5" t="str">
        <f t="shared" ref="P26:AP26" si="11">P2</f>
        <v xml:space="preserve">99/00 </v>
      </c>
      <c r="Q26" s="95" t="str">
        <f t="shared" si="11"/>
        <v xml:space="preserve">00/01 </v>
      </c>
      <c r="R26" s="95" t="str">
        <f t="shared" si="11"/>
        <v xml:space="preserve">01/02 </v>
      </c>
      <c r="S26" s="95" t="str">
        <f t="shared" si="11"/>
        <v xml:space="preserve">02/03 </v>
      </c>
      <c r="T26" s="95" t="str">
        <f t="shared" si="11"/>
        <v xml:space="preserve">03/04 </v>
      </c>
      <c r="U26" s="95" t="str">
        <f t="shared" si="11"/>
        <v xml:space="preserve">04/05 </v>
      </c>
      <c r="V26" s="95" t="str">
        <f t="shared" si="11"/>
        <v xml:space="preserve">05/06 </v>
      </c>
      <c r="W26" s="95" t="str">
        <f t="shared" si="11"/>
        <v xml:space="preserve">06/07 </v>
      </c>
      <c r="X26" s="95" t="str">
        <f t="shared" si="11"/>
        <v xml:space="preserve">07/08 </v>
      </c>
      <c r="Y26" s="95" t="str">
        <f t="shared" si="11"/>
        <v xml:space="preserve">08/09 </v>
      </c>
      <c r="Z26" s="95" t="str">
        <f t="shared" si="11"/>
        <v xml:space="preserve">09/10 </v>
      </c>
      <c r="AA26" s="95" t="str">
        <f t="shared" si="11"/>
        <v xml:space="preserve">10/11 </v>
      </c>
      <c r="AB26" s="95" t="str">
        <f t="shared" si="11"/>
        <v xml:space="preserve">11/12 </v>
      </c>
      <c r="AC26" s="95" t="str">
        <f t="shared" si="11"/>
        <v xml:space="preserve">12/13 </v>
      </c>
      <c r="AD26" s="95" t="str">
        <f t="shared" si="11"/>
        <v xml:space="preserve">13/14 </v>
      </c>
      <c r="AE26" s="95" t="str">
        <f t="shared" si="11"/>
        <v xml:space="preserve">14/15 </v>
      </c>
      <c r="AF26" s="95" t="str">
        <f t="shared" si="11"/>
        <v xml:space="preserve">15/16 </v>
      </c>
      <c r="AG26" s="95" t="str">
        <f t="shared" si="11"/>
        <v xml:space="preserve">16/17 </v>
      </c>
      <c r="AH26" s="95" t="str">
        <f t="shared" si="11"/>
        <v xml:space="preserve">17/18 </v>
      </c>
      <c r="AI26" s="95" t="str">
        <f t="shared" si="11"/>
        <v xml:space="preserve">18/19 </v>
      </c>
      <c r="AJ26" s="95" t="str">
        <f t="shared" si="11"/>
        <v>19/20</v>
      </c>
      <c r="AK26" s="95" t="str">
        <f t="shared" si="11"/>
        <v>20/21</v>
      </c>
      <c r="AL26" s="95" t="str">
        <f t="shared" si="11"/>
        <v>21/22</v>
      </c>
      <c r="AM26" s="95" t="str">
        <f t="shared" si="11"/>
        <v>22/23</v>
      </c>
      <c r="AN26" s="95" t="str">
        <f t="shared" si="11"/>
        <v>23/24</v>
      </c>
      <c r="AO26" s="95" t="str">
        <f t="shared" si="11"/>
        <v>24/25</v>
      </c>
      <c r="AP26" s="95" t="str">
        <f t="shared" si="11"/>
        <v>25/26</v>
      </c>
    </row>
    <row r="27" spans="1:42" ht="15.75">
      <c r="A27" s="93" t="s">
        <v>74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108"/>
      <c r="AP27" s="108"/>
    </row>
    <row r="28" spans="1:42" ht="15.75">
      <c r="A28" s="93" t="s">
        <v>75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108"/>
      <c r="AP28" s="108"/>
    </row>
    <row r="29" spans="1:42" ht="15.75">
      <c r="A29" s="93" t="s">
        <v>76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108"/>
      <c r="AP29" s="108"/>
    </row>
    <row r="30" spans="1:42" ht="15.75">
      <c r="A30" s="93" t="s">
        <v>77</v>
      </c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108"/>
      <c r="AP30" s="108"/>
    </row>
    <row r="31" spans="1:42" ht="15.75">
      <c r="A31" s="93" t="s">
        <v>78</v>
      </c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108"/>
      <c r="AP31" s="108"/>
    </row>
    <row r="32" spans="1:42" ht="15.75">
      <c r="A32" s="93" t="s">
        <v>79</v>
      </c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108"/>
      <c r="AP32" s="108"/>
    </row>
    <row r="33" spans="1:46" ht="15.75">
      <c r="A33" s="93" t="s">
        <v>80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108"/>
      <c r="AP33" s="108"/>
    </row>
    <row r="34" spans="1:46" ht="15.75">
      <c r="A34" s="93" t="s">
        <v>81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108"/>
      <c r="AP34" s="108"/>
    </row>
    <row r="35" spans="1:46" ht="15.75">
      <c r="A35" s="93" t="s">
        <v>82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108"/>
      <c r="AP35" s="108"/>
    </row>
    <row r="36" spans="1:46" ht="15.75">
      <c r="A36" s="93" t="s">
        <v>83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108"/>
      <c r="AP36" s="108"/>
    </row>
    <row r="37" spans="1:46" ht="15.75">
      <c r="A37" s="93" t="s">
        <v>84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108"/>
      <c r="AO37" s="108"/>
      <c r="AP37" s="108"/>
    </row>
    <row r="38" spans="1:46" ht="15.75">
      <c r="A38" s="93" t="s">
        <v>73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108"/>
      <c r="AO38" s="108"/>
      <c r="AP38" s="108"/>
    </row>
    <row r="39" spans="1:46" ht="15.75">
      <c r="A39" s="268" t="s">
        <v>85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  <c r="AA39" s="268"/>
      <c r="AB39" s="268"/>
      <c r="AC39" s="268"/>
      <c r="AD39" s="268"/>
      <c r="AE39" s="268"/>
      <c r="AF39" s="268"/>
      <c r="AG39" s="268"/>
      <c r="AH39" s="268"/>
      <c r="AI39" s="268"/>
      <c r="AJ39" s="268"/>
      <c r="AK39" s="268"/>
      <c r="AL39" s="268"/>
      <c r="AM39" s="268"/>
      <c r="AN39" s="268"/>
      <c r="AO39" s="268"/>
      <c r="AP39" s="107"/>
    </row>
    <row r="40" spans="1:46" ht="15.75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108"/>
      <c r="AO40" s="108"/>
      <c r="AP40" s="108"/>
    </row>
    <row r="41" spans="1:46" ht="16.5" thickBot="1">
      <c r="A41" s="93" t="s">
        <v>86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46" ht="16.5" thickBo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5" t="str">
        <f t="shared" ref="P42:AP42" si="12">P2</f>
        <v xml:space="preserve">99/00 </v>
      </c>
      <c r="Q42" s="95" t="str">
        <f t="shared" si="12"/>
        <v xml:space="preserve">00/01 </v>
      </c>
      <c r="R42" s="95" t="str">
        <f t="shared" si="12"/>
        <v xml:space="preserve">01/02 </v>
      </c>
      <c r="S42" s="95" t="str">
        <f t="shared" si="12"/>
        <v xml:space="preserve">02/03 </v>
      </c>
      <c r="T42" s="95" t="str">
        <f t="shared" si="12"/>
        <v xml:space="preserve">03/04 </v>
      </c>
      <c r="U42" s="95" t="str">
        <f t="shared" si="12"/>
        <v xml:space="preserve">04/05 </v>
      </c>
      <c r="V42" s="95" t="str">
        <f t="shared" si="12"/>
        <v xml:space="preserve">05/06 </v>
      </c>
      <c r="W42" s="95" t="str">
        <f t="shared" si="12"/>
        <v xml:space="preserve">06/07 </v>
      </c>
      <c r="X42" s="95" t="str">
        <f t="shared" si="12"/>
        <v xml:space="preserve">07/08 </v>
      </c>
      <c r="Y42" s="95" t="str">
        <f t="shared" si="12"/>
        <v xml:space="preserve">08/09 </v>
      </c>
      <c r="Z42" s="95" t="str">
        <f t="shared" si="12"/>
        <v xml:space="preserve">09/10 </v>
      </c>
      <c r="AA42" s="95" t="str">
        <f t="shared" si="12"/>
        <v xml:space="preserve">10/11 </v>
      </c>
      <c r="AB42" s="95" t="str">
        <f t="shared" si="12"/>
        <v xml:space="preserve">11/12 </v>
      </c>
      <c r="AC42" s="95" t="str">
        <f t="shared" si="12"/>
        <v xml:space="preserve">12/13 </v>
      </c>
      <c r="AD42" s="95" t="str">
        <f t="shared" si="12"/>
        <v xml:space="preserve">13/14 </v>
      </c>
      <c r="AE42" s="95" t="str">
        <f t="shared" si="12"/>
        <v xml:space="preserve">14/15 </v>
      </c>
      <c r="AF42" s="95" t="str">
        <f t="shared" si="12"/>
        <v xml:space="preserve">15/16 </v>
      </c>
      <c r="AG42" s="95" t="str">
        <f t="shared" si="12"/>
        <v xml:space="preserve">16/17 </v>
      </c>
      <c r="AH42" s="95" t="str">
        <f t="shared" si="12"/>
        <v xml:space="preserve">17/18 </v>
      </c>
      <c r="AI42" s="95" t="str">
        <f t="shared" si="12"/>
        <v xml:space="preserve">18/19 </v>
      </c>
      <c r="AJ42" s="95" t="str">
        <f t="shared" si="12"/>
        <v>19/20</v>
      </c>
      <c r="AK42" s="95" t="str">
        <f t="shared" si="12"/>
        <v>20/21</v>
      </c>
      <c r="AL42" s="95" t="str">
        <f t="shared" si="12"/>
        <v>21/22</v>
      </c>
      <c r="AM42" s="95" t="str">
        <f t="shared" si="12"/>
        <v>22/23</v>
      </c>
      <c r="AN42" s="95" t="str">
        <f t="shared" si="12"/>
        <v>23/24</v>
      </c>
      <c r="AO42" s="95" t="str">
        <f t="shared" si="12"/>
        <v>24/25</v>
      </c>
      <c r="AP42" s="95" t="str">
        <f t="shared" si="12"/>
        <v>25/26</v>
      </c>
    </row>
    <row r="43" spans="1:46" ht="15.75">
      <c r="A43" s="93" t="s">
        <v>74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 cm="1">
        <f t="array" ref="P43">INDEX('[3]South Korea Corn Exports'!$DN$290:$OY$290,1,ROW(A1))/1000</f>
        <v>2.6999999999999999E-5</v>
      </c>
      <c r="Q43" s="213" cm="1">
        <f t="array" ref="Q43">INDEX('[3]South Korea Corn Imports'!$DZ$290:$US$290,1,ROW(A1))</f>
        <v>0.109</v>
      </c>
      <c r="R43" s="213" cm="1">
        <f t="array" ref="R43">INDEX('[3]South Korea Corn Imports'!$EL$290:$US$290,1,ROW(A1))</f>
        <v>0</v>
      </c>
      <c r="S43" s="213" cm="1">
        <f t="array" ref="S43">INDEX('[3]South Korea Corn Imports'!$EX$290:$US$290,1,ROW(A1))</f>
        <v>7.0236000000000007E-2</v>
      </c>
      <c r="T43" s="213" cm="1">
        <f t="array" ref="T43">INDEX('[3]South Korea Corn Imports'!$FI$290:$US$290,1,ROW(A1))</f>
        <v>0</v>
      </c>
      <c r="U43" s="213" cm="1">
        <f t="array" ref="U43">INDEX('[3]South Korea Corn Imports'!$FV$290:$US$290,1,ROW(A1))</f>
        <v>0</v>
      </c>
      <c r="V43" s="213" cm="1">
        <f t="array" ref="V43">INDEX('[3]South Korea Corn Imports'!$GH$290:$US$290,1,ROW(A1))</f>
        <v>0</v>
      </c>
      <c r="W43" s="213" cm="1">
        <f t="array" ref="W43">INDEX('[3]South Korea Corn Imports'!$GT$290:$US$290,1,ROW(A1))</f>
        <v>0</v>
      </c>
      <c r="X43" s="213" cm="1">
        <f t="array" ref="X43">INDEX('[3]South Korea Corn Imports'!$HF$290:$US$290,1,ROW(A1))</f>
        <v>2.0000000000000001E-4</v>
      </c>
      <c r="Y43" s="213" cm="1">
        <f t="array" ref="Y43">INDEX('[3]South Korea Corn Imports'!$HR$290:$US$290,1,ROW(A1))</f>
        <v>1.4100000000000001E-4</v>
      </c>
      <c r="Z43" s="213" cm="1">
        <f t="array" ref="Z43">INDEX('[3]South Korea Corn Imports'!$ID$290:$US$290,1,ROW(A1))</f>
        <v>2.0781000000000001E-2</v>
      </c>
      <c r="AA43" s="213" cm="1">
        <f t="array" ref="AA43">INDEX('[3]South Korea Corn Imports'!$IP$290:$US$290,1,ROW(A1))</f>
        <v>0.15554499999999999</v>
      </c>
      <c r="AB43" s="213" cm="1">
        <f t="array" ref="AB43">INDEX('[3]South Korea Corn Imports'!$JB$290:$US$290,1,ROW(A1))</f>
        <v>0.112952</v>
      </c>
      <c r="AC43" s="213" cm="1">
        <f t="array" ref="AC43">INDEX('[3]South Korea Corn Imports'!$JN$290:$US$290,1,ROW(A1))</f>
        <v>0.20474300000000001</v>
      </c>
      <c r="AD43" s="213" cm="1">
        <f t="array" ref="AD43">INDEX('[3]South Korea Corn Imports'!$JZ$290:$US$290,1,ROW(A1))</f>
        <v>0.12721399999999999</v>
      </c>
      <c r="AE43" s="213" cm="1">
        <f t="array" ref="AE43">INDEX('[3]South Korea Corn Imports'!$KL$290:$US$290,1,ROW(A1))</f>
        <v>0.18231</v>
      </c>
      <c r="AF43" s="213" cm="1">
        <f t="array" ref="AF43">INDEX('[3]South Korea Corn Imports'!$KX$290:$US$290,1,ROW(A1))</f>
        <v>0.17178199999999999</v>
      </c>
      <c r="AG43" s="213" cm="1">
        <f t="array" ref="AG43">INDEX('[3]South Korea Corn Imports'!$LJ$290:$US$290,1,ROW(A1))</f>
        <v>0.71404500000000004</v>
      </c>
      <c r="AH43" s="213" cm="1">
        <f t="array" ref="AH43">INDEX('[3]South Korea Corn Imports'!$LV$290:$US$290,1,ROW(A1))</f>
        <v>0.57865699999999998</v>
      </c>
      <c r="AI43" s="213" cm="1">
        <f t="array" ref="AI43">INDEX('[3]South Korea Corn Imports'!$MH$290:$US$290,1,ROW(A1))</f>
        <v>0.27050200000000002</v>
      </c>
      <c r="AJ43" s="213" cm="1">
        <f t="array" ref="AJ43">INDEX('[3]South Korea Corn Imports'!$MT$290:$US$290,1,ROW(A1))</f>
        <v>0.702712</v>
      </c>
      <c r="AK43" s="213" cm="1">
        <f t="array" ref="AK43">INDEX('[3]South Korea Corn Imports'!$NF$290:$US$290,1,ROW(A1))</f>
        <v>1144.73459</v>
      </c>
      <c r="AL43" s="213" cm="1">
        <f t="array" ref="AL43">INDEX('[3]South Korea Corn Imports'!$NR$290:$US$290,1,ROW(A1))</f>
        <v>770.54731300000003</v>
      </c>
      <c r="AM43" s="213" cm="1">
        <f t="array" ref="AM43">INDEX('[3]South Korea Corn Imports'!$OD$290:$US$290,1,ROW(A1))</f>
        <v>1000.1008399999999</v>
      </c>
      <c r="AN43" s="213" cm="1">
        <f t="array" ref="AN43">INDEX('[3]South Korea Corn Imports'!$OP$290:$US$290,1,ROW(A1))</f>
        <v>1105.424998</v>
      </c>
      <c r="AO43" s="213" cm="1">
        <f t="array" ref="AO43">INDEX('[3]South Korea Corn Imports'!$PB$290:$US$290,1,ROW(A1))</f>
        <v>1000.119839</v>
      </c>
      <c r="AP43" s="222">
        <f t="shared" ref="AP43:AP45" si="13">(SUM(AK43:AO43)/SUM(AK$55:AO$55))*AP$55</f>
        <v>1023.3273297335484</v>
      </c>
    </row>
    <row r="44" spans="1:46" ht="15.75">
      <c r="A44" s="93" t="s">
        <v>75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 cm="1">
        <f t="array" ref="P44">INDEX('[3]South Korea Corn Exports'!$DM$290:$OY$290,1,ROW(A2))/1000</f>
        <v>2.6999999999999999E-5</v>
      </c>
      <c r="Q44" s="213" cm="1">
        <f t="array" ref="Q44">INDEX('[3]South Korea Corn Imports'!$DZ$290:$US$290,1,ROW(A2))</f>
        <v>0.13400000000000001</v>
      </c>
      <c r="R44" s="213" cm="1">
        <f t="array" ref="R44">INDEX('[3]South Korea Corn Imports'!$EL$290:$US$290,1,ROW(A2))</f>
        <v>0</v>
      </c>
      <c r="S44" s="213" cm="1">
        <f t="array" ref="S44">INDEX('[3]South Korea Corn Imports'!$EX$290:$US$290,1,ROW(A2))</f>
        <v>0</v>
      </c>
      <c r="T44" s="213" cm="1">
        <f t="array" ref="T44">INDEX('[3]South Korea Corn Imports'!$FI$290:$US$290,1,ROW(A2))</f>
        <v>0</v>
      </c>
      <c r="U44" s="213" cm="1">
        <f t="array" ref="U44">INDEX('[3]South Korea Corn Imports'!$FV$290:$US$290,1,ROW(A2))</f>
        <v>0</v>
      </c>
      <c r="V44" s="213" cm="1">
        <f t="array" ref="V44">INDEX('[3]South Korea Corn Imports'!$GH$290:$US$290,1,ROW(A2))</f>
        <v>2.16E-3</v>
      </c>
      <c r="W44" s="213" cm="1">
        <f t="array" ref="W44">INDEX('[3]South Korea Corn Imports'!$GT$290:$US$290,1,ROW(A2))</f>
        <v>0</v>
      </c>
      <c r="X44" s="213" cm="1">
        <f t="array" ref="X44">INDEX('[3]South Korea Corn Imports'!$HF$290:$US$290,1,ROW(A2))</f>
        <v>5.5999999999999995E-4</v>
      </c>
      <c r="Y44" s="213" cm="1">
        <f t="array" ref="Y44">INDEX('[3]South Korea Corn Imports'!$HR$290:$US$290,1,ROW(A2))</f>
        <v>0.51365000000000005</v>
      </c>
      <c r="Z44" s="213" cm="1">
        <f t="array" ref="Z44">INDEX('[3]South Korea Corn Imports'!$ID$290:$US$290,1,ROW(A2))</f>
        <v>4.2206E-2</v>
      </c>
      <c r="AA44" s="213" cm="1">
        <f t="array" ref="AA44">INDEX('[3]South Korea Corn Imports'!$IP$290:$US$290,1,ROW(A2))</f>
        <v>2.7231000000000002E-2</v>
      </c>
      <c r="AB44" s="213" cm="1">
        <f t="array" ref="AB44">INDEX('[3]South Korea Corn Imports'!$JB$290:$US$290,1,ROW(A2))</f>
        <v>0.190388</v>
      </c>
      <c r="AC44" s="213" cm="1">
        <f t="array" ref="AC44">INDEX('[3]South Korea Corn Imports'!$JN$290:$US$290,1,ROW(A2))</f>
        <v>0.13894899999999999</v>
      </c>
      <c r="AD44" s="213" cm="1">
        <f t="array" ref="AD44">INDEX('[3]South Korea Corn Imports'!$JZ$290:$US$290,1,ROW(A2))</f>
        <v>0.18177299999999999</v>
      </c>
      <c r="AE44" s="213" cm="1">
        <f t="array" ref="AE44">INDEX('[3]South Korea Corn Imports'!$KL$290:$US$290,1,ROW(A2))</f>
        <v>0.14033399999999999</v>
      </c>
      <c r="AF44" s="213" cm="1">
        <f t="array" ref="AF44">INDEX('[3]South Korea Corn Imports'!$KX$290:$US$290,1,ROW(A2))</f>
        <v>8.8511999999999993E-2</v>
      </c>
      <c r="AG44" s="213" cm="1">
        <f t="array" ref="AG44">INDEX('[3]South Korea Corn Imports'!$LJ$290:$US$290,1,ROW(A2))</f>
        <v>197.611447</v>
      </c>
      <c r="AH44" s="213" cm="1">
        <f t="array" ref="AH44">INDEX('[3]South Korea Corn Imports'!$LV$290:$US$290,1,ROW(A2))</f>
        <v>0.65880499999999997</v>
      </c>
      <c r="AI44" s="213" cm="1">
        <f t="array" ref="AI44">INDEX('[3]South Korea Corn Imports'!$MH$290:$US$290,1,ROW(A2))</f>
        <v>0.42059999999999997</v>
      </c>
      <c r="AJ44" s="213" cm="1">
        <f t="array" ref="AJ44">INDEX('[3]South Korea Corn Imports'!$MT$290:$US$290,1,ROW(A2))</f>
        <v>0.41020899999999999</v>
      </c>
      <c r="AK44" s="213" cm="1">
        <f t="array" ref="AK44">INDEX('[3]South Korea Corn Imports'!$NF$290:$US$290,1,ROW(A2))</f>
        <v>997.60172299999999</v>
      </c>
      <c r="AL44" s="213" cm="1">
        <f t="array" ref="AL44">INDEX('[3]South Korea Corn Imports'!$NR$290:$US$290,1,ROW(A2))</f>
        <v>962.85710700000004</v>
      </c>
      <c r="AM44" s="213" cm="1">
        <f t="array" ref="AM44">INDEX('[3]South Korea Corn Imports'!$OD$290:$US$290,1,ROW(A2))</f>
        <v>1125.110484</v>
      </c>
      <c r="AN44" s="213" cm="1">
        <f t="array" ref="AN44">INDEX('[3]South Korea Corn Imports'!$OP$290:$US$290,1,ROW(A2))</f>
        <v>1089.487556</v>
      </c>
      <c r="AO44" s="213" cm="1">
        <f t="array" ref="AO44">INDEX('[3]South Korea Corn Imports'!$PB$290:$US$290,1,ROW(A2))</f>
        <v>1002.1746869999999</v>
      </c>
      <c r="AP44" s="222">
        <f t="shared" si="13"/>
        <v>1055.1840193315579</v>
      </c>
    </row>
    <row r="45" spans="1:46" ht="15.75">
      <c r="A45" s="93" t="s">
        <v>76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 cm="1">
        <f t="array" ref="P45">INDEX('[3]South Korea Corn Exports'!$DM$290:$OY$290,1,ROW(A3))/1000</f>
        <v>8.9999999999999985E-6</v>
      </c>
      <c r="Q45" s="213" cm="1">
        <f t="array" ref="Q45">INDEX('[3]South Korea Corn Imports'!$DZ$290:$US$290,1,ROW(A3))</f>
        <v>5.0000000000000001E-3</v>
      </c>
      <c r="R45" s="213" cm="1">
        <f t="array" ref="R45">INDEX('[3]South Korea Corn Imports'!$EL$290:$US$290,1,ROW(A3))</f>
        <v>0</v>
      </c>
      <c r="S45" s="213" cm="1">
        <f t="array" ref="S45">INDEX('[3]South Korea Corn Imports'!$EX$290:$US$290,1,ROW(A3))</f>
        <v>1.26E-4</v>
      </c>
      <c r="T45" s="213" cm="1">
        <f t="array" ref="T45">INDEX('[3]South Korea Corn Imports'!$FI$290:$US$290,1,ROW(A3))</f>
        <v>0</v>
      </c>
      <c r="U45" s="213" cm="1">
        <f t="array" ref="U45">INDEX('[3]South Korea Corn Imports'!$FV$290:$US$290,1,ROW(A3))</f>
        <v>0</v>
      </c>
      <c r="V45" s="213" cm="1">
        <f t="array" ref="V45">INDEX('[3]South Korea Corn Imports'!$GH$290:$US$290,1,ROW(A3))</f>
        <v>9.0000000000000002E-6</v>
      </c>
      <c r="W45" s="213" cm="1">
        <f t="array" ref="W45">INDEX('[3]South Korea Corn Imports'!$GT$290:$US$290,1,ROW(A3))</f>
        <v>0</v>
      </c>
      <c r="X45" s="213" cm="1">
        <f t="array" ref="X45">INDEX('[3]South Korea Corn Imports'!$HF$290:$US$290,1,ROW(A3))</f>
        <v>0</v>
      </c>
      <c r="Y45" s="213" cm="1">
        <f t="array" ref="Y45">INDEX('[3]South Korea Corn Imports'!$HR$290:$US$290,1,ROW(A3))</f>
        <v>2.0797059999999998</v>
      </c>
      <c r="Z45" s="213" cm="1">
        <f t="array" ref="Z45">INDEX('[3]South Korea Corn Imports'!$ID$290:$US$290,1,ROW(A3))</f>
        <v>4.0869999999999997E-2</v>
      </c>
      <c r="AA45" s="213" cm="1">
        <f t="array" ref="AA45">INDEX('[3]South Korea Corn Imports'!$IP$290:$US$290,1,ROW(A3))</f>
        <v>6.1367999999999999E-2</v>
      </c>
      <c r="AB45" s="213" cm="1">
        <f t="array" ref="AB45">INDEX('[3]South Korea Corn Imports'!$JB$290:$US$290,1,ROW(A3))</f>
        <v>8.2594000000000001E-2</v>
      </c>
      <c r="AC45" s="213" cm="1">
        <f t="array" ref="AC45">INDEX('[3]South Korea Corn Imports'!$JN$290:$US$290,1,ROW(A3))</f>
        <v>9.1098999999999999E-2</v>
      </c>
      <c r="AD45" s="213" cm="1">
        <f t="array" ref="AD45">INDEX('[3]South Korea Corn Imports'!$JZ$290:$US$290,1,ROW(A3))</f>
        <v>0.14976</v>
      </c>
      <c r="AE45" s="213" cm="1">
        <f t="array" ref="AE45">INDEX('[3]South Korea Corn Imports'!$KL$290:$US$290,1,ROW(A3))</f>
        <v>0.25173200000000001</v>
      </c>
      <c r="AF45" s="213" cm="1">
        <f t="array" ref="AF45">INDEX('[3]South Korea Corn Imports'!$KX$290:$US$290,1,ROW(A3))</f>
        <v>5.2638999999999998E-2</v>
      </c>
      <c r="AG45" s="213" cm="1">
        <f t="array" ref="AG45">INDEX('[3]South Korea Corn Imports'!$LJ$290:$US$290,1,ROW(A3))</f>
        <v>0.43198500000000001</v>
      </c>
      <c r="AH45" s="213" cm="1">
        <f t="array" ref="AH45">INDEX('[3]South Korea Corn Imports'!$LV$290:$US$290,1,ROW(A3))</f>
        <v>0.42616799999999999</v>
      </c>
      <c r="AI45" s="213" cm="1">
        <f t="array" ref="AI45">INDEX('[3]South Korea Corn Imports'!$MH$290:$US$290,1,ROW(A3))</f>
        <v>7.7713000000000004E-2</v>
      </c>
      <c r="AJ45" s="213" cm="1">
        <f t="array" ref="AJ45">INDEX('[3]South Korea Corn Imports'!$MT$290:$US$290,1,ROW(A3))</f>
        <v>0.254689</v>
      </c>
      <c r="AK45" s="213" cm="1">
        <f t="array" ref="AK45">INDEX('[3]South Korea Corn Imports'!$NF$290:$US$290,1,ROW(A3))</f>
        <v>773.05148699999995</v>
      </c>
      <c r="AL45" s="213" cm="1">
        <f t="array" ref="AL45">INDEX('[3]South Korea Corn Imports'!$NR$290:$US$290,1,ROW(A3))</f>
        <v>1121.0813680000001</v>
      </c>
      <c r="AM45" s="213" cm="1">
        <f t="array" ref="AM45">INDEX('[3]South Korea Corn Imports'!$OD$290:$US$290,1,ROW(A3))</f>
        <v>1019.452319</v>
      </c>
      <c r="AN45" s="213" cm="1">
        <f t="array" ref="AN45">INDEX('[3]South Korea Corn Imports'!$OP$290:$US$290,1,ROW(A3))</f>
        <v>1101.12735</v>
      </c>
      <c r="AO45" s="213" cm="1">
        <f t="array" ref="AO45">INDEX('[3]South Korea Corn Imports'!$PB$290:$US$290,1,ROW(A3))</f>
        <v>1058.4000000000001</v>
      </c>
      <c r="AP45" s="222">
        <f t="shared" si="13"/>
        <v>1033.9632687199091</v>
      </c>
      <c r="AT45" s="42"/>
    </row>
    <row r="46" spans="1:46" ht="15.75">
      <c r="A46" s="93" t="s">
        <v>77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 cm="1">
        <f t="array" ref="P46">INDEX('[3]South Korea Corn Exports'!$DM$290:$OY$290,1,ROW(A4))/1000</f>
        <v>1.9999999999999999E-6</v>
      </c>
      <c r="Q46" s="213" cm="1">
        <f t="array" ref="Q46">INDEX('[3]South Korea Corn Imports'!$DZ$290:$US$290,1,ROW(A4))</f>
        <v>1.0999999999999999E-2</v>
      </c>
      <c r="R46" s="213" cm="1">
        <f t="array" ref="R46">INDEX('[3]South Korea Corn Imports'!$EL$290:$US$290,1,ROW(A4))</f>
        <v>0</v>
      </c>
      <c r="S46" s="213" cm="1">
        <f t="array" ref="S46">INDEX('[3]South Korea Corn Imports'!$EX$290:$US$290,1,ROW(A4))</f>
        <v>1.6819999999999999E-3</v>
      </c>
      <c r="T46" s="213" cm="1">
        <f t="array" ref="T46">INDEX('[3]South Korea Corn Imports'!$FI$290:$US$290,1,ROW(A4))</f>
        <v>0</v>
      </c>
      <c r="U46" s="213" cm="1">
        <f t="array" ref="U46">INDEX('[3]South Korea Corn Imports'!$FV$290:$US$290,1,ROW(A4))</f>
        <v>0</v>
      </c>
      <c r="V46" s="213" cm="1">
        <f t="array" ref="V46">INDEX('[3]South Korea Corn Imports'!$GH$290:$US$290,1,ROW(A4))</f>
        <v>0</v>
      </c>
      <c r="W46" s="213" cm="1">
        <f t="array" ref="W46">INDEX('[3]South Korea Corn Imports'!$GT$290:$US$290,1,ROW(A4))</f>
        <v>0</v>
      </c>
      <c r="X46" s="213" cm="1">
        <f t="array" ref="X46">INDEX('[3]South Korea Corn Imports'!$HF$290:$US$290,1,ROW(A4))</f>
        <v>1.1999999999999999E-3</v>
      </c>
      <c r="Y46" s="213" cm="1">
        <f t="array" ref="Y46">INDEX('[3]South Korea Corn Imports'!$HR$290:$US$290,1,ROW(A4))</f>
        <v>1.2829740000000001</v>
      </c>
      <c r="Z46" s="213" cm="1">
        <f t="array" ref="Z46">INDEX('[3]South Korea Corn Imports'!$ID$290:$US$290,1,ROW(A4))</f>
        <v>3.0429000000000001E-2</v>
      </c>
      <c r="AA46" s="213" cm="1">
        <f t="array" ref="AA46">INDEX('[3]South Korea Corn Imports'!$IP$290:$US$290,1,ROW(A4))</f>
        <v>4.2132000000000003E-2</v>
      </c>
      <c r="AB46" s="213" cm="1">
        <f t="array" ref="AB46">INDEX('[3]South Korea Corn Imports'!$JB$290:$US$290,1,ROW(A4))</f>
        <v>0.156829</v>
      </c>
      <c r="AC46" s="213" cm="1">
        <f t="array" ref="AC46">INDEX('[3]South Korea Corn Imports'!$JN$290:$US$290,1,ROW(A4))</f>
        <v>0.13849800000000001</v>
      </c>
      <c r="AD46" s="213" cm="1">
        <f t="array" ref="AD46">INDEX('[3]South Korea Corn Imports'!$JZ$290:$US$290,1,ROW(A4))</f>
        <v>0.24326400000000001</v>
      </c>
      <c r="AE46" s="213" cm="1">
        <f t="array" ref="AE46">INDEX('[3]South Korea Corn Imports'!$KL$290:$US$290,1,ROW(A4))</f>
        <v>0.13048299999999999</v>
      </c>
      <c r="AF46" s="213" cm="1">
        <f t="array" ref="AF46">INDEX('[3]South Korea Corn Imports'!$KX$290:$US$290,1,ROW(A4))</f>
        <v>0.18023700000000001</v>
      </c>
      <c r="AG46" s="213" cm="1">
        <f t="array" ref="AG46">INDEX('[3]South Korea Corn Imports'!$LJ$290:$US$290,1,ROW(A4))</f>
        <v>7.7599000000000001E-2</v>
      </c>
      <c r="AH46" s="213" cm="1">
        <f t="array" ref="AH46">INDEX('[3]South Korea Corn Imports'!$LV$290:$US$290,1,ROW(A4))</f>
        <v>0.51149599999999995</v>
      </c>
      <c r="AI46" s="213" cm="1">
        <f t="array" ref="AI46">INDEX('[3]South Korea Corn Imports'!$MH$290:$US$290,1,ROW(A4))</f>
        <v>0.22603999999999999</v>
      </c>
      <c r="AJ46" s="213" cm="1">
        <f t="array" ref="AJ46">INDEX('[3]South Korea Corn Imports'!$MT$290:$US$290,1,ROW(A4))</f>
        <v>1042.493023</v>
      </c>
      <c r="AK46" s="213" cm="1">
        <f t="array" ref="AK46">INDEX('[3]South Korea Corn Imports'!$NF$290:$US$290,1,ROW(A4))</f>
        <v>1276.6431829999999</v>
      </c>
      <c r="AL46" s="213" cm="1">
        <f t="array" ref="AL46">INDEX('[3]South Korea Corn Imports'!$NR$290:$US$290,1,ROW(A4))</f>
        <v>1019.851417</v>
      </c>
      <c r="AM46" s="213" cm="1">
        <f t="array" ref="AM46">INDEX('[3]South Korea Corn Imports'!$OD$290:$US$290,1,ROW(A4))</f>
        <v>1074.3124359999999</v>
      </c>
      <c r="AN46" s="213" cm="1">
        <f t="array" ref="AN46">INDEX('[3]South Korea Corn Imports'!$OP$290:$US$290,1,ROW(A4))</f>
        <v>906.43097599999999</v>
      </c>
      <c r="AO46" s="222">
        <f>(SUM(AJ46:AN46)/SUM(AJ$55:AN$55))*AO$55</f>
        <v>1119.3146171294143</v>
      </c>
      <c r="AP46" s="222">
        <f>(SUM(AK46:AO46)/SUM(AK$55:AO$55))*AP$55</f>
        <v>1099.8843746982632</v>
      </c>
      <c r="AT46" s="42"/>
    </row>
    <row r="47" spans="1:46" ht="15.75">
      <c r="A47" s="93" t="s">
        <v>78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 cm="1">
        <f t="array" ref="P47">INDEX('[3]South Korea Corn Exports'!$DM$290:$OY$290,1,ROW(A5))/1000</f>
        <v>1.4999999999999999E-5</v>
      </c>
      <c r="Q47" s="213" cm="1">
        <f t="array" ref="Q47">INDEX('[3]South Korea Corn Imports'!$DZ$290:$US$290,1,ROW(A5))</f>
        <v>0</v>
      </c>
      <c r="R47" s="213" cm="1">
        <f t="array" ref="R47">INDEX('[3]South Korea Corn Imports'!$EL$290:$US$290,1,ROW(A5))</f>
        <v>0</v>
      </c>
      <c r="S47" s="213" cm="1">
        <f t="array" ref="S47">INDEX('[3]South Korea Corn Imports'!$EX$290:$US$290,1,ROW(A5))</f>
        <v>0</v>
      </c>
      <c r="T47" s="213" cm="1">
        <f t="array" ref="T47">INDEX('[3]South Korea Corn Imports'!$FI$290:$US$290,1,ROW(A5))</f>
        <v>0</v>
      </c>
      <c r="U47" s="213" cm="1">
        <f t="array" ref="U47">INDEX('[3]South Korea Corn Imports'!$FV$290:$US$290,1,ROW(A5))</f>
        <v>0</v>
      </c>
      <c r="V47" s="213" cm="1">
        <f t="array" ref="V47">INDEX('[3]South Korea Corn Imports'!$GH$290:$US$290,1,ROW(A5))</f>
        <v>0</v>
      </c>
      <c r="W47" s="213" cm="1">
        <f t="array" ref="W47">INDEX('[3]South Korea Corn Imports'!$GT$290:$US$290,1,ROW(A5))</f>
        <v>0</v>
      </c>
      <c r="X47" s="213" cm="1">
        <f t="array" ref="X47">INDEX('[3]South Korea Corn Imports'!$HF$290:$US$290,1,ROW(A5))</f>
        <v>1.85E-4</v>
      </c>
      <c r="Y47" s="213" cm="1">
        <f t="array" ref="Y47">INDEX('[3]South Korea Corn Imports'!$HR$290:$US$290,1,ROW(A5))</f>
        <v>2.124879</v>
      </c>
      <c r="Z47" s="213" cm="1">
        <f t="array" ref="Z47">INDEX('[3]South Korea Corn Imports'!$ID$290:$US$290,1,ROW(A5))</f>
        <v>0.14673</v>
      </c>
      <c r="AA47" s="213" cm="1">
        <f t="array" ref="AA47">INDEX('[3]South Korea Corn Imports'!$IP$290:$US$290,1,ROW(A5))</f>
        <v>0.10481600000000001</v>
      </c>
      <c r="AB47" s="213" cm="1">
        <f t="array" ref="AB47">INDEX('[3]South Korea Corn Imports'!$JB$290:$US$290,1,ROW(A5))</f>
        <v>0.19811300000000001</v>
      </c>
      <c r="AC47" s="213" cm="1">
        <f t="array" ref="AC47">INDEX('[3]South Korea Corn Imports'!$JN$290:$US$290,1,ROW(A5))</f>
        <v>0.10415000000000001</v>
      </c>
      <c r="AD47" s="213" cm="1">
        <f t="array" ref="AD47">INDEX('[3]South Korea Corn Imports'!$JZ$290:$US$290,1,ROW(A5))</f>
        <v>0.19062100000000001</v>
      </c>
      <c r="AE47" s="213" cm="1">
        <f t="array" ref="AE47">INDEX('[3]South Korea Corn Imports'!$KL$290:$US$290,1,ROW(A5))</f>
        <v>0.10244499999999999</v>
      </c>
      <c r="AF47" s="213" cm="1">
        <f t="array" ref="AF47">INDEX('[3]South Korea Corn Imports'!$KX$290:$US$290,1,ROW(A5))</f>
        <v>0.12899099999999999</v>
      </c>
      <c r="AG47" s="213" cm="1">
        <f t="array" ref="AG47">INDEX('[3]South Korea Corn Imports'!$LJ$290:$US$290,1,ROW(A5))</f>
        <v>0.107351</v>
      </c>
      <c r="AH47" s="213" cm="1">
        <f t="array" ref="AH47">INDEX('[3]South Korea Corn Imports'!$LV$290:$US$290,1,ROW(A5))</f>
        <v>0.48482599999999998</v>
      </c>
      <c r="AI47" s="213" cm="1">
        <f t="array" ref="AI47">INDEX('[3]South Korea Corn Imports'!$MH$290:$US$290,1,ROW(A5))</f>
        <v>0.22855800000000001</v>
      </c>
      <c r="AJ47" s="213" cm="1">
        <f t="array" ref="AJ47">INDEX('[3]South Korea Corn Imports'!$MT$290:$US$290,1,ROW(A5))</f>
        <v>997.509815</v>
      </c>
      <c r="AK47" s="213" cm="1">
        <f t="array" ref="AK47">INDEX('[3]South Korea Corn Imports'!$NF$290:$US$290,1,ROW(A5))</f>
        <v>744.37187400000005</v>
      </c>
      <c r="AL47" s="213" cm="1">
        <f t="array" ref="AL47">INDEX('[3]South Korea Corn Imports'!$NR$290:$US$290,1,ROW(A5))</f>
        <v>843.73633099999995</v>
      </c>
      <c r="AM47" s="213" cm="1">
        <f t="array" ref="AM47">INDEX('[3]South Korea Corn Imports'!$OD$290:$US$290,1,ROW(A5))</f>
        <v>815.90664200000003</v>
      </c>
      <c r="AN47" s="213" cm="1">
        <f t="array" ref="AN47">INDEX('[3]South Korea Corn Imports'!$OP$290:$US$290,1,ROW(A5))</f>
        <v>1080.1026859999999</v>
      </c>
      <c r="AO47" s="222">
        <f t="shared" ref="AO47:AO54" si="14">(SUM(AJ47:AN47)/SUM(AJ$55:AN$55))*AO$55</f>
        <v>942.97079422612808</v>
      </c>
      <c r="AP47" s="222">
        <f t="shared" ref="AP47:AP53" si="15">(SUM(AK47:AO47)/SUM(AK$55:AO$55))*AP$55</f>
        <v>902.29552293101904</v>
      </c>
      <c r="AT47" s="42"/>
    </row>
    <row r="48" spans="1:46" ht="15.75">
      <c r="A48" s="93" t="s">
        <v>79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 cm="1">
        <f t="array" ref="P48">INDEX('[3]South Korea Corn Exports'!$DM$290:$OY$290,1,ROW(A6))/1000</f>
        <v>6.9999999999999999E-6</v>
      </c>
      <c r="Q48" s="213" cm="1">
        <f t="array" ref="Q48">INDEX('[3]South Korea Corn Imports'!$DZ$290:$US$290,1,ROW(A6))</f>
        <v>2E-3</v>
      </c>
      <c r="R48" s="213" cm="1">
        <f t="array" ref="R48">INDEX('[3]South Korea Corn Imports'!$EL$290:$US$290,1,ROW(A6))</f>
        <v>0</v>
      </c>
      <c r="S48" s="213" cm="1">
        <f t="array" ref="S48">INDEX('[3]South Korea Corn Imports'!$EX$290:$US$290,1,ROW(A6))</f>
        <v>0</v>
      </c>
      <c r="T48" s="213" cm="1">
        <f t="array" ref="T48">INDEX('[3]South Korea Corn Imports'!$FI$290:$US$290,1,ROW(A6))</f>
        <v>0</v>
      </c>
      <c r="U48" s="213" cm="1">
        <f t="array" ref="U48">INDEX('[3]South Korea Corn Imports'!$FV$290:$US$290,1,ROW(A6))</f>
        <v>0</v>
      </c>
      <c r="V48" s="213" cm="1">
        <f t="array" ref="V48">INDEX('[3]South Korea Corn Imports'!$GH$290:$US$290,1,ROW(A6))</f>
        <v>0</v>
      </c>
      <c r="W48" s="213" cm="1">
        <f t="array" ref="W48">INDEX('[3]South Korea Corn Imports'!$GT$290:$US$290,1,ROW(A6))</f>
        <v>3.0200000000000002E-4</v>
      </c>
      <c r="X48" s="213" cm="1">
        <f t="array" ref="X48">INDEX('[3]South Korea Corn Imports'!$HF$290:$US$290,1,ROW(A6))</f>
        <v>0</v>
      </c>
      <c r="Y48" s="213" cm="1">
        <f t="array" ref="Y48">INDEX('[3]South Korea Corn Imports'!$HR$290:$US$290,1,ROW(A6))</f>
        <v>1.139E-3</v>
      </c>
      <c r="Z48" s="213" cm="1">
        <f t="array" ref="Z48">INDEX('[3]South Korea Corn Imports'!$ID$290:$US$290,1,ROW(A6))</f>
        <v>6.4674999999999996E-2</v>
      </c>
      <c r="AA48" s="213" cm="1">
        <f t="array" ref="AA48">INDEX('[3]South Korea Corn Imports'!$IP$290:$US$290,1,ROW(A6))</f>
        <v>0.14885699999999999</v>
      </c>
      <c r="AB48" s="213" cm="1">
        <f t="array" ref="AB48">INDEX('[3]South Korea Corn Imports'!$JB$290:$US$290,1,ROW(A6))</f>
        <v>0.12806500000000001</v>
      </c>
      <c r="AC48" s="213" cm="1">
        <f t="array" ref="AC48">INDEX('[3]South Korea Corn Imports'!$JN$290:$US$290,1,ROW(A6))</f>
        <v>0.16860600000000001</v>
      </c>
      <c r="AD48" s="213" cm="1">
        <f t="array" ref="AD48">INDEX('[3]South Korea Corn Imports'!$JZ$290:$US$290,1,ROW(A6))</f>
        <v>0.177537</v>
      </c>
      <c r="AE48" s="213" cm="1">
        <f t="array" ref="AE48">INDEX('[3]South Korea Corn Imports'!$KL$290:$US$290,1,ROW(A6))</f>
        <v>0.16067999999999999</v>
      </c>
      <c r="AF48" s="213" cm="1">
        <f t="array" ref="AF48">INDEX('[3]South Korea Corn Imports'!$KX$290:$US$290,1,ROW(A6))</f>
        <v>7.2081999999999993E-2</v>
      </c>
      <c r="AG48" s="213" cm="1">
        <f t="array" ref="AG48">INDEX('[3]South Korea Corn Imports'!$LJ$290:$US$290,1,ROW(A6))</f>
        <v>0.45479199999999997</v>
      </c>
      <c r="AH48" s="213" cm="1">
        <f t="array" ref="AH48">INDEX('[3]South Korea Corn Imports'!$LV$290:$US$290,1,ROW(A6))</f>
        <v>0.65244199999999997</v>
      </c>
      <c r="AI48" s="213" cm="1">
        <f t="array" ref="AI48">INDEX('[3]South Korea Corn Imports'!$MH$290:$US$290,1,ROW(A6))</f>
        <v>0.78634099999999996</v>
      </c>
      <c r="AJ48" s="213" cm="1">
        <f t="array" ref="AJ48">INDEX('[3]South Korea Corn Imports'!$MT$290:$US$290,1,ROW(A6))</f>
        <v>856.89374699999996</v>
      </c>
      <c r="AK48" s="213" cm="1">
        <f t="array" ref="AK48">INDEX('[3]South Korea Corn Imports'!$NF$290:$US$290,1,ROW(A6))</f>
        <v>967.20543899999996</v>
      </c>
      <c r="AL48" s="213" cm="1">
        <f t="array" ref="AL48">INDEX('[3]South Korea Corn Imports'!$NR$290:$US$290,1,ROW(A6))</f>
        <v>1105.624771</v>
      </c>
      <c r="AM48" s="213" cm="1">
        <f t="array" ref="AM48">INDEX('[3]South Korea Corn Imports'!$OD$290:$US$290,1,ROW(A6))</f>
        <v>872.04253400000005</v>
      </c>
      <c r="AN48" s="213" cm="1">
        <f t="array" ref="AN48">INDEX('[3]South Korea Corn Imports'!$OP$290:$US$290,1,ROW(A6))</f>
        <v>817.31080599999996</v>
      </c>
      <c r="AO48" s="222">
        <f t="shared" si="14"/>
        <v>971.89137987738968</v>
      </c>
      <c r="AP48" s="222">
        <f t="shared" si="15"/>
        <v>964.8632009844614</v>
      </c>
      <c r="AT48" s="42"/>
    </row>
    <row r="49" spans="1:46" ht="15.75">
      <c r="A49" s="93" t="s">
        <v>80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 cm="1">
        <f t="array" ref="P49">INDEX('[3]South Korea Corn Exports'!$DM$290:$OY$290,1,ROW(A7))/1000</f>
        <v>1.9999999999999999E-6</v>
      </c>
      <c r="Q49" s="213" cm="1">
        <f t="array" ref="Q49">INDEX('[3]South Korea Corn Imports'!$DZ$290:$US$290,1,ROW(A7))</f>
        <v>0</v>
      </c>
      <c r="R49" s="213" cm="1">
        <f t="array" ref="R49">INDEX('[3]South Korea Corn Imports'!$EL$290:$US$290,1,ROW(A7))</f>
        <v>2.23E-2</v>
      </c>
      <c r="S49" s="213" cm="1">
        <f t="array" ref="S49">INDEX('[3]South Korea Corn Imports'!$EX$290:$US$290,1,ROW(A7))</f>
        <v>0</v>
      </c>
      <c r="T49" s="213" cm="1">
        <f t="array" ref="T49">INDEX('[3]South Korea Corn Imports'!$FI$290:$US$290,1,ROW(A7))</f>
        <v>0</v>
      </c>
      <c r="U49" s="213" cm="1">
        <f t="array" ref="U49">INDEX('[3]South Korea Corn Imports'!$FV$290:$US$290,1,ROW(A7))</f>
        <v>0</v>
      </c>
      <c r="V49" s="213" cm="1">
        <f t="array" ref="V49">INDEX('[3]South Korea Corn Imports'!$GH$290:$US$290,1,ROW(A7))</f>
        <v>0</v>
      </c>
      <c r="W49" s="213" cm="1">
        <f t="array" ref="W49">INDEX('[3]South Korea Corn Imports'!$GT$290:$US$290,1,ROW(A7))</f>
        <v>0</v>
      </c>
      <c r="X49" s="213" cm="1">
        <f t="array" ref="X49">INDEX('[3]South Korea Corn Imports'!$HF$290:$US$290,1,ROW(A7))</f>
        <v>0</v>
      </c>
      <c r="Y49" s="213" cm="1">
        <f t="array" ref="Y49">INDEX('[3]South Korea Corn Imports'!$HR$290:$US$290,1,ROW(A7))</f>
        <v>2.3675000000000002E-2</v>
      </c>
      <c r="Z49" s="213" cm="1">
        <f t="array" ref="Z49">INDEX('[3]South Korea Corn Imports'!$ID$290:$US$290,1,ROW(A7))</f>
        <v>7.1334999999999996E-2</v>
      </c>
      <c r="AA49" s="213" cm="1">
        <f t="array" ref="AA49">INDEX('[3]South Korea Corn Imports'!$IP$290:$US$290,1,ROW(A7))</f>
        <v>0.183031</v>
      </c>
      <c r="AB49" s="213" cm="1">
        <f t="array" ref="AB49">INDEX('[3]South Korea Corn Imports'!$JB$290:$US$290,1,ROW(A7))</f>
        <v>0.13093399999999999</v>
      </c>
      <c r="AC49" s="213" cm="1">
        <f t="array" ref="AC49">INDEX('[3]South Korea Corn Imports'!$JN$290:$US$290,1,ROW(A7))</f>
        <v>0.13666300000000001</v>
      </c>
      <c r="AD49" s="213" cm="1">
        <f t="array" ref="AD49">INDEX('[3]South Korea Corn Imports'!$JZ$290:$US$290,1,ROW(A7))</f>
        <v>0.18130199999999999</v>
      </c>
      <c r="AE49" s="213" cm="1">
        <f t="array" ref="AE49">INDEX('[3]South Korea Corn Imports'!$KL$290:$US$290,1,ROW(A7))</f>
        <v>0.141515</v>
      </c>
      <c r="AF49" s="213" cm="1">
        <f t="array" ref="AF49">INDEX('[3]South Korea Corn Imports'!$KX$290:$US$290,1,ROW(A7))</f>
        <v>0.17818300000000001</v>
      </c>
      <c r="AG49" s="213" cm="1">
        <f t="array" ref="AG49">INDEX('[3]South Korea Corn Imports'!$LJ$290:$US$290,1,ROW(A7))</f>
        <v>0.65113799999999999</v>
      </c>
      <c r="AH49" s="213" cm="1">
        <f t="array" ref="AH49">INDEX('[3]South Korea Corn Imports'!$LV$290:$US$290,1,ROW(A7))</f>
        <v>0.51038799999999995</v>
      </c>
      <c r="AI49" s="213" cm="1">
        <f t="array" ref="AI49">INDEX('[3]South Korea Corn Imports'!$MH$290:$US$290,1,ROW(A7))</f>
        <v>1.1954370000000001</v>
      </c>
      <c r="AJ49" s="213" cm="1">
        <f t="array" ref="AJ49">INDEX('[3]South Korea Corn Imports'!$MT$290:$US$290,1,ROW(A7))</f>
        <v>933.12913700000001</v>
      </c>
      <c r="AK49" s="213" cm="1">
        <f t="array" ref="AK49">INDEX('[3]South Korea Corn Imports'!$NF$290:$US$290,1,ROW(A7))</f>
        <v>991.71275700000001</v>
      </c>
      <c r="AL49" s="213" cm="1">
        <f t="array" ref="AL49">INDEX('[3]South Korea Corn Imports'!$NR$290:$US$290,1,ROW(A7))</f>
        <v>1086.150621</v>
      </c>
      <c r="AM49" s="213" cm="1">
        <f t="array" ref="AM49">INDEX('[3]South Korea Corn Imports'!$OD$290:$US$290,1,ROW(A7))</f>
        <v>901.04089099999999</v>
      </c>
      <c r="AN49" s="213" cm="1">
        <f t="array" ref="AN49">INDEX('[3]South Korea Corn Imports'!$OP$290:$US$290,1,ROW(A7))</f>
        <v>1004.3369709999999</v>
      </c>
      <c r="AO49" s="222">
        <f t="shared" si="14"/>
        <v>1034.4442585522841</v>
      </c>
      <c r="AP49" s="222">
        <f t="shared" si="15"/>
        <v>1022.6665533136922</v>
      </c>
      <c r="AT49" s="42"/>
    </row>
    <row r="50" spans="1:46" ht="15.75">
      <c r="A50" s="93" t="s">
        <v>81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 cm="1">
        <f t="array" ref="P50">INDEX('[3]South Korea Corn Exports'!$DM$290:$OY$290,1,ROW(A8))/1000</f>
        <v>3.9999999999999998E-6</v>
      </c>
      <c r="Q50" s="213" cm="1">
        <f t="array" ref="Q50">INDEX('[3]South Korea Corn Imports'!$DZ$290:$US$290,1,ROW(A8))</f>
        <v>0</v>
      </c>
      <c r="R50" s="213" cm="1">
        <f t="array" ref="R50">INDEX('[3]South Korea Corn Imports'!$EL$290:$US$290,1,ROW(A8))</f>
        <v>2.2339999999999999E-2</v>
      </c>
      <c r="S50" s="213" cm="1">
        <f t="array" ref="S50">INDEX('[3]South Korea Corn Imports'!$EX$290:$US$290,1,ROW(A8))</f>
        <v>0</v>
      </c>
      <c r="T50" s="213" cm="1">
        <f t="array" ref="T50">INDEX('[3]South Korea Corn Imports'!$FI$290:$US$290,1,ROW(A8))</f>
        <v>0</v>
      </c>
      <c r="U50" s="213" cm="1">
        <f t="array" ref="U50">INDEX('[3]South Korea Corn Imports'!$FV$290:$US$290,1,ROW(A8))</f>
        <v>6.0000000000000002E-6</v>
      </c>
      <c r="V50" s="213" cm="1">
        <f t="array" ref="V50">INDEX('[3]South Korea Corn Imports'!$GH$290:$US$290,1,ROW(A8))</f>
        <v>0</v>
      </c>
      <c r="W50" s="213" cm="1">
        <f t="array" ref="W50">INDEX('[3]South Korea Corn Imports'!$GT$290:$US$290,1,ROW(A8))</f>
        <v>2.0000000000000001E-4</v>
      </c>
      <c r="X50" s="213" cm="1">
        <f t="array" ref="X50">INDEX('[3]South Korea Corn Imports'!$HF$290:$US$290,1,ROW(A8))</f>
        <v>0</v>
      </c>
      <c r="Y50" s="213" cm="1">
        <f t="array" ref="Y50">INDEX('[3]South Korea Corn Imports'!$HR$290:$US$290,1,ROW(A8))</f>
        <v>1.3627E-2</v>
      </c>
      <c r="Z50" s="213" cm="1">
        <f t="array" ref="Z50">INDEX('[3]South Korea Corn Imports'!$ID$290:$US$290,1,ROW(A8))</f>
        <v>7.0642999999999997E-2</v>
      </c>
      <c r="AA50" s="213" cm="1">
        <f t="array" ref="AA50">INDEX('[3]South Korea Corn Imports'!$IP$290:$US$290,1,ROW(A8))</f>
        <v>0.219113</v>
      </c>
      <c r="AB50" s="213" cm="1">
        <f t="array" ref="AB50">INDEX('[3]South Korea Corn Imports'!$JB$290:$US$290,1,ROW(A8))</f>
        <v>0.125914</v>
      </c>
      <c r="AC50" s="213" cm="1">
        <f t="array" ref="AC50">INDEX('[3]South Korea Corn Imports'!$JN$290:$US$290,1,ROW(A8))</f>
        <v>0.200603</v>
      </c>
      <c r="AD50" s="213" cm="1">
        <f t="array" ref="AD50">INDEX('[3]South Korea Corn Imports'!$JZ$290:$US$290,1,ROW(A8))</f>
        <v>0.108001</v>
      </c>
      <c r="AE50" s="213" cm="1">
        <f t="array" ref="AE50">INDEX('[3]South Korea Corn Imports'!$KL$290:$US$290,1,ROW(A8))</f>
        <v>0.12845899999999999</v>
      </c>
      <c r="AF50" s="213" cm="1">
        <f t="array" ref="AF50">INDEX('[3]South Korea Corn Imports'!$KX$290:$US$290,1,ROW(A8))</f>
        <v>0.11208799999999999</v>
      </c>
      <c r="AG50" s="213" cm="1">
        <f t="array" ref="AG50">INDEX('[3]South Korea Corn Imports'!$LJ$290:$US$290,1,ROW(A8))</f>
        <v>0.76893400000000001</v>
      </c>
      <c r="AH50" s="213" cm="1">
        <f t="array" ref="AH50">INDEX('[3]South Korea Corn Imports'!$LV$290:$US$290,1,ROW(A8))</f>
        <v>0.456955</v>
      </c>
      <c r="AI50" s="213" cm="1">
        <f t="array" ref="AI50">INDEX('[3]South Korea Corn Imports'!$MH$290:$US$290,1,ROW(A8))</f>
        <v>0.424653</v>
      </c>
      <c r="AJ50" s="213" cm="1">
        <f t="array" ref="AJ50">INDEX('[3]South Korea Corn Imports'!$MT$290:$US$290,1,ROW(A8))</f>
        <v>1035.386319</v>
      </c>
      <c r="AK50" s="213" cm="1">
        <f t="array" ref="AK50">INDEX('[3]South Korea Corn Imports'!$NF$290:$US$290,1,ROW(A8))</f>
        <v>1054.6675310000001</v>
      </c>
      <c r="AL50" s="213" cm="1">
        <f t="array" ref="AL50">INDEX('[3]South Korea Corn Imports'!$NR$290:$US$290,1,ROW(A8))</f>
        <v>787.90830500000004</v>
      </c>
      <c r="AM50" s="213" cm="1">
        <f t="array" ref="AM50">INDEX('[3]South Korea Corn Imports'!$OD$290:$US$290,1,ROW(A8))</f>
        <v>1106.7990199999999</v>
      </c>
      <c r="AN50" s="213" cm="1">
        <f t="array" ref="AN50">INDEX('[3]South Korea Corn Imports'!$OP$290:$US$290,1,ROW(A8))</f>
        <v>853.52696200000003</v>
      </c>
      <c r="AO50" s="222">
        <f t="shared" si="14"/>
        <v>1018.0151210648459</v>
      </c>
      <c r="AP50" s="222">
        <f t="shared" si="15"/>
        <v>982.56267980675818</v>
      </c>
      <c r="AT50" s="42"/>
    </row>
    <row r="51" spans="1:46" ht="15.75">
      <c r="A51" s="93" t="s">
        <v>82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 cm="1">
        <f t="array" ref="P51">INDEX('[3]South Korea Corn Exports'!$DM$290:$OY$290,1,ROW(A9))/1000</f>
        <v>3.0000000000000001E-6</v>
      </c>
      <c r="Q51" s="213" cm="1">
        <f t="array" ref="Q51">INDEX('[3]South Korea Corn Imports'!$DZ$290:$US$290,1,ROW(A9))</f>
        <v>1E-3</v>
      </c>
      <c r="R51" s="213" cm="1">
        <f t="array" ref="R51">INDEX('[3]South Korea Corn Imports'!$EL$290:$US$290,1,ROW(A9))</f>
        <v>0</v>
      </c>
      <c r="S51" s="213" cm="1">
        <f t="array" ref="S51">INDEX('[3]South Korea Corn Imports'!$EX$290:$US$290,1,ROW(A9))</f>
        <v>0</v>
      </c>
      <c r="T51" s="213" cm="1">
        <f t="array" ref="T51">INDEX('[3]South Korea Corn Imports'!$FI$290:$US$290,1,ROW(A9))</f>
        <v>0</v>
      </c>
      <c r="U51" s="213" cm="1">
        <f t="array" ref="U51">INDEX('[3]South Korea Corn Imports'!$FV$290:$US$290,1,ROW(A9))</f>
        <v>0</v>
      </c>
      <c r="V51" s="213" cm="1">
        <f t="array" ref="V51">INDEX('[3]South Korea Corn Imports'!$GH$290:$US$290,1,ROW(A9))</f>
        <v>1.861E-3</v>
      </c>
      <c r="W51" s="213" cm="1">
        <f t="array" ref="W51">INDEX('[3]South Korea Corn Imports'!$GT$290:$US$290,1,ROW(A9))</f>
        <v>0</v>
      </c>
      <c r="X51" s="213" cm="1">
        <f t="array" ref="X51">INDEX('[3]South Korea Corn Imports'!$HF$290:$US$290,1,ROW(A9))</f>
        <v>4.5050000000000003E-3</v>
      </c>
      <c r="Y51" s="213" cm="1">
        <f t="array" ref="Y51">INDEX('[3]South Korea Corn Imports'!$HR$290:$US$290,1,ROW(A9))</f>
        <v>3.5177E-2</v>
      </c>
      <c r="Z51" s="213" cm="1">
        <f t="array" ref="Z51">INDEX('[3]South Korea Corn Imports'!$ID$290:$US$290,1,ROW(A9))</f>
        <v>0.44153500000000001</v>
      </c>
      <c r="AA51" s="213" cm="1">
        <f t="array" ref="AA51">INDEX('[3]South Korea Corn Imports'!$IP$290:$US$290,1,ROW(A9))</f>
        <v>0.20979800000000001</v>
      </c>
      <c r="AB51" s="213" cm="1">
        <f t="array" ref="AB51">INDEX('[3]South Korea Corn Imports'!$JB$290:$US$290,1,ROW(A9))</f>
        <v>0.15024399999999999</v>
      </c>
      <c r="AC51" s="213" cm="1">
        <f t="array" ref="AC51">INDEX('[3]South Korea Corn Imports'!$JN$290:$US$290,1,ROW(A9))</f>
        <v>0.12934200000000001</v>
      </c>
      <c r="AD51" s="213" cm="1">
        <f t="array" ref="AD51">INDEX('[3]South Korea Corn Imports'!$JZ$290:$US$290,1,ROW(A9))</f>
        <v>5.8645000000000003E-2</v>
      </c>
      <c r="AE51" s="213" cm="1">
        <f t="array" ref="AE51">INDEX('[3]South Korea Corn Imports'!$KL$290:$US$290,1,ROW(A9))</f>
        <v>8.9607999999999993E-2</v>
      </c>
      <c r="AF51" s="213" cm="1">
        <f t="array" ref="AF51">INDEX('[3]South Korea Corn Imports'!$KX$290:$US$290,1,ROW(A9))</f>
        <v>0.13122</v>
      </c>
      <c r="AG51" s="213" cm="1">
        <f t="array" ref="AG51">INDEX('[3]South Korea Corn Imports'!$LJ$290:$US$290,1,ROW(A9))</f>
        <v>0.31646099999999999</v>
      </c>
      <c r="AH51" s="213" cm="1">
        <f t="array" ref="AH51">INDEX('[3]South Korea Corn Imports'!$LV$290:$US$290,1,ROW(A9))</f>
        <v>0.71077699999999999</v>
      </c>
      <c r="AI51" s="213" cm="1">
        <f t="array" ref="AI51">INDEX('[3]South Korea Corn Imports'!$MH$290:$US$290,1,ROW(A9))</f>
        <v>0.77966999999999997</v>
      </c>
      <c r="AJ51" s="213" cm="1">
        <f t="array" ref="AJ51">INDEX('[3]South Korea Corn Imports'!$MT$290:$US$290,1,ROW(A9))</f>
        <v>951.34958800000004</v>
      </c>
      <c r="AK51" s="213" cm="1">
        <f t="array" ref="AK51">INDEX('[3]South Korea Corn Imports'!$NF$290:$US$290,1,ROW(A9))</f>
        <v>1123.2814490000001</v>
      </c>
      <c r="AL51" s="213" cm="1">
        <f t="array" ref="AL51">INDEX('[3]South Korea Corn Imports'!$NR$290:$US$290,1,ROW(A9))</f>
        <v>849.61880900000006</v>
      </c>
      <c r="AM51" s="213" cm="1">
        <f t="array" ref="AM51">INDEX('[3]South Korea Corn Imports'!$OD$290:$US$290,1,ROW(A9))</f>
        <v>818.06478700000002</v>
      </c>
      <c r="AN51" s="213" cm="1">
        <f t="array" ref="AN51">INDEX('[3]South Korea Corn Imports'!$OP$290:$US$290,1,ROW(A9))</f>
        <v>831.26476700000001</v>
      </c>
      <c r="AO51" s="222">
        <f t="shared" si="14"/>
        <v>962.31825281030888</v>
      </c>
      <c r="AP51" s="222">
        <f t="shared" si="15"/>
        <v>934.38777087428957</v>
      </c>
      <c r="AT51" s="42"/>
    </row>
    <row r="52" spans="1:46" ht="15.75">
      <c r="A52" s="93" t="s">
        <v>83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 cm="1">
        <f t="array" ref="P52">INDEX('[3]South Korea Corn Exports'!$DM$290:$OY$290,1,ROW(A10))/1000</f>
        <v>3.9999999999999998E-6</v>
      </c>
      <c r="Q52" s="213" cm="1">
        <f t="array" ref="Q52">INDEX('[3]South Korea Corn Imports'!$DZ$290:$US$290,1,ROW(A10))</f>
        <v>0</v>
      </c>
      <c r="R52" s="213" cm="1">
        <f t="array" ref="R52">INDEX('[3]South Korea Corn Imports'!$EL$290:$US$290,1,ROW(A10))</f>
        <v>0</v>
      </c>
      <c r="S52" s="213" cm="1">
        <f t="array" ref="S52">INDEX('[3]South Korea Corn Imports'!$EX$290:$US$290,1,ROW(A10))</f>
        <v>0</v>
      </c>
      <c r="T52" s="213" cm="1">
        <f t="array" ref="T52">INDEX('[3]South Korea Corn Imports'!$FI$290:$US$290,1,ROW(A10))</f>
        <v>0</v>
      </c>
      <c r="U52" s="213" cm="1">
        <f t="array" ref="U52">INDEX('[3]South Korea Corn Imports'!$FV$290:$US$290,1,ROW(A10))</f>
        <v>5.8500000000000002E-4</v>
      </c>
      <c r="V52" s="213" cm="1">
        <f t="array" ref="V52">INDEX('[3]South Korea Corn Imports'!$GH$290:$US$290,1,ROW(A10))</f>
        <v>0</v>
      </c>
      <c r="W52" s="213" cm="1">
        <f t="array" ref="W52">INDEX('[3]South Korea Corn Imports'!$GT$290:$US$290,1,ROW(A10))</f>
        <v>0.30808000000000002</v>
      </c>
      <c r="X52" s="213" cm="1">
        <f t="array" ref="X52">INDEX('[3]South Korea Corn Imports'!$HF$290:$US$290,1,ROW(A10))</f>
        <v>0</v>
      </c>
      <c r="Y52" s="213" cm="1">
        <f t="array" ref="Y52">INDEX('[3]South Korea Corn Imports'!$HR$290:$US$290,1,ROW(A10))</f>
        <v>3.2543999999999997E-2</v>
      </c>
      <c r="Z52" s="213" cm="1">
        <f t="array" ref="Z52">INDEX('[3]South Korea Corn Imports'!$ID$290:$US$290,1,ROW(A10))</f>
        <v>0.121253</v>
      </c>
      <c r="AA52" s="213" cm="1">
        <f t="array" ref="AA52">INDEX('[3]South Korea Corn Imports'!$IP$290:$US$290,1,ROW(A10))</f>
        <v>0.15124399999999999</v>
      </c>
      <c r="AB52" s="213" cm="1">
        <f t="array" ref="AB52">INDEX('[3]South Korea Corn Imports'!$JB$290:$US$290,1,ROW(A10))</f>
        <v>0.167517</v>
      </c>
      <c r="AC52" s="213" cm="1">
        <f t="array" ref="AC52">INDEX('[3]South Korea Corn Imports'!$JN$290:$US$290,1,ROW(A10))</f>
        <v>0.221329</v>
      </c>
      <c r="AD52" s="213" cm="1">
        <f t="array" ref="AD52">INDEX('[3]South Korea Corn Imports'!$JZ$290:$US$290,1,ROW(A10))</f>
        <v>0.13739599999999999</v>
      </c>
      <c r="AE52" s="213" cm="1">
        <f t="array" ref="AE52">INDEX('[3]South Korea Corn Imports'!$KL$290:$US$290,1,ROW(A10))</f>
        <v>0.12006799999999999</v>
      </c>
      <c r="AF52" s="213" cm="1">
        <f t="array" ref="AF52">INDEX('[3]South Korea Corn Imports'!$KX$290:$US$290,1,ROW(A10))</f>
        <v>0.27108500000000002</v>
      </c>
      <c r="AG52" s="213" cm="1">
        <f t="array" ref="AG52">INDEX('[3]South Korea Corn Imports'!$LJ$290:$US$290,1,ROW(A10))</f>
        <v>0.29971100000000001</v>
      </c>
      <c r="AH52" s="213" cm="1">
        <f t="array" ref="AH52">INDEX('[3]South Korea Corn Imports'!$LV$290:$US$290,1,ROW(A10))</f>
        <v>0.49288599999999999</v>
      </c>
      <c r="AI52" s="213" cm="1">
        <f t="array" ref="AI52">INDEX('[3]South Korea Corn Imports'!$MH$290:$US$290,1,ROW(A10))</f>
        <v>0.60073399999999999</v>
      </c>
      <c r="AJ52" s="213" cm="1">
        <f t="array" ref="AJ52">INDEX('[3]South Korea Corn Imports'!$MT$290:$US$290,1,ROW(A10))</f>
        <v>1052.311946</v>
      </c>
      <c r="AK52" s="213" cm="1">
        <f t="array" ref="AK52">INDEX('[3]South Korea Corn Imports'!$NF$290:$US$290,1,ROW(A10))</f>
        <v>948.47556599999996</v>
      </c>
      <c r="AL52" s="213" cm="1">
        <f t="array" ref="AL52">INDEX('[3]South Korea Corn Imports'!$NR$290:$US$290,1,ROW(A10))</f>
        <v>972.34566199999995</v>
      </c>
      <c r="AM52" s="213" cm="1">
        <f t="array" ref="AM52">INDEX('[3]South Korea Corn Imports'!$OD$290:$US$290,1,ROW(A10))</f>
        <v>897.26771099999996</v>
      </c>
      <c r="AN52" s="213" cm="1">
        <f t="array" ref="AN52">INDEX('[3]South Korea Corn Imports'!$OP$290:$US$290,1,ROW(A10))</f>
        <v>974.97936100000004</v>
      </c>
      <c r="AO52" s="222">
        <f t="shared" si="14"/>
        <v>1019.5073584012349</v>
      </c>
      <c r="AP52" s="222">
        <f t="shared" si="15"/>
        <v>980.86262332674596</v>
      </c>
      <c r="AT52" s="42"/>
    </row>
    <row r="53" spans="1:46" ht="15.75">
      <c r="A53" s="93" t="s">
        <v>84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 cm="1">
        <f t="array" ref="P53">INDEX('[3]South Korea Corn Exports'!$DM$290:$OY$290,1,ROW(A11))/1000</f>
        <v>3.1999999999999999E-5</v>
      </c>
      <c r="Q53" s="213" cm="1">
        <f t="array" ref="Q53">INDEX('[3]South Korea Corn Imports'!$DZ$290:$US$290,1,ROW(A11))</f>
        <v>6.0000000000000001E-3</v>
      </c>
      <c r="R53" s="213" cm="1">
        <f t="array" ref="R53">INDEX('[3]South Korea Corn Imports'!$EL$290:$US$290,1,ROW(A11))</f>
        <v>2.7599999999999999E-4</v>
      </c>
      <c r="S53" s="213" cm="1">
        <f t="array" ref="S53">INDEX('[3]South Korea Corn Imports'!$EX$290:$US$290,1,ROW(A11))</f>
        <v>0</v>
      </c>
      <c r="T53" s="213" cm="1">
        <f t="array" ref="T53">INDEX('[3]South Korea Corn Imports'!$FI$290:$US$290,1,ROW(A11))</f>
        <v>0</v>
      </c>
      <c r="U53" s="213" cm="1">
        <f t="array" ref="U53">INDEX('[3]South Korea Corn Imports'!$FV$290:$US$290,1,ROW(A11))</f>
        <v>4.0819999999999997E-3</v>
      </c>
      <c r="V53" s="213" cm="1">
        <f t="array" ref="V53">INDEX('[3]South Korea Corn Imports'!$GH$290:$US$290,1,ROW(A11))</f>
        <v>9.9999999999999995E-7</v>
      </c>
      <c r="W53" s="213" cm="1">
        <f t="array" ref="W53">INDEX('[3]South Korea Corn Imports'!$GT$290:$US$290,1,ROW(A11))</f>
        <v>4.0499999999999998E-4</v>
      </c>
      <c r="X53" s="213" cm="1">
        <f t="array" ref="X53">INDEX('[3]South Korea Corn Imports'!$HF$290:$US$290,1,ROW(A11))</f>
        <v>0</v>
      </c>
      <c r="Y53" s="213" cm="1">
        <f t="array" ref="Y53">INDEX('[3]South Korea Corn Imports'!$HR$290:$US$290,1,ROW(A11))</f>
        <v>1.6983000000000002E-2</v>
      </c>
      <c r="Z53" s="213" cm="1">
        <f t="array" ref="Z53">INDEX('[3]South Korea Corn Imports'!$ID$290:$US$290,1,ROW(A11))</f>
        <v>0.103119</v>
      </c>
      <c r="AA53" s="213" cm="1">
        <f t="array" ref="AA53">INDEX('[3]South Korea Corn Imports'!$IP$290:$US$290,1,ROW(A11))</f>
        <v>0.118634</v>
      </c>
      <c r="AB53" s="213" cm="1">
        <f t="array" ref="AB53">INDEX('[3]South Korea Corn Imports'!$JB$290:$US$290,1,ROW(A11))</f>
        <v>0.14268</v>
      </c>
      <c r="AC53" s="213" cm="1">
        <f t="array" ref="AC53">INDEX('[3]South Korea Corn Imports'!$JN$290:$US$290,1,ROW(A11))</f>
        <v>0.21166499999999999</v>
      </c>
      <c r="AD53" s="213" cm="1">
        <f t="array" ref="AD53">INDEX('[3]South Korea Corn Imports'!$JZ$290:$US$290,1,ROW(A11))</f>
        <v>0.17782500000000001</v>
      </c>
      <c r="AE53" s="213" cm="1">
        <f t="array" ref="AE53">INDEX('[3]South Korea Corn Imports'!$KL$290:$US$290,1,ROW(A11))</f>
        <v>0.209428</v>
      </c>
      <c r="AF53" s="213" cm="1">
        <f t="array" ref="AF53">INDEX('[3]South Korea Corn Imports'!$KX$290:$US$290,1,ROW(A11))</f>
        <v>0.126307</v>
      </c>
      <c r="AG53" s="213" cm="1">
        <f t="array" ref="AG53">INDEX('[3]South Korea Corn Imports'!$LJ$290:$US$290,1,ROW(A11))</f>
        <v>0.29646499999999998</v>
      </c>
      <c r="AH53" s="213" cm="1">
        <f t="array" ref="AH53">INDEX('[3]South Korea Corn Imports'!$LV$290:$US$290,1,ROW(A11))</f>
        <v>0.336034</v>
      </c>
      <c r="AI53" s="213" cm="1">
        <f t="array" ref="AI53">INDEX('[3]South Korea Corn Imports'!$MH$290:$US$290,1,ROW(A11))</f>
        <v>0.77002400000000004</v>
      </c>
      <c r="AJ53" s="213" cm="1">
        <f t="array" ref="AJ53">INDEX('[3]South Korea Corn Imports'!$MT$290:$US$290,1,ROW(A11))</f>
        <v>873.37175999999999</v>
      </c>
      <c r="AK53" s="213" cm="1">
        <f t="array" ref="AK53">INDEX('[3]South Korea Corn Imports'!$NF$290:$US$290,1,ROW(A11))</f>
        <v>780.18380100000002</v>
      </c>
      <c r="AL53" s="213" cm="1">
        <f t="array" ref="AL53">INDEX('[3]South Korea Corn Imports'!$NR$290:$US$290,1,ROW(A11))</f>
        <v>964.90789400000006</v>
      </c>
      <c r="AM53" s="213" cm="1">
        <f t="array" ref="AM53">INDEX('[3]South Korea Corn Imports'!$OD$290:$US$290,1,ROW(A11))</f>
        <v>795.91156599999999</v>
      </c>
      <c r="AN53" s="213" cm="1">
        <f t="array" ref="AN53">INDEX('[3]South Korea Corn Imports'!$OP$290:$US$290,1,ROW(A11))</f>
        <v>977.57856800000002</v>
      </c>
      <c r="AO53" s="222">
        <f t="shared" si="14"/>
        <v>924.10270699366129</v>
      </c>
      <c r="AP53" s="222">
        <f t="shared" si="15"/>
        <v>905.47422376224006</v>
      </c>
      <c r="AT53" s="42"/>
    </row>
    <row r="54" spans="1:46" ht="15.75">
      <c r="A54" s="93" t="s">
        <v>73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 cm="1">
        <f t="array" ref="P54">INDEX('[3]South Korea Corn Exports'!$DM$290:$OY$290,1,ROW(A12))/1000</f>
        <v>2.3E-5</v>
      </c>
      <c r="Q54" s="213" cm="1">
        <f t="array" ref="Q54">INDEX('[3]South Korea Corn Imports'!$DZ$290:$US$290,1,ROW(A12))</f>
        <v>0</v>
      </c>
      <c r="R54" s="213" cm="1">
        <f t="array" ref="R54">INDEX('[3]South Korea Corn Imports'!$EL$290:$US$290,1,ROW(A12))</f>
        <v>0</v>
      </c>
      <c r="S54" s="213" cm="1">
        <f t="array" ref="S54">INDEX('[3]South Korea Corn Imports'!$EX$290:$US$290,1,ROW(A12))</f>
        <v>0</v>
      </c>
      <c r="T54" s="213" cm="1">
        <f t="array" ref="T54">INDEX('[3]South Korea Corn Imports'!$FI$290:$US$290,1,ROW(A12))</f>
        <v>0</v>
      </c>
      <c r="U54" s="213" cm="1">
        <f t="array" ref="U54">INDEX('[3]South Korea Corn Imports'!$FV$290:$US$290,1,ROW(A12))</f>
        <v>0</v>
      </c>
      <c r="V54" s="213" cm="1">
        <f t="array" ref="V54">INDEX('[3]South Korea Corn Imports'!$GH$290:$US$290,1,ROW(A12))</f>
        <v>1.1E-5</v>
      </c>
      <c r="W54" s="213" cm="1">
        <f t="array" ref="W54">INDEX('[3]South Korea Corn Imports'!$GT$290:$US$290,1,ROW(A12))</f>
        <v>2.0000000000000001E-4</v>
      </c>
      <c r="X54" s="213" cm="1">
        <f t="array" ref="X54">INDEX('[3]South Korea Corn Imports'!$HF$290:$US$290,1,ROW(A12))</f>
        <v>1.7000000000000001E-4</v>
      </c>
      <c r="Y54" s="213" cm="1">
        <f t="array" ref="Y54">INDEX('[3]South Korea Corn Imports'!$HR$290:$US$290,1,ROW(A12))</f>
        <v>2.5794999999999998E-2</v>
      </c>
      <c r="Z54" s="213" cm="1">
        <f t="array" ref="Z54">INDEX('[3]South Korea Corn Imports'!$ID$290:$US$290,1,ROW(A12))</f>
        <v>0.28208499999999997</v>
      </c>
      <c r="AA54" s="213" cm="1">
        <f t="array" ref="AA54">INDEX('[3]South Korea Corn Imports'!$IP$290:$US$290,1,ROW(A12))</f>
        <v>0.14325599999999999</v>
      </c>
      <c r="AB54" s="213" cm="1">
        <f t="array" ref="AB54">INDEX('[3]South Korea Corn Imports'!$JB$290:$US$290,1,ROW(A12))</f>
        <v>0.235902</v>
      </c>
      <c r="AC54" s="213" cm="1">
        <f t="array" ref="AC54">INDEX('[3]South Korea Corn Imports'!$JN$290:$US$290,1,ROW(A12))</f>
        <v>0.129916</v>
      </c>
      <c r="AD54" s="213" cm="1">
        <f t="array" ref="AD54">INDEX('[3]South Korea Corn Imports'!$JZ$290:$US$290,1,ROW(A12))</f>
        <v>0.13761999999999999</v>
      </c>
      <c r="AE54" s="213" cm="1">
        <f t="array" ref="AE54">INDEX('[3]South Korea Corn Imports'!$KL$290:$US$290,1,ROW(A12))</f>
        <v>9.1932E-2</v>
      </c>
      <c r="AF54" s="213" cm="1">
        <f t="array" ref="AF54">INDEX('[3]South Korea Corn Imports'!$KX$290:$US$290,1,ROW(A12))</f>
        <v>0.239174</v>
      </c>
      <c r="AG54" s="213" cm="1">
        <f t="array" ref="AG54">INDEX('[3]South Korea Corn Imports'!$LJ$290:$US$290,1,ROW(A12))</f>
        <v>0.89465899999999998</v>
      </c>
      <c r="AH54" s="213" cm="1">
        <f t="array" ref="AH54">INDEX('[3]South Korea Corn Imports'!$LV$290:$US$290,1,ROW(A12))</f>
        <v>0.35432799999999998</v>
      </c>
      <c r="AI54" s="213" cm="1">
        <f t="array" ref="AI54">INDEX('[3]South Korea Corn Imports'!$MH$290:$US$290,1,ROW(A12))</f>
        <v>1.837914</v>
      </c>
      <c r="AJ54" s="213" cm="1">
        <f t="array" ref="AJ54">INDEX('[3]South Korea Corn Imports'!$MT$290:$US$290,1,ROW(A12))</f>
        <v>1006.141565</v>
      </c>
      <c r="AK54" s="213" cm="1">
        <f t="array" ref="AK54">INDEX('[3]South Korea Corn Imports'!$NF$290:$US$290,1,ROW(A12))</f>
        <v>912.51937499999997</v>
      </c>
      <c r="AL54" s="213" cm="1">
        <f t="array" ref="AL54">INDEX('[3]South Korea Corn Imports'!$NR$290:$US$290,1,ROW(A12))</f>
        <v>1035.132707</v>
      </c>
      <c r="AM54" s="213" cm="1">
        <f t="array" ref="AM54">INDEX('[3]South Korea Corn Imports'!$OD$290:$US$290,1,ROW(A12))</f>
        <v>683.67002200000002</v>
      </c>
      <c r="AN54" s="213" cm="1">
        <f t="array" ref="AN54">INDEX('[3]South Korea Corn Imports'!$OP$290:$US$290,1,ROW(A12))</f>
        <v>820.26895400000001</v>
      </c>
      <c r="AO54" s="222">
        <f t="shared" si="14"/>
        <v>937.94315001088114</v>
      </c>
      <c r="AP54" s="222">
        <f>(SUM(AK54:AO54)/SUM(AK$55:AO$55))*AP$55</f>
        <v>894.64152754376948</v>
      </c>
      <c r="AT54" s="42"/>
    </row>
    <row r="55" spans="1:46" ht="16.5" thickBot="1">
      <c r="A55" s="268" t="s">
        <v>85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268">
        <f>SUM(P43:P54)</f>
        <v>1.5499999999999997E-4</v>
      </c>
      <c r="Q55" s="268">
        <f t="shared" ref="Q55:AN55" si="16">SUM(Q43:Q54)</f>
        <v>0.26800000000000002</v>
      </c>
      <c r="R55" s="268">
        <f t="shared" si="16"/>
        <v>4.4915999999999998E-2</v>
      </c>
      <c r="S55" s="268">
        <f t="shared" si="16"/>
        <v>7.2044000000000011E-2</v>
      </c>
      <c r="T55" s="268">
        <f t="shared" si="16"/>
        <v>0</v>
      </c>
      <c r="U55" s="268">
        <f t="shared" si="16"/>
        <v>4.6730000000000001E-3</v>
      </c>
      <c r="V55" s="268">
        <f t="shared" si="16"/>
        <v>4.0419999999999996E-3</v>
      </c>
      <c r="W55" s="268">
        <f t="shared" si="16"/>
        <v>0.30918699999999999</v>
      </c>
      <c r="X55" s="268">
        <f t="shared" si="16"/>
        <v>6.8199999999999997E-3</v>
      </c>
      <c r="Y55" s="268">
        <f t="shared" si="16"/>
        <v>6.1502899999999983</v>
      </c>
      <c r="Z55" s="268">
        <f t="shared" si="16"/>
        <v>1.4356609999999999</v>
      </c>
      <c r="AA55" s="224">
        <f>SUM(AA43:AA54)</f>
        <v>1.5650249999999999</v>
      </c>
      <c r="AB55" s="268">
        <f t="shared" si="16"/>
        <v>1.8221319999999999</v>
      </c>
      <c r="AC55" s="268">
        <f t="shared" si="16"/>
        <v>1.8755629999999999</v>
      </c>
      <c r="AD55" s="268">
        <f t="shared" si="16"/>
        <v>1.8709580000000003</v>
      </c>
      <c r="AE55" s="268">
        <f t="shared" si="16"/>
        <v>1.7489939999999997</v>
      </c>
      <c r="AF55" s="268">
        <f t="shared" si="16"/>
        <v>1.7522999999999997</v>
      </c>
      <c r="AG55" s="268">
        <f t="shared" si="16"/>
        <v>202.62458699999999</v>
      </c>
      <c r="AH55" s="268">
        <f t="shared" si="16"/>
        <v>6.1737619999999991</v>
      </c>
      <c r="AI55" s="268">
        <f t="shared" si="16"/>
        <v>7.6181860000000015</v>
      </c>
      <c r="AJ55" s="268">
        <f t="shared" si="16"/>
        <v>8749.9545099999996</v>
      </c>
      <c r="AK55" s="268">
        <f t="shared" si="16"/>
        <v>11714.448774999999</v>
      </c>
      <c r="AL55" s="268">
        <f t="shared" si="16"/>
        <v>11519.762305</v>
      </c>
      <c r="AM55" s="268">
        <f t="shared" si="16"/>
        <v>11109.679252</v>
      </c>
      <c r="AN55" s="268">
        <f t="shared" si="16"/>
        <v>11561.839954999999</v>
      </c>
      <c r="AO55" s="268">
        <v>11500</v>
      </c>
      <c r="AP55" s="268">
        <v>11700</v>
      </c>
    </row>
    <row r="56" spans="1:46" ht="15.75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CA65-AA98-49A1-8F33-83CB5A01614D}">
  <sheetPr>
    <tabColor theme="5" tint="0.79998168889431442"/>
  </sheetPr>
  <dimension ref="A1:O133"/>
  <sheetViews>
    <sheetView showGridLines="0" topLeftCell="B128" zoomScale="92" zoomScaleNormal="90" workbookViewId="0">
      <selection activeCell="L3" sqref="L3:M11"/>
    </sheetView>
  </sheetViews>
  <sheetFormatPr defaultColWidth="7.42578125" defaultRowHeight="15"/>
  <cols>
    <col min="1" max="1" width="11" style="270" bestFit="1" customWidth="1"/>
    <col min="2" max="2" width="22.42578125" style="270" customWidth="1"/>
    <col min="3" max="3" width="17" style="270" customWidth="1"/>
    <col min="4" max="4" width="14.42578125" style="270" hidden="1" customWidth="1"/>
    <col min="5" max="5" width="14.42578125" style="270" customWidth="1"/>
    <col min="6" max="6" width="14.42578125" style="270" bestFit="1" customWidth="1"/>
    <col min="7" max="7" width="11.7109375" style="270" bestFit="1" customWidth="1"/>
    <col min="8" max="8" width="10.42578125" style="270" customWidth="1"/>
    <col min="9" max="11" width="10.85546875" style="270" bestFit="1" customWidth="1"/>
    <col min="12" max="13" width="10.140625" style="270" bestFit="1" customWidth="1"/>
    <col min="14" max="16384" width="7.42578125" style="270"/>
  </cols>
  <sheetData>
    <row r="1" spans="1:13" ht="15.75" thickBot="1">
      <c r="D1" s="271" t="s">
        <v>291</v>
      </c>
      <c r="E1" s="271" t="s">
        <v>292</v>
      </c>
      <c r="F1" s="271" t="s">
        <v>293</v>
      </c>
      <c r="G1" s="271" t="s">
        <v>294</v>
      </c>
      <c r="H1" s="271" t="s">
        <v>293</v>
      </c>
      <c r="I1" s="271" t="s">
        <v>294</v>
      </c>
      <c r="J1" s="271" t="s">
        <v>293</v>
      </c>
      <c r="K1" s="271" t="s">
        <v>294</v>
      </c>
      <c r="L1" s="271" t="s">
        <v>293</v>
      </c>
      <c r="M1" s="271" t="s">
        <v>294</v>
      </c>
    </row>
    <row r="2" spans="1:13" ht="15.75" thickBot="1">
      <c r="A2" s="271" t="s">
        <v>295</v>
      </c>
      <c r="B2" s="271" t="s">
        <v>296</v>
      </c>
      <c r="C2" s="271" t="s">
        <v>297</v>
      </c>
      <c r="E2" s="271" t="s">
        <v>298</v>
      </c>
      <c r="F2" s="272">
        <v>45778</v>
      </c>
      <c r="G2" s="272">
        <v>45778</v>
      </c>
      <c r="H2" s="272">
        <v>45809</v>
      </c>
      <c r="I2" s="272">
        <v>45809</v>
      </c>
      <c r="J2" s="272">
        <v>45839</v>
      </c>
      <c r="K2" s="272">
        <v>45839</v>
      </c>
      <c r="L2" s="272">
        <v>45870</v>
      </c>
      <c r="M2" s="272">
        <v>45870</v>
      </c>
    </row>
    <row r="3" spans="1:13">
      <c r="A3" s="274" t="s">
        <v>299</v>
      </c>
      <c r="B3" s="274" t="s">
        <v>10</v>
      </c>
      <c r="C3" s="274" t="s">
        <v>24</v>
      </c>
      <c r="D3" s="275">
        <v>6750</v>
      </c>
      <c r="E3" s="275">
        <v>7775</v>
      </c>
      <c r="F3" s="276" cm="1">
        <f t="array" ref="F3">INDEX('Historic WASDE MY 202425'!$D$4:$AA$87,MATCH('Corn World-Major'!B3&amp;'Corn World-Major'!C3,'Historic WASDE MY 202425'!$B$4:$B$86&amp;'Historic WASDE MY 202425'!$C$4:$C$87,0),MATCH('Corn World-Major'!$F$2,'Historic WASDE MY 202425'!$D$3:$AA$3,0))</f>
        <v>6400</v>
      </c>
      <c r="G3" s="276" cm="1">
        <f t="array" ref="G3">INDEX('Historic WASDE MY 202526'!$D$4:$AA$87,MATCH('Corn World-Major'!B3&amp;'Corn World-Major'!C3,'Historic WASDE MY 202526'!$B$4:$B$86&amp;'Historic WASDE MY 202526'!$C$4:$C$87,0),MATCH('Corn World-Major'!$G$2,'Historic WASDE MY 202526'!$D$3:$AA$3,0))</f>
        <v>7500</v>
      </c>
      <c r="H3" s="277"/>
      <c r="I3" s="276" cm="1">
        <f t="array" ref="I3">INDEX('Historic WASDE MY 202526'!$D$4:$AA$87,MATCH('Corn World-Major'!B3&amp;'Corn World-Major'!C3,'Historic WASDE MY 202526'!$B$4:$B$86&amp;'Historic WASDE MY 202526'!$C$4:$C$87,0),MATCH('Corn World-Major'!$K$2,'Historic WASDE MY 202526'!$D$3:$AA$3,0))</f>
        <v>7500</v>
      </c>
      <c r="J3" s="276" cm="1">
        <f t="array" ref="J3">INDEX('Historic WASDE MY 202425'!$D$4:$AA$87,MATCH('Corn World-Major'!B3&amp;'Corn World-Major'!C3,'Historic WASDE MY 202425'!$B$4:$B$86&amp;'Historic WASDE MY 202425'!$C$4:$C$87,0),MATCH('Corn World-Major'!$J$2,'Historic WASDE MY 202425'!$D$3:$AA$3,0))</f>
        <v>6400</v>
      </c>
      <c r="K3" s="276" cm="1">
        <f t="array" ref="K3">INDEX('Historic WASDE MY 202526'!$D$4:$AA$87,MATCH('Corn World-Major'!B3&amp;'Corn World-Major'!C3,'Historic WASDE MY 202526'!$B$4:$B$86&amp;'Historic WASDE MY 202526'!$C$4:$C$87,0),MATCH('Corn World-Major'!$K$2,'Historic WASDE MY 202526'!$D$3:$AA$3,0))</f>
        <v>7500</v>
      </c>
      <c r="L3" s="276">
        <f>'Historic WASDE MY 202425'!P4</f>
        <v>6400</v>
      </c>
      <c r="M3" s="276">
        <f>'Historic WASDE MY 202526'!G4</f>
        <v>7500</v>
      </c>
    </row>
    <row r="4" spans="1:13">
      <c r="A4" s="274" t="s">
        <v>299</v>
      </c>
      <c r="B4" s="274" t="s">
        <v>10</v>
      </c>
      <c r="C4" s="274" t="s">
        <v>27</v>
      </c>
      <c r="D4" s="275">
        <v>22400</v>
      </c>
      <c r="E4" s="275">
        <v>21650</v>
      </c>
      <c r="F4" s="276" cm="1">
        <f t="array" ref="F4">INDEX('Historic WASDE MY 202425'!$D$4:$AA$87,MATCH('Corn World-Major'!B4&amp;'Corn World-Major'!C4,'Historic WASDE MY 202425'!$B$4:$B$86&amp;'Historic WASDE MY 202425'!$C$4:$C$87,0),MATCH('Corn World-Major'!$F$2,'Historic WASDE MY 202425'!$D$3:$AA$3,0))</f>
        <v>22300</v>
      </c>
      <c r="G4" s="276" cm="1">
        <f t="array" ref="G4">INDEX('Historic WASDE MY 202526'!$D$4:$AA$87,MATCH('Corn World-Major'!B4&amp;'Corn World-Major'!C4,'Historic WASDE MY 202526'!$B$4:$B$86&amp;'Historic WASDE MY 202526'!$C$4:$C$87,0),MATCH('Corn World-Major'!$G$2,'Historic WASDE MY 202526'!$D$3:$AA$3,0))</f>
        <v>22600</v>
      </c>
      <c r="H4" s="277"/>
      <c r="I4" s="276" cm="1">
        <f t="array" ref="I4">INDEX('Historic WASDE MY 202526'!$D$4:$AA$87,MATCH('Corn World-Major'!B4&amp;'Corn World-Major'!C4,'Historic WASDE MY 202526'!$B$4:$B$86&amp;'Historic WASDE MY 202526'!$C$4:$C$87,0),MATCH('Corn World-Major'!$I$2,'Historic WASDE MY 202526'!$D$3:$AA$3,0))</f>
        <v>22600</v>
      </c>
      <c r="J4" s="276" cm="1">
        <f t="array" ref="J4">INDEX('Historic WASDE MY 202425'!$D$4:$AA$87,MATCH('Corn World-Major'!B4&amp;'Corn World-Major'!C4,'Historic WASDE MY 202425'!$B$4:$B$86&amp;'Historic WASDE MY 202425'!$C$4:$C$87,0),MATCH('Corn World-Major'!$J$2,'Historic WASDE MY 202425'!$D$3:$AA$3,0))</f>
        <v>22300</v>
      </c>
      <c r="K4" s="276" cm="1">
        <f t="array" ref="K4">INDEX('Historic WASDE MY 202526'!$D$4:$AA$87,MATCH('Corn World-Major'!B4&amp;'Corn World-Major'!C4,'Historic WASDE MY 202526'!$B$4:$B$86&amp;'Historic WASDE MY 202526'!$C$4:$C$87,0),MATCH('Corn World-Major'!$K$2,'Historic WASDE MY 202526'!$D$3:$AA$3,0))</f>
        <v>22600</v>
      </c>
      <c r="L4" s="276">
        <f>'Historic WASDE MY 202425'!P5</f>
        <v>22300</v>
      </c>
      <c r="M4" s="276">
        <f>'Historic WASDE MY 202526'!G5</f>
        <v>22600</v>
      </c>
    </row>
    <row r="5" spans="1:13">
      <c r="A5" s="274" t="s">
        <v>299</v>
      </c>
      <c r="B5" s="274" t="s">
        <v>10</v>
      </c>
      <c r="C5" s="274" t="s">
        <v>29</v>
      </c>
      <c r="D5" s="275">
        <v>1444</v>
      </c>
      <c r="E5" s="275">
        <v>1519</v>
      </c>
      <c r="F5" s="276" cm="1">
        <f t="array" ref="F5">INDEX('Historic WASDE MY 202425'!$D$4:$AA$87,MATCH('Corn World-Major'!B5&amp;'Corn World-Major'!C5,'Historic WASDE MY 202425'!$B$4:$B$86&amp;'Historic WASDE MY 202425'!$C$4:$C$87,0),MATCH('Corn World-Major'!$F$2,'Historic WASDE MY 202425'!$D$3:$AA$3,0))</f>
        <v>1449</v>
      </c>
      <c r="G5" s="276" cm="1">
        <f t="array" ref="G5">INDEX('Historic WASDE MY 202526'!$D$4:$AA$87,MATCH('Corn World-Major'!B5&amp;'Corn World-Major'!C5,'Historic WASDE MY 202526'!$B$4:$B$86&amp;'Historic WASDE MY 202526'!$C$4:$C$87,0),MATCH('Corn World-Major'!$G$2,'Historic WASDE MY 202526'!$D$3:$AA$3,0))</f>
        <v>1460</v>
      </c>
      <c r="H5" s="277"/>
      <c r="I5" s="276" cm="1">
        <f t="array" ref="I5">INDEX('Historic WASDE MY 202526'!$D$4:$AA$87,MATCH('Corn World-Major'!B5&amp;'Corn World-Major'!C5,'Historic WASDE MY 202526'!$B$4:$B$86&amp;'Historic WASDE MY 202526'!$C$4:$C$87,0),MATCH('Corn World-Major'!$I$2,'Historic WASDE MY 202526'!$D$3:$AA$3,0))</f>
        <v>1460</v>
      </c>
      <c r="J5" s="276" cm="1">
        <f t="array" ref="J5">INDEX('Historic WASDE MY 202425'!$D$4:$AA$87,MATCH('Corn World-Major'!B5&amp;'Corn World-Major'!C5,'Historic WASDE MY 202425'!$B$4:$B$86&amp;'Historic WASDE MY 202425'!$C$4:$C$87,0),MATCH('Corn World-Major'!$J$2,'Historic WASDE MY 202425'!$D$3:$AA$3,0))</f>
        <v>1449</v>
      </c>
      <c r="K5" s="276" cm="1">
        <f t="array" ref="K5">INDEX('Historic WASDE MY 202526'!$D$4:$AA$87,MATCH('Corn World-Major'!B5&amp;'Corn World-Major'!C5,'Historic WASDE MY 202526'!$B$4:$B$86&amp;'Historic WASDE MY 202526'!$C$4:$C$87,0),MATCH('Corn World-Major'!$K$2,'Historic WASDE MY 202526'!$D$3:$AA$3,0))</f>
        <v>1480</v>
      </c>
      <c r="L5" s="276">
        <f>'Historic WASDE MY 202425'!P6</f>
        <v>1449</v>
      </c>
      <c r="M5" s="276">
        <f>'Historic WASDE MY 202526'!G6</f>
        <v>1480</v>
      </c>
    </row>
    <row r="6" spans="1:13">
      <c r="A6" s="274" t="s">
        <v>299</v>
      </c>
      <c r="B6" s="274" t="s">
        <v>10</v>
      </c>
      <c r="C6" s="274" t="s">
        <v>32</v>
      </c>
      <c r="D6" s="275">
        <v>43070</v>
      </c>
      <c r="E6" s="275">
        <v>44218</v>
      </c>
      <c r="F6" s="276" cm="1">
        <f t="array" ref="F6">INDEX('Historic WASDE MY 202425'!$D$4:$AA$87,MATCH('Corn World-Major'!B6&amp;'Corn World-Major'!C6,'Historic WASDE MY 202425'!$B$4:$B$86&amp;'Historic WASDE MY 202425'!$C$4:$C$87,0),MATCH('Corn World-Major'!$F$2,'Historic WASDE MY 202425'!$D$3:$AA$3,0))</f>
        <v>44741</v>
      </c>
      <c r="G6" s="276" cm="1">
        <f t="array" ref="G6">INDEX('Historic WASDE MY 202526'!$D$4:$AA$87,MATCH('Corn World-Major'!B6&amp;'Corn World-Major'!C6,'Historic WASDE MY 202526'!$B$4:$B$86&amp;'Historic WASDE MY 202526'!$C$4:$C$87,0),MATCH('Corn World-Major'!$G$2,'Historic WASDE MY 202526'!$D$3:$AA$3,0))</f>
        <v>44300</v>
      </c>
      <c r="H6" s="277"/>
      <c r="I6" s="276" cm="1">
        <f t="array" ref="I6">INDEX('Historic WASDE MY 202526'!$D$4:$AA$87,MATCH('Corn World-Major'!B6&amp;'Corn World-Major'!C6,'Historic WASDE MY 202526'!$B$4:$B$86&amp;'Historic WASDE MY 202526'!$C$4:$C$87,0),MATCH('Corn World-Major'!$I$2,'Historic WASDE MY 202526'!$D$3:$AA$3,0))</f>
        <v>44300</v>
      </c>
      <c r="J6" s="276" cm="1">
        <f t="array" ref="J6">INDEX('Historic WASDE MY 202425'!$D$4:$AA$87,MATCH('Corn World-Major'!B6&amp;'Corn World-Major'!C6,'Historic WASDE MY 202425'!$B$4:$B$86&amp;'Historic WASDE MY 202425'!$C$4:$C$87,0),MATCH('Corn World-Major'!$J$2,'Historic WASDE MY 202425'!$D$3:$AA$3,0))</f>
        <v>55</v>
      </c>
      <c r="K6" s="276" cm="1">
        <f t="array" ref="K6">INDEX('Historic WASDE MY 202526'!$D$4:$AA$87,MATCH('Corn World-Major'!B6&amp;'Corn World-Major'!C6,'Historic WASDE MY 202526'!$B$4:$B$86&amp;'Historic WASDE MY 202526'!$C$4:$C$87,0),MATCH('Corn World-Major'!$K$2,'Historic WASDE MY 202526'!$D$3:$AA$3,0))</f>
        <v>44300</v>
      </c>
      <c r="L6" s="276">
        <f>'Historic WASDE MY 202425'!P7</f>
        <v>44741</v>
      </c>
      <c r="M6" s="276">
        <f>'Historic WASDE MY 202526'!G7</f>
        <v>44300</v>
      </c>
    </row>
    <row r="7" spans="1:13">
      <c r="A7" s="274" t="s">
        <v>299</v>
      </c>
      <c r="B7" s="274" t="s">
        <v>10</v>
      </c>
      <c r="C7" s="274" t="s">
        <v>34</v>
      </c>
      <c r="D7" s="275">
        <v>8799</v>
      </c>
      <c r="E7" s="275">
        <v>8283</v>
      </c>
      <c r="F7" s="276" cm="1">
        <f t="array" ref="F7">INDEX('Historic WASDE MY 202425'!$D$4:$AA$87,MATCH('Corn World-Major'!B7&amp;'Corn World-Major'!C7,'Historic WASDE MY 202425'!$B$4:$B$86&amp;'Historic WASDE MY 202425'!$C$4:$C$87,0),MATCH('Corn World-Major'!$F$2,'Historic WASDE MY 202425'!$D$3:$AA$3,0))</f>
        <v>8704</v>
      </c>
      <c r="G7" s="276" cm="1">
        <f t="array" ref="G7">INDEX('Historic WASDE MY 202526'!$D$4:$AA$87,MATCH('Corn World-Major'!B7&amp;'Corn World-Major'!C7,'Historic WASDE MY 202526'!$B$4:$B$86&amp;'Historic WASDE MY 202526'!$C$4:$C$87,0),MATCH('Corn World-Major'!$G$2,'Historic WASDE MY 202526'!$D$3:$AA$3,0))</f>
        <v>8250</v>
      </c>
      <c r="H7" s="277"/>
      <c r="I7" s="276" cm="1">
        <f t="array" ref="I7">INDEX('Historic WASDE MY 202526'!$D$4:$AA$87,MATCH('Corn World-Major'!B7&amp;'Corn World-Major'!C7,'Historic WASDE MY 202526'!$B$4:$B$86&amp;'Historic WASDE MY 202526'!$C$4:$C$87,0),MATCH('Corn World-Major'!$I$2,'Historic WASDE MY 202526'!$D$3:$AA$3,0))</f>
        <v>8250</v>
      </c>
      <c r="J7" s="276" cm="1">
        <f t="array" ref="J7">INDEX('Historic WASDE MY 202425'!$D$4:$AA$87,MATCH('Corn World-Major'!B7&amp;'Corn World-Major'!C7,'Historic WASDE MY 202425'!$B$4:$B$86&amp;'Historic WASDE MY 202425'!$C$4:$C$87,0),MATCH('Corn World-Major'!$J$2,'Historic WASDE MY 202425'!$D$3:$AA$3,0))</f>
        <v>8704</v>
      </c>
      <c r="K7" s="276" cm="1">
        <f t="array" ref="K7">INDEX('Historic WASDE MY 202526'!$D$4:$AA$87,MATCH('Corn World-Major'!B7&amp;'Corn World-Major'!C7,'Historic WASDE MY 202526'!$B$4:$B$86&amp;'Historic WASDE MY 202526'!$C$4:$C$87,0),MATCH('Corn World-Major'!$K$2,'Historic WASDE MY 202526'!$D$3:$AA$3,0))</f>
        <v>8250</v>
      </c>
      <c r="L7" s="276">
        <f>'Historic WASDE MY 202425'!P8</f>
        <v>8704</v>
      </c>
      <c r="M7" s="276">
        <f>'Historic WASDE MY 202526'!G8</f>
        <v>8050</v>
      </c>
    </row>
    <row r="8" spans="1:13">
      <c r="A8" s="274" t="s">
        <v>299</v>
      </c>
      <c r="B8" s="274" t="s">
        <v>10</v>
      </c>
      <c r="C8" s="274" t="s">
        <v>36</v>
      </c>
      <c r="D8" s="275">
        <v>2640</v>
      </c>
      <c r="E8" s="275">
        <v>2400</v>
      </c>
      <c r="F8" s="276" cm="1">
        <f t="array" ref="F8">INDEX('Historic WASDE MY 202425'!$D$4:$AA$87,MATCH('Corn World-Major'!B8&amp;'Corn World-Major'!C8,'Historic WASDE MY 202425'!$B$4:$B$86&amp;'Historic WASDE MY 202425'!$C$4:$C$87,0),MATCH('Corn World-Major'!$F$2,'Historic WASDE MY 202425'!$D$3:$AA$3,0))</f>
        <v>2700</v>
      </c>
      <c r="G8" s="276" cm="1">
        <f t="array" ref="G8">INDEX('Historic WASDE MY 202526'!$D$4:$AA$87,MATCH('Corn World-Major'!B8&amp;'Corn World-Major'!C8,'Historic WASDE MY 202526'!$B$4:$B$86&amp;'Historic WASDE MY 202526'!$C$4:$C$87,0),MATCH('Corn World-Major'!$G$2,'Historic WASDE MY 202526'!$D$3:$AA$3,0))</f>
        <v>2500</v>
      </c>
      <c r="H8" s="277"/>
      <c r="I8" s="276" cm="1">
        <f t="array" ref="I8">INDEX('Historic WASDE MY 202526'!$D$4:$AA$87,MATCH('Corn World-Major'!B8&amp;'Corn World-Major'!C8,'Historic WASDE MY 202526'!$B$4:$B$86&amp;'Historic WASDE MY 202526'!$C$4:$C$87,0),MATCH('Corn World-Major'!$I$2,'Historic WASDE MY 202526'!$D$3:$AA$3,0))</f>
        <v>2500</v>
      </c>
      <c r="J8" s="276" cm="1">
        <f t="array" ref="J8">INDEX('Historic WASDE MY 202425'!$D$4:$AA$87,MATCH('Corn World-Major'!B8&amp;'Corn World-Major'!C8,'Historic WASDE MY 202425'!$B$4:$B$86&amp;'Historic WASDE MY 202425'!$C$4:$C$87,0),MATCH('Corn World-Major'!$J$2,'Historic WASDE MY 202425'!$D$3:$AA$3,0))</f>
        <v>2700</v>
      </c>
      <c r="K8" s="276" cm="1">
        <f t="array" ref="K8">INDEX('Historic WASDE MY 202526'!$D$4:$AA$87,MATCH('Corn World-Major'!B8&amp;'Corn World-Major'!C8,'Historic WASDE MY 202526'!$B$4:$B$86&amp;'Historic WASDE MY 202526'!$C$4:$C$87,0),MATCH('Corn World-Major'!$K$2,'Historic WASDE MY 202526'!$D$3:$AA$3,0))</f>
        <v>2500</v>
      </c>
      <c r="L8" s="276">
        <f>'Historic WASDE MY 202425'!P9</f>
        <v>2700</v>
      </c>
      <c r="M8" s="276">
        <f>'Historic WASDE MY 202526'!G9</f>
        <v>2500</v>
      </c>
    </row>
    <row r="9" spans="1:13">
      <c r="A9" s="274" t="s">
        <v>299</v>
      </c>
      <c r="B9" s="274" t="s">
        <v>10</v>
      </c>
      <c r="C9" s="274" t="s">
        <v>38</v>
      </c>
      <c r="D9" s="275">
        <v>4050</v>
      </c>
      <c r="E9" s="275">
        <v>4200</v>
      </c>
      <c r="F9" s="276" cm="1">
        <f t="array" ref="F9">INDEX('Historic WASDE MY 202425'!$D$4:$AA$87,MATCH('Corn World-Major'!B9&amp;'Corn World-Major'!C9,'Historic WASDE MY 202425'!$B$4:$B$86&amp;'Historic WASDE MY 202425'!$C$4:$C$87,0),MATCH('Corn World-Major'!$F$2,'Historic WASDE MY 202425'!$D$3:$AA$3,0))</f>
        <v>4100</v>
      </c>
      <c r="G9" s="276" cm="1">
        <f t="array" ref="G9">INDEX('Historic WASDE MY 202526'!$D$4:$AA$87,MATCH('Corn World-Major'!B9&amp;'Corn World-Major'!C9,'Historic WASDE MY 202526'!$B$4:$B$86&amp;'Historic WASDE MY 202526'!$C$4:$C$87,0),MATCH('Corn World-Major'!$G$2,'Historic WASDE MY 202526'!$D$3:$AA$3,0))</f>
        <v>4200</v>
      </c>
      <c r="H9" s="277"/>
      <c r="I9" s="276" cm="1">
        <f t="array" ref="I9">INDEX('Historic WASDE MY 202526'!$D$4:$AA$87,MATCH('Corn World-Major'!B9&amp;'Corn World-Major'!C9,'Historic WASDE MY 202526'!$B$4:$B$86&amp;'Historic WASDE MY 202526'!$C$4:$C$87,0),MATCH('Corn World-Major'!$I$2,'Historic WASDE MY 202526'!$D$3:$AA$3,0))</f>
        <v>4200</v>
      </c>
      <c r="J9" s="276" cm="1">
        <f t="array" ref="J9">INDEX('Historic WASDE MY 202425'!$D$4:$AA$87,MATCH('Corn World-Major'!B9&amp;'Corn World-Major'!C9,'Historic WASDE MY 202425'!$B$4:$B$86&amp;'Historic WASDE MY 202425'!$C$4:$C$87,0),MATCH('Corn World-Major'!$J$2,'Historic WASDE MY 202425'!$D$3:$AA$3,0))</f>
        <v>4100</v>
      </c>
      <c r="K9" s="276" cm="1">
        <f t="array" ref="K9">INDEX('Historic WASDE MY 202526'!$D$4:$AA$87,MATCH('Corn World-Major'!B9&amp;'Corn World-Major'!C9,'Historic WASDE MY 202526'!$B$4:$B$86&amp;'Historic WASDE MY 202526'!$C$4:$C$87,0),MATCH('Corn World-Major'!$K$2,'Historic WASDE MY 202526'!$D$3:$AA$3,0))</f>
        <v>4200</v>
      </c>
      <c r="L9" s="276">
        <f>'Historic WASDE MY 202425'!P10</f>
        <v>4100</v>
      </c>
      <c r="M9" s="276">
        <f>'Historic WASDE MY 202526'!G10</f>
        <v>4400</v>
      </c>
    </row>
    <row r="10" spans="1:13">
      <c r="A10" s="274" t="s">
        <v>299</v>
      </c>
      <c r="B10" s="274" t="s">
        <v>10</v>
      </c>
      <c r="C10" s="274" t="s">
        <v>40</v>
      </c>
      <c r="D10" s="275">
        <v>31851</v>
      </c>
      <c r="E10" s="275">
        <v>35008</v>
      </c>
      <c r="F10" s="276" cm="1">
        <f t="array" ref="F10">INDEX('Historic WASDE MY 202425'!$D$4:$AA$87,MATCH('Corn World-Major'!B10&amp;'Corn World-Major'!C10,'Historic WASDE MY 202425'!$B$4:$B$86&amp;'Historic WASDE MY 202425'!$C$4:$C$87,0),MATCH('Corn World-Major'!$F$2,'Historic WASDE MY 202425'!$D$3:$AA$3,0))</f>
        <v>33547</v>
      </c>
      <c r="G10" s="276" cm="1">
        <f t="array" ref="G10">INDEX('Historic WASDE MY 202526'!$D$4:$AA$87,MATCH('Corn World-Major'!B10&amp;'Corn World-Major'!C10,'Historic WASDE MY 202526'!$B$4:$B$86&amp;'Historic WASDE MY 202526'!$C$4:$C$87,0),MATCH('Corn World-Major'!$G$2,'Historic WASDE MY 202526'!$D$3:$AA$3,0))</f>
        <v>35370</v>
      </c>
      <c r="H10" s="277"/>
      <c r="I10" s="276" cm="1">
        <f t="array" ref="I10">INDEX('Historic WASDE MY 202526'!$D$4:$AA$87,MATCH('Corn World-Major'!B10&amp;'Corn World-Major'!C10,'Historic WASDE MY 202526'!$B$4:$B$86&amp;'Historic WASDE MY 202526'!$C$4:$C$87,0),MATCH('Corn World-Major'!$I$2,'Historic WASDE MY 202526'!$D$3:$AA$3,0))</f>
        <v>35370</v>
      </c>
      <c r="J10" s="276" cm="1">
        <f t="array" ref="J10">INDEX('Historic WASDE MY 202425'!$D$4:$AA$87,MATCH('Corn World-Major'!B10&amp;'Corn World-Major'!C10,'Historic WASDE MY 202425'!$B$4:$B$86&amp;'Historic WASDE MY 202425'!$C$4:$C$87,0),MATCH('Corn World-Major'!$J$2,'Historic WASDE MY 202425'!$D$3:$AA$3,0))</f>
        <v>33547</v>
      </c>
      <c r="K10" s="276" cm="1">
        <f t="array" ref="K10">INDEX('Historic WASDE MY 202526'!$D$4:$AA$87,MATCH('Corn World-Major'!B10&amp;'Corn World-Major'!C10,'Historic WASDE MY 202526'!$B$4:$B$86&amp;'Historic WASDE MY 202526'!$C$4:$C$87,0),MATCH('Corn World-Major'!$K$2,'Historic WASDE MY 202526'!$D$3:$AA$3,0))</f>
        <v>35116</v>
      </c>
      <c r="L10" s="276">
        <f>'Historic WASDE MY 202425'!P11</f>
        <v>33547</v>
      </c>
      <c r="M10" s="276">
        <f>'Historic WASDE MY 202526'!G11</f>
        <v>35892</v>
      </c>
    </row>
    <row r="11" spans="1:13" ht="15.75" thickBot="1">
      <c r="A11" s="274" t="s">
        <v>299</v>
      </c>
      <c r="B11" s="274" t="s">
        <v>10</v>
      </c>
      <c r="C11" s="274" t="s">
        <v>1</v>
      </c>
      <c r="D11" s="275">
        <v>200652</v>
      </c>
      <c r="E11" s="275">
        <v>234161</v>
      </c>
      <c r="F11" s="276" cm="1">
        <f t="array" ref="F11">INDEX('Historic WASDE MY 202425'!$D$4:$AA$87,MATCH('Corn World-Major'!B11&amp;'Corn World-Major'!C11,'Historic WASDE MY 202425'!$B$4:$B$86&amp;'Historic WASDE MY 202425'!$C$4:$C$87,0),MATCH('Corn World-Major'!$F$2,'Historic WASDE MY 202425'!$D$3:$AA$3,0))</f>
        <v>203573</v>
      </c>
      <c r="G11" s="276" cm="1">
        <f t="array" ref="G11">INDEX('Historic WASDE MY 202526'!$D$4:$AA$87,MATCH('Corn World-Major'!B11&amp;'Corn World-Major'!C11,'Historic WASDE MY 202526'!$B$4:$B$86&amp;'Historic WASDE MY 202526'!$C$4:$C$87,0),MATCH('Corn World-Major'!$G$2,'Historic WASDE MY 202526'!$D$3:$AA$3,0))</f>
        <v>208576</v>
      </c>
      <c r="H11" s="277"/>
      <c r="I11" s="276" cm="1">
        <f t="array" ref="I11">INDEX('Historic WASDE MY 202526'!$D$4:$AA$87,MATCH('Corn World-Major'!B11&amp;'Corn World-Major'!C11,'Historic WASDE MY 202526'!$B$4:$B$86&amp;'Historic WASDE MY 202526'!$C$4:$C$87,0),MATCH('Corn World-Major'!$I$2,'Historic WASDE MY 202526'!$D$3:$AA$3,0))</f>
        <v>208576</v>
      </c>
      <c r="J11" s="276" cm="1">
        <f t="array" ref="J11">INDEX('Historic WASDE MY 202425'!$D$4:$AA$87,MATCH('Corn World-Major'!B11&amp;'Corn World-Major'!C11,'Historic WASDE MY 202425'!$B$4:$B$86&amp;'Historic WASDE MY 202425'!$C$4:$C$87,0),MATCH('Corn World-Major'!$J$2,'Historic WASDE MY 202425'!$D$3:$AA$3,0))</f>
        <v>203628</v>
      </c>
      <c r="K11" s="276" cm="1">
        <f t="array" ref="K11">INDEX('Historic WASDE MY 202526'!$D$4:$AA$87,MATCH('Corn World-Major'!B11&amp;'Corn World-Major'!C11,'Historic WASDE MY 202526'!$B$4:$B$86&amp;'Historic WASDE MY 202526'!$C$4:$C$87,0),MATCH('Corn World-Major'!$K$2,'Historic WASDE MY 202526'!$D$3:$AA$3,0))</f>
        <v>208442</v>
      </c>
      <c r="L11" s="276">
        <f>'Historic WASDE MY 202425'!P12</f>
        <v>203653</v>
      </c>
      <c r="M11" s="276">
        <f>'Historic WASDE MY 202526'!G12</f>
        <v>209228</v>
      </c>
    </row>
    <row r="12" spans="1:13" ht="15.75" thickBot="1">
      <c r="A12" s="274" t="s">
        <v>299</v>
      </c>
      <c r="B12" s="274" t="s">
        <v>10</v>
      </c>
      <c r="C12" s="278" t="s">
        <v>300</v>
      </c>
      <c r="D12" s="279">
        <f t="shared" ref="D12:M12" si="0">D11-SUM(D3:D10)</f>
        <v>79648</v>
      </c>
      <c r="E12" s="279">
        <f t="shared" si="0"/>
        <v>109108</v>
      </c>
      <c r="F12" s="279">
        <f t="shared" si="0"/>
        <v>79632</v>
      </c>
      <c r="G12" s="279">
        <f t="shared" si="0"/>
        <v>82396</v>
      </c>
      <c r="H12" s="279">
        <f t="shared" si="0"/>
        <v>0</v>
      </c>
      <c r="I12" s="279">
        <f t="shared" si="0"/>
        <v>82396</v>
      </c>
      <c r="J12" s="279">
        <f t="shared" si="0"/>
        <v>124373</v>
      </c>
      <c r="K12" s="279">
        <f t="shared" si="0"/>
        <v>82496</v>
      </c>
      <c r="L12" s="279">
        <f t="shared" si="0"/>
        <v>79712</v>
      </c>
      <c r="M12" s="279">
        <f t="shared" si="0"/>
        <v>82506</v>
      </c>
    </row>
    <row r="13" spans="1:13">
      <c r="A13" s="274"/>
      <c r="B13" s="280"/>
      <c r="C13" s="274"/>
      <c r="D13" s="275"/>
      <c r="E13" s="275"/>
      <c r="F13" s="275"/>
      <c r="G13" s="275"/>
      <c r="H13" s="275"/>
      <c r="I13" s="275"/>
      <c r="J13" s="275"/>
      <c r="K13" s="275"/>
    </row>
    <row r="14" spans="1:13">
      <c r="A14" s="274" t="s">
        <v>299</v>
      </c>
      <c r="B14" s="274" t="s">
        <v>12</v>
      </c>
      <c r="C14" s="274" t="s">
        <v>24</v>
      </c>
      <c r="D14" s="275">
        <v>4748</v>
      </c>
      <c r="E14" s="275">
        <v>2324</v>
      </c>
      <c r="F14" s="276" cm="1">
        <f t="array" ref="F14">INDEX('Historic WASDE MY 202425'!$D$4:$AA$87,MATCH('Corn World-Major'!B14&amp;'Corn World-Major'!C14,'Historic WASDE MY 202425'!$B$4:$B$86&amp;'Historic WASDE MY 202425'!$C$4:$C$87,0),MATCH('Corn World-Major'!$F$2,'Historic WASDE MY 202425'!$D$3:$AA$3,0))</f>
        <v>2478</v>
      </c>
      <c r="G14" s="276" cm="1">
        <f t="array" ref="G14">INDEX('Historic WASDE MY 202526'!$D$4:$AA$87,MATCH('Corn World-Major'!B14&amp;'Corn World-Major'!C14,'Historic WASDE MY 202526'!$B$4:$B$86&amp;'Historic WASDE MY 202526'!$C$4:$C$87,0),MATCH('Corn World-Major'!$G$2,'Historic WASDE MY 202526'!$D$3:$AA$3,0))</f>
        <v>2383</v>
      </c>
      <c r="H14" s="276"/>
      <c r="I14" s="276" cm="1">
        <f t="array" ref="I14">INDEX('Historic WASDE MY 202526'!$D$4:$AA$87,MATCH('Corn World-Major'!B14&amp;'Corn World-Major'!C14,'Historic WASDE MY 202526'!$B$4:$B$86&amp;'Historic WASDE MY 202526'!$C$4:$C$87,0),MATCH('Corn World-Major'!$I$2,'Historic WASDE MY 202526'!$D$3:$AA$3,0))</f>
        <v>2783</v>
      </c>
      <c r="J14" s="276" cm="1">
        <f t="array" ref="J14">INDEX('Historic WASDE MY 202425'!$D$4:$AA$87,MATCH('Corn World-Major'!B14&amp;'Corn World-Major'!C14,'Historic WASDE MY 202425'!$B$4:$B$86&amp;'Historic WASDE MY 202425'!$C$4:$C$87,0),MATCH('Corn World-Major'!$J$2,'Historic WASDE MY 202425'!$D$3:$AA$3,0))</f>
        <v>2478</v>
      </c>
      <c r="K14" s="276" cm="1">
        <f t="array" ref="K14">INDEX('Historic WASDE MY 202526'!$D$4:$AA$87,MATCH('Corn World-Major'!B14&amp;'Corn World-Major'!C14,'Historic WASDE MY 202526'!$B$4:$B$86&amp;'Historic WASDE MY 202526'!$C$4:$C$87,0),MATCH('Corn World-Major'!$K$2,'Historic WASDE MY 202526'!$D$3:$AA$3,0))</f>
        <v>2783</v>
      </c>
      <c r="L14" s="276">
        <f>'Historic WASDE MY 202425'!P13</f>
        <v>2478</v>
      </c>
      <c r="M14" s="276">
        <f>'Historic WASDE MY 202526'!G13</f>
        <v>2783</v>
      </c>
    </row>
    <row r="15" spans="1:13">
      <c r="A15" s="274" t="s">
        <v>299</v>
      </c>
      <c r="B15" s="274" t="s">
        <v>12</v>
      </c>
      <c r="C15" s="274" t="s">
        <v>27</v>
      </c>
      <c r="D15" s="274">
        <v>3971</v>
      </c>
      <c r="E15" s="274">
        <v>10041</v>
      </c>
      <c r="F15" s="276" cm="1">
        <f t="array" ref="F15">INDEX('Historic WASDE MY 202425'!$D$4:$AA$87,MATCH('Corn World-Major'!B15&amp;'Corn World-Major'!C15,'Historic WASDE MY 202425'!$B$4:$B$86&amp;'Historic WASDE MY 202425'!$C$4:$C$87,0),MATCH('Corn World-Major'!$F$2,'Historic WASDE MY 202425'!$D$3:$AA$3,0))</f>
        <v>8482</v>
      </c>
      <c r="G15" s="276" cm="1">
        <f t="array" ref="G15">INDEX('Historic WASDE MY 202526'!$D$4:$AA$87,MATCH('Corn World-Major'!B15&amp;'Corn World-Major'!C15,'Historic WASDE MY 202526'!$B$4:$B$86&amp;'Historic WASDE MY 202526'!$C$4:$C$87,0),MATCH('Corn World-Major'!$G$2,'Historic WASDE MY 202526'!$D$3:$AA$3,0))</f>
        <v>5982</v>
      </c>
      <c r="H15" s="276"/>
      <c r="I15" s="276" cm="1">
        <f t="array" ref="I15">INDEX('Historic WASDE MY 202526'!$D$4:$AA$87,MATCH('Corn World-Major'!B15&amp;'Corn World-Major'!C15,'Historic WASDE MY 202526'!$B$4:$B$86&amp;'Historic WASDE MY 202526'!$C$4:$C$87,0),MATCH('Corn World-Major'!$I$2,'Historic WASDE MY 202526'!$D$3:$AA$3,0))</f>
        <v>5988</v>
      </c>
      <c r="J15" s="276" cm="1">
        <f t="array" ref="J15">INDEX('Historic WASDE MY 202425'!$D$4:$AA$87,MATCH('Corn World-Major'!B15&amp;'Corn World-Major'!C15,'Historic WASDE MY 202425'!$B$4:$B$86&amp;'Historic WASDE MY 202425'!$C$4:$C$87,0),MATCH('Corn World-Major'!$J$2,'Historic WASDE MY 202425'!$D$3:$AA$3,0))</f>
        <v>8488</v>
      </c>
      <c r="K15" s="276" cm="1">
        <f t="array" ref="K15">INDEX('Historic WASDE MY 202526'!$D$4:$AA$87,MATCH('Corn World-Major'!B15&amp;'Corn World-Major'!C15,'Historic WASDE MY 202526'!$B$4:$B$86&amp;'Historic WASDE MY 202526'!$C$4:$C$87,0),MATCH('Corn World-Major'!$K$2,'Historic WASDE MY 202526'!$D$3:$AA$3,0))</f>
        <v>7988</v>
      </c>
      <c r="L15" s="276">
        <f>'Historic WASDE MY 202425'!P14</f>
        <v>8488</v>
      </c>
      <c r="M15" s="276">
        <f>'Historic WASDE MY 202526'!G14</f>
        <v>7988</v>
      </c>
    </row>
    <row r="16" spans="1:13">
      <c r="A16" s="274" t="s">
        <v>299</v>
      </c>
      <c r="B16" s="274" t="s">
        <v>12</v>
      </c>
      <c r="C16" s="274" t="s">
        <v>29</v>
      </c>
      <c r="D16" s="275">
        <v>2746</v>
      </c>
      <c r="E16" s="275">
        <v>1628</v>
      </c>
      <c r="F16" s="276" cm="1">
        <f t="array" ref="F16">INDEX('Historic WASDE MY 202425'!$D$4:$AA$87,MATCH('Corn World-Major'!B16&amp;'Corn World-Major'!C16,'Historic WASDE MY 202425'!$B$4:$B$86&amp;'Historic WASDE MY 202425'!$C$4:$C$87,0),MATCH('Corn World-Major'!$F$2,'Historic WASDE MY 202425'!$D$3:$AA$3,0))</f>
        <v>1996</v>
      </c>
      <c r="G16" s="276" cm="1">
        <f t="array" ref="G16">INDEX('Historic WASDE MY 202526'!$D$4:$AA$87,MATCH('Corn World-Major'!B16&amp;'Corn World-Major'!C16,'Historic WASDE MY 202526'!$B$4:$B$86&amp;'Historic WASDE MY 202526'!$C$4:$C$87,0),MATCH('Corn World-Major'!$G$2,'Historic WASDE MY 202526'!$D$3:$AA$3,0))</f>
        <v>1941</v>
      </c>
      <c r="H16" s="276"/>
      <c r="I16" s="276" cm="1">
        <f t="array" ref="I16">INDEX('Historic WASDE MY 202526'!$D$4:$AA$87,MATCH('Corn World-Major'!B16&amp;'Corn World-Major'!C16,'Historic WASDE MY 202526'!$B$4:$B$86&amp;'Historic WASDE MY 202526'!$C$4:$C$87,0),MATCH('Corn World-Major'!$I$2,'Historic WASDE MY 202526'!$D$3:$AA$3,0))</f>
        <v>1641</v>
      </c>
      <c r="J16" s="276" cm="1">
        <f t="array" ref="J16">INDEX('Historic WASDE MY 202425'!$D$4:$AA$87,MATCH('Corn World-Major'!B16&amp;'Corn World-Major'!C16,'Historic WASDE MY 202425'!$B$4:$B$86&amp;'Historic WASDE MY 202425'!$C$4:$C$87,0),MATCH('Corn World-Major'!$J$2,'Historic WASDE MY 202425'!$D$3:$AA$3,0))</f>
        <v>1996</v>
      </c>
      <c r="K16" s="276" cm="1">
        <f t="array" ref="K16">INDEX('Historic WASDE MY 202526'!$D$4:$AA$87,MATCH('Corn World-Major'!B16&amp;'Corn World-Major'!C16,'Historic WASDE MY 202526'!$B$4:$B$86&amp;'Historic WASDE MY 202526'!$C$4:$C$87,0),MATCH('Corn World-Major'!$K$2,'Historic WASDE MY 202526'!$D$3:$AA$3,0))</f>
        <v>1591</v>
      </c>
      <c r="L16" s="276">
        <f>'Historic WASDE MY 202425'!P15</f>
        <v>1996</v>
      </c>
      <c r="M16" s="276">
        <f>'Historic WASDE MY 202526'!G15</f>
        <v>1591</v>
      </c>
    </row>
    <row r="17" spans="1:15">
      <c r="A17" s="274" t="s">
        <v>299</v>
      </c>
      <c r="B17" s="274" t="s">
        <v>12</v>
      </c>
      <c r="C17" s="274" t="s">
        <v>32</v>
      </c>
      <c r="D17" s="274">
        <v>209137</v>
      </c>
      <c r="E17" s="274">
        <v>206040</v>
      </c>
      <c r="F17" s="276" cm="1">
        <f t="array" ref="F17">INDEX('Historic WASDE MY 202425'!$D$4:$AA$87,MATCH('Corn World-Major'!B17&amp;'Corn World-Major'!C17,'Historic WASDE MY 202425'!$B$4:$B$86&amp;'Historic WASDE MY 202425'!$C$4:$C$87,0),MATCH('Corn World-Major'!$F$2,'Historic WASDE MY 202425'!$D$3:$AA$3,0))</f>
        <v>211286</v>
      </c>
      <c r="G17" s="276" cm="1">
        <f t="array" ref="G17">INDEX('Historic WASDE MY 202526'!$D$4:$AA$87,MATCH('Corn World-Major'!B17&amp;'Corn World-Major'!C17,'Historic WASDE MY 202526'!$B$4:$B$86&amp;'Historic WASDE MY 202526'!$C$4:$C$87,0),MATCH('Corn World-Major'!$G$2,'Historic WASDE MY 202526'!$D$3:$AA$3,0))</f>
        <v>198183</v>
      </c>
      <c r="H17" s="276"/>
      <c r="I17" s="276" cm="1">
        <f t="array" ref="I17">INDEX('Historic WASDE MY 202526'!$D$4:$AA$87,MATCH('Corn World-Major'!B17&amp;'Corn World-Major'!C17,'Historic WASDE MY 202526'!$B$4:$B$86&amp;'Historic WASDE MY 202526'!$C$4:$C$87,0),MATCH('Corn World-Major'!$I$2,'Historic WASDE MY 202526'!$D$3:$AA$3,0))</f>
        <v>197183</v>
      </c>
      <c r="J17" s="276" cm="1">
        <f t="array" ref="J17">INDEX('Historic WASDE MY 202425'!$D$4:$AA$87,MATCH('Corn World-Major'!B17&amp;'Corn World-Major'!C17,'Historic WASDE MY 202425'!$B$4:$B$86&amp;'Historic WASDE MY 202425'!$C$4:$C$87,0),MATCH('Corn World-Major'!$J$2,'Historic WASDE MY 202425'!$D$3:$AA$3,0))</f>
        <v>179</v>
      </c>
      <c r="K17" s="276" cm="1">
        <f t="array" ref="K17">INDEX('Historic WASDE MY 202526'!$D$4:$AA$87,MATCH('Corn World-Major'!B17&amp;'Corn World-Major'!C17,'Historic WASDE MY 202526'!$B$4:$B$86&amp;'Historic WASDE MY 202526'!$C$4:$C$87,0),MATCH('Corn World-Major'!$K$2,'Historic WASDE MY 202526'!$D$3:$AA$3,0))</f>
        <v>195183</v>
      </c>
      <c r="L17" s="276">
        <f>'Historic WASDE MY 202425'!P16</f>
        <v>211286</v>
      </c>
      <c r="M17" s="276">
        <f>'Historic WASDE MY 202526'!G16</f>
        <v>194183</v>
      </c>
    </row>
    <row r="18" spans="1:15">
      <c r="A18" s="274" t="s">
        <v>299</v>
      </c>
      <c r="B18" s="274" t="s">
        <v>12</v>
      </c>
      <c r="C18" s="274" t="s">
        <v>34</v>
      </c>
      <c r="D18" s="274">
        <v>11508</v>
      </c>
      <c r="E18" s="274">
        <v>8024</v>
      </c>
      <c r="F18" s="276" cm="1">
        <f t="array" ref="F18">INDEX('Historic WASDE MY 202425'!$D$4:$AA$87,MATCH('Corn World-Major'!B18&amp;'Corn World-Major'!C18,'Historic WASDE MY 202425'!$B$4:$B$86&amp;'Historic WASDE MY 202425'!$C$4:$C$87,0),MATCH('Corn World-Major'!$F$2,'Historic WASDE MY 202425'!$D$3:$AA$3,0))</f>
        <v>7314</v>
      </c>
      <c r="G18" s="276" cm="1">
        <f t="array" ref="G18">INDEX('Historic WASDE MY 202526'!$D$4:$AA$87,MATCH('Corn World-Major'!B18&amp;'Corn World-Major'!C18,'Historic WASDE MY 202526'!$B$4:$B$86&amp;'Historic WASDE MY 202526'!$C$4:$C$87,0),MATCH('Corn World-Major'!$G$2,'Historic WASDE MY 202526'!$D$3:$AA$3,0))</f>
        <v>6326</v>
      </c>
      <c r="H18" s="276"/>
      <c r="I18" s="276" cm="1">
        <f t="array" ref="I18">INDEX('Historic WASDE MY 202526'!$D$4:$AA$87,MATCH('Corn World-Major'!B18&amp;'Corn World-Major'!C18,'Historic WASDE MY 202526'!$B$4:$B$86&amp;'Historic WASDE MY 202526'!$C$4:$C$87,0),MATCH('Corn World-Major'!$I$2,'Historic WASDE MY 202526'!$D$3:$AA$3,0))</f>
        <v>6326</v>
      </c>
      <c r="J18" s="276" cm="1">
        <f t="array" ref="J18">INDEX('Historic WASDE MY 202425'!$D$4:$AA$87,MATCH('Corn World-Major'!B18&amp;'Corn World-Major'!C18,'Historic WASDE MY 202425'!$B$4:$B$86&amp;'Historic WASDE MY 202425'!$C$4:$C$87,0),MATCH('Corn World-Major'!$J$2,'Historic WASDE MY 202425'!$D$3:$AA$3,0))</f>
        <v>7314</v>
      </c>
      <c r="K18" s="276" cm="1">
        <f t="array" ref="K18">INDEX('Historic WASDE MY 202526'!$D$4:$AA$87,MATCH('Corn World-Major'!B18&amp;'Corn World-Major'!C18,'Historic WASDE MY 202526'!$B$4:$B$86&amp;'Historic WASDE MY 202526'!$C$4:$C$87,0),MATCH('Corn World-Major'!$K$2,'Historic WASDE MY 202526'!$D$3:$AA$3,0))</f>
        <v>6326</v>
      </c>
      <c r="L18" s="276">
        <f>'Historic WASDE MY 202425'!P17</f>
        <v>7314</v>
      </c>
      <c r="M18" s="276">
        <f>'Historic WASDE MY 202526'!G17</f>
        <v>6226</v>
      </c>
    </row>
    <row r="19" spans="1:15">
      <c r="A19" s="274" t="s">
        <v>299</v>
      </c>
      <c r="B19" s="274" t="s">
        <v>12</v>
      </c>
      <c r="C19" s="274" t="s">
        <v>36</v>
      </c>
      <c r="D19" s="274">
        <v>926</v>
      </c>
      <c r="E19" s="274">
        <v>908</v>
      </c>
      <c r="F19" s="276" cm="1">
        <f t="array" ref="F19">INDEX('Historic WASDE MY 202425'!$D$4:$AA$87,MATCH('Corn World-Major'!B19&amp;'Corn World-Major'!C19,'Historic WASDE MY 202425'!$B$4:$B$86&amp;'Historic WASDE MY 202425'!$C$4:$C$87,0),MATCH('Corn World-Major'!$F$2,'Historic WASDE MY 202425'!$D$3:$AA$3,0))</f>
        <v>758</v>
      </c>
      <c r="G19" s="276" cm="1">
        <f t="array" ref="G19">INDEX('Historic WASDE MY 202526'!$D$4:$AA$87,MATCH('Corn World-Major'!B19&amp;'Corn World-Major'!C19,'Historic WASDE MY 202526'!$B$4:$B$86&amp;'Historic WASDE MY 202526'!$C$4:$C$87,0),MATCH('Corn World-Major'!$G$2,'Historic WASDE MY 202526'!$D$3:$AA$3,0))</f>
        <v>908</v>
      </c>
      <c r="H19" s="276"/>
      <c r="I19" s="276" cm="1">
        <f t="array" ref="I19">INDEX('Historic WASDE MY 202526'!$D$4:$AA$87,MATCH('Corn World-Major'!B19&amp;'Corn World-Major'!C19,'Historic WASDE MY 202526'!$B$4:$B$86&amp;'Historic WASDE MY 202526'!$C$4:$C$87,0),MATCH('Corn World-Major'!$I$2,'Historic WASDE MY 202526'!$D$3:$AA$3,0))</f>
        <v>908</v>
      </c>
      <c r="J19" s="276" cm="1">
        <f t="array" ref="J19">INDEX('Historic WASDE MY 202425'!$D$4:$AA$87,MATCH('Corn World-Major'!B19&amp;'Corn World-Major'!C19,'Historic WASDE MY 202425'!$B$4:$B$86&amp;'Historic WASDE MY 202425'!$C$4:$C$87,0),MATCH('Corn World-Major'!$J$2,'Historic WASDE MY 202425'!$D$3:$AA$3,0))</f>
        <v>758</v>
      </c>
      <c r="K19" s="276" cm="1">
        <f t="array" ref="K19">INDEX('Historic WASDE MY 202526'!$D$4:$AA$87,MATCH('Corn World-Major'!B19&amp;'Corn World-Major'!C19,'Historic WASDE MY 202526'!$B$4:$B$86&amp;'Historic WASDE MY 202526'!$C$4:$C$87,0),MATCH('Corn World-Major'!$K$2,'Historic WASDE MY 202526'!$D$3:$AA$3,0))</f>
        <v>908</v>
      </c>
      <c r="L19" s="276">
        <f>'Historic WASDE MY 202425'!P18</f>
        <v>758</v>
      </c>
      <c r="M19" s="276">
        <f>'Historic WASDE MY 202526'!G18</f>
        <v>908</v>
      </c>
    </row>
    <row r="20" spans="1:15">
      <c r="A20" s="274" t="s">
        <v>299</v>
      </c>
      <c r="B20" s="274" t="s">
        <v>12</v>
      </c>
      <c r="C20" s="274" t="s">
        <v>38</v>
      </c>
      <c r="D20" s="275">
        <v>7796</v>
      </c>
      <c r="E20" s="275">
        <v>2995</v>
      </c>
      <c r="F20" s="276" cm="1">
        <f t="array" ref="F20">INDEX('Historic WASDE MY 202425'!$D$4:$AA$87,MATCH('Corn World-Major'!B20&amp;'Corn World-Major'!C20,'Historic WASDE MY 202425'!$B$4:$B$86&amp;'Historic WASDE MY 202425'!$C$4:$C$87,0),MATCH('Corn World-Major'!$F$2,'Historic WASDE MY 202425'!$D$3:$AA$3,0))</f>
        <v>642</v>
      </c>
      <c r="G20" s="276" cm="1">
        <f t="array" ref="G20">INDEX('Historic WASDE MY 202526'!$D$4:$AA$87,MATCH('Corn World-Major'!B20&amp;'Corn World-Major'!C20,'Historic WASDE MY 202526'!$B$4:$B$86&amp;'Historic WASDE MY 202526'!$C$4:$C$87,0),MATCH('Corn World-Major'!$G$2,'Historic WASDE MY 202526'!$D$3:$AA$3,0))</f>
        <v>312</v>
      </c>
      <c r="H20" s="276"/>
      <c r="I20" s="276" cm="1">
        <f t="array" ref="I20">INDEX('Historic WASDE MY 202526'!$D$4:$AA$87,MATCH('Corn World-Major'!B20&amp;'Corn World-Major'!C20,'Historic WASDE MY 202526'!$B$4:$B$86&amp;'Historic WASDE MY 202526'!$C$4:$C$87,0),MATCH('Corn World-Major'!$I$2,'Historic WASDE MY 202526'!$D$3:$AA$3,0))</f>
        <v>312</v>
      </c>
      <c r="J20" s="276" cm="1">
        <f t="array" ref="J20">INDEX('Historic WASDE MY 202425'!$D$4:$AA$87,MATCH('Corn World-Major'!B20&amp;'Corn World-Major'!C20,'Historic WASDE MY 202425'!$B$4:$B$86&amp;'Historic WASDE MY 202425'!$C$4:$C$87,0),MATCH('Corn World-Major'!$J$2,'Historic WASDE MY 202425'!$D$3:$AA$3,0))</f>
        <v>642</v>
      </c>
      <c r="K20" s="276" cm="1">
        <f t="array" ref="K20">INDEX('Historic WASDE MY 202526'!$D$4:$AA$87,MATCH('Corn World-Major'!B20&amp;'Corn World-Major'!C20,'Historic WASDE MY 202526'!$B$4:$B$86&amp;'Historic WASDE MY 202526'!$C$4:$C$87,0),MATCH('Corn World-Major'!$K$2,'Historic WASDE MY 202526'!$D$3:$AA$3,0))</f>
        <v>312</v>
      </c>
      <c r="L20" s="276">
        <f>'Historic WASDE MY 202425'!P19</f>
        <v>642</v>
      </c>
      <c r="M20" s="276">
        <f>'Historic WASDE MY 202526'!G19</f>
        <v>762</v>
      </c>
    </row>
    <row r="21" spans="1:15">
      <c r="A21" s="274" t="s">
        <v>299</v>
      </c>
      <c r="B21" s="274" t="s">
        <v>12</v>
      </c>
      <c r="C21" s="274" t="s">
        <v>40</v>
      </c>
      <c r="D21" s="275">
        <v>34975</v>
      </c>
      <c r="E21" s="275">
        <v>34551</v>
      </c>
      <c r="F21" s="276" cm="1">
        <f t="array" ref="F21">INDEX('Historic WASDE MY 202425'!$D$4:$AA$87,MATCH('Corn World-Major'!B21&amp;'Corn World-Major'!C21,'Historic WASDE MY 202425'!$B$4:$B$86&amp;'Historic WASDE MY 202425'!$C$4:$C$87,0),MATCH('Corn World-Major'!$F$2,'Historic WASDE MY 202425'!$D$3:$AA$3,0))</f>
        <v>44792</v>
      </c>
      <c r="G21" s="276" cm="1">
        <f t="array" ref="G21">INDEX('Historic WASDE MY 202526'!$D$4:$AA$87,MATCH('Corn World-Major'!B21&amp;'Corn World-Major'!C21,'Historic WASDE MY 202526'!$B$4:$B$86&amp;'Historic WASDE MY 202526'!$C$4:$C$87,0),MATCH('Corn World-Major'!$G$2,'Historic WASDE MY 202526'!$D$3:$AA$3,0))</f>
        <v>35946</v>
      </c>
      <c r="H21" s="276"/>
      <c r="I21" s="276" cm="1">
        <f t="array" ref="I21">INDEX('Historic WASDE MY 202526'!$D$4:$AA$87,MATCH('Corn World-Major'!B21&amp;'Corn World-Major'!C21,'Historic WASDE MY 202526'!$B$4:$B$86&amp;'Historic WASDE MY 202526'!$C$4:$C$87,0),MATCH('Corn World-Major'!$I$2,'Historic WASDE MY 202526'!$D$3:$AA$3,0))</f>
        <v>34676</v>
      </c>
      <c r="J21" s="276" cm="1">
        <f t="array" ref="J21">INDEX('Historic WASDE MY 202425'!$D$4:$AA$87,MATCH('Corn World-Major'!B21&amp;'Corn World-Major'!C21,'Historic WASDE MY 202425'!$B$4:$B$86&amp;'Historic WASDE MY 202425'!$C$4:$C$87,0),MATCH('Corn World-Major'!$J$2,'Historic WASDE MY 202425'!$D$3:$AA$3,0))</f>
        <v>44792</v>
      </c>
      <c r="K21" s="276" cm="1">
        <f t="array" ref="K21">INDEX('Historic WASDE MY 202526'!$D$4:$AA$87,MATCH('Corn World-Major'!B21&amp;'Corn World-Major'!C21,'Historic WASDE MY 202526'!$B$4:$B$86&amp;'Historic WASDE MY 202526'!$C$4:$C$87,0),MATCH('Corn World-Major'!$K$2,'Historic WASDE MY 202526'!$D$3:$AA$3,0))</f>
        <v>34041</v>
      </c>
      <c r="L21" s="276">
        <f>'Historic WASDE MY 202425'!P20</f>
        <v>44792</v>
      </c>
      <c r="M21" s="276">
        <f>'Historic WASDE MY 202526'!G20</f>
        <v>33152</v>
      </c>
    </row>
    <row r="22" spans="1:15" ht="15.75" thickBot="1">
      <c r="A22" s="274" t="s">
        <v>299</v>
      </c>
      <c r="B22" s="274" t="s">
        <v>12</v>
      </c>
      <c r="C22" s="274" t="s">
        <v>1</v>
      </c>
      <c r="D22" s="275">
        <v>313738</v>
      </c>
      <c r="E22" s="275">
        <v>313606</v>
      </c>
      <c r="F22" s="276" cm="1">
        <f t="array" ref="F22">INDEX('Historic WASDE MY 202425'!$D$4:$AA$87,MATCH('Corn World-Major'!B22&amp;'Corn World-Major'!C22,'Historic WASDE MY 202425'!$B$4:$B$86&amp;'Historic WASDE MY 202425'!$C$4:$C$87,0),MATCH('Corn World-Major'!$F$2,'Historic WASDE MY 202425'!$D$3:$AA$3,0))</f>
        <v>316065</v>
      </c>
      <c r="G22" s="276" cm="1">
        <f t="array" ref="G22">INDEX('Historic WASDE MY 202526'!$D$4:$AA$87,MATCH('Corn World-Major'!B22&amp;'Corn World-Major'!C22,'Historic WASDE MY 202526'!$B$4:$B$86&amp;'Historic WASDE MY 202526'!$C$4:$C$87,0),MATCH('Corn World-Major'!$G$2,'Historic WASDE MY 202526'!$D$3:$AA$3,0))</f>
        <v>287286</v>
      </c>
      <c r="H22" s="276"/>
      <c r="I22" s="276" cm="1">
        <f t="array" ref="I22">INDEX('Historic WASDE MY 202526'!$D$4:$AA$87,MATCH('Corn World-Major'!B22&amp;'Corn World-Major'!C22,'Historic WASDE MY 202526'!$B$4:$B$86&amp;'Historic WASDE MY 202526'!$C$4:$C$87,0),MATCH('Corn World-Major'!$I$2,'Historic WASDE MY 202526'!$D$3:$AA$3,0))</f>
        <v>285040</v>
      </c>
      <c r="J22" s="276" cm="1">
        <f t="array" ref="J22">INDEX('Historic WASDE MY 202425'!$D$4:$AA$87,MATCH('Corn World-Major'!B22&amp;'Corn World-Major'!C22,'Historic WASDE MY 202425'!$B$4:$B$86&amp;'Historic WASDE MY 202425'!$C$4:$C$87,0),MATCH('Corn World-Major'!$J$2,'Historic WASDE MY 202425'!$D$3:$AA$3,0))</f>
        <v>315690</v>
      </c>
      <c r="K22" s="276" cm="1">
        <f t="array" ref="K22">INDEX('Historic WASDE MY 202526'!$D$4:$AA$87,MATCH('Corn World-Major'!B22&amp;'Corn World-Major'!C22,'Historic WASDE MY 202526'!$B$4:$B$86&amp;'Historic WASDE MY 202526'!$C$4:$C$87,0),MATCH('Corn World-Major'!$K$2,'Historic WASDE MY 202526'!$D$3:$AA$3,0))</f>
        <v>284178</v>
      </c>
      <c r="L22" s="276">
        <f>'Historic WASDE MY 202425'!P21</f>
        <v>315707</v>
      </c>
      <c r="M22" s="276">
        <f>'Historic WASDE MY 202526'!G21</f>
        <v>283111</v>
      </c>
    </row>
    <row r="23" spans="1:15" ht="15.75" thickBot="1">
      <c r="A23" s="274" t="s">
        <v>299</v>
      </c>
      <c r="B23" s="274" t="s">
        <v>12</v>
      </c>
      <c r="C23" s="278" t="s">
        <v>300</v>
      </c>
      <c r="D23" s="279">
        <f>D22-SUM(D14:D21)</f>
        <v>37931</v>
      </c>
      <c r="E23" s="279">
        <f>E22-SUM(E14:E21)</f>
        <v>47095</v>
      </c>
      <c r="F23" s="279">
        <f t="shared" ref="F23:M23" si="1">F22-SUM(F14:F21)</f>
        <v>38317</v>
      </c>
      <c r="G23" s="279">
        <f t="shared" si="1"/>
        <v>35305</v>
      </c>
      <c r="H23" s="279">
        <f t="shared" si="1"/>
        <v>0</v>
      </c>
      <c r="I23" s="279">
        <f t="shared" si="1"/>
        <v>35223</v>
      </c>
      <c r="J23" s="279">
        <f t="shared" si="1"/>
        <v>249043</v>
      </c>
      <c r="K23" s="279">
        <f t="shared" si="1"/>
        <v>35046</v>
      </c>
      <c r="L23" s="279">
        <f t="shared" si="1"/>
        <v>37953</v>
      </c>
      <c r="M23" s="279">
        <f t="shared" si="1"/>
        <v>35518</v>
      </c>
      <c r="O23" s="273"/>
    </row>
    <row r="24" spans="1:15">
      <c r="A24" s="274"/>
      <c r="B24" s="280"/>
      <c r="C24" s="274"/>
      <c r="D24" s="275"/>
      <c r="E24" s="275"/>
      <c r="F24" s="275"/>
      <c r="G24" s="275"/>
      <c r="H24" s="275"/>
      <c r="I24" s="275"/>
      <c r="J24" s="275"/>
      <c r="K24" s="275"/>
    </row>
    <row r="25" spans="1:15">
      <c r="A25" s="274" t="s">
        <v>299</v>
      </c>
      <c r="B25" s="274" t="s">
        <v>13</v>
      </c>
      <c r="C25" s="281" t="s">
        <v>24</v>
      </c>
      <c r="D25" s="282">
        <v>36000</v>
      </c>
      <c r="E25" s="282">
        <v>51000</v>
      </c>
      <c r="F25" s="276" cm="1">
        <f t="array" ref="F25">INDEX('Historic WASDE MY 202425'!$D$4:$AA$87,MATCH('Corn World-Major'!B25&amp;'Corn World-Major'!C25,'Historic WASDE MY 202425'!$B$4:$B$86&amp;'Historic WASDE MY 202425'!$C$4:$C$87,0),MATCH('Corn World-Major'!$F$2,'Historic WASDE MY 202425'!$D$3:$AA$3,0))</f>
        <v>50000</v>
      </c>
      <c r="G25" s="276" cm="1">
        <f t="array" ref="G25">INDEX('Historic WASDE MY 202526'!$D$4:$AA$87,MATCH('Corn World-Major'!B25&amp;'Corn World-Major'!C25,'Historic WASDE MY 202526'!$B$4:$B$86&amp;'Historic WASDE MY 202526'!$C$4:$C$87,0),MATCH('Corn World-Major'!$G$2,'Historic WASDE MY 202526'!$D$3:$AA$3,0))</f>
        <v>53000</v>
      </c>
      <c r="H25" s="275"/>
      <c r="I25" s="276" cm="1">
        <f t="array" ref="I25">INDEX('Historic WASDE MY 202526'!$D$4:$AA$87,MATCH('Corn World-Major'!B25&amp;'Corn World-Major'!C25,'Historic WASDE MY 202526'!$B$4:$B$86&amp;'Historic WASDE MY 202526'!$C$4:$C$87,0),MATCH('Corn World-Major'!$I$2,'Historic WASDE MY 202526'!$D$3:$AA$3,0))</f>
        <v>53000</v>
      </c>
      <c r="J25" s="276" cm="1">
        <f t="array" ref="J25">INDEX('Historic WASDE MY 202425'!$D$4:$AA$87,MATCH('Corn World-Major'!B25&amp;'Corn World-Major'!C25,'Historic WASDE MY 202425'!$B$4:$B$86&amp;'Historic WASDE MY 202425'!$C$4:$C$87,0),MATCH('Corn World-Major'!$J$2,'Historic WASDE MY 202425'!$D$3:$AA$3,0))</f>
        <v>50000</v>
      </c>
      <c r="K25" s="276" cm="1">
        <f t="array" ref="K25">INDEX('Historic WASDE MY 202526'!$D$4:$AA$87,MATCH('Corn World-Major'!B25&amp;'Corn World-Major'!C25,'Historic WASDE MY 202526'!$B$4:$B$86&amp;'Historic WASDE MY 202526'!$C$4:$C$87,0),MATCH('Corn World-Major'!$K$2,'Historic WASDE MY 202526'!$D$3:$AA$3,0))</f>
        <v>53000</v>
      </c>
      <c r="L25" s="276">
        <f>'Historic WASDE MY 202425'!P22</f>
        <v>50000</v>
      </c>
      <c r="M25" s="276">
        <f>'Historic WASDE MY 202526'!G22</f>
        <v>53000</v>
      </c>
    </row>
    <row r="26" spans="1:15">
      <c r="A26" s="274" t="s">
        <v>299</v>
      </c>
      <c r="B26" s="274" t="s">
        <v>13</v>
      </c>
      <c r="C26" s="281" t="s">
        <v>27</v>
      </c>
      <c r="D26" s="282">
        <v>137000</v>
      </c>
      <c r="E26" s="282">
        <v>119000</v>
      </c>
      <c r="F26" s="276" cm="1">
        <f t="array" ref="F26">INDEX('Historic WASDE MY 202425'!$D$4:$AA$87,MATCH('Corn World-Major'!B26&amp;'Corn World-Major'!C26,'Historic WASDE MY 202425'!$B$4:$B$86&amp;'Historic WASDE MY 202425'!$C$4:$C$87,0),MATCH('Corn World-Major'!$F$2,'Historic WASDE MY 202425'!$D$3:$AA$3,0))</f>
        <v>130000</v>
      </c>
      <c r="G26" s="276" cm="1">
        <f t="array" ref="G26">INDEX('Historic WASDE MY 202526'!$D$4:$AA$87,MATCH('Corn World-Major'!B26&amp;'Corn World-Major'!C26,'Historic WASDE MY 202526'!$B$4:$B$86&amp;'Historic WASDE MY 202526'!$C$4:$C$87,0),MATCH('Corn World-Major'!$G$2,'Historic WASDE MY 202526'!$D$3:$AA$3,0))</f>
        <v>131000</v>
      </c>
      <c r="H26" s="275"/>
      <c r="I26" s="276" cm="1">
        <f t="array" ref="I26">INDEX('Historic WASDE MY 202526'!$D$4:$AA$87,MATCH('Corn World-Major'!B26&amp;'Corn World-Major'!C26,'Historic WASDE MY 202526'!$B$4:$B$86&amp;'Historic WASDE MY 202526'!$C$4:$C$87,0),MATCH('Corn World-Major'!$I$2,'Historic WASDE MY 202526'!$D$3:$AA$3,0))</f>
        <v>131000</v>
      </c>
      <c r="J26" s="276" cm="1">
        <f t="array" ref="J26">INDEX('Historic WASDE MY 202425'!$D$4:$AA$87,MATCH('Corn World-Major'!B26&amp;'Corn World-Major'!C26,'Historic WASDE MY 202425'!$B$4:$B$86&amp;'Historic WASDE MY 202425'!$C$4:$C$87,0),MATCH('Corn World-Major'!$J$2,'Historic WASDE MY 202425'!$D$3:$AA$3,0))</f>
        <v>132000</v>
      </c>
      <c r="K26" s="276" cm="1">
        <f t="array" ref="K26">INDEX('Historic WASDE MY 202526'!$D$4:$AA$87,MATCH('Corn World-Major'!B26&amp;'Corn World-Major'!C26,'Historic WASDE MY 202526'!$B$4:$B$86&amp;'Historic WASDE MY 202526'!$C$4:$C$87,0),MATCH('Corn World-Major'!$K$2,'Historic WASDE MY 202526'!$D$3:$AA$3,0))</f>
        <v>131000</v>
      </c>
      <c r="L26" s="276">
        <f>'Historic WASDE MY 202425'!P23</f>
        <v>132000</v>
      </c>
      <c r="M26" s="276">
        <f>'Historic WASDE MY 202526'!G23</f>
        <v>131000</v>
      </c>
    </row>
    <row r="27" spans="1:15">
      <c r="A27" s="274" t="s">
        <v>299</v>
      </c>
      <c r="B27" s="274" t="s">
        <v>13</v>
      </c>
      <c r="C27" s="281" t="s">
        <v>29</v>
      </c>
      <c r="D27" s="282">
        <v>14539</v>
      </c>
      <c r="E27" s="282">
        <v>15421</v>
      </c>
      <c r="F27" s="276" cm="1">
        <f t="array" ref="F27">INDEX('Historic WASDE MY 202425'!$D$4:$AA$87,MATCH('Corn World-Major'!B27&amp;'Corn World-Major'!C27,'Historic WASDE MY 202425'!$B$4:$B$86&amp;'Historic WASDE MY 202425'!$C$4:$C$87,0),MATCH('Corn World-Major'!$F$2,'Historic WASDE MY 202425'!$D$3:$AA$3,0))</f>
        <v>15345</v>
      </c>
      <c r="G27" s="276" cm="1">
        <f t="array" ref="G27">INDEX('Historic WASDE MY 202526'!$D$4:$AA$87,MATCH('Corn World-Major'!B27&amp;'Corn World-Major'!C27,'Historic WASDE MY 202526'!$B$4:$B$86&amp;'Historic WASDE MY 202526'!$C$4:$C$87,0),MATCH('Corn World-Major'!$G$2,'Historic WASDE MY 202526'!$D$3:$AA$3,0))</f>
        <v>14700</v>
      </c>
      <c r="H27" s="275"/>
      <c r="I27" s="276" cm="1">
        <f t="array" ref="I27">INDEX('Historic WASDE MY 202526'!$D$4:$AA$87,MATCH('Corn World-Major'!B27&amp;'Corn World-Major'!C27,'Historic WASDE MY 202526'!$B$4:$B$86&amp;'Historic WASDE MY 202526'!$C$4:$C$87,0),MATCH('Corn World-Major'!$I$2,'Historic WASDE MY 202526'!$D$3:$AA$3,0))</f>
        <v>14700</v>
      </c>
      <c r="J27" s="276" cm="1">
        <f t="array" ref="J27">INDEX('Historic WASDE MY 202425'!$D$4:$AA$87,MATCH('Corn World-Major'!B27&amp;'Corn World-Major'!C27,'Historic WASDE MY 202425'!$B$4:$B$86&amp;'Historic WASDE MY 202425'!$C$4:$C$87,0),MATCH('Corn World-Major'!$J$2,'Historic WASDE MY 202425'!$D$3:$AA$3,0))</f>
        <v>15345</v>
      </c>
      <c r="K27" s="276" cm="1">
        <f t="array" ref="K27">INDEX('Historic WASDE MY 202526'!$D$4:$AA$87,MATCH('Corn World-Major'!B27&amp;'Corn World-Major'!C27,'Historic WASDE MY 202526'!$B$4:$B$86&amp;'Historic WASDE MY 202526'!$C$4:$C$87,0),MATCH('Corn World-Major'!$K$2,'Historic WASDE MY 202526'!$D$3:$AA$3,0))</f>
        <v>15000</v>
      </c>
      <c r="L27" s="276">
        <f>'Historic WASDE MY 202425'!P24</f>
        <v>15345</v>
      </c>
      <c r="M27" s="276">
        <f>'Historic WASDE MY 202526'!G24</f>
        <v>15300</v>
      </c>
    </row>
    <row r="28" spans="1:15">
      <c r="A28" s="274" t="s">
        <v>299</v>
      </c>
      <c r="B28" s="274" t="s">
        <v>13</v>
      </c>
      <c r="C28" s="281" t="s">
        <v>32</v>
      </c>
      <c r="D28" s="282">
        <v>277200</v>
      </c>
      <c r="E28" s="282">
        <v>288842</v>
      </c>
      <c r="F28" s="276" cm="1">
        <f t="array" ref="F28">INDEX('Historic WASDE MY 202425'!$D$4:$AA$87,MATCH('Corn World-Major'!B28&amp;'Corn World-Major'!C28,'Historic WASDE MY 202425'!$B$4:$B$86&amp;'Historic WASDE MY 202425'!$C$4:$C$87,0),MATCH('Corn World-Major'!$F$2,'Historic WASDE MY 202425'!$D$3:$AA$3,0))</f>
        <v>294917</v>
      </c>
      <c r="G28" s="276" cm="1">
        <f t="array" ref="G28">INDEX('Historic WASDE MY 202526'!$D$4:$AA$87,MATCH('Corn World-Major'!B28&amp;'Corn World-Major'!C28,'Historic WASDE MY 202526'!$B$4:$B$86&amp;'Historic WASDE MY 202526'!$C$4:$C$87,0),MATCH('Corn World-Major'!$G$2,'Historic WASDE MY 202526'!$D$3:$AA$3,0))</f>
        <v>295000</v>
      </c>
      <c r="H28" s="275"/>
      <c r="I28" s="276" cm="1">
        <f t="array" ref="I28">INDEX('Historic WASDE MY 202526'!$D$4:$AA$87,MATCH('Corn World-Major'!B28&amp;'Corn World-Major'!C28,'Historic WASDE MY 202526'!$B$4:$B$86&amp;'Historic WASDE MY 202526'!$C$4:$C$87,0),MATCH('Corn World-Major'!$I$2,'Historic WASDE MY 202526'!$D$3:$AA$3,0))</f>
        <v>295000</v>
      </c>
      <c r="J28" s="276" cm="1">
        <f t="array" ref="J28">INDEX('Historic WASDE MY 202425'!$D$4:$AA$87,MATCH('Corn World-Major'!B28&amp;'Corn World-Major'!C28,'Historic WASDE MY 202425'!$B$4:$B$86&amp;'Historic WASDE MY 202425'!$C$4:$C$87,0),MATCH('Corn World-Major'!$J$2,'Historic WASDE MY 202425'!$D$3:$AA$3,0))</f>
        <v>615</v>
      </c>
      <c r="K28" s="276" cm="1">
        <f t="array" ref="K28">INDEX('Historic WASDE MY 202526'!$D$4:$AA$87,MATCH('Corn World-Major'!B28&amp;'Corn World-Major'!C28,'Historic WASDE MY 202526'!$B$4:$B$86&amp;'Historic WASDE MY 202526'!$C$4:$C$87,0),MATCH('Corn World-Major'!$K$2,'Historic WASDE MY 202526'!$D$3:$AA$3,0))</f>
        <v>295000</v>
      </c>
      <c r="L28" s="276">
        <f>'Historic WASDE MY 202425'!P25</f>
        <v>294917</v>
      </c>
      <c r="M28" s="276">
        <f>'Historic WASDE MY 202526'!G25</f>
        <v>295000</v>
      </c>
    </row>
    <row r="29" spans="1:15">
      <c r="A29" s="274" t="s">
        <v>299</v>
      </c>
      <c r="B29" s="274" t="s">
        <v>13</v>
      </c>
      <c r="C29" s="281" t="s">
        <v>34</v>
      </c>
      <c r="D29" s="282">
        <v>52329</v>
      </c>
      <c r="E29" s="282">
        <v>61947</v>
      </c>
      <c r="F29" s="276" cm="1">
        <f t="array" ref="F29">INDEX('Historic WASDE MY 202425'!$D$4:$AA$87,MATCH('Corn World-Major'!B29&amp;'Corn World-Major'!C29,'Historic WASDE MY 202425'!$B$4:$B$86&amp;'Historic WASDE MY 202425'!$C$4:$C$87,0),MATCH('Corn World-Major'!$F$2,'Historic WASDE MY 202425'!$D$3:$AA$3,0))</f>
        <v>59312</v>
      </c>
      <c r="G29" s="276" cm="1">
        <f t="array" ref="G29">INDEX('Historic WASDE MY 202526'!$D$4:$AA$87,MATCH('Corn World-Major'!B29&amp;'Corn World-Major'!C29,'Historic WASDE MY 202526'!$B$4:$B$86&amp;'Historic WASDE MY 202526'!$C$4:$C$87,0),MATCH('Corn World-Major'!$G$2,'Historic WASDE MY 202526'!$D$3:$AA$3,0))</f>
        <v>60000</v>
      </c>
      <c r="H29" s="275"/>
      <c r="I29" s="276" cm="1">
        <f t="array" ref="I29">INDEX('Historic WASDE MY 202526'!$D$4:$AA$87,MATCH('Corn World-Major'!B29&amp;'Corn World-Major'!C29,'Historic WASDE MY 202526'!$B$4:$B$86&amp;'Historic WASDE MY 202526'!$C$4:$C$87,0),MATCH('Corn World-Major'!$I$2,'Historic WASDE MY 202526'!$D$3:$AA$3,0))</f>
        <v>60000</v>
      </c>
      <c r="J29" s="276" cm="1">
        <f t="array" ref="J29">INDEX('Historic WASDE MY 202425'!$D$4:$AA$87,MATCH('Corn World-Major'!B29&amp;'Corn World-Major'!C29,'Historic WASDE MY 202425'!$B$4:$B$86&amp;'Historic WASDE MY 202425'!$C$4:$C$87,0),MATCH('Corn World-Major'!$J$2,'Historic WASDE MY 202425'!$D$3:$AA$3,0))</f>
        <v>59312</v>
      </c>
      <c r="K29" s="276" cm="1">
        <f t="array" ref="K29">INDEX('Historic WASDE MY 202526'!$D$4:$AA$87,MATCH('Corn World-Major'!B29&amp;'Corn World-Major'!C29,'Historic WASDE MY 202526'!$B$4:$B$86&amp;'Historic WASDE MY 202526'!$C$4:$C$87,0),MATCH('Corn World-Major'!$K$2,'Historic WASDE MY 202526'!$D$3:$AA$3,0))</f>
        <v>60000</v>
      </c>
      <c r="L29" s="276">
        <f>'Historic WASDE MY 202425'!P26</f>
        <v>59312</v>
      </c>
      <c r="M29" s="276">
        <f>'Historic WASDE MY 202526'!G26</f>
        <v>58000</v>
      </c>
    </row>
    <row r="30" spans="1:15">
      <c r="A30" s="274" t="s">
        <v>299</v>
      </c>
      <c r="B30" s="274" t="s">
        <v>13</v>
      </c>
      <c r="C30" s="281" t="s">
        <v>36</v>
      </c>
      <c r="D30" s="282">
        <v>15832</v>
      </c>
      <c r="E30" s="282">
        <v>16600</v>
      </c>
      <c r="F30" s="276" cm="1">
        <f t="array" ref="F30">INDEX('Historic WASDE MY 202425'!$D$4:$AA$87,MATCH('Corn World-Major'!B30&amp;'Corn World-Major'!C30,'Historic WASDE MY 202425'!$B$4:$B$86&amp;'Historic WASDE MY 202425'!$C$4:$C$87,0),MATCH('Corn World-Major'!$F$2,'Historic WASDE MY 202425'!$D$3:$AA$3,0))</f>
        <v>14000</v>
      </c>
      <c r="G30" s="276" cm="1">
        <f t="array" ref="G30">INDEX('Historic WASDE MY 202526'!$D$4:$AA$87,MATCH('Corn World-Major'!B30&amp;'Corn World-Major'!C30,'Historic WASDE MY 202526'!$B$4:$B$86&amp;'Historic WASDE MY 202526'!$C$4:$C$87,0),MATCH('Corn World-Major'!$G$2,'Historic WASDE MY 202526'!$D$3:$AA$3,0))</f>
        <v>15000</v>
      </c>
      <c r="H30" s="275"/>
      <c r="I30" s="276" cm="1">
        <f t="array" ref="I30">INDEX('Historic WASDE MY 202526'!$D$4:$AA$87,MATCH('Corn World-Major'!B30&amp;'Corn World-Major'!C30,'Historic WASDE MY 202526'!$B$4:$B$86&amp;'Historic WASDE MY 202526'!$C$4:$C$87,0),MATCH('Corn World-Major'!$I$2,'Historic WASDE MY 202526'!$D$3:$AA$3,0))</f>
        <v>15000</v>
      </c>
      <c r="J30" s="276" cm="1">
        <f t="array" ref="J30">INDEX('Historic WASDE MY 202425'!$D$4:$AA$87,MATCH('Corn World-Major'!B30&amp;'Corn World-Major'!C30,'Historic WASDE MY 202425'!$B$4:$B$86&amp;'Historic WASDE MY 202425'!$C$4:$C$87,0),MATCH('Corn World-Major'!$J$2,'Historic WASDE MY 202425'!$D$3:$AA$3,0))</f>
        <v>14000</v>
      </c>
      <c r="K30" s="276" cm="1">
        <f t="array" ref="K30">INDEX('Historic WASDE MY 202526'!$D$4:$AA$87,MATCH('Corn World-Major'!B30&amp;'Corn World-Major'!C30,'Historic WASDE MY 202526'!$B$4:$B$86&amp;'Historic WASDE MY 202526'!$C$4:$C$87,0),MATCH('Corn World-Major'!$K$2,'Historic WASDE MY 202526'!$D$3:$AA$3,0))</f>
        <v>15000</v>
      </c>
      <c r="L30" s="276">
        <f>'Historic WASDE MY 202425'!P27</f>
        <v>14000</v>
      </c>
      <c r="M30" s="276">
        <f>'Historic WASDE MY 202526'!G27</f>
        <v>15000</v>
      </c>
    </row>
    <row r="31" spans="1:15">
      <c r="A31" s="274" t="s">
        <v>299</v>
      </c>
      <c r="B31" s="274" t="s">
        <v>13</v>
      </c>
      <c r="C31" s="281" t="s">
        <v>38</v>
      </c>
      <c r="D31" s="282">
        <v>27000</v>
      </c>
      <c r="E31" s="282">
        <v>32500</v>
      </c>
      <c r="F31" s="276" cm="1">
        <f t="array" ref="F31">INDEX('Historic WASDE MY 202425'!$D$4:$AA$87,MATCH('Corn World-Major'!B31&amp;'Corn World-Major'!C31,'Historic WASDE MY 202425'!$B$4:$B$86&amp;'Historic WASDE MY 202425'!$C$4:$C$87,0),MATCH('Corn World-Major'!$F$2,'Historic WASDE MY 202425'!$D$3:$AA$3,0))</f>
        <v>26800</v>
      </c>
      <c r="G31" s="276" cm="1">
        <f t="array" ref="G31">INDEX('Historic WASDE MY 202526'!$D$4:$AA$87,MATCH('Corn World-Major'!B31&amp;'Corn World-Major'!C31,'Historic WASDE MY 202526'!$B$4:$B$86&amp;'Historic WASDE MY 202526'!$C$4:$C$87,0),MATCH('Corn World-Major'!$G$2,'Historic WASDE MY 202526'!$D$3:$AA$3,0))</f>
        <v>30500</v>
      </c>
      <c r="H31" s="275"/>
      <c r="I31" s="276" cm="1">
        <f t="array" ref="I31">INDEX('Historic WASDE MY 202526'!$D$4:$AA$87,MATCH('Corn World-Major'!B31&amp;'Corn World-Major'!C31,'Historic WASDE MY 202526'!$B$4:$B$86&amp;'Historic WASDE MY 202526'!$C$4:$C$87,0),MATCH('Corn World-Major'!$I$2,'Historic WASDE MY 202526'!$D$3:$AA$3,0))</f>
        <v>30500</v>
      </c>
      <c r="J31" s="276" cm="1">
        <f t="array" ref="J31">INDEX('Historic WASDE MY 202425'!$D$4:$AA$87,MATCH('Corn World-Major'!B31&amp;'Corn World-Major'!C31,'Historic WASDE MY 202425'!$B$4:$B$86&amp;'Historic WASDE MY 202425'!$C$4:$C$87,0),MATCH('Corn World-Major'!$J$2,'Historic WASDE MY 202425'!$D$3:$AA$3,0))</f>
        <v>26800</v>
      </c>
      <c r="K31" s="276" cm="1">
        <f t="array" ref="K31">INDEX('Historic WASDE MY 202526'!$D$4:$AA$87,MATCH('Corn World-Major'!B31&amp;'Corn World-Major'!C31,'Historic WASDE MY 202526'!$B$4:$B$86&amp;'Historic WASDE MY 202526'!$C$4:$C$87,0),MATCH('Corn World-Major'!$K$2,'Historic WASDE MY 202526'!$D$3:$AA$3,0))</f>
        <v>30500</v>
      </c>
      <c r="L31" s="276">
        <f>'Historic WASDE MY 202425'!P28</f>
        <v>26800</v>
      </c>
      <c r="M31" s="276">
        <f>'Historic WASDE MY 202526'!G28</f>
        <v>32000</v>
      </c>
    </row>
    <row r="32" spans="1:15">
      <c r="A32" s="274" t="s">
        <v>299</v>
      </c>
      <c r="B32" s="274" t="s">
        <v>13</v>
      </c>
      <c r="C32" s="281" t="s">
        <v>40</v>
      </c>
      <c r="D32" s="282">
        <v>346739</v>
      </c>
      <c r="E32" s="282">
        <v>389667</v>
      </c>
      <c r="F32" s="276" cm="1">
        <f t="array" ref="F32">INDEX('Historic WASDE MY 202425'!$D$4:$AA$87,MATCH('Corn World-Major'!B32&amp;'Corn World-Major'!C32,'Historic WASDE MY 202425'!$B$4:$B$86&amp;'Historic WASDE MY 202425'!$C$4:$C$87,0),MATCH('Corn World-Major'!$F$2,'Historic WASDE MY 202425'!$D$3:$AA$3,0))</f>
        <v>377633</v>
      </c>
      <c r="G32" s="276" cm="1">
        <f t="array" ref="G32">INDEX('Historic WASDE MY 202526'!$D$4:$AA$87,MATCH('Corn World-Major'!B32&amp;'Corn World-Major'!C32,'Historic WASDE MY 202526'!$B$4:$B$86&amp;'Historic WASDE MY 202526'!$C$4:$C$87,0),MATCH('Corn World-Major'!$G$2,'Historic WASDE MY 202526'!$D$3:$AA$3,0))</f>
        <v>401847</v>
      </c>
      <c r="H32" s="275"/>
      <c r="I32" s="276" cm="1">
        <f t="array" ref="I32">INDEX('Historic WASDE MY 202526'!$D$4:$AA$87,MATCH('Corn World-Major'!B32&amp;'Corn World-Major'!C32,'Historic WASDE MY 202526'!$B$4:$B$86&amp;'Historic WASDE MY 202526'!$C$4:$C$87,0),MATCH('Corn World-Major'!$I$2,'Historic WASDE MY 202526'!$D$3:$AA$3,0))</f>
        <v>401847</v>
      </c>
      <c r="J32" s="276" cm="1">
        <f t="array" ref="J32">INDEX('Historic WASDE MY 202425'!$D$4:$AA$87,MATCH('Corn World-Major'!B32&amp;'Corn World-Major'!C32,'Historic WASDE MY 202425'!$B$4:$B$86&amp;'Historic WASDE MY 202425'!$C$4:$C$87,0),MATCH('Corn World-Major'!$J$2,'Historic WASDE MY 202425'!$D$3:$AA$3,0))</f>
        <v>377633</v>
      </c>
      <c r="K32" s="276" cm="1">
        <f t="array" ref="K32">INDEX('Historic WASDE MY 202526'!$D$4:$AA$87,MATCH('Corn World-Major'!B32&amp;'Corn World-Major'!C32,'Historic WASDE MY 202526'!$B$4:$B$86&amp;'Historic WASDE MY 202526'!$C$4:$C$87,0),MATCH('Corn World-Major'!$K$2,'Historic WASDE MY 202526'!$D$3:$AA$3,0))</f>
        <v>398925</v>
      </c>
      <c r="L32" s="276">
        <f>'Historic WASDE MY 202425'!P29</f>
        <v>377633</v>
      </c>
      <c r="M32" s="276">
        <f>'Historic WASDE MY 202526'!G29</f>
        <v>425257</v>
      </c>
    </row>
    <row r="33" spans="1:13" ht="15.75" thickBot="1">
      <c r="A33" s="274" t="s">
        <v>299</v>
      </c>
      <c r="B33" s="274" t="s">
        <v>13</v>
      </c>
      <c r="C33" s="281" t="s">
        <v>1</v>
      </c>
      <c r="D33" s="282">
        <v>1159689</v>
      </c>
      <c r="E33" s="282">
        <v>1332206</v>
      </c>
      <c r="F33" s="276" cm="1">
        <f t="array" ref="F33">INDEX('Historic WASDE MY 202425'!$D$4:$AA$87,MATCH('Corn World-Major'!B33&amp;'Corn World-Major'!C33,'Historic WASDE MY 202425'!$B$4:$B$86&amp;'Historic WASDE MY 202425'!$C$4:$C$87,0),MATCH('Corn World-Major'!$F$2,'Historic WASDE MY 202425'!$D$3:$AA$3,0))</f>
        <v>1221284</v>
      </c>
      <c r="G33" s="276" cm="1">
        <f t="array" ref="G33">INDEX('Historic WASDE MY 202526'!$D$4:$AA$87,MATCH('Corn World-Major'!B33&amp;'Corn World-Major'!C33,'Historic WASDE MY 202526'!$B$4:$B$86&amp;'Historic WASDE MY 202526'!$C$4:$C$87,0),MATCH('Corn World-Major'!$G$2,'Historic WASDE MY 202526'!$D$3:$AA$3,0))</f>
        <v>1264982</v>
      </c>
      <c r="H33" s="275"/>
      <c r="I33" s="276" cm="1">
        <f t="array" ref="I33">INDEX('Historic WASDE MY 202526'!$D$4:$AA$87,MATCH('Corn World-Major'!B33&amp;'Corn World-Major'!C33,'Historic WASDE MY 202526'!$B$4:$B$86&amp;'Historic WASDE MY 202526'!$C$4:$C$87,0),MATCH('Corn World-Major'!$I$2,'Historic WASDE MY 202526'!$D$3:$AA$3,0))</f>
        <v>1265982</v>
      </c>
      <c r="J33" s="276" cm="1">
        <f t="array" ref="J33">INDEX('Historic WASDE MY 202425'!$D$4:$AA$87,MATCH('Corn World-Major'!B33&amp;'Corn World-Major'!C33,'Historic WASDE MY 202425'!$B$4:$B$86&amp;'Historic WASDE MY 202425'!$C$4:$C$87,0),MATCH('Corn World-Major'!$J$2,'Historic WASDE MY 202425'!$D$3:$AA$3,0))</f>
        <v>1225295</v>
      </c>
      <c r="K33" s="276" cm="1">
        <f t="array" ref="K33">INDEX('Historic WASDE MY 202526'!$D$4:$AA$87,MATCH('Corn World-Major'!B33&amp;'Corn World-Major'!C33,'Historic WASDE MY 202526'!$B$4:$B$86&amp;'Historic WASDE MY 202526'!$C$4:$C$87,0),MATCH('Corn World-Major'!$K$2,'Historic WASDE MY 202526'!$D$3:$AA$3,0))</f>
        <v>1263660</v>
      </c>
      <c r="L33" s="276">
        <f>'Historic WASDE MY 202425'!P30</f>
        <v>1226018</v>
      </c>
      <c r="M33" s="276">
        <f>'Historic WASDE MY 202526'!G30</f>
        <v>1288577</v>
      </c>
    </row>
    <row r="34" spans="1:13" ht="15.75" thickBot="1">
      <c r="A34" s="274" t="s">
        <v>299</v>
      </c>
      <c r="B34" s="274" t="s">
        <v>13</v>
      </c>
      <c r="C34" s="278" t="s">
        <v>300</v>
      </c>
      <c r="D34" s="279">
        <f>D33-SUM(D25:D32)</f>
        <v>253050</v>
      </c>
      <c r="E34" s="279">
        <f>E33-SUM(E25:E32)</f>
        <v>357229</v>
      </c>
      <c r="F34" s="279">
        <f t="shared" ref="F34:M34" si="2">F33-SUM(F25:F32)</f>
        <v>253277</v>
      </c>
      <c r="G34" s="279">
        <f t="shared" si="2"/>
        <v>263935</v>
      </c>
      <c r="H34" s="279">
        <f t="shared" si="2"/>
        <v>0</v>
      </c>
      <c r="I34" s="279">
        <f t="shared" si="2"/>
        <v>264935</v>
      </c>
      <c r="J34" s="279">
        <f t="shared" si="2"/>
        <v>549590</v>
      </c>
      <c r="K34" s="279">
        <f t="shared" si="2"/>
        <v>265235</v>
      </c>
      <c r="L34" s="279">
        <f t="shared" si="2"/>
        <v>256011</v>
      </c>
      <c r="M34" s="279">
        <f t="shared" si="2"/>
        <v>264020</v>
      </c>
    </row>
    <row r="35" spans="1:13">
      <c r="A35" s="274"/>
      <c r="B35" s="280"/>
      <c r="C35" s="274"/>
      <c r="D35" s="275"/>
      <c r="E35" s="275"/>
      <c r="F35" s="275"/>
      <c r="G35" s="275"/>
      <c r="H35" s="275"/>
      <c r="I35" s="275"/>
      <c r="J35" s="275"/>
      <c r="K35" s="275"/>
    </row>
    <row r="36" spans="1:13">
      <c r="A36" s="274" t="s">
        <v>299</v>
      </c>
      <c r="B36" s="274" t="s">
        <v>14</v>
      </c>
      <c r="C36" s="281" t="s">
        <v>24</v>
      </c>
      <c r="D36" s="281">
        <v>16</v>
      </c>
      <c r="E36" s="281">
        <v>10</v>
      </c>
      <c r="F36" s="276" cm="1">
        <f t="array" ref="F36">INDEX('Historic WASDE MY 202425'!$D$4:$AA$87,MATCH('Corn World-Major'!B36&amp;'Corn World-Major'!C36,'Historic WASDE MY 202425'!$B$4:$B$86&amp;'Historic WASDE MY 202425'!$C$4:$C$87,0),MATCH('Corn World-Major'!$F$2,'Historic WASDE MY 202425'!$D$3:$AA$3,0))</f>
        <v>5</v>
      </c>
      <c r="G36" s="276" cm="1">
        <f t="array" ref="G36">INDEX('Historic WASDE MY 202526'!$D$4:$AA$87,MATCH('Corn World-Major'!B36&amp;'Corn World-Major'!C36,'Historic WASDE MY 202526'!$B$4:$B$86&amp;'Historic WASDE MY 202526'!$C$4:$C$87,0),MATCH('Corn World-Major'!$G$2,'Historic WASDE MY 202526'!$D$3:$AA$3,0))</f>
        <v>5</v>
      </c>
      <c r="H36" s="275"/>
      <c r="I36" s="276" cm="1">
        <f t="array" ref="I36">INDEX('Historic WASDE MY 202526'!$D$4:$AA$87,MATCH('Corn World-Major'!B36&amp;'Corn World-Major'!C36,'Historic WASDE MY 202526'!$B$4:$B$86&amp;'Historic WASDE MY 202526'!$C$4:$C$87,0),MATCH('Corn World-Major'!$I$2,'Historic WASDE MY 202526'!$D$3:$AA$3,0))</f>
        <v>5</v>
      </c>
      <c r="J36" s="276" cm="1">
        <f t="array" ref="J36">INDEX('Historic WASDE MY 202425'!$D$4:$AA$87,MATCH('Corn World-Major'!B36&amp;'Corn World-Major'!C36,'Historic WASDE MY 202425'!$B$4:$B$86&amp;'Historic WASDE MY 202425'!$C$4:$C$87,0),MATCH('Corn World-Major'!$J$2,'Historic WASDE MY 202425'!$D$3:$AA$3,0))</f>
        <v>5</v>
      </c>
      <c r="K36" s="276" cm="1">
        <f t="array" ref="K36">INDEX('Historic WASDE MY 202526'!$D$4:$AA$87,MATCH('Corn World-Major'!B36&amp;'Corn World-Major'!C36,'Historic WASDE MY 202526'!$B$4:$B$86&amp;'Historic WASDE MY 202526'!$C$4:$C$87,0),MATCH('Corn World-Major'!$K$2,'Historic WASDE MY 202526'!$D$3:$AA$3,0))</f>
        <v>5</v>
      </c>
      <c r="L36" s="276">
        <f>'Historic WASDE MY 202425'!P31</f>
        <v>5</v>
      </c>
      <c r="M36" s="276">
        <f>'Historic WASDE MY 202526'!G31</f>
        <v>5</v>
      </c>
    </row>
    <row r="37" spans="1:13">
      <c r="A37" s="274" t="s">
        <v>299</v>
      </c>
      <c r="B37" s="274" t="s">
        <v>14</v>
      </c>
      <c r="C37" s="281" t="s">
        <v>27</v>
      </c>
      <c r="D37" s="282">
        <v>1333</v>
      </c>
      <c r="E37" s="282">
        <v>1717</v>
      </c>
      <c r="F37" s="276" cm="1">
        <f t="array" ref="F37">INDEX('Historic WASDE MY 202425'!$D$4:$AA$87,MATCH('Corn World-Major'!B37&amp;'Corn World-Major'!C37,'Historic WASDE MY 202425'!$B$4:$B$86&amp;'Historic WASDE MY 202425'!$C$4:$C$87,0),MATCH('Corn World-Major'!$F$2,'Historic WASDE MY 202425'!$D$3:$AA$3,0))</f>
        <v>1500</v>
      </c>
      <c r="G37" s="276" cm="1">
        <f t="array" ref="G37">INDEX('Historic WASDE MY 202526'!$D$4:$AA$87,MATCH('Corn World-Major'!B37&amp;'Corn World-Major'!C37,'Historic WASDE MY 202526'!$B$4:$B$86&amp;'Historic WASDE MY 202526'!$C$4:$C$87,0),MATCH('Corn World-Major'!$G$2,'Historic WASDE MY 202526'!$D$3:$AA$3,0))</f>
        <v>1600</v>
      </c>
      <c r="H37" s="275"/>
      <c r="I37" s="276" cm="1">
        <f t="array" ref="I37">INDEX('Historic WASDE MY 202526'!$D$4:$AA$87,MATCH('Corn World-Major'!B37&amp;'Corn World-Major'!C37,'Historic WASDE MY 202526'!$B$4:$B$86&amp;'Historic WASDE MY 202526'!$C$4:$C$87,0),MATCH('Corn World-Major'!$I$2,'Historic WASDE MY 202526'!$D$3:$AA$3,0))</f>
        <v>1600</v>
      </c>
      <c r="J37" s="276" cm="1">
        <f t="array" ref="J37">INDEX('Historic WASDE MY 202425'!$D$4:$AA$87,MATCH('Corn World-Major'!B37&amp;'Corn World-Major'!C37,'Historic WASDE MY 202425'!$B$4:$B$86&amp;'Historic WASDE MY 202425'!$C$4:$C$87,0),MATCH('Corn World-Major'!$J$2,'Historic WASDE MY 202425'!$D$3:$AA$3,0))</f>
        <v>1500</v>
      </c>
      <c r="K37" s="276" cm="1">
        <f t="array" ref="K37">INDEX('Historic WASDE MY 202526'!$D$4:$AA$87,MATCH('Corn World-Major'!B37&amp;'Corn World-Major'!C37,'Historic WASDE MY 202526'!$B$4:$B$86&amp;'Historic WASDE MY 202526'!$C$4:$C$87,0),MATCH('Corn World-Major'!$K$2,'Historic WASDE MY 202526'!$D$3:$AA$3,0))</f>
        <v>1600</v>
      </c>
      <c r="L37" s="276">
        <f>'Historic WASDE MY 202425'!P32</f>
        <v>1500</v>
      </c>
      <c r="M37" s="276">
        <f>'Historic WASDE MY 202526'!G32</f>
        <v>1600</v>
      </c>
    </row>
    <row r="38" spans="1:13">
      <c r="A38" s="274" t="s">
        <v>299</v>
      </c>
      <c r="B38" s="274" t="s">
        <v>14</v>
      </c>
      <c r="C38" s="281" t="s">
        <v>29</v>
      </c>
      <c r="D38" s="282">
        <v>2129</v>
      </c>
      <c r="E38" s="282">
        <v>2814</v>
      </c>
      <c r="F38" s="276" cm="1">
        <f t="array" ref="F38">INDEX('Historic WASDE MY 202425'!$D$4:$AA$87,MATCH('Corn World-Major'!B38&amp;'Corn World-Major'!C38,'Historic WASDE MY 202425'!$B$4:$B$86&amp;'Historic WASDE MY 202425'!$C$4:$C$87,0),MATCH('Corn World-Major'!$F$2,'Historic WASDE MY 202425'!$D$3:$AA$3,0))</f>
        <v>2200</v>
      </c>
      <c r="G38" s="276" cm="1">
        <f t="array" ref="G38">INDEX('Historic WASDE MY 202526'!$D$4:$AA$87,MATCH('Corn World-Major'!B38&amp;'Corn World-Major'!C38,'Historic WASDE MY 202526'!$B$4:$B$86&amp;'Historic WASDE MY 202526'!$C$4:$C$87,0),MATCH('Corn World-Major'!$G$2,'Historic WASDE MY 202526'!$D$3:$AA$3,0))</f>
        <v>2500</v>
      </c>
      <c r="H38" s="275"/>
      <c r="I38" s="276" cm="1">
        <f t="array" ref="I38">INDEX('Historic WASDE MY 202526'!$D$4:$AA$87,MATCH('Corn World-Major'!B38&amp;'Corn World-Major'!C38,'Historic WASDE MY 202526'!$B$4:$B$86&amp;'Historic WASDE MY 202526'!$C$4:$C$87,0),MATCH('Corn World-Major'!$I$2,'Historic WASDE MY 202526'!$D$3:$AA$3,0))</f>
        <v>2500</v>
      </c>
      <c r="J38" s="276" cm="1">
        <f t="array" ref="J38">INDEX('Historic WASDE MY 202425'!$D$4:$AA$87,MATCH('Corn World-Major'!B38&amp;'Corn World-Major'!C38,'Historic WASDE MY 202425'!$B$4:$B$86&amp;'Historic WASDE MY 202425'!$C$4:$C$87,0),MATCH('Corn World-Major'!$J$2,'Historic WASDE MY 202425'!$D$3:$AA$3,0))</f>
        <v>1700</v>
      </c>
      <c r="K38" s="276" cm="1">
        <f t="array" ref="K38">INDEX('Historic WASDE MY 202526'!$D$4:$AA$87,MATCH('Corn World-Major'!B38&amp;'Corn World-Major'!C38,'Historic WASDE MY 202526'!$B$4:$B$86&amp;'Historic WASDE MY 202526'!$C$4:$C$87,0),MATCH('Corn World-Major'!$K$2,'Historic WASDE MY 202526'!$D$3:$AA$3,0))</f>
        <v>2300</v>
      </c>
      <c r="L38" s="276">
        <f>'Historic WASDE MY 202425'!P33</f>
        <v>1700</v>
      </c>
      <c r="M38" s="276">
        <f>'Historic WASDE MY 202526'!G33</f>
        <v>2100</v>
      </c>
    </row>
    <row r="39" spans="1:13">
      <c r="A39" s="274" t="s">
        <v>299</v>
      </c>
      <c r="B39" s="274" t="s">
        <v>14</v>
      </c>
      <c r="C39" s="281" t="s">
        <v>32</v>
      </c>
      <c r="D39" s="282">
        <v>18711</v>
      </c>
      <c r="E39" s="282">
        <v>23407</v>
      </c>
      <c r="F39" s="276" cm="1">
        <f t="array" ref="F39">INDEX('Historic WASDE MY 202425'!$D$4:$AA$87,MATCH('Corn World-Major'!B39&amp;'Corn World-Major'!C39,'Historic WASDE MY 202425'!$B$4:$B$86&amp;'Historic WASDE MY 202425'!$C$4:$C$87,0),MATCH('Corn World-Major'!$F$2,'Historic WASDE MY 202425'!$D$3:$AA$3,0))</f>
        <v>8000</v>
      </c>
      <c r="G39" s="276" cm="1">
        <f t="array" ref="G39">INDEX('Historic WASDE MY 202526'!$D$4:$AA$87,MATCH('Corn World-Major'!B39&amp;'Corn World-Major'!C39,'Historic WASDE MY 202526'!$B$4:$B$86&amp;'Historic WASDE MY 202526'!$C$4:$C$87,0),MATCH('Corn World-Major'!$G$2,'Historic WASDE MY 202526'!$D$3:$AA$3,0))</f>
        <v>10000</v>
      </c>
      <c r="H39" s="275"/>
      <c r="I39" s="276" cm="1">
        <f t="array" ref="I39">INDEX('Historic WASDE MY 202526'!$D$4:$AA$87,MATCH('Corn World-Major'!B39&amp;'Corn World-Major'!C39,'Historic WASDE MY 202526'!$B$4:$B$86&amp;'Historic WASDE MY 202526'!$C$4:$C$87,0),MATCH('Corn World-Major'!$I$2,'Historic WASDE MY 202526'!$D$3:$AA$3,0))</f>
        <v>10000</v>
      </c>
      <c r="J39" s="276" cm="1">
        <f t="array" ref="J39">INDEX('Historic WASDE MY 202425'!$D$4:$AA$87,MATCH('Corn World-Major'!B39&amp;'Corn World-Major'!C39,'Historic WASDE MY 202425'!$B$4:$B$86&amp;'Historic WASDE MY 202425'!$C$4:$C$87,0),MATCH('Corn World-Major'!$J$2,'Historic WASDE MY 202425'!$D$3:$AA$3,0))</f>
        <v>2500</v>
      </c>
      <c r="K39" s="276" cm="1">
        <f t="array" ref="K39">INDEX('Historic WASDE MY 202526'!$D$4:$AA$87,MATCH('Corn World-Major'!B39&amp;'Corn World-Major'!C39,'Historic WASDE MY 202526'!$B$4:$B$86&amp;'Historic WASDE MY 202526'!$C$4:$C$87,0),MATCH('Corn World-Major'!$K$2,'Historic WASDE MY 202526'!$D$3:$AA$3,0))</f>
        <v>10000</v>
      </c>
      <c r="L39" s="276">
        <f>'Historic WASDE MY 202425'!P34</f>
        <v>4000</v>
      </c>
      <c r="M39" s="276">
        <f>'Historic WASDE MY 202526'!G34</f>
        <v>10000</v>
      </c>
    </row>
    <row r="40" spans="1:13">
      <c r="A40" s="274" t="s">
        <v>299</v>
      </c>
      <c r="B40" s="274" t="s">
        <v>14</v>
      </c>
      <c r="C40" s="281" t="s">
        <v>34</v>
      </c>
      <c r="D40" s="282">
        <v>23188</v>
      </c>
      <c r="E40" s="282">
        <v>19832</v>
      </c>
      <c r="F40" s="276" cm="1">
        <f t="array" ref="F40">INDEX('Historic WASDE MY 202425'!$D$4:$AA$87,MATCH('Corn World-Major'!B40&amp;'Corn World-Major'!C40,'Historic WASDE MY 202425'!$B$4:$B$86&amp;'Historic WASDE MY 202425'!$C$4:$C$87,0),MATCH('Corn World-Major'!$F$2,'Historic WASDE MY 202425'!$D$3:$AA$3,0))</f>
        <v>20000</v>
      </c>
      <c r="G40" s="276" cm="1">
        <f t="array" ref="G40">INDEX('Historic WASDE MY 202526'!$D$4:$AA$87,MATCH('Corn World-Major'!B40&amp;'Corn World-Major'!C40,'Historic WASDE MY 202526'!$B$4:$B$86&amp;'Historic WASDE MY 202526'!$C$4:$C$87,0),MATCH('Corn World-Major'!$G$2,'Historic WASDE MY 202526'!$D$3:$AA$3,0))</f>
        <v>20500</v>
      </c>
      <c r="H40" s="275"/>
      <c r="I40" s="276" cm="1">
        <f t="array" ref="I40">INDEX('Historic WASDE MY 202526'!$D$4:$AA$87,MATCH('Corn World-Major'!B40&amp;'Corn World-Major'!C40,'Historic WASDE MY 202526'!$B$4:$B$86&amp;'Historic WASDE MY 202526'!$C$4:$C$87,0),MATCH('Corn World-Major'!$I$2,'Historic WASDE MY 202526'!$D$3:$AA$3,0))</f>
        <v>20500</v>
      </c>
      <c r="J40" s="276" cm="1">
        <f t="array" ref="J40">INDEX('Historic WASDE MY 202425'!$D$4:$AA$87,MATCH('Corn World-Major'!B40&amp;'Corn World-Major'!C40,'Historic WASDE MY 202425'!$B$4:$B$86&amp;'Historic WASDE MY 202425'!$C$4:$C$87,0),MATCH('Corn World-Major'!$J$2,'Historic WASDE MY 202425'!$D$3:$AA$3,0))</f>
        <v>20000</v>
      </c>
      <c r="K40" s="276" cm="1">
        <f t="array" ref="K40">INDEX('Historic WASDE MY 202526'!$D$4:$AA$87,MATCH('Corn World-Major'!B40&amp;'Corn World-Major'!C40,'Historic WASDE MY 202526'!$B$4:$B$86&amp;'Historic WASDE MY 202526'!$C$4:$C$87,0),MATCH('Corn World-Major'!$K$2,'Historic WASDE MY 202526'!$D$3:$AA$3,0))</f>
        <v>20500</v>
      </c>
      <c r="L40" s="276">
        <f>'Historic WASDE MY 202425'!P35</f>
        <v>20000</v>
      </c>
      <c r="M40" s="276">
        <f>'Historic WASDE MY 202526'!G35</f>
        <v>22000</v>
      </c>
    </row>
    <row r="41" spans="1:13">
      <c r="A41" s="274" t="s">
        <v>299</v>
      </c>
      <c r="B41" s="274" t="s">
        <v>14</v>
      </c>
      <c r="C41" s="281" t="s">
        <v>36</v>
      </c>
      <c r="D41" s="281">
        <v>50</v>
      </c>
      <c r="E41" s="281">
        <v>50</v>
      </c>
      <c r="F41" s="276" cm="1">
        <f t="array" ref="F41">INDEX('Historic WASDE MY 202425'!$D$4:$AA$87,MATCH('Corn World-Major'!B41&amp;'Corn World-Major'!C41,'Historic WASDE MY 202425'!$B$4:$B$86&amp;'Historic WASDE MY 202425'!$C$4:$C$87,0),MATCH('Corn World-Major'!$F$2,'Historic WASDE MY 202425'!$D$3:$AA$3,0))</f>
        <v>50</v>
      </c>
      <c r="G41" s="276" cm="1">
        <f t="array" ref="G41">INDEX('Historic WASDE MY 202526'!$D$4:$AA$87,MATCH('Corn World-Major'!B41&amp;'Corn World-Major'!C41,'Historic WASDE MY 202526'!$B$4:$B$86&amp;'Historic WASDE MY 202526'!$C$4:$C$87,0),MATCH('Corn World-Major'!$G$2,'Historic WASDE MY 202526'!$D$3:$AA$3,0))</f>
        <v>50</v>
      </c>
      <c r="H41" s="275"/>
      <c r="I41" s="276" cm="1">
        <f t="array" ref="I41">INDEX('Historic WASDE MY 202526'!$D$4:$AA$87,MATCH('Corn World-Major'!B41&amp;'Corn World-Major'!C41,'Historic WASDE MY 202526'!$B$4:$B$86&amp;'Historic WASDE MY 202526'!$C$4:$C$87,0),MATCH('Corn World-Major'!$I$2,'Historic WASDE MY 202526'!$D$3:$AA$3,0))</f>
        <v>50</v>
      </c>
      <c r="J41" s="276" cm="1">
        <f t="array" ref="J41">INDEX('Historic WASDE MY 202425'!$D$4:$AA$87,MATCH('Corn World-Major'!B41&amp;'Corn World-Major'!C41,'Historic WASDE MY 202425'!$B$4:$B$86&amp;'Historic WASDE MY 202425'!$C$4:$C$87,0),MATCH('Corn World-Major'!$J$2,'Historic WASDE MY 202425'!$D$3:$AA$3,0))</f>
        <v>50</v>
      </c>
      <c r="K41" s="276" cm="1">
        <f t="array" ref="K41">INDEX('Historic WASDE MY 202526'!$D$4:$AA$87,MATCH('Corn World-Major'!B41&amp;'Corn World-Major'!C41,'Historic WASDE MY 202526'!$B$4:$B$86&amp;'Historic WASDE MY 202526'!$C$4:$C$87,0),MATCH('Corn World-Major'!$K$2,'Historic WASDE MY 202526'!$D$3:$AA$3,0))</f>
        <v>50</v>
      </c>
      <c r="L41" s="276">
        <f>'Historic WASDE MY 202425'!P36</f>
        <v>50</v>
      </c>
      <c r="M41" s="276">
        <f>'Historic WASDE MY 202526'!G36</f>
        <v>50</v>
      </c>
    </row>
    <row r="42" spans="1:13">
      <c r="A42" s="274" t="s">
        <v>299</v>
      </c>
      <c r="B42" s="274" t="s">
        <v>14</v>
      </c>
      <c r="C42" s="281" t="s">
        <v>38</v>
      </c>
      <c r="D42" s="281">
        <v>21</v>
      </c>
      <c r="E42" s="281">
        <v>10</v>
      </c>
      <c r="F42" s="276" cm="1">
        <f t="array" ref="F42">INDEX('Historic WASDE MY 202425'!$D$4:$AA$87,MATCH('Corn World-Major'!B42&amp;'Corn World-Major'!C42,'Historic WASDE MY 202425'!$B$4:$B$86&amp;'Historic WASDE MY 202425'!$C$4:$C$87,0),MATCH('Corn World-Major'!$F$2,'Historic WASDE MY 202425'!$D$3:$AA$3,0))</f>
        <v>20</v>
      </c>
      <c r="G42" s="276" cm="1">
        <f t="array" ref="G42">INDEX('Historic WASDE MY 202526'!$D$4:$AA$87,MATCH('Corn World-Major'!B42&amp;'Corn World-Major'!C42,'Historic WASDE MY 202526'!$B$4:$B$86&amp;'Historic WASDE MY 202526'!$C$4:$C$87,0),MATCH('Corn World-Major'!$G$2,'Historic WASDE MY 202526'!$D$3:$AA$3,0))</f>
        <v>10</v>
      </c>
      <c r="H42" s="275"/>
      <c r="I42" s="276" cm="1">
        <f t="array" ref="I42">INDEX('Historic WASDE MY 202526'!$D$4:$AA$87,MATCH('Corn World-Major'!B42&amp;'Corn World-Major'!C42,'Historic WASDE MY 202526'!$B$4:$B$86&amp;'Historic WASDE MY 202526'!$C$4:$C$87,0),MATCH('Corn World-Major'!$I$2,'Historic WASDE MY 202526'!$D$3:$AA$3,0))</f>
        <v>10</v>
      </c>
      <c r="J42" s="276" cm="1">
        <f t="array" ref="J42">INDEX('Historic WASDE MY 202425'!$D$4:$AA$87,MATCH('Corn World-Major'!B42&amp;'Corn World-Major'!C42,'Historic WASDE MY 202425'!$B$4:$B$86&amp;'Historic WASDE MY 202425'!$C$4:$C$87,0),MATCH('Corn World-Major'!$J$2,'Historic WASDE MY 202425'!$D$3:$AA$3,0))</f>
        <v>20</v>
      </c>
      <c r="K42" s="276" cm="1">
        <f t="array" ref="K42">INDEX('Historic WASDE MY 202526'!$D$4:$AA$87,MATCH('Corn World-Major'!B42&amp;'Corn World-Major'!C42,'Historic WASDE MY 202526'!$B$4:$B$86&amp;'Historic WASDE MY 202526'!$C$4:$C$87,0),MATCH('Corn World-Major'!$K$2,'Historic WASDE MY 202526'!$D$3:$AA$3,0))</f>
        <v>10</v>
      </c>
      <c r="L42" s="276">
        <f>'Historic WASDE MY 202425'!P37</f>
        <v>20</v>
      </c>
      <c r="M42" s="276">
        <f>'Historic WASDE MY 202526'!G37</f>
        <v>10</v>
      </c>
    </row>
    <row r="43" spans="1:13">
      <c r="A43" s="274" t="s">
        <v>299</v>
      </c>
      <c r="B43" s="274" t="s">
        <v>14</v>
      </c>
      <c r="C43" s="281" t="s">
        <v>40</v>
      </c>
      <c r="D43" s="281">
        <v>982</v>
      </c>
      <c r="E43" s="281">
        <v>721</v>
      </c>
      <c r="F43" s="276" cm="1">
        <f t="array" ref="F43">INDEX('Historic WASDE MY 202425'!$D$4:$AA$87,MATCH('Corn World-Major'!B43&amp;'Corn World-Major'!C43,'Historic WASDE MY 202425'!$B$4:$B$86&amp;'Historic WASDE MY 202425'!$C$4:$C$87,0),MATCH('Corn World-Major'!$F$2,'Historic WASDE MY 202425'!$D$3:$AA$3,0))</f>
        <v>635</v>
      </c>
      <c r="G43" s="276" cm="1">
        <f t="array" ref="G43">INDEX('Historic WASDE MY 202526'!$D$4:$AA$87,MATCH('Corn World-Major'!B43&amp;'Corn World-Major'!C43,'Historic WASDE MY 202526'!$B$4:$B$86&amp;'Historic WASDE MY 202526'!$C$4:$C$87,0),MATCH('Corn World-Major'!$G$2,'Historic WASDE MY 202526'!$D$3:$AA$3,0))</f>
        <v>635</v>
      </c>
      <c r="H43" s="275"/>
      <c r="I43" s="276" cm="1">
        <f t="array" ref="I43">INDEX('Historic WASDE MY 202526'!$D$4:$AA$87,MATCH('Corn World-Major'!B43&amp;'Corn World-Major'!C43,'Historic WASDE MY 202526'!$B$4:$B$86&amp;'Historic WASDE MY 202526'!$C$4:$C$87,0),MATCH('Corn World-Major'!$I$2,'Historic WASDE MY 202526'!$D$3:$AA$3,0))</f>
        <v>635</v>
      </c>
      <c r="J43" s="276" cm="1">
        <f t="array" ref="J43">INDEX('Historic WASDE MY 202425'!$D$4:$AA$87,MATCH('Corn World-Major'!B43&amp;'Corn World-Major'!C43,'Historic WASDE MY 202425'!$B$4:$B$86&amp;'Historic WASDE MY 202425'!$C$4:$C$87,0),MATCH('Corn World-Major'!$J$2,'Historic WASDE MY 202425'!$D$3:$AA$3,0))</f>
        <v>635</v>
      </c>
      <c r="K43" s="276" cm="1">
        <f t="array" ref="K43">INDEX('Historic WASDE MY 202526'!$D$4:$AA$87,MATCH('Corn World-Major'!B43&amp;'Corn World-Major'!C43,'Historic WASDE MY 202526'!$B$4:$B$86&amp;'Historic WASDE MY 202526'!$C$4:$C$87,0),MATCH('Corn World-Major'!$K$2,'Historic WASDE MY 202526'!$D$3:$AA$3,0))</f>
        <v>635</v>
      </c>
      <c r="L43" s="276">
        <f>'Historic WASDE MY 202425'!P38</f>
        <v>635</v>
      </c>
      <c r="M43" s="276">
        <f>'Historic WASDE MY 202526'!G38</f>
        <v>635</v>
      </c>
    </row>
    <row r="44" spans="1:13" ht="15.75" thickBot="1">
      <c r="A44" s="274" t="s">
        <v>299</v>
      </c>
      <c r="B44" s="274" t="s">
        <v>14</v>
      </c>
      <c r="C44" s="281" t="s">
        <v>1</v>
      </c>
      <c r="D44" s="282">
        <v>173391</v>
      </c>
      <c r="E44" s="282">
        <v>201998</v>
      </c>
      <c r="F44" s="276" cm="1">
        <f t="array" ref="F44">INDEX('Historic WASDE MY 202425'!$D$4:$AA$87,MATCH('Corn World-Major'!B44&amp;'Corn World-Major'!C44,'Historic WASDE MY 202425'!$B$4:$B$86&amp;'Historic WASDE MY 202425'!$C$4:$C$87,0),MATCH('Corn World-Major'!$F$2,'Historic WASDE MY 202425'!$D$3:$AA$3,0))</f>
        <v>183526</v>
      </c>
      <c r="G44" s="276" cm="1">
        <f t="array" ref="G44">INDEX('Historic WASDE MY 202526'!$D$4:$AA$87,MATCH('Corn World-Major'!B44&amp;'Corn World-Major'!C44,'Historic WASDE MY 202526'!$B$4:$B$86&amp;'Historic WASDE MY 202526'!$C$4:$C$87,0),MATCH('Corn World-Major'!$G$2,'Historic WASDE MY 202526'!$D$3:$AA$3,0))</f>
        <v>187483</v>
      </c>
      <c r="H44" s="275"/>
      <c r="I44" s="276" cm="1">
        <f t="array" ref="I44">INDEX('Historic WASDE MY 202526'!$D$4:$AA$87,MATCH('Corn World-Major'!B44&amp;'Corn World-Major'!C44,'Historic WASDE MY 202526'!$B$4:$B$86&amp;'Historic WASDE MY 202526'!$C$4:$C$87,0),MATCH('Corn World-Major'!$I$2,'Historic WASDE MY 202526'!$D$3:$AA$3,0))</f>
        <v>187483</v>
      </c>
      <c r="J44" s="276" cm="1">
        <f t="array" ref="J44">INDEX('Historic WASDE MY 202425'!$D$4:$AA$87,MATCH('Corn World-Major'!B44&amp;'Corn World-Major'!C44,'Historic WASDE MY 202425'!$B$4:$B$86&amp;'Historic WASDE MY 202425'!$C$4:$C$87,0),MATCH('Corn World-Major'!$J$2,'Historic WASDE MY 202425'!$D$3:$AA$3,0))</f>
        <v>182873</v>
      </c>
      <c r="K44" s="276" cm="1">
        <f t="array" ref="K44">INDEX('Historic WASDE MY 202526'!$D$4:$AA$87,MATCH('Corn World-Major'!B44&amp;'Corn World-Major'!C44,'Historic WASDE MY 202526'!$B$4:$B$86&amp;'Historic WASDE MY 202526'!$C$4:$C$87,0),MATCH('Corn World-Major'!$K$2,'Historic WASDE MY 202526'!$D$3:$AA$3,0))</f>
        <v>187758</v>
      </c>
      <c r="L44" s="276">
        <f>'Historic WASDE MY 202425'!P39</f>
        <v>183611</v>
      </c>
      <c r="M44" s="276">
        <f>'Historic WASDE MY 202526'!G39</f>
        <v>192163</v>
      </c>
    </row>
    <row r="45" spans="1:13" ht="15.75" thickBot="1">
      <c r="A45" s="274" t="s">
        <v>299</v>
      </c>
      <c r="B45" s="274" t="s">
        <v>14</v>
      </c>
      <c r="C45" s="278" t="s">
        <v>300</v>
      </c>
      <c r="D45" s="279">
        <f>D44-SUM(D36:D43)</f>
        <v>126961</v>
      </c>
      <c r="E45" s="279">
        <f>E44-SUM(E36:E43)</f>
        <v>153437</v>
      </c>
      <c r="F45" s="279">
        <f t="shared" ref="F45:M45" si="3">F44-SUM(F36:F43)</f>
        <v>151116</v>
      </c>
      <c r="G45" s="279">
        <f t="shared" si="3"/>
        <v>152183</v>
      </c>
      <c r="H45" s="279">
        <f t="shared" si="3"/>
        <v>0</v>
      </c>
      <c r="I45" s="279">
        <f t="shared" si="3"/>
        <v>152183</v>
      </c>
      <c r="J45" s="279">
        <f t="shared" si="3"/>
        <v>156463</v>
      </c>
      <c r="K45" s="279">
        <f t="shared" si="3"/>
        <v>152658</v>
      </c>
      <c r="L45" s="279">
        <f t="shared" si="3"/>
        <v>155701</v>
      </c>
      <c r="M45" s="279">
        <f t="shared" si="3"/>
        <v>155763</v>
      </c>
    </row>
    <row r="46" spans="1:13">
      <c r="A46" s="274"/>
      <c r="B46" s="280"/>
      <c r="C46" s="274"/>
      <c r="D46" s="275"/>
      <c r="E46" s="275"/>
      <c r="F46" s="275"/>
      <c r="G46" s="275"/>
      <c r="H46" s="275"/>
      <c r="I46" s="275"/>
      <c r="J46" s="275"/>
      <c r="K46" s="275"/>
    </row>
    <row r="47" spans="1:13">
      <c r="A47" s="274" t="s">
        <v>299</v>
      </c>
      <c r="B47" s="274" t="s">
        <v>301</v>
      </c>
      <c r="C47" s="274" t="s">
        <v>24</v>
      </c>
      <c r="D47" s="275">
        <v>40764</v>
      </c>
      <c r="E47" s="275">
        <v>53334</v>
      </c>
      <c r="F47" s="276" cm="1">
        <f t="array" ref="F47">INDEX('Historic WASDE MY 202425'!$D$4:$AA$87,MATCH('Corn World-Major'!B47&amp;'Corn World-Major'!C47,'Historic WASDE MY 202425'!$B$4:$B$86&amp;'Historic WASDE MY 202425'!$C$4:$C$87,0),MATCH('Corn World-Major'!$F$2,'Historic WASDE MY 202425'!$D$3:$AA$3,0))</f>
        <v>52483</v>
      </c>
      <c r="G47" s="276" cm="1">
        <f t="array" ref="G47">INDEX('Historic WASDE MY 202526'!$D$4:$AA$87,MATCH('Corn World-Major'!B47&amp;'Corn World-Major'!C47,'Historic WASDE MY 202526'!$B$4:$B$86&amp;'Historic WASDE MY 202526'!$C$4:$C$87,0),MATCH('Corn World-Major'!$G$2,'Historic WASDE MY 202526'!$D$3:$AA$3,0))</f>
        <v>55388</v>
      </c>
      <c r="H47" s="275"/>
      <c r="I47" s="276" cm="1">
        <f t="array" ref="I47">INDEX('Historic WASDE MY 202526'!$D$4:$AA$87,MATCH('Corn World-Major'!B47&amp;'Corn World-Major'!C47,'Historic WASDE MY 202526'!$B$4:$B$86&amp;'Historic WASDE MY 202526'!$C$4:$C$87,0),MATCH('Corn World-Major'!$I$2,'Historic WASDE MY 202526'!$D$3:$AA$3,0))</f>
        <v>55788</v>
      </c>
      <c r="J47" s="276" cm="1">
        <f t="array" ref="J47">INDEX('Historic WASDE MY 202425'!$D$4:$AA$87,MATCH('Corn World-Major'!B47&amp;'Corn World-Major'!C47,'Historic WASDE MY 202425'!$B$4:$B$86&amp;'Historic WASDE MY 202425'!$C$4:$C$87,0),MATCH('Corn World-Major'!$J$2,'Historic WASDE MY 202425'!$D$3:$AA$3,0))</f>
        <v>52483</v>
      </c>
      <c r="K47" s="276" cm="1">
        <f t="array" ref="K47">INDEX('Historic WASDE MY 202526'!$D$4:$AA$87,MATCH('Corn World-Major'!B47&amp;'Corn World-Major'!C47,'Historic WASDE MY 202526'!$B$4:$B$86&amp;'Historic WASDE MY 202526'!$C$4:$C$87,0),MATCH('Corn World-Major'!$K$2,'Historic WASDE MY 202526'!$D$3:$AA$3,0))</f>
        <v>55788</v>
      </c>
      <c r="L47" s="283">
        <f>'Historic WASDE MY 202425'!P40</f>
        <v>52483</v>
      </c>
      <c r="M47" s="283">
        <f>'Historic WASDE MY 202526'!G40</f>
        <v>55788</v>
      </c>
    </row>
    <row r="48" spans="1:13">
      <c r="A48" s="274" t="s">
        <v>299</v>
      </c>
      <c r="B48" s="274" t="s">
        <v>301</v>
      </c>
      <c r="C48" s="274" t="s">
        <v>27</v>
      </c>
      <c r="D48" s="275">
        <v>142304</v>
      </c>
      <c r="E48" s="275">
        <v>130758</v>
      </c>
      <c r="F48" s="276" cm="1">
        <f t="array" ref="F48">INDEX('Historic WASDE MY 202425'!$D$4:$AA$87,MATCH('Corn World-Major'!B48&amp;'Corn World-Major'!C48,'Historic WASDE MY 202425'!$B$4:$B$86&amp;'Historic WASDE MY 202425'!$C$4:$C$87,0),MATCH('Corn World-Major'!$F$2,'Historic WASDE MY 202425'!$D$3:$AA$3,0))</f>
        <v>139982</v>
      </c>
      <c r="G48" s="276" cm="1">
        <f t="array" ref="G48">INDEX('Historic WASDE MY 202526'!$D$4:$AA$87,MATCH('Corn World-Major'!B48&amp;'Corn World-Major'!C48,'Historic WASDE MY 202526'!$B$4:$B$86&amp;'Historic WASDE MY 202526'!$C$4:$C$87,0),MATCH('Corn World-Major'!$G$2,'Historic WASDE MY 202526'!$D$3:$AA$3,0))</f>
        <v>138582</v>
      </c>
      <c r="H48" s="275"/>
      <c r="I48" s="276" cm="1">
        <f t="array" ref="I48">INDEX('Historic WASDE MY 202526'!$D$4:$AA$87,MATCH('Corn World-Major'!B48&amp;'Corn World-Major'!C48,'Historic WASDE MY 202526'!$B$4:$B$86&amp;'Historic WASDE MY 202526'!$C$4:$C$87,0),MATCH('Corn World-Major'!$I$2,'Historic WASDE MY 202526'!$D$3:$AA$3,0))</f>
        <v>138588</v>
      </c>
      <c r="J48" s="276" cm="1">
        <f t="array" ref="J48">INDEX('Historic WASDE MY 202425'!$D$4:$AA$87,MATCH('Corn World-Major'!B48&amp;'Corn World-Major'!C48,'Historic WASDE MY 202425'!$B$4:$B$86&amp;'Historic WASDE MY 202425'!$C$4:$C$87,0),MATCH('Corn World-Major'!$J$2,'Historic WASDE MY 202425'!$D$3:$AA$3,0))</f>
        <v>141988</v>
      </c>
      <c r="K48" s="276" cm="1">
        <f t="array" ref="K48">INDEX('Historic WASDE MY 202526'!$D$4:$AA$87,MATCH('Corn World-Major'!B48&amp;'Corn World-Major'!C48,'Historic WASDE MY 202526'!$B$4:$B$86&amp;'Historic WASDE MY 202526'!$C$4:$C$87,0),MATCH('Corn World-Major'!$K$2,'Historic WASDE MY 202526'!$D$3:$AA$3,0))</f>
        <v>140588</v>
      </c>
      <c r="L48" s="283">
        <f>'Historic WASDE MY 202425'!P41</f>
        <v>141988</v>
      </c>
      <c r="M48" s="283">
        <f>'Historic WASDE MY 202526'!G41</f>
        <v>140588</v>
      </c>
    </row>
    <row r="49" spans="1:13">
      <c r="A49" s="274" t="s">
        <v>299</v>
      </c>
      <c r="B49" s="274" t="s">
        <v>301</v>
      </c>
      <c r="C49" s="274" t="s">
        <v>29</v>
      </c>
      <c r="D49" s="275">
        <v>19414</v>
      </c>
      <c r="E49" s="275">
        <v>19863</v>
      </c>
      <c r="F49" s="276" cm="1">
        <f t="array" ref="F49">INDEX('Historic WASDE MY 202425'!$D$4:$AA$87,MATCH('Corn World-Major'!B49&amp;'Corn World-Major'!C49,'Historic WASDE MY 202425'!$B$4:$B$86&amp;'Historic WASDE MY 202425'!$C$4:$C$87,0),MATCH('Corn World-Major'!$F$2,'Historic WASDE MY 202425'!$D$3:$AA$3,0))</f>
        <v>19541</v>
      </c>
      <c r="G49" s="276" cm="1">
        <f t="array" ref="G49">INDEX('Historic WASDE MY 202526'!$D$4:$AA$87,MATCH('Corn World-Major'!B49&amp;'Corn World-Major'!C49,'Historic WASDE MY 202526'!$B$4:$B$86&amp;'Historic WASDE MY 202526'!$C$4:$C$87,0),MATCH('Corn World-Major'!$G$2,'Historic WASDE MY 202526'!$D$3:$AA$3,0))</f>
        <v>19141</v>
      </c>
      <c r="H49" s="275"/>
      <c r="I49" s="276" cm="1">
        <f t="array" ref="I49">INDEX('Historic WASDE MY 202526'!$D$4:$AA$87,MATCH('Corn World-Major'!B49&amp;'Corn World-Major'!C49,'Historic WASDE MY 202526'!$B$4:$B$86&amp;'Historic WASDE MY 202526'!$C$4:$C$87,0),MATCH('Corn World-Major'!$I$2,'Historic WASDE MY 202526'!$D$3:$AA$3,0))</f>
        <v>18841</v>
      </c>
      <c r="J49" s="276" cm="1">
        <f t="array" ref="J49">INDEX('Historic WASDE MY 202425'!$D$4:$AA$87,MATCH('Corn World-Major'!B49&amp;'Corn World-Major'!C49,'Historic WASDE MY 202425'!$B$4:$B$86&amp;'Historic WASDE MY 202425'!$C$4:$C$87,0),MATCH('Corn World-Major'!$J$2,'Historic WASDE MY 202425'!$D$3:$AA$3,0))</f>
        <v>19041</v>
      </c>
      <c r="K49" s="276" cm="1">
        <f t="array" ref="K49">INDEX('Historic WASDE MY 202526'!$D$4:$AA$87,MATCH('Corn World-Major'!B49&amp;'Corn World-Major'!C49,'Historic WASDE MY 202526'!$B$4:$B$86&amp;'Historic WASDE MY 202526'!$C$4:$C$87,0),MATCH('Corn World-Major'!$K$2,'Historic WASDE MY 202526'!$D$3:$AA$3,0))</f>
        <v>18891</v>
      </c>
      <c r="L49" s="283">
        <f>'Historic WASDE MY 202425'!P42</f>
        <v>19041</v>
      </c>
      <c r="M49" s="283">
        <f>'Historic WASDE MY 202526'!G42</f>
        <v>18991</v>
      </c>
    </row>
    <row r="50" spans="1:13">
      <c r="A50" s="274" t="s">
        <v>299</v>
      </c>
      <c r="B50" s="274" t="s">
        <v>301</v>
      </c>
      <c r="C50" s="274" t="s">
        <v>32</v>
      </c>
      <c r="D50" s="275">
        <v>505048</v>
      </c>
      <c r="E50" s="275">
        <v>518289</v>
      </c>
      <c r="F50" s="276" cm="1">
        <f t="array" ref="F50">INDEX('Historic WASDE MY 202425'!$D$4:$AA$87,MATCH('Corn World-Major'!B50&amp;'Corn World-Major'!C50,'Historic WASDE MY 202425'!$B$4:$B$86&amp;'Historic WASDE MY 202425'!$C$4:$C$87,0),MATCH('Corn World-Major'!$F$2,'Historic WASDE MY 202425'!$D$3:$AA$3,0))</f>
        <v>514203</v>
      </c>
      <c r="G50" s="276" cm="1">
        <f t="array" ref="G50">INDEX('Historic WASDE MY 202526'!$D$4:$AA$87,MATCH('Corn World-Major'!B50&amp;'Corn World-Major'!C50,'Historic WASDE MY 202526'!$B$4:$B$86&amp;'Historic WASDE MY 202526'!$C$4:$C$87,0),MATCH('Corn World-Major'!$G$2,'Historic WASDE MY 202526'!$D$3:$AA$3,0))</f>
        <v>503183</v>
      </c>
      <c r="H50" s="275"/>
      <c r="I50" s="276" cm="1">
        <f t="array" ref="I50">INDEX('Historic WASDE MY 202526'!$D$4:$AA$87,MATCH('Corn World-Major'!B50&amp;'Corn World-Major'!C50,'Historic WASDE MY 202526'!$B$4:$B$86&amp;'Historic WASDE MY 202526'!$C$4:$C$87,0),MATCH('Corn World-Major'!$I$2,'Historic WASDE MY 202526'!$D$3:$AA$3,0))</f>
        <v>502183</v>
      </c>
      <c r="J50" s="276" cm="1">
        <f t="array" ref="J50">INDEX('Historic WASDE MY 202425'!$D$4:$AA$87,MATCH('Corn World-Major'!B50&amp;'Corn World-Major'!C50,'Historic WASDE MY 202425'!$B$4:$B$86&amp;'Historic WASDE MY 202425'!$C$4:$C$87,0),MATCH('Corn World-Major'!$J$2,'Historic WASDE MY 202425'!$D$3:$AA$3,0))</f>
        <v>3294</v>
      </c>
      <c r="K50" s="276" cm="1">
        <f t="array" ref="K50">INDEX('Historic WASDE MY 202526'!$D$4:$AA$87,MATCH('Corn World-Major'!B50&amp;'Corn World-Major'!C50,'Historic WASDE MY 202526'!$B$4:$B$86&amp;'Historic WASDE MY 202526'!$C$4:$C$87,0),MATCH('Corn World-Major'!$K$2,'Historic WASDE MY 202526'!$D$3:$AA$3,0))</f>
        <v>500183</v>
      </c>
      <c r="L50" s="283">
        <f>'Historic WASDE MY 202425'!P43</f>
        <v>510203</v>
      </c>
      <c r="M50" s="283">
        <f>'Historic WASDE MY 202526'!G43</f>
        <v>499183</v>
      </c>
    </row>
    <row r="51" spans="1:13">
      <c r="A51" s="274" t="s">
        <v>299</v>
      </c>
      <c r="B51" s="274" t="s">
        <v>301</v>
      </c>
      <c r="C51" s="274" t="s">
        <v>34</v>
      </c>
      <c r="D51" s="275">
        <v>87025</v>
      </c>
      <c r="E51" s="275">
        <v>89803</v>
      </c>
      <c r="F51" s="276" cm="1">
        <f t="array" ref="F51">INDEX('Historic WASDE MY 202425'!$D$4:$AA$87,MATCH('Corn World-Major'!B51&amp;'Corn World-Major'!C51,'Historic WASDE MY 202425'!$B$4:$B$86&amp;'Historic WASDE MY 202425'!$C$4:$C$87,0),MATCH('Corn World-Major'!$F$2,'Historic WASDE MY 202425'!$D$3:$AA$3,0))</f>
        <v>86626</v>
      </c>
      <c r="G51" s="276" cm="1">
        <f t="array" ref="G51">INDEX('Historic WASDE MY 202526'!$D$4:$AA$87,MATCH('Corn World-Major'!B51&amp;'Corn World-Major'!C51,'Historic WASDE MY 202526'!$B$4:$B$86&amp;'Historic WASDE MY 202526'!$C$4:$C$87,0),MATCH('Corn World-Major'!$G$2,'Historic WASDE MY 202526'!$D$3:$AA$3,0))</f>
        <v>86826</v>
      </c>
      <c r="H51" s="275"/>
      <c r="I51" s="276" cm="1">
        <f t="array" ref="I51">INDEX('Historic WASDE MY 202526'!$D$4:$AA$87,MATCH('Corn World-Major'!B51&amp;'Corn World-Major'!C51,'Historic WASDE MY 202526'!$B$4:$B$86&amp;'Historic WASDE MY 202526'!$C$4:$C$87,0),MATCH('Corn World-Major'!$I$2,'Historic WASDE MY 202526'!$D$3:$AA$3,0))</f>
        <v>86826</v>
      </c>
      <c r="J51" s="276" cm="1">
        <f t="array" ref="J51">INDEX('Historic WASDE MY 202425'!$D$4:$AA$87,MATCH('Corn World-Major'!B51&amp;'Corn World-Major'!C51,'Historic WASDE MY 202425'!$B$4:$B$86&amp;'Historic WASDE MY 202425'!$C$4:$C$87,0),MATCH('Corn World-Major'!$J$2,'Historic WASDE MY 202425'!$D$3:$AA$3,0))</f>
        <v>86626</v>
      </c>
      <c r="K51" s="276" cm="1">
        <f t="array" ref="K51">INDEX('Historic WASDE MY 202526'!$D$4:$AA$87,MATCH('Corn World-Major'!B51&amp;'Corn World-Major'!C51,'Historic WASDE MY 202526'!$B$4:$B$86&amp;'Historic WASDE MY 202526'!$C$4:$C$87,0),MATCH('Corn World-Major'!$K$2,'Historic WASDE MY 202526'!$D$3:$AA$3,0))</f>
        <v>86826</v>
      </c>
      <c r="L51" s="283">
        <f>'Historic WASDE MY 202425'!P44</f>
        <v>86626</v>
      </c>
      <c r="M51" s="283">
        <f>'Historic WASDE MY 202526'!G44</f>
        <v>86226</v>
      </c>
    </row>
    <row r="52" spans="1:13">
      <c r="A52" s="274" t="s">
        <v>299</v>
      </c>
      <c r="B52" s="274" t="s">
        <v>301</v>
      </c>
      <c r="C52" s="274" t="s">
        <v>36</v>
      </c>
      <c r="D52" s="275">
        <v>16808</v>
      </c>
      <c r="E52" s="275">
        <v>17558</v>
      </c>
      <c r="F52" s="276" cm="1">
        <f t="array" ref="F52">INDEX('Historic WASDE MY 202425'!$D$4:$AA$87,MATCH('Corn World-Major'!B52&amp;'Corn World-Major'!C52,'Historic WASDE MY 202425'!$B$4:$B$86&amp;'Historic WASDE MY 202425'!$C$4:$C$87,0),MATCH('Corn World-Major'!$F$2,'Historic WASDE MY 202425'!$D$3:$AA$3,0))</f>
        <v>14808</v>
      </c>
      <c r="G52" s="276" cm="1">
        <f t="array" ref="G52">INDEX('Historic WASDE MY 202526'!$D$4:$AA$87,MATCH('Corn World-Major'!B52&amp;'Corn World-Major'!C52,'Historic WASDE MY 202526'!$B$4:$B$86&amp;'Historic WASDE MY 202526'!$C$4:$C$87,0),MATCH('Corn World-Major'!$G$2,'Historic WASDE MY 202526'!$D$3:$AA$3,0))</f>
        <v>15958</v>
      </c>
      <c r="H52" s="275"/>
      <c r="I52" s="276" cm="1">
        <f t="array" ref="I52">INDEX('Historic WASDE MY 202526'!$D$4:$AA$87,MATCH('Corn World-Major'!B52&amp;'Corn World-Major'!C52,'Historic WASDE MY 202526'!$B$4:$B$86&amp;'Historic WASDE MY 202526'!$C$4:$C$87,0),MATCH('Corn World-Major'!$I$2,'Historic WASDE MY 202526'!$D$3:$AA$3,0))</f>
        <v>15958</v>
      </c>
      <c r="J52" s="276" cm="1">
        <f t="array" ref="J52">INDEX('Historic WASDE MY 202425'!$D$4:$AA$87,MATCH('Corn World-Major'!B52&amp;'Corn World-Major'!C52,'Historic WASDE MY 202425'!$B$4:$B$86&amp;'Historic WASDE MY 202425'!$C$4:$C$87,0),MATCH('Corn World-Major'!$J$2,'Historic WASDE MY 202425'!$D$3:$AA$3,0))</f>
        <v>14808</v>
      </c>
      <c r="K52" s="276" cm="1">
        <f t="array" ref="K52">INDEX('Historic WASDE MY 202526'!$D$4:$AA$87,MATCH('Corn World-Major'!B52&amp;'Corn World-Major'!C52,'Historic WASDE MY 202526'!$B$4:$B$86&amp;'Historic WASDE MY 202526'!$C$4:$C$87,0),MATCH('Corn World-Major'!$K$2,'Historic WASDE MY 202526'!$D$3:$AA$3,0))</f>
        <v>15958</v>
      </c>
      <c r="L52" s="283">
        <f>'Historic WASDE MY 202425'!P45</f>
        <v>14808</v>
      </c>
      <c r="M52" s="283">
        <f>'Historic WASDE MY 202526'!G45</f>
        <v>15958</v>
      </c>
    </row>
    <row r="53" spans="1:13">
      <c r="A53" s="274" t="s">
        <v>299</v>
      </c>
      <c r="B53" s="274" t="s">
        <v>301</v>
      </c>
      <c r="C53" s="274" t="s">
        <v>38</v>
      </c>
      <c r="D53" s="275">
        <v>34817</v>
      </c>
      <c r="E53" s="275">
        <v>35505</v>
      </c>
      <c r="F53" s="276" cm="1">
        <f t="array" ref="F53">INDEX('Historic WASDE MY 202425'!$D$4:$AA$87,MATCH('Corn World-Major'!B53&amp;'Corn World-Major'!C53,'Historic WASDE MY 202425'!$B$4:$B$86&amp;'Historic WASDE MY 202425'!$C$4:$C$87,0),MATCH('Corn World-Major'!$F$2,'Historic WASDE MY 202425'!$D$3:$AA$3,0))</f>
        <v>27462</v>
      </c>
      <c r="G53" s="276" cm="1">
        <f t="array" ref="G53">INDEX('Historic WASDE MY 202526'!$D$4:$AA$87,MATCH('Corn World-Major'!B53&amp;'Corn World-Major'!C53,'Historic WASDE MY 202526'!$B$4:$B$86&amp;'Historic WASDE MY 202526'!$C$4:$C$87,0),MATCH('Corn World-Major'!$G$2,'Historic WASDE MY 202526'!$D$3:$AA$3,0))</f>
        <v>30822</v>
      </c>
      <c r="H53" s="275"/>
      <c r="I53" s="276" cm="1">
        <f t="array" ref="I53">INDEX('Historic WASDE MY 202526'!$D$4:$AA$87,MATCH('Corn World-Major'!B53&amp;'Corn World-Major'!C53,'Historic WASDE MY 202526'!$B$4:$B$86&amp;'Historic WASDE MY 202526'!$C$4:$C$87,0),MATCH('Corn World-Major'!$I$2,'Historic WASDE MY 202526'!$D$3:$AA$3,0))</f>
        <v>30822</v>
      </c>
      <c r="J53" s="276" cm="1">
        <f t="array" ref="J53">INDEX('Historic WASDE MY 202425'!$D$4:$AA$87,MATCH('Corn World-Major'!B53&amp;'Corn World-Major'!C53,'Historic WASDE MY 202425'!$B$4:$B$86&amp;'Historic WASDE MY 202425'!$C$4:$C$87,0),MATCH('Corn World-Major'!$J$2,'Historic WASDE MY 202425'!$D$3:$AA$3,0))</f>
        <v>27462</v>
      </c>
      <c r="K53" s="276" cm="1">
        <f t="array" ref="K53">INDEX('Historic WASDE MY 202526'!$D$4:$AA$87,MATCH('Corn World-Major'!B53&amp;'Corn World-Major'!C53,'Historic WASDE MY 202526'!$B$4:$B$86&amp;'Historic WASDE MY 202526'!$C$4:$C$87,0),MATCH('Corn World-Major'!$K$2,'Historic WASDE MY 202526'!$D$3:$AA$3,0))</f>
        <v>30822</v>
      </c>
      <c r="L53" s="283">
        <f>'Historic WASDE MY 202425'!P46</f>
        <v>27462</v>
      </c>
      <c r="M53" s="283">
        <f>'Historic WASDE MY 202526'!G46</f>
        <v>32772</v>
      </c>
    </row>
    <row r="54" spans="1:13">
      <c r="A54" s="274" t="s">
        <v>299</v>
      </c>
      <c r="B54" s="274" t="s">
        <v>301</v>
      </c>
      <c r="C54" s="274" t="s">
        <v>40</v>
      </c>
      <c r="D54" s="275">
        <v>382696</v>
      </c>
      <c r="E54" s="275">
        <v>424939</v>
      </c>
      <c r="F54" s="276" cm="1">
        <f t="array" ref="F54">INDEX('Historic WASDE MY 202425'!$D$4:$AA$87,MATCH('Corn World-Major'!B54&amp;'Corn World-Major'!C54,'Historic WASDE MY 202425'!$B$4:$B$86&amp;'Historic WASDE MY 202425'!$C$4:$C$87,0),MATCH('Corn World-Major'!$F$2,'Historic WASDE MY 202425'!$D$3:$AA$3,0))</f>
        <v>423060</v>
      </c>
      <c r="G54" s="276" cm="1">
        <f t="array" ref="G54">INDEX('Historic WASDE MY 202526'!$D$4:$AA$87,MATCH('Corn World-Major'!B54&amp;'Corn World-Major'!C54,'Historic WASDE MY 202526'!$B$4:$B$86&amp;'Historic WASDE MY 202526'!$C$4:$C$87,0),MATCH('Corn World-Major'!$G$2,'Historic WASDE MY 202526'!$D$3:$AA$3,0))</f>
        <v>438428</v>
      </c>
      <c r="H54" s="275"/>
      <c r="I54" s="276" cm="1">
        <f t="array" ref="I54">INDEX('Historic WASDE MY 202526'!$D$4:$AA$87,MATCH('Corn World-Major'!B54&amp;'Corn World-Major'!C54,'Historic WASDE MY 202526'!$B$4:$B$86&amp;'Historic WASDE MY 202526'!$C$4:$C$87,0),MATCH('Corn World-Major'!$I$2,'Historic WASDE MY 202526'!$D$3:$AA$3,0))</f>
        <v>437158</v>
      </c>
      <c r="J54" s="276" cm="1">
        <f t="array" ref="J54">INDEX('Historic WASDE MY 202425'!$D$4:$AA$87,MATCH('Corn World-Major'!B54&amp;'Corn World-Major'!C54,'Historic WASDE MY 202425'!$B$4:$B$86&amp;'Historic WASDE MY 202425'!$C$4:$C$87,0),MATCH('Corn World-Major'!$J$2,'Historic WASDE MY 202425'!$D$3:$AA$3,0))</f>
        <v>423060</v>
      </c>
      <c r="K54" s="276" cm="1">
        <f t="array" ref="K54">INDEX('Historic WASDE MY 202526'!$D$4:$AA$87,MATCH('Corn World-Major'!B54&amp;'Corn World-Major'!C54,'Historic WASDE MY 202526'!$B$4:$B$86&amp;'Historic WASDE MY 202526'!$C$4:$C$87,0),MATCH('Corn World-Major'!$K$2,'Historic WASDE MY 202526'!$D$3:$AA$3,0))</f>
        <v>433601</v>
      </c>
      <c r="L54" s="283">
        <f>'Historic WASDE MY 202425'!P47</f>
        <v>423060</v>
      </c>
      <c r="M54" s="283">
        <f>'Historic WASDE MY 202526'!G47</f>
        <v>459044</v>
      </c>
    </row>
    <row r="55" spans="1:13" ht="15.75" thickBot="1">
      <c r="A55" s="274" t="s">
        <v>299</v>
      </c>
      <c r="B55" s="274" t="s">
        <v>301</v>
      </c>
      <c r="C55" s="274" t="s">
        <v>1</v>
      </c>
      <c r="D55" s="275">
        <v>1646818</v>
      </c>
      <c r="E55" s="275">
        <v>1847810</v>
      </c>
      <c r="F55" s="276" cm="1">
        <f t="array" ref="F55">INDEX('Historic WASDE MY 202425'!$D$4:$AA$87,MATCH('Corn World-Major'!B55&amp;'Corn World-Major'!C55,'Historic WASDE MY 202425'!$B$4:$B$86&amp;'Historic WASDE MY 202425'!$C$4:$C$87,0),MATCH('Corn World-Major'!$F$2,'Historic WASDE MY 202425'!$D$3:$AA$3,0))</f>
        <v>1720875</v>
      </c>
      <c r="G55" s="276" cm="1">
        <f t="array" ref="G55">INDEX('Historic WASDE MY 202526'!$D$4:$AA$87,MATCH('Corn World-Major'!B55&amp;'Corn World-Major'!C55,'Historic WASDE MY 202526'!$B$4:$B$86&amp;'Historic WASDE MY 202526'!$C$4:$C$87,0),MATCH('Corn World-Major'!$G$2,'Historic WASDE MY 202526'!$D$3:$AA$3,0))</f>
        <v>1739751</v>
      </c>
      <c r="H55" s="275"/>
      <c r="I55" s="276" cm="1">
        <f t="array" ref="I55">INDEX('Historic WASDE MY 202526'!$D$4:$AA$87,MATCH('Corn World-Major'!B55&amp;'Corn World-Major'!C55,'Historic WASDE MY 202526'!$B$4:$B$86&amp;'Historic WASDE MY 202526'!$C$4:$C$87,0),MATCH('Corn World-Major'!$I$2,'Historic WASDE MY 202526'!$D$3:$AA$3,0))</f>
        <v>1738505</v>
      </c>
      <c r="J55" s="276" cm="1">
        <f t="array" ref="J55">INDEX('Historic WASDE MY 202425'!$D$4:$AA$87,MATCH('Corn World-Major'!B55&amp;'Corn World-Major'!C55,'Historic WASDE MY 202425'!$B$4:$B$86&amp;'Historic WASDE MY 202425'!$C$4:$C$87,0),MATCH('Corn World-Major'!$J$2,'Historic WASDE MY 202425'!$D$3:$AA$3,0))</f>
        <v>1723858</v>
      </c>
      <c r="K55" s="276" cm="1">
        <f t="array" ref="K55">INDEX('Historic WASDE MY 202526'!$D$4:$AA$87,MATCH('Corn World-Major'!B55&amp;'Corn World-Major'!C55,'Historic WASDE MY 202526'!$B$4:$B$86&amp;'Historic WASDE MY 202526'!$C$4:$C$87,0),MATCH('Corn World-Major'!$K$2,'Historic WASDE MY 202526'!$D$3:$AA$3,0))</f>
        <v>1735596</v>
      </c>
      <c r="L55" s="283">
        <f>'Historic WASDE MY 202425'!P48</f>
        <v>1725336</v>
      </c>
      <c r="M55" s="283">
        <f>'Historic WASDE MY 202526'!G48</f>
        <v>1763851</v>
      </c>
    </row>
    <row r="56" spans="1:13" ht="15.75" thickBot="1">
      <c r="A56" s="274" t="s">
        <v>299</v>
      </c>
      <c r="B56" s="274" t="s">
        <v>301</v>
      </c>
      <c r="C56" s="278" t="s">
        <v>300</v>
      </c>
      <c r="D56" s="279">
        <f>D55-SUM(D47:D54)</f>
        <v>417942</v>
      </c>
      <c r="E56" s="279">
        <f>E55-SUM(E47:E54)</f>
        <v>557761</v>
      </c>
      <c r="F56" s="279">
        <f>F55-SUM(F47:F54)</f>
        <v>442710</v>
      </c>
      <c r="G56" s="279">
        <f>G55-SUM(G47:G54)</f>
        <v>451423</v>
      </c>
      <c r="H56" s="279">
        <f t="shared" ref="H56:M56" si="4">H55-SUM(H47:H54)</f>
        <v>0</v>
      </c>
      <c r="I56" s="279">
        <f t="shared" si="4"/>
        <v>452341</v>
      </c>
      <c r="J56" s="279">
        <f t="shared" si="4"/>
        <v>955096</v>
      </c>
      <c r="K56" s="279">
        <f t="shared" si="4"/>
        <v>452939</v>
      </c>
      <c r="L56" s="279">
        <f t="shared" si="4"/>
        <v>449665</v>
      </c>
      <c r="M56" s="279">
        <f t="shared" si="4"/>
        <v>455301</v>
      </c>
    </row>
    <row r="57" spans="1:13">
      <c r="A57" s="274"/>
      <c r="B57" s="280"/>
      <c r="C57" s="274"/>
      <c r="D57" s="275"/>
      <c r="E57" s="275"/>
      <c r="F57" s="275"/>
      <c r="G57" s="275"/>
      <c r="H57" s="275"/>
      <c r="I57" s="275"/>
      <c r="J57" s="275"/>
      <c r="K57" s="275"/>
    </row>
    <row r="58" spans="1:13">
      <c r="A58" s="274" t="s">
        <v>299</v>
      </c>
      <c r="B58" s="274" t="s">
        <v>19</v>
      </c>
      <c r="C58" s="281" t="s">
        <v>24</v>
      </c>
      <c r="D58" s="282">
        <v>25240</v>
      </c>
      <c r="E58" s="282">
        <v>36256</v>
      </c>
      <c r="F58" s="276" cm="1">
        <f t="array" ref="F58">INDEX('Historic WASDE MY 202425'!$D$4:$AA$87,MATCH('Corn World-Major'!B58&amp;'Corn World-Major'!C58,'Historic WASDE MY 202425'!$B$4:$B$86&amp;'Historic WASDE MY 202425'!$C$4:$C$87,0),MATCH('Corn World-Major'!$F$2,'Historic WASDE MY 202425'!$D$3:$AA$3,0))</f>
        <v>35500</v>
      </c>
      <c r="G58" s="276" cm="1">
        <f t="array" ref="G58">INDEX('Historic WASDE MY 202526'!$D$4:$AA$87,MATCH('Corn World-Major'!B58&amp;'Corn World-Major'!C58,'Historic WASDE MY 202526'!$B$4:$B$86&amp;'Historic WASDE MY 202526'!$C$4:$C$87,0),MATCH('Corn World-Major'!$G$2,'Historic WASDE MY 202526'!$D$3:$AA$3,0))</f>
        <v>37000</v>
      </c>
      <c r="H58" s="275"/>
      <c r="I58" s="276" cm="1">
        <f t="array" ref="I58">INDEX('Historic WASDE MY 202526'!$D$4:$AA$87,MATCH('Corn World-Major'!B58&amp;'Corn World-Major'!C58,'Historic WASDE MY 202526'!$B$4:$B$86&amp;'Historic WASDE MY 202526'!$C$4:$C$87,0),MATCH('Corn World-Major'!$I$2,'Historic WASDE MY 202526'!$D$3:$AA$3,0))</f>
        <v>37000</v>
      </c>
      <c r="J58" s="276" cm="1">
        <f t="array" ref="J58">INDEX('Historic WASDE MY 202425'!$D$4:$AA$87,MATCH('Corn World-Major'!B58&amp;'Corn World-Major'!C58,'Historic WASDE MY 202425'!$B$4:$B$86&amp;'Historic WASDE MY 202425'!$C$4:$C$87,0),MATCH('Corn World-Major'!$J$2,'Historic WASDE MY 202425'!$D$3:$AA$3,0))</f>
        <v>34500</v>
      </c>
      <c r="K58" s="276" cm="1">
        <f t="array" ref="K58">INDEX('Historic WASDE MY 202526'!$D$4:$AA$87,MATCH('Corn World-Major'!B58&amp;'Corn World-Major'!C58,'Historic WASDE MY 202526'!$B$4:$B$86&amp;'Historic WASDE MY 202526'!$C$4:$C$87,0),MATCH('Corn World-Major'!$K$2,'Historic WASDE MY 202526'!$D$3:$AA$3,0))</f>
        <v>37000</v>
      </c>
      <c r="L58" s="283">
        <f>'Historic WASDE MY 202425'!P49</f>
        <v>34500</v>
      </c>
      <c r="M58" s="283">
        <f>'Historic WASDE MY 202526'!G49</f>
        <v>37000</v>
      </c>
    </row>
    <row r="59" spans="1:13">
      <c r="A59" s="274" t="s">
        <v>299</v>
      </c>
      <c r="B59" s="274" t="s">
        <v>19</v>
      </c>
      <c r="C59" s="281" t="s">
        <v>27</v>
      </c>
      <c r="D59" s="282">
        <v>54263</v>
      </c>
      <c r="E59" s="282">
        <v>38276</v>
      </c>
      <c r="F59" s="276" cm="1">
        <f t="array" ref="F59">INDEX('Historic WASDE MY 202425'!$D$4:$AA$87,MATCH('Corn World-Major'!B59&amp;'Corn World-Major'!C59,'Historic WASDE MY 202425'!$B$4:$B$86&amp;'Historic WASDE MY 202425'!$C$4:$C$87,0),MATCH('Corn World-Major'!$F$2,'Historic WASDE MY 202425'!$D$3:$AA$3,0))</f>
        <v>43000</v>
      </c>
      <c r="G59" s="276" cm="1">
        <f t="array" ref="G59">INDEX('Historic WASDE MY 202526'!$D$4:$AA$87,MATCH('Corn World-Major'!B59&amp;'Corn World-Major'!C59,'Historic WASDE MY 202526'!$B$4:$B$86&amp;'Historic WASDE MY 202526'!$C$4:$C$87,0),MATCH('Corn World-Major'!$G$2,'Historic WASDE MY 202526'!$D$3:$AA$3,0))</f>
        <v>43000</v>
      </c>
      <c r="H59" s="275"/>
      <c r="I59" s="276" cm="1">
        <f t="array" ref="I59">INDEX('Historic WASDE MY 202526'!$D$4:$AA$87,MATCH('Corn World-Major'!B59&amp;'Corn World-Major'!C59,'Historic WASDE MY 202526'!$B$4:$B$86&amp;'Historic WASDE MY 202526'!$C$4:$C$87,0),MATCH('Corn World-Major'!$I$2,'Historic WASDE MY 202526'!$D$3:$AA$3,0))</f>
        <v>43000</v>
      </c>
      <c r="J59" s="276" cm="1">
        <f t="array" ref="J59">INDEX('Historic WASDE MY 202425'!$D$4:$AA$87,MATCH('Corn World-Major'!B59&amp;'Corn World-Major'!C59,'Historic WASDE MY 202425'!$B$4:$B$86&amp;'Historic WASDE MY 202425'!$C$4:$C$87,0),MATCH('Corn World-Major'!$J$2,'Historic WASDE MY 202425'!$D$3:$AA$3,0))</f>
        <v>43000</v>
      </c>
      <c r="K59" s="276" cm="1">
        <f t="array" ref="K59">INDEX('Historic WASDE MY 202526'!$D$4:$AA$87,MATCH('Corn World-Major'!B59&amp;'Corn World-Major'!C59,'Historic WASDE MY 202526'!$B$4:$B$86&amp;'Historic WASDE MY 202526'!$C$4:$C$87,0),MATCH('Corn World-Major'!$K$2,'Historic WASDE MY 202526'!$D$3:$AA$3,0))</f>
        <v>43000</v>
      </c>
      <c r="L59" s="283">
        <f>'Historic WASDE MY 202425'!P50</f>
        <v>43000</v>
      </c>
      <c r="M59" s="283">
        <f>'Historic WASDE MY 202526'!G50</f>
        <v>43000</v>
      </c>
    </row>
    <row r="60" spans="1:13">
      <c r="A60" s="274" t="s">
        <v>299</v>
      </c>
      <c r="B60" s="274" t="s">
        <v>19</v>
      </c>
      <c r="C60" s="281" t="s">
        <v>29</v>
      </c>
      <c r="D60" s="282">
        <v>2859</v>
      </c>
      <c r="E60" s="282">
        <v>2067</v>
      </c>
      <c r="F60" s="276" cm="1">
        <f t="array" ref="F60">INDEX('Historic WASDE MY 202425'!$D$4:$AA$87,MATCH('Corn World-Major'!B60&amp;'Corn World-Major'!C60,'Historic WASDE MY 202425'!$B$4:$B$86&amp;'Historic WASDE MY 202425'!$C$4:$C$87,0),MATCH('Corn World-Major'!$F$2,'Historic WASDE MY 202425'!$D$3:$AA$3,0))</f>
        <v>2200</v>
      </c>
      <c r="G60" s="276" cm="1">
        <f t="array" ref="G60">INDEX('Historic WASDE MY 202526'!$D$4:$AA$87,MATCH('Corn World-Major'!B60&amp;'Corn World-Major'!C60,'Historic WASDE MY 202526'!$B$4:$B$86&amp;'Historic WASDE MY 202526'!$C$4:$C$87,0),MATCH('Corn World-Major'!$G$2,'Historic WASDE MY 202526'!$D$3:$AA$3,0))</f>
        <v>2100</v>
      </c>
      <c r="H60" s="275"/>
      <c r="I60" s="276" cm="1">
        <f t="array" ref="I60">INDEX('Historic WASDE MY 202526'!$D$4:$AA$87,MATCH('Corn World-Major'!B60&amp;'Corn World-Major'!C60,'Historic WASDE MY 202526'!$B$4:$B$86&amp;'Historic WASDE MY 202526'!$C$4:$C$87,0),MATCH('Corn World-Major'!$I$2,'Historic WASDE MY 202526'!$D$3:$AA$3,0))</f>
        <v>2100</v>
      </c>
      <c r="J60" s="276" cm="1">
        <f t="array" ref="J60">INDEX('Historic WASDE MY 202425'!$D$4:$AA$87,MATCH('Corn World-Major'!B60&amp;'Corn World-Major'!C60,'Historic WASDE MY 202425'!$B$4:$B$86&amp;'Historic WASDE MY 202425'!$C$4:$C$87,0),MATCH('Corn World-Major'!$J$2,'Historic WASDE MY 202425'!$D$3:$AA$3,0))</f>
        <v>2750</v>
      </c>
      <c r="K60" s="276" cm="1">
        <f t="array" ref="K60">INDEX('Historic WASDE MY 202526'!$D$4:$AA$87,MATCH('Corn World-Major'!B60&amp;'Corn World-Major'!C60,'Historic WASDE MY 202526'!$B$4:$B$86&amp;'Historic WASDE MY 202526'!$C$4:$C$87,0),MATCH('Corn World-Major'!$K$2,'Historic WASDE MY 202526'!$D$3:$AA$3,0))</f>
        <v>2100</v>
      </c>
      <c r="L60" s="283">
        <f>'Historic WASDE MY 202425'!P51</f>
        <v>2750</v>
      </c>
      <c r="M60" s="283">
        <f>'Historic WASDE MY 202526'!G51</f>
        <v>2100</v>
      </c>
    </row>
    <row r="61" spans="1:13">
      <c r="A61" s="274" t="s">
        <v>299</v>
      </c>
      <c r="B61" s="274" t="s">
        <v>19</v>
      </c>
      <c r="C61" s="281" t="s">
        <v>32</v>
      </c>
      <c r="D61" s="281">
        <v>8</v>
      </c>
      <c r="E61" s="281">
        <v>3</v>
      </c>
      <c r="F61" s="276" cm="1">
        <f t="array" ref="F61">INDEX('Historic WASDE MY 202425'!$D$4:$AA$87,MATCH('Corn World-Major'!B61&amp;'Corn World-Major'!C61,'Historic WASDE MY 202425'!$B$4:$B$86&amp;'Historic WASDE MY 202425'!$C$4:$C$87,0),MATCH('Corn World-Major'!$F$2,'Historic WASDE MY 202425'!$D$3:$AA$3,0))</f>
        <v>20</v>
      </c>
      <c r="G61" s="276" cm="1">
        <f t="array" ref="G61">INDEX('Historic WASDE MY 202526'!$D$4:$AA$87,MATCH('Corn World-Major'!B61&amp;'Corn World-Major'!C61,'Historic WASDE MY 202526'!$B$4:$B$86&amp;'Historic WASDE MY 202526'!$C$4:$C$87,0),MATCH('Corn World-Major'!$G$2,'Historic WASDE MY 202526'!$D$3:$AA$3,0))</f>
        <v>20</v>
      </c>
      <c r="H61" s="275"/>
      <c r="I61" s="276" cm="1">
        <f t="array" ref="I61">INDEX('Historic WASDE MY 202526'!$D$4:$AA$87,MATCH('Corn World-Major'!B61&amp;'Corn World-Major'!C61,'Historic WASDE MY 202526'!$B$4:$B$86&amp;'Historic WASDE MY 202526'!$C$4:$C$87,0),MATCH('Corn World-Major'!$I$2,'Historic WASDE MY 202526'!$D$3:$AA$3,0))</f>
        <v>20</v>
      </c>
      <c r="J61" s="276" cm="1">
        <f t="array" ref="J61">INDEX('Historic WASDE MY 202425'!$D$4:$AA$87,MATCH('Corn World-Major'!B61&amp;'Corn World-Major'!C61,'Historic WASDE MY 202425'!$B$4:$B$86&amp;'Historic WASDE MY 202425'!$C$4:$C$87,0),MATCH('Corn World-Major'!$J$2,'Historic WASDE MY 202425'!$D$3:$AA$3,0))</f>
        <v>20</v>
      </c>
      <c r="K61" s="276" cm="1">
        <f t="array" ref="K61">INDEX('Historic WASDE MY 202526'!$D$4:$AA$87,MATCH('Corn World-Major'!B61&amp;'Corn World-Major'!C61,'Historic WASDE MY 202526'!$B$4:$B$86&amp;'Historic WASDE MY 202526'!$C$4:$C$87,0),MATCH('Corn World-Major'!$K$2,'Historic WASDE MY 202526'!$D$3:$AA$3,0))</f>
        <v>20</v>
      </c>
      <c r="L61" s="283">
        <f>'Historic WASDE MY 202425'!P52</f>
        <v>20</v>
      </c>
      <c r="M61" s="283">
        <f>'Historic WASDE MY 202526'!G52</f>
        <v>20</v>
      </c>
    </row>
    <row r="62" spans="1:13">
      <c r="A62" s="274" t="s">
        <v>299</v>
      </c>
      <c r="B62" s="274" t="s">
        <v>19</v>
      </c>
      <c r="C62" s="281" t="s">
        <v>34</v>
      </c>
      <c r="D62" s="282">
        <v>4196</v>
      </c>
      <c r="E62" s="282">
        <v>4389</v>
      </c>
      <c r="F62" s="276" cm="1">
        <f t="array" ref="F62">INDEX('Historic WASDE MY 202425'!$D$4:$AA$87,MATCH('Corn World-Major'!B62&amp;'Corn World-Major'!C62,'Historic WASDE MY 202425'!$B$4:$B$86&amp;'Historic WASDE MY 202425'!$C$4:$C$87,0),MATCH('Corn World-Major'!$F$2,'Historic WASDE MY 202425'!$D$3:$AA$3,0))</f>
        <v>2400</v>
      </c>
      <c r="G62" s="276" cm="1">
        <f t="array" ref="G62">INDEX('Historic WASDE MY 202526'!$D$4:$AA$87,MATCH('Corn World-Major'!B62&amp;'Corn World-Major'!C62,'Historic WASDE MY 202526'!$B$4:$B$86&amp;'Historic WASDE MY 202526'!$C$4:$C$87,0),MATCH('Corn World-Major'!$G$2,'Historic WASDE MY 202526'!$D$3:$AA$3,0))</f>
        <v>3000</v>
      </c>
      <c r="H62" s="275"/>
      <c r="I62" s="276" cm="1">
        <f t="array" ref="I62">INDEX('Historic WASDE MY 202526'!$D$4:$AA$87,MATCH('Corn World-Major'!B62&amp;'Corn World-Major'!C62,'Historic WASDE MY 202526'!$B$4:$B$86&amp;'Historic WASDE MY 202526'!$C$4:$C$87,0),MATCH('Corn World-Major'!$I$2,'Historic WASDE MY 202526'!$D$3:$AA$3,0))</f>
        <v>3000</v>
      </c>
      <c r="J62" s="276" cm="1">
        <f t="array" ref="J62">INDEX('Historic WASDE MY 202425'!$D$4:$AA$87,MATCH('Corn World-Major'!B62&amp;'Corn World-Major'!C62,'Historic WASDE MY 202425'!$B$4:$B$86&amp;'Historic WASDE MY 202425'!$C$4:$C$87,0),MATCH('Corn World-Major'!$J$2,'Historic WASDE MY 202425'!$D$3:$AA$3,0))</f>
        <v>2400</v>
      </c>
      <c r="K62" s="276" cm="1">
        <f t="array" ref="K62">INDEX('Historic WASDE MY 202526'!$D$4:$AA$87,MATCH('Corn World-Major'!B62&amp;'Corn World-Major'!C62,'Historic WASDE MY 202526'!$B$4:$B$86&amp;'Historic WASDE MY 202526'!$C$4:$C$87,0),MATCH('Corn World-Major'!$K$2,'Historic WASDE MY 202526'!$D$3:$AA$3,0))</f>
        <v>3000</v>
      </c>
      <c r="L62" s="283">
        <f>'Historic WASDE MY 202425'!P53</f>
        <v>2400</v>
      </c>
      <c r="M62" s="283">
        <f>'Historic WASDE MY 202526'!G53</f>
        <v>2500</v>
      </c>
    </row>
    <row r="63" spans="1:13">
      <c r="A63" s="274" t="s">
        <v>299</v>
      </c>
      <c r="B63" s="274" t="s">
        <v>19</v>
      </c>
      <c r="C63" s="281" t="s">
        <v>36</v>
      </c>
      <c r="D63" s="282">
        <v>5900</v>
      </c>
      <c r="E63" s="282">
        <v>6600</v>
      </c>
      <c r="F63" s="276" cm="1">
        <f t="array" ref="F63">INDEX('Historic WASDE MY 202425'!$D$4:$AA$87,MATCH('Corn World-Major'!B63&amp;'Corn World-Major'!C63,'Historic WASDE MY 202425'!$B$4:$B$86&amp;'Historic WASDE MY 202425'!$C$4:$C$87,0),MATCH('Corn World-Major'!$F$2,'Historic WASDE MY 202425'!$D$3:$AA$3,0))</f>
        <v>3300</v>
      </c>
      <c r="G63" s="276" cm="1">
        <f t="array" ref="G63">INDEX('Historic WASDE MY 202526'!$D$4:$AA$87,MATCH('Corn World-Major'!B63&amp;'Corn World-Major'!C63,'Historic WASDE MY 202526'!$B$4:$B$86&amp;'Historic WASDE MY 202526'!$C$4:$C$87,0),MATCH('Corn World-Major'!$G$2,'Historic WASDE MY 202526'!$D$3:$AA$3,0))</f>
        <v>3600</v>
      </c>
      <c r="H63" s="275"/>
      <c r="I63" s="276" cm="1">
        <f t="array" ref="I63">INDEX('Historic WASDE MY 202526'!$D$4:$AA$87,MATCH('Corn World-Major'!B63&amp;'Corn World-Major'!C63,'Historic WASDE MY 202526'!$B$4:$B$86&amp;'Historic WASDE MY 202526'!$C$4:$C$87,0),MATCH('Corn World-Major'!$I$2,'Historic WASDE MY 202526'!$D$3:$AA$3,0))</f>
        <v>3600</v>
      </c>
      <c r="J63" s="276" cm="1">
        <f t="array" ref="J63">INDEX('Historic WASDE MY 202425'!$D$4:$AA$87,MATCH('Corn World-Major'!B63&amp;'Corn World-Major'!C63,'Historic WASDE MY 202425'!$B$4:$B$86&amp;'Historic WASDE MY 202425'!$C$4:$C$87,0),MATCH('Corn World-Major'!$J$2,'Historic WASDE MY 202425'!$D$3:$AA$3,0))</f>
        <v>3300</v>
      </c>
      <c r="K63" s="276" cm="1">
        <f t="array" ref="K63">INDEX('Historic WASDE MY 202526'!$D$4:$AA$87,MATCH('Corn World-Major'!B63&amp;'Corn World-Major'!C63,'Historic WASDE MY 202526'!$B$4:$B$86&amp;'Historic WASDE MY 202526'!$C$4:$C$87,0),MATCH('Corn World-Major'!$K$2,'Historic WASDE MY 202526'!$D$3:$AA$3,0))</f>
        <v>3600</v>
      </c>
      <c r="L63" s="283">
        <f>'Historic WASDE MY 202425'!P54</f>
        <v>3300</v>
      </c>
      <c r="M63" s="283">
        <f>'Historic WASDE MY 202526'!G54</f>
        <v>3600</v>
      </c>
    </row>
    <row r="64" spans="1:13">
      <c r="A64" s="274" t="s">
        <v>299</v>
      </c>
      <c r="B64" s="274" t="s">
        <v>19</v>
      </c>
      <c r="C64" s="281" t="s">
        <v>38</v>
      </c>
      <c r="D64" s="282">
        <v>27122</v>
      </c>
      <c r="E64" s="282">
        <v>29488</v>
      </c>
      <c r="F64" s="276" cm="1">
        <f t="array" ref="F64">INDEX('Historic WASDE MY 202425'!$D$4:$AA$87,MATCH('Corn World-Major'!B64&amp;'Corn World-Major'!C64,'Historic WASDE MY 202425'!$B$4:$B$86&amp;'Historic WASDE MY 202425'!$C$4:$C$87,0),MATCH('Corn World-Major'!$F$2,'Historic WASDE MY 202425'!$D$3:$AA$3,0))</f>
        <v>22000</v>
      </c>
      <c r="G64" s="276" cm="1">
        <f t="array" ref="G64">INDEX('Historic WASDE MY 202526'!$D$4:$AA$87,MATCH('Corn World-Major'!B64&amp;'Corn World-Major'!C64,'Historic WASDE MY 202526'!$B$4:$B$86&amp;'Historic WASDE MY 202526'!$C$4:$C$87,0),MATCH('Corn World-Major'!$G$2,'Historic WASDE MY 202526'!$D$3:$AA$3,0))</f>
        <v>24000</v>
      </c>
      <c r="H64" s="275"/>
      <c r="I64" s="276" cm="1">
        <f t="array" ref="I64">INDEX('Historic WASDE MY 202526'!$D$4:$AA$87,MATCH('Corn World-Major'!B64&amp;'Corn World-Major'!C64,'Historic WASDE MY 202526'!$B$4:$B$86&amp;'Historic WASDE MY 202526'!$C$4:$C$87,0),MATCH('Corn World-Major'!$I$2,'Historic WASDE MY 202526'!$D$3:$AA$3,0))</f>
        <v>24000</v>
      </c>
      <c r="J64" s="276" cm="1">
        <f t="array" ref="J64">INDEX('Historic WASDE MY 202425'!$D$4:$AA$87,MATCH('Corn World-Major'!B64&amp;'Corn World-Major'!C64,'Historic WASDE MY 202425'!$B$4:$B$86&amp;'Historic WASDE MY 202425'!$C$4:$C$87,0),MATCH('Corn World-Major'!$J$2,'Historic WASDE MY 202425'!$D$3:$AA$3,0))</f>
        <v>22000</v>
      </c>
      <c r="K64" s="276" cm="1">
        <f t="array" ref="K64">INDEX('Historic WASDE MY 202526'!$D$4:$AA$87,MATCH('Corn World-Major'!B64&amp;'Corn World-Major'!C64,'Historic WASDE MY 202526'!$B$4:$B$86&amp;'Historic WASDE MY 202526'!$C$4:$C$87,0),MATCH('Corn World-Major'!$K$2,'Historic WASDE MY 202526'!$D$3:$AA$3,0))</f>
        <v>24000</v>
      </c>
      <c r="L64" s="283">
        <f>'Historic WASDE MY 202425'!P55</f>
        <v>21000</v>
      </c>
      <c r="M64" s="283">
        <f>'Historic WASDE MY 202526'!G55</f>
        <v>25500</v>
      </c>
    </row>
    <row r="65" spans="1:13">
      <c r="A65" s="274" t="s">
        <v>299</v>
      </c>
      <c r="B65" s="274" t="s">
        <v>19</v>
      </c>
      <c r="C65" s="281" t="s">
        <v>40</v>
      </c>
      <c r="D65" s="282">
        <v>42217</v>
      </c>
      <c r="E65" s="282">
        <v>58226</v>
      </c>
      <c r="F65" s="276" cm="1">
        <f t="array" ref="F65">INDEX('Historic WASDE MY 202425'!$D$4:$AA$87,MATCH('Corn World-Major'!B65&amp;'Corn World-Major'!C65,'Historic WASDE MY 202425'!$B$4:$B$86&amp;'Historic WASDE MY 202425'!$C$4:$C$87,0),MATCH('Corn World-Major'!$F$2,'Historic WASDE MY 202425'!$D$3:$AA$3,0))</f>
        <v>66043</v>
      </c>
      <c r="G65" s="276" cm="1">
        <f t="array" ref="G65">INDEX('Historic WASDE MY 202526'!$D$4:$AA$87,MATCH('Corn World-Major'!B65&amp;'Corn World-Major'!C65,'Historic WASDE MY 202526'!$B$4:$B$86&amp;'Historic WASDE MY 202526'!$C$4:$C$87,0),MATCH('Corn World-Major'!$G$2,'Historic WASDE MY 202526'!$D$3:$AA$3,0))</f>
        <v>67948</v>
      </c>
      <c r="H65" s="275"/>
      <c r="I65" s="276" cm="1">
        <f t="array" ref="I65">INDEX('Historic WASDE MY 202526'!$D$4:$AA$87,MATCH('Corn World-Major'!B65&amp;'Corn World-Major'!C65,'Historic WASDE MY 202526'!$B$4:$B$86&amp;'Historic WASDE MY 202526'!$C$4:$C$87,0),MATCH('Corn World-Major'!$I$2,'Historic WASDE MY 202526'!$D$3:$AA$3,0))</f>
        <v>67948</v>
      </c>
      <c r="J65" s="276" cm="1">
        <f t="array" ref="J65">INDEX('Historic WASDE MY 202425'!$D$4:$AA$87,MATCH('Corn World-Major'!B65&amp;'Corn World-Major'!C65,'Historic WASDE MY 202425'!$B$4:$B$86&amp;'Historic WASDE MY 202425'!$C$4:$C$87,0),MATCH('Corn World-Major'!$J$2,'Historic WASDE MY 202425'!$D$3:$AA$3,0))</f>
        <v>69853</v>
      </c>
      <c r="K65" s="276" cm="1">
        <f t="array" ref="K65">INDEX('Historic WASDE MY 202526'!$D$4:$AA$87,MATCH('Corn World-Major'!B65&amp;'Corn World-Major'!C65,'Historic WASDE MY 202526'!$B$4:$B$86&amp;'Historic WASDE MY 202526'!$C$4:$C$87,0),MATCH('Corn World-Major'!$K$2,'Historic WASDE MY 202526'!$D$3:$AA$3,0))</f>
        <v>67948</v>
      </c>
      <c r="L65" s="283">
        <f>'Historic WASDE MY 202425'!P56</f>
        <v>71631</v>
      </c>
      <c r="M65" s="283">
        <f>'Historic WASDE MY 202526'!G56</f>
        <v>73028</v>
      </c>
    </row>
    <row r="66" spans="1:13" ht="15.75" thickBot="1">
      <c r="A66" s="274" t="s">
        <v>299</v>
      </c>
      <c r="B66" s="274" t="s">
        <v>19</v>
      </c>
      <c r="C66" s="281" t="s">
        <v>1</v>
      </c>
      <c r="D66" s="282">
        <v>180240</v>
      </c>
      <c r="E66" s="282">
        <v>228751</v>
      </c>
      <c r="F66" s="276" cm="1">
        <f t="array" ref="F66">INDEX('Historic WASDE MY 202425'!$D$4:$AA$87,MATCH('Corn World-Major'!B66&amp;'Corn World-Major'!C66,'Historic WASDE MY 202425'!$B$4:$B$86&amp;'Historic WASDE MY 202425'!$C$4:$C$87,0),MATCH('Corn World-Major'!$F$2,'Historic WASDE MY 202425'!$D$3:$AA$3,0))</f>
        <v>189352</v>
      </c>
      <c r="G66" s="276" cm="1">
        <f t="array" ref="G66">INDEX('Historic WASDE MY 202526'!$D$4:$AA$87,MATCH('Corn World-Major'!B66&amp;'Corn World-Major'!C66,'Historic WASDE MY 202526'!$B$4:$B$86&amp;'Historic WASDE MY 202526'!$C$4:$C$87,0),MATCH('Corn World-Major'!$G$2,'Historic WASDE MY 202526'!$D$3:$AA$3,0))</f>
        <v>195810</v>
      </c>
      <c r="H66" s="275"/>
      <c r="I66" s="276" cm="1">
        <f t="array" ref="I66">INDEX('Historic WASDE MY 202526'!$D$4:$AA$87,MATCH('Corn World-Major'!B66&amp;'Corn World-Major'!C66,'Historic WASDE MY 202526'!$B$4:$B$86&amp;'Historic WASDE MY 202526'!$C$4:$C$87,0),MATCH('Corn World-Major'!$I$2,'Historic WASDE MY 202526'!$D$3:$AA$3,0))</f>
        <v>195820</v>
      </c>
      <c r="J66" s="276" cm="1">
        <f t="array" ref="J66">INDEX('Historic WASDE MY 202425'!$D$4:$AA$87,MATCH('Corn World-Major'!B66&amp;'Corn World-Major'!C66,'Historic WASDE MY 202425'!$B$4:$B$86&amp;'Historic WASDE MY 202425'!$C$4:$C$87,0),MATCH('Corn World-Major'!$J$2,'Historic WASDE MY 202425'!$D$3:$AA$3,0))</f>
        <v>192572</v>
      </c>
      <c r="K66" s="276" cm="1">
        <f t="array" ref="K66">INDEX('Historic WASDE MY 202526'!$D$4:$AA$87,MATCH('Corn World-Major'!B66&amp;'Corn World-Major'!C66,'Historic WASDE MY 202526'!$B$4:$B$86&amp;'Historic WASDE MY 202526'!$C$4:$C$87,0),MATCH('Corn World-Major'!$K$2,'Historic WASDE MY 202526'!$D$3:$AA$3,0))</f>
        <v>195810</v>
      </c>
      <c r="L66" s="283">
        <f>'Historic WASDE MY 202425'!P57</f>
        <v>193636</v>
      </c>
      <c r="M66" s="283">
        <f>'Historic WASDE MY 202526'!G57</f>
        <v>200855</v>
      </c>
    </row>
    <row r="67" spans="1:13" ht="15.75" thickBot="1">
      <c r="A67" s="274" t="s">
        <v>299</v>
      </c>
      <c r="B67" s="274" t="s">
        <v>19</v>
      </c>
      <c r="C67" s="278" t="s">
        <v>300</v>
      </c>
      <c r="D67" s="279">
        <f>D66-SUM(D58:D65)</f>
        <v>18435</v>
      </c>
      <c r="E67" s="279">
        <f>E66-SUM(E58:E65)</f>
        <v>53446</v>
      </c>
      <c r="F67" s="279">
        <f>F66-SUM(F58:F65)</f>
        <v>14889</v>
      </c>
      <c r="G67" s="279">
        <f>G66-SUM(G58:G65)</f>
        <v>15142</v>
      </c>
      <c r="H67" s="279">
        <f t="shared" ref="H67:M67" si="5">H66-SUM(H58:H65)</f>
        <v>0</v>
      </c>
      <c r="I67" s="279">
        <f t="shared" si="5"/>
        <v>15152</v>
      </c>
      <c r="J67" s="279">
        <f t="shared" si="5"/>
        <v>14749</v>
      </c>
      <c r="K67" s="279">
        <f t="shared" si="5"/>
        <v>15142</v>
      </c>
      <c r="L67" s="279">
        <f t="shared" si="5"/>
        <v>15035</v>
      </c>
      <c r="M67" s="279">
        <f t="shared" si="5"/>
        <v>14107</v>
      </c>
    </row>
    <row r="68" spans="1:13">
      <c r="A68" s="274"/>
      <c r="B68" s="280"/>
      <c r="C68" s="274"/>
      <c r="D68" s="275"/>
      <c r="E68" s="275"/>
      <c r="F68" s="275"/>
      <c r="G68" s="275"/>
      <c r="H68" s="275"/>
      <c r="I68" s="275"/>
      <c r="J68" s="275"/>
      <c r="K68" s="275"/>
    </row>
    <row r="69" spans="1:13">
      <c r="A69" s="274" t="s">
        <v>299</v>
      </c>
      <c r="B69" s="274" t="s">
        <v>17</v>
      </c>
      <c r="C69" s="281" t="s">
        <v>24</v>
      </c>
      <c r="D69" s="282">
        <v>10000</v>
      </c>
      <c r="E69" s="282">
        <v>10400</v>
      </c>
      <c r="F69" s="276" cm="1">
        <f t="array" ref="F69">INDEX('Historic WASDE MY 202425'!$D$4:$AA$87,MATCH('Corn World-Major'!B69&amp;'Corn World-Major'!C69,'Historic WASDE MY 202425'!$B$4:$B$86&amp;'Historic WASDE MY 202425'!$C$4:$C$87,0),MATCH('Corn World-Major'!$F$2,'Historic WASDE MY 202425'!$D$3:$AA$3,0))</f>
        <v>10200</v>
      </c>
      <c r="G69" s="276" cm="1">
        <f t="array" ref="G69">INDEX('Historic WASDE MY 202526'!$D$4:$AA$87,MATCH('Corn World-Major'!B69&amp;'Corn World-Major'!C69,'Historic WASDE MY 202526'!$B$4:$B$86&amp;'Historic WASDE MY 202526'!$C$4:$C$87,0),MATCH('Corn World-Major'!$G$2,'Historic WASDE MY 202526'!$D$3:$AA$3,0))</f>
        <v>11200</v>
      </c>
      <c r="H69" s="275"/>
      <c r="I69" s="276" cm="1">
        <f t="array" ref="I69">INDEX('Historic WASDE MY 202526'!$D$4:$AA$87,MATCH('Corn World-Major'!B69&amp;'Corn World-Major'!C69,'Historic WASDE MY 202526'!$B$4:$B$86&amp;'Historic WASDE MY 202526'!$C$4:$C$87,0),MATCH('Corn World-Major'!$I$2,'Historic WASDE MY 202526'!$D$3:$AA$3,0))</f>
        <v>11200</v>
      </c>
      <c r="J69" s="276" cm="1">
        <f t="array" ref="J69">INDEX('Historic WASDE MY 202425'!$D$4:$AA$87,MATCH('Corn World-Major'!B69&amp;'Corn World-Major'!C69,'Historic WASDE MY 202425'!$B$4:$B$86&amp;'Historic WASDE MY 202425'!$C$4:$C$87,0),MATCH('Corn World-Major'!$J$2,'Historic WASDE MY 202425'!$D$3:$AA$3,0))</f>
        <v>10800</v>
      </c>
      <c r="K69" s="276" cm="1">
        <f t="array" ref="K69">INDEX('Historic WASDE MY 202526'!$D$4:$AA$87,MATCH('Corn World-Major'!B69&amp;'Corn World-Major'!C69,'Historic WASDE MY 202526'!$B$4:$B$86&amp;'Historic WASDE MY 202526'!$C$4:$C$87,0),MATCH('Corn World-Major'!$K$2,'Historic WASDE MY 202526'!$D$3:$AA$3,0))</f>
        <v>11200</v>
      </c>
      <c r="L69" s="283">
        <f>'Historic WASDE MY 202425'!P58</f>
        <v>10800</v>
      </c>
      <c r="M69" s="283">
        <f>'Historic WASDE MY 202526'!G58</f>
        <v>11200</v>
      </c>
    </row>
    <row r="70" spans="1:13">
      <c r="A70" s="274" t="s">
        <v>299</v>
      </c>
      <c r="B70" s="274" t="s">
        <v>17</v>
      </c>
      <c r="C70" s="281" t="s">
        <v>27</v>
      </c>
      <c r="D70" s="282">
        <v>61500</v>
      </c>
      <c r="E70" s="282">
        <v>62500</v>
      </c>
      <c r="F70" s="276" cm="1">
        <f t="array" ref="F70">INDEX('Historic WASDE MY 202425'!$D$4:$AA$87,MATCH('Corn World-Major'!B70&amp;'Corn World-Major'!C70,'Historic WASDE MY 202425'!$B$4:$B$86&amp;'Historic WASDE MY 202425'!$C$4:$C$87,0),MATCH('Corn World-Major'!$F$2,'Historic WASDE MY 202425'!$D$3:$AA$3,0))</f>
        <v>64500</v>
      </c>
      <c r="G70" s="276" cm="1">
        <f t="array" ref="G70">INDEX('Historic WASDE MY 202526'!$D$4:$AA$87,MATCH('Corn World-Major'!B70&amp;'Corn World-Major'!C70,'Historic WASDE MY 202526'!$B$4:$B$86&amp;'Historic WASDE MY 202526'!$C$4:$C$87,0),MATCH('Corn World-Major'!$G$2,'Historic WASDE MY 202526'!$D$3:$AA$3,0))</f>
        <v>65500</v>
      </c>
      <c r="H70" s="275"/>
      <c r="I70" s="276" cm="1">
        <f t="array" ref="I70">INDEX('Historic WASDE MY 202526'!$D$4:$AA$87,MATCH('Corn World-Major'!B70&amp;'Corn World-Major'!C70,'Historic WASDE MY 202526'!$B$4:$B$86&amp;'Historic WASDE MY 202526'!$C$4:$C$87,0),MATCH('Corn World-Major'!$I$2,'Historic WASDE MY 202526'!$D$3:$AA$3,0))</f>
        <v>65500</v>
      </c>
      <c r="J70" s="276" cm="1">
        <f t="array" ref="J70">INDEX('Historic WASDE MY 202425'!$D$4:$AA$87,MATCH('Corn World-Major'!B70&amp;'Corn World-Major'!C70,'Historic WASDE MY 202425'!$B$4:$B$86&amp;'Historic WASDE MY 202425'!$C$4:$C$87,0),MATCH('Corn World-Major'!$J$2,'Historic WASDE MY 202425'!$D$3:$AA$3,0))</f>
        <v>64500</v>
      </c>
      <c r="K70" s="276" cm="1">
        <f t="array" ref="K70">INDEX('Historic WASDE MY 202526'!$D$4:$AA$87,MATCH('Corn World-Major'!B70&amp;'Corn World-Major'!C70,'Historic WASDE MY 202526'!$B$4:$B$86&amp;'Historic WASDE MY 202526'!$C$4:$C$87,0),MATCH('Corn World-Major'!$K$2,'Historic WASDE MY 202526'!$D$3:$AA$3,0))</f>
        <v>65500</v>
      </c>
      <c r="L70" s="283">
        <f>'Historic WASDE MY 202425'!P59</f>
        <v>64500</v>
      </c>
      <c r="M70" s="283">
        <f>'Historic WASDE MY 202526'!G59</f>
        <v>65500</v>
      </c>
    </row>
    <row r="71" spans="1:13">
      <c r="A71" s="274" t="s">
        <v>299</v>
      </c>
      <c r="B71" s="274" t="s">
        <v>17</v>
      </c>
      <c r="C71" s="281" t="s">
        <v>29</v>
      </c>
      <c r="D71" s="282">
        <v>9584</v>
      </c>
      <c r="E71" s="282">
        <v>9785</v>
      </c>
      <c r="F71" s="276" cm="1">
        <f t="array" ref="F71">INDEX('Historic WASDE MY 202425'!$D$4:$AA$87,MATCH('Corn World-Major'!B71&amp;'Corn World-Major'!C71,'Historic WASDE MY 202425'!$B$4:$B$86&amp;'Historic WASDE MY 202425'!$C$4:$C$87,0),MATCH('Corn World-Major'!$F$2,'Historic WASDE MY 202425'!$D$3:$AA$3,0))</f>
        <v>9600</v>
      </c>
      <c r="G71" s="276" cm="1">
        <f t="array" ref="G71">INDEX('Historic WASDE MY 202526'!$D$4:$AA$87,MATCH('Corn World-Major'!B71&amp;'Corn World-Major'!C71,'Historic WASDE MY 202526'!$B$4:$B$86&amp;'Historic WASDE MY 202526'!$C$4:$C$87,0),MATCH('Corn World-Major'!$G$2,'Historic WASDE MY 202526'!$D$3:$AA$3,0))</f>
        <v>9600</v>
      </c>
      <c r="H71" s="275"/>
      <c r="I71" s="276" cm="1">
        <f t="array" ref="I71">INDEX('Historic WASDE MY 202526'!$D$4:$AA$87,MATCH('Corn World-Major'!B71&amp;'Corn World-Major'!C71,'Historic WASDE MY 202526'!$B$4:$B$86&amp;'Historic WASDE MY 202526'!$C$4:$C$87,0),MATCH('Corn World-Major'!$I$2,'Historic WASDE MY 202526'!$D$3:$AA$3,0))</f>
        <v>9500</v>
      </c>
      <c r="J71" s="276" cm="1">
        <f t="array" ref="J71">INDEX('Historic WASDE MY 202425'!$D$4:$AA$87,MATCH('Corn World-Major'!B71&amp;'Corn World-Major'!C71,'Historic WASDE MY 202425'!$B$4:$B$86&amp;'Historic WASDE MY 202425'!$C$4:$C$87,0),MATCH('Corn World-Major'!$J$2,'Historic WASDE MY 202425'!$D$3:$AA$3,0))</f>
        <v>9200</v>
      </c>
      <c r="K71" s="276" cm="1">
        <f t="array" ref="K71">INDEX('Historic WASDE MY 202526'!$D$4:$AA$87,MATCH('Corn World-Major'!B71&amp;'Corn World-Major'!C71,'Historic WASDE MY 202526'!$B$4:$B$86&amp;'Historic WASDE MY 202526'!$C$4:$C$87,0),MATCH('Corn World-Major'!$K$2,'Historic WASDE MY 202526'!$D$3:$AA$3,0))</f>
        <v>9500</v>
      </c>
      <c r="L71" s="283">
        <f>'Historic WASDE MY 202425'!P60</f>
        <v>9200</v>
      </c>
      <c r="M71" s="283">
        <f>'Historic WASDE MY 202526'!G60</f>
        <v>9500</v>
      </c>
    </row>
    <row r="72" spans="1:13">
      <c r="A72" s="274" t="s">
        <v>299</v>
      </c>
      <c r="B72" s="274" t="s">
        <v>17</v>
      </c>
      <c r="C72" s="281" t="s">
        <v>32</v>
      </c>
      <c r="D72" s="282">
        <v>218000</v>
      </c>
      <c r="E72" s="282">
        <v>225000</v>
      </c>
      <c r="F72" s="276" cm="1">
        <f t="array" ref="F72">INDEX('Historic WASDE MY 202425'!$D$4:$AA$87,MATCH('Corn World-Major'!B72&amp;'Corn World-Major'!C72,'Historic WASDE MY 202425'!$B$4:$B$86&amp;'Historic WASDE MY 202425'!$C$4:$C$87,0),MATCH('Corn World-Major'!$F$2,'Historic WASDE MY 202425'!$D$3:$AA$3,0))</f>
        <v>234000</v>
      </c>
      <c r="G72" s="276" cm="1">
        <f t="array" ref="G72">INDEX('Historic WASDE MY 202526'!$D$4:$AA$87,MATCH('Corn World-Major'!B72&amp;'Corn World-Major'!C72,'Historic WASDE MY 202526'!$B$4:$B$86&amp;'Historic WASDE MY 202526'!$C$4:$C$87,0),MATCH('Corn World-Major'!$G$2,'Historic WASDE MY 202526'!$D$3:$AA$3,0))</f>
        <v>239000</v>
      </c>
      <c r="H72" s="275"/>
      <c r="I72" s="276" cm="1">
        <f t="array" ref="I72">INDEX('Historic WASDE MY 202526'!$D$4:$AA$87,MATCH('Corn World-Major'!B72&amp;'Corn World-Major'!C72,'Historic WASDE MY 202526'!$B$4:$B$86&amp;'Historic WASDE MY 202526'!$C$4:$C$87,0),MATCH('Corn World-Major'!$I$2,'Historic WASDE MY 202526'!$D$3:$AA$3,0))</f>
        <v>239000</v>
      </c>
      <c r="J72" s="276" cm="1">
        <f t="array" ref="J72">INDEX('Historic WASDE MY 202425'!$D$4:$AA$87,MATCH('Corn World-Major'!B72&amp;'Corn World-Major'!C72,'Historic WASDE MY 202425'!$B$4:$B$86&amp;'Historic WASDE MY 202425'!$C$4:$C$87,0),MATCH('Corn World-Major'!$J$2,'Historic WASDE MY 202425'!$D$3:$AA$3,0))</f>
        <v>2750</v>
      </c>
      <c r="K72" s="276" cm="1">
        <f t="array" ref="K72">INDEX('Historic WASDE MY 202526'!$D$4:$AA$87,MATCH('Corn World-Major'!B72&amp;'Corn World-Major'!C72,'Historic WASDE MY 202526'!$B$4:$B$86&amp;'Historic WASDE MY 202526'!$C$4:$C$87,0),MATCH('Corn World-Major'!$K$2,'Historic WASDE MY 202526'!$D$3:$AA$3,0))</f>
        <v>239000</v>
      </c>
      <c r="L72" s="283">
        <f>'Historic WASDE MY 202425'!P61</f>
        <v>234000</v>
      </c>
      <c r="M72" s="283">
        <f>'Historic WASDE MY 202526'!G61</f>
        <v>239000</v>
      </c>
    </row>
    <row r="73" spans="1:13">
      <c r="A73" s="274" t="s">
        <v>299</v>
      </c>
      <c r="B73" s="274" t="s">
        <v>17</v>
      </c>
      <c r="C73" s="281" t="s">
        <v>34</v>
      </c>
      <c r="D73" s="282">
        <v>55600</v>
      </c>
      <c r="E73" s="282">
        <v>58300</v>
      </c>
      <c r="F73" s="276" cm="1">
        <f t="array" ref="F73">INDEX('Historic WASDE MY 202425'!$D$4:$AA$87,MATCH('Corn World-Major'!B73&amp;'Corn World-Major'!C73,'Historic WASDE MY 202425'!$B$4:$B$86&amp;'Historic WASDE MY 202425'!$C$4:$C$87,0),MATCH('Corn World-Major'!$F$2,'Historic WASDE MY 202425'!$D$3:$AA$3,0))</f>
        <v>58200</v>
      </c>
      <c r="G73" s="276" cm="1">
        <f t="array" ref="G73">INDEX('Historic WASDE MY 202526'!$D$4:$AA$87,MATCH('Corn World-Major'!B73&amp;'Corn World-Major'!C73,'Historic WASDE MY 202526'!$B$4:$B$86&amp;'Historic WASDE MY 202526'!$C$4:$C$87,0),MATCH('Corn World-Major'!$G$2,'Historic WASDE MY 202526'!$D$3:$AA$3,0))</f>
        <v>57700</v>
      </c>
      <c r="H73" s="275"/>
      <c r="I73" s="276" cm="1">
        <f t="array" ref="I73">INDEX('Historic WASDE MY 202526'!$D$4:$AA$87,MATCH('Corn World-Major'!B73&amp;'Corn World-Major'!C73,'Historic WASDE MY 202526'!$B$4:$B$86&amp;'Historic WASDE MY 202526'!$C$4:$C$87,0),MATCH('Corn World-Major'!$I$2,'Historic WASDE MY 202526'!$D$3:$AA$3,0))</f>
        <v>57700</v>
      </c>
      <c r="J73" s="276" cm="1">
        <f t="array" ref="J73">INDEX('Historic WASDE MY 202425'!$D$4:$AA$87,MATCH('Corn World-Major'!B73&amp;'Corn World-Major'!C73,'Historic WASDE MY 202425'!$B$4:$B$86&amp;'Historic WASDE MY 202425'!$C$4:$C$87,0),MATCH('Corn World-Major'!$J$2,'Historic WASDE MY 202425'!$D$3:$AA$3,0))</f>
        <v>58200</v>
      </c>
      <c r="K73" s="276" cm="1">
        <f t="array" ref="K73">INDEX('Historic WASDE MY 202526'!$D$4:$AA$87,MATCH('Corn World-Major'!B73&amp;'Corn World-Major'!C73,'Historic WASDE MY 202526'!$B$4:$B$86&amp;'Historic WASDE MY 202526'!$C$4:$C$87,0),MATCH('Corn World-Major'!$K$2,'Historic WASDE MY 202526'!$D$3:$AA$3,0))</f>
        <v>57700</v>
      </c>
      <c r="L73" s="283">
        <f>'Historic WASDE MY 202425'!P62</f>
        <v>58000</v>
      </c>
      <c r="M73" s="283">
        <f>'Historic WASDE MY 202526'!G62</f>
        <v>57700</v>
      </c>
    </row>
    <row r="74" spans="1:13">
      <c r="A74" s="274" t="s">
        <v>299</v>
      </c>
      <c r="B74" s="274" t="s">
        <v>17</v>
      </c>
      <c r="C74" s="281" t="s">
        <v>36</v>
      </c>
      <c r="D74" s="282">
        <v>8900</v>
      </c>
      <c r="E74" s="282">
        <v>9100</v>
      </c>
      <c r="F74" s="276" cm="1">
        <f t="array" ref="F74">INDEX('Historic WASDE MY 202425'!$D$4:$AA$87,MATCH('Corn World-Major'!B74&amp;'Corn World-Major'!C74,'Historic WASDE MY 202425'!$B$4:$B$86&amp;'Historic WASDE MY 202425'!$C$4:$C$87,0),MATCH('Corn World-Major'!$F$2,'Historic WASDE MY 202425'!$D$3:$AA$3,0))</f>
        <v>9500</v>
      </c>
      <c r="G74" s="276" cm="1">
        <f t="array" ref="G74">INDEX('Historic WASDE MY 202526'!$D$4:$AA$87,MATCH('Corn World-Major'!B74&amp;'Corn World-Major'!C74,'Historic WASDE MY 202526'!$B$4:$B$86&amp;'Historic WASDE MY 202526'!$C$4:$C$87,0),MATCH('Corn World-Major'!$G$2,'Historic WASDE MY 202526'!$D$3:$AA$3,0))</f>
        <v>10100</v>
      </c>
      <c r="H74" s="275"/>
      <c r="I74" s="276" cm="1">
        <f t="array" ref="I74">INDEX('Historic WASDE MY 202526'!$D$4:$AA$87,MATCH('Corn World-Major'!B74&amp;'Corn World-Major'!C74,'Historic WASDE MY 202526'!$B$4:$B$86&amp;'Historic WASDE MY 202526'!$C$4:$C$87,0),MATCH('Corn World-Major'!$I$2,'Historic WASDE MY 202526'!$D$3:$AA$3,0))</f>
        <v>10100</v>
      </c>
      <c r="J74" s="276" cm="1">
        <f t="array" ref="J74">INDEX('Historic WASDE MY 202425'!$D$4:$AA$87,MATCH('Corn World-Major'!B74&amp;'Corn World-Major'!C74,'Historic WASDE MY 202425'!$B$4:$B$86&amp;'Historic WASDE MY 202425'!$C$4:$C$87,0),MATCH('Corn World-Major'!$J$2,'Historic WASDE MY 202425'!$D$3:$AA$3,0))</f>
        <v>9500</v>
      </c>
      <c r="K74" s="276" cm="1">
        <f t="array" ref="K74">INDEX('Historic WASDE MY 202526'!$D$4:$AA$87,MATCH('Corn World-Major'!B74&amp;'Corn World-Major'!C74,'Historic WASDE MY 202526'!$B$4:$B$86&amp;'Historic WASDE MY 202526'!$C$4:$C$87,0),MATCH('Corn World-Major'!$K$2,'Historic WASDE MY 202526'!$D$3:$AA$3,0))</f>
        <v>10100</v>
      </c>
      <c r="L74" s="283">
        <f>'Historic WASDE MY 202425'!P63</f>
        <v>9500</v>
      </c>
      <c r="M74" s="283">
        <f>'Historic WASDE MY 202526'!G63</f>
        <v>10100</v>
      </c>
    </row>
    <row r="75" spans="1:13">
      <c r="A75" s="274" t="s">
        <v>299</v>
      </c>
      <c r="B75" s="274" t="s">
        <v>17</v>
      </c>
      <c r="C75" s="281" t="s">
        <v>38</v>
      </c>
      <c r="D75" s="282">
        <v>4000</v>
      </c>
      <c r="E75" s="282">
        <v>8500</v>
      </c>
      <c r="F75" s="276" cm="1">
        <f t="array" ref="F75">INDEX('Historic WASDE MY 202425'!$D$4:$AA$87,MATCH('Corn World-Major'!B75&amp;'Corn World-Major'!C75,'Historic WASDE MY 202425'!$B$4:$B$86&amp;'Historic WASDE MY 202425'!$C$4:$C$87,0),MATCH('Corn World-Major'!$F$2,'Historic WASDE MY 202425'!$D$3:$AA$3,0))</f>
        <v>4200</v>
      </c>
      <c r="G75" s="276" cm="1">
        <f t="array" ref="G75">INDEX('Historic WASDE MY 202526'!$D$4:$AA$87,MATCH('Corn World-Major'!B75&amp;'Corn World-Major'!C75,'Historic WASDE MY 202526'!$B$4:$B$86&amp;'Historic WASDE MY 202526'!$C$4:$C$87,0),MATCH('Corn World-Major'!$G$2,'Historic WASDE MY 202526'!$D$3:$AA$3,0))</f>
        <v>5300</v>
      </c>
      <c r="H75" s="275"/>
      <c r="I75" s="276" cm="1">
        <f t="array" ref="I75">INDEX('Historic WASDE MY 202526'!$D$4:$AA$87,MATCH('Corn World-Major'!B75&amp;'Corn World-Major'!C75,'Historic WASDE MY 202526'!$B$4:$B$86&amp;'Historic WASDE MY 202526'!$C$4:$C$87,0),MATCH('Corn World-Major'!$I$2,'Historic WASDE MY 202526'!$D$3:$AA$3,0))</f>
        <v>5300</v>
      </c>
      <c r="J75" s="276" cm="1">
        <f t="array" ref="J75">INDEX('Historic WASDE MY 202425'!$D$4:$AA$87,MATCH('Corn World-Major'!B75&amp;'Corn World-Major'!C75,'Historic WASDE MY 202425'!$B$4:$B$86&amp;'Historic WASDE MY 202425'!$C$4:$C$87,0),MATCH('Corn World-Major'!$J$2,'Historic WASDE MY 202425'!$D$3:$AA$3,0))</f>
        <v>4200</v>
      </c>
      <c r="K75" s="276" cm="1">
        <f t="array" ref="K75">INDEX('Historic WASDE MY 202526'!$D$4:$AA$87,MATCH('Corn World-Major'!B75&amp;'Corn World-Major'!C75,'Historic WASDE MY 202526'!$B$4:$B$86&amp;'Historic WASDE MY 202526'!$C$4:$C$87,0),MATCH('Corn World-Major'!$K$2,'Historic WASDE MY 202526'!$D$3:$AA$3,0))</f>
        <v>5300</v>
      </c>
      <c r="L75" s="283">
        <f>'Historic WASDE MY 202425'!P64</f>
        <v>4800</v>
      </c>
      <c r="M75" s="283">
        <f>'Historic WASDE MY 202526'!G64</f>
        <v>5400</v>
      </c>
    </row>
    <row r="76" spans="1:13">
      <c r="A76" s="274" t="s">
        <v>299</v>
      </c>
      <c r="B76" s="274" t="s">
        <v>17</v>
      </c>
      <c r="C76" s="281" t="s">
        <v>40</v>
      </c>
      <c r="D76" s="282">
        <v>139350</v>
      </c>
      <c r="E76" s="282">
        <v>147455</v>
      </c>
      <c r="F76" s="276" cm="1">
        <f t="array" ref="F76">INDEX('Historic WASDE MY 202425'!$D$4:$AA$87,MATCH('Corn World-Major'!B76&amp;'Corn World-Major'!C76,'Historic WASDE MY 202425'!$B$4:$B$86&amp;'Historic WASDE MY 202425'!$C$4:$C$87,0),MATCH('Corn World-Major'!$F$2,'Historic WASDE MY 202425'!$D$3:$AA$3,0))</f>
        <v>146057</v>
      </c>
      <c r="G76" s="276" cm="1">
        <f t="array" ref="G76">INDEX('Historic WASDE MY 202526'!$D$4:$AA$87,MATCH('Corn World-Major'!B76&amp;'Corn World-Major'!C76,'Historic WASDE MY 202526'!$B$4:$B$86&amp;'Historic WASDE MY 202526'!$C$4:$C$87,0),MATCH('Corn World-Major'!$G$2,'Historic WASDE MY 202526'!$D$3:$AA$3,0))</f>
        <v>149867</v>
      </c>
      <c r="H76" s="275"/>
      <c r="I76" s="276" cm="1">
        <f t="array" ref="I76">INDEX('Historic WASDE MY 202526'!$D$4:$AA$87,MATCH('Corn World-Major'!B76&amp;'Corn World-Major'!C76,'Historic WASDE MY 202526'!$B$4:$B$86&amp;'Historic WASDE MY 202526'!$C$4:$C$87,0),MATCH('Corn World-Major'!$I$2,'Historic WASDE MY 202526'!$D$3:$AA$3,0))</f>
        <v>149867</v>
      </c>
      <c r="J76" s="276" cm="1">
        <f t="array" ref="J76">INDEX('Historic WASDE MY 202425'!$D$4:$AA$87,MATCH('Corn World-Major'!B76&amp;'Corn World-Major'!C76,'Historic WASDE MY 202425'!$B$4:$B$86&amp;'Historic WASDE MY 202425'!$C$4:$C$87,0),MATCH('Corn World-Major'!$J$2,'Historic WASDE MY 202425'!$D$3:$AA$3,0))</f>
        <v>144152</v>
      </c>
      <c r="K76" s="276" cm="1">
        <f t="array" ref="K76">INDEX('Historic WASDE MY 202526'!$D$4:$AA$87,MATCH('Corn World-Major'!B76&amp;'Corn World-Major'!C76,'Historic WASDE MY 202526'!$B$4:$B$86&amp;'Historic WASDE MY 202526'!$C$4:$C$87,0),MATCH('Corn World-Major'!$K$2,'Historic WASDE MY 202526'!$D$3:$AA$3,0))</f>
        <v>148597</v>
      </c>
      <c r="L76" s="283">
        <f>'Historic WASDE MY 202425'!P65</f>
        <v>144152</v>
      </c>
      <c r="M76" s="283">
        <f>'Historic WASDE MY 202526'!G65</f>
        <v>154947</v>
      </c>
    </row>
    <row r="77" spans="1:13" ht="15.75" thickBot="1">
      <c r="A77" s="274" t="s">
        <v>299</v>
      </c>
      <c r="B77" s="274" t="s">
        <v>17</v>
      </c>
      <c r="C77" s="281" t="s">
        <v>1</v>
      </c>
      <c r="D77" s="282">
        <v>734555</v>
      </c>
      <c r="E77" s="282">
        <v>814128</v>
      </c>
      <c r="F77" s="276" cm="1">
        <f t="array" ref="F77">INDEX('Historic WASDE MY 202425'!$D$4:$AA$87,MATCH('Corn World-Major'!B77&amp;'Corn World-Major'!C77,'Historic WASDE MY 202425'!$B$4:$B$86&amp;'Historic WASDE MY 202425'!$C$4:$C$87,0),MATCH('Corn World-Major'!$F$2,'Historic WASDE MY 202425'!$D$3:$AA$3,0))</f>
        <v>781921</v>
      </c>
      <c r="G77" s="276" cm="1">
        <f t="array" ref="G77">INDEX('Historic WASDE MY 202526'!$D$4:$AA$87,MATCH('Corn World-Major'!B77&amp;'Corn World-Major'!C77,'Historic WASDE MY 202526'!$B$4:$B$86&amp;'Historic WASDE MY 202526'!$C$4:$C$87,0),MATCH('Corn World-Major'!$G$2,'Historic WASDE MY 202526'!$D$3:$AA$3,0))</f>
        <v>801553</v>
      </c>
      <c r="H77" s="275"/>
      <c r="I77" s="276" cm="1">
        <f t="array" ref="I77">INDEX('Historic WASDE MY 202526'!$D$4:$AA$87,MATCH('Corn World-Major'!B77&amp;'Corn World-Major'!C77,'Historic WASDE MY 202526'!$B$4:$B$86&amp;'Historic WASDE MY 202526'!$C$4:$C$87,0),MATCH('Corn World-Major'!$I$2,'Historic WASDE MY 202526'!$D$3:$AA$3,0))</f>
        <v>801903</v>
      </c>
      <c r="J77" s="276" cm="1">
        <f t="array" ref="J77">INDEX('Historic WASDE MY 202425'!$D$4:$AA$87,MATCH('Corn World-Major'!B77&amp;'Corn World-Major'!C77,'Historic WASDE MY 202425'!$B$4:$B$86&amp;'Historic WASDE MY 202425'!$C$4:$C$87,0),MATCH('Corn World-Major'!$J$2,'Historic WASDE MY 202425'!$D$3:$AA$3,0))</f>
        <v>784187</v>
      </c>
      <c r="K77" s="276" cm="1">
        <f t="array" ref="K77">INDEX('Historic WASDE MY 202526'!$D$4:$AA$87,MATCH('Corn World-Major'!B77&amp;'Corn World-Major'!C77,'Historic WASDE MY 202526'!$B$4:$B$86&amp;'Historic WASDE MY 202526'!$C$4:$C$87,0),MATCH('Corn World-Major'!$K$2,'Historic WASDE MY 202526'!$D$3:$AA$3,0))</f>
        <v>800943</v>
      </c>
      <c r="L77" s="283">
        <f>'Historic WASDE MY 202425'!P66</f>
        <v>786332</v>
      </c>
      <c r="M77" s="283">
        <f>'Historic WASDE MY 202526'!G66</f>
        <v>811173</v>
      </c>
    </row>
    <row r="78" spans="1:13" ht="15.75" thickBot="1">
      <c r="A78" s="274" t="s">
        <v>299</v>
      </c>
      <c r="B78" s="274" t="s">
        <v>17</v>
      </c>
      <c r="C78" s="278" t="s">
        <v>300</v>
      </c>
      <c r="D78" s="279">
        <f>D77-SUM(D69:D76)</f>
        <v>227621</v>
      </c>
      <c r="E78" s="279">
        <f>E77-SUM(E69:E76)</f>
        <v>283088</v>
      </c>
      <c r="F78" s="279">
        <f>F77-SUM(F69:F76)</f>
        <v>245664</v>
      </c>
      <c r="G78" s="279">
        <f>G77-SUM(G69:G76)</f>
        <v>253286</v>
      </c>
      <c r="H78" s="279">
        <f t="shared" ref="H78:M78" si="6">H77-SUM(H69:H76)</f>
        <v>0</v>
      </c>
      <c r="I78" s="279">
        <f t="shared" si="6"/>
        <v>253736</v>
      </c>
      <c r="J78" s="279">
        <f t="shared" si="6"/>
        <v>480885</v>
      </c>
      <c r="K78" s="279">
        <f t="shared" si="6"/>
        <v>254046</v>
      </c>
      <c r="L78" s="279">
        <f t="shared" si="6"/>
        <v>251380</v>
      </c>
      <c r="M78" s="279">
        <f t="shared" si="6"/>
        <v>257826</v>
      </c>
    </row>
    <row r="79" spans="1:13">
      <c r="A79" s="274"/>
      <c r="B79" s="274"/>
      <c r="C79" s="274"/>
      <c r="D79" s="275"/>
      <c r="E79" s="275"/>
      <c r="F79" s="275"/>
      <c r="G79" s="275"/>
      <c r="H79" s="275"/>
      <c r="I79" s="275"/>
      <c r="J79" s="275"/>
      <c r="K79" s="275"/>
    </row>
    <row r="80" spans="1:13">
      <c r="A80" s="274" t="s">
        <v>299</v>
      </c>
      <c r="B80" s="274" t="s">
        <v>18</v>
      </c>
      <c r="C80" s="281" t="s">
        <v>24</v>
      </c>
      <c r="D80" s="282">
        <v>4200</v>
      </c>
      <c r="E80" s="282">
        <v>4200</v>
      </c>
      <c r="F80" s="276" cm="1">
        <f t="array" ref="F80">INDEX('Historic WASDE MY 202425'!$D$4:$AA$87,MATCH('Corn World-Major'!B80&amp;'Corn World-Major'!C80,'Historic WASDE MY 202425'!$B$4:$B$86&amp;'Historic WASDE MY 202425'!$C$4:$C$87,0),MATCH('Corn World-Major'!$F$2,'Historic WASDE MY 202425'!$D$3:$AA$3,0))</f>
        <v>4400</v>
      </c>
      <c r="G80" s="276" cm="1">
        <f t="array" ref="G80">INDEX('Historic WASDE MY 202526'!$D$4:$AA$87,MATCH('Corn World-Major'!B80&amp;'Corn World-Major'!C80,'Historic WASDE MY 202526'!$B$4:$B$86&amp;'Historic WASDE MY 202526'!$C$4:$C$87,0),MATCH('Corn World-Major'!$G$2,'Historic WASDE MY 202526'!$D$3:$AA$3,0))</f>
        <v>4400</v>
      </c>
      <c r="H80" s="275"/>
      <c r="I80" s="276" cm="1">
        <f t="array" ref="I80">INDEX('Historic WASDE MY 202526'!$D$4:$AA$87,MATCH('Corn World-Major'!B80&amp;'Corn World-Major'!C80,'Historic WASDE MY 202526'!$B$4:$B$86&amp;'Historic WASDE MY 202526'!$C$4:$C$87,0),MATCH('Corn World-Major'!$I$2,'Historic WASDE MY 202526'!$D$3:$AA$3,0))</f>
        <v>4400</v>
      </c>
      <c r="J80" s="276" cm="1">
        <f t="array" ref="J80">INDEX('Historic WASDE MY 202425'!$D$4:$AA$87,MATCH('Corn World-Major'!B80&amp;'Corn World-Major'!C80,'Historic WASDE MY 202425'!$B$4:$B$86&amp;'Historic WASDE MY 202425'!$C$4:$C$87,0),MATCH('Corn World-Major'!$J$2,'Historic WASDE MY 202425'!$D$3:$AA$3,0))</f>
        <v>4400</v>
      </c>
      <c r="K80" s="276" cm="1">
        <f t="array" ref="K80">INDEX('Historic WASDE MY 202526'!$D$4:$AA$87,MATCH('Corn World-Major'!B80&amp;'Corn World-Major'!C80,'Historic WASDE MY 202526'!$B$4:$B$86&amp;'Historic WASDE MY 202526'!$C$4:$C$87,0),MATCH('Corn World-Major'!$K$2,'Historic WASDE MY 202526'!$D$3:$AA$3,0))</f>
        <v>4400</v>
      </c>
      <c r="L80" s="283">
        <f>'Historic WASDE MY 202425'!P67</f>
        <v>4400</v>
      </c>
      <c r="M80" s="283">
        <f>'Historic WASDE MY 202526'!G67</f>
        <v>4400</v>
      </c>
    </row>
    <row r="81" spans="1:13">
      <c r="A81" s="274" t="s">
        <v>299</v>
      </c>
      <c r="B81" s="274" t="s">
        <v>18</v>
      </c>
      <c r="C81" s="281" t="s">
        <v>27</v>
      </c>
      <c r="D81" s="282">
        <v>16500</v>
      </c>
      <c r="E81" s="282">
        <v>21500</v>
      </c>
      <c r="F81" s="276" cm="1">
        <f t="array" ref="F81">INDEX('Historic WASDE MY 202425'!$D$4:$AA$87,MATCH('Corn World-Major'!B81&amp;'Corn World-Major'!C81,'Historic WASDE MY 202425'!$B$4:$B$86&amp;'Historic WASDE MY 202425'!$C$4:$C$87,0),MATCH('Corn World-Major'!$F$2,'Historic WASDE MY 202425'!$D$3:$AA$3,0))</f>
        <v>26500</v>
      </c>
      <c r="G81" s="276" cm="1">
        <f t="array" ref="G81">INDEX('Historic WASDE MY 202526'!$D$4:$AA$87,MATCH('Corn World-Major'!B81&amp;'Corn World-Major'!C81,'Historic WASDE MY 202526'!$B$4:$B$86&amp;'Historic WASDE MY 202526'!$C$4:$C$87,0),MATCH('Corn World-Major'!$G$2,'Historic WASDE MY 202526'!$D$3:$AA$3,0))</f>
        <v>27500</v>
      </c>
      <c r="H81" s="275"/>
      <c r="I81" s="276" cm="1">
        <f t="array" ref="I81">INDEX('Historic WASDE MY 202526'!$D$4:$AA$87,MATCH('Corn World-Major'!B81&amp;'Corn World-Major'!C81,'Historic WASDE MY 202526'!$B$4:$B$86&amp;'Historic WASDE MY 202526'!$C$4:$C$87,0),MATCH('Corn World-Major'!$I$2,'Historic WASDE MY 202526'!$D$3:$AA$3,0))</f>
        <v>27500</v>
      </c>
      <c r="J81" s="276" cm="1">
        <f t="array" ref="J81">INDEX('Historic WASDE MY 202425'!$D$4:$AA$87,MATCH('Corn World-Major'!B81&amp;'Corn World-Major'!C81,'Historic WASDE MY 202425'!$B$4:$B$86&amp;'Historic WASDE MY 202425'!$C$4:$C$87,0),MATCH('Corn World-Major'!$J$2,'Historic WASDE MY 202425'!$D$3:$AA$3,0))</f>
        <v>26500</v>
      </c>
      <c r="K81" s="276" cm="1">
        <f t="array" ref="K81">INDEX('Historic WASDE MY 202526'!$D$4:$AA$87,MATCH('Corn World-Major'!B81&amp;'Corn World-Major'!C81,'Historic WASDE MY 202526'!$B$4:$B$86&amp;'Historic WASDE MY 202526'!$C$4:$C$87,0),MATCH('Corn World-Major'!$K$2,'Historic WASDE MY 202526'!$D$3:$AA$3,0))</f>
        <v>28500</v>
      </c>
      <c r="L81" s="283">
        <f>'Historic WASDE MY 202425'!P68</f>
        <v>26500</v>
      </c>
      <c r="M81" s="283">
        <f>'Historic WASDE MY 202526'!G68</f>
        <v>28500</v>
      </c>
    </row>
    <row r="82" spans="1:13">
      <c r="A82" s="274" t="s">
        <v>299</v>
      </c>
      <c r="B82" s="274" t="s">
        <v>18</v>
      </c>
      <c r="C82" s="281" t="s">
        <v>29</v>
      </c>
      <c r="D82" s="282">
        <v>5343</v>
      </c>
      <c r="E82" s="282">
        <v>6015</v>
      </c>
      <c r="F82" s="276" cm="1">
        <f t="array" ref="F82">INDEX('Historic WASDE MY 202425'!$D$4:$AA$87,MATCH('Corn World-Major'!B82&amp;'Corn World-Major'!C82,'Historic WASDE MY 202425'!$B$4:$B$86&amp;'Historic WASDE MY 202425'!$C$4:$C$87,0),MATCH('Corn World-Major'!$F$2,'Historic WASDE MY 202425'!$D$3:$AA$3,0))</f>
        <v>5800</v>
      </c>
      <c r="G82" s="276" cm="1">
        <f t="array" ref="G82">INDEX('Historic WASDE MY 202526'!$D$4:$AA$87,MATCH('Corn World-Major'!B82&amp;'Corn World-Major'!C82,'Historic WASDE MY 202526'!$B$4:$B$86&amp;'Historic WASDE MY 202526'!$C$4:$C$87,0),MATCH('Corn World-Major'!$G$2,'Historic WASDE MY 202526'!$D$3:$AA$3,0))</f>
        <v>5500</v>
      </c>
      <c r="H82" s="275"/>
      <c r="I82" s="276" cm="1">
        <f t="array" ref="I82">INDEX('Historic WASDE MY 202526'!$D$4:$AA$87,MATCH('Corn World-Major'!B82&amp;'Corn World-Major'!C82,'Historic WASDE MY 202526'!$B$4:$B$86&amp;'Historic WASDE MY 202526'!$C$4:$C$87,0),MATCH('Corn World-Major'!$I$2,'Historic WASDE MY 202526'!$D$3:$AA$3,0))</f>
        <v>5500</v>
      </c>
      <c r="J82" s="276" cm="1">
        <f t="array" ref="J82">INDEX('Historic WASDE MY 202425'!$D$4:$AA$87,MATCH('Corn World-Major'!B82&amp;'Corn World-Major'!C82,'Historic WASDE MY 202425'!$B$4:$B$86&amp;'Historic WASDE MY 202425'!$C$4:$C$87,0),MATCH('Corn World-Major'!$J$2,'Historic WASDE MY 202425'!$D$3:$AA$3,0))</f>
        <v>5500</v>
      </c>
      <c r="K82" s="276" cm="1">
        <f t="array" ref="K82">INDEX('Historic WASDE MY 202526'!$D$4:$AA$87,MATCH('Corn World-Major'!B82&amp;'Corn World-Major'!C82,'Historic WASDE MY 202526'!$B$4:$B$86&amp;'Historic WASDE MY 202526'!$C$4:$C$87,0),MATCH('Corn World-Major'!$K$2,'Historic WASDE MY 202526'!$D$3:$AA$3,0))</f>
        <v>5600</v>
      </c>
      <c r="L82" s="283">
        <f>'Historic WASDE MY 202425'!P69</f>
        <v>5500</v>
      </c>
      <c r="M82" s="283">
        <f>'Historic WASDE MY 202526'!G69</f>
        <v>5600</v>
      </c>
    </row>
    <row r="83" spans="1:13">
      <c r="A83" s="274" t="s">
        <v>299</v>
      </c>
      <c r="B83" s="274" t="s">
        <v>18</v>
      </c>
      <c r="C83" s="281" t="s">
        <v>32</v>
      </c>
      <c r="D83" s="282">
        <v>81000</v>
      </c>
      <c r="E83" s="282">
        <v>82000</v>
      </c>
      <c r="F83" s="276" cm="1">
        <f t="array" ref="F83">INDEX('Historic WASDE MY 202425'!$D$4:$AA$87,MATCH('Corn World-Major'!B83&amp;'Corn World-Major'!C83,'Historic WASDE MY 202425'!$B$4:$B$86&amp;'Historic WASDE MY 202425'!$C$4:$C$87,0),MATCH('Corn World-Major'!$F$2,'Historic WASDE MY 202425'!$D$3:$AA$3,0))</f>
        <v>82000</v>
      </c>
      <c r="G83" s="276" cm="1">
        <f t="array" ref="G83">INDEX('Historic WASDE MY 202526'!$D$4:$AA$87,MATCH('Corn World-Major'!B83&amp;'Corn World-Major'!C83,'Historic WASDE MY 202526'!$B$4:$B$86&amp;'Historic WASDE MY 202526'!$C$4:$C$87,0),MATCH('Corn World-Major'!$G$2,'Historic WASDE MY 202526'!$D$3:$AA$3,0))</f>
        <v>82000</v>
      </c>
      <c r="H83" s="275"/>
      <c r="I83" s="276" cm="1">
        <f t="array" ref="I83">INDEX('Historic WASDE MY 202526'!$D$4:$AA$87,MATCH('Corn World-Major'!B83&amp;'Corn World-Major'!C83,'Historic WASDE MY 202526'!$B$4:$B$86&amp;'Historic WASDE MY 202526'!$C$4:$C$87,0),MATCH('Corn World-Major'!$I$2,'Historic WASDE MY 202526'!$D$3:$AA$3,0))</f>
        <v>82000</v>
      </c>
      <c r="J83" s="276" cm="1">
        <f t="array" ref="J83">INDEX('Historic WASDE MY 202425'!$D$4:$AA$87,MATCH('Corn World-Major'!B83&amp;'Corn World-Major'!C83,'Historic WASDE MY 202425'!$B$4:$B$86&amp;'Historic WASDE MY 202425'!$C$4:$C$87,0),MATCH('Corn World-Major'!$J$2,'Historic WASDE MY 202425'!$D$3:$AA$3,0))</f>
        <v>325</v>
      </c>
      <c r="K83" s="276" cm="1">
        <f t="array" ref="K83">INDEX('Historic WASDE MY 202526'!$D$4:$AA$87,MATCH('Corn World-Major'!B83&amp;'Corn World-Major'!C83,'Historic WASDE MY 202526'!$B$4:$B$86&amp;'Historic WASDE MY 202526'!$C$4:$C$87,0),MATCH('Corn World-Major'!$K$2,'Historic WASDE MY 202526'!$D$3:$AA$3,0))</f>
        <v>82000</v>
      </c>
      <c r="L83" s="283">
        <f>'Historic WASDE MY 202425'!P70</f>
        <v>82000</v>
      </c>
      <c r="M83" s="283">
        <f>'Historic WASDE MY 202526'!G70</f>
        <v>82000</v>
      </c>
    </row>
    <row r="84" spans="1:13">
      <c r="A84" s="274" t="s">
        <v>299</v>
      </c>
      <c r="B84" s="274" t="s">
        <v>18</v>
      </c>
      <c r="C84" s="281" t="s">
        <v>34</v>
      </c>
      <c r="D84" s="282">
        <v>19200</v>
      </c>
      <c r="E84" s="282">
        <v>19800</v>
      </c>
      <c r="F84" s="276" cm="1">
        <f t="array" ref="F84">INDEX('Historic WASDE MY 202425'!$D$4:$AA$87,MATCH('Corn World-Major'!B84&amp;'Corn World-Major'!C84,'Historic WASDE MY 202425'!$B$4:$B$86&amp;'Historic WASDE MY 202425'!$C$4:$C$87,0),MATCH('Corn World-Major'!$F$2,'Historic WASDE MY 202425'!$D$3:$AA$3,0))</f>
        <v>19700</v>
      </c>
      <c r="G84" s="276" cm="1">
        <f t="array" ref="G84">INDEX('Historic WASDE MY 202526'!$D$4:$AA$87,MATCH('Corn World-Major'!B84&amp;'Corn World-Major'!C84,'Historic WASDE MY 202526'!$B$4:$B$86&amp;'Historic WASDE MY 202526'!$C$4:$C$87,0),MATCH('Corn World-Major'!$G$2,'Historic WASDE MY 202526'!$D$3:$AA$3,0))</f>
        <v>20100</v>
      </c>
      <c r="H84" s="275"/>
      <c r="I84" s="276" cm="1">
        <f t="array" ref="I84">INDEX('Historic WASDE MY 202526'!$D$4:$AA$87,MATCH('Corn World-Major'!B84&amp;'Corn World-Major'!C84,'Historic WASDE MY 202526'!$B$4:$B$86&amp;'Historic WASDE MY 202526'!$C$4:$C$87,0),MATCH('Corn World-Major'!$I$2,'Historic WASDE MY 202526'!$D$3:$AA$3,0))</f>
        <v>20100</v>
      </c>
      <c r="J84" s="276" cm="1">
        <f t="array" ref="J84">INDEX('Historic WASDE MY 202425'!$D$4:$AA$87,MATCH('Corn World-Major'!B84&amp;'Corn World-Major'!C84,'Historic WASDE MY 202425'!$B$4:$B$86&amp;'Historic WASDE MY 202425'!$C$4:$C$87,0),MATCH('Corn World-Major'!$J$2,'Historic WASDE MY 202425'!$D$3:$AA$3,0))</f>
        <v>19700</v>
      </c>
      <c r="K84" s="276" cm="1">
        <f t="array" ref="K84">INDEX('Historic WASDE MY 202526'!$D$4:$AA$87,MATCH('Corn World-Major'!B84&amp;'Corn World-Major'!C84,'Historic WASDE MY 202526'!$B$4:$B$86&amp;'Historic WASDE MY 202526'!$C$4:$C$87,0),MATCH('Corn World-Major'!$K$2,'Historic WASDE MY 202526'!$D$3:$AA$3,0))</f>
        <v>20100</v>
      </c>
      <c r="L84" s="283">
        <f>'Historic WASDE MY 202425'!P71</f>
        <v>20000</v>
      </c>
      <c r="M84" s="283">
        <f>'Historic WASDE MY 202526'!G71</f>
        <v>20200</v>
      </c>
    </row>
    <row r="85" spans="1:13">
      <c r="A85" s="274" t="s">
        <v>299</v>
      </c>
      <c r="B85" s="274" t="s">
        <v>18</v>
      </c>
      <c r="C85" s="281" t="s">
        <v>36</v>
      </c>
      <c r="D85" s="282">
        <v>1100</v>
      </c>
      <c r="E85" s="282">
        <v>1100</v>
      </c>
      <c r="F85" s="276" cm="1">
        <f t="array" ref="F85">INDEX('Historic WASDE MY 202425'!$D$4:$AA$87,MATCH('Corn World-Major'!B85&amp;'Corn World-Major'!C85,'Historic WASDE MY 202425'!$B$4:$B$86&amp;'Historic WASDE MY 202425'!$C$4:$C$87,0),MATCH('Corn World-Major'!$F$2,'Historic WASDE MY 202425'!$D$3:$AA$3,0))</f>
        <v>1100</v>
      </c>
      <c r="G85" s="276" cm="1">
        <f t="array" ref="G85">INDEX('Historic WASDE MY 202526'!$D$4:$AA$87,MATCH('Corn World-Major'!B85&amp;'Corn World-Major'!C85,'Historic WASDE MY 202526'!$B$4:$B$86&amp;'Historic WASDE MY 202526'!$C$4:$C$87,0),MATCH('Corn World-Major'!$G$2,'Historic WASDE MY 202526'!$D$3:$AA$3,0))</f>
        <v>1100</v>
      </c>
      <c r="H85" s="275"/>
      <c r="I85" s="276" cm="1">
        <f t="array" ref="I85">INDEX('Historic WASDE MY 202526'!$D$4:$AA$87,MATCH('Corn World-Major'!B85&amp;'Corn World-Major'!C85,'Historic WASDE MY 202526'!$B$4:$B$86&amp;'Historic WASDE MY 202526'!$C$4:$C$87,0),MATCH('Corn World-Major'!$I$2,'Historic WASDE MY 202526'!$D$3:$AA$3,0))</f>
        <v>1100</v>
      </c>
      <c r="J85" s="276" cm="1">
        <f t="array" ref="J85">INDEX('Historic WASDE MY 202425'!$D$4:$AA$87,MATCH('Corn World-Major'!B85&amp;'Corn World-Major'!C85,'Historic WASDE MY 202425'!$B$4:$B$86&amp;'Historic WASDE MY 202425'!$C$4:$C$87,0),MATCH('Corn World-Major'!$J$2,'Historic WASDE MY 202425'!$D$3:$AA$3,0))</f>
        <v>1100</v>
      </c>
      <c r="K85" s="276" cm="1">
        <f t="array" ref="K85">INDEX('Historic WASDE MY 202526'!$D$4:$AA$87,MATCH('Corn World-Major'!B85&amp;'Corn World-Major'!C85,'Historic WASDE MY 202526'!$B$4:$B$86&amp;'Historic WASDE MY 202526'!$C$4:$C$87,0),MATCH('Corn World-Major'!$K$2,'Historic WASDE MY 202526'!$D$3:$AA$3,0))</f>
        <v>1100</v>
      </c>
      <c r="L85" s="283">
        <f>'Historic WASDE MY 202425'!P72</f>
        <v>1100</v>
      </c>
      <c r="M85" s="283">
        <f>'Historic WASDE MY 202526'!G72</f>
        <v>1100</v>
      </c>
    </row>
    <row r="86" spans="1:13">
      <c r="A86" s="274" t="s">
        <v>299</v>
      </c>
      <c r="B86" s="274" t="s">
        <v>18</v>
      </c>
      <c r="C86" s="281" t="s">
        <v>38</v>
      </c>
      <c r="D86" s="281">
        <v>900</v>
      </c>
      <c r="E86" s="281">
        <v>1825</v>
      </c>
      <c r="F86" s="276" cm="1">
        <f t="array" ref="F86">INDEX('Historic WASDE MY 202425'!$D$4:$AA$87,MATCH('Corn World-Major'!B86&amp;'Corn World-Major'!C86,'Historic WASDE MY 202425'!$B$4:$B$86&amp;'Historic WASDE MY 202425'!$C$4:$C$87,0),MATCH('Corn World-Major'!$F$2,'Historic WASDE MY 202425'!$D$3:$AA$3,0))</f>
        <v>950</v>
      </c>
      <c r="G86" s="276" cm="1">
        <f t="array" ref="G86">INDEX('Historic WASDE MY 202526'!$D$4:$AA$87,MATCH('Corn World-Major'!B86&amp;'Corn World-Major'!C86,'Historic WASDE MY 202526'!$B$4:$B$86&amp;'Historic WASDE MY 202526'!$C$4:$C$87,0),MATCH('Corn World-Major'!$G$2,'Historic WASDE MY 202526'!$D$3:$AA$3,0))</f>
        <v>925</v>
      </c>
      <c r="H86" s="275"/>
      <c r="I86" s="276" cm="1">
        <f t="array" ref="I86">INDEX('Historic WASDE MY 202526'!$D$4:$AA$87,MATCH('Corn World-Major'!B86&amp;'Corn World-Major'!C86,'Historic WASDE MY 202526'!$B$4:$B$86&amp;'Historic WASDE MY 202526'!$C$4:$C$87,0),MATCH('Corn World-Major'!$I$2,'Historic WASDE MY 202526'!$D$3:$AA$3,0))</f>
        <v>925</v>
      </c>
      <c r="J86" s="276" cm="1">
        <f t="array" ref="J86">INDEX('Historic WASDE MY 202425'!$D$4:$AA$87,MATCH('Corn World-Major'!B86&amp;'Corn World-Major'!C86,'Historic WASDE MY 202425'!$B$4:$B$86&amp;'Historic WASDE MY 202425'!$C$4:$C$87,0),MATCH('Corn World-Major'!$J$2,'Historic WASDE MY 202425'!$D$3:$AA$3,0))</f>
        <v>950</v>
      </c>
      <c r="K86" s="276" cm="1">
        <f t="array" ref="K86">INDEX('Historic WASDE MY 202526'!$D$4:$AA$87,MATCH('Corn World-Major'!B86&amp;'Corn World-Major'!C86,'Historic WASDE MY 202526'!$B$4:$B$86&amp;'Historic WASDE MY 202526'!$C$4:$C$87,0),MATCH('Corn World-Major'!$K$2,'Historic WASDE MY 202526'!$D$3:$AA$3,0))</f>
        <v>925</v>
      </c>
      <c r="L86" s="283">
        <f>'Historic WASDE MY 202425'!P73</f>
        <v>900</v>
      </c>
      <c r="M86" s="283">
        <f>'Historic WASDE MY 202526'!G73</f>
        <v>925</v>
      </c>
    </row>
    <row r="87" spans="1:13">
      <c r="A87" s="274" t="s">
        <v>299</v>
      </c>
      <c r="B87" s="274" t="s">
        <v>18</v>
      </c>
      <c r="C87" s="281" t="s">
        <v>40</v>
      </c>
      <c r="D87" s="282">
        <v>166578</v>
      </c>
      <c r="E87" s="282">
        <v>174466</v>
      </c>
      <c r="F87" s="276" cm="1">
        <f t="array" ref="F87">INDEX('Historic WASDE MY 202425'!$D$4:$AA$87,MATCH('Corn World-Major'!B87&amp;'Corn World-Major'!C87,'Historic WASDE MY 202425'!$B$4:$B$86&amp;'Historic WASDE MY 202425'!$C$4:$C$87,0),MATCH('Corn World-Major'!$F$2,'Historic WASDE MY 202425'!$D$3:$AA$3,0))</f>
        <v>175014</v>
      </c>
      <c r="G87" s="276" cm="1">
        <f t="array" ref="G87">INDEX('Historic WASDE MY 202526'!$D$4:$AA$87,MATCH('Corn World-Major'!B87&amp;'Corn World-Major'!C87,'Historic WASDE MY 202526'!$B$4:$B$86&amp;'Historic WASDE MY 202526'!$C$4:$C$87,0),MATCH('Corn World-Major'!$G$2,'Historic WASDE MY 202526'!$D$3:$AA$3,0))</f>
        <v>174887</v>
      </c>
      <c r="H87" s="275"/>
      <c r="I87" s="276" cm="1">
        <f t="array" ref="I87">INDEX('Historic WASDE MY 202526'!$D$4:$AA$87,MATCH('Corn World-Major'!B87&amp;'Corn World-Major'!C87,'Historic WASDE MY 202526'!$B$4:$B$86&amp;'Historic WASDE MY 202526'!$C$4:$C$87,0),MATCH('Corn World-Major'!$I$2,'Historic WASDE MY 202526'!$D$3:$AA$3,0))</f>
        <v>174887</v>
      </c>
      <c r="J87" s="276" cm="1">
        <f t="array" ref="J87">INDEX('Historic WASDE MY 202425'!$D$4:$AA$87,MATCH('Corn World-Major'!B87&amp;'Corn World-Major'!C87,'Historic WASDE MY 202425'!$B$4:$B$86&amp;'Historic WASDE MY 202425'!$C$4:$C$87,0),MATCH('Corn World-Major'!$J$2,'Historic WASDE MY 202425'!$D$3:$AA$3,0))</f>
        <v>175014</v>
      </c>
      <c r="K87" s="276" cm="1">
        <f t="array" ref="K87">INDEX('Historic WASDE MY 202526'!$D$4:$AA$87,MATCH('Corn World-Major'!B87&amp;'Corn World-Major'!C87,'Historic WASDE MY 202526'!$B$4:$B$86&amp;'Historic WASDE MY 202526'!$C$4:$C$87,0),MATCH('Corn World-Major'!$K$2,'Historic WASDE MY 202526'!$D$3:$AA$3,0))</f>
        <v>174886</v>
      </c>
      <c r="L87" s="283">
        <f>'Historic WASDE MY 202425'!P74</f>
        <v>174125</v>
      </c>
      <c r="M87" s="283">
        <f>'Historic WASDE MY 202526'!G74</f>
        <v>177300</v>
      </c>
    </row>
    <row r="88" spans="1:13" ht="15.75" thickBot="1">
      <c r="A88" s="274" t="s">
        <v>299</v>
      </c>
      <c r="B88" s="274" t="s">
        <v>18</v>
      </c>
      <c r="C88" s="281" t="s">
        <v>1</v>
      </c>
      <c r="D88" s="282">
        <v>429199</v>
      </c>
      <c r="E88" s="282">
        <v>482788</v>
      </c>
      <c r="F88" s="276" cm="1">
        <f t="array" ref="F88">INDEX('Historic WASDE MY 202425'!$D$4:$AA$87,MATCH('Corn World-Major'!B88&amp;'Corn World-Major'!C88,'Historic WASDE MY 202425'!$B$4:$B$86&amp;'Historic WASDE MY 202425'!$C$4:$C$87,0),MATCH('Corn World-Major'!$F$2,'Historic WASDE MY 202425'!$D$3:$AA$3,0))</f>
        <v>462316</v>
      </c>
      <c r="G88" s="276" cm="1">
        <f t="array" ref="G88">INDEX('Historic WASDE MY 202526'!$D$4:$AA$87,MATCH('Corn World-Major'!B88&amp;'Corn World-Major'!C88,'Historic WASDE MY 202526'!$B$4:$B$86&amp;'Historic WASDE MY 202526'!$C$4:$C$87,0),MATCH('Corn World-Major'!$G$2,'Historic WASDE MY 202526'!$D$3:$AA$3,0))</f>
        <v>464546</v>
      </c>
      <c r="H88" s="275"/>
      <c r="I88" s="276" cm="1">
        <f t="array" ref="I88">INDEX('Historic WASDE MY 202526'!$D$4:$AA$87,MATCH('Corn World-Major'!B88&amp;'Corn World-Major'!C88,'Historic WASDE MY 202526'!$B$4:$B$86&amp;'Historic WASDE MY 202526'!$C$4:$C$87,0),MATCH('Corn World-Major'!$I$2,'Historic WASDE MY 202526'!$D$3:$AA$3,0))</f>
        <v>465546</v>
      </c>
      <c r="J88" s="276" cm="1">
        <f t="array" ref="J88">INDEX('Historic WASDE MY 202425'!$D$4:$AA$87,MATCH('Corn World-Major'!B88&amp;'Corn World-Major'!C88,'Historic WASDE MY 202425'!$B$4:$B$86&amp;'Historic WASDE MY 202425'!$C$4:$C$87,0),MATCH('Corn World-Major'!$J$2,'Historic WASDE MY 202425'!$D$3:$AA$3,0))</f>
        <v>462921</v>
      </c>
      <c r="K88" s="276" cm="1">
        <f t="array" ref="K88">INDEX('Historic WASDE MY 202526'!$D$4:$AA$87,MATCH('Corn World-Major'!B88&amp;'Corn World-Major'!C88,'Historic WASDE MY 202526'!$B$4:$B$86&amp;'Historic WASDE MY 202526'!$C$4:$C$87,0),MATCH('Corn World-Major'!$K$2,'Historic WASDE MY 202526'!$D$3:$AA$3,0))</f>
        <v>466760</v>
      </c>
      <c r="L88" s="283">
        <f>'Historic WASDE MY 202425'!P75</f>
        <v>462257</v>
      </c>
      <c r="M88" s="283">
        <f>'Historic WASDE MY 202526'!G75</f>
        <v>469284</v>
      </c>
    </row>
    <row r="89" spans="1:13" ht="15.75" thickBot="1">
      <c r="A89" s="274" t="s">
        <v>299</v>
      </c>
      <c r="B89" s="274" t="s">
        <v>18</v>
      </c>
      <c r="C89" s="278" t="s">
        <v>300</v>
      </c>
      <c r="D89" s="279">
        <f>D88-SUM(D80:D87)</f>
        <v>134378</v>
      </c>
      <c r="E89" s="279">
        <f>E88-SUM(E80:E87)</f>
        <v>171882</v>
      </c>
      <c r="F89" s="279">
        <f>F88-SUM(F80:F87)</f>
        <v>146852</v>
      </c>
      <c r="G89" s="279">
        <f>G88-SUM(G80:G87)</f>
        <v>148134</v>
      </c>
      <c r="H89" s="279">
        <f t="shared" ref="H89:M89" si="7">H88-SUM(H80:H87)</f>
        <v>0</v>
      </c>
      <c r="I89" s="279">
        <f t="shared" si="7"/>
        <v>149134</v>
      </c>
      <c r="J89" s="279">
        <f t="shared" si="7"/>
        <v>229432</v>
      </c>
      <c r="K89" s="279">
        <f t="shared" si="7"/>
        <v>149249</v>
      </c>
      <c r="L89" s="279">
        <f t="shared" si="7"/>
        <v>147732</v>
      </c>
      <c r="M89" s="279">
        <f t="shared" si="7"/>
        <v>149259</v>
      </c>
    </row>
    <row r="90" spans="1:13">
      <c r="A90" s="274"/>
      <c r="B90" s="280"/>
      <c r="C90" s="274"/>
      <c r="D90" s="275"/>
      <c r="E90" s="275"/>
      <c r="F90" s="275"/>
      <c r="G90" s="275"/>
      <c r="H90" s="275"/>
      <c r="I90" s="275"/>
      <c r="J90" s="275"/>
      <c r="K90" s="275"/>
    </row>
    <row r="91" spans="1:13">
      <c r="A91" s="274" t="s">
        <v>299</v>
      </c>
      <c r="B91" s="274" t="s">
        <v>190</v>
      </c>
      <c r="C91" s="281" t="s">
        <v>24</v>
      </c>
      <c r="D91" s="282">
        <v>14200</v>
      </c>
      <c r="E91" s="282">
        <v>14600</v>
      </c>
      <c r="F91" s="276" cm="1">
        <f t="array" ref="F91">INDEX('Historic WASDE MY 202425'!$D$4:$AA$87,MATCH('Corn World-Major'!B91&amp;'Corn World-Major'!C91,'Historic WASDE MY 202425'!$B$4:$B$86&amp;'Historic WASDE MY 202425'!$C$4:$C$87,0),MATCH('Corn World-Major'!$F$2,'Historic WASDE MY 202425'!$D$3:$AA$3,0))</f>
        <v>14600</v>
      </c>
      <c r="G91" s="276" cm="1">
        <f t="array" ref="G91">INDEX('Historic WASDE MY 202526'!$D$4:$AA$87,MATCH('Corn World-Major'!B91&amp;'Corn World-Major'!C91,'Historic WASDE MY 202526'!$B$4:$B$86&amp;'Historic WASDE MY 202526'!$C$4:$C$87,0),MATCH('Corn World-Major'!$G$2,'Historic WASDE MY 202526'!$D$3:$AA$3,0))</f>
        <v>15600</v>
      </c>
      <c r="H91" s="275"/>
      <c r="I91" s="276" cm="1">
        <f t="array" ref="I91">INDEX('Historic WASDE MY 202526'!$D$4:$AA$87,MATCH('Corn World-Major'!B91&amp;'Corn World-Major'!C91,'Historic WASDE MY 202526'!$B$4:$B$86&amp;'Historic WASDE MY 202526'!$C$4:$C$87,0),MATCH('Corn World-Major'!$I$2,'Historic WASDE MY 202526'!$D$3:$AA$3,0))</f>
        <v>15600</v>
      </c>
      <c r="J91" s="276" cm="1">
        <f t="array" ref="J91">INDEX('Historic WASDE MY 202425'!$D$4:$AA$87,MATCH('Corn World-Major'!B91&amp;'Corn World-Major'!C91,'Historic WASDE MY 202425'!$B$4:$B$86&amp;'Historic WASDE MY 202425'!$C$4:$C$87,0),MATCH('Corn World-Major'!$J$2,'Historic WASDE MY 202425'!$D$3:$AA$3,0))</f>
        <v>15200</v>
      </c>
      <c r="K91" s="276" cm="1">
        <f t="array" ref="K91">INDEX('Historic WASDE MY 202526'!$D$4:$AA$87,MATCH('Corn World-Major'!B91&amp;'Corn World-Major'!C91,'Historic WASDE MY 202526'!$B$4:$B$86&amp;'Historic WASDE MY 202526'!$C$4:$C$87,0),MATCH('Corn World-Major'!$K$2,'Historic WASDE MY 202526'!$D$3:$AA$3,0))</f>
        <v>15600</v>
      </c>
      <c r="L91" s="283">
        <f>'Historic WASDE MY 202425'!P76</f>
        <v>15200</v>
      </c>
      <c r="M91" s="283">
        <f>'Historic WASDE MY 202526'!G76</f>
        <v>15600</v>
      </c>
    </row>
    <row r="92" spans="1:13">
      <c r="A92" s="274" t="s">
        <v>299</v>
      </c>
      <c r="B92" s="274" t="s">
        <v>190</v>
      </c>
      <c r="C92" s="281" t="s">
        <v>27</v>
      </c>
      <c r="D92" s="282">
        <v>78000</v>
      </c>
      <c r="E92" s="282">
        <v>84000</v>
      </c>
      <c r="F92" s="276" cm="1">
        <f t="array" ref="F92">INDEX('Historic WASDE MY 202425'!$D$4:$AA$87,MATCH('Corn World-Major'!B92&amp;'Corn World-Major'!C92,'Historic WASDE MY 202425'!$B$4:$B$86&amp;'Historic WASDE MY 202425'!$C$4:$C$87,0),MATCH('Corn World-Major'!$F$2,'Historic WASDE MY 202425'!$D$3:$AA$3,0))</f>
        <v>91000</v>
      </c>
      <c r="G92" s="276" cm="1">
        <f t="array" ref="G92">INDEX('Historic WASDE MY 202526'!$D$4:$AA$87,MATCH('Corn World-Major'!B92&amp;'Corn World-Major'!C92,'Historic WASDE MY 202526'!$B$4:$B$86&amp;'Historic WASDE MY 202526'!$C$4:$C$87,0),MATCH('Corn World-Major'!$G$2,'Historic WASDE MY 202526'!$D$3:$AA$3,0))</f>
        <v>93000</v>
      </c>
      <c r="H92" s="275"/>
      <c r="I92" s="276" cm="1">
        <f t="array" ref="I92">INDEX('Historic WASDE MY 202526'!$D$4:$AA$87,MATCH('Corn World-Major'!B92&amp;'Corn World-Major'!C92,'Historic WASDE MY 202526'!$B$4:$B$86&amp;'Historic WASDE MY 202526'!$C$4:$C$87,0),MATCH('Corn World-Major'!$I$2,'Historic WASDE MY 202526'!$D$3:$AA$3,0))</f>
        <v>93000</v>
      </c>
      <c r="J92" s="276" cm="1">
        <f t="array" ref="J92">INDEX('Historic WASDE MY 202425'!$D$4:$AA$87,MATCH('Corn World-Major'!B92&amp;'Corn World-Major'!C92,'Historic WASDE MY 202425'!$B$4:$B$86&amp;'Historic WASDE MY 202425'!$C$4:$C$87,0),MATCH('Corn World-Major'!$J$2,'Historic WASDE MY 202425'!$D$3:$AA$3,0))</f>
        <v>91000</v>
      </c>
      <c r="K92" s="276" cm="1">
        <f t="array" ref="K92">INDEX('Historic WASDE MY 202526'!$D$4:$AA$87,MATCH('Corn World-Major'!B92&amp;'Corn World-Major'!C92,'Historic WASDE MY 202526'!$B$4:$B$86&amp;'Historic WASDE MY 202526'!$C$4:$C$87,0),MATCH('Corn World-Major'!$K$2,'Historic WASDE MY 202526'!$D$3:$AA$3,0))</f>
        <v>94000</v>
      </c>
      <c r="L92" s="283">
        <f>'Historic WASDE MY 202425'!P77</f>
        <v>91000</v>
      </c>
      <c r="M92" s="283">
        <f>'Historic WASDE MY 202526'!G77</f>
        <v>94000</v>
      </c>
    </row>
    <row r="93" spans="1:13">
      <c r="A93" s="274" t="s">
        <v>299</v>
      </c>
      <c r="B93" s="274" t="s">
        <v>190</v>
      </c>
      <c r="C93" s="281" t="s">
        <v>29</v>
      </c>
      <c r="D93" s="282">
        <v>14927</v>
      </c>
      <c r="E93" s="282">
        <v>15800</v>
      </c>
      <c r="F93" s="276" cm="1">
        <f t="array" ref="F93">INDEX('Historic WASDE MY 202425'!$D$4:$AA$87,MATCH('Corn World-Major'!B93&amp;'Corn World-Major'!C93,'Historic WASDE MY 202425'!$B$4:$B$86&amp;'Historic WASDE MY 202425'!$C$4:$C$87,0),MATCH('Corn World-Major'!$F$2,'Historic WASDE MY 202425'!$D$3:$AA$3,0))</f>
        <v>15400</v>
      </c>
      <c r="G93" s="276" cm="1">
        <f t="array" ref="G93">INDEX('Historic WASDE MY 202526'!$D$4:$AA$87,MATCH('Corn World-Major'!B93&amp;'Corn World-Major'!C93,'Historic WASDE MY 202526'!$B$4:$B$86&amp;'Historic WASDE MY 202526'!$C$4:$C$87,0),MATCH('Corn World-Major'!$G$2,'Historic WASDE MY 202526'!$D$3:$AA$3,0))</f>
        <v>15100</v>
      </c>
      <c r="H93" s="275"/>
      <c r="I93" s="276" cm="1">
        <f t="array" ref="I93">INDEX('Historic WASDE MY 202526'!$D$4:$AA$87,MATCH('Corn World-Major'!B93&amp;'Corn World-Major'!C93,'Historic WASDE MY 202526'!$B$4:$B$86&amp;'Historic WASDE MY 202526'!$C$4:$C$87,0),MATCH('Corn World-Major'!$I$2,'Historic WASDE MY 202526'!$D$3:$AA$3,0))</f>
        <v>15000</v>
      </c>
      <c r="J93" s="276" cm="1">
        <f t="array" ref="J93">INDEX('Historic WASDE MY 202425'!$D$4:$AA$87,MATCH('Corn World-Major'!B93&amp;'Corn World-Major'!C93,'Historic WASDE MY 202425'!$B$4:$B$86&amp;'Historic WASDE MY 202425'!$C$4:$C$87,0),MATCH('Corn World-Major'!$J$2,'Historic WASDE MY 202425'!$D$3:$AA$3,0))</f>
        <v>14700</v>
      </c>
      <c r="K93" s="276" cm="1">
        <f t="array" ref="K93">INDEX('Historic WASDE MY 202526'!$D$4:$AA$87,MATCH('Corn World-Major'!B93&amp;'Corn World-Major'!C93,'Historic WASDE MY 202526'!$B$4:$B$86&amp;'Historic WASDE MY 202526'!$C$4:$C$87,0),MATCH('Corn World-Major'!$K$2,'Historic WASDE MY 202526'!$D$3:$AA$3,0))</f>
        <v>15100</v>
      </c>
      <c r="L93" s="283">
        <f>'Historic WASDE MY 202425'!P78</f>
        <v>14700</v>
      </c>
      <c r="M93" s="283">
        <f>'Historic WASDE MY 202526'!G78</f>
        <v>15100</v>
      </c>
    </row>
    <row r="94" spans="1:13">
      <c r="A94" s="274" t="s">
        <v>299</v>
      </c>
      <c r="B94" s="274" t="s">
        <v>190</v>
      </c>
      <c r="C94" s="281" t="s">
        <v>32</v>
      </c>
      <c r="D94" s="282">
        <v>299000</v>
      </c>
      <c r="E94" s="282">
        <v>307000</v>
      </c>
      <c r="F94" s="276" cm="1">
        <f t="array" ref="F94">INDEX('Historic WASDE MY 202425'!$D$4:$AA$87,MATCH('Corn World-Major'!B94&amp;'Corn World-Major'!C94,'Historic WASDE MY 202425'!$B$4:$B$86&amp;'Historic WASDE MY 202425'!$C$4:$C$87,0),MATCH('Corn World-Major'!$F$2,'Historic WASDE MY 202425'!$D$3:$AA$3,0))</f>
        <v>316000</v>
      </c>
      <c r="G94" s="276" cm="1">
        <f t="array" ref="G94">INDEX('Historic WASDE MY 202526'!$D$4:$AA$87,MATCH('Corn World-Major'!B94&amp;'Corn World-Major'!C94,'Historic WASDE MY 202526'!$B$4:$B$86&amp;'Historic WASDE MY 202526'!$C$4:$C$87,0),MATCH('Corn World-Major'!$G$2,'Historic WASDE MY 202526'!$D$3:$AA$3,0))</f>
        <v>321000</v>
      </c>
      <c r="H94" s="275"/>
      <c r="I94" s="276" cm="1">
        <f t="array" ref="I94">INDEX('Historic WASDE MY 202526'!$D$4:$AA$87,MATCH('Corn World-Major'!B94&amp;'Corn World-Major'!C94,'Historic WASDE MY 202526'!$B$4:$B$86&amp;'Historic WASDE MY 202526'!$C$4:$C$87,0),MATCH('Corn World-Major'!$I$2,'Historic WASDE MY 202526'!$D$3:$AA$3,0))</f>
        <v>321000</v>
      </c>
      <c r="J94" s="276" cm="1">
        <f t="array" ref="J94">INDEX('Historic WASDE MY 202425'!$D$4:$AA$87,MATCH('Corn World-Major'!B94&amp;'Corn World-Major'!C94,'Historic WASDE MY 202425'!$B$4:$B$86&amp;'Historic WASDE MY 202425'!$C$4:$C$87,0),MATCH('Corn World-Major'!$J$2,'Historic WASDE MY 202425'!$D$3:$AA$3,0))</f>
        <v>3075</v>
      </c>
      <c r="K94" s="276" cm="1">
        <f t="array" ref="K94">INDEX('Historic WASDE MY 202526'!$D$4:$AA$87,MATCH('Corn World-Major'!B94&amp;'Corn World-Major'!C94,'Historic WASDE MY 202526'!$B$4:$B$86&amp;'Historic WASDE MY 202526'!$C$4:$C$87,0),MATCH('Corn World-Major'!$K$2,'Historic WASDE MY 202526'!$D$3:$AA$3,0))</f>
        <v>321000</v>
      </c>
      <c r="L94" s="283">
        <f>'Historic WASDE MY 202425'!P79</f>
        <v>316000</v>
      </c>
      <c r="M94" s="283">
        <f>'Historic WASDE MY 202526'!G79</f>
        <v>321000</v>
      </c>
    </row>
    <row r="95" spans="1:13">
      <c r="A95" s="274" t="s">
        <v>299</v>
      </c>
      <c r="B95" s="274" t="s">
        <v>190</v>
      </c>
      <c r="C95" s="281" t="s">
        <v>34</v>
      </c>
      <c r="D95" s="282">
        <v>74800</v>
      </c>
      <c r="E95" s="282">
        <v>78100</v>
      </c>
      <c r="F95" s="276" cm="1">
        <f t="array" ref="F95">INDEX('Historic WASDE MY 202425'!$D$4:$AA$87,MATCH('Corn World-Major'!B95&amp;'Corn World-Major'!C95,'Historic WASDE MY 202425'!$B$4:$B$86&amp;'Historic WASDE MY 202425'!$C$4:$C$87,0),MATCH('Corn World-Major'!$F$2,'Historic WASDE MY 202425'!$D$3:$AA$3,0))</f>
        <v>77900</v>
      </c>
      <c r="G95" s="276" cm="1">
        <f t="array" ref="G95">INDEX('Historic WASDE MY 202526'!$D$4:$AA$87,MATCH('Corn World-Major'!B95&amp;'Corn World-Major'!C95,'Historic WASDE MY 202526'!$B$4:$B$86&amp;'Historic WASDE MY 202526'!$C$4:$C$87,0),MATCH('Corn World-Major'!$G$2,'Historic WASDE MY 202526'!$D$3:$AA$3,0))</f>
        <v>77800</v>
      </c>
      <c r="H95" s="275"/>
      <c r="I95" s="276" cm="1">
        <f t="array" ref="I95">INDEX('Historic WASDE MY 202526'!$D$4:$AA$87,MATCH('Corn World-Major'!B95&amp;'Corn World-Major'!C95,'Historic WASDE MY 202526'!$B$4:$B$86&amp;'Historic WASDE MY 202526'!$C$4:$C$87,0),MATCH('Corn World-Major'!$I$2,'Historic WASDE MY 202526'!$D$3:$AA$3,0))</f>
        <v>77800</v>
      </c>
      <c r="J95" s="276" cm="1">
        <f t="array" ref="J95">INDEX('Historic WASDE MY 202425'!$D$4:$AA$87,MATCH('Corn World-Major'!B95&amp;'Corn World-Major'!C95,'Historic WASDE MY 202425'!$B$4:$B$86&amp;'Historic WASDE MY 202425'!$C$4:$C$87,0),MATCH('Corn World-Major'!$J$2,'Historic WASDE MY 202425'!$D$3:$AA$3,0))</f>
        <v>77900</v>
      </c>
      <c r="K95" s="276" cm="1">
        <f t="array" ref="K95">INDEX('Historic WASDE MY 202526'!$D$4:$AA$87,MATCH('Corn World-Major'!B95&amp;'Corn World-Major'!C95,'Historic WASDE MY 202526'!$B$4:$B$86&amp;'Historic WASDE MY 202526'!$C$4:$C$87,0),MATCH('Corn World-Major'!$K$2,'Historic WASDE MY 202526'!$D$3:$AA$3,0))</f>
        <v>77800</v>
      </c>
      <c r="L95" s="283">
        <f>'Historic WASDE MY 202425'!P80</f>
        <v>78000</v>
      </c>
      <c r="M95" s="283">
        <f>'Historic WASDE MY 202526'!G80</f>
        <v>77900</v>
      </c>
    </row>
    <row r="96" spans="1:13">
      <c r="A96" s="274" t="s">
        <v>299</v>
      </c>
      <c r="B96" s="274" t="s">
        <v>190</v>
      </c>
      <c r="C96" s="281" t="s">
        <v>36</v>
      </c>
      <c r="D96" s="282">
        <v>10000</v>
      </c>
      <c r="E96" s="282">
        <v>10200</v>
      </c>
      <c r="F96" s="276" cm="1">
        <f t="array" ref="F96">INDEX('Historic WASDE MY 202425'!$D$4:$AA$87,MATCH('Corn World-Major'!B96&amp;'Corn World-Major'!C96,'Historic WASDE MY 202425'!$B$4:$B$86&amp;'Historic WASDE MY 202425'!$C$4:$C$87,0),MATCH('Corn World-Major'!$F$2,'Historic WASDE MY 202425'!$D$3:$AA$3,0))</f>
        <v>10600</v>
      </c>
      <c r="G96" s="276" cm="1">
        <f t="array" ref="G96">INDEX('Historic WASDE MY 202526'!$D$4:$AA$87,MATCH('Corn World-Major'!B96&amp;'Corn World-Major'!C96,'Historic WASDE MY 202526'!$B$4:$B$86&amp;'Historic WASDE MY 202526'!$C$4:$C$87,0),MATCH('Corn World-Major'!$G$2,'Historic WASDE MY 202526'!$D$3:$AA$3,0))</f>
        <v>11200</v>
      </c>
      <c r="H96" s="275"/>
      <c r="I96" s="276" cm="1">
        <f t="array" ref="I96">INDEX('Historic WASDE MY 202526'!$D$4:$AA$87,MATCH('Corn World-Major'!B96&amp;'Corn World-Major'!C96,'Historic WASDE MY 202526'!$B$4:$B$86&amp;'Historic WASDE MY 202526'!$C$4:$C$87,0),MATCH('Corn World-Major'!$I$2,'Historic WASDE MY 202526'!$D$3:$AA$3,0))</f>
        <v>11200</v>
      </c>
      <c r="J96" s="276" cm="1">
        <f t="array" ref="J96">INDEX('Historic WASDE MY 202425'!$D$4:$AA$87,MATCH('Corn World-Major'!B96&amp;'Corn World-Major'!C96,'Historic WASDE MY 202425'!$B$4:$B$86&amp;'Historic WASDE MY 202425'!$C$4:$C$87,0),MATCH('Corn World-Major'!$J$2,'Historic WASDE MY 202425'!$D$3:$AA$3,0))</f>
        <v>10600</v>
      </c>
      <c r="K96" s="276" cm="1">
        <f t="array" ref="K96">INDEX('Historic WASDE MY 202526'!$D$4:$AA$87,MATCH('Corn World-Major'!B96&amp;'Corn World-Major'!C96,'Historic WASDE MY 202526'!$B$4:$B$86&amp;'Historic WASDE MY 202526'!$C$4:$C$87,0),MATCH('Corn World-Major'!$K$2,'Historic WASDE MY 202526'!$D$3:$AA$3,0))</f>
        <v>11200</v>
      </c>
      <c r="L96" s="283">
        <f>'Historic WASDE MY 202425'!P81</f>
        <v>10600</v>
      </c>
      <c r="M96" s="283">
        <f>'Historic WASDE MY 202526'!G81</f>
        <v>11200</v>
      </c>
    </row>
    <row r="97" spans="1:13">
      <c r="A97" s="274" t="s">
        <v>299</v>
      </c>
      <c r="B97" s="274" t="s">
        <v>190</v>
      </c>
      <c r="C97" s="281" t="s">
        <v>38</v>
      </c>
      <c r="D97" s="282">
        <v>4900</v>
      </c>
      <c r="E97" s="282">
        <v>10325</v>
      </c>
      <c r="F97" s="276" cm="1">
        <f t="array" ref="F97">INDEX('Historic WASDE MY 202425'!$D$4:$AA$87,MATCH('Corn World-Major'!B97&amp;'Corn World-Major'!C97,'Historic WASDE MY 202425'!$B$4:$B$86&amp;'Historic WASDE MY 202425'!$C$4:$C$87,0),MATCH('Corn World-Major'!$F$2,'Historic WASDE MY 202425'!$D$3:$AA$3,0))</f>
        <v>5150</v>
      </c>
      <c r="G97" s="276" cm="1">
        <f t="array" ref="G97">INDEX('Historic WASDE MY 202526'!$D$4:$AA$87,MATCH('Corn World-Major'!B97&amp;'Corn World-Major'!C97,'Historic WASDE MY 202526'!$B$4:$B$86&amp;'Historic WASDE MY 202526'!$C$4:$C$87,0),MATCH('Corn World-Major'!$G$2,'Historic WASDE MY 202526'!$D$3:$AA$3,0))</f>
        <v>6225</v>
      </c>
      <c r="H97" s="275"/>
      <c r="I97" s="276" cm="1">
        <f t="array" ref="I97">INDEX('Historic WASDE MY 202526'!$D$4:$AA$87,MATCH('Corn World-Major'!B97&amp;'Corn World-Major'!C97,'Historic WASDE MY 202526'!$B$4:$B$86&amp;'Historic WASDE MY 202526'!$C$4:$C$87,0),MATCH('Corn World-Major'!$I$2,'Historic WASDE MY 202526'!$D$3:$AA$3,0))</f>
        <v>6225</v>
      </c>
      <c r="J97" s="276" cm="1">
        <f t="array" ref="J97">INDEX('Historic WASDE MY 202425'!$D$4:$AA$87,MATCH('Corn World-Major'!B97&amp;'Corn World-Major'!C97,'Historic WASDE MY 202425'!$B$4:$B$86&amp;'Historic WASDE MY 202425'!$C$4:$C$87,0),MATCH('Corn World-Major'!$J$2,'Historic WASDE MY 202425'!$D$3:$AA$3,0))</f>
        <v>5150</v>
      </c>
      <c r="K97" s="276" cm="1">
        <f t="array" ref="K97">INDEX('Historic WASDE MY 202526'!$D$4:$AA$87,MATCH('Corn World-Major'!B97&amp;'Corn World-Major'!C97,'Historic WASDE MY 202526'!$B$4:$B$86&amp;'Historic WASDE MY 202526'!$C$4:$C$87,0),MATCH('Corn World-Major'!$K$2,'Historic WASDE MY 202526'!$D$3:$AA$3,0))</f>
        <v>6225</v>
      </c>
      <c r="L97" s="283">
        <f>'Historic WASDE MY 202425'!P82</f>
        <v>5700</v>
      </c>
      <c r="M97" s="283">
        <f>'Historic WASDE MY 202526'!G82</f>
        <v>6325</v>
      </c>
    </row>
    <row r="98" spans="1:13">
      <c r="A98" s="274" t="s">
        <v>299</v>
      </c>
      <c r="B98" s="274" t="s">
        <v>190</v>
      </c>
      <c r="C98" s="281" t="s">
        <v>40</v>
      </c>
      <c r="D98" s="282">
        <v>305928</v>
      </c>
      <c r="E98" s="282">
        <v>321921</v>
      </c>
      <c r="F98" s="276" cm="1">
        <f t="array" ref="F98">INDEX('Historic WASDE MY 202425'!$D$4:$AA$87,MATCH('Corn World-Major'!B98&amp;'Corn World-Major'!C98,'Historic WASDE MY 202425'!$B$4:$B$86&amp;'Historic WASDE MY 202425'!$C$4:$C$87,0),MATCH('Corn World-Major'!$F$2,'Historic WASDE MY 202425'!$D$3:$AA$3,0))</f>
        <v>321071</v>
      </c>
      <c r="G98" s="276" cm="1">
        <f t="array" ref="G98">INDEX('Historic WASDE MY 202526'!$D$4:$AA$87,MATCH('Corn World-Major'!B98&amp;'Corn World-Major'!C98,'Historic WASDE MY 202526'!$B$4:$B$86&amp;'Historic WASDE MY 202526'!$C$4:$C$87,0),MATCH('Corn World-Major'!$G$2,'Historic WASDE MY 202526'!$D$3:$AA$3,0))</f>
        <v>324754</v>
      </c>
      <c r="H98" s="275"/>
      <c r="I98" s="276" cm="1">
        <f t="array" ref="I98">INDEX('Historic WASDE MY 202526'!$D$4:$AA$87,MATCH('Corn World-Major'!B98&amp;'Corn World-Major'!C98,'Historic WASDE MY 202526'!$B$4:$B$86&amp;'Historic WASDE MY 202526'!$C$4:$C$87,0),MATCH('Corn World-Major'!$I$2,'Historic WASDE MY 202526'!$D$3:$AA$3,0))</f>
        <v>324754</v>
      </c>
      <c r="J98" s="276" cm="1">
        <f t="array" ref="J98">INDEX('Historic WASDE MY 202425'!$D$4:$AA$87,MATCH('Corn World-Major'!B98&amp;'Corn World-Major'!C98,'Historic WASDE MY 202425'!$B$4:$B$86&amp;'Historic WASDE MY 202425'!$C$4:$C$87,0),MATCH('Corn World-Major'!$J$2,'Historic WASDE MY 202425'!$D$3:$AA$3,0))</f>
        <v>319166</v>
      </c>
      <c r="K98" s="276" cm="1">
        <f t="array" ref="K98">INDEX('Historic WASDE MY 202526'!$D$4:$AA$87,MATCH('Corn World-Major'!B98&amp;'Corn World-Major'!C98,'Historic WASDE MY 202526'!$B$4:$B$86&amp;'Historic WASDE MY 202526'!$C$4:$C$87,0),MATCH('Corn World-Major'!$K$2,'Historic WASDE MY 202526'!$D$3:$AA$3,0))</f>
        <v>323483</v>
      </c>
      <c r="L98" s="283">
        <f>'Historic WASDE MY 202425'!P83</f>
        <v>318277</v>
      </c>
      <c r="M98" s="283">
        <f>'Historic WASDE MY 202526'!G83</f>
        <v>332247</v>
      </c>
    </row>
    <row r="99" spans="1:13" ht="15.75" thickBot="1">
      <c r="A99" s="274" t="s">
        <v>299</v>
      </c>
      <c r="B99" s="274" t="s">
        <v>190</v>
      </c>
      <c r="C99" s="281" t="s">
        <v>1</v>
      </c>
      <c r="D99" s="282">
        <v>1163754</v>
      </c>
      <c r="E99" s="282">
        <v>1296916</v>
      </c>
      <c r="F99" s="276" cm="1">
        <f t="array" ref="F99">INDEX('Historic WASDE MY 202425'!$D$4:$AA$87,MATCH('Corn World-Major'!B99&amp;'Corn World-Major'!C99,'Historic WASDE MY 202425'!$B$4:$B$86&amp;'Historic WASDE MY 202425'!$C$4:$C$87,0),MATCH('Corn World-Major'!$F$2,'Historic WASDE MY 202425'!$D$3:$AA$3,0))</f>
        <v>1244237</v>
      </c>
      <c r="G99" s="276" cm="1">
        <f t="array" ref="G99">INDEX('Historic WASDE MY 202526'!$D$4:$AA$87,MATCH('Corn World-Major'!B99&amp;'Corn World-Major'!C99,'Historic WASDE MY 202526'!$B$4:$B$86&amp;'Historic WASDE MY 202526'!$C$4:$C$87,0),MATCH('Corn World-Major'!$G$2,'Historic WASDE MY 202526'!$D$3:$AA$3,0))</f>
        <v>1266099</v>
      </c>
      <c r="H99" s="275"/>
      <c r="I99" s="276" cm="1">
        <f t="array" ref="I99">INDEX('Historic WASDE MY 202526'!$D$4:$AA$87,MATCH('Corn World-Major'!B99&amp;'Corn World-Major'!C99,'Historic WASDE MY 202526'!$B$4:$B$86&amp;'Historic WASDE MY 202526'!$C$4:$C$87,0),MATCH('Corn World-Major'!$I$2,'Historic WASDE MY 202526'!$D$3:$AA$3,0))</f>
        <v>1267449</v>
      </c>
      <c r="J99" s="276" cm="1">
        <f t="array" ref="J99">INDEX('Historic WASDE MY 202425'!$D$4:$AA$87,MATCH('Corn World-Major'!B99&amp;'Corn World-Major'!C99,'Historic WASDE MY 202425'!$B$4:$B$86&amp;'Historic WASDE MY 202425'!$C$4:$C$87,0),MATCH('Corn World-Major'!$J$2,'Historic WASDE MY 202425'!$D$3:$AA$3,0))</f>
        <v>1247108</v>
      </c>
      <c r="K99" s="276" cm="1">
        <f t="array" ref="K99">INDEX('Historic WASDE MY 202526'!$D$4:$AA$87,MATCH('Corn World-Major'!B99&amp;'Corn World-Major'!C99,'Historic WASDE MY 202526'!$B$4:$B$86&amp;'Historic WASDE MY 202526'!$C$4:$C$87,0),MATCH('Corn World-Major'!$K$2,'Historic WASDE MY 202526'!$D$3:$AA$3,0))</f>
        <v>1267703</v>
      </c>
      <c r="L99" s="283">
        <f>'Historic WASDE MY 202425'!P84</f>
        <v>1248589</v>
      </c>
      <c r="M99" s="283">
        <f>'Historic WASDE MY 202526'!G84</f>
        <v>1280457</v>
      </c>
    </row>
    <row r="100" spans="1:13" ht="15.75" thickBot="1">
      <c r="A100" s="274" t="s">
        <v>299</v>
      </c>
      <c r="B100" s="274" t="s">
        <v>190</v>
      </c>
      <c r="C100" s="278" t="s">
        <v>300</v>
      </c>
      <c r="D100" s="279">
        <f>D99-SUM(D91:D98)</f>
        <v>361999</v>
      </c>
      <c r="E100" s="279">
        <f>E99-SUM(E91:E98)</f>
        <v>454970</v>
      </c>
      <c r="F100" s="279">
        <f>F99-SUM(F91:F98)</f>
        <v>392516</v>
      </c>
      <c r="G100" s="279">
        <f>G99-SUM(G91:G98)</f>
        <v>401420</v>
      </c>
      <c r="H100" s="279">
        <f t="shared" ref="H100:M100" si="8">H99-SUM(H91:H98)</f>
        <v>0</v>
      </c>
      <c r="I100" s="279">
        <f t="shared" si="8"/>
        <v>402870</v>
      </c>
      <c r="J100" s="279">
        <f t="shared" si="8"/>
        <v>710317</v>
      </c>
      <c r="K100" s="279">
        <f t="shared" si="8"/>
        <v>403295</v>
      </c>
      <c r="L100" s="279">
        <f t="shared" si="8"/>
        <v>399112</v>
      </c>
      <c r="M100" s="279">
        <f t="shared" si="8"/>
        <v>407085</v>
      </c>
    </row>
    <row r="101" spans="1:13">
      <c r="A101" s="274"/>
      <c r="B101" s="280"/>
      <c r="C101" s="274"/>
      <c r="D101" s="275"/>
      <c r="E101" s="275"/>
      <c r="F101" s="275"/>
      <c r="G101" s="275"/>
      <c r="H101" s="275"/>
      <c r="I101" s="275"/>
      <c r="J101" s="275"/>
      <c r="K101" s="275"/>
    </row>
    <row r="102" spans="1:13">
      <c r="A102" s="274" t="s">
        <v>299</v>
      </c>
      <c r="B102" s="274" t="s">
        <v>21</v>
      </c>
      <c r="C102" s="281" t="s">
        <v>24</v>
      </c>
      <c r="D102" s="282">
        <v>2324</v>
      </c>
      <c r="E102" s="282">
        <v>2478</v>
      </c>
      <c r="F102" s="276" cm="1">
        <f t="array" ref="F102">INDEX('Historic WASDE MY 202425'!$D$4:$AA$87,MATCH('Corn World-Major'!B102&amp;'Corn World-Major'!C102,'Historic WASDE MY 202425'!$B$4:$B$86&amp;'Historic WASDE MY 202425'!$C$4:$C$87,0),MATCH('Corn World-Major'!$F$2,'Historic WASDE MY 202425'!$D$3:$AA$3,0))</f>
        <v>2383</v>
      </c>
      <c r="G102" s="276" cm="1">
        <f t="array" ref="G102">INDEX('Historic WASDE MY 202526'!$D$4:$AA$200,MATCH('Corn World-Major'!B102&amp;'Corn World-Major'!C102,'Historic WASDE MY 202526'!$B$4:$B$200&amp;'Historic WASDE MY 202526'!$C$4:$C$200,0),MATCH('Corn World-Major'!$G$2,'Historic WASDE MY 202526'!$D$3:$AA$3,0))</f>
        <v>2788</v>
      </c>
      <c r="H102" s="275"/>
      <c r="I102" s="276" cm="1">
        <f t="array" ref="I102">INDEX('Historic WASDE MY 202526'!$D$4:$AA$87,MATCH('Corn World-Major'!B102&amp;'Corn World-Major'!C102,'Historic WASDE MY 202526'!$B$4:$B$86&amp;'Historic WASDE MY 202526'!$C$4:$C$87,0),MATCH('Corn World-Major'!$I$2,'Historic WASDE MY 202526'!$D$3:$AA$3,0))</f>
        <v>3188</v>
      </c>
      <c r="J102" s="276" cm="1">
        <f t="array" ref="J102">INDEX('Historic WASDE MY 202425'!$D$4:$AA$87,MATCH('Corn World-Major'!B102&amp;'Corn World-Major'!C102,'Historic WASDE MY 202425'!$B$4:$B$86&amp;'Historic WASDE MY 202425'!$C$4:$C$87,0),MATCH('Corn World-Major'!$J$2,'Historic WASDE MY 202425'!$D$3:$AA$3,0))</f>
        <v>2783</v>
      </c>
      <c r="K102" s="276" cm="1">
        <f t="array" ref="K102">INDEX('Historic WASDE MY 202526'!$D$4:$AA$87,MATCH('Corn World-Major'!B102&amp;'Corn World-Major'!C102,'Historic WASDE MY 202526'!$B$4:$B$86&amp;'Historic WASDE MY 202526'!$C$4:$C$87,0),MATCH('Corn World-Major'!$K$2,'Historic WASDE MY 202526'!$D$3:$AA$3,0))</f>
        <v>3188</v>
      </c>
      <c r="L102" s="283">
        <f>'Historic WASDE MY 202425'!P85</f>
        <v>2783</v>
      </c>
      <c r="M102" s="283">
        <f>'Historic WASDE MY 202526'!G85</f>
        <v>3188</v>
      </c>
    </row>
    <row r="103" spans="1:13">
      <c r="A103" s="274" t="s">
        <v>299</v>
      </c>
      <c r="B103" s="274" t="s">
        <v>21</v>
      </c>
      <c r="C103" s="281" t="s">
        <v>27</v>
      </c>
      <c r="D103" s="282">
        <v>10041</v>
      </c>
      <c r="E103" s="282">
        <v>8482</v>
      </c>
      <c r="F103" s="276" cm="1">
        <f t="array" ref="F103">INDEX('Historic WASDE MY 202425'!$D$4:$AA$87,MATCH('Corn World-Major'!B103&amp;'Corn World-Major'!C103,'Historic WASDE MY 202425'!$B$4:$B$86&amp;'Historic WASDE MY 202425'!$C$4:$C$87,0),MATCH('Corn World-Major'!$F$2,'Historic WASDE MY 202425'!$D$3:$AA$3,0))</f>
        <v>5982</v>
      </c>
      <c r="G103" s="276" cm="1">
        <f t="array" ref="G103">INDEX('Historic WASDE MY 202526'!$D$4:$AA$200,MATCH('Corn World-Major'!B103&amp;'Corn World-Major'!C103,'Historic WASDE MY 202526'!$B$4:$B$200&amp;'Historic WASDE MY 202526'!$C$4:$C$200,0),MATCH('Corn World-Major'!$G$2,'Historic WASDE MY 202526'!$D$3:$AA$3,0))</f>
        <v>2582</v>
      </c>
      <c r="H103" s="275"/>
      <c r="I103" s="276" cm="1">
        <f t="array" ref="I103">INDEX('Historic WASDE MY 202526'!$D$4:$AA$87,MATCH('Corn World-Major'!B103&amp;'Corn World-Major'!C103,'Historic WASDE MY 202526'!$B$4:$B$86&amp;'Historic WASDE MY 202526'!$C$4:$C$87,0),MATCH('Corn World-Major'!$I$2,'Historic WASDE MY 202526'!$D$3:$AA$3,0))</f>
        <v>2588</v>
      </c>
      <c r="J103" s="276" cm="1">
        <f t="array" ref="J103">INDEX('Historic WASDE MY 202425'!$D$4:$AA$111,MATCH('Corn World-Major'!B103&amp;'Corn World-Major'!C103,'Historic WASDE MY 202425'!$B$4:$B$111&amp;'Historic WASDE MY 202425'!$C$4:$C$111,0),MATCH('Corn World-Major'!$J$2,'Historic WASDE MY 202425'!$D$3:$AA$3,0))</f>
        <v>7988</v>
      </c>
      <c r="K103" s="276" cm="1">
        <f t="array" ref="K103">INDEX('Historic WASDE MY 202526'!$D$4:$AA$87,MATCH('Corn World-Major'!B103&amp;'Corn World-Major'!C103,'Historic WASDE MY 202526'!$B$4:$B$86&amp;'Historic WASDE MY 202526'!$C$4:$C$87,0),MATCH('Corn World-Major'!$K$2,'Historic WASDE MY 202526'!$D$3:$AA$3,0))</f>
        <v>3588</v>
      </c>
      <c r="L103" s="283">
        <f>'Historic WASDE MY 202425'!P86</f>
        <v>7988</v>
      </c>
      <c r="M103" s="283">
        <f>'Historic WASDE MY 202526'!G86</f>
        <v>3588</v>
      </c>
    </row>
    <row r="104" spans="1:13">
      <c r="A104" s="274" t="s">
        <v>299</v>
      </c>
      <c r="B104" s="274" t="s">
        <v>21</v>
      </c>
      <c r="C104" s="281" t="s">
        <v>29</v>
      </c>
      <c r="D104" s="282">
        <v>1628</v>
      </c>
      <c r="E104" s="282">
        <v>1996</v>
      </c>
      <c r="F104" s="276" cm="1">
        <f t="array" ref="F104">INDEX('Historic WASDE MY 202425'!$D$4:$AA$200,MATCH('Corn World-Major'!B104&amp;'Corn World-Major'!C104,'Historic WASDE MY 202425'!$B$4:$B$200&amp;'Historic WASDE MY 202425'!$C$4:$C$200,0),MATCH('Corn World-Major'!$F$2,'Historic WASDE MY 202425'!$D$3:$AA$3,0))</f>
        <v>1941</v>
      </c>
      <c r="G104" s="276" cm="1">
        <f t="array" ref="G104">INDEX('Historic WASDE MY 202526'!$D$4:$AA$200,MATCH('Corn World-Major'!B104&amp;'Corn World-Major'!C104,'Historic WASDE MY 202526'!$B$4:$B$200&amp;'Historic WASDE MY 202526'!$C$4:$C$200,0),MATCH('Corn World-Major'!$G$2,'Historic WASDE MY 202526'!$D$3:$AA$3,0))</f>
        <v>1941</v>
      </c>
      <c r="H104" s="275"/>
      <c r="I104" s="276" cm="1">
        <f t="array" ref="I104">INDEX('Historic WASDE MY 202526'!$D$4:$AA$112,MATCH('Corn World-Major'!B104&amp;'Corn World-Major'!C104,'Historic WASDE MY 202526'!$B$4:$B$112&amp;'Historic WASDE MY 202526'!$C$4:$C$112,0),MATCH('Corn World-Major'!$I$2,'Historic WASDE MY 202526'!$D$3:$AA$3,0))</f>
        <v>1741</v>
      </c>
      <c r="J104" s="276" cm="1">
        <f t="array" ref="J104">INDEX('Historic WASDE MY 202425'!$D$4:$AA$111,MATCH('Corn World-Major'!B104&amp;'Corn World-Major'!C104,'Historic WASDE MY 202425'!$B$4:$B$111&amp;'Historic WASDE MY 202425'!$C$4:$C$111,0),MATCH('Corn World-Major'!$J$2,'Historic WASDE MY 202425'!$D$3:$AA$3,0))</f>
        <v>1591</v>
      </c>
      <c r="K104" s="276" cm="1">
        <f t="array" ref="K104">INDEX('Historic WASDE MY 202526'!$D$4:$AA$112,MATCH('Corn World-Major'!B104&amp;'Corn World-Major'!C104,'Historic WASDE MY 202526'!$B$4:$B$112&amp;'Historic WASDE MY 202526'!$C$4:$C$112,0),MATCH('Corn World-Major'!$K$2,'Historic WASDE MY 202526'!$D$3:$AA$3,0))</f>
        <v>1691</v>
      </c>
      <c r="L104" s="283">
        <f>'Historic WASDE MY 202425'!P87</f>
        <v>1591</v>
      </c>
      <c r="M104" s="283">
        <f>'Historic WASDE MY 202526'!G87</f>
        <v>1791</v>
      </c>
    </row>
    <row r="105" spans="1:13">
      <c r="A105" s="274" t="s">
        <v>299</v>
      </c>
      <c r="B105" s="274" t="s">
        <v>21</v>
      </c>
      <c r="C105" s="281" t="s">
        <v>32</v>
      </c>
      <c r="D105" s="282">
        <v>206040</v>
      </c>
      <c r="E105" s="282">
        <v>211286</v>
      </c>
      <c r="F105" s="276" cm="1">
        <f t="array" ref="F105">INDEX('Historic WASDE MY 202425'!$D$4:$AA$200,MATCH('Corn World-Major'!B105&amp;'Corn World-Major'!C105,'Historic WASDE MY 202425'!$B$4:$B$200&amp;'Historic WASDE MY 202425'!$C$4:$C$200,0),MATCH('Corn World-Major'!$F$2,'Historic WASDE MY 202425'!$D$3:$AA$3,0))</f>
        <v>198183</v>
      </c>
      <c r="G105" s="276" cm="1">
        <f t="array" ref="G105">INDEX('Historic WASDE MY 202526'!$D$4:$AA$200,MATCH('Corn World-Major'!B105&amp;'Corn World-Major'!C105,'Historic WASDE MY 202526'!$B$4:$B$200&amp;'Historic WASDE MY 202526'!$C$4:$C$200,0),MATCH('Corn World-Major'!$G$2,'Historic WASDE MY 202526'!$D$3:$AA$3,0))</f>
        <v>182163</v>
      </c>
      <c r="H105" s="275"/>
      <c r="I105" s="276" cm="1">
        <f t="array" ref="I105">INDEX('Historic WASDE MY 202526'!$D$4:$AA$112,MATCH('Corn World-Major'!B105&amp;'Corn World-Major'!C105,'Historic WASDE MY 202526'!$B$4:$B$112&amp;'Historic WASDE MY 202526'!$C$4:$C$112,0),MATCH('Corn World-Major'!$I$2,'Historic WASDE MY 202526'!$D$3:$AA$3,0))</f>
        <v>181163</v>
      </c>
      <c r="J105" s="276" cm="1">
        <f t="array" ref="J105">INDEX('Historic WASDE MY 202425'!$D$4:$AA$111,MATCH('Corn World-Major'!B105&amp;'Corn World-Major'!C105,'Historic WASDE MY 202425'!$B$4:$B$111&amp;'Historic WASDE MY 202425'!$C$4:$C$111,0),MATCH('Corn World-Major'!$J$2,'Historic WASDE MY 202425'!$D$3:$AA$3,0))</f>
        <v>199</v>
      </c>
      <c r="K105" s="276" cm="1">
        <f t="array" ref="K105">INDEX('Historic WASDE MY 202526'!$D$4:$AA$112,MATCH('Corn World-Major'!B105&amp;'Corn World-Major'!C105,'Historic WASDE MY 202526'!$B$4:$B$112&amp;'Historic WASDE MY 202526'!$C$4:$C$112,0),MATCH('Corn World-Major'!$K$2,'Historic WASDE MY 202526'!$D$3:$AA$3,0))</f>
        <v>179163</v>
      </c>
      <c r="L105" s="283">
        <f>'Historic WASDE MY 202425'!P88</f>
        <v>194183</v>
      </c>
      <c r="M105" s="283">
        <f>'Historic WASDE MY 202526'!G88</f>
        <v>178163</v>
      </c>
    </row>
    <row r="106" spans="1:13">
      <c r="A106" s="274" t="s">
        <v>299</v>
      </c>
      <c r="B106" s="274" t="s">
        <v>21</v>
      </c>
      <c r="C106" s="281" t="s">
        <v>34</v>
      </c>
      <c r="D106" s="282">
        <v>8029</v>
      </c>
      <c r="E106" s="282">
        <v>7314</v>
      </c>
      <c r="F106" s="276" cm="1">
        <f t="array" ref="F106">INDEX('Historic WASDE MY 202425'!$D$4:$AA$200,MATCH('Corn World-Major'!B106&amp;'Corn World-Major'!C106,'Historic WASDE MY 202425'!$B$4:$B$200&amp;'Historic WASDE MY 202425'!$C$4:$C$200,0),MATCH('Corn World-Major'!$F$2,'Historic WASDE MY 202425'!$D$3:$AA$3,0))</f>
        <v>6326</v>
      </c>
      <c r="G106" s="276" cm="1">
        <f t="array" ref="G106">INDEX('Historic WASDE MY 202526'!$D$4:$AA$200,MATCH('Corn World-Major'!B106&amp;'Corn World-Major'!C106,'Historic WASDE MY 202526'!$B$4:$B$200&amp;'Historic WASDE MY 202526'!$C$4:$C$200,0),MATCH('Corn World-Major'!$G$2,'Historic WASDE MY 202526'!$D$3:$AA$3,0))</f>
        <v>6026</v>
      </c>
      <c r="H106" s="275"/>
      <c r="I106" s="276" cm="1">
        <f t="array" ref="I106">INDEX('Historic WASDE MY 202526'!$D$4:$AA$112,MATCH('Corn World-Major'!B106&amp;'Corn World-Major'!C106,'Historic WASDE MY 202526'!$B$4:$B$112&amp;'Historic WASDE MY 202526'!$C$4:$C$112,0),MATCH('Corn World-Major'!$I$2,'Historic WASDE MY 202526'!$D$3:$AA$3,0))</f>
        <v>6026</v>
      </c>
      <c r="J106" s="276" cm="1">
        <f t="array" ref="J106">INDEX('Historic WASDE MY 202425'!$D$4:$AA$111,MATCH('Corn World-Major'!B106&amp;'Corn World-Major'!C106,'Historic WASDE MY 202425'!$B$4:$B$111&amp;'Historic WASDE MY 202425'!$C$4:$C$111,0),MATCH('Corn World-Major'!$J$2,'Historic WASDE MY 202425'!$D$3:$AA$3,0))</f>
        <v>6326</v>
      </c>
      <c r="K106" s="276" cm="1">
        <f t="array" ref="K106">INDEX('Historic WASDE MY 202526'!$D$4:$AA$112,MATCH('Corn World-Major'!B106&amp;'Corn World-Major'!C106,'Historic WASDE MY 202526'!$B$4:$B$112&amp;'Historic WASDE MY 202526'!$C$4:$C$112,0),MATCH('Corn World-Major'!$K$2,'Historic WASDE MY 202526'!$D$3:$AA$3,0))</f>
        <v>6026</v>
      </c>
      <c r="L106" s="283">
        <f>'Historic WASDE MY 202425'!P89</f>
        <v>6226</v>
      </c>
      <c r="M106" s="283">
        <f>'Historic WASDE MY 202526'!G89</f>
        <v>5826</v>
      </c>
    </row>
    <row r="107" spans="1:13">
      <c r="A107" s="274" t="s">
        <v>299</v>
      </c>
      <c r="B107" s="274" t="s">
        <v>21</v>
      </c>
      <c r="C107" s="281" t="s">
        <v>36</v>
      </c>
      <c r="D107" s="281">
        <v>908</v>
      </c>
      <c r="E107" s="281">
        <v>758</v>
      </c>
      <c r="F107" s="276" cm="1">
        <f t="array" ref="F107">INDEX('Historic WASDE MY 202425'!$D$4:$AA$200,MATCH('Corn World-Major'!B107&amp;'Corn World-Major'!C107,'Historic WASDE MY 202425'!$B$4:$B$200&amp;'Historic WASDE MY 202425'!$C$4:$C$200,0),MATCH('Corn World-Major'!$F$2,'Historic WASDE MY 202425'!$D$3:$AA$3,0))</f>
        <v>908</v>
      </c>
      <c r="G107" s="276" cm="1">
        <f t="array" ref="G107">INDEX('Historic WASDE MY 202526'!$D$4:$AA$200,MATCH('Corn World-Major'!B107&amp;'Corn World-Major'!C107,'Historic WASDE MY 202526'!$B$4:$B$200&amp;'Historic WASDE MY 202526'!$C$4:$C$200,0),MATCH('Corn World-Major'!$G$2,'Historic WASDE MY 202526'!$D$3:$AA$3,0))</f>
        <v>1158</v>
      </c>
      <c r="H107" s="275"/>
      <c r="I107" s="276" cm="1">
        <f t="array" ref="I107">INDEX('Historic WASDE MY 202526'!$D$4:$AA$112,MATCH('Corn World-Major'!B107&amp;'Corn World-Major'!C107,'Historic WASDE MY 202526'!$B$4:$B$112&amp;'Historic WASDE MY 202526'!$C$4:$C$112,0),MATCH('Corn World-Major'!$I$2,'Historic WASDE MY 202526'!$D$3:$AA$3,0))</f>
        <v>1158</v>
      </c>
      <c r="J107" s="276" cm="1">
        <f t="array" ref="J107">INDEX('Historic WASDE MY 202425'!$D$4:$AA$111,MATCH('Corn World-Major'!B107&amp;'Corn World-Major'!C107,'Historic WASDE MY 202425'!$B$4:$B$111&amp;'Historic WASDE MY 202425'!$C$4:$C$111,0),MATCH('Corn World-Major'!$J$2,'Historic WASDE MY 202425'!$D$3:$AA$3,0))</f>
        <v>908</v>
      </c>
      <c r="K107" s="276" cm="1">
        <f t="array" ref="K107">INDEX('Historic WASDE MY 202526'!$D$4:$AA$112,MATCH('Corn World-Major'!B107&amp;'Corn World-Major'!C107,'Historic WASDE MY 202526'!$B$4:$B$112&amp;'Historic WASDE MY 202526'!$C$4:$C$112,0),MATCH('Corn World-Major'!$K$2,'Historic WASDE MY 202526'!$D$3:$AA$3,0))</f>
        <v>1158</v>
      </c>
      <c r="L107" s="283">
        <f>'Historic WASDE MY 202425'!P90</f>
        <v>908</v>
      </c>
      <c r="M107" s="283">
        <f>'Historic WASDE MY 202526'!G90</f>
        <v>1158</v>
      </c>
    </row>
    <row r="108" spans="1:13">
      <c r="A108" s="274" t="s">
        <v>299</v>
      </c>
      <c r="B108" s="274" t="s">
        <v>21</v>
      </c>
      <c r="C108" s="281" t="s">
        <v>38</v>
      </c>
      <c r="D108" s="282">
        <v>2995</v>
      </c>
      <c r="E108" s="282">
        <v>1709</v>
      </c>
      <c r="F108" s="276" cm="1">
        <f t="array" ref="F108">INDEX('Historic WASDE MY 202425'!$D$4:$AA$200,MATCH('Corn World-Major'!B108&amp;'Corn World-Major'!C108,'Historic WASDE MY 202425'!$B$4:$B$200&amp;'Historic WASDE MY 202425'!$C$4:$C$200,0),MATCH('Corn World-Major'!$F$2,'Historic WASDE MY 202425'!$D$3:$AA$3,0))</f>
        <v>312</v>
      </c>
      <c r="G108" s="276" cm="1">
        <f t="array" ref="G108">INDEX('Historic WASDE MY 202526'!$D$4:$AA$200,MATCH('Corn World-Major'!B108&amp;'Corn World-Major'!C108,'Historic WASDE MY 202526'!$B$4:$B$200&amp;'Historic WASDE MY 202526'!$C$4:$C$200,0),MATCH('Corn World-Major'!$G$2,'Historic WASDE MY 202526'!$D$3:$AA$3,0))</f>
        <v>597</v>
      </c>
      <c r="H108" s="275"/>
      <c r="I108" s="276" cm="1">
        <f t="array" ref="I108">INDEX('Historic WASDE MY 202526'!$D$4:$AA$112,MATCH('Corn World-Major'!B108&amp;'Corn World-Major'!C108,'Historic WASDE MY 202526'!$B$4:$B$112&amp;'Historic WASDE MY 202526'!$C$4:$C$112,0),MATCH('Corn World-Major'!$I$2,'Historic WASDE MY 202526'!$D$3:$AA$3,0))</f>
        <v>597</v>
      </c>
      <c r="J108" s="276" cm="1">
        <f t="array" ref="J108">INDEX('Historic WASDE MY 202425'!$D$4:$AA$111,MATCH('Corn World-Major'!B108&amp;'Corn World-Major'!C108,'Historic WASDE MY 202425'!$B$4:$B$111&amp;'Historic WASDE MY 202425'!$C$4:$C$111,0),MATCH('Corn World-Major'!$J$2,'Historic WASDE MY 202425'!$D$3:$AA$3,0))</f>
        <v>312</v>
      </c>
      <c r="K108" s="276" cm="1">
        <f t="array" ref="K108">INDEX('Historic WASDE MY 202526'!$D$4:$AA$112,MATCH('Corn World-Major'!B108&amp;'Corn World-Major'!C108,'Historic WASDE MY 202526'!$B$4:$B$112&amp;'Historic WASDE MY 202526'!$C$4:$C$112,0),MATCH('Corn World-Major'!$K$2,'Historic WASDE MY 202526'!$D$3:$AA$3,0))</f>
        <v>597</v>
      </c>
      <c r="L108" s="283">
        <f>'Historic WASDE MY 202425'!P91</f>
        <v>762</v>
      </c>
      <c r="M108" s="283">
        <f>'Historic WASDE MY 202526'!G91</f>
        <v>947</v>
      </c>
    </row>
    <row r="109" spans="1:13">
      <c r="A109" s="274" t="s">
        <v>299</v>
      </c>
      <c r="B109" s="274" t="s">
        <v>21</v>
      </c>
      <c r="C109" s="281" t="s">
        <v>40</v>
      </c>
      <c r="D109" s="282">
        <v>34551</v>
      </c>
      <c r="E109" s="282">
        <v>44792</v>
      </c>
      <c r="F109" s="276" cm="1">
        <f t="array" ref="F109">INDEX('Historic WASDE MY 202425'!$D$4:$AA$200,MATCH('Corn World-Major'!B109&amp;'Corn World-Major'!C109,'Historic WASDE MY 202425'!$B$4:$B$200&amp;'Historic WASDE MY 202425'!$C$4:$C$200,0),MATCH('Corn World-Major'!$F$2,'Historic WASDE MY 202425'!$D$3:$AA$3,0))</f>
        <v>35946</v>
      </c>
      <c r="G109" s="276" cm="1">
        <f t="array" ref="G109">INDEX('Historic WASDE MY 202526'!$D$4:$AA$200,MATCH('Corn World-Major'!B109&amp;'Corn World-Major'!C109,'Historic WASDE MY 202526'!$B$4:$B$200&amp;'Historic WASDE MY 202526'!$C$4:$C$200,0),MATCH('Corn World-Major'!$G$2,'Historic WASDE MY 202526'!$D$3:$AA$3,0))</f>
        <v>45726</v>
      </c>
      <c r="H109" s="275"/>
      <c r="I109" s="276" cm="1">
        <f t="array" ref="I109">INDEX('Historic WASDE MY 202526'!$D$4:$AA$112,MATCH('Corn World-Major'!B109&amp;'Corn World-Major'!C109,'Historic WASDE MY 202526'!$B$4:$B$112&amp;'Historic WASDE MY 202526'!$C$4:$C$112,0),MATCH('Corn World-Major'!$I$2,'Historic WASDE MY 202526'!$D$3:$AA$3,0))</f>
        <v>44456</v>
      </c>
      <c r="J109" s="276" cm="1">
        <f t="array" ref="J109">INDEX('Historic WASDE MY 202425'!$D$4:$AA$111,MATCH('Corn World-Major'!B109&amp;'Corn World-Major'!C109,'Historic WASDE MY 202425'!$B$4:$B$111&amp;'Historic WASDE MY 202425'!$C$4:$C$111,0),MATCH('Corn World-Major'!$J$2,'Historic WASDE MY 202425'!$D$3:$AA$3,0))</f>
        <v>34041</v>
      </c>
      <c r="K109" s="276" cm="1">
        <f t="array" ref="K109">INDEX('Historic WASDE MY 202526'!$D$4:$AA$112,MATCH('Corn World-Major'!B109&amp;'Corn World-Major'!C109,'Historic WASDE MY 202526'!$B$4:$B$112&amp;'Historic WASDE MY 202526'!$C$4:$C$112,0),MATCH('Corn World-Major'!$K$2,'Historic WASDE MY 202526'!$D$3:$AA$3,0))</f>
        <v>42170</v>
      </c>
      <c r="L109" s="283">
        <f>'Historic WASDE MY 202425'!P92</f>
        <v>33152</v>
      </c>
      <c r="M109" s="283">
        <f>'Historic WASDE MY 202526'!G92</f>
        <v>53769</v>
      </c>
    </row>
    <row r="110" spans="1:13" ht="15.75" thickBot="1">
      <c r="A110" s="274" t="s">
        <v>299</v>
      </c>
      <c r="B110" s="274" t="s">
        <v>21</v>
      </c>
      <c r="C110" s="281" t="s">
        <v>1</v>
      </c>
      <c r="D110" s="282">
        <v>304826</v>
      </c>
      <c r="E110" s="282">
        <v>322143</v>
      </c>
      <c r="F110" s="276" cm="1">
        <f t="array" ref="F110">INDEX('Historic WASDE MY 202425'!$D$4:$AA$200,MATCH('Corn World-Major'!B110&amp;'Corn World-Major'!C110,'Historic WASDE MY 202425'!$B$4:$B$200&amp;'Historic WASDE MY 202425'!$C$4:$C$200,0),MATCH('Corn World-Major'!$F$2,'Historic WASDE MY 202425'!$D$3:$AA$3,0))</f>
        <v>287286</v>
      </c>
      <c r="G110" s="276" cm="1">
        <f t="array" ref="G110">INDEX('Historic WASDE MY 202526'!$D$4:$AA$200,MATCH('Corn World-Major'!B110&amp;'Corn World-Major'!C110,'Historic WASDE MY 202526'!$B$4:$B$200&amp;'Historic WASDE MY 202526'!$C$4:$C$200,0),MATCH('Corn World-Major'!$G$2,'Historic WASDE MY 202526'!$D$3:$AA$3,0))</f>
        <v>277842</v>
      </c>
      <c r="H110" s="275"/>
      <c r="I110" s="276" cm="1">
        <f t="array" ref="I110">INDEX('Historic WASDE MY 202526'!$D$4:$AA$112,MATCH('Corn World-Major'!B110&amp;'Corn World-Major'!C110,'Historic WASDE MY 202526'!$B$4:$B$112&amp;'Historic WASDE MY 202526'!$C$4:$C$112,0),MATCH('Corn World-Major'!$I$2,'Historic WASDE MY 202526'!$D$3:$AA$3,0))</f>
        <v>275236</v>
      </c>
      <c r="J110" s="276" cm="1">
        <f t="array" ref="J110">INDEX('Historic WASDE MY 202425'!$D$4:$AA$111,MATCH('Corn World-Major'!B110&amp;'Corn World-Major'!C110,'Historic WASDE MY 202425'!$B$4:$B$111&amp;'Historic WASDE MY 202425'!$C$4:$C$111,0),MATCH('Corn World-Major'!$J$2,'Historic WASDE MY 202425'!$D$3:$AA$3,0))</f>
        <v>284178</v>
      </c>
      <c r="K110" s="276" cm="1">
        <f t="array" ref="K110">INDEX('Historic WASDE MY 202526'!$D$4:$AA$112,MATCH('Corn World-Major'!B110&amp;'Corn World-Major'!C110,'Historic WASDE MY 202526'!$B$4:$B$112&amp;'Historic WASDE MY 202526'!$C$4:$C$112,0),MATCH('Corn World-Major'!$K$2,'Historic WASDE MY 202526'!$D$3:$AA$3,0))</f>
        <v>272083</v>
      </c>
      <c r="L110" s="283">
        <f>'Historic WASDE MY 202425'!P93</f>
        <v>283111</v>
      </c>
      <c r="M110" s="283">
        <f>'Historic WASDE MY 202526'!G93</f>
        <v>282539</v>
      </c>
    </row>
    <row r="111" spans="1:13" ht="15.75" thickBot="1">
      <c r="A111" s="274" t="s">
        <v>299</v>
      </c>
      <c r="B111" s="274" t="s">
        <v>21</v>
      </c>
      <c r="C111" s="278" t="s">
        <v>300</v>
      </c>
      <c r="D111" s="279">
        <f>D110-SUM(D102:D109)</f>
        <v>38310</v>
      </c>
      <c r="E111" s="279">
        <f>E110-SUM(E102:E109)</f>
        <v>43328</v>
      </c>
      <c r="F111" s="279">
        <f>F110-SUM(F102:F109)</f>
        <v>35305</v>
      </c>
      <c r="G111" s="279">
        <f>G110-SUM(G102:G109)</f>
        <v>34861</v>
      </c>
      <c r="H111" s="279">
        <f t="shared" ref="H111:M111" si="9">H110-SUM(H102:H109)</f>
        <v>0</v>
      </c>
      <c r="I111" s="279">
        <f t="shared" si="9"/>
        <v>34319</v>
      </c>
      <c r="J111" s="279">
        <f t="shared" si="9"/>
        <v>230030</v>
      </c>
      <c r="K111" s="279">
        <f t="shared" si="9"/>
        <v>34502</v>
      </c>
      <c r="L111" s="279">
        <f t="shared" si="9"/>
        <v>35518</v>
      </c>
      <c r="M111" s="279">
        <f t="shared" si="9"/>
        <v>34109</v>
      </c>
    </row>
    <row r="112" spans="1:13">
      <c r="A112" s="274"/>
      <c r="B112" s="280"/>
      <c r="C112" s="274"/>
      <c r="D112" s="275"/>
      <c r="E112" s="275"/>
      <c r="F112" s="275"/>
      <c r="G112" s="275"/>
      <c r="H112" s="275"/>
      <c r="I112" s="275"/>
      <c r="J112" s="275"/>
      <c r="K112" s="275"/>
    </row>
    <row r="113" spans="1:13">
      <c r="A113" s="274" t="s">
        <v>299</v>
      </c>
      <c r="B113" s="274" t="s">
        <v>302</v>
      </c>
      <c r="C113" s="281" t="s">
        <v>24</v>
      </c>
      <c r="D113" s="282">
        <v>40764</v>
      </c>
      <c r="E113" s="282">
        <v>53334</v>
      </c>
      <c r="F113" s="276">
        <f>F47</f>
        <v>52483</v>
      </c>
      <c r="G113" s="276">
        <f>G47</f>
        <v>55388</v>
      </c>
      <c r="H113" s="275"/>
      <c r="I113" s="276" cm="1">
        <f t="array" ref="I113">INDEX('Historic WASDE MY 202526'!$D$4:$AA$112,MATCH('Corn World-Major'!B113&amp;'Corn World-Major'!C113,'Historic WASDE MY 202526'!$B$4:$B$112&amp;'Historic WASDE MY 202526'!$C$4:$C$112,0),MATCH('Corn World-Major'!$I$2,'Historic WASDE MY 202526'!$D$3:$AA$3,0))</f>
        <v>55788</v>
      </c>
      <c r="J113" s="276" cm="1">
        <f t="array" ref="J113">INDEX('Historic WASDE MY 202425'!$D$4:$AA$111,MATCH('Corn World-Major'!B113&amp;'Corn World-Major'!C113,'Historic WASDE MY 202425'!$B$4:$B$111&amp;'Historic WASDE MY 202425'!$C$4:$C$111,0),MATCH('Corn World-Major'!$J$2,'Historic WASDE MY 202425'!$D$3:$AA$3,0))</f>
        <v>52483</v>
      </c>
      <c r="K113" s="276" cm="1">
        <f t="array" ref="K113">INDEX('Historic WASDE MY 202526'!$D$4:$AA$112,MATCH('Corn World-Major'!B113&amp;'Corn World-Major'!C113,'Historic WASDE MY 202526'!$B$4:$B$112&amp;'Historic WASDE MY 202526'!$C$4:$C$112,0),MATCH('Corn World-Major'!$K$2,'Historic WASDE MY 202526'!$D$3:$AA$3,0))</f>
        <v>55788</v>
      </c>
      <c r="L113" s="283">
        <f>'Historic WASDE MY 202425'!P94</f>
        <v>52483</v>
      </c>
      <c r="M113" s="283">
        <f>'Historic WASDE MY 202526'!G94</f>
        <v>55788</v>
      </c>
    </row>
    <row r="114" spans="1:13">
      <c r="A114" s="274" t="s">
        <v>299</v>
      </c>
      <c r="B114" s="274" t="s">
        <v>302</v>
      </c>
      <c r="C114" s="281" t="s">
        <v>27</v>
      </c>
      <c r="D114" s="282">
        <v>142304</v>
      </c>
      <c r="E114" s="282">
        <v>130758</v>
      </c>
      <c r="F114" s="276">
        <f t="shared" ref="F114:G121" si="10">F48</f>
        <v>139982</v>
      </c>
      <c r="G114" s="276">
        <f t="shared" si="10"/>
        <v>138582</v>
      </c>
      <c r="H114" s="275"/>
      <c r="I114" s="276" cm="1">
        <f t="array" ref="I114">INDEX('Historic WASDE MY 202526'!$D$4:$AA$112,MATCH('Corn World-Major'!B114&amp;'Corn World-Major'!C114,'Historic WASDE MY 202526'!$B$4:$B$112&amp;'Historic WASDE MY 202526'!$C$4:$C$112,0),MATCH('Corn World-Major'!$I$2,'Historic WASDE MY 202526'!$D$3:$AA$3,0))</f>
        <v>138588</v>
      </c>
      <c r="J114" s="276" cm="1">
        <f t="array" ref="J114">INDEX('Historic WASDE MY 202425'!$D$4:$AA$111,MATCH('Corn World-Major'!B114&amp;'Corn World-Major'!C114,'Historic WASDE MY 202425'!$B$4:$B$111&amp;'Historic WASDE MY 202425'!$C$4:$C$111,0),MATCH('Corn World-Major'!$J$2,'Historic WASDE MY 202425'!$D$3:$AA$3,0))</f>
        <v>141988</v>
      </c>
      <c r="K114" s="276" cm="1">
        <f t="array" ref="K114">INDEX('Historic WASDE MY 202526'!$D$4:$AA$112,MATCH('Corn World-Major'!B114&amp;'Corn World-Major'!C114,'Historic WASDE MY 202526'!$B$4:$B$112&amp;'Historic WASDE MY 202526'!$C$4:$C$112,0),MATCH('Corn World-Major'!$K$2,'Historic WASDE MY 202526'!$D$3:$AA$3,0))</f>
        <v>140588</v>
      </c>
      <c r="L114" s="283">
        <f>'Historic WASDE MY 202425'!P95</f>
        <v>141988</v>
      </c>
      <c r="M114" s="283">
        <f>'Historic WASDE MY 202526'!G95</f>
        <v>140588</v>
      </c>
    </row>
    <row r="115" spans="1:13">
      <c r="A115" s="274" t="s">
        <v>299</v>
      </c>
      <c r="B115" s="274" t="s">
        <v>302</v>
      </c>
      <c r="C115" s="281" t="s">
        <v>29</v>
      </c>
      <c r="D115" s="282">
        <v>19414</v>
      </c>
      <c r="E115" s="282">
        <v>19863</v>
      </c>
      <c r="F115" s="276">
        <f t="shared" si="10"/>
        <v>19541</v>
      </c>
      <c r="G115" s="276">
        <f t="shared" si="10"/>
        <v>19141</v>
      </c>
      <c r="H115" s="275"/>
      <c r="I115" s="276" cm="1">
        <f t="array" ref="I115">INDEX('Historic WASDE MY 202526'!$D$4:$AA$112,MATCH('Corn World-Major'!B115&amp;'Corn World-Major'!C115,'Historic WASDE MY 202526'!$B$4:$B$112&amp;'Historic WASDE MY 202526'!$C$4:$C$112,0),MATCH('Corn World-Major'!$I$2,'Historic WASDE MY 202526'!$D$3:$AA$3,0))</f>
        <v>18841</v>
      </c>
      <c r="J115" s="276" cm="1">
        <f t="array" ref="J115">INDEX('Historic WASDE MY 202425'!$D$4:$AA$111,MATCH('Corn World-Major'!B115&amp;'Corn World-Major'!C115,'Historic WASDE MY 202425'!$B$4:$B$111&amp;'Historic WASDE MY 202425'!$C$4:$C$111,0),MATCH('Corn World-Major'!$J$2,'Historic WASDE MY 202425'!$D$3:$AA$3,0))</f>
        <v>19041</v>
      </c>
      <c r="K115" s="276" cm="1">
        <f t="array" ref="K115">INDEX('Historic WASDE MY 202526'!$D$4:$AA$112,MATCH('Corn World-Major'!B115&amp;'Corn World-Major'!C115,'Historic WASDE MY 202526'!$B$4:$B$112&amp;'Historic WASDE MY 202526'!$C$4:$C$112,0),MATCH('Corn World-Major'!$K$2,'Historic WASDE MY 202526'!$D$3:$AA$3,0))</f>
        <v>18891</v>
      </c>
      <c r="L115" s="283">
        <f>'Historic WASDE MY 202425'!P96</f>
        <v>19041</v>
      </c>
      <c r="M115" s="283">
        <f>'Historic WASDE MY 202526'!G96</f>
        <v>18991</v>
      </c>
    </row>
    <row r="116" spans="1:13">
      <c r="A116" s="274" t="s">
        <v>299</v>
      </c>
      <c r="B116" s="274" t="s">
        <v>302</v>
      </c>
      <c r="C116" s="281" t="s">
        <v>32</v>
      </c>
      <c r="D116" s="282">
        <v>505048</v>
      </c>
      <c r="E116" s="282">
        <v>518289</v>
      </c>
      <c r="F116" s="276">
        <f t="shared" si="10"/>
        <v>514203</v>
      </c>
      <c r="G116" s="276">
        <f t="shared" si="10"/>
        <v>503183</v>
      </c>
      <c r="H116" s="275"/>
      <c r="I116" s="276" cm="1">
        <f t="array" ref="I116">INDEX('Historic WASDE MY 202526'!$D$4:$AA$112,MATCH('Corn World-Major'!B116&amp;'Corn World-Major'!C116,'Historic WASDE MY 202526'!$B$4:$B$112&amp;'Historic WASDE MY 202526'!$C$4:$C$112,0),MATCH('Corn World-Major'!$I$2,'Historic WASDE MY 202526'!$D$3:$AA$3,0))</f>
        <v>502183</v>
      </c>
      <c r="J116" s="276" cm="1">
        <f t="array" ref="J116">INDEX('Historic WASDE MY 202425'!$D$4:$AA$111,MATCH('Corn World-Major'!B116&amp;'Corn World-Major'!C116,'Historic WASDE MY 202425'!$B$4:$B$111&amp;'Historic WASDE MY 202425'!$C$4:$C$111,0),MATCH('Corn World-Major'!$J$2,'Historic WASDE MY 202425'!$D$3:$AA$3,0))</f>
        <v>3294</v>
      </c>
      <c r="K116" s="276" cm="1">
        <f t="array" ref="K116">INDEX('Historic WASDE MY 202526'!$D$4:$AA$112,MATCH('Corn World-Major'!B116&amp;'Corn World-Major'!C116,'Historic WASDE MY 202526'!$B$4:$B$112&amp;'Historic WASDE MY 202526'!$C$4:$C$112,0),MATCH('Corn World-Major'!$K$2,'Historic WASDE MY 202526'!$D$3:$AA$3,0))</f>
        <v>500183</v>
      </c>
      <c r="L116" s="283">
        <f>'Historic WASDE MY 202425'!P97</f>
        <v>510203</v>
      </c>
      <c r="M116" s="283">
        <f>'Historic WASDE MY 202526'!G97</f>
        <v>499183</v>
      </c>
    </row>
    <row r="117" spans="1:13">
      <c r="A117" s="274" t="s">
        <v>299</v>
      </c>
      <c r="B117" s="274" t="s">
        <v>302</v>
      </c>
      <c r="C117" s="281" t="s">
        <v>34</v>
      </c>
      <c r="D117" s="282">
        <v>87025</v>
      </c>
      <c r="E117" s="282">
        <v>89803</v>
      </c>
      <c r="F117" s="276">
        <f t="shared" si="10"/>
        <v>86626</v>
      </c>
      <c r="G117" s="276">
        <f t="shared" si="10"/>
        <v>86826</v>
      </c>
      <c r="H117" s="275"/>
      <c r="I117" s="276" cm="1">
        <f t="array" ref="I117">INDEX('Historic WASDE MY 202526'!$D$4:$AA$112,MATCH('Corn World-Major'!B117&amp;'Corn World-Major'!C117,'Historic WASDE MY 202526'!$B$4:$B$112&amp;'Historic WASDE MY 202526'!$C$4:$C$112,0),MATCH('Corn World-Major'!$I$2,'Historic WASDE MY 202526'!$D$3:$AA$3,0))</f>
        <v>86826</v>
      </c>
      <c r="J117" s="276" cm="1">
        <f t="array" ref="J117">INDEX('Historic WASDE MY 202425'!$D$4:$AA$111,MATCH('Corn World-Major'!B117&amp;'Corn World-Major'!C117,'Historic WASDE MY 202425'!$B$4:$B$111&amp;'Historic WASDE MY 202425'!$C$4:$C$111,0),MATCH('Corn World-Major'!$J$2,'Historic WASDE MY 202425'!$D$3:$AA$3,0))</f>
        <v>86626</v>
      </c>
      <c r="K117" s="276" cm="1">
        <f t="array" ref="K117">INDEX('Historic WASDE MY 202526'!$D$4:$AA$112,MATCH('Corn World-Major'!B117&amp;'Corn World-Major'!C117,'Historic WASDE MY 202526'!$B$4:$B$112&amp;'Historic WASDE MY 202526'!$C$4:$C$112,0),MATCH('Corn World-Major'!$K$2,'Historic WASDE MY 202526'!$D$3:$AA$3,0))</f>
        <v>86826</v>
      </c>
      <c r="L117" s="283">
        <f>'Historic WASDE MY 202425'!P98</f>
        <v>86626</v>
      </c>
      <c r="M117" s="283">
        <f>'Historic WASDE MY 202526'!G98</f>
        <v>86226</v>
      </c>
    </row>
    <row r="118" spans="1:13">
      <c r="A118" s="274" t="s">
        <v>299</v>
      </c>
      <c r="B118" s="274" t="s">
        <v>302</v>
      </c>
      <c r="C118" s="281" t="s">
        <v>36</v>
      </c>
      <c r="D118" s="282">
        <v>16808</v>
      </c>
      <c r="E118" s="282">
        <v>17558</v>
      </c>
      <c r="F118" s="276">
        <f t="shared" si="10"/>
        <v>14808</v>
      </c>
      <c r="G118" s="276">
        <f t="shared" si="10"/>
        <v>15958</v>
      </c>
      <c r="H118" s="275"/>
      <c r="I118" s="276" cm="1">
        <f t="array" ref="I118">INDEX('Historic WASDE MY 202526'!$D$4:$AA$112,MATCH('Corn World-Major'!B118&amp;'Corn World-Major'!C118,'Historic WASDE MY 202526'!$B$4:$B$112&amp;'Historic WASDE MY 202526'!$C$4:$C$112,0),MATCH('Corn World-Major'!$I$2,'Historic WASDE MY 202526'!$D$3:$AA$3,0))</f>
        <v>15958</v>
      </c>
      <c r="J118" s="276" cm="1">
        <f t="array" ref="J118">INDEX('Historic WASDE MY 202425'!$D$4:$AA$111,MATCH('Corn World-Major'!B118&amp;'Corn World-Major'!C118,'Historic WASDE MY 202425'!$B$4:$B$111&amp;'Historic WASDE MY 202425'!$C$4:$C$111,0),MATCH('Corn World-Major'!$J$2,'Historic WASDE MY 202425'!$D$3:$AA$3,0))</f>
        <v>14808</v>
      </c>
      <c r="K118" s="276" cm="1">
        <f t="array" ref="K118">INDEX('Historic WASDE MY 202526'!$D$4:$AA$112,MATCH('Corn World-Major'!B118&amp;'Corn World-Major'!C118,'Historic WASDE MY 202526'!$B$4:$B$112&amp;'Historic WASDE MY 202526'!$C$4:$C$112,0),MATCH('Corn World-Major'!$K$2,'Historic WASDE MY 202526'!$D$3:$AA$3,0))</f>
        <v>15958</v>
      </c>
      <c r="L118" s="283">
        <f>'Historic WASDE MY 202425'!P99</f>
        <v>14808</v>
      </c>
      <c r="M118" s="283">
        <f>'Historic WASDE MY 202526'!G99</f>
        <v>15958</v>
      </c>
    </row>
    <row r="119" spans="1:13">
      <c r="A119" s="274" t="s">
        <v>299</v>
      </c>
      <c r="B119" s="274" t="s">
        <v>302</v>
      </c>
      <c r="C119" s="281" t="s">
        <v>38</v>
      </c>
      <c r="D119" s="282">
        <v>34817</v>
      </c>
      <c r="E119" s="282">
        <v>35505</v>
      </c>
      <c r="F119" s="276">
        <f t="shared" si="10"/>
        <v>27462</v>
      </c>
      <c r="G119" s="276">
        <f t="shared" si="10"/>
        <v>30822</v>
      </c>
      <c r="H119" s="275"/>
      <c r="I119" s="276" cm="1">
        <f t="array" ref="I119">INDEX('Historic WASDE MY 202526'!$D$4:$AA$112,MATCH('Corn World-Major'!B119&amp;'Corn World-Major'!C119,'Historic WASDE MY 202526'!$B$4:$B$112&amp;'Historic WASDE MY 202526'!$C$4:$C$112,0),MATCH('Corn World-Major'!$I$2,'Historic WASDE MY 202526'!$D$3:$AA$3,0))</f>
        <v>30822</v>
      </c>
      <c r="J119" s="276" cm="1">
        <f t="array" ref="J119">INDEX('Historic WASDE MY 202425'!$D$4:$AA$111,MATCH('Corn World-Major'!B119&amp;'Corn World-Major'!C119,'Historic WASDE MY 202425'!$B$4:$B$111&amp;'Historic WASDE MY 202425'!$C$4:$C$111,0),MATCH('Corn World-Major'!$J$2,'Historic WASDE MY 202425'!$D$3:$AA$3,0))</f>
        <v>27462</v>
      </c>
      <c r="K119" s="276" cm="1">
        <f t="array" ref="K119">INDEX('Historic WASDE MY 202526'!$D$4:$AA$112,MATCH('Corn World-Major'!B119&amp;'Corn World-Major'!C119,'Historic WASDE MY 202526'!$B$4:$B$112&amp;'Historic WASDE MY 202526'!$C$4:$C$112,0),MATCH('Corn World-Major'!$K$2,'Historic WASDE MY 202526'!$D$3:$AA$3,0))</f>
        <v>30822</v>
      </c>
      <c r="L119" s="283">
        <f>'Historic WASDE MY 202425'!P100</f>
        <v>27462</v>
      </c>
      <c r="M119" s="283">
        <f>'Historic WASDE MY 202526'!G100</f>
        <v>32772</v>
      </c>
    </row>
    <row r="120" spans="1:13">
      <c r="A120" s="274" t="s">
        <v>299</v>
      </c>
      <c r="B120" s="274" t="s">
        <v>302</v>
      </c>
      <c r="C120" s="281" t="s">
        <v>40</v>
      </c>
      <c r="D120" s="282">
        <v>382696</v>
      </c>
      <c r="E120" s="282">
        <v>424939</v>
      </c>
      <c r="F120" s="276">
        <f t="shared" si="10"/>
        <v>423060</v>
      </c>
      <c r="G120" s="276">
        <f t="shared" si="10"/>
        <v>438428</v>
      </c>
      <c r="H120" s="275"/>
      <c r="I120" s="276" cm="1">
        <f t="array" ref="I120">INDEX('Historic WASDE MY 202526'!$D$4:$AA$112,MATCH('Corn World-Major'!B120&amp;'Corn World-Major'!C120,'Historic WASDE MY 202526'!$B$4:$B$112&amp;'Historic WASDE MY 202526'!$C$4:$C$112,0),MATCH('Corn World-Major'!$I$2,'Historic WASDE MY 202526'!$D$3:$AA$3,0))</f>
        <v>437158</v>
      </c>
      <c r="J120" s="276" cm="1">
        <f t="array" ref="J120">INDEX('Historic WASDE MY 202425'!$D$4:$AA$111,MATCH('Corn World-Major'!B120&amp;'Corn World-Major'!C120,'Historic WASDE MY 202425'!$B$4:$B$111&amp;'Historic WASDE MY 202425'!$C$4:$C$111,0),MATCH('Corn World-Major'!$J$2,'Historic WASDE MY 202425'!$D$3:$AA$3,0))</f>
        <v>423060</v>
      </c>
      <c r="K120" s="276" cm="1">
        <f t="array" ref="K120">INDEX('Historic WASDE MY 202526'!$D$4:$AA$112,MATCH('Corn World-Major'!B120&amp;'Corn World-Major'!C120,'Historic WASDE MY 202526'!$B$4:$B$112&amp;'Historic WASDE MY 202526'!$C$4:$C$112,0),MATCH('Corn World-Major'!$K$2,'Historic WASDE MY 202526'!$D$3:$AA$3,0))</f>
        <v>433601</v>
      </c>
      <c r="L120" s="283">
        <f>'Historic WASDE MY 202425'!P101</f>
        <v>423060</v>
      </c>
      <c r="M120" s="283">
        <f>'Historic WASDE MY 202526'!G101</f>
        <v>459044</v>
      </c>
    </row>
    <row r="121" spans="1:13" ht="15.75" thickBot="1">
      <c r="A121" s="274" t="s">
        <v>299</v>
      </c>
      <c r="B121" s="274" t="s">
        <v>302</v>
      </c>
      <c r="C121" s="281" t="s">
        <v>1</v>
      </c>
      <c r="D121" s="282">
        <v>1646818</v>
      </c>
      <c r="E121" s="282">
        <v>1847810</v>
      </c>
      <c r="F121" s="276">
        <f>F55</f>
        <v>1720875</v>
      </c>
      <c r="G121" s="276">
        <f t="shared" si="10"/>
        <v>1739751</v>
      </c>
      <c r="H121" s="275"/>
      <c r="I121" s="276" cm="1">
        <f t="array" ref="I121">INDEX('Historic WASDE MY 202526'!$D$4:$AA$112,MATCH('Corn World-Major'!B121&amp;'Corn World-Major'!C121,'Historic WASDE MY 202526'!$B$4:$B$112&amp;'Historic WASDE MY 202526'!$C$4:$C$112,0),MATCH('Corn World-Major'!$I$2,'Historic WASDE MY 202526'!$D$3:$AA$3,0))</f>
        <v>1738505</v>
      </c>
      <c r="J121" s="276" cm="1">
        <f t="array" ref="J121">INDEX('Historic WASDE MY 202425'!$D$4:$AA$111,MATCH('Corn World-Major'!B121&amp;'Corn World-Major'!C121,'Historic WASDE MY 202425'!$B$4:$B$111&amp;'Historic WASDE MY 202425'!$C$4:$C$111,0),MATCH('Corn World-Major'!$J$2,'Historic WASDE MY 202425'!$D$3:$AA$3,0))</f>
        <v>1723858</v>
      </c>
      <c r="K121" s="276" cm="1">
        <f t="array" ref="K121">INDEX('Historic WASDE MY 202526'!$D$4:$AA$112,MATCH('Corn World-Major'!B121&amp;'Corn World-Major'!C121,'Historic WASDE MY 202526'!$B$4:$B$112&amp;'Historic WASDE MY 202526'!$C$4:$C$112,0),MATCH('Corn World-Major'!$K$2,'Historic WASDE MY 202526'!$D$3:$AA$3,0))</f>
        <v>1735596</v>
      </c>
      <c r="L121" s="283">
        <f>'Historic WASDE MY 202425'!P102</f>
        <v>1725336</v>
      </c>
      <c r="M121" s="283">
        <f>'Historic WASDE MY 202526'!G102</f>
        <v>1763851</v>
      </c>
    </row>
    <row r="122" spans="1:13" ht="15.75" thickBot="1">
      <c r="A122" s="274" t="s">
        <v>299</v>
      </c>
      <c r="B122" s="274" t="s">
        <v>302</v>
      </c>
      <c r="C122" s="278" t="s">
        <v>300</v>
      </c>
      <c r="D122" s="279">
        <f>D121-SUM(D113:D120)</f>
        <v>417942</v>
      </c>
      <c r="E122" s="279">
        <f>E121-SUM(E113:E120)</f>
        <v>557761</v>
      </c>
      <c r="F122" s="279">
        <f>F121-SUM(F113:F120)</f>
        <v>442710</v>
      </c>
      <c r="G122" s="279">
        <f>G121-SUM(G113:G120)</f>
        <v>451423</v>
      </c>
      <c r="H122" s="279">
        <f t="shared" ref="H122:M122" si="11">H121-SUM(H113:H120)</f>
        <v>0</v>
      </c>
      <c r="I122" s="279">
        <f t="shared" si="11"/>
        <v>452341</v>
      </c>
      <c r="J122" s="279">
        <f t="shared" si="11"/>
        <v>955096</v>
      </c>
      <c r="K122" s="279">
        <f t="shared" si="11"/>
        <v>452939</v>
      </c>
      <c r="L122" s="279">
        <f t="shared" si="11"/>
        <v>449665</v>
      </c>
      <c r="M122" s="279">
        <f t="shared" si="11"/>
        <v>455301</v>
      </c>
    </row>
    <row r="123" spans="1:13">
      <c r="A123" s="274"/>
      <c r="B123" s="280"/>
      <c r="C123" s="274"/>
      <c r="D123" s="275"/>
      <c r="E123" s="275"/>
      <c r="F123" s="275"/>
      <c r="G123" s="275"/>
      <c r="H123" s="275"/>
      <c r="I123" s="275"/>
      <c r="J123" s="275"/>
      <c r="K123" s="275"/>
    </row>
    <row r="124" spans="1:13">
      <c r="A124" s="274" t="s">
        <v>299</v>
      </c>
      <c r="B124" s="274" t="s">
        <v>11</v>
      </c>
      <c r="C124" s="281" t="s">
        <v>24</v>
      </c>
      <c r="D124" s="281">
        <v>5.33</v>
      </c>
      <c r="E124" s="281">
        <v>6.56</v>
      </c>
      <c r="F124" s="284" cm="1">
        <f t="array" ref="F124">INDEX('Historic WASDE MY 202425'!$D$4:$AA$200,MATCH('Corn World-Major'!B124&amp;'Corn World-Major'!C124,'Historic WASDE MY 202425'!$B$4:$B$200&amp;'Historic WASDE MY 202425'!$C$4:$C$200,0),MATCH('Corn World-Major'!$F$2,'Historic WASDE MY 202425'!$D$3:$AA$3,0))</f>
        <v>7.81</v>
      </c>
      <c r="G124" s="284" cm="1">
        <f t="array" ref="G124">INDEX('Historic WASDE MY 202526'!$D$4:$AA$200,MATCH('Corn World-Major'!B124&amp;'Corn World-Major'!C124,'Historic WASDE MY 202526'!$B$4:$B$200&amp;'Historic WASDE MY 202526'!$C$4:$C$200,0),MATCH('Corn World-Major'!$G$2,'Historic WASDE MY 202526'!$D$3:$AA$3,0))</f>
        <v>7.07</v>
      </c>
      <c r="H124" s="285"/>
      <c r="I124" s="284" cm="1">
        <f t="array" ref="I124">INDEX('Historic WASDE MY 202526'!$D$4:$AA$112,MATCH('Corn World-Major'!B124&amp;'Corn World-Major'!C124,'Historic WASDE MY 202526'!$B$4:$B$112&amp;'Historic WASDE MY 202526'!$C$4:$C$112,0),MATCH('Corn World-Major'!$I$2,'Historic WASDE MY 202526'!$D$3:$AA$3,0))</f>
        <v>7.07</v>
      </c>
      <c r="J124" s="284" cm="1">
        <f t="array" ref="J124">INDEX('Historic WASDE MY 202425'!$D$4:$AA$111,MATCH('Corn World-Major'!B124&amp;'Corn World-Major'!C124,'Historic WASDE MY 202425'!$B$4:$B$111&amp;'Historic WASDE MY 202425'!$C$4:$C$111,0),MATCH('Corn World-Major'!$J$2,'Historic WASDE MY 202425'!$D$3:$AA$3,0))</f>
        <v>7.81</v>
      </c>
      <c r="K124" s="284" cm="1">
        <f t="array" ref="K124">INDEX('Historic WASDE MY 202526'!$D$4:$AA$112,MATCH('Corn World-Major'!B124&amp;'Corn World-Major'!C124,'Historic WASDE MY 202526'!$B$4:$B$112&amp;'Historic WASDE MY 202526'!$C$4:$C$112,0),MATCH('Corn World-Major'!$K$2,'Historic WASDE MY 202526'!$D$3:$AA$3,0))</f>
        <v>7.07</v>
      </c>
      <c r="L124" s="270">
        <f>'Historic WASDE MY 202425'!P103</f>
        <v>7.81</v>
      </c>
      <c r="M124" s="270">
        <f>'Historic WASDE MY 202526'!G103</f>
        <v>7.07</v>
      </c>
    </row>
    <row r="125" spans="1:13">
      <c r="A125" s="274" t="s">
        <v>299</v>
      </c>
      <c r="B125" s="274" t="s">
        <v>11</v>
      </c>
      <c r="C125" s="281" t="s">
        <v>27</v>
      </c>
      <c r="D125" s="281">
        <v>6.12</v>
      </c>
      <c r="E125" s="281">
        <v>5.5</v>
      </c>
      <c r="F125" s="284" cm="1">
        <f t="array" ref="F125">INDEX('Historic WASDE MY 202425'!$D$4:$AA$200,MATCH('Corn World-Major'!B125&amp;'Corn World-Major'!C125,'Historic WASDE MY 202425'!$B$4:$B$200&amp;'Historic WASDE MY 202425'!$C$4:$C$200,0),MATCH('Corn World-Major'!$F$2,'Historic WASDE MY 202425'!$D$3:$AA$3,0))</f>
        <v>5.83</v>
      </c>
      <c r="G125" s="284" cm="1">
        <f t="array" ref="G125">INDEX('Historic WASDE MY 202526'!$D$4:$AA$200,MATCH('Corn World-Major'!B125&amp;'Corn World-Major'!C125,'Historic WASDE MY 202526'!$B$4:$B$200&amp;'Historic WASDE MY 202526'!$C$4:$C$200,0),MATCH('Corn World-Major'!$G$2,'Historic WASDE MY 202526'!$D$3:$AA$3,0))</f>
        <v>5.8</v>
      </c>
      <c r="H125" s="285"/>
      <c r="I125" s="284" cm="1">
        <f t="array" ref="I125">INDEX('Historic WASDE MY 202526'!$D$4:$AA$112,MATCH('Corn World-Major'!B125&amp;'Corn World-Major'!C125,'Historic WASDE MY 202526'!$B$4:$B$112&amp;'Historic WASDE MY 202526'!$C$4:$C$112,0),MATCH('Corn World-Major'!$I$2,'Historic WASDE MY 202526'!$D$3:$AA$3,0))</f>
        <v>5.8</v>
      </c>
      <c r="J125" s="284" cm="1">
        <f t="array" ref="J125">INDEX('Historic WASDE MY 202425'!$D$4:$AA$111,MATCH('Corn World-Major'!B125&amp;'Corn World-Major'!C125,'Historic WASDE MY 202425'!$B$4:$B$111&amp;'Historic WASDE MY 202425'!$C$4:$C$111,0),MATCH('Corn World-Major'!$J$2,'Historic WASDE MY 202425'!$D$3:$AA$3,0))</f>
        <v>5.92</v>
      </c>
      <c r="K125" s="284" cm="1">
        <f t="array" ref="K125">INDEX('Historic WASDE MY 202526'!$D$4:$AA$112,MATCH('Corn World-Major'!B125&amp;'Corn World-Major'!C125,'Historic WASDE MY 202526'!$B$4:$B$112&amp;'Historic WASDE MY 202526'!$C$4:$C$112,0),MATCH('Corn World-Major'!$K$2,'Historic WASDE MY 202526'!$D$3:$AA$3,0))</f>
        <v>5.8</v>
      </c>
      <c r="L125" s="270">
        <f>'Historic WASDE MY 202425'!P104</f>
        <v>5.92</v>
      </c>
      <c r="M125" s="270">
        <f>'Historic WASDE MY 202526'!G104</f>
        <v>5.8</v>
      </c>
    </row>
    <row r="126" spans="1:13">
      <c r="A126" s="274" t="s">
        <v>299</v>
      </c>
      <c r="B126" s="274" t="s">
        <v>11</v>
      </c>
      <c r="C126" s="281" t="s">
        <v>29</v>
      </c>
      <c r="D126" s="281">
        <v>10.07</v>
      </c>
      <c r="E126" s="281">
        <v>10.15</v>
      </c>
      <c r="F126" s="284" cm="1">
        <f t="array" ref="F126">INDEX('Historic WASDE MY 202425'!$D$4:$AA$200,MATCH('Corn World-Major'!B126&amp;'Corn World-Major'!C126,'Historic WASDE MY 202425'!$B$4:$B$200&amp;'Historic WASDE MY 202425'!$C$4:$C$200,0),MATCH('Corn World-Major'!$F$2,'Historic WASDE MY 202425'!$D$3:$AA$3,0))</f>
        <v>10.59</v>
      </c>
      <c r="G126" s="284" cm="1">
        <f t="array" ref="G126">INDEX('Historic WASDE MY 202526'!$D$4:$AA$200,MATCH('Corn World-Major'!B126&amp;'Corn World-Major'!C126,'Historic WASDE MY 202526'!$B$4:$B$200&amp;'Historic WASDE MY 202526'!$C$4:$C$200,0),MATCH('Corn World-Major'!$G$2,'Historic WASDE MY 202526'!$D$3:$AA$3,0))</f>
        <v>10.07</v>
      </c>
      <c r="H126" s="285"/>
      <c r="I126" s="284" cm="1">
        <f t="array" ref="I126">INDEX('Historic WASDE MY 202526'!$D$4:$AA$112,MATCH('Corn World-Major'!B126&amp;'Corn World-Major'!C126,'Historic WASDE MY 202526'!$B$4:$B$112&amp;'Historic WASDE MY 202526'!$C$4:$C$112,0),MATCH('Corn World-Major'!$I$2,'Historic WASDE MY 202526'!$D$3:$AA$3,0))</f>
        <v>10.07</v>
      </c>
      <c r="J126" s="284" cm="1">
        <f t="array" ref="J126">INDEX('Historic WASDE MY 202425'!$D$4:$AA$111,MATCH('Corn World-Major'!B126&amp;'Corn World-Major'!C126,'Historic WASDE MY 202425'!$B$4:$B$111&amp;'Historic WASDE MY 202425'!$C$4:$C$111,0),MATCH('Corn World-Major'!$J$2,'Historic WASDE MY 202425'!$D$3:$AA$3,0))</f>
        <v>10.59</v>
      </c>
      <c r="K126" s="284" cm="1">
        <f t="array" ref="K126">INDEX('Historic WASDE MY 202526'!$D$4:$AA$112,MATCH('Corn World-Major'!B126&amp;'Corn World-Major'!C126,'Historic WASDE MY 202526'!$B$4:$B$112&amp;'Historic WASDE MY 202526'!$C$4:$C$112,0),MATCH('Corn World-Major'!$K$2,'Historic WASDE MY 202526'!$D$3:$AA$3,0))</f>
        <v>10.14</v>
      </c>
      <c r="L126" s="270">
        <f>'Historic WASDE MY 202425'!P105</f>
        <v>10.59</v>
      </c>
      <c r="M126" s="270">
        <f>'Historic WASDE MY 202526'!G105</f>
        <v>10.34</v>
      </c>
    </row>
    <row r="127" spans="1:13">
      <c r="A127" s="274" t="s">
        <v>299</v>
      </c>
      <c r="B127" s="274" t="s">
        <v>11</v>
      </c>
      <c r="C127" s="281" t="s">
        <v>32</v>
      </c>
      <c r="D127" s="281">
        <v>6.44</v>
      </c>
      <c r="E127" s="281">
        <v>6.53</v>
      </c>
      <c r="F127" s="284" cm="1">
        <f t="array" ref="F127">INDEX('Historic WASDE MY 202425'!$D$4:$AA$200,MATCH('Corn World-Major'!B127&amp;'Corn World-Major'!C127,'Historic WASDE MY 202425'!$B$4:$B$200&amp;'Historic WASDE MY 202425'!$C$4:$C$200,0),MATCH('Corn World-Major'!$F$2,'Historic WASDE MY 202425'!$D$3:$AA$3,0))</f>
        <v>6.59</v>
      </c>
      <c r="G127" s="284" cm="1">
        <f t="array" ref="G127">INDEX('Historic WASDE MY 202526'!$D$4:$AA$200,MATCH('Corn World-Major'!B127&amp;'Corn World-Major'!C127,'Historic WASDE MY 202526'!$B$4:$B$200&amp;'Historic WASDE MY 202526'!$C$4:$C$200,0),MATCH('Corn World-Major'!$G$2,'Historic WASDE MY 202526'!$D$3:$AA$3,0))</f>
        <v>6.66</v>
      </c>
      <c r="H127" s="285"/>
      <c r="I127" s="284" cm="1">
        <f t="array" ref="I127">INDEX('Historic WASDE MY 202526'!$D$4:$AA$112,MATCH('Corn World-Major'!B127&amp;'Corn World-Major'!C127,'Historic WASDE MY 202526'!$B$4:$B$112&amp;'Historic WASDE MY 202526'!$C$4:$C$112,0),MATCH('Corn World-Major'!$I$2,'Historic WASDE MY 202526'!$D$3:$AA$3,0))</f>
        <v>6.66</v>
      </c>
      <c r="J127" s="284" cm="1">
        <f t="array" ref="J127">INDEX('Historic WASDE MY 202425'!$D$4:$AA$111,MATCH('Corn World-Major'!B127&amp;'Corn World-Major'!C127,'Historic WASDE MY 202425'!$B$4:$B$111&amp;'Historic WASDE MY 202425'!$C$4:$C$111,0),MATCH('Corn World-Major'!$J$2,'Historic WASDE MY 202425'!$D$3:$AA$3,0))</f>
        <v>11.18</v>
      </c>
      <c r="K127" s="284" cm="1">
        <f t="array" ref="K127">INDEX('Historic WASDE MY 202526'!$D$4:$AA$112,MATCH('Corn World-Major'!B127&amp;'Corn World-Major'!C127,'Historic WASDE MY 202526'!$B$4:$B$112&amp;'Historic WASDE MY 202526'!$C$4:$C$112,0),MATCH('Corn World-Major'!$K$2,'Historic WASDE MY 202526'!$D$3:$AA$3,0))</f>
        <v>6.66</v>
      </c>
      <c r="L127" s="270">
        <f>'Historic WASDE MY 202425'!P106</f>
        <v>6.59</v>
      </c>
      <c r="M127" s="270">
        <f>'Historic WASDE MY 202526'!G106</f>
        <v>6.66</v>
      </c>
    </row>
    <row r="128" spans="1:13">
      <c r="A128" s="274" t="s">
        <v>299</v>
      </c>
      <c r="B128" s="274" t="s">
        <v>11</v>
      </c>
      <c r="C128" s="281" t="s">
        <v>34</v>
      </c>
      <c r="D128" s="281">
        <v>5.95</v>
      </c>
      <c r="E128" s="281">
        <v>7.48</v>
      </c>
      <c r="F128" s="284" cm="1">
        <f t="array" ref="F128">INDEX('Historic WASDE MY 202425'!$D$4:$AA$200,MATCH('Corn World-Major'!B128&amp;'Corn World-Major'!C128,'Historic WASDE MY 202425'!$B$4:$B$200&amp;'Historic WASDE MY 202425'!$C$4:$C$200,0),MATCH('Corn World-Major'!$F$2,'Historic WASDE MY 202425'!$D$3:$AA$3,0))</f>
        <v>6.81</v>
      </c>
      <c r="G128" s="284" cm="1">
        <f t="array" ref="G128">INDEX('Historic WASDE MY 202526'!$D$4:$AA$200,MATCH('Corn World-Major'!B128&amp;'Corn World-Major'!C128,'Historic WASDE MY 202526'!$B$4:$B$200&amp;'Historic WASDE MY 202526'!$C$4:$C$200,0),MATCH('Corn World-Major'!$G$2,'Historic WASDE MY 202526'!$D$3:$AA$3,0))</f>
        <v>7.27</v>
      </c>
      <c r="H128" s="285"/>
      <c r="I128" s="284" cm="1">
        <f t="array" ref="I128">INDEX('Historic WASDE MY 202526'!$D$4:$AA$112,MATCH('Corn World-Major'!B128&amp;'Corn World-Major'!C128,'Historic WASDE MY 202526'!$B$4:$B$112&amp;'Historic WASDE MY 202526'!$C$4:$C$112,0),MATCH('Corn World-Major'!$I$2,'Historic WASDE MY 202526'!$D$3:$AA$3,0))</f>
        <v>7.27</v>
      </c>
      <c r="J128" s="284" cm="1">
        <f t="array" ref="J128">INDEX('Historic WASDE MY 202425'!$D$4:$AA$111,MATCH('Corn World-Major'!B128&amp;'Corn World-Major'!C128,'Historic WASDE MY 202425'!$B$4:$B$111&amp;'Historic WASDE MY 202425'!$C$4:$C$111,0),MATCH('Corn World-Major'!$J$2,'Historic WASDE MY 202425'!$D$3:$AA$3,0))</f>
        <v>6.81</v>
      </c>
      <c r="K128" s="284" cm="1">
        <f t="array" ref="K128">INDEX('Historic WASDE MY 202526'!$D$4:$AA$112,MATCH('Corn World-Major'!B128&amp;'Corn World-Major'!C128,'Historic WASDE MY 202526'!$B$4:$B$112&amp;'Historic WASDE MY 202526'!$C$4:$C$112,0),MATCH('Corn World-Major'!$K$2,'Historic WASDE MY 202526'!$D$3:$AA$3,0))</f>
        <v>7.27</v>
      </c>
      <c r="L128" s="270">
        <f>'Historic WASDE MY 202425'!P107</f>
        <v>6.81</v>
      </c>
      <c r="M128" s="270">
        <f>'Historic WASDE MY 202526'!G107</f>
        <v>7.21</v>
      </c>
    </row>
    <row r="129" spans="1:13">
      <c r="A129" s="274" t="s">
        <v>299</v>
      </c>
      <c r="B129" s="274" t="s">
        <v>11</v>
      </c>
      <c r="C129" s="281" t="s">
        <v>36</v>
      </c>
      <c r="D129" s="281">
        <v>6</v>
      </c>
      <c r="E129" s="281">
        <v>6.92</v>
      </c>
      <c r="F129" s="284" cm="1">
        <f t="array" ref="F129">INDEX('Historic WASDE MY 202425'!$D$4:$AA$200,MATCH('Corn World-Major'!B129&amp;'Corn World-Major'!C129,'Historic WASDE MY 202425'!$B$4:$B$200&amp;'Historic WASDE MY 202425'!$C$4:$C$200,0),MATCH('Corn World-Major'!$F$2,'Historic WASDE MY 202425'!$D$3:$AA$3,0))</f>
        <v>5.19</v>
      </c>
      <c r="G129" s="284" cm="1">
        <f t="array" ref="G129">INDEX('Historic WASDE MY 202526'!$D$4:$AA$200,MATCH('Corn World-Major'!B129&amp;'Corn World-Major'!C129,'Historic WASDE MY 202526'!$B$4:$B$200&amp;'Historic WASDE MY 202526'!$C$4:$C$200,0),MATCH('Corn World-Major'!$G$2,'Historic WASDE MY 202526'!$D$3:$AA$3,0))</f>
        <v>6</v>
      </c>
      <c r="H129" s="285"/>
      <c r="I129" s="284" cm="1">
        <f t="array" ref="I129">INDEX('Historic WASDE MY 202526'!$D$4:$AA$112,MATCH('Corn World-Major'!B129&amp;'Corn World-Major'!C129,'Historic WASDE MY 202526'!$B$4:$B$112&amp;'Historic WASDE MY 202526'!$C$4:$C$112,0),MATCH('Corn World-Major'!$I$2,'Historic WASDE MY 202526'!$D$3:$AA$3,0))</f>
        <v>6</v>
      </c>
      <c r="J129" s="284" cm="1">
        <f t="array" ref="J129">INDEX('Historic WASDE MY 202425'!$D$4:$AA$111,MATCH('Corn World-Major'!B129&amp;'Corn World-Major'!C129,'Historic WASDE MY 202425'!$B$4:$B$111&amp;'Historic WASDE MY 202425'!$C$4:$C$111,0),MATCH('Corn World-Major'!$J$2,'Historic WASDE MY 202425'!$D$3:$AA$3,0))</f>
        <v>5.19</v>
      </c>
      <c r="K129" s="284" cm="1">
        <f t="array" ref="K129">INDEX('Historic WASDE MY 202526'!$D$4:$AA$112,MATCH('Corn World-Major'!B129&amp;'Corn World-Major'!C129,'Historic WASDE MY 202526'!$B$4:$B$112&amp;'Historic WASDE MY 202526'!$C$4:$C$112,0),MATCH('Corn World-Major'!$K$2,'Historic WASDE MY 202526'!$D$3:$AA$3,0))</f>
        <v>6</v>
      </c>
      <c r="L129" s="270">
        <f>'Historic WASDE MY 202425'!P108</f>
        <v>5.19</v>
      </c>
      <c r="M129" s="270">
        <f>'Historic WASDE MY 202526'!G108</f>
        <v>6</v>
      </c>
    </row>
    <row r="130" spans="1:13">
      <c r="A130" s="274" t="s">
        <v>299</v>
      </c>
      <c r="B130" s="274" t="s">
        <v>11</v>
      </c>
      <c r="C130" s="281" t="s">
        <v>38</v>
      </c>
      <c r="D130" s="281">
        <v>6.67</v>
      </c>
      <c r="E130" s="281">
        <v>7.74</v>
      </c>
      <c r="F130" s="284" cm="1">
        <f t="array" ref="F130">INDEX('Historic WASDE MY 202425'!$D$4:$AA$200,MATCH('Corn World-Major'!B130&amp;'Corn World-Major'!C130,'Historic WASDE MY 202425'!$B$4:$B$200&amp;'Historic WASDE MY 202425'!$C$4:$C$200,0),MATCH('Corn World-Major'!$F$2,'Historic WASDE MY 202425'!$D$3:$AA$3,0))</f>
        <v>6.54</v>
      </c>
      <c r="G130" s="284" cm="1">
        <f t="array" ref="G130">INDEX('Historic WASDE MY 202526'!$D$4:$AA$200,MATCH('Corn World-Major'!B130&amp;'Corn World-Major'!C130,'Historic WASDE MY 202526'!$B$4:$B$200&amp;'Historic WASDE MY 202526'!$C$4:$C$200,0),MATCH('Corn World-Major'!$G$2,'Historic WASDE MY 202526'!$D$3:$AA$3,0))</f>
        <v>7.26</v>
      </c>
      <c r="H130" s="285"/>
      <c r="I130" s="284" cm="1">
        <f t="array" ref="I130">INDEX('Historic WASDE MY 202526'!$D$4:$AA$112,MATCH('Corn World-Major'!B130&amp;'Corn World-Major'!C130,'Historic WASDE MY 202526'!$B$4:$B$112&amp;'Historic WASDE MY 202526'!$C$4:$C$112,0),MATCH('Corn World-Major'!$I$2,'Historic WASDE MY 202526'!$D$3:$AA$3,0))</f>
        <v>7.26</v>
      </c>
      <c r="J130" s="284" cm="1">
        <f t="array" ref="J130">INDEX('Historic WASDE MY 202425'!$D$4:$AA$111,MATCH('Corn World-Major'!B130&amp;'Corn World-Major'!C130,'Historic WASDE MY 202425'!$B$4:$B$111&amp;'Historic WASDE MY 202425'!$C$4:$C$111,0),MATCH('Corn World-Major'!$J$2,'Historic WASDE MY 202425'!$D$3:$AA$3,0))</f>
        <v>6.54</v>
      </c>
      <c r="K130" s="284" cm="1">
        <f t="array" ref="K130">INDEX('Historic WASDE MY 202526'!$D$4:$AA$112,MATCH('Corn World-Major'!B130&amp;'Corn World-Major'!C130,'Historic WASDE MY 202526'!$B$4:$B$112&amp;'Historic WASDE MY 202526'!$C$4:$C$112,0),MATCH('Corn World-Major'!$K$2,'Historic WASDE MY 202526'!$D$3:$AA$3,0))</f>
        <v>7.26</v>
      </c>
      <c r="L130" s="270">
        <f>'Historic WASDE MY 202425'!P109</f>
        <v>6.54</v>
      </c>
      <c r="M130" s="270">
        <f>'Historic WASDE MY 202526'!G109</f>
        <v>7.27</v>
      </c>
    </row>
    <row r="131" spans="1:13">
      <c r="A131" s="274" t="s">
        <v>299</v>
      </c>
      <c r="B131" s="274" t="s">
        <v>11</v>
      </c>
      <c r="C131" s="281" t="s">
        <v>40</v>
      </c>
      <c r="D131" s="281">
        <v>10.89</v>
      </c>
      <c r="E131" s="281">
        <v>11.13</v>
      </c>
      <c r="F131" s="284" cm="1">
        <f t="array" ref="F131">INDEX('Historic WASDE MY 202425'!$D$4:$AA$200,MATCH('Corn World-Major'!B131&amp;'Corn World-Major'!C131,'Historic WASDE MY 202425'!$B$4:$B$200&amp;'Historic WASDE MY 202425'!$C$4:$C$200,0),MATCH('Corn World-Major'!$F$2,'Historic WASDE MY 202425'!$D$3:$AA$3,0))</f>
        <v>11.26</v>
      </c>
      <c r="G131" s="284" cm="1">
        <f t="array" ref="G131">INDEX('Historic WASDE MY 202526'!$D$4:$AA$200,MATCH('Corn World-Major'!B131&amp;'Corn World-Major'!C131,'Historic WASDE MY 202526'!$B$4:$B$200&amp;'Historic WASDE MY 202526'!$C$4:$C$200,0),MATCH('Corn World-Major'!$G$2,'Historic WASDE MY 202526'!$D$3:$AA$3,0))</f>
        <v>11.36</v>
      </c>
      <c r="H131" s="285"/>
      <c r="I131" s="284" cm="1">
        <f t="array" ref="I131">INDEX('Historic WASDE MY 202526'!$D$4:$AA$112,MATCH('Corn World-Major'!B131&amp;'Corn World-Major'!C131,'Historic WASDE MY 202526'!$B$4:$B$112&amp;'Historic WASDE MY 202526'!$C$4:$C$112,0),MATCH('Corn World-Major'!$I$2,'Historic WASDE MY 202526'!$D$3:$AA$3,0))</f>
        <v>11.36</v>
      </c>
      <c r="J131" s="284" cm="1">
        <f t="array" ref="J131">INDEX('Historic WASDE MY 202425'!$D$4:$AA$111,MATCH('Corn World-Major'!B131&amp;'Corn World-Major'!C131,'Historic WASDE MY 202425'!$B$4:$B$111&amp;'Historic WASDE MY 202425'!$C$4:$C$111,0),MATCH('Corn World-Major'!$J$2,'Historic WASDE MY 202425'!$D$3:$AA$3,0))</f>
        <v>11.26</v>
      </c>
      <c r="K131" s="284" cm="1">
        <f t="array" ref="K131">INDEX('Historic WASDE MY 202526'!$D$4:$AA$112,MATCH('Corn World-Major'!B131&amp;'Corn World-Major'!C131,'Historic WASDE MY 202526'!$B$4:$B$112&amp;'Historic WASDE MY 202526'!$C$4:$C$112,0),MATCH('Corn World-Major'!$K$2,'Historic WASDE MY 202526'!$D$3:$AA$3,0))</f>
        <v>11.36</v>
      </c>
      <c r="L131" s="270">
        <f>'Historic WASDE MY 202425'!P110</f>
        <v>11.26</v>
      </c>
      <c r="M131" s="270">
        <f>'Historic WASDE MY 202526'!G110</f>
        <v>11.85</v>
      </c>
    </row>
    <row r="132" spans="1:13" ht="15.75" thickBot="1">
      <c r="A132" s="274" t="s">
        <v>299</v>
      </c>
      <c r="B132" s="274" t="s">
        <v>11</v>
      </c>
      <c r="C132" s="281" t="s">
        <v>1</v>
      </c>
      <c r="D132" s="281">
        <v>5.78</v>
      </c>
      <c r="E132" s="281">
        <v>5.69</v>
      </c>
      <c r="F132" s="284" cm="1">
        <f t="array" ref="F132">INDEX('Historic WASDE MY 202425'!$D$4:$AA$200,MATCH('Corn World-Major'!B132&amp;'Corn World-Major'!C132,'Historic WASDE MY 202425'!$B$4:$B$200&amp;'Historic WASDE MY 202425'!$C$4:$C$200,0),MATCH('Corn World-Major'!$F$2,'Historic WASDE MY 202425'!$D$3:$AA$3,0))</f>
        <v>6</v>
      </c>
      <c r="G132" s="284" cm="1">
        <f t="array" ref="G132">INDEX('Historic WASDE MY 202526'!$D$4:$AA$200,MATCH('Corn World-Major'!B132&amp;'Corn World-Major'!C132,'Historic WASDE MY 202526'!$B$4:$B$200&amp;'Historic WASDE MY 202526'!$C$4:$C$200,0),MATCH('Corn World-Major'!$G$2,'Historic WASDE MY 202526'!$D$3:$AA$3,0))</f>
        <v>6.07</v>
      </c>
      <c r="H132" s="285"/>
      <c r="I132" s="284" cm="1">
        <f t="array" ref="I132">INDEX('Historic WASDE MY 202526'!$D$4:$AA$112,MATCH('Corn World-Major'!B132&amp;'Corn World-Major'!C132,'Historic WASDE MY 202526'!$B$4:$B$112&amp;'Historic WASDE MY 202526'!$C$4:$C$112,0),MATCH('Corn World-Major'!$I$2,'Historic WASDE MY 202526'!$D$3:$AA$3,0))</f>
        <v>6.07</v>
      </c>
      <c r="J132" s="284" cm="1">
        <f t="array" ref="J132">INDEX('Historic WASDE MY 202425'!$D$4:$AA$111,MATCH('Corn World-Major'!B132&amp;'Corn World-Major'!C132,'Historic WASDE MY 202425'!$B$4:$B$111&amp;'Historic WASDE MY 202425'!$C$4:$C$111,0),MATCH('Corn World-Major'!$J$2,'Historic WASDE MY 202425'!$D$3:$AA$3,0))</f>
        <v>6.02</v>
      </c>
      <c r="K132" s="284" cm="1">
        <f t="array" ref="K132">INDEX('Historic WASDE MY 202526'!$D$4:$AA$112,MATCH('Corn World-Major'!B132&amp;'Corn World-Major'!C132,'Historic WASDE MY 202526'!$B$4:$B$112&amp;'Historic WASDE MY 202526'!$C$4:$C$112,0),MATCH('Corn World-Major'!$K$2,'Historic WASDE MY 202526'!$D$3:$AA$3,0))</f>
        <v>6.06</v>
      </c>
      <c r="L132" s="270">
        <f>'Historic WASDE MY 202425'!P111</f>
        <v>6.02</v>
      </c>
      <c r="M132" s="270">
        <f>'Historic WASDE MY 202526'!G111</f>
        <v>6.16</v>
      </c>
    </row>
    <row r="133" spans="1:13" ht="15.75" thickBot="1">
      <c r="A133" s="274" t="s">
        <v>299</v>
      </c>
      <c r="B133" s="274" t="s">
        <v>11</v>
      </c>
      <c r="C133" s="278" t="s">
        <v>300</v>
      </c>
      <c r="D133" s="279">
        <f>D132-SUM(D124:D131)</f>
        <v>-51.690000000000005</v>
      </c>
      <c r="E133" s="279">
        <f>E132-SUM(E124:E131)</f>
        <v>-56.320000000000007</v>
      </c>
      <c r="F133" s="279">
        <f>F132-SUM(F124:F131)</f>
        <v>-54.62</v>
      </c>
      <c r="G133" s="279">
        <f>G132-SUM(G124:G131)</f>
        <v>-55.42</v>
      </c>
      <c r="H133" s="279">
        <f t="shared" ref="H133:M133" si="12">H132-SUM(H124:H131)</f>
        <v>0</v>
      </c>
      <c r="I133" s="279">
        <f t="shared" si="12"/>
        <v>-55.42</v>
      </c>
      <c r="J133" s="279">
        <f t="shared" si="12"/>
        <v>-59.28</v>
      </c>
      <c r="K133" s="279">
        <f t="shared" si="12"/>
        <v>-55.499999999999993</v>
      </c>
      <c r="L133" s="279">
        <f t="shared" si="12"/>
        <v>-54.69</v>
      </c>
      <c r="M133" s="279">
        <f t="shared" si="12"/>
        <v>-56.039999999999992</v>
      </c>
    </row>
  </sheetData>
  <phoneticPr fontId="3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267A6-1122-467E-B182-AD144E89C8C2}">
  <sheetPr>
    <tabColor theme="7" tint="0.79998168889431442"/>
  </sheetPr>
  <dimension ref="A1:O111"/>
  <sheetViews>
    <sheetView showGridLines="0" topLeftCell="B1" zoomScaleNormal="100" workbookViewId="0">
      <selection activeCell="O4" sqref="O4:O111"/>
    </sheetView>
  </sheetViews>
  <sheetFormatPr defaultColWidth="7.42578125" defaultRowHeight="15"/>
  <cols>
    <col min="1" max="1" width="10" style="270" bestFit="1" customWidth="1"/>
    <col min="2" max="2" width="20.140625" style="270" bestFit="1" customWidth="1"/>
    <col min="3" max="3" width="12.85546875" style="270" bestFit="1" customWidth="1"/>
    <col min="4" max="4" width="8.85546875" style="270" bestFit="1" customWidth="1"/>
    <col min="5" max="16384" width="7.42578125" style="270"/>
  </cols>
  <sheetData>
    <row r="1" spans="1:15">
      <c r="A1" s="286" t="s">
        <v>303</v>
      </c>
    </row>
    <row r="3" spans="1:15" ht="15.75" thickBot="1">
      <c r="A3" s="271" t="s">
        <v>295</v>
      </c>
      <c r="B3" s="287" t="s">
        <v>296</v>
      </c>
      <c r="C3" s="271" t="s">
        <v>297</v>
      </c>
      <c r="D3" s="288">
        <v>45536</v>
      </c>
      <c r="E3" s="288">
        <v>45566</v>
      </c>
      <c r="F3" s="288">
        <v>45597</v>
      </c>
      <c r="G3" s="288">
        <v>45627</v>
      </c>
      <c r="H3" s="288">
        <v>45658</v>
      </c>
      <c r="I3" s="288">
        <v>45689</v>
      </c>
      <c r="J3" s="288">
        <v>45717</v>
      </c>
      <c r="K3" s="288">
        <v>45748</v>
      </c>
      <c r="L3" s="288">
        <v>45778</v>
      </c>
      <c r="M3" s="288">
        <v>45833</v>
      </c>
      <c r="N3" s="288">
        <v>45863</v>
      </c>
      <c r="O3" s="288">
        <v>45870</v>
      </c>
    </row>
    <row r="4" spans="1:15">
      <c r="A4" s="289" t="s">
        <v>299</v>
      </c>
      <c r="B4" s="280" t="s">
        <v>10</v>
      </c>
      <c r="C4" s="290" t="s">
        <v>24</v>
      </c>
      <c r="D4" s="282">
        <v>7000</v>
      </c>
      <c r="E4" s="283">
        <v>7000</v>
      </c>
      <c r="F4" s="270">
        <v>7000</v>
      </c>
      <c r="G4" s="270">
        <v>7000</v>
      </c>
      <c r="H4" s="270">
        <v>7000</v>
      </c>
      <c r="I4" s="270">
        <v>7000</v>
      </c>
      <c r="J4" s="270">
        <v>7775</v>
      </c>
      <c r="K4" s="270">
        <v>7775</v>
      </c>
      <c r="L4" s="270">
        <v>7775</v>
      </c>
      <c r="N4" s="270">
        <v>7775</v>
      </c>
    </row>
    <row r="5" spans="1:15">
      <c r="A5" s="291"/>
      <c r="B5" s="280" t="s">
        <v>10</v>
      </c>
      <c r="C5" s="292" t="s">
        <v>27</v>
      </c>
      <c r="D5" s="282">
        <v>21500</v>
      </c>
      <c r="E5" s="283">
        <v>21500</v>
      </c>
      <c r="F5" s="270">
        <v>21500</v>
      </c>
      <c r="G5" s="270">
        <v>21500</v>
      </c>
      <c r="H5" s="270">
        <v>21500</v>
      </c>
      <c r="I5" s="270">
        <v>21500</v>
      </c>
      <c r="J5" s="270">
        <v>21650</v>
      </c>
      <c r="K5" s="270">
        <v>21650</v>
      </c>
      <c r="L5" s="270">
        <v>21650</v>
      </c>
      <c r="N5" s="270">
        <v>21650</v>
      </c>
    </row>
    <row r="6" spans="1:15" ht="15.95" customHeight="1">
      <c r="A6" s="291"/>
      <c r="B6" s="280" t="s">
        <v>10</v>
      </c>
      <c r="C6" s="292" t="s">
        <v>29</v>
      </c>
      <c r="D6" s="282">
        <v>1519</v>
      </c>
      <c r="E6" s="283">
        <v>1519</v>
      </c>
      <c r="F6" s="270">
        <v>1519</v>
      </c>
      <c r="G6" s="270">
        <v>1519</v>
      </c>
      <c r="H6" s="270">
        <v>1519</v>
      </c>
      <c r="I6" s="270">
        <v>1519</v>
      </c>
      <c r="J6" s="270">
        <v>1519</v>
      </c>
      <c r="K6" s="270">
        <v>1519</v>
      </c>
      <c r="L6" s="270">
        <v>1519</v>
      </c>
      <c r="N6" s="270">
        <v>1519</v>
      </c>
    </row>
    <row r="7" spans="1:15">
      <c r="A7" s="291"/>
      <c r="B7" s="280" t="s">
        <v>10</v>
      </c>
      <c r="C7" s="292" t="s">
        <v>32</v>
      </c>
      <c r="D7" s="282">
        <v>44218</v>
      </c>
      <c r="E7" s="283">
        <v>44218</v>
      </c>
      <c r="F7" s="270">
        <v>44218</v>
      </c>
      <c r="G7" s="270">
        <v>44218</v>
      </c>
      <c r="H7" s="270">
        <v>44218</v>
      </c>
      <c r="I7" s="270">
        <v>44218</v>
      </c>
      <c r="J7" s="270">
        <v>44218</v>
      </c>
      <c r="K7" s="270">
        <v>44218</v>
      </c>
      <c r="L7" s="270">
        <v>44218</v>
      </c>
      <c r="N7" s="270">
        <v>44218</v>
      </c>
    </row>
    <row r="8" spans="1:15">
      <c r="A8" s="291"/>
      <c r="B8" s="280" t="s">
        <v>10</v>
      </c>
      <c r="C8" s="292" t="s">
        <v>34</v>
      </c>
      <c r="D8" s="282">
        <v>8224</v>
      </c>
      <c r="E8" s="283">
        <v>8224</v>
      </c>
      <c r="F8" s="270">
        <v>8224</v>
      </c>
      <c r="G8" s="270">
        <v>8322</v>
      </c>
      <c r="H8" s="270">
        <v>8322</v>
      </c>
      <c r="I8" s="270">
        <v>8322</v>
      </c>
      <c r="J8" s="270">
        <v>8322</v>
      </c>
      <c r="K8" s="270">
        <v>8283</v>
      </c>
      <c r="L8" s="270">
        <v>8283</v>
      </c>
      <c r="N8" s="270">
        <v>8283</v>
      </c>
    </row>
    <row r="9" spans="1:15">
      <c r="A9" s="291"/>
      <c r="B9" s="280" t="s">
        <v>10</v>
      </c>
      <c r="C9" s="292" t="s">
        <v>36</v>
      </c>
      <c r="D9" s="282">
        <v>2400</v>
      </c>
      <c r="E9" s="283">
        <v>2400</v>
      </c>
      <c r="F9" s="270">
        <v>2400</v>
      </c>
      <c r="G9" s="270">
        <v>2400</v>
      </c>
      <c r="H9" s="270">
        <v>2400</v>
      </c>
      <c r="I9" s="270">
        <v>2400</v>
      </c>
      <c r="J9" s="270">
        <v>2400</v>
      </c>
      <c r="K9" s="270">
        <v>2400</v>
      </c>
      <c r="L9" s="270">
        <v>2400</v>
      </c>
      <c r="N9" s="270">
        <v>2400</v>
      </c>
    </row>
    <row r="10" spans="1:15">
      <c r="A10" s="291"/>
      <c r="B10" s="280" t="s">
        <v>10</v>
      </c>
      <c r="C10" s="292" t="s">
        <v>38</v>
      </c>
      <c r="D10" s="282">
        <v>4200</v>
      </c>
      <c r="E10" s="283">
        <v>4200</v>
      </c>
      <c r="F10" s="270">
        <v>4200</v>
      </c>
      <c r="G10" s="270">
        <v>4200</v>
      </c>
      <c r="H10" s="270">
        <v>4200</v>
      </c>
      <c r="I10" s="270">
        <v>4200</v>
      </c>
      <c r="J10" s="270">
        <v>4200</v>
      </c>
      <c r="K10" s="270">
        <v>4200</v>
      </c>
      <c r="L10" s="270">
        <v>4200</v>
      </c>
      <c r="N10" s="270">
        <v>4200</v>
      </c>
    </row>
    <row r="11" spans="1:15">
      <c r="A11" s="291"/>
      <c r="B11" s="280" t="s">
        <v>10</v>
      </c>
      <c r="C11" s="292" t="s">
        <v>40</v>
      </c>
      <c r="D11" s="282">
        <v>35011</v>
      </c>
      <c r="E11" s="283">
        <v>35008</v>
      </c>
      <c r="F11" s="270">
        <v>35008</v>
      </c>
      <c r="G11" s="270">
        <v>35008</v>
      </c>
      <c r="H11" s="270">
        <v>35008</v>
      </c>
      <c r="I11" s="270">
        <v>35008</v>
      </c>
      <c r="J11" s="270">
        <v>35008</v>
      </c>
      <c r="K11" s="270">
        <v>35008</v>
      </c>
      <c r="L11" s="270">
        <v>35008</v>
      </c>
      <c r="N11" s="270">
        <v>35008</v>
      </c>
    </row>
    <row r="12" spans="1:15" ht="15.75" thickBot="1">
      <c r="A12" s="293"/>
      <c r="B12" s="294" t="s">
        <v>10</v>
      </c>
      <c r="C12" s="295" t="s">
        <v>1</v>
      </c>
      <c r="D12" s="282">
        <v>203200</v>
      </c>
      <c r="E12" s="283">
        <v>203553</v>
      </c>
      <c r="F12" s="270">
        <v>205159</v>
      </c>
      <c r="G12" s="270">
        <v>205267</v>
      </c>
      <c r="H12" s="270">
        <v>205256</v>
      </c>
      <c r="I12" s="270">
        <v>205282</v>
      </c>
      <c r="J12" s="270">
        <v>206190</v>
      </c>
      <c r="K12" s="270">
        <v>206449</v>
      </c>
      <c r="L12" s="270">
        <v>234161</v>
      </c>
      <c r="N12" s="270">
        <v>208868</v>
      </c>
    </row>
    <row r="13" spans="1:15">
      <c r="A13" s="296"/>
      <c r="B13" s="280" t="s">
        <v>12</v>
      </c>
      <c r="C13" s="290" t="s">
        <v>24</v>
      </c>
      <c r="D13" s="282">
        <v>1324</v>
      </c>
      <c r="E13" s="283">
        <v>2324</v>
      </c>
      <c r="F13" s="270">
        <v>2324</v>
      </c>
      <c r="G13" s="270">
        <v>2324</v>
      </c>
      <c r="H13" s="270">
        <v>2324</v>
      </c>
      <c r="I13" s="270">
        <v>2324</v>
      </c>
      <c r="J13" s="270">
        <v>2324</v>
      </c>
      <c r="K13" s="270">
        <v>2324</v>
      </c>
      <c r="L13" s="270">
        <v>2324</v>
      </c>
      <c r="N13" s="270">
        <v>2324</v>
      </c>
    </row>
    <row r="14" spans="1:15">
      <c r="A14" s="291"/>
      <c r="B14" s="280" t="s">
        <v>12</v>
      </c>
      <c r="C14" s="292" t="s">
        <v>27</v>
      </c>
      <c r="D14" s="282">
        <v>10041</v>
      </c>
      <c r="E14" s="283">
        <v>10041</v>
      </c>
      <c r="F14" s="270">
        <v>10041</v>
      </c>
      <c r="G14" s="270">
        <v>10041</v>
      </c>
      <c r="H14" s="270">
        <v>10041</v>
      </c>
      <c r="I14" s="270">
        <v>10041</v>
      </c>
      <c r="J14" s="270">
        <v>10041</v>
      </c>
      <c r="K14" s="270">
        <v>10041</v>
      </c>
      <c r="L14" s="270">
        <v>10041</v>
      </c>
      <c r="N14" s="270">
        <v>10041</v>
      </c>
    </row>
    <row r="15" spans="1:15">
      <c r="A15" s="291"/>
      <c r="B15" s="280" t="s">
        <v>12</v>
      </c>
      <c r="C15" s="292" t="s">
        <v>29</v>
      </c>
      <c r="D15" s="282">
        <v>1628</v>
      </c>
      <c r="E15" s="283">
        <v>1628</v>
      </c>
      <c r="F15" s="270">
        <v>1628</v>
      </c>
      <c r="G15" s="270">
        <v>1628</v>
      </c>
      <c r="H15" s="270">
        <v>1628</v>
      </c>
      <c r="I15" s="270">
        <v>1628</v>
      </c>
      <c r="J15" s="270">
        <v>1628</v>
      </c>
      <c r="K15" s="270">
        <v>1628</v>
      </c>
      <c r="L15" s="270">
        <v>1628</v>
      </c>
      <c r="N15" s="270">
        <v>1628</v>
      </c>
    </row>
    <row r="16" spans="1:15">
      <c r="A16" s="291"/>
      <c r="B16" s="280" t="s">
        <v>12</v>
      </c>
      <c r="C16" s="292" t="s">
        <v>32</v>
      </c>
      <c r="D16" s="282">
        <v>206040</v>
      </c>
      <c r="E16" s="283">
        <v>206040</v>
      </c>
      <c r="F16" s="270">
        <v>206040</v>
      </c>
      <c r="G16" s="270">
        <v>206040</v>
      </c>
      <c r="H16" s="270">
        <v>206040</v>
      </c>
      <c r="I16" s="270">
        <v>206040</v>
      </c>
      <c r="J16" s="270">
        <v>206040</v>
      </c>
      <c r="K16" s="270">
        <v>206040</v>
      </c>
      <c r="L16" s="270">
        <v>206040</v>
      </c>
      <c r="N16" s="270">
        <v>206040</v>
      </c>
    </row>
    <row r="17" spans="1:14">
      <c r="A17" s="291"/>
      <c r="B17" s="280" t="s">
        <v>12</v>
      </c>
      <c r="C17" s="292" t="s">
        <v>34</v>
      </c>
      <c r="D17" s="282">
        <v>8029</v>
      </c>
      <c r="E17" s="283">
        <v>8029</v>
      </c>
      <c r="F17" s="270">
        <v>8029</v>
      </c>
      <c r="G17" s="270">
        <v>8079</v>
      </c>
      <c r="H17" s="270">
        <v>8079</v>
      </c>
      <c r="I17" s="270">
        <v>8024</v>
      </c>
      <c r="J17" s="270">
        <v>8024</v>
      </c>
      <c r="K17" s="270">
        <v>8024</v>
      </c>
      <c r="L17" s="270">
        <v>8024</v>
      </c>
      <c r="N17" s="270">
        <v>8024</v>
      </c>
    </row>
    <row r="18" spans="1:14">
      <c r="A18" s="291"/>
      <c r="B18" s="280" t="s">
        <v>12</v>
      </c>
      <c r="C18" s="292" t="s">
        <v>36</v>
      </c>
      <c r="D18" s="281">
        <v>908</v>
      </c>
      <c r="E18" s="270">
        <v>908</v>
      </c>
      <c r="F18" s="270">
        <v>908</v>
      </c>
      <c r="G18" s="270">
        <v>908</v>
      </c>
      <c r="H18" s="270">
        <v>908</v>
      </c>
      <c r="I18" s="270">
        <v>908</v>
      </c>
      <c r="J18" s="270">
        <v>908</v>
      </c>
      <c r="K18" s="270">
        <v>908</v>
      </c>
      <c r="L18" s="270">
        <v>908</v>
      </c>
      <c r="N18" s="270">
        <v>908</v>
      </c>
    </row>
    <row r="19" spans="1:14">
      <c r="A19" s="291"/>
      <c r="B19" s="280" t="s">
        <v>12</v>
      </c>
      <c r="C19" s="292" t="s">
        <v>38</v>
      </c>
      <c r="D19" s="282">
        <v>2795</v>
      </c>
      <c r="E19" s="283">
        <v>2795</v>
      </c>
      <c r="F19" s="270">
        <v>2795</v>
      </c>
      <c r="G19" s="270">
        <v>2795</v>
      </c>
      <c r="H19" s="270">
        <v>2795</v>
      </c>
      <c r="I19" s="270">
        <v>2995</v>
      </c>
      <c r="J19" s="270">
        <v>2995</v>
      </c>
      <c r="K19" s="270">
        <v>2995</v>
      </c>
      <c r="L19" s="270">
        <v>2995</v>
      </c>
      <c r="N19" s="270">
        <v>2995</v>
      </c>
    </row>
    <row r="20" spans="1:14">
      <c r="A20" s="291"/>
      <c r="B20" s="280" t="s">
        <v>12</v>
      </c>
      <c r="C20" s="292" t="s">
        <v>40</v>
      </c>
      <c r="D20" s="282">
        <v>34551</v>
      </c>
      <c r="E20" s="283">
        <v>34551</v>
      </c>
      <c r="F20" s="270">
        <v>34551</v>
      </c>
      <c r="G20" s="270">
        <v>34551</v>
      </c>
      <c r="H20" s="270">
        <v>34551</v>
      </c>
      <c r="I20" s="270">
        <v>34551</v>
      </c>
      <c r="J20" s="270">
        <v>34551</v>
      </c>
      <c r="K20" s="270">
        <v>34551</v>
      </c>
      <c r="L20" s="270">
        <v>34551</v>
      </c>
      <c r="N20" s="270">
        <v>34551</v>
      </c>
    </row>
    <row r="21" spans="1:14" ht="15.75" thickBot="1">
      <c r="A21" s="293"/>
      <c r="B21" s="294" t="s">
        <v>12</v>
      </c>
      <c r="C21" s="295" t="s">
        <v>1</v>
      </c>
      <c r="D21" s="282">
        <v>302824</v>
      </c>
      <c r="E21" s="283">
        <v>304086</v>
      </c>
      <c r="F21" s="270">
        <v>304585</v>
      </c>
      <c r="G21" s="270">
        <v>304662</v>
      </c>
      <c r="H21" s="270">
        <v>304673</v>
      </c>
      <c r="I21" s="270">
        <v>304826</v>
      </c>
      <c r="J21" s="270">
        <v>304825</v>
      </c>
      <c r="K21" s="270">
        <v>304772</v>
      </c>
      <c r="L21" s="270">
        <v>313606</v>
      </c>
      <c r="N21" s="270">
        <v>305611</v>
      </c>
    </row>
    <row r="22" spans="1:14">
      <c r="A22" s="296"/>
      <c r="B22" s="280" t="s">
        <v>13</v>
      </c>
      <c r="C22" s="290" t="s">
        <v>24</v>
      </c>
      <c r="D22" s="282">
        <v>50000</v>
      </c>
      <c r="E22" s="283">
        <v>50000</v>
      </c>
      <c r="F22" s="270">
        <v>50000</v>
      </c>
      <c r="G22" s="270">
        <v>50000</v>
      </c>
      <c r="H22" s="270">
        <v>50000</v>
      </c>
      <c r="I22" s="270">
        <v>50000</v>
      </c>
      <c r="J22" s="270">
        <v>51000</v>
      </c>
      <c r="K22" s="270">
        <v>51000</v>
      </c>
      <c r="L22" s="270">
        <v>51000</v>
      </c>
      <c r="N22" s="270">
        <v>51000</v>
      </c>
    </row>
    <row r="23" spans="1:14">
      <c r="A23" s="291"/>
      <c r="B23" s="280" t="s">
        <v>13</v>
      </c>
      <c r="C23" s="292" t="s">
        <v>27</v>
      </c>
      <c r="D23" s="282">
        <v>122000</v>
      </c>
      <c r="E23" s="283">
        <v>122000</v>
      </c>
      <c r="F23" s="270">
        <v>122000</v>
      </c>
      <c r="G23" s="270">
        <v>122000</v>
      </c>
      <c r="H23" s="270">
        <v>122000</v>
      </c>
      <c r="I23" s="270">
        <v>122000</v>
      </c>
      <c r="J23" s="270">
        <v>119000</v>
      </c>
      <c r="K23" s="270">
        <v>119000</v>
      </c>
      <c r="L23" s="270">
        <v>119000</v>
      </c>
      <c r="N23" s="270">
        <v>119000</v>
      </c>
    </row>
    <row r="24" spans="1:14">
      <c r="A24" s="291"/>
      <c r="B24" s="280" t="s">
        <v>13</v>
      </c>
      <c r="C24" s="292" t="s">
        <v>29</v>
      </c>
      <c r="D24" s="282">
        <v>15421</v>
      </c>
      <c r="E24" s="283">
        <v>15421</v>
      </c>
      <c r="F24" s="270">
        <v>15421</v>
      </c>
      <c r="G24" s="270">
        <v>15421</v>
      </c>
      <c r="H24" s="270">
        <v>15421</v>
      </c>
      <c r="I24" s="270">
        <v>15421</v>
      </c>
      <c r="J24" s="270">
        <v>15421</v>
      </c>
      <c r="K24" s="270">
        <v>15421</v>
      </c>
      <c r="L24" s="270">
        <v>15421</v>
      </c>
      <c r="N24" s="270">
        <v>15421</v>
      </c>
    </row>
    <row r="25" spans="1:14">
      <c r="A25" s="291"/>
      <c r="B25" s="280" t="s">
        <v>13</v>
      </c>
      <c r="C25" s="292" t="s">
        <v>32</v>
      </c>
      <c r="D25" s="282">
        <v>288842</v>
      </c>
      <c r="E25" s="283">
        <v>288842</v>
      </c>
      <c r="F25" s="270">
        <v>288842</v>
      </c>
      <c r="G25" s="270">
        <v>288842</v>
      </c>
      <c r="H25" s="270">
        <v>288842</v>
      </c>
      <c r="I25" s="270">
        <v>288842</v>
      </c>
      <c r="J25" s="270">
        <v>288842</v>
      </c>
      <c r="K25" s="270">
        <v>288842</v>
      </c>
      <c r="L25" s="270">
        <v>288842</v>
      </c>
      <c r="N25" s="270">
        <v>288842</v>
      </c>
    </row>
    <row r="26" spans="1:14">
      <c r="A26" s="291"/>
      <c r="B26" s="280" t="s">
        <v>13</v>
      </c>
      <c r="C26" s="292" t="s">
        <v>34</v>
      </c>
      <c r="D26" s="282">
        <v>61452</v>
      </c>
      <c r="E26" s="283">
        <v>61452</v>
      </c>
      <c r="F26" s="270">
        <v>61452</v>
      </c>
      <c r="G26" s="270">
        <v>61868</v>
      </c>
      <c r="H26" s="270">
        <v>61868</v>
      </c>
      <c r="I26" s="270">
        <v>61868</v>
      </c>
      <c r="J26" s="270">
        <v>61868</v>
      </c>
      <c r="K26" s="270">
        <v>61947</v>
      </c>
      <c r="L26" s="270">
        <v>61947</v>
      </c>
      <c r="N26" s="270">
        <v>61947</v>
      </c>
    </row>
    <row r="27" spans="1:14">
      <c r="A27" s="291"/>
      <c r="B27" s="280" t="s">
        <v>13</v>
      </c>
      <c r="C27" s="292" t="s">
        <v>36</v>
      </c>
      <c r="D27" s="282">
        <v>16600</v>
      </c>
      <c r="E27" s="283">
        <v>16600</v>
      </c>
      <c r="F27" s="270">
        <v>16600</v>
      </c>
      <c r="G27" s="270">
        <v>16600</v>
      </c>
      <c r="H27" s="270">
        <v>16600</v>
      </c>
      <c r="I27" s="270">
        <v>16600</v>
      </c>
      <c r="J27" s="270">
        <v>16600</v>
      </c>
      <c r="K27" s="270">
        <v>16600</v>
      </c>
      <c r="L27" s="270">
        <v>16600</v>
      </c>
      <c r="N27" s="270">
        <v>16600</v>
      </c>
    </row>
    <row r="28" spans="1:14">
      <c r="A28" s="291"/>
      <c r="B28" s="280" t="s">
        <v>13</v>
      </c>
      <c r="C28" s="292" t="s">
        <v>38</v>
      </c>
      <c r="D28" s="282">
        <v>32500</v>
      </c>
      <c r="E28" s="283">
        <v>32500</v>
      </c>
      <c r="F28" s="270">
        <v>32500</v>
      </c>
      <c r="G28" s="270">
        <v>32500</v>
      </c>
      <c r="H28" s="270">
        <v>32500</v>
      </c>
      <c r="I28" s="270">
        <v>32500</v>
      </c>
      <c r="J28" s="270">
        <v>32500</v>
      </c>
      <c r="K28" s="270">
        <v>32500</v>
      </c>
      <c r="L28" s="270">
        <v>32500</v>
      </c>
      <c r="N28" s="270">
        <v>32500</v>
      </c>
    </row>
    <row r="29" spans="1:14">
      <c r="A29" s="291"/>
      <c r="B29" s="280" t="s">
        <v>13</v>
      </c>
      <c r="C29" s="292" t="s">
        <v>40</v>
      </c>
      <c r="D29" s="282">
        <v>389694</v>
      </c>
      <c r="E29" s="283">
        <v>389667</v>
      </c>
      <c r="F29" s="270">
        <v>389667</v>
      </c>
      <c r="G29" s="270">
        <v>389667</v>
      </c>
      <c r="H29" s="270">
        <v>389667</v>
      </c>
      <c r="I29" s="270">
        <v>389667</v>
      </c>
      <c r="J29" s="270">
        <v>389667</v>
      </c>
      <c r="K29" s="270">
        <v>389667</v>
      </c>
      <c r="L29" s="270">
        <v>389667</v>
      </c>
      <c r="N29" s="270">
        <v>389667</v>
      </c>
    </row>
    <row r="30" spans="1:14" ht="15.75" thickBot="1">
      <c r="A30" s="293"/>
      <c r="B30" s="294" t="s">
        <v>13</v>
      </c>
      <c r="C30" s="295" t="s">
        <v>1</v>
      </c>
      <c r="D30" s="282">
        <v>1224326</v>
      </c>
      <c r="E30" s="283">
        <v>1225919</v>
      </c>
      <c r="F30" s="270">
        <v>1229114</v>
      </c>
      <c r="G30" s="270">
        <v>1229626</v>
      </c>
      <c r="H30" s="270">
        <v>1230007</v>
      </c>
      <c r="I30" s="270">
        <v>1230066</v>
      </c>
      <c r="J30" s="270">
        <v>1228091</v>
      </c>
      <c r="K30" s="270">
        <v>1229329</v>
      </c>
      <c r="L30" s="270">
        <v>1332206</v>
      </c>
      <c r="N30" s="270">
        <v>1230733</v>
      </c>
    </row>
    <row r="31" spans="1:14">
      <c r="A31" s="296"/>
      <c r="B31" s="280" t="s">
        <v>14</v>
      </c>
      <c r="C31" s="290" t="s">
        <v>24</v>
      </c>
      <c r="D31" s="281">
        <v>15</v>
      </c>
      <c r="E31" s="270">
        <v>15</v>
      </c>
      <c r="F31" s="270">
        <v>15</v>
      </c>
      <c r="G31" s="270">
        <v>15</v>
      </c>
      <c r="H31" s="270">
        <v>15</v>
      </c>
      <c r="I31" s="270">
        <v>15</v>
      </c>
      <c r="J31" s="270">
        <v>15</v>
      </c>
      <c r="K31" s="270">
        <v>10</v>
      </c>
      <c r="L31" s="270">
        <v>10</v>
      </c>
      <c r="N31" s="270">
        <v>10</v>
      </c>
    </row>
    <row r="32" spans="1:14">
      <c r="A32" s="291"/>
      <c r="B32" s="280" t="s">
        <v>14</v>
      </c>
      <c r="C32" s="292" t="s">
        <v>27</v>
      </c>
      <c r="D32" s="282">
        <v>1300</v>
      </c>
      <c r="E32" s="283">
        <v>1300</v>
      </c>
      <c r="F32" s="270">
        <v>1300</v>
      </c>
      <c r="G32" s="270">
        <v>1300</v>
      </c>
      <c r="H32" s="270">
        <v>1300</v>
      </c>
      <c r="I32" s="270">
        <v>1300</v>
      </c>
      <c r="J32" s="270">
        <v>1717</v>
      </c>
      <c r="K32" s="270">
        <v>1717</v>
      </c>
      <c r="L32" s="270">
        <v>1717</v>
      </c>
      <c r="N32" s="270">
        <v>1717</v>
      </c>
    </row>
    <row r="33" spans="1:14">
      <c r="A33" s="291"/>
      <c r="B33" s="280" t="s">
        <v>14</v>
      </c>
      <c r="C33" s="292" t="s">
        <v>29</v>
      </c>
      <c r="D33" s="282">
        <v>2900</v>
      </c>
      <c r="E33" s="283">
        <v>2900</v>
      </c>
      <c r="F33" s="270">
        <v>2814</v>
      </c>
      <c r="G33" s="270">
        <v>2814</v>
      </c>
      <c r="H33" s="270">
        <v>2814</v>
      </c>
      <c r="I33" s="270">
        <v>2814</v>
      </c>
      <c r="J33" s="270">
        <v>2814</v>
      </c>
      <c r="K33" s="270">
        <v>2814</v>
      </c>
      <c r="L33" s="270">
        <v>2814</v>
      </c>
      <c r="N33" s="270">
        <v>2814</v>
      </c>
    </row>
    <row r="34" spans="1:14">
      <c r="A34" s="291"/>
      <c r="B34" s="280" t="s">
        <v>14</v>
      </c>
      <c r="C34" s="292" t="s">
        <v>32</v>
      </c>
      <c r="D34" s="282">
        <v>23500</v>
      </c>
      <c r="E34" s="283">
        <v>23500</v>
      </c>
      <c r="F34" s="270">
        <v>23407</v>
      </c>
      <c r="G34" s="270">
        <v>23407</v>
      </c>
      <c r="H34" s="270">
        <v>23407</v>
      </c>
      <c r="I34" s="270">
        <v>23407</v>
      </c>
      <c r="J34" s="270">
        <v>23407</v>
      </c>
      <c r="K34" s="270">
        <v>23407</v>
      </c>
      <c r="L34" s="270">
        <v>23407</v>
      </c>
      <c r="N34" s="270">
        <v>23407</v>
      </c>
    </row>
    <row r="35" spans="1:14">
      <c r="A35" s="291"/>
      <c r="B35" s="280" t="s">
        <v>14</v>
      </c>
      <c r="C35" s="292" t="s">
        <v>34</v>
      </c>
      <c r="D35" s="282">
        <v>19500</v>
      </c>
      <c r="E35" s="283">
        <v>19500</v>
      </c>
      <c r="F35" s="270">
        <v>19500</v>
      </c>
      <c r="G35" s="270">
        <v>19791</v>
      </c>
      <c r="H35" s="270">
        <v>19831</v>
      </c>
      <c r="I35" s="270">
        <v>19832</v>
      </c>
      <c r="J35" s="270">
        <v>19832</v>
      </c>
      <c r="K35" s="270">
        <v>19832</v>
      </c>
      <c r="L35" s="270">
        <v>19832</v>
      </c>
      <c r="N35" s="270">
        <v>19832</v>
      </c>
    </row>
    <row r="36" spans="1:14">
      <c r="A36" s="291"/>
      <c r="B36" s="280" t="s">
        <v>14</v>
      </c>
      <c r="C36" s="292" t="s">
        <v>36</v>
      </c>
      <c r="D36" s="281">
        <v>50</v>
      </c>
      <c r="E36" s="270">
        <v>50</v>
      </c>
      <c r="F36" s="270">
        <v>50</v>
      </c>
      <c r="G36" s="270">
        <v>50</v>
      </c>
      <c r="H36" s="270">
        <v>50</v>
      </c>
      <c r="I36" s="270">
        <v>50</v>
      </c>
      <c r="J36" s="270">
        <v>50</v>
      </c>
      <c r="K36" s="270">
        <v>50</v>
      </c>
      <c r="L36" s="270">
        <v>50</v>
      </c>
      <c r="N36" s="270">
        <v>50</v>
      </c>
    </row>
    <row r="37" spans="1:14">
      <c r="A37" s="291"/>
      <c r="B37" s="280" t="s">
        <v>14</v>
      </c>
      <c r="C37" s="292" t="s">
        <v>38</v>
      </c>
      <c r="D37" s="281">
        <v>15</v>
      </c>
      <c r="E37" s="270">
        <v>15</v>
      </c>
      <c r="F37" s="270">
        <v>15</v>
      </c>
      <c r="G37" s="270">
        <v>10</v>
      </c>
      <c r="H37" s="270">
        <v>10</v>
      </c>
      <c r="I37" s="270">
        <v>10</v>
      </c>
      <c r="J37" s="270">
        <v>10</v>
      </c>
      <c r="K37" s="270">
        <v>10</v>
      </c>
      <c r="L37" s="270">
        <v>10</v>
      </c>
      <c r="N37" s="270">
        <v>10</v>
      </c>
    </row>
    <row r="38" spans="1:14">
      <c r="A38" s="291"/>
      <c r="B38" s="280" t="s">
        <v>14</v>
      </c>
      <c r="C38" s="292" t="s">
        <v>40</v>
      </c>
      <c r="D38" s="281">
        <v>762</v>
      </c>
      <c r="E38" s="270">
        <v>721</v>
      </c>
      <c r="F38" s="270">
        <v>721</v>
      </c>
      <c r="G38" s="270">
        <v>721</v>
      </c>
      <c r="H38" s="270">
        <v>721</v>
      </c>
      <c r="I38" s="270">
        <v>721</v>
      </c>
      <c r="J38" s="270">
        <v>721</v>
      </c>
      <c r="K38" s="270">
        <v>721</v>
      </c>
      <c r="L38" s="270">
        <v>721</v>
      </c>
      <c r="N38" s="270">
        <v>722</v>
      </c>
    </row>
    <row r="39" spans="1:14" ht="15.75" thickBot="1">
      <c r="A39" s="293"/>
      <c r="B39" s="294" t="s">
        <v>14</v>
      </c>
      <c r="C39" s="295" t="s">
        <v>1</v>
      </c>
      <c r="D39" s="282">
        <v>192532</v>
      </c>
      <c r="E39" s="283">
        <v>192812</v>
      </c>
      <c r="F39" s="270">
        <v>196200</v>
      </c>
      <c r="G39" s="270">
        <v>197128</v>
      </c>
      <c r="H39" s="270">
        <v>197135</v>
      </c>
      <c r="I39" s="270">
        <v>197328</v>
      </c>
      <c r="J39" s="270">
        <v>197748</v>
      </c>
      <c r="K39" s="270">
        <v>198029</v>
      </c>
      <c r="L39" s="270">
        <v>201998</v>
      </c>
      <c r="N39" s="270">
        <v>197686</v>
      </c>
    </row>
    <row r="40" spans="1:14">
      <c r="A40" s="296"/>
      <c r="B40" s="280" t="s">
        <v>301</v>
      </c>
      <c r="C40" s="290" t="s">
        <v>24</v>
      </c>
      <c r="D40" s="282">
        <v>51339</v>
      </c>
      <c r="E40" s="283">
        <v>52339</v>
      </c>
      <c r="F40" s="270">
        <v>52339</v>
      </c>
      <c r="G40" s="270">
        <v>52339</v>
      </c>
      <c r="H40" s="270">
        <v>52339</v>
      </c>
      <c r="I40" s="270">
        <v>52339</v>
      </c>
      <c r="J40" s="270">
        <v>53339</v>
      </c>
      <c r="K40" s="270">
        <v>53334</v>
      </c>
      <c r="L40" s="270">
        <v>53334</v>
      </c>
      <c r="N40" s="270">
        <v>53334</v>
      </c>
    </row>
    <row r="41" spans="1:14">
      <c r="A41" s="291"/>
      <c r="B41" s="280" t="s">
        <v>301</v>
      </c>
      <c r="C41" s="292" t="s">
        <v>27</v>
      </c>
      <c r="D41" s="282">
        <v>133341</v>
      </c>
      <c r="E41" s="283">
        <v>133341</v>
      </c>
      <c r="F41" s="270">
        <v>133341</v>
      </c>
      <c r="G41" s="270">
        <v>133341</v>
      </c>
      <c r="H41" s="270">
        <v>133341</v>
      </c>
      <c r="I41" s="270">
        <v>133341</v>
      </c>
      <c r="J41" s="270">
        <v>130758</v>
      </c>
      <c r="K41" s="270">
        <v>130758</v>
      </c>
      <c r="L41" s="270">
        <v>130758</v>
      </c>
      <c r="N41" s="270">
        <v>130758</v>
      </c>
    </row>
    <row r="42" spans="1:14">
      <c r="A42" s="291"/>
      <c r="B42" s="280" t="s">
        <v>301</v>
      </c>
      <c r="C42" s="292" t="s">
        <v>29</v>
      </c>
      <c r="D42" s="282">
        <v>19949</v>
      </c>
      <c r="E42" s="283">
        <v>19949</v>
      </c>
      <c r="F42" s="270">
        <v>19863</v>
      </c>
      <c r="G42" s="270">
        <v>19863</v>
      </c>
      <c r="H42" s="270">
        <v>19863</v>
      </c>
      <c r="I42" s="270">
        <v>19863</v>
      </c>
      <c r="J42" s="270">
        <v>19863</v>
      </c>
      <c r="K42" s="270">
        <v>19863</v>
      </c>
      <c r="L42" s="270">
        <v>19863</v>
      </c>
      <c r="N42" s="270">
        <v>19863</v>
      </c>
    </row>
    <row r="43" spans="1:14">
      <c r="A43" s="291"/>
      <c r="B43" s="280" t="s">
        <v>301</v>
      </c>
      <c r="C43" s="292" t="s">
        <v>32</v>
      </c>
      <c r="D43" s="282">
        <v>518382</v>
      </c>
      <c r="E43" s="283">
        <v>518382</v>
      </c>
      <c r="F43" s="270">
        <v>518289</v>
      </c>
      <c r="G43" s="270">
        <v>518289</v>
      </c>
      <c r="H43" s="270">
        <v>518289</v>
      </c>
      <c r="I43" s="270">
        <v>518289</v>
      </c>
      <c r="J43" s="270">
        <v>518289</v>
      </c>
      <c r="K43" s="270">
        <v>518289</v>
      </c>
      <c r="L43" s="270">
        <v>518289</v>
      </c>
      <c r="N43" s="270">
        <v>518289</v>
      </c>
    </row>
    <row r="44" spans="1:14">
      <c r="A44" s="291"/>
      <c r="B44" s="280" t="s">
        <v>301</v>
      </c>
      <c r="C44" s="292" t="s">
        <v>34</v>
      </c>
      <c r="D44" s="282">
        <v>88981</v>
      </c>
      <c r="E44" s="283">
        <v>88981</v>
      </c>
      <c r="F44" s="270">
        <v>88981</v>
      </c>
      <c r="G44" s="270">
        <v>89738</v>
      </c>
      <c r="H44" s="270">
        <v>89778</v>
      </c>
      <c r="I44" s="270">
        <v>89724</v>
      </c>
      <c r="J44" s="270">
        <v>89724</v>
      </c>
      <c r="K44" s="270">
        <v>89803</v>
      </c>
      <c r="L44" s="270">
        <v>89803</v>
      </c>
      <c r="N44" s="270">
        <v>89803</v>
      </c>
    </row>
    <row r="45" spans="1:14">
      <c r="A45" s="291"/>
      <c r="B45" s="280" t="s">
        <v>301</v>
      </c>
      <c r="C45" s="292" t="s">
        <v>36</v>
      </c>
      <c r="D45" s="282">
        <v>17558</v>
      </c>
      <c r="E45" s="283">
        <v>17558</v>
      </c>
      <c r="F45" s="270">
        <v>17558</v>
      </c>
      <c r="G45" s="270">
        <v>17558</v>
      </c>
      <c r="H45" s="270">
        <v>17558</v>
      </c>
      <c r="I45" s="270">
        <v>17558</v>
      </c>
      <c r="J45" s="270">
        <v>17558</v>
      </c>
      <c r="K45" s="270">
        <v>17558</v>
      </c>
      <c r="L45" s="270">
        <v>17558</v>
      </c>
      <c r="N45" s="270">
        <v>17558</v>
      </c>
    </row>
    <row r="46" spans="1:14">
      <c r="A46" s="291"/>
      <c r="B46" s="280" t="s">
        <v>301</v>
      </c>
      <c r="C46" s="292" t="s">
        <v>38</v>
      </c>
      <c r="D46" s="282">
        <v>35310</v>
      </c>
      <c r="E46" s="283">
        <v>35310</v>
      </c>
      <c r="F46" s="270">
        <v>35310</v>
      </c>
      <c r="G46" s="270">
        <v>35305</v>
      </c>
      <c r="H46" s="270">
        <v>35305</v>
      </c>
      <c r="I46" s="270">
        <v>35505</v>
      </c>
      <c r="J46" s="270">
        <v>35505</v>
      </c>
      <c r="K46" s="270">
        <v>35505</v>
      </c>
      <c r="L46" s="270">
        <v>35505</v>
      </c>
      <c r="N46" s="270">
        <v>35505</v>
      </c>
    </row>
    <row r="47" spans="1:14">
      <c r="A47" s="291"/>
      <c r="B47" s="280" t="s">
        <v>301</v>
      </c>
      <c r="C47" s="292" t="s">
        <v>40</v>
      </c>
      <c r="D47" s="282">
        <v>425007</v>
      </c>
      <c r="E47" s="283">
        <v>424939</v>
      </c>
      <c r="F47" s="270">
        <v>424939</v>
      </c>
      <c r="G47" s="270">
        <v>424939</v>
      </c>
      <c r="H47" s="270">
        <v>424939</v>
      </c>
      <c r="I47" s="270">
        <v>424939</v>
      </c>
      <c r="J47" s="270">
        <v>424939</v>
      </c>
      <c r="K47" s="270">
        <v>424939</v>
      </c>
      <c r="L47" s="270">
        <v>424939</v>
      </c>
      <c r="N47" s="270">
        <v>424940</v>
      </c>
    </row>
    <row r="48" spans="1:14" ht="15.75" thickBot="1">
      <c r="A48" s="293"/>
      <c r="B48" s="294" t="s">
        <v>301</v>
      </c>
      <c r="C48" s="295" t="s">
        <v>1</v>
      </c>
      <c r="D48" s="282">
        <v>1719682</v>
      </c>
      <c r="E48" s="283">
        <v>1722817</v>
      </c>
      <c r="F48" s="270">
        <v>1729899</v>
      </c>
      <c r="G48" s="270">
        <v>1731416</v>
      </c>
      <c r="H48" s="270">
        <v>1731815</v>
      </c>
      <c r="I48" s="270">
        <v>1732220</v>
      </c>
      <c r="J48" s="270">
        <v>1730664</v>
      </c>
      <c r="K48" s="270">
        <v>1732130</v>
      </c>
      <c r="L48" s="270">
        <v>1847810</v>
      </c>
      <c r="N48" s="270">
        <v>1734030</v>
      </c>
    </row>
    <row r="49" spans="1:14">
      <c r="A49" s="296"/>
      <c r="B49" s="280" t="s">
        <v>19</v>
      </c>
      <c r="C49" s="290" t="s">
        <v>24</v>
      </c>
      <c r="D49" s="282">
        <v>35000</v>
      </c>
      <c r="E49" s="283">
        <v>32000</v>
      </c>
      <c r="F49" s="270">
        <v>33000</v>
      </c>
      <c r="G49" s="270">
        <v>33000</v>
      </c>
      <c r="H49" s="270">
        <v>34000</v>
      </c>
      <c r="I49" s="270">
        <v>35000</v>
      </c>
      <c r="J49" s="270">
        <v>36500</v>
      </c>
      <c r="K49" s="270">
        <v>36256</v>
      </c>
      <c r="L49" s="270">
        <v>36256</v>
      </c>
      <c r="N49" s="270">
        <v>36256</v>
      </c>
    </row>
    <row r="50" spans="1:14">
      <c r="A50" s="291"/>
      <c r="B50" s="280" t="s">
        <v>19</v>
      </c>
      <c r="C50" s="292" t="s">
        <v>27</v>
      </c>
      <c r="D50" s="282">
        <v>48000</v>
      </c>
      <c r="E50" s="283">
        <v>46000</v>
      </c>
      <c r="F50" s="270">
        <v>44000</v>
      </c>
      <c r="G50" s="270">
        <v>41500</v>
      </c>
      <c r="H50" s="270">
        <v>39500</v>
      </c>
      <c r="I50" s="270">
        <v>39500</v>
      </c>
      <c r="J50" s="270">
        <v>38300</v>
      </c>
      <c r="K50" s="270">
        <v>38276</v>
      </c>
      <c r="L50" s="270">
        <v>38276</v>
      </c>
      <c r="N50" s="270">
        <v>38270</v>
      </c>
    </row>
    <row r="51" spans="1:14">
      <c r="A51" s="291"/>
      <c r="B51" s="280" t="s">
        <v>19</v>
      </c>
      <c r="C51" s="292" t="s">
        <v>29</v>
      </c>
      <c r="D51" s="282">
        <v>2000</v>
      </c>
      <c r="E51" s="283">
        <v>2000</v>
      </c>
      <c r="F51" s="270">
        <v>2088</v>
      </c>
      <c r="G51" s="270">
        <v>2088</v>
      </c>
      <c r="H51" s="270">
        <v>2088</v>
      </c>
      <c r="I51" s="270">
        <v>2067</v>
      </c>
      <c r="J51" s="270">
        <v>2067</v>
      </c>
      <c r="K51" s="270">
        <v>2067</v>
      </c>
      <c r="L51" s="270">
        <v>2067</v>
      </c>
      <c r="N51" s="270">
        <v>2067</v>
      </c>
    </row>
    <row r="52" spans="1:14">
      <c r="A52" s="291"/>
      <c r="B52" s="280" t="s">
        <v>19</v>
      </c>
      <c r="C52" s="292" t="s">
        <v>32</v>
      </c>
      <c r="D52" s="281">
        <v>20</v>
      </c>
      <c r="E52" s="270">
        <v>20</v>
      </c>
      <c r="F52" s="270">
        <v>3</v>
      </c>
      <c r="G52" s="270">
        <v>3</v>
      </c>
      <c r="H52" s="270">
        <v>3</v>
      </c>
      <c r="I52" s="270">
        <v>3</v>
      </c>
      <c r="J52" s="270">
        <v>3</v>
      </c>
      <c r="K52" s="270">
        <v>3</v>
      </c>
      <c r="L52" s="270">
        <v>3</v>
      </c>
      <c r="N52" s="270">
        <v>3</v>
      </c>
    </row>
    <row r="53" spans="1:14">
      <c r="A53" s="291"/>
      <c r="B53" s="280" t="s">
        <v>19</v>
      </c>
      <c r="C53" s="292" t="s">
        <v>34</v>
      </c>
      <c r="D53" s="282">
        <v>4400</v>
      </c>
      <c r="E53" s="283">
        <v>4400</v>
      </c>
      <c r="F53" s="270">
        <v>4400</v>
      </c>
      <c r="G53" s="270">
        <v>4392</v>
      </c>
      <c r="H53" s="270">
        <v>4388</v>
      </c>
      <c r="I53" s="270">
        <v>4389</v>
      </c>
      <c r="J53" s="270">
        <v>4389</v>
      </c>
      <c r="K53" s="270">
        <v>4389</v>
      </c>
      <c r="L53" s="270">
        <v>4389</v>
      </c>
      <c r="N53" s="270">
        <v>4389</v>
      </c>
    </row>
    <row r="54" spans="1:14">
      <c r="A54" s="291"/>
      <c r="B54" s="280" t="s">
        <v>19</v>
      </c>
      <c r="C54" s="292" t="s">
        <v>36</v>
      </c>
      <c r="D54" s="282">
        <v>6200</v>
      </c>
      <c r="E54" s="283">
        <v>6200</v>
      </c>
      <c r="F54" s="270">
        <v>6600</v>
      </c>
      <c r="G54" s="270">
        <v>6600</v>
      </c>
      <c r="H54" s="270">
        <v>6600</v>
      </c>
      <c r="I54" s="270">
        <v>6600</v>
      </c>
      <c r="J54" s="270">
        <v>6600</v>
      </c>
      <c r="K54" s="270">
        <v>6600</v>
      </c>
      <c r="L54" s="270">
        <v>6600</v>
      </c>
      <c r="N54" s="270">
        <v>6600</v>
      </c>
    </row>
    <row r="55" spans="1:14" ht="13.5" customHeight="1">
      <c r="A55" s="291"/>
      <c r="B55" s="280" t="s">
        <v>19</v>
      </c>
      <c r="C55" s="292" t="s">
        <v>38</v>
      </c>
      <c r="D55" s="282">
        <v>29500</v>
      </c>
      <c r="E55" s="283">
        <v>29600</v>
      </c>
      <c r="F55" s="270">
        <v>29600</v>
      </c>
      <c r="G55" s="270">
        <v>29488</v>
      </c>
      <c r="H55" s="270">
        <v>29488</v>
      </c>
      <c r="I55" s="270">
        <v>29488</v>
      </c>
      <c r="J55" s="270">
        <v>29488</v>
      </c>
      <c r="K55" s="270">
        <v>29488</v>
      </c>
      <c r="L55" s="270">
        <v>29488</v>
      </c>
      <c r="N55" s="270">
        <v>29488</v>
      </c>
    </row>
    <row r="56" spans="1:14">
      <c r="A56" s="291"/>
      <c r="B56" s="280" t="s">
        <v>19</v>
      </c>
      <c r="C56" s="292" t="s">
        <v>40</v>
      </c>
      <c r="D56" s="282">
        <v>58169</v>
      </c>
      <c r="E56" s="283">
        <v>58226</v>
      </c>
      <c r="F56" s="270">
        <v>58226</v>
      </c>
      <c r="G56" s="270">
        <v>58226</v>
      </c>
      <c r="H56" s="270">
        <v>58226</v>
      </c>
      <c r="I56" s="270">
        <v>58226</v>
      </c>
      <c r="J56" s="270">
        <v>58226</v>
      </c>
      <c r="K56" s="270">
        <v>58226</v>
      </c>
      <c r="L56" s="270">
        <v>58226</v>
      </c>
      <c r="N56" s="270">
        <v>57275</v>
      </c>
    </row>
    <row r="57" spans="1:14" ht="15.75" thickBot="1">
      <c r="A57" s="293"/>
      <c r="B57" s="294" t="s">
        <v>19</v>
      </c>
      <c r="C57" s="295" t="s">
        <v>1</v>
      </c>
      <c r="D57" s="282">
        <v>199729</v>
      </c>
      <c r="E57" s="283">
        <v>195768</v>
      </c>
      <c r="F57" s="270">
        <v>195648</v>
      </c>
      <c r="G57" s="270">
        <v>193025</v>
      </c>
      <c r="H57" s="270">
        <v>192035</v>
      </c>
      <c r="I57" s="270">
        <v>193248</v>
      </c>
      <c r="J57" s="270">
        <v>193558</v>
      </c>
      <c r="K57" s="270">
        <v>193402</v>
      </c>
      <c r="L57" s="270">
        <v>228751</v>
      </c>
      <c r="N57" s="270">
        <v>192567</v>
      </c>
    </row>
    <row r="58" spans="1:14">
      <c r="A58" s="296"/>
      <c r="B58" s="274" t="s">
        <v>17</v>
      </c>
      <c r="C58" s="290" t="s">
        <v>24</v>
      </c>
      <c r="D58" s="282">
        <v>10400</v>
      </c>
      <c r="E58" s="283">
        <v>12000</v>
      </c>
      <c r="F58" s="270">
        <v>11000</v>
      </c>
      <c r="G58" s="270">
        <v>11000</v>
      </c>
      <c r="H58" s="270">
        <v>10000</v>
      </c>
      <c r="I58" s="270">
        <v>10000</v>
      </c>
      <c r="J58" s="270">
        <v>10000</v>
      </c>
      <c r="K58" s="270">
        <v>10200</v>
      </c>
      <c r="L58" s="270">
        <v>10400</v>
      </c>
      <c r="N58" s="270">
        <v>10400</v>
      </c>
    </row>
    <row r="59" spans="1:14">
      <c r="A59" s="291"/>
      <c r="B59" s="274" t="s">
        <v>17</v>
      </c>
      <c r="C59" s="292" t="s">
        <v>27</v>
      </c>
      <c r="D59" s="282">
        <v>62000</v>
      </c>
      <c r="E59" s="283">
        <v>63000</v>
      </c>
      <c r="F59" s="270">
        <v>63000</v>
      </c>
      <c r="G59" s="270">
        <v>63500</v>
      </c>
      <c r="H59" s="270">
        <v>63500</v>
      </c>
      <c r="I59" s="270">
        <v>63500</v>
      </c>
      <c r="J59" s="270">
        <v>63500</v>
      </c>
      <c r="K59" s="270">
        <v>63500</v>
      </c>
      <c r="L59" s="270">
        <v>62500</v>
      </c>
      <c r="N59" s="270">
        <v>62500</v>
      </c>
    </row>
    <row r="60" spans="1:14" ht="14.45" customHeight="1">
      <c r="A60" s="291"/>
      <c r="B60" s="274" t="s">
        <v>17</v>
      </c>
      <c r="C60" s="292" t="s">
        <v>29</v>
      </c>
      <c r="D60" s="282">
        <v>10600</v>
      </c>
      <c r="E60" s="283">
        <v>10600</v>
      </c>
      <c r="F60" s="270">
        <v>9764</v>
      </c>
      <c r="G60" s="270">
        <v>9764</v>
      </c>
      <c r="H60" s="270">
        <v>9764</v>
      </c>
      <c r="I60" s="270">
        <v>9785</v>
      </c>
      <c r="J60" s="270">
        <v>9785</v>
      </c>
      <c r="K60" s="270">
        <v>9785</v>
      </c>
      <c r="L60" s="270">
        <v>9785</v>
      </c>
      <c r="N60" s="270">
        <v>9785</v>
      </c>
    </row>
    <row r="61" spans="1:14">
      <c r="A61" s="291"/>
      <c r="B61" s="274" t="s">
        <v>17</v>
      </c>
      <c r="C61" s="292" t="s">
        <v>32</v>
      </c>
      <c r="D61" s="282">
        <v>225000</v>
      </c>
      <c r="E61" s="283">
        <v>225000</v>
      </c>
      <c r="F61" s="270">
        <v>225000</v>
      </c>
      <c r="G61" s="270">
        <v>225000</v>
      </c>
      <c r="H61" s="270">
        <v>225000</v>
      </c>
      <c r="I61" s="270">
        <v>225000</v>
      </c>
      <c r="J61" s="270">
        <v>225000</v>
      </c>
      <c r="K61" s="270">
        <v>225000</v>
      </c>
      <c r="L61" s="270">
        <v>225000</v>
      </c>
      <c r="N61" s="270">
        <v>225000</v>
      </c>
    </row>
    <row r="62" spans="1:14">
      <c r="A62" s="291"/>
      <c r="B62" s="274" t="s">
        <v>17</v>
      </c>
      <c r="C62" s="292" t="s">
        <v>34</v>
      </c>
      <c r="D62" s="282">
        <v>57300</v>
      </c>
      <c r="E62" s="283">
        <v>57300</v>
      </c>
      <c r="F62" s="270">
        <v>57300</v>
      </c>
      <c r="G62" s="270">
        <v>58300</v>
      </c>
      <c r="H62" s="270">
        <v>58300</v>
      </c>
      <c r="I62" s="270">
        <v>58300</v>
      </c>
      <c r="J62" s="270">
        <v>58300</v>
      </c>
      <c r="K62" s="270">
        <v>58300</v>
      </c>
      <c r="L62" s="270">
        <v>58300</v>
      </c>
      <c r="N62" s="270">
        <v>58300</v>
      </c>
    </row>
    <row r="63" spans="1:14">
      <c r="A63" s="291"/>
      <c r="B63" s="274" t="s">
        <v>17</v>
      </c>
      <c r="C63" s="292" t="s">
        <v>36</v>
      </c>
      <c r="D63" s="282">
        <v>9500</v>
      </c>
      <c r="E63" s="283">
        <v>9500</v>
      </c>
      <c r="F63" s="270">
        <v>9100</v>
      </c>
      <c r="G63" s="270">
        <v>9100</v>
      </c>
      <c r="H63" s="270">
        <v>9100</v>
      </c>
      <c r="I63" s="270">
        <v>9100</v>
      </c>
      <c r="J63" s="270">
        <v>9100</v>
      </c>
      <c r="K63" s="270">
        <v>9100</v>
      </c>
      <c r="L63" s="270">
        <v>9100</v>
      </c>
      <c r="N63" s="270">
        <v>9100</v>
      </c>
    </row>
    <row r="64" spans="1:14">
      <c r="A64" s="291"/>
      <c r="B64" s="274" t="s">
        <v>17</v>
      </c>
      <c r="C64" s="292" t="s">
        <v>38</v>
      </c>
      <c r="D64" s="282">
        <v>3300</v>
      </c>
      <c r="E64" s="283">
        <v>3300</v>
      </c>
      <c r="F64" s="270">
        <v>3300</v>
      </c>
      <c r="G64" s="270">
        <v>3300</v>
      </c>
      <c r="H64" s="270">
        <v>3300</v>
      </c>
      <c r="I64" s="270">
        <v>4000</v>
      </c>
      <c r="J64" s="270">
        <v>4000</v>
      </c>
      <c r="K64" s="270">
        <v>4000</v>
      </c>
      <c r="L64" s="270">
        <v>8500</v>
      </c>
      <c r="N64" s="270">
        <v>4500</v>
      </c>
    </row>
    <row r="65" spans="1:14">
      <c r="A65" s="291"/>
      <c r="B65" s="274" t="s">
        <v>17</v>
      </c>
      <c r="C65" s="292" t="s">
        <v>40</v>
      </c>
      <c r="D65" s="282">
        <v>146692</v>
      </c>
      <c r="E65" s="283">
        <v>147682</v>
      </c>
      <c r="F65" s="270">
        <v>147508</v>
      </c>
      <c r="G65" s="270">
        <v>147508</v>
      </c>
      <c r="H65" s="270">
        <v>147433</v>
      </c>
      <c r="I65" s="270">
        <v>147465</v>
      </c>
      <c r="J65" s="270">
        <v>147465</v>
      </c>
      <c r="K65" s="270">
        <v>147455</v>
      </c>
      <c r="L65" s="270">
        <v>147455</v>
      </c>
      <c r="N65" s="270">
        <v>148407</v>
      </c>
    </row>
    <row r="66" spans="1:14" ht="12.95" customHeight="1" thickBot="1">
      <c r="A66" s="293"/>
      <c r="B66" s="294" t="s">
        <v>17</v>
      </c>
      <c r="C66" s="295" t="s">
        <v>1</v>
      </c>
      <c r="D66" s="282">
        <v>766564</v>
      </c>
      <c r="E66" s="283">
        <v>770187</v>
      </c>
      <c r="F66" s="270">
        <v>771183</v>
      </c>
      <c r="G66" s="270">
        <v>772779</v>
      </c>
      <c r="H66" s="270">
        <v>771963</v>
      </c>
      <c r="I66" s="270">
        <v>772838</v>
      </c>
      <c r="J66" s="270">
        <v>772828</v>
      </c>
      <c r="K66" s="270">
        <v>773658</v>
      </c>
      <c r="L66" s="270">
        <v>814128</v>
      </c>
      <c r="N66" s="270">
        <v>770079</v>
      </c>
    </row>
    <row r="67" spans="1:14" ht="14.45" customHeight="1">
      <c r="A67" s="296"/>
      <c r="B67" s="280" t="s">
        <v>18</v>
      </c>
      <c r="C67" s="290" t="s">
        <v>24</v>
      </c>
      <c r="D67" s="282">
        <v>4400</v>
      </c>
      <c r="E67" s="283">
        <v>4250</v>
      </c>
      <c r="F67" s="270">
        <v>4250</v>
      </c>
      <c r="G67" s="270">
        <v>4250</v>
      </c>
      <c r="H67" s="270">
        <v>4250</v>
      </c>
      <c r="I67" s="270">
        <v>4250</v>
      </c>
      <c r="J67" s="270">
        <v>4250</v>
      </c>
      <c r="K67" s="270">
        <v>4200</v>
      </c>
      <c r="L67" s="270">
        <v>4200</v>
      </c>
      <c r="N67" s="270">
        <v>4200</v>
      </c>
    </row>
    <row r="68" spans="1:14">
      <c r="A68" s="291"/>
      <c r="B68" s="280" t="s">
        <v>18</v>
      </c>
      <c r="C68" s="292" t="s">
        <v>27</v>
      </c>
      <c r="D68" s="282">
        <v>18500</v>
      </c>
      <c r="E68" s="283">
        <v>18500</v>
      </c>
      <c r="F68" s="270">
        <v>20500</v>
      </c>
      <c r="G68" s="270">
        <v>20500</v>
      </c>
      <c r="H68" s="270">
        <v>21500</v>
      </c>
      <c r="I68" s="270">
        <v>21500</v>
      </c>
      <c r="J68" s="270">
        <v>21500</v>
      </c>
      <c r="K68" s="270">
        <v>21500</v>
      </c>
      <c r="L68" s="270">
        <v>21500</v>
      </c>
      <c r="N68" s="270">
        <v>21500</v>
      </c>
    </row>
    <row r="69" spans="1:14">
      <c r="A69" s="291"/>
      <c r="B69" s="280" t="s">
        <v>18</v>
      </c>
      <c r="C69" s="292" t="s">
        <v>29</v>
      </c>
      <c r="D69" s="282">
        <v>5500</v>
      </c>
      <c r="E69" s="283">
        <v>5500</v>
      </c>
      <c r="F69" s="270">
        <v>6015</v>
      </c>
      <c r="G69" s="270">
        <v>6015</v>
      </c>
      <c r="H69" s="270">
        <v>6015</v>
      </c>
      <c r="I69" s="270">
        <v>6015</v>
      </c>
      <c r="J69" s="270">
        <v>6015</v>
      </c>
      <c r="K69" s="270">
        <v>6015</v>
      </c>
      <c r="L69" s="270">
        <v>6015</v>
      </c>
      <c r="N69" s="270">
        <v>6015</v>
      </c>
    </row>
    <row r="70" spans="1:14">
      <c r="A70" s="291"/>
      <c r="B70" s="280" t="s">
        <v>18</v>
      </c>
      <c r="C70" s="292" t="s">
        <v>32</v>
      </c>
      <c r="D70" s="282">
        <v>82000</v>
      </c>
      <c r="E70" s="283">
        <v>82000</v>
      </c>
      <c r="F70" s="270">
        <v>82000</v>
      </c>
      <c r="G70" s="270">
        <v>82000</v>
      </c>
      <c r="H70" s="270">
        <v>82000</v>
      </c>
      <c r="I70" s="270">
        <v>82000</v>
      </c>
      <c r="J70" s="270">
        <v>82000</v>
      </c>
      <c r="K70" s="270">
        <v>82000</v>
      </c>
      <c r="L70" s="270">
        <v>82000</v>
      </c>
      <c r="N70" s="270">
        <v>82000</v>
      </c>
    </row>
    <row r="71" spans="1:14">
      <c r="A71" s="291"/>
      <c r="B71" s="280" t="s">
        <v>18</v>
      </c>
      <c r="C71" s="292" t="s">
        <v>34</v>
      </c>
      <c r="D71" s="282">
        <v>19800</v>
      </c>
      <c r="E71" s="283">
        <v>19800</v>
      </c>
      <c r="F71" s="270">
        <v>19800</v>
      </c>
      <c r="G71" s="270">
        <v>19800</v>
      </c>
      <c r="H71" s="270">
        <v>19800</v>
      </c>
      <c r="I71" s="270">
        <v>19800</v>
      </c>
      <c r="J71" s="270">
        <v>19800</v>
      </c>
      <c r="K71" s="270">
        <v>19800</v>
      </c>
      <c r="L71" s="270">
        <v>19800</v>
      </c>
      <c r="N71" s="270">
        <v>19800</v>
      </c>
    </row>
    <row r="72" spans="1:14">
      <c r="A72" s="291"/>
      <c r="B72" s="280" t="s">
        <v>18</v>
      </c>
      <c r="C72" s="292" t="s">
        <v>36</v>
      </c>
      <c r="D72" s="282">
        <v>1100</v>
      </c>
      <c r="E72" s="283">
        <v>1100</v>
      </c>
      <c r="F72" s="270">
        <v>1100</v>
      </c>
      <c r="G72" s="270">
        <v>1100</v>
      </c>
      <c r="H72" s="270">
        <v>1100</v>
      </c>
      <c r="I72" s="270">
        <v>1100</v>
      </c>
      <c r="J72" s="270">
        <v>1100</v>
      </c>
      <c r="K72" s="270">
        <v>1100</v>
      </c>
      <c r="L72" s="270">
        <v>1100</v>
      </c>
      <c r="N72" s="270">
        <v>1100</v>
      </c>
    </row>
    <row r="73" spans="1:14">
      <c r="A73" s="291"/>
      <c r="B73" s="280" t="s">
        <v>18</v>
      </c>
      <c r="C73" s="292" t="s">
        <v>38</v>
      </c>
      <c r="D73" s="281">
        <v>950</v>
      </c>
      <c r="E73" s="270">
        <v>950</v>
      </c>
      <c r="F73" s="270">
        <v>950</v>
      </c>
      <c r="G73" s="270">
        <v>950</v>
      </c>
      <c r="H73" s="270">
        <v>950</v>
      </c>
      <c r="I73" s="270">
        <v>950</v>
      </c>
      <c r="J73" s="270">
        <v>950</v>
      </c>
      <c r="K73" s="270">
        <v>950</v>
      </c>
      <c r="L73" s="270">
        <v>1825</v>
      </c>
      <c r="N73" s="270">
        <v>875</v>
      </c>
    </row>
    <row r="74" spans="1:14" ht="12.6" customHeight="1">
      <c r="A74" s="291"/>
      <c r="B74" s="280" t="s">
        <v>18</v>
      </c>
      <c r="C74" s="292" t="s">
        <v>40</v>
      </c>
      <c r="D74" s="282">
        <v>174124</v>
      </c>
      <c r="E74" s="283">
        <v>174313</v>
      </c>
      <c r="F74" s="270">
        <v>174487</v>
      </c>
      <c r="G74" s="270">
        <v>174487</v>
      </c>
      <c r="H74" s="270">
        <v>174488</v>
      </c>
      <c r="I74" s="270">
        <v>174456</v>
      </c>
      <c r="J74" s="270">
        <v>174456</v>
      </c>
      <c r="K74" s="270">
        <v>174466</v>
      </c>
      <c r="L74" s="270">
        <v>174466</v>
      </c>
      <c r="N74" s="270">
        <v>174466</v>
      </c>
    </row>
    <row r="75" spans="1:14" ht="15.75" thickBot="1">
      <c r="A75" s="293"/>
      <c r="B75" s="294" t="s">
        <v>18</v>
      </c>
      <c r="C75" s="295" t="s">
        <v>1</v>
      </c>
      <c r="D75" s="282">
        <v>443762</v>
      </c>
      <c r="E75" s="283">
        <v>444211</v>
      </c>
      <c r="F75" s="270">
        <v>448849</v>
      </c>
      <c r="G75" s="270">
        <v>449394</v>
      </c>
      <c r="H75" s="270">
        <v>450355</v>
      </c>
      <c r="I75" s="270">
        <v>450328</v>
      </c>
      <c r="J75" s="270">
        <v>450328</v>
      </c>
      <c r="K75" s="270">
        <v>450738</v>
      </c>
      <c r="L75" s="270">
        <v>482788</v>
      </c>
      <c r="N75" s="270">
        <v>455694</v>
      </c>
    </row>
    <row r="76" spans="1:14" ht="30">
      <c r="A76" s="296"/>
      <c r="B76" s="280" t="s">
        <v>190</v>
      </c>
      <c r="C76" s="290" t="s">
        <v>24</v>
      </c>
      <c r="D76" s="282">
        <v>14800</v>
      </c>
      <c r="E76" s="283">
        <v>16250</v>
      </c>
      <c r="F76" s="270">
        <v>15250</v>
      </c>
      <c r="G76" s="270">
        <v>15250</v>
      </c>
      <c r="H76" s="270">
        <v>14250</v>
      </c>
      <c r="I76" s="270">
        <v>14250</v>
      </c>
      <c r="J76" s="270">
        <v>14250</v>
      </c>
      <c r="K76" s="270">
        <v>14400</v>
      </c>
      <c r="L76" s="270">
        <v>14600</v>
      </c>
      <c r="N76" s="270">
        <v>14600</v>
      </c>
    </row>
    <row r="77" spans="1:14" ht="30">
      <c r="A77" s="291"/>
      <c r="B77" s="280" t="s">
        <v>190</v>
      </c>
      <c r="C77" s="292" t="s">
        <v>27</v>
      </c>
      <c r="D77" s="282">
        <v>80500</v>
      </c>
      <c r="E77" s="283">
        <v>81500</v>
      </c>
      <c r="F77" s="270">
        <v>83500</v>
      </c>
      <c r="G77" s="270">
        <v>84000</v>
      </c>
      <c r="H77" s="270">
        <v>85000</v>
      </c>
      <c r="I77" s="270">
        <v>85000</v>
      </c>
      <c r="J77" s="270">
        <v>85000</v>
      </c>
      <c r="K77" s="270">
        <v>85000</v>
      </c>
      <c r="L77" s="270">
        <v>84000</v>
      </c>
      <c r="N77" s="270">
        <v>84000</v>
      </c>
    </row>
    <row r="78" spans="1:14" ht="30">
      <c r="A78" s="291"/>
      <c r="B78" s="280" t="s">
        <v>190</v>
      </c>
      <c r="C78" s="292" t="s">
        <v>29</v>
      </c>
      <c r="D78" s="282">
        <v>16100</v>
      </c>
      <c r="E78" s="283">
        <v>16100</v>
      </c>
      <c r="F78" s="270">
        <v>15779</v>
      </c>
      <c r="G78" s="270">
        <v>15779</v>
      </c>
      <c r="H78" s="270">
        <v>15779</v>
      </c>
      <c r="I78" s="270">
        <v>15800</v>
      </c>
      <c r="J78" s="270">
        <v>15800</v>
      </c>
      <c r="K78" s="270">
        <v>15800</v>
      </c>
      <c r="L78" s="270">
        <v>15800</v>
      </c>
      <c r="N78" s="270">
        <v>15800</v>
      </c>
    </row>
    <row r="79" spans="1:14" ht="30">
      <c r="A79" s="291"/>
      <c r="B79" s="280" t="s">
        <v>190</v>
      </c>
      <c r="C79" s="292" t="s">
        <v>32</v>
      </c>
      <c r="D79" s="282">
        <v>307000</v>
      </c>
      <c r="E79" s="283">
        <v>307000</v>
      </c>
      <c r="F79" s="270">
        <v>307000</v>
      </c>
      <c r="G79" s="270">
        <v>307000</v>
      </c>
      <c r="H79" s="270">
        <v>307000</v>
      </c>
      <c r="I79" s="270">
        <v>307000</v>
      </c>
      <c r="J79" s="270">
        <v>307000</v>
      </c>
      <c r="K79" s="270">
        <v>307000</v>
      </c>
      <c r="L79" s="270">
        <v>307000</v>
      </c>
      <c r="N79" s="270">
        <v>307000</v>
      </c>
    </row>
    <row r="80" spans="1:14" ht="30">
      <c r="A80" s="291"/>
      <c r="B80" s="280" t="s">
        <v>190</v>
      </c>
      <c r="C80" s="292" t="s">
        <v>34</v>
      </c>
      <c r="D80" s="282">
        <v>77100</v>
      </c>
      <c r="E80" s="283">
        <v>77100</v>
      </c>
      <c r="F80" s="270">
        <v>77100</v>
      </c>
      <c r="G80" s="270">
        <v>78100</v>
      </c>
      <c r="H80" s="270">
        <v>78100</v>
      </c>
      <c r="I80" s="270">
        <v>78100</v>
      </c>
      <c r="J80" s="270">
        <v>78100</v>
      </c>
      <c r="K80" s="270">
        <v>78100</v>
      </c>
      <c r="L80" s="270">
        <v>78100</v>
      </c>
      <c r="N80" s="270">
        <v>78100</v>
      </c>
    </row>
    <row r="81" spans="1:14" ht="30">
      <c r="A81" s="291"/>
      <c r="B81" s="280" t="s">
        <v>190</v>
      </c>
      <c r="C81" s="292" t="s">
        <v>36</v>
      </c>
      <c r="D81" s="282">
        <v>10600</v>
      </c>
      <c r="E81" s="283">
        <v>10600</v>
      </c>
      <c r="F81" s="270">
        <v>10200</v>
      </c>
      <c r="G81" s="270">
        <v>10200</v>
      </c>
      <c r="H81" s="270">
        <v>10200</v>
      </c>
      <c r="I81" s="270">
        <v>10200</v>
      </c>
      <c r="J81" s="270">
        <v>10200</v>
      </c>
      <c r="K81" s="270">
        <v>10200</v>
      </c>
      <c r="L81" s="270">
        <v>10200</v>
      </c>
      <c r="N81" s="270">
        <v>10200</v>
      </c>
    </row>
    <row r="82" spans="1:14" ht="30">
      <c r="A82" s="291"/>
      <c r="B82" s="280" t="s">
        <v>190</v>
      </c>
      <c r="C82" s="292" t="s">
        <v>38</v>
      </c>
      <c r="D82" s="282">
        <v>4250</v>
      </c>
      <c r="E82" s="283">
        <v>4250</v>
      </c>
      <c r="F82" s="270">
        <v>4250</v>
      </c>
      <c r="G82" s="270">
        <v>4250</v>
      </c>
      <c r="H82" s="270">
        <v>4250</v>
      </c>
      <c r="I82" s="270">
        <v>4950</v>
      </c>
      <c r="J82" s="270">
        <v>4950</v>
      </c>
      <c r="K82" s="270">
        <v>4950</v>
      </c>
      <c r="L82" s="270">
        <v>10325</v>
      </c>
      <c r="N82" s="270">
        <v>5375</v>
      </c>
    </row>
    <row r="83" spans="1:14" ht="30">
      <c r="A83" s="291"/>
      <c r="B83" s="280" t="s">
        <v>190</v>
      </c>
      <c r="C83" s="292" t="s">
        <v>40</v>
      </c>
      <c r="D83" s="282">
        <v>320816</v>
      </c>
      <c r="E83" s="283">
        <v>321995</v>
      </c>
      <c r="F83" s="270">
        <v>321995</v>
      </c>
      <c r="G83" s="270">
        <v>321995</v>
      </c>
      <c r="H83" s="270">
        <v>321921</v>
      </c>
      <c r="I83" s="270">
        <v>321921</v>
      </c>
      <c r="J83" s="270">
        <v>321921</v>
      </c>
      <c r="K83" s="270">
        <v>321921</v>
      </c>
      <c r="L83" s="270">
        <v>321921</v>
      </c>
      <c r="N83" s="270">
        <v>322873</v>
      </c>
    </row>
    <row r="84" spans="1:14" ht="30.75" thickBot="1">
      <c r="A84" s="293"/>
      <c r="B84" s="294" t="s">
        <v>190</v>
      </c>
      <c r="C84" s="295" t="s">
        <v>1</v>
      </c>
      <c r="D84" s="282">
        <v>1210326</v>
      </c>
      <c r="E84" s="283">
        <v>1214398</v>
      </c>
      <c r="F84" s="270">
        <v>1220032</v>
      </c>
      <c r="G84" s="270">
        <v>1222173</v>
      </c>
      <c r="H84" s="270">
        <v>1222318</v>
      </c>
      <c r="I84" s="270">
        <v>1223166</v>
      </c>
      <c r="J84" s="270">
        <v>1223156</v>
      </c>
      <c r="K84" s="270">
        <v>1224396</v>
      </c>
      <c r="L84" s="270">
        <v>1296916</v>
      </c>
      <c r="N84" s="270">
        <v>1225773</v>
      </c>
    </row>
    <row r="85" spans="1:14">
      <c r="A85" s="296"/>
      <c r="B85" s="280" t="s">
        <v>21</v>
      </c>
      <c r="C85" s="290" t="s">
        <v>24</v>
      </c>
      <c r="D85" s="282">
        <v>1539</v>
      </c>
      <c r="E85" s="283">
        <v>4089</v>
      </c>
      <c r="F85" s="270">
        <v>4089</v>
      </c>
      <c r="G85" s="270">
        <v>4089</v>
      </c>
      <c r="H85" s="270">
        <v>4089</v>
      </c>
      <c r="I85" s="270">
        <v>3089</v>
      </c>
      <c r="J85" s="270">
        <v>2589</v>
      </c>
      <c r="K85" s="270">
        <v>2678</v>
      </c>
      <c r="L85" s="270">
        <v>2478</v>
      </c>
      <c r="N85" s="270">
        <v>2478</v>
      </c>
    </row>
    <row r="86" spans="1:14">
      <c r="A86" s="291"/>
      <c r="B86" s="280" t="s">
        <v>21</v>
      </c>
      <c r="C86" s="292" t="s">
        <v>27</v>
      </c>
      <c r="D86" s="282">
        <v>4841</v>
      </c>
      <c r="E86" s="283">
        <v>5841</v>
      </c>
      <c r="F86" s="270">
        <v>5841</v>
      </c>
      <c r="G86" s="270">
        <v>7841</v>
      </c>
      <c r="H86" s="270">
        <v>8841</v>
      </c>
      <c r="I86" s="270">
        <v>8841</v>
      </c>
      <c r="J86" s="270">
        <v>7458</v>
      </c>
      <c r="K86" s="270">
        <v>7482</v>
      </c>
      <c r="L86" s="270">
        <v>8482</v>
      </c>
      <c r="N86" s="270">
        <v>8488</v>
      </c>
    </row>
    <row r="87" spans="1:14">
      <c r="A87" s="291"/>
      <c r="B87" s="280" t="s">
        <v>21</v>
      </c>
      <c r="C87" s="292" t="s">
        <v>29</v>
      </c>
      <c r="D87" s="282">
        <v>1849</v>
      </c>
      <c r="E87" s="283">
        <v>1849</v>
      </c>
      <c r="F87" s="270">
        <v>1996</v>
      </c>
      <c r="G87" s="270">
        <v>1996</v>
      </c>
      <c r="H87" s="270">
        <v>1996</v>
      </c>
      <c r="I87" s="270">
        <v>1996</v>
      </c>
      <c r="J87" s="270">
        <v>1996</v>
      </c>
      <c r="K87" s="270">
        <v>1996</v>
      </c>
      <c r="L87" s="270">
        <v>1996</v>
      </c>
      <c r="N87" s="270">
        <v>1996</v>
      </c>
    </row>
    <row r="88" spans="1:14">
      <c r="A88" s="291"/>
      <c r="B88" s="280" t="s">
        <v>21</v>
      </c>
      <c r="C88" s="292" t="s">
        <v>32</v>
      </c>
      <c r="D88" s="282">
        <v>211362</v>
      </c>
      <c r="E88" s="283">
        <v>211362</v>
      </c>
      <c r="F88" s="270">
        <v>211286</v>
      </c>
      <c r="G88" s="270">
        <v>211286</v>
      </c>
      <c r="H88" s="270">
        <v>211286</v>
      </c>
      <c r="I88" s="270">
        <v>211286</v>
      </c>
      <c r="J88" s="270">
        <v>211286</v>
      </c>
      <c r="K88" s="270">
        <v>211286</v>
      </c>
      <c r="L88" s="270">
        <v>211286</v>
      </c>
      <c r="N88" s="270">
        <v>211286</v>
      </c>
    </row>
    <row r="89" spans="1:14">
      <c r="A89" s="291"/>
      <c r="B89" s="280" t="s">
        <v>21</v>
      </c>
      <c r="C89" s="292" t="s">
        <v>34</v>
      </c>
      <c r="D89" s="282">
        <v>7481</v>
      </c>
      <c r="E89" s="283">
        <v>7481</v>
      </c>
      <c r="F89" s="270">
        <v>7481</v>
      </c>
      <c r="G89" s="270">
        <v>7246</v>
      </c>
      <c r="H89" s="270">
        <v>7290</v>
      </c>
      <c r="I89" s="270">
        <v>7235</v>
      </c>
      <c r="J89" s="270">
        <v>7235</v>
      </c>
      <c r="K89" s="270">
        <v>7314</v>
      </c>
      <c r="L89" s="270">
        <v>7314</v>
      </c>
      <c r="N89" s="270">
        <v>7314</v>
      </c>
    </row>
    <row r="90" spans="1:14">
      <c r="A90" s="291"/>
      <c r="B90" s="280" t="s">
        <v>21</v>
      </c>
      <c r="C90" s="292" t="s">
        <v>36</v>
      </c>
      <c r="D90" s="281">
        <v>758</v>
      </c>
      <c r="E90" s="270">
        <v>758</v>
      </c>
      <c r="F90" s="270">
        <v>758</v>
      </c>
      <c r="G90" s="270">
        <v>758</v>
      </c>
      <c r="H90" s="270">
        <v>758</v>
      </c>
      <c r="I90" s="270">
        <v>758</v>
      </c>
      <c r="J90" s="270">
        <v>758</v>
      </c>
      <c r="K90" s="270">
        <v>758</v>
      </c>
      <c r="L90" s="270">
        <v>758</v>
      </c>
      <c r="N90" s="270">
        <v>758</v>
      </c>
    </row>
    <row r="91" spans="1:14">
      <c r="A91" s="291"/>
      <c r="B91" s="280" t="s">
        <v>21</v>
      </c>
      <c r="C91" s="292" t="s">
        <v>38</v>
      </c>
      <c r="D91" s="282">
        <v>1560</v>
      </c>
      <c r="E91" s="283">
        <v>1460</v>
      </c>
      <c r="F91" s="270">
        <v>1460</v>
      </c>
      <c r="G91" s="270">
        <v>1567</v>
      </c>
      <c r="H91" s="270">
        <v>1567</v>
      </c>
      <c r="I91" s="270">
        <v>1067</v>
      </c>
      <c r="J91" s="270">
        <v>1067</v>
      </c>
      <c r="K91" s="270">
        <v>1067</v>
      </c>
      <c r="L91" s="270">
        <v>1709</v>
      </c>
      <c r="N91" s="270">
        <v>642</v>
      </c>
    </row>
    <row r="92" spans="1:14">
      <c r="A92" s="291"/>
      <c r="B92" s="280" t="s">
        <v>21</v>
      </c>
      <c r="C92" s="292" t="s">
        <v>40</v>
      </c>
      <c r="D92" s="282">
        <v>46022</v>
      </c>
      <c r="E92" s="283">
        <v>44718</v>
      </c>
      <c r="F92" s="270">
        <v>44718</v>
      </c>
      <c r="G92" s="270">
        <v>44718</v>
      </c>
      <c r="H92" s="270">
        <v>44792</v>
      </c>
      <c r="I92" s="270">
        <v>44792</v>
      </c>
      <c r="J92" s="270">
        <v>44792</v>
      </c>
      <c r="K92" s="270">
        <v>44792</v>
      </c>
      <c r="L92" s="270">
        <v>44792</v>
      </c>
      <c r="N92" s="270">
        <v>44792</v>
      </c>
    </row>
    <row r="93" spans="1:14" ht="15.75" thickBot="1">
      <c r="A93" s="293"/>
      <c r="B93" s="294" t="s">
        <v>21</v>
      </c>
      <c r="C93" s="295" t="s">
        <v>1</v>
      </c>
      <c r="D93" s="282">
        <v>309627</v>
      </c>
      <c r="E93" s="283">
        <v>312651</v>
      </c>
      <c r="F93" s="270">
        <v>314219</v>
      </c>
      <c r="G93" s="270">
        <v>316218</v>
      </c>
      <c r="H93" s="270">
        <v>317462</v>
      </c>
      <c r="I93" s="270">
        <v>315806</v>
      </c>
      <c r="J93" s="270">
        <v>313950</v>
      </c>
      <c r="K93" s="270">
        <v>314332</v>
      </c>
      <c r="L93" s="270">
        <v>322143</v>
      </c>
      <c r="N93" s="270">
        <v>315690</v>
      </c>
    </row>
    <row r="94" spans="1:14">
      <c r="A94" s="296"/>
      <c r="B94" s="280" t="s">
        <v>302</v>
      </c>
      <c r="C94" s="290" t="s">
        <v>24</v>
      </c>
      <c r="D94" s="282">
        <v>51339</v>
      </c>
      <c r="E94" s="283">
        <v>52339</v>
      </c>
      <c r="F94" s="270">
        <v>52339</v>
      </c>
      <c r="G94" s="270">
        <v>52339</v>
      </c>
      <c r="H94" s="270">
        <v>52339</v>
      </c>
      <c r="I94" s="270">
        <v>52339</v>
      </c>
      <c r="J94" s="270">
        <v>53339</v>
      </c>
      <c r="K94" s="270">
        <v>53334</v>
      </c>
      <c r="L94" s="270">
        <v>53334</v>
      </c>
      <c r="N94" s="270">
        <v>53334</v>
      </c>
    </row>
    <row r="95" spans="1:14">
      <c r="A95" s="291"/>
      <c r="B95" s="280" t="s">
        <v>302</v>
      </c>
      <c r="C95" s="292" t="s">
        <v>27</v>
      </c>
      <c r="D95" s="282">
        <v>133341</v>
      </c>
      <c r="E95" s="283">
        <v>133341</v>
      </c>
      <c r="F95" s="270">
        <v>133341</v>
      </c>
      <c r="G95" s="270">
        <v>133341</v>
      </c>
      <c r="H95" s="270">
        <v>133341</v>
      </c>
      <c r="I95" s="270">
        <v>133341</v>
      </c>
      <c r="J95" s="270">
        <v>130758</v>
      </c>
      <c r="K95" s="270">
        <v>130758</v>
      </c>
      <c r="L95" s="270">
        <v>130758</v>
      </c>
      <c r="N95" s="270">
        <v>130758</v>
      </c>
    </row>
    <row r="96" spans="1:14">
      <c r="A96" s="291"/>
      <c r="B96" s="280" t="s">
        <v>302</v>
      </c>
      <c r="C96" s="292" t="s">
        <v>29</v>
      </c>
      <c r="D96" s="282">
        <v>19949</v>
      </c>
      <c r="E96" s="283">
        <v>19949</v>
      </c>
      <c r="F96" s="270">
        <v>19863</v>
      </c>
      <c r="G96" s="270">
        <v>19863</v>
      </c>
      <c r="H96" s="270">
        <v>19863</v>
      </c>
      <c r="I96" s="270">
        <v>19863</v>
      </c>
      <c r="J96" s="270">
        <v>19863</v>
      </c>
      <c r="K96" s="270">
        <v>19863</v>
      </c>
      <c r="L96" s="270">
        <v>19863</v>
      </c>
      <c r="N96" s="270">
        <v>19863</v>
      </c>
    </row>
    <row r="97" spans="1:14">
      <c r="A97" s="291"/>
      <c r="B97" s="280" t="s">
        <v>302</v>
      </c>
      <c r="C97" s="292" t="s">
        <v>32</v>
      </c>
      <c r="D97" s="282">
        <v>518382</v>
      </c>
      <c r="E97" s="283">
        <v>518382</v>
      </c>
      <c r="F97" s="270">
        <v>518289</v>
      </c>
      <c r="G97" s="270">
        <v>518289</v>
      </c>
      <c r="H97" s="270">
        <v>518289</v>
      </c>
      <c r="I97" s="270">
        <v>518289</v>
      </c>
      <c r="J97" s="270">
        <v>518289</v>
      </c>
      <c r="K97" s="270">
        <v>518289</v>
      </c>
      <c r="L97" s="270">
        <v>518289</v>
      </c>
      <c r="N97" s="270">
        <v>518289</v>
      </c>
    </row>
    <row r="98" spans="1:14">
      <c r="A98" s="291"/>
      <c r="B98" s="280" t="s">
        <v>302</v>
      </c>
      <c r="C98" s="292" t="s">
        <v>34</v>
      </c>
      <c r="D98" s="282">
        <v>88981</v>
      </c>
      <c r="E98" s="283">
        <v>88981</v>
      </c>
      <c r="F98" s="270">
        <v>88981</v>
      </c>
      <c r="G98" s="270">
        <v>89738</v>
      </c>
      <c r="H98" s="270">
        <v>89778</v>
      </c>
      <c r="I98" s="270">
        <v>89724</v>
      </c>
      <c r="J98" s="270">
        <v>89724</v>
      </c>
      <c r="K98" s="270">
        <v>89803</v>
      </c>
      <c r="L98" s="270">
        <v>89803</v>
      </c>
      <c r="N98" s="270">
        <v>89803</v>
      </c>
    </row>
    <row r="99" spans="1:14">
      <c r="A99" s="291"/>
      <c r="B99" s="280" t="s">
        <v>302</v>
      </c>
      <c r="C99" s="292" t="s">
        <v>36</v>
      </c>
      <c r="D99" s="282">
        <v>17558</v>
      </c>
      <c r="E99" s="283">
        <v>17558</v>
      </c>
      <c r="F99" s="270">
        <v>17558</v>
      </c>
      <c r="G99" s="270">
        <v>17558</v>
      </c>
      <c r="H99" s="270">
        <v>17558</v>
      </c>
      <c r="I99" s="270">
        <v>17558</v>
      </c>
      <c r="J99" s="270">
        <v>17558</v>
      </c>
      <c r="K99" s="270">
        <v>17558</v>
      </c>
      <c r="L99" s="270">
        <v>17558</v>
      </c>
      <c r="N99" s="270">
        <v>17558</v>
      </c>
    </row>
    <row r="100" spans="1:14">
      <c r="A100" s="291"/>
      <c r="B100" s="280" t="s">
        <v>302</v>
      </c>
      <c r="C100" s="292" t="s">
        <v>38</v>
      </c>
      <c r="D100" s="282">
        <v>35310</v>
      </c>
      <c r="E100" s="283">
        <v>35310</v>
      </c>
      <c r="F100" s="270">
        <v>35310</v>
      </c>
      <c r="G100" s="270">
        <v>35305</v>
      </c>
      <c r="H100" s="270">
        <v>35305</v>
      </c>
      <c r="I100" s="270">
        <v>35505</v>
      </c>
      <c r="J100" s="270">
        <v>35505</v>
      </c>
      <c r="K100" s="270">
        <v>35505</v>
      </c>
      <c r="L100" s="270">
        <v>35505</v>
      </c>
      <c r="N100" s="270">
        <v>35505</v>
      </c>
    </row>
    <row r="101" spans="1:14">
      <c r="A101" s="291"/>
      <c r="B101" s="280" t="s">
        <v>302</v>
      </c>
      <c r="C101" s="292" t="s">
        <v>40</v>
      </c>
      <c r="D101" s="282">
        <v>425007</v>
      </c>
      <c r="E101" s="283">
        <v>424939</v>
      </c>
      <c r="F101" s="270">
        <v>424939</v>
      </c>
      <c r="G101" s="270">
        <v>424939</v>
      </c>
      <c r="H101" s="270">
        <v>424939</v>
      </c>
      <c r="I101" s="270">
        <v>424939</v>
      </c>
      <c r="J101" s="270">
        <v>424939</v>
      </c>
      <c r="K101" s="270">
        <v>424939</v>
      </c>
      <c r="L101" s="270">
        <v>424939</v>
      </c>
      <c r="N101" s="270">
        <v>424940</v>
      </c>
    </row>
    <row r="102" spans="1:14" ht="15.75" thickBot="1">
      <c r="A102" s="293"/>
      <c r="B102" s="294" t="s">
        <v>302</v>
      </c>
      <c r="C102" s="295" t="s">
        <v>1</v>
      </c>
      <c r="D102" s="282">
        <v>1719682</v>
      </c>
      <c r="E102" s="283">
        <v>1722817</v>
      </c>
      <c r="F102" s="270">
        <v>1729899</v>
      </c>
      <c r="G102" s="270">
        <v>1731416</v>
      </c>
      <c r="H102" s="270">
        <v>1731815</v>
      </c>
      <c r="I102" s="270">
        <v>1732220</v>
      </c>
      <c r="J102" s="270">
        <v>1730664</v>
      </c>
      <c r="K102" s="270">
        <v>1732130</v>
      </c>
      <c r="L102" s="270">
        <v>1847810</v>
      </c>
      <c r="N102" s="270">
        <v>1734030</v>
      </c>
    </row>
    <row r="103" spans="1:14">
      <c r="A103" s="296"/>
      <c r="B103" s="280" t="s">
        <v>11</v>
      </c>
      <c r="C103" s="290" t="s">
        <v>24</v>
      </c>
      <c r="D103" s="281">
        <v>7.14</v>
      </c>
      <c r="E103" s="270">
        <v>7.14</v>
      </c>
      <c r="F103" s="270">
        <v>7.14</v>
      </c>
      <c r="G103" s="270">
        <v>7.14</v>
      </c>
      <c r="H103" s="270">
        <v>7.14</v>
      </c>
      <c r="I103" s="270">
        <v>7.14</v>
      </c>
      <c r="J103" s="270">
        <v>6.56</v>
      </c>
      <c r="K103" s="270">
        <v>6.56</v>
      </c>
      <c r="L103" s="270">
        <v>6.56</v>
      </c>
      <c r="N103" s="270">
        <v>6.56</v>
      </c>
    </row>
    <row r="104" spans="1:14">
      <c r="A104" s="291"/>
      <c r="B104" s="280" t="s">
        <v>11</v>
      </c>
      <c r="C104" s="292" t="s">
        <v>27</v>
      </c>
      <c r="D104" s="281">
        <v>5.67</v>
      </c>
      <c r="E104" s="270">
        <v>5.67</v>
      </c>
      <c r="F104" s="270">
        <v>5.67</v>
      </c>
      <c r="G104" s="270">
        <v>5.67</v>
      </c>
      <c r="H104" s="270">
        <v>5.67</v>
      </c>
      <c r="I104" s="270">
        <v>5.67</v>
      </c>
      <c r="J104" s="270">
        <v>5.5</v>
      </c>
      <c r="K104" s="270">
        <v>5.5</v>
      </c>
      <c r="L104" s="270">
        <v>5.5</v>
      </c>
      <c r="N104" s="270">
        <v>5.5</v>
      </c>
    </row>
    <row r="105" spans="1:14">
      <c r="A105" s="291"/>
      <c r="B105" s="280" t="s">
        <v>11</v>
      </c>
      <c r="C105" s="292" t="s">
        <v>29</v>
      </c>
      <c r="D105" s="281">
        <v>10.15</v>
      </c>
      <c r="E105" s="270">
        <v>10.15</v>
      </c>
      <c r="F105" s="270">
        <v>10.15</v>
      </c>
      <c r="G105" s="270">
        <v>10.15</v>
      </c>
      <c r="H105" s="270">
        <v>10.15</v>
      </c>
      <c r="I105" s="270">
        <v>10.15</v>
      </c>
      <c r="J105" s="270">
        <v>10.15</v>
      </c>
      <c r="K105" s="270">
        <v>10.15</v>
      </c>
      <c r="L105" s="270">
        <v>10.15</v>
      </c>
      <c r="N105" s="270">
        <v>10.15</v>
      </c>
    </row>
    <row r="106" spans="1:14">
      <c r="A106" s="291"/>
      <c r="B106" s="280" t="s">
        <v>11</v>
      </c>
      <c r="C106" s="292" t="s">
        <v>32</v>
      </c>
      <c r="D106" s="281">
        <v>6.53</v>
      </c>
      <c r="E106" s="270">
        <v>6.53</v>
      </c>
      <c r="F106" s="270">
        <v>6.53</v>
      </c>
      <c r="G106" s="270">
        <v>6.53</v>
      </c>
      <c r="H106" s="270">
        <v>6.53</v>
      </c>
      <c r="I106" s="270">
        <v>6.53</v>
      </c>
      <c r="J106" s="270">
        <v>6.53</v>
      </c>
      <c r="K106" s="270">
        <v>6.53</v>
      </c>
      <c r="L106" s="270">
        <v>6.53</v>
      </c>
      <c r="N106" s="270">
        <v>6.53</v>
      </c>
    </row>
    <row r="107" spans="1:14">
      <c r="A107" s="291"/>
      <c r="B107" s="280" t="s">
        <v>11</v>
      </c>
      <c r="C107" s="292" t="s">
        <v>34</v>
      </c>
      <c r="D107" s="281">
        <v>7.47</v>
      </c>
      <c r="E107" s="270">
        <v>7.47</v>
      </c>
      <c r="F107" s="270">
        <v>7.47</v>
      </c>
      <c r="G107" s="270">
        <v>7.43</v>
      </c>
      <c r="H107" s="270">
        <v>7.43</v>
      </c>
      <c r="I107" s="270">
        <v>7.43</v>
      </c>
      <c r="J107" s="270">
        <v>7.43</v>
      </c>
      <c r="K107" s="270">
        <v>7.48</v>
      </c>
      <c r="L107" s="270">
        <v>7.48</v>
      </c>
      <c r="N107" s="270">
        <v>7.48</v>
      </c>
    </row>
    <row r="108" spans="1:14">
      <c r="A108" s="291"/>
      <c r="B108" s="280" t="s">
        <v>11</v>
      </c>
      <c r="C108" s="292" t="s">
        <v>36</v>
      </c>
      <c r="D108" s="281">
        <v>6.92</v>
      </c>
      <c r="E108" s="270">
        <v>6.92</v>
      </c>
      <c r="F108" s="270">
        <v>6.92</v>
      </c>
      <c r="G108" s="270">
        <v>6.92</v>
      </c>
      <c r="H108" s="270">
        <v>6.92</v>
      </c>
      <c r="I108" s="270">
        <v>6.92</v>
      </c>
      <c r="J108" s="270">
        <v>6.92</v>
      </c>
      <c r="K108" s="270">
        <v>6.92</v>
      </c>
      <c r="L108" s="270">
        <v>6.92</v>
      </c>
      <c r="N108" s="270">
        <v>6.92</v>
      </c>
    </row>
    <row r="109" spans="1:14">
      <c r="A109" s="291"/>
      <c r="B109" s="280" t="s">
        <v>11</v>
      </c>
      <c r="C109" s="292" t="s">
        <v>38</v>
      </c>
      <c r="D109" s="281">
        <v>7.74</v>
      </c>
      <c r="E109" s="270">
        <v>7.74</v>
      </c>
      <c r="F109" s="270">
        <v>7.74</v>
      </c>
      <c r="G109" s="270">
        <v>7.74</v>
      </c>
      <c r="H109" s="270">
        <v>7.74</v>
      </c>
      <c r="I109" s="270">
        <v>7.74</v>
      </c>
      <c r="J109" s="270">
        <v>7.74</v>
      </c>
      <c r="K109" s="270">
        <v>7.74</v>
      </c>
      <c r="L109" s="270">
        <v>7.74</v>
      </c>
      <c r="N109" s="270">
        <v>7.74</v>
      </c>
    </row>
    <row r="110" spans="1:14">
      <c r="A110" s="291"/>
      <c r="B110" s="280" t="s">
        <v>11</v>
      </c>
      <c r="C110" s="292" t="s">
        <v>40</v>
      </c>
      <c r="D110" s="281">
        <v>11.13</v>
      </c>
      <c r="E110" s="270">
        <v>11.13</v>
      </c>
      <c r="F110" s="270">
        <v>11.13</v>
      </c>
      <c r="G110" s="270">
        <v>11.13</v>
      </c>
      <c r="H110" s="270">
        <v>11.13</v>
      </c>
      <c r="I110" s="270">
        <v>11.13</v>
      </c>
      <c r="J110" s="270">
        <v>11.13</v>
      </c>
      <c r="K110" s="270">
        <v>11.13</v>
      </c>
      <c r="L110" s="270">
        <v>11.13</v>
      </c>
      <c r="N110" s="270">
        <v>11.13</v>
      </c>
    </row>
    <row r="111" spans="1:14" ht="15.75" thickBot="1">
      <c r="A111" s="293"/>
      <c r="B111" s="294" t="s">
        <v>11</v>
      </c>
      <c r="C111" s="295" t="s">
        <v>1</v>
      </c>
      <c r="D111" s="281">
        <v>6.03</v>
      </c>
      <c r="E111" s="270">
        <v>6.02</v>
      </c>
      <c r="F111" s="270">
        <v>5.99</v>
      </c>
      <c r="G111" s="270">
        <v>5.99</v>
      </c>
      <c r="H111" s="270">
        <v>5.99</v>
      </c>
      <c r="I111" s="270">
        <v>5.99</v>
      </c>
      <c r="J111" s="270">
        <v>5.96</v>
      </c>
      <c r="K111" s="270">
        <v>5.96</v>
      </c>
      <c r="L111" s="270">
        <v>5.69</v>
      </c>
      <c r="N111" s="270">
        <v>5.89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455D-365E-4B59-9569-68C0A9FA64AF}">
  <sheetPr>
    <tabColor theme="7" tint="0.79998168889431442"/>
  </sheetPr>
  <dimension ref="A1:P111"/>
  <sheetViews>
    <sheetView showGridLines="0" topLeftCell="B67" zoomScaleNormal="100" workbookViewId="0">
      <selection activeCell="P10" sqref="P10"/>
    </sheetView>
  </sheetViews>
  <sheetFormatPr defaultColWidth="7.42578125" defaultRowHeight="15"/>
  <cols>
    <col min="1" max="1" width="10" style="270" bestFit="1" customWidth="1"/>
    <col min="2" max="2" width="20.140625" style="270" bestFit="1" customWidth="1"/>
    <col min="3" max="3" width="12.85546875" style="270" bestFit="1" customWidth="1"/>
    <col min="4" max="5" width="8.85546875" style="270" bestFit="1" customWidth="1"/>
    <col min="6" max="6" width="7.42578125" style="270"/>
    <col min="7" max="7" width="10.42578125" style="270" bestFit="1" customWidth="1"/>
    <col min="8" max="16384" width="7.42578125" style="270"/>
  </cols>
  <sheetData>
    <row r="1" spans="1:16">
      <c r="A1" s="286" t="s">
        <v>303</v>
      </c>
    </row>
    <row r="3" spans="1:16" ht="15.75" thickBot="1">
      <c r="A3" s="271" t="s">
        <v>295</v>
      </c>
      <c r="B3" s="271" t="s">
        <v>296</v>
      </c>
      <c r="C3" s="271" t="s">
        <v>297</v>
      </c>
      <c r="D3" s="297">
        <v>45505</v>
      </c>
      <c r="E3" s="288">
        <v>45536</v>
      </c>
      <c r="F3" s="288">
        <v>45566</v>
      </c>
      <c r="G3" s="288">
        <v>45597</v>
      </c>
      <c r="H3" s="288">
        <v>45627</v>
      </c>
      <c r="I3" s="288">
        <v>45658</v>
      </c>
      <c r="J3" s="288">
        <v>45689</v>
      </c>
      <c r="K3" s="288">
        <v>45717</v>
      </c>
      <c r="L3" s="288">
        <v>45748</v>
      </c>
      <c r="M3" s="288">
        <v>45778</v>
      </c>
      <c r="N3" s="288">
        <v>45809</v>
      </c>
      <c r="O3" s="288">
        <v>45839</v>
      </c>
      <c r="P3" s="288">
        <v>45870</v>
      </c>
    </row>
    <row r="4" spans="1:16">
      <c r="A4" s="289" t="s">
        <v>299</v>
      </c>
      <c r="B4" s="298" t="s">
        <v>10</v>
      </c>
      <c r="C4" s="290" t="s">
        <v>24</v>
      </c>
      <c r="D4" s="275">
        <v>6400</v>
      </c>
      <c r="E4" s="275">
        <v>6400</v>
      </c>
      <c r="F4" s="283">
        <v>6400</v>
      </c>
      <c r="G4" s="299">
        <v>6400</v>
      </c>
      <c r="H4" s="270">
        <v>6400</v>
      </c>
      <c r="I4" s="270">
        <v>6400</v>
      </c>
      <c r="J4" s="270">
        <v>6400</v>
      </c>
      <c r="K4" s="270">
        <v>6400</v>
      </c>
      <c r="L4" s="270">
        <v>6400</v>
      </c>
      <c r="M4" s="270">
        <v>6400</v>
      </c>
      <c r="O4" s="270">
        <v>6400</v>
      </c>
      <c r="P4" s="270">
        <v>6400</v>
      </c>
    </row>
    <row r="5" spans="1:16">
      <c r="A5" s="291"/>
      <c r="B5" s="280" t="s">
        <v>10</v>
      </c>
      <c r="C5" s="292" t="s">
        <v>27</v>
      </c>
      <c r="D5" s="275">
        <v>22300</v>
      </c>
      <c r="E5" s="275">
        <v>22300</v>
      </c>
      <c r="F5" s="283">
        <v>22300</v>
      </c>
      <c r="G5" s="299">
        <v>22300</v>
      </c>
      <c r="H5" s="270">
        <v>22300</v>
      </c>
      <c r="I5" s="270">
        <v>22300</v>
      </c>
      <c r="J5" s="270">
        <v>22300</v>
      </c>
      <c r="K5" s="270">
        <v>22300</v>
      </c>
      <c r="L5" s="270">
        <v>22300</v>
      </c>
      <c r="M5" s="270">
        <v>22300</v>
      </c>
      <c r="O5" s="270">
        <v>22300</v>
      </c>
      <c r="P5" s="270">
        <v>22300</v>
      </c>
    </row>
    <row r="6" spans="1:16" ht="15.95" customHeight="1">
      <c r="A6" s="291"/>
      <c r="B6" s="280" t="s">
        <v>10</v>
      </c>
      <c r="C6" s="292" t="s">
        <v>29</v>
      </c>
      <c r="D6" s="275">
        <v>1450</v>
      </c>
      <c r="E6" s="275">
        <v>1450</v>
      </c>
      <c r="F6" s="283">
        <v>1450</v>
      </c>
      <c r="G6" s="299">
        <v>1450</v>
      </c>
      <c r="H6" s="270">
        <v>1449</v>
      </c>
      <c r="I6" s="270">
        <v>1449</v>
      </c>
      <c r="J6" s="270">
        <v>1449</v>
      </c>
      <c r="K6" s="270">
        <v>1449</v>
      </c>
      <c r="L6" s="270">
        <v>1449</v>
      </c>
      <c r="M6" s="270">
        <v>1449</v>
      </c>
      <c r="O6" s="270">
        <v>1449</v>
      </c>
      <c r="P6" s="270">
        <v>1449</v>
      </c>
    </row>
    <row r="7" spans="1:16">
      <c r="A7" s="291"/>
      <c r="B7" s="280" t="s">
        <v>10</v>
      </c>
      <c r="C7" s="292" t="s">
        <v>32</v>
      </c>
      <c r="D7" s="275">
        <v>44700</v>
      </c>
      <c r="E7" s="275">
        <v>44700</v>
      </c>
      <c r="F7" s="283">
        <v>44700</v>
      </c>
      <c r="G7" s="299">
        <v>44700</v>
      </c>
      <c r="H7" s="270">
        <v>44700</v>
      </c>
      <c r="I7" s="270">
        <v>44741</v>
      </c>
      <c r="J7" s="270">
        <v>44741</v>
      </c>
      <c r="K7" s="270">
        <v>44741</v>
      </c>
      <c r="L7" s="270">
        <v>44741</v>
      </c>
      <c r="M7" s="270">
        <v>44741</v>
      </c>
      <c r="O7" s="270">
        <v>55</v>
      </c>
      <c r="P7" s="270">
        <v>44741</v>
      </c>
    </row>
    <row r="8" spans="1:16">
      <c r="A8" s="291"/>
      <c r="B8" s="280" t="s">
        <v>10</v>
      </c>
      <c r="C8" s="292" t="s">
        <v>34</v>
      </c>
      <c r="D8" s="275">
        <v>8600</v>
      </c>
      <c r="E8" s="275">
        <v>8600</v>
      </c>
      <c r="F8" s="283">
        <v>8600</v>
      </c>
      <c r="G8" s="299">
        <v>8620</v>
      </c>
      <c r="H8" s="270">
        <v>8600</v>
      </c>
      <c r="I8" s="270">
        <v>8600</v>
      </c>
      <c r="J8" s="270">
        <v>8600</v>
      </c>
      <c r="K8" s="270">
        <v>8600</v>
      </c>
      <c r="L8" s="270">
        <v>8704</v>
      </c>
      <c r="M8" s="270">
        <v>8704</v>
      </c>
      <c r="O8" s="270">
        <v>8704</v>
      </c>
      <c r="P8" s="270">
        <v>8704</v>
      </c>
    </row>
    <row r="9" spans="1:16">
      <c r="A9" s="291"/>
      <c r="B9" s="280" t="s">
        <v>10</v>
      </c>
      <c r="C9" s="292" t="s">
        <v>36</v>
      </c>
      <c r="D9" s="275">
        <v>2500</v>
      </c>
      <c r="E9" s="275">
        <v>2500</v>
      </c>
      <c r="F9" s="283">
        <v>2500</v>
      </c>
      <c r="G9" s="299">
        <v>2500</v>
      </c>
      <c r="H9" s="270">
        <v>2500</v>
      </c>
      <c r="I9" s="270">
        <v>2600</v>
      </c>
      <c r="J9" s="270">
        <v>2600</v>
      </c>
      <c r="K9" s="270">
        <v>2700</v>
      </c>
      <c r="L9" s="270">
        <v>2700</v>
      </c>
      <c r="M9" s="270">
        <v>2700</v>
      </c>
      <c r="O9" s="270">
        <v>2700</v>
      </c>
      <c r="P9" s="270">
        <v>2700</v>
      </c>
    </row>
    <row r="10" spans="1:16">
      <c r="A10" s="291"/>
      <c r="B10" s="280" t="s">
        <v>10</v>
      </c>
      <c r="C10" s="292" t="s">
        <v>38</v>
      </c>
      <c r="D10" s="275">
        <v>4100</v>
      </c>
      <c r="E10" s="275">
        <v>4100</v>
      </c>
      <c r="F10" s="283">
        <v>4100</v>
      </c>
      <c r="G10" s="299">
        <v>4100</v>
      </c>
      <c r="H10" s="270">
        <v>4100</v>
      </c>
      <c r="I10" s="270">
        <v>4100</v>
      </c>
      <c r="J10" s="270">
        <v>4100</v>
      </c>
      <c r="K10" s="270">
        <v>4100</v>
      </c>
      <c r="L10" s="270">
        <v>4100</v>
      </c>
      <c r="M10" s="270">
        <v>4100</v>
      </c>
      <c r="O10" s="270">
        <v>4100</v>
      </c>
      <c r="P10" s="270">
        <v>4100</v>
      </c>
    </row>
    <row r="11" spans="1:16">
      <c r="A11" s="291"/>
      <c r="B11" s="280" t="s">
        <v>10</v>
      </c>
      <c r="C11" s="292" t="s">
        <v>40</v>
      </c>
      <c r="D11" s="275">
        <v>33472</v>
      </c>
      <c r="E11" s="275">
        <v>33472</v>
      </c>
      <c r="F11" s="283">
        <v>33472</v>
      </c>
      <c r="G11" s="299">
        <v>33472</v>
      </c>
      <c r="H11" s="270">
        <v>33472</v>
      </c>
      <c r="I11" s="270">
        <v>33547</v>
      </c>
      <c r="J11" s="270">
        <v>33547</v>
      </c>
      <c r="K11" s="270">
        <v>33547</v>
      </c>
      <c r="L11" s="270">
        <v>33547</v>
      </c>
      <c r="M11" s="270">
        <v>33547</v>
      </c>
      <c r="O11" s="270">
        <v>33547</v>
      </c>
      <c r="P11" s="270">
        <v>33547</v>
      </c>
    </row>
    <row r="12" spans="1:16" ht="15.75" thickBot="1">
      <c r="A12" s="293"/>
      <c r="B12" s="294" t="s">
        <v>10</v>
      </c>
      <c r="C12" s="295" t="s">
        <v>1</v>
      </c>
      <c r="D12" s="275">
        <v>201568</v>
      </c>
      <c r="E12" s="275">
        <v>201453</v>
      </c>
      <c r="F12" s="283">
        <v>201534</v>
      </c>
      <c r="G12" s="299">
        <v>203074</v>
      </c>
      <c r="H12" s="270">
        <v>202722</v>
      </c>
      <c r="I12" s="270">
        <v>202888</v>
      </c>
      <c r="J12" s="270">
        <v>202900</v>
      </c>
      <c r="K12" s="270">
        <v>203497</v>
      </c>
      <c r="L12" s="270">
        <v>203187</v>
      </c>
      <c r="M12" s="270">
        <v>203573</v>
      </c>
      <c r="O12" s="270">
        <v>203628</v>
      </c>
      <c r="P12" s="270">
        <v>203653</v>
      </c>
    </row>
    <row r="13" spans="1:16">
      <c r="A13" s="296"/>
      <c r="B13" s="298" t="s">
        <v>12</v>
      </c>
      <c r="C13" s="290" t="s">
        <v>24</v>
      </c>
      <c r="D13" s="275">
        <v>1539</v>
      </c>
      <c r="E13" s="275">
        <v>1539</v>
      </c>
      <c r="F13" s="283">
        <v>4089</v>
      </c>
      <c r="G13" s="299">
        <v>4089</v>
      </c>
      <c r="H13" s="270">
        <v>4089</v>
      </c>
      <c r="I13" s="270">
        <v>4089</v>
      </c>
      <c r="J13" s="270">
        <v>3089</v>
      </c>
      <c r="K13" s="270">
        <v>2589</v>
      </c>
      <c r="L13" s="270">
        <v>2678</v>
      </c>
      <c r="M13" s="270">
        <v>2478</v>
      </c>
      <c r="O13" s="270">
        <v>2478</v>
      </c>
      <c r="P13" s="270">
        <v>2478</v>
      </c>
    </row>
    <row r="14" spans="1:16">
      <c r="A14" s="291"/>
      <c r="B14" s="280" t="s">
        <v>12</v>
      </c>
      <c r="C14" s="292" t="s">
        <v>27</v>
      </c>
      <c r="D14" s="275">
        <v>3841</v>
      </c>
      <c r="E14" s="275">
        <v>4841</v>
      </c>
      <c r="F14" s="283">
        <v>5841</v>
      </c>
      <c r="G14" s="299">
        <v>5841</v>
      </c>
      <c r="H14" s="270">
        <v>7841</v>
      </c>
      <c r="I14" s="270">
        <v>8841</v>
      </c>
      <c r="J14" s="270">
        <v>8841</v>
      </c>
      <c r="K14" s="270">
        <v>7458</v>
      </c>
      <c r="L14" s="270">
        <v>7482</v>
      </c>
      <c r="M14" s="270">
        <v>8482</v>
      </c>
      <c r="O14" s="270">
        <v>8488</v>
      </c>
      <c r="P14" s="270">
        <v>8488</v>
      </c>
    </row>
    <row r="15" spans="1:16">
      <c r="A15" s="291"/>
      <c r="B15" s="280" t="s">
        <v>12</v>
      </c>
      <c r="C15" s="292" t="s">
        <v>29</v>
      </c>
      <c r="D15" s="275">
        <v>1604</v>
      </c>
      <c r="E15" s="275">
        <v>1849</v>
      </c>
      <c r="F15" s="283">
        <v>1849</v>
      </c>
      <c r="G15" s="299">
        <v>1996</v>
      </c>
      <c r="H15" s="270">
        <v>1996</v>
      </c>
      <c r="I15" s="270">
        <v>1996</v>
      </c>
      <c r="J15" s="270">
        <v>1996</v>
      </c>
      <c r="K15" s="270">
        <v>1996</v>
      </c>
      <c r="L15" s="270">
        <v>1996</v>
      </c>
      <c r="M15" s="270">
        <v>1996</v>
      </c>
      <c r="O15" s="270">
        <v>1996</v>
      </c>
      <c r="P15" s="270">
        <v>1996</v>
      </c>
    </row>
    <row r="16" spans="1:16">
      <c r="A16" s="291"/>
      <c r="B16" s="280" t="s">
        <v>12</v>
      </c>
      <c r="C16" s="292" t="s">
        <v>32</v>
      </c>
      <c r="D16" s="275">
        <v>210862</v>
      </c>
      <c r="E16" s="275">
        <v>211362</v>
      </c>
      <c r="F16" s="283">
        <v>211362</v>
      </c>
      <c r="G16" s="299">
        <v>211286</v>
      </c>
      <c r="H16" s="270">
        <v>211286</v>
      </c>
      <c r="I16" s="270">
        <v>211286</v>
      </c>
      <c r="J16" s="270">
        <v>211286</v>
      </c>
      <c r="K16" s="270">
        <v>211286</v>
      </c>
      <c r="L16" s="270">
        <v>211286</v>
      </c>
      <c r="M16" s="270">
        <v>211286</v>
      </c>
      <c r="O16" s="270">
        <v>179</v>
      </c>
      <c r="P16" s="270">
        <v>211286</v>
      </c>
    </row>
    <row r="17" spans="1:16">
      <c r="A17" s="291"/>
      <c r="B17" s="280" t="s">
        <v>12</v>
      </c>
      <c r="C17" s="292" t="s">
        <v>34</v>
      </c>
      <c r="D17" s="275">
        <v>7483</v>
      </c>
      <c r="E17" s="275">
        <v>7481</v>
      </c>
      <c r="F17" s="283">
        <v>7481</v>
      </c>
      <c r="G17" s="299">
        <v>7481</v>
      </c>
      <c r="H17" s="270">
        <v>7246</v>
      </c>
      <c r="I17" s="270">
        <v>7290</v>
      </c>
      <c r="J17" s="270">
        <v>7235</v>
      </c>
      <c r="K17" s="270">
        <v>7235</v>
      </c>
      <c r="L17" s="270">
        <v>7314</v>
      </c>
      <c r="M17" s="270">
        <v>7314</v>
      </c>
      <c r="O17" s="270">
        <v>7314</v>
      </c>
      <c r="P17" s="270">
        <v>7314</v>
      </c>
    </row>
    <row r="18" spans="1:16">
      <c r="A18" s="291"/>
      <c r="B18" s="280" t="s">
        <v>12</v>
      </c>
      <c r="C18" s="292" t="s">
        <v>36</v>
      </c>
      <c r="D18" s="274">
        <v>758</v>
      </c>
      <c r="E18" s="274">
        <v>758</v>
      </c>
      <c r="F18" s="270">
        <v>758</v>
      </c>
      <c r="G18" s="299">
        <v>758</v>
      </c>
      <c r="H18" s="270">
        <v>758</v>
      </c>
      <c r="I18" s="270">
        <v>758</v>
      </c>
      <c r="J18" s="270">
        <v>758</v>
      </c>
      <c r="K18" s="270">
        <v>758</v>
      </c>
      <c r="L18" s="270">
        <v>758</v>
      </c>
      <c r="M18" s="270">
        <v>758</v>
      </c>
      <c r="O18" s="270">
        <v>758</v>
      </c>
      <c r="P18" s="270">
        <v>758</v>
      </c>
    </row>
    <row r="19" spans="1:16">
      <c r="A19" s="291"/>
      <c r="B19" s="280" t="s">
        <v>12</v>
      </c>
      <c r="C19" s="292" t="s">
        <v>38</v>
      </c>
      <c r="D19" s="275">
        <v>1560</v>
      </c>
      <c r="E19" s="275">
        <v>1560</v>
      </c>
      <c r="F19" s="283">
        <v>1460</v>
      </c>
      <c r="G19" s="299">
        <v>1460</v>
      </c>
      <c r="H19" s="270">
        <v>1567</v>
      </c>
      <c r="I19" s="270">
        <v>1567</v>
      </c>
      <c r="J19" s="270">
        <v>1067</v>
      </c>
      <c r="K19" s="270">
        <v>1067</v>
      </c>
      <c r="L19" s="270">
        <v>1067</v>
      </c>
      <c r="M19" s="270">
        <v>642</v>
      </c>
      <c r="O19" s="270">
        <v>642</v>
      </c>
      <c r="P19" s="270">
        <v>642</v>
      </c>
    </row>
    <row r="20" spans="1:16">
      <c r="A20" s="291"/>
      <c r="B20" s="280" t="s">
        <v>12</v>
      </c>
      <c r="C20" s="292" t="s">
        <v>40</v>
      </c>
      <c r="D20" s="275">
        <v>47419</v>
      </c>
      <c r="E20" s="275">
        <v>46022</v>
      </c>
      <c r="F20" s="283">
        <v>44718</v>
      </c>
      <c r="G20" s="299">
        <v>44718</v>
      </c>
      <c r="H20" s="270">
        <v>44718</v>
      </c>
      <c r="I20" s="270">
        <v>44792</v>
      </c>
      <c r="J20" s="270">
        <v>44792</v>
      </c>
      <c r="K20" s="270">
        <v>44792</v>
      </c>
      <c r="L20" s="270">
        <v>44792</v>
      </c>
      <c r="M20" s="270">
        <v>44792</v>
      </c>
      <c r="O20" s="270">
        <v>44792</v>
      </c>
      <c r="P20" s="270">
        <v>44792</v>
      </c>
    </row>
    <row r="21" spans="1:16" ht="15.75" thickBot="1">
      <c r="A21" s="293"/>
      <c r="B21" s="294" t="s">
        <v>12</v>
      </c>
      <c r="C21" s="295" t="s">
        <v>1</v>
      </c>
      <c r="D21" s="275">
        <v>308520</v>
      </c>
      <c r="E21" s="275">
        <v>309627</v>
      </c>
      <c r="F21" s="283">
        <v>312651</v>
      </c>
      <c r="G21" s="299">
        <v>314219</v>
      </c>
      <c r="H21" s="270">
        <v>316218</v>
      </c>
      <c r="I21" s="270">
        <v>317462</v>
      </c>
      <c r="J21" s="270">
        <v>315806</v>
      </c>
      <c r="K21" s="270">
        <v>313950</v>
      </c>
      <c r="L21" s="270">
        <v>314332</v>
      </c>
      <c r="M21" s="270">
        <v>316065</v>
      </c>
      <c r="O21" s="270">
        <v>315690</v>
      </c>
      <c r="P21" s="270">
        <v>315707</v>
      </c>
    </row>
    <row r="22" spans="1:16">
      <c r="A22" s="296"/>
      <c r="B22" s="298" t="s">
        <v>13</v>
      </c>
      <c r="C22" s="290" t="s">
        <v>24</v>
      </c>
      <c r="D22" s="275">
        <v>51000</v>
      </c>
      <c r="E22" s="275">
        <v>51000</v>
      </c>
      <c r="F22" s="283">
        <v>51000</v>
      </c>
      <c r="G22" s="299">
        <v>51000</v>
      </c>
      <c r="H22" s="270">
        <v>51000</v>
      </c>
      <c r="I22" s="270">
        <v>51000</v>
      </c>
      <c r="J22" s="270">
        <v>50000</v>
      </c>
      <c r="K22" s="270">
        <v>50000</v>
      </c>
      <c r="L22" s="270">
        <v>50000</v>
      </c>
      <c r="M22" s="270">
        <v>50000</v>
      </c>
      <c r="O22" s="270">
        <v>50000</v>
      </c>
      <c r="P22" s="270">
        <v>50000</v>
      </c>
    </row>
    <row r="23" spans="1:16">
      <c r="A23" s="291"/>
      <c r="B23" s="280" t="s">
        <v>13</v>
      </c>
      <c r="C23" s="292" t="s">
        <v>27</v>
      </c>
      <c r="D23" s="275">
        <v>127000</v>
      </c>
      <c r="E23" s="275">
        <v>127000</v>
      </c>
      <c r="F23" s="283">
        <v>127000</v>
      </c>
      <c r="G23" s="299">
        <v>127000</v>
      </c>
      <c r="H23" s="270">
        <v>127000</v>
      </c>
      <c r="I23" s="270">
        <v>127000</v>
      </c>
      <c r="J23" s="270">
        <v>126000</v>
      </c>
      <c r="K23" s="270">
        <v>126000</v>
      </c>
      <c r="L23" s="270">
        <v>126000</v>
      </c>
      <c r="M23" s="270">
        <v>130000</v>
      </c>
      <c r="O23" s="270">
        <v>132000</v>
      </c>
      <c r="P23" s="270">
        <v>132000</v>
      </c>
    </row>
    <row r="24" spans="1:16">
      <c r="A24" s="291"/>
      <c r="B24" s="280" t="s">
        <v>13</v>
      </c>
      <c r="C24" s="292" t="s">
        <v>29</v>
      </c>
      <c r="D24" s="275">
        <v>14500</v>
      </c>
      <c r="E24" s="275">
        <v>15200</v>
      </c>
      <c r="F24" s="283">
        <v>15200</v>
      </c>
      <c r="G24" s="299">
        <v>15200</v>
      </c>
      <c r="H24" s="270">
        <v>15345</v>
      </c>
      <c r="I24" s="270">
        <v>15345</v>
      </c>
      <c r="J24" s="270">
        <v>15345</v>
      </c>
      <c r="K24" s="270">
        <v>15345</v>
      </c>
      <c r="L24" s="270">
        <v>15345</v>
      </c>
      <c r="M24" s="270">
        <v>15345</v>
      </c>
      <c r="O24" s="270">
        <v>15345</v>
      </c>
      <c r="P24" s="270">
        <v>15345</v>
      </c>
    </row>
    <row r="25" spans="1:16">
      <c r="A25" s="291"/>
      <c r="B25" s="280" t="s">
        <v>13</v>
      </c>
      <c r="C25" s="292" t="s">
        <v>32</v>
      </c>
      <c r="D25" s="275">
        <v>292000</v>
      </c>
      <c r="E25" s="275">
        <v>292000</v>
      </c>
      <c r="F25" s="283">
        <v>292000</v>
      </c>
      <c r="G25" s="299">
        <v>292000</v>
      </c>
      <c r="H25" s="270">
        <v>292000</v>
      </c>
      <c r="I25" s="270">
        <v>294917</v>
      </c>
      <c r="J25" s="270">
        <v>294917</v>
      </c>
      <c r="K25" s="270">
        <v>294917</v>
      </c>
      <c r="L25" s="270">
        <v>294917</v>
      </c>
      <c r="M25" s="270">
        <v>294917</v>
      </c>
      <c r="O25" s="270">
        <v>615</v>
      </c>
      <c r="P25" s="270">
        <v>294917</v>
      </c>
    </row>
    <row r="26" spans="1:16">
      <c r="A26" s="291"/>
      <c r="B26" s="280" t="s">
        <v>13</v>
      </c>
      <c r="C26" s="292" t="s">
        <v>34</v>
      </c>
      <c r="D26" s="275">
        <v>60500</v>
      </c>
      <c r="E26" s="275">
        <v>59000</v>
      </c>
      <c r="F26" s="283">
        <v>59000</v>
      </c>
      <c r="G26" s="299">
        <v>58800</v>
      </c>
      <c r="H26" s="270">
        <v>58000</v>
      </c>
      <c r="I26" s="270">
        <v>58000</v>
      </c>
      <c r="J26" s="270">
        <v>58000</v>
      </c>
      <c r="K26" s="270">
        <v>58000</v>
      </c>
      <c r="L26" s="270">
        <v>59312</v>
      </c>
      <c r="M26" s="270">
        <v>59312</v>
      </c>
      <c r="O26" s="270">
        <v>59312</v>
      </c>
      <c r="P26" s="270">
        <v>59312</v>
      </c>
    </row>
    <row r="27" spans="1:16">
      <c r="A27" s="291"/>
      <c r="B27" s="280" t="s">
        <v>13</v>
      </c>
      <c r="C27" s="292" t="s">
        <v>36</v>
      </c>
      <c r="D27" s="275">
        <v>14100</v>
      </c>
      <c r="E27" s="275">
        <v>13500</v>
      </c>
      <c r="F27" s="283">
        <v>13000</v>
      </c>
      <c r="G27" s="299">
        <v>13000</v>
      </c>
      <c r="H27" s="270">
        <v>13000</v>
      </c>
      <c r="I27" s="270">
        <v>13250</v>
      </c>
      <c r="J27" s="270">
        <v>13250</v>
      </c>
      <c r="K27" s="270">
        <v>14000</v>
      </c>
      <c r="L27" s="270">
        <v>14000</v>
      </c>
      <c r="M27" s="270">
        <v>14000</v>
      </c>
      <c r="O27" s="270">
        <v>14000</v>
      </c>
      <c r="P27" s="270">
        <v>14000</v>
      </c>
    </row>
    <row r="28" spans="1:16">
      <c r="A28" s="291"/>
      <c r="B28" s="280" t="s">
        <v>13</v>
      </c>
      <c r="C28" s="292" t="s">
        <v>38</v>
      </c>
      <c r="D28" s="275">
        <v>27200</v>
      </c>
      <c r="E28" s="275">
        <v>27200</v>
      </c>
      <c r="F28" s="283">
        <v>26200</v>
      </c>
      <c r="G28" s="299">
        <v>26200</v>
      </c>
      <c r="H28" s="270">
        <v>26500</v>
      </c>
      <c r="I28" s="270">
        <v>26500</v>
      </c>
      <c r="J28" s="270">
        <v>26500</v>
      </c>
      <c r="K28" s="270">
        <v>26800</v>
      </c>
      <c r="L28" s="270">
        <v>26800</v>
      </c>
      <c r="M28" s="270">
        <v>26800</v>
      </c>
      <c r="O28" s="270">
        <v>26800</v>
      </c>
      <c r="P28" s="270">
        <v>26800</v>
      </c>
    </row>
    <row r="29" spans="1:16">
      <c r="A29" s="291"/>
      <c r="B29" s="280" t="s">
        <v>13</v>
      </c>
      <c r="C29" s="292" t="s">
        <v>40</v>
      </c>
      <c r="D29" s="275">
        <v>384741</v>
      </c>
      <c r="E29" s="275">
        <v>385730</v>
      </c>
      <c r="F29" s="283">
        <v>386182</v>
      </c>
      <c r="G29" s="299">
        <v>384644</v>
      </c>
      <c r="H29" s="270">
        <v>384644</v>
      </c>
      <c r="I29" s="270">
        <v>377633</v>
      </c>
      <c r="J29" s="270">
        <v>377633</v>
      </c>
      <c r="K29" s="270">
        <v>377633</v>
      </c>
      <c r="L29" s="270">
        <v>377633</v>
      </c>
      <c r="M29" s="270">
        <v>377633</v>
      </c>
      <c r="O29" s="270">
        <v>377633</v>
      </c>
      <c r="P29" s="270">
        <v>377633</v>
      </c>
    </row>
    <row r="30" spans="1:16" ht="15.75" thickBot="1">
      <c r="A30" s="293"/>
      <c r="B30" s="294" t="s">
        <v>13</v>
      </c>
      <c r="C30" s="295" t="s">
        <v>1</v>
      </c>
      <c r="D30" s="275">
        <v>1219824</v>
      </c>
      <c r="E30" s="275">
        <v>1218568</v>
      </c>
      <c r="F30" s="283">
        <v>1217193</v>
      </c>
      <c r="G30" s="299">
        <v>1219403</v>
      </c>
      <c r="H30" s="270">
        <v>1217889</v>
      </c>
      <c r="I30" s="270">
        <v>1214345</v>
      </c>
      <c r="J30" s="270">
        <v>1212470</v>
      </c>
      <c r="K30" s="270">
        <v>1214171</v>
      </c>
      <c r="L30" s="270">
        <v>1215099</v>
      </c>
      <c r="M30" s="270">
        <v>1221284</v>
      </c>
      <c r="O30" s="270">
        <v>1225295</v>
      </c>
      <c r="P30" s="270">
        <v>1226018</v>
      </c>
    </row>
    <row r="31" spans="1:16">
      <c r="A31" s="296"/>
      <c r="B31" s="298" t="s">
        <v>14</v>
      </c>
      <c r="C31" s="290" t="s">
        <v>24</v>
      </c>
      <c r="D31" s="274">
        <v>5</v>
      </c>
      <c r="E31" s="274">
        <v>5</v>
      </c>
      <c r="F31" s="270">
        <v>5</v>
      </c>
      <c r="G31" s="299">
        <v>5</v>
      </c>
      <c r="H31" s="270">
        <v>5</v>
      </c>
      <c r="I31" s="270">
        <v>5</v>
      </c>
      <c r="J31" s="270">
        <v>5</v>
      </c>
      <c r="K31" s="270">
        <v>5</v>
      </c>
      <c r="L31" s="270">
        <v>5</v>
      </c>
      <c r="M31" s="270">
        <v>5</v>
      </c>
      <c r="O31" s="270">
        <v>5</v>
      </c>
      <c r="P31" s="270">
        <v>5</v>
      </c>
    </row>
    <row r="32" spans="1:16">
      <c r="A32" s="291"/>
      <c r="B32" s="280" t="s">
        <v>14</v>
      </c>
      <c r="C32" s="292" t="s">
        <v>27</v>
      </c>
      <c r="D32" s="275">
        <v>1500</v>
      </c>
      <c r="E32" s="275">
        <v>1500</v>
      </c>
      <c r="F32" s="283">
        <v>1500</v>
      </c>
      <c r="G32" s="299">
        <v>1500</v>
      </c>
      <c r="H32" s="270">
        <v>1500</v>
      </c>
      <c r="I32" s="270">
        <v>1500</v>
      </c>
      <c r="J32" s="270">
        <v>1500</v>
      </c>
      <c r="K32" s="270">
        <v>1500</v>
      </c>
      <c r="L32" s="270">
        <v>1500</v>
      </c>
      <c r="M32" s="270">
        <v>1500</v>
      </c>
      <c r="O32" s="270">
        <v>1500</v>
      </c>
      <c r="P32" s="270">
        <v>1500</v>
      </c>
    </row>
    <row r="33" spans="1:16">
      <c r="A33" s="291"/>
      <c r="B33" s="280" t="s">
        <v>14</v>
      </c>
      <c r="C33" s="292" t="s">
        <v>29</v>
      </c>
      <c r="D33" s="275">
        <v>2700</v>
      </c>
      <c r="E33" s="275">
        <v>2200</v>
      </c>
      <c r="F33" s="283">
        <v>2200</v>
      </c>
      <c r="G33" s="299">
        <v>2200</v>
      </c>
      <c r="H33" s="270">
        <v>2200</v>
      </c>
      <c r="I33" s="270">
        <v>2200</v>
      </c>
      <c r="J33" s="270">
        <v>2200</v>
      </c>
      <c r="K33" s="270">
        <v>2200</v>
      </c>
      <c r="L33" s="270">
        <v>2200</v>
      </c>
      <c r="M33" s="270">
        <v>2200</v>
      </c>
      <c r="O33" s="270">
        <v>1700</v>
      </c>
      <c r="P33" s="270">
        <v>1700</v>
      </c>
    </row>
    <row r="34" spans="1:16">
      <c r="A34" s="291"/>
      <c r="B34" s="280" t="s">
        <v>14</v>
      </c>
      <c r="C34" s="292" t="s">
        <v>32</v>
      </c>
      <c r="D34" s="275">
        <v>23000</v>
      </c>
      <c r="E34" s="275">
        <v>21000</v>
      </c>
      <c r="F34" s="283">
        <v>19000</v>
      </c>
      <c r="G34" s="299">
        <v>16000</v>
      </c>
      <c r="H34" s="270">
        <v>14000</v>
      </c>
      <c r="I34" s="270">
        <v>13000</v>
      </c>
      <c r="J34" s="270">
        <v>10000</v>
      </c>
      <c r="K34" s="270">
        <v>8000</v>
      </c>
      <c r="L34" s="270">
        <v>8000</v>
      </c>
      <c r="M34" s="270">
        <v>8000</v>
      </c>
      <c r="O34" s="270">
        <v>2500</v>
      </c>
      <c r="P34" s="270">
        <v>4000</v>
      </c>
    </row>
    <row r="35" spans="1:16">
      <c r="A35" s="291"/>
      <c r="B35" s="280" t="s">
        <v>14</v>
      </c>
      <c r="C35" s="292" t="s">
        <v>34</v>
      </c>
      <c r="D35" s="275">
        <v>18000</v>
      </c>
      <c r="E35" s="275">
        <v>19000</v>
      </c>
      <c r="F35" s="283">
        <v>19000</v>
      </c>
      <c r="G35" s="299">
        <v>19000</v>
      </c>
      <c r="H35" s="270">
        <v>19500</v>
      </c>
      <c r="I35" s="270">
        <v>19500</v>
      </c>
      <c r="J35" s="270">
        <v>19500</v>
      </c>
      <c r="K35" s="270">
        <v>19500</v>
      </c>
      <c r="L35" s="270">
        <v>20000</v>
      </c>
      <c r="M35" s="270">
        <v>20000</v>
      </c>
      <c r="O35" s="270">
        <v>20000</v>
      </c>
      <c r="P35" s="270">
        <v>20000</v>
      </c>
    </row>
    <row r="36" spans="1:16">
      <c r="A36" s="291"/>
      <c r="B36" s="280" t="s">
        <v>14</v>
      </c>
      <c r="C36" s="292" t="s">
        <v>36</v>
      </c>
      <c r="D36" s="274">
        <v>50</v>
      </c>
      <c r="E36" s="274">
        <v>50</v>
      </c>
      <c r="F36" s="270">
        <v>50</v>
      </c>
      <c r="G36" s="299">
        <v>50</v>
      </c>
      <c r="H36" s="270">
        <v>50</v>
      </c>
      <c r="I36" s="270">
        <v>50</v>
      </c>
      <c r="J36" s="270">
        <v>50</v>
      </c>
      <c r="K36" s="270">
        <v>50</v>
      </c>
      <c r="L36" s="270">
        <v>50</v>
      </c>
      <c r="M36" s="270">
        <v>50</v>
      </c>
      <c r="O36" s="270">
        <v>50</v>
      </c>
      <c r="P36" s="270">
        <v>50</v>
      </c>
    </row>
    <row r="37" spans="1:16">
      <c r="A37" s="291"/>
      <c r="B37" s="280" t="s">
        <v>14</v>
      </c>
      <c r="C37" s="292" t="s">
        <v>38</v>
      </c>
      <c r="D37" s="274">
        <v>20</v>
      </c>
      <c r="E37" s="274">
        <v>20</v>
      </c>
      <c r="F37" s="270">
        <v>20</v>
      </c>
      <c r="G37" s="299">
        <v>20</v>
      </c>
      <c r="H37" s="270">
        <v>20</v>
      </c>
      <c r="I37" s="270">
        <v>20</v>
      </c>
      <c r="J37" s="270">
        <v>20</v>
      </c>
      <c r="K37" s="270">
        <v>20</v>
      </c>
      <c r="L37" s="270">
        <v>20</v>
      </c>
      <c r="M37" s="270">
        <v>20</v>
      </c>
      <c r="O37" s="270">
        <v>20</v>
      </c>
      <c r="P37" s="270">
        <v>20</v>
      </c>
    </row>
    <row r="38" spans="1:16">
      <c r="A38" s="291"/>
      <c r="B38" s="280" t="s">
        <v>14</v>
      </c>
      <c r="C38" s="292" t="s">
        <v>40</v>
      </c>
      <c r="D38" s="274">
        <v>635</v>
      </c>
      <c r="E38" s="274">
        <v>635</v>
      </c>
      <c r="F38" s="270">
        <v>635</v>
      </c>
      <c r="G38" s="299">
        <v>635</v>
      </c>
      <c r="H38" s="270">
        <v>635</v>
      </c>
      <c r="I38" s="270">
        <v>635</v>
      </c>
      <c r="J38" s="270">
        <v>635</v>
      </c>
      <c r="K38" s="270">
        <v>635</v>
      </c>
      <c r="L38" s="270">
        <v>635</v>
      </c>
      <c r="M38" s="270">
        <v>635</v>
      </c>
      <c r="O38" s="270">
        <v>635</v>
      </c>
      <c r="P38" s="270">
        <v>635</v>
      </c>
    </row>
    <row r="39" spans="1:16" ht="15.75" thickBot="1">
      <c r="A39" s="293"/>
      <c r="B39" s="294" t="s">
        <v>14</v>
      </c>
      <c r="C39" s="295" t="s">
        <v>1</v>
      </c>
      <c r="D39" s="275">
        <v>185849</v>
      </c>
      <c r="E39" s="275">
        <v>185404</v>
      </c>
      <c r="F39" s="283">
        <v>183844</v>
      </c>
      <c r="G39" s="299">
        <v>183405</v>
      </c>
      <c r="H39" s="270">
        <v>183920</v>
      </c>
      <c r="I39" s="270">
        <v>183150</v>
      </c>
      <c r="J39" s="270">
        <v>181155</v>
      </c>
      <c r="K39" s="270">
        <v>180296</v>
      </c>
      <c r="L39" s="270">
        <v>182090</v>
      </c>
      <c r="M39" s="270">
        <v>183526</v>
      </c>
      <c r="O39" s="270">
        <v>182873</v>
      </c>
      <c r="P39" s="270">
        <v>183611</v>
      </c>
    </row>
    <row r="40" spans="1:16">
      <c r="A40" s="296"/>
      <c r="B40" s="298" t="s">
        <v>301</v>
      </c>
      <c r="C40" s="290" t="s">
        <v>24</v>
      </c>
      <c r="D40" s="275">
        <v>52544</v>
      </c>
      <c r="E40" s="275">
        <v>52544</v>
      </c>
      <c r="F40" s="283">
        <v>55094</v>
      </c>
      <c r="G40" s="299">
        <v>55094</v>
      </c>
      <c r="H40" s="270">
        <v>55094</v>
      </c>
      <c r="I40" s="270">
        <v>55094</v>
      </c>
      <c r="J40" s="270">
        <v>53094</v>
      </c>
      <c r="K40" s="270">
        <v>52594</v>
      </c>
      <c r="L40" s="270">
        <v>52683</v>
      </c>
      <c r="M40" s="270">
        <v>52483</v>
      </c>
      <c r="O40" s="270">
        <v>52483</v>
      </c>
      <c r="P40" s="270">
        <v>52483</v>
      </c>
    </row>
    <row r="41" spans="1:16">
      <c r="A41" s="291"/>
      <c r="B41" s="280" t="s">
        <v>301</v>
      </c>
      <c r="C41" s="292" t="s">
        <v>27</v>
      </c>
      <c r="D41" s="275">
        <v>132341</v>
      </c>
      <c r="E41" s="275">
        <v>133341</v>
      </c>
      <c r="F41" s="283">
        <v>134341</v>
      </c>
      <c r="G41" s="299">
        <v>134341</v>
      </c>
      <c r="H41" s="270">
        <v>136341</v>
      </c>
      <c r="I41" s="270">
        <v>137341</v>
      </c>
      <c r="J41" s="270">
        <v>136341</v>
      </c>
      <c r="K41" s="270">
        <v>134958</v>
      </c>
      <c r="L41" s="270">
        <v>134982</v>
      </c>
      <c r="M41" s="270">
        <v>139982</v>
      </c>
      <c r="O41" s="270">
        <v>141988</v>
      </c>
      <c r="P41" s="270">
        <v>141988</v>
      </c>
    </row>
    <row r="42" spans="1:16">
      <c r="A42" s="291"/>
      <c r="B42" s="280" t="s">
        <v>301</v>
      </c>
      <c r="C42" s="292" t="s">
        <v>29</v>
      </c>
      <c r="D42" s="275">
        <v>18804</v>
      </c>
      <c r="E42" s="275">
        <v>19249</v>
      </c>
      <c r="F42" s="283">
        <v>19249</v>
      </c>
      <c r="G42" s="299">
        <v>19396</v>
      </c>
      <c r="H42" s="270">
        <v>19541</v>
      </c>
      <c r="I42" s="270">
        <v>19541</v>
      </c>
      <c r="J42" s="270">
        <v>19541</v>
      </c>
      <c r="K42" s="270">
        <v>19541</v>
      </c>
      <c r="L42" s="270">
        <v>19541</v>
      </c>
      <c r="M42" s="270">
        <v>19541</v>
      </c>
      <c r="O42" s="270">
        <v>19041</v>
      </c>
      <c r="P42" s="270">
        <v>19041</v>
      </c>
    </row>
    <row r="43" spans="1:16">
      <c r="A43" s="291"/>
      <c r="B43" s="280" t="s">
        <v>301</v>
      </c>
      <c r="C43" s="292" t="s">
        <v>32</v>
      </c>
      <c r="D43" s="275">
        <v>525862</v>
      </c>
      <c r="E43" s="275">
        <v>524362</v>
      </c>
      <c r="F43" s="283">
        <v>522362</v>
      </c>
      <c r="G43" s="299">
        <v>519286</v>
      </c>
      <c r="H43" s="270">
        <v>517286</v>
      </c>
      <c r="I43" s="270">
        <v>519203</v>
      </c>
      <c r="J43" s="270">
        <v>516203</v>
      </c>
      <c r="K43" s="270">
        <v>514203</v>
      </c>
      <c r="L43" s="270">
        <v>514203</v>
      </c>
      <c r="M43" s="270">
        <v>514203</v>
      </c>
      <c r="O43" s="270">
        <v>3294</v>
      </c>
      <c r="P43" s="270">
        <v>510203</v>
      </c>
    </row>
    <row r="44" spans="1:16">
      <c r="A44" s="291"/>
      <c r="B44" s="280" t="s">
        <v>301</v>
      </c>
      <c r="C44" s="292" t="s">
        <v>34</v>
      </c>
      <c r="D44" s="275">
        <v>85983</v>
      </c>
      <c r="E44" s="275">
        <v>85481</v>
      </c>
      <c r="F44" s="283">
        <v>85481</v>
      </c>
      <c r="G44" s="299">
        <v>85281</v>
      </c>
      <c r="H44" s="270">
        <v>84746</v>
      </c>
      <c r="I44" s="270">
        <v>84790</v>
      </c>
      <c r="J44" s="270">
        <v>84735</v>
      </c>
      <c r="K44" s="270">
        <v>84735</v>
      </c>
      <c r="L44" s="270">
        <v>86626</v>
      </c>
      <c r="M44" s="270">
        <v>86626</v>
      </c>
      <c r="O44" s="270">
        <v>86626</v>
      </c>
      <c r="P44" s="270">
        <v>86626</v>
      </c>
    </row>
    <row r="45" spans="1:16">
      <c r="A45" s="291"/>
      <c r="B45" s="280" t="s">
        <v>301</v>
      </c>
      <c r="C45" s="292" t="s">
        <v>36</v>
      </c>
      <c r="D45" s="275">
        <v>14908</v>
      </c>
      <c r="E45" s="275">
        <v>14308</v>
      </c>
      <c r="F45" s="283">
        <v>13808</v>
      </c>
      <c r="G45" s="299">
        <v>13808</v>
      </c>
      <c r="H45" s="270">
        <v>13808</v>
      </c>
      <c r="I45" s="270">
        <v>14058</v>
      </c>
      <c r="J45" s="270">
        <v>14058</v>
      </c>
      <c r="K45" s="270">
        <v>14808</v>
      </c>
      <c r="L45" s="270">
        <v>14808</v>
      </c>
      <c r="M45" s="270">
        <v>14808</v>
      </c>
      <c r="O45" s="270">
        <v>14808</v>
      </c>
      <c r="P45" s="270">
        <v>14808</v>
      </c>
    </row>
    <row r="46" spans="1:16">
      <c r="A46" s="291"/>
      <c r="B46" s="280" t="s">
        <v>301</v>
      </c>
      <c r="C46" s="292" t="s">
        <v>38</v>
      </c>
      <c r="D46" s="275">
        <v>28780</v>
      </c>
      <c r="E46" s="275">
        <v>28780</v>
      </c>
      <c r="F46" s="283">
        <v>27680</v>
      </c>
      <c r="G46" s="299">
        <v>27680</v>
      </c>
      <c r="H46" s="270">
        <v>28087</v>
      </c>
      <c r="I46" s="270">
        <v>28087</v>
      </c>
      <c r="J46" s="270">
        <v>27587</v>
      </c>
      <c r="K46" s="270">
        <v>27887</v>
      </c>
      <c r="L46" s="270">
        <v>27887</v>
      </c>
      <c r="M46" s="270">
        <v>27462</v>
      </c>
      <c r="O46" s="270">
        <v>27462</v>
      </c>
      <c r="P46" s="270">
        <v>27462</v>
      </c>
    </row>
    <row r="47" spans="1:16">
      <c r="A47" s="291"/>
      <c r="B47" s="280" t="s">
        <v>301</v>
      </c>
      <c r="C47" s="292" t="s">
        <v>40</v>
      </c>
      <c r="D47" s="275">
        <v>432795</v>
      </c>
      <c r="E47" s="275">
        <v>432387</v>
      </c>
      <c r="F47" s="283">
        <v>431535</v>
      </c>
      <c r="G47" s="299">
        <v>429997</v>
      </c>
      <c r="H47" s="270">
        <v>429997</v>
      </c>
      <c r="I47" s="270">
        <v>423060</v>
      </c>
      <c r="J47" s="270">
        <v>423060</v>
      </c>
      <c r="K47" s="270">
        <v>423060</v>
      </c>
      <c r="L47" s="270">
        <v>423060</v>
      </c>
      <c r="M47" s="270">
        <v>423060</v>
      </c>
      <c r="O47" s="270">
        <v>423060</v>
      </c>
      <c r="P47" s="270">
        <v>423060</v>
      </c>
    </row>
    <row r="48" spans="1:16" ht="15.75" thickBot="1">
      <c r="A48" s="293"/>
      <c r="B48" s="294" t="s">
        <v>301</v>
      </c>
      <c r="C48" s="295" t="s">
        <v>1</v>
      </c>
      <c r="D48" s="275">
        <v>1714193</v>
      </c>
      <c r="E48" s="275">
        <v>1713599</v>
      </c>
      <c r="F48" s="283">
        <v>1713688</v>
      </c>
      <c r="G48" s="299">
        <v>1717027</v>
      </c>
      <c r="H48" s="270">
        <v>1718027</v>
      </c>
      <c r="I48" s="270">
        <v>1714957</v>
      </c>
      <c r="J48" s="270">
        <v>1709431</v>
      </c>
      <c r="K48" s="270">
        <v>1708417</v>
      </c>
      <c r="L48" s="270">
        <v>1711521</v>
      </c>
      <c r="M48" s="270">
        <v>1720875</v>
      </c>
      <c r="O48" s="270">
        <v>1723858</v>
      </c>
      <c r="P48" s="270">
        <v>1725336</v>
      </c>
    </row>
    <row r="49" spans="1:16">
      <c r="A49" s="296"/>
      <c r="B49" s="298" t="s">
        <v>19</v>
      </c>
      <c r="C49" s="290" t="s">
        <v>24</v>
      </c>
      <c r="D49" s="275">
        <v>36000</v>
      </c>
      <c r="E49" s="275">
        <v>36000</v>
      </c>
      <c r="F49" s="283">
        <v>36000</v>
      </c>
      <c r="G49" s="299">
        <v>36000</v>
      </c>
      <c r="H49" s="270">
        <v>36000</v>
      </c>
      <c r="I49" s="270">
        <v>36000</v>
      </c>
      <c r="J49" s="270">
        <v>36000</v>
      </c>
      <c r="K49" s="270">
        <v>36000</v>
      </c>
      <c r="L49" s="270">
        <v>36000</v>
      </c>
      <c r="M49" s="270">
        <v>35500</v>
      </c>
      <c r="O49" s="270">
        <v>34500</v>
      </c>
      <c r="P49" s="270">
        <v>34500</v>
      </c>
    </row>
    <row r="50" spans="1:16">
      <c r="A50" s="291"/>
      <c r="B50" s="280" t="s">
        <v>19</v>
      </c>
      <c r="C50" s="292" t="s">
        <v>27</v>
      </c>
      <c r="D50" s="275">
        <v>49000</v>
      </c>
      <c r="E50" s="275">
        <v>49000</v>
      </c>
      <c r="F50" s="283">
        <v>49000</v>
      </c>
      <c r="G50" s="299">
        <v>48000</v>
      </c>
      <c r="H50" s="270">
        <v>48000</v>
      </c>
      <c r="I50" s="270">
        <v>47000</v>
      </c>
      <c r="J50" s="270">
        <v>46000</v>
      </c>
      <c r="K50" s="270">
        <v>44000</v>
      </c>
      <c r="L50" s="270">
        <v>44000</v>
      </c>
      <c r="M50" s="270">
        <v>43000</v>
      </c>
      <c r="O50" s="270">
        <v>43000</v>
      </c>
      <c r="P50" s="270">
        <v>43000</v>
      </c>
    </row>
    <row r="51" spans="1:16">
      <c r="A51" s="291"/>
      <c r="B51" s="280" t="s">
        <v>19</v>
      </c>
      <c r="C51" s="292" t="s">
        <v>29</v>
      </c>
      <c r="D51" s="275">
        <v>1700</v>
      </c>
      <c r="E51" s="275">
        <v>1900</v>
      </c>
      <c r="F51" s="283">
        <v>1900</v>
      </c>
      <c r="G51" s="299">
        <v>1900</v>
      </c>
      <c r="H51" s="270">
        <v>2100</v>
      </c>
      <c r="I51" s="270">
        <v>2100</v>
      </c>
      <c r="J51" s="270">
        <v>2100</v>
      </c>
      <c r="K51" s="270">
        <v>2100</v>
      </c>
      <c r="L51" s="270">
        <v>2200</v>
      </c>
      <c r="M51" s="270">
        <v>2200</v>
      </c>
      <c r="O51" s="270">
        <v>2750</v>
      </c>
      <c r="P51" s="270">
        <v>2750</v>
      </c>
    </row>
    <row r="52" spans="1:16">
      <c r="A52" s="291"/>
      <c r="B52" s="280" t="s">
        <v>19</v>
      </c>
      <c r="C52" s="292" t="s">
        <v>32</v>
      </c>
      <c r="D52" s="274">
        <v>20</v>
      </c>
      <c r="E52" s="274">
        <v>20</v>
      </c>
      <c r="F52" s="270">
        <v>20</v>
      </c>
      <c r="G52" s="299">
        <v>20</v>
      </c>
      <c r="H52" s="270">
        <v>20</v>
      </c>
      <c r="I52" s="270">
        <v>20</v>
      </c>
      <c r="J52" s="270">
        <v>20</v>
      </c>
      <c r="K52" s="270">
        <v>20</v>
      </c>
      <c r="L52" s="270">
        <v>20</v>
      </c>
      <c r="M52" s="270">
        <v>20</v>
      </c>
      <c r="O52" s="270">
        <v>20</v>
      </c>
      <c r="P52" s="270">
        <v>20</v>
      </c>
    </row>
    <row r="53" spans="1:16">
      <c r="A53" s="291"/>
      <c r="B53" s="280" t="s">
        <v>19</v>
      </c>
      <c r="C53" s="292" t="s">
        <v>34</v>
      </c>
      <c r="D53" s="275">
        <v>3500</v>
      </c>
      <c r="E53" s="275">
        <v>3300</v>
      </c>
      <c r="F53" s="283">
        <v>3300</v>
      </c>
      <c r="G53" s="299">
        <v>3300</v>
      </c>
      <c r="H53" s="270">
        <v>2500</v>
      </c>
      <c r="I53" s="270">
        <v>2500</v>
      </c>
      <c r="J53" s="270">
        <v>2500</v>
      </c>
      <c r="K53" s="270">
        <v>2500</v>
      </c>
      <c r="L53" s="270">
        <v>2500</v>
      </c>
      <c r="M53" s="270">
        <v>2400</v>
      </c>
      <c r="O53" s="270">
        <v>2400</v>
      </c>
      <c r="P53" s="270">
        <v>2400</v>
      </c>
    </row>
    <row r="54" spans="1:16">
      <c r="A54" s="291"/>
      <c r="B54" s="280" t="s">
        <v>19</v>
      </c>
      <c r="C54" s="292" t="s">
        <v>36</v>
      </c>
      <c r="D54" s="275">
        <v>4200</v>
      </c>
      <c r="E54" s="275">
        <v>3800</v>
      </c>
      <c r="F54" s="283">
        <v>3300</v>
      </c>
      <c r="G54" s="299">
        <v>3300</v>
      </c>
      <c r="H54" s="270">
        <v>3300</v>
      </c>
      <c r="I54" s="270">
        <v>3300</v>
      </c>
      <c r="J54" s="270">
        <v>3300</v>
      </c>
      <c r="K54" s="270">
        <v>3300</v>
      </c>
      <c r="L54" s="270">
        <v>3300</v>
      </c>
      <c r="M54" s="270">
        <v>3300</v>
      </c>
      <c r="O54" s="270">
        <v>3300</v>
      </c>
      <c r="P54" s="270">
        <v>3300</v>
      </c>
    </row>
    <row r="55" spans="1:16" ht="13.5" customHeight="1">
      <c r="A55" s="291"/>
      <c r="B55" s="280" t="s">
        <v>19</v>
      </c>
      <c r="C55" s="292" t="s">
        <v>38</v>
      </c>
      <c r="D55" s="275">
        <v>24000</v>
      </c>
      <c r="E55" s="275">
        <v>24000</v>
      </c>
      <c r="F55" s="283">
        <v>23000</v>
      </c>
      <c r="G55" s="299">
        <v>23000</v>
      </c>
      <c r="H55" s="270">
        <v>23000</v>
      </c>
      <c r="I55" s="270">
        <v>23000</v>
      </c>
      <c r="J55" s="270">
        <v>22000</v>
      </c>
      <c r="K55" s="270">
        <v>22000</v>
      </c>
      <c r="L55" s="270">
        <v>22000</v>
      </c>
      <c r="M55" s="270">
        <v>22000</v>
      </c>
      <c r="O55" s="270">
        <v>22000</v>
      </c>
      <c r="P55" s="270">
        <v>21000</v>
      </c>
    </row>
    <row r="56" spans="1:16">
      <c r="A56" s="291"/>
      <c r="B56" s="280" t="s">
        <v>19</v>
      </c>
      <c r="C56" s="292" t="s">
        <v>40</v>
      </c>
      <c r="D56" s="275">
        <v>58423</v>
      </c>
      <c r="E56" s="275">
        <v>58423</v>
      </c>
      <c r="F56" s="283">
        <v>59058</v>
      </c>
      <c r="G56" s="299">
        <v>59058</v>
      </c>
      <c r="H56" s="270">
        <v>62868</v>
      </c>
      <c r="I56" s="270">
        <v>62233</v>
      </c>
      <c r="J56" s="270">
        <v>62233</v>
      </c>
      <c r="K56" s="270">
        <v>62233</v>
      </c>
      <c r="L56" s="270">
        <v>64773</v>
      </c>
      <c r="M56" s="270">
        <v>66043</v>
      </c>
      <c r="O56" s="270">
        <v>69853</v>
      </c>
      <c r="P56" s="270">
        <v>71631</v>
      </c>
    </row>
    <row r="57" spans="1:16" ht="15.75" thickBot="1">
      <c r="A57" s="293"/>
      <c r="B57" s="294" t="s">
        <v>19</v>
      </c>
      <c r="C57" s="295" t="s">
        <v>1</v>
      </c>
      <c r="D57" s="275">
        <v>191467</v>
      </c>
      <c r="E57" s="275">
        <v>191367</v>
      </c>
      <c r="F57" s="283">
        <v>190503</v>
      </c>
      <c r="G57" s="299">
        <v>189827</v>
      </c>
      <c r="H57" s="270">
        <v>193043</v>
      </c>
      <c r="I57" s="270">
        <v>191408</v>
      </c>
      <c r="J57" s="270">
        <v>189233</v>
      </c>
      <c r="K57" s="270">
        <v>186358</v>
      </c>
      <c r="L57" s="270">
        <v>188683</v>
      </c>
      <c r="M57" s="270">
        <v>189352</v>
      </c>
      <c r="O57" s="270">
        <v>192572</v>
      </c>
      <c r="P57" s="270">
        <v>193636</v>
      </c>
    </row>
    <row r="58" spans="1:16">
      <c r="A58" s="296"/>
      <c r="B58" s="274" t="s">
        <v>17</v>
      </c>
      <c r="C58" s="290" t="s">
        <v>24</v>
      </c>
      <c r="D58" s="275">
        <v>10300</v>
      </c>
      <c r="E58" s="275">
        <v>10300</v>
      </c>
      <c r="F58" s="283">
        <v>12000</v>
      </c>
      <c r="G58" s="299">
        <v>12000</v>
      </c>
      <c r="H58" s="270">
        <v>12000</v>
      </c>
      <c r="I58" s="270">
        <v>12000</v>
      </c>
      <c r="J58" s="270">
        <v>10000</v>
      </c>
      <c r="K58" s="270">
        <v>10000</v>
      </c>
      <c r="L58" s="270">
        <v>10000</v>
      </c>
      <c r="M58" s="270">
        <v>10200</v>
      </c>
      <c r="O58" s="270">
        <v>10800</v>
      </c>
      <c r="P58" s="270">
        <v>10800</v>
      </c>
    </row>
    <row r="59" spans="1:16">
      <c r="A59" s="291"/>
      <c r="B59" s="274" t="s">
        <v>17</v>
      </c>
      <c r="C59" s="292" t="s">
        <v>27</v>
      </c>
      <c r="D59" s="275">
        <v>64000</v>
      </c>
      <c r="E59" s="275">
        <v>63000</v>
      </c>
      <c r="F59" s="283">
        <v>63000</v>
      </c>
      <c r="G59" s="299">
        <v>63000</v>
      </c>
      <c r="H59" s="270">
        <v>64000</v>
      </c>
      <c r="I59" s="270">
        <v>64000</v>
      </c>
      <c r="J59" s="270">
        <v>64000</v>
      </c>
      <c r="K59" s="270">
        <v>64500</v>
      </c>
      <c r="L59" s="270">
        <v>64500</v>
      </c>
      <c r="M59" s="270">
        <v>64500</v>
      </c>
      <c r="O59" s="270">
        <v>64500</v>
      </c>
      <c r="P59" s="270">
        <v>64500</v>
      </c>
    </row>
    <row r="60" spans="1:16" ht="14.45" customHeight="1">
      <c r="A60" s="291"/>
      <c r="B60" s="274" t="s">
        <v>17</v>
      </c>
      <c r="C60" s="292" t="s">
        <v>29</v>
      </c>
      <c r="D60" s="275">
        <v>10000</v>
      </c>
      <c r="E60" s="275">
        <v>10200</v>
      </c>
      <c r="F60" s="283">
        <v>10200</v>
      </c>
      <c r="G60" s="299">
        <v>10000</v>
      </c>
      <c r="H60" s="270">
        <v>10000</v>
      </c>
      <c r="I60" s="270">
        <v>10000</v>
      </c>
      <c r="J60" s="270">
        <v>9600</v>
      </c>
      <c r="K60" s="270">
        <v>9600</v>
      </c>
      <c r="L60" s="270">
        <v>9600</v>
      </c>
      <c r="M60" s="270">
        <v>9600</v>
      </c>
      <c r="O60" s="270">
        <v>9200</v>
      </c>
      <c r="P60" s="270">
        <v>9200</v>
      </c>
    </row>
    <row r="61" spans="1:16">
      <c r="A61" s="291"/>
      <c r="B61" s="274" t="s">
        <v>17</v>
      </c>
      <c r="C61" s="292" t="s">
        <v>32</v>
      </c>
      <c r="D61" s="275">
        <v>231000</v>
      </c>
      <c r="E61" s="275">
        <v>231000</v>
      </c>
      <c r="F61" s="283">
        <v>231000</v>
      </c>
      <c r="G61" s="299">
        <v>231000</v>
      </c>
      <c r="H61" s="270">
        <v>231000</v>
      </c>
      <c r="I61" s="270">
        <v>231000</v>
      </c>
      <c r="J61" s="270">
        <v>231000</v>
      </c>
      <c r="K61" s="270">
        <v>231000</v>
      </c>
      <c r="L61" s="270">
        <v>231000</v>
      </c>
      <c r="M61" s="270">
        <v>234000</v>
      </c>
      <c r="O61" s="270">
        <v>2750</v>
      </c>
      <c r="P61" s="270">
        <v>234000</v>
      </c>
    </row>
    <row r="62" spans="1:16">
      <c r="A62" s="291"/>
      <c r="B62" s="274" t="s">
        <v>17</v>
      </c>
      <c r="C62" s="292" t="s">
        <v>34</v>
      </c>
      <c r="D62" s="275">
        <v>55800</v>
      </c>
      <c r="E62" s="275">
        <v>55500</v>
      </c>
      <c r="F62" s="283">
        <v>55500</v>
      </c>
      <c r="G62" s="299">
        <v>55300</v>
      </c>
      <c r="H62" s="270">
        <v>56000</v>
      </c>
      <c r="I62" s="270">
        <v>56000</v>
      </c>
      <c r="J62" s="270">
        <v>56000</v>
      </c>
      <c r="K62" s="270">
        <v>56000</v>
      </c>
      <c r="L62" s="270">
        <v>57700</v>
      </c>
      <c r="M62" s="270">
        <v>58200</v>
      </c>
      <c r="O62" s="270">
        <v>58200</v>
      </c>
      <c r="P62" s="270">
        <v>58000</v>
      </c>
    </row>
    <row r="63" spans="1:16">
      <c r="A63" s="291"/>
      <c r="B63" s="274" t="s">
        <v>17</v>
      </c>
      <c r="C63" s="292" t="s">
        <v>36</v>
      </c>
      <c r="D63" s="275">
        <v>9200</v>
      </c>
      <c r="E63" s="275">
        <v>9100</v>
      </c>
      <c r="F63" s="283">
        <v>9100</v>
      </c>
      <c r="G63" s="299">
        <v>9100</v>
      </c>
      <c r="H63" s="270">
        <v>9100</v>
      </c>
      <c r="I63" s="270">
        <v>9300</v>
      </c>
      <c r="J63" s="270">
        <v>9300</v>
      </c>
      <c r="K63" s="270">
        <v>9500</v>
      </c>
      <c r="L63" s="270">
        <v>9500</v>
      </c>
      <c r="M63" s="270">
        <v>9500</v>
      </c>
      <c r="O63" s="270">
        <v>9500</v>
      </c>
      <c r="P63" s="270">
        <v>9500</v>
      </c>
    </row>
    <row r="64" spans="1:16">
      <c r="A64" s="291"/>
      <c r="B64" s="274" t="s">
        <v>17</v>
      </c>
      <c r="C64" s="292" t="s">
        <v>38</v>
      </c>
      <c r="D64" s="275">
        <v>3100</v>
      </c>
      <c r="E64" s="275">
        <v>3100</v>
      </c>
      <c r="F64" s="283">
        <v>3100</v>
      </c>
      <c r="G64" s="299">
        <v>3100</v>
      </c>
      <c r="H64" s="270">
        <v>3500</v>
      </c>
      <c r="I64" s="270">
        <v>3500</v>
      </c>
      <c r="J64" s="270">
        <v>4000</v>
      </c>
      <c r="K64" s="270">
        <v>4200</v>
      </c>
      <c r="L64" s="270">
        <v>4200</v>
      </c>
      <c r="M64" s="270">
        <v>4200</v>
      </c>
      <c r="O64" s="270">
        <v>4200</v>
      </c>
      <c r="P64" s="270">
        <v>4800</v>
      </c>
    </row>
    <row r="65" spans="1:16">
      <c r="A65" s="291"/>
      <c r="B65" s="274" t="s">
        <v>17</v>
      </c>
      <c r="C65" s="292" t="s">
        <v>40</v>
      </c>
      <c r="D65" s="275">
        <v>147962</v>
      </c>
      <c r="E65" s="275">
        <v>147962</v>
      </c>
      <c r="F65" s="283">
        <v>147962</v>
      </c>
      <c r="G65" s="299">
        <v>147962</v>
      </c>
      <c r="H65" s="270">
        <v>147962</v>
      </c>
      <c r="I65" s="270">
        <v>146692</v>
      </c>
      <c r="J65" s="270">
        <v>146692</v>
      </c>
      <c r="K65" s="270">
        <v>146692</v>
      </c>
      <c r="L65" s="270">
        <v>146057</v>
      </c>
      <c r="M65" s="270">
        <v>146057</v>
      </c>
      <c r="O65" s="270">
        <v>144152</v>
      </c>
      <c r="P65" s="270">
        <v>144152</v>
      </c>
    </row>
    <row r="66" spans="1:16" ht="12.95" customHeight="1" thickBot="1">
      <c r="A66" s="293"/>
      <c r="B66" s="294" t="s">
        <v>17</v>
      </c>
      <c r="C66" s="295" t="s">
        <v>1</v>
      </c>
      <c r="D66" s="275">
        <v>772802</v>
      </c>
      <c r="E66" s="275">
        <v>772182</v>
      </c>
      <c r="F66" s="283">
        <v>774272</v>
      </c>
      <c r="G66" s="299">
        <v>776498</v>
      </c>
      <c r="H66" s="270">
        <v>779363</v>
      </c>
      <c r="I66" s="270">
        <v>778333</v>
      </c>
      <c r="J66" s="270">
        <v>777503</v>
      </c>
      <c r="K66" s="270">
        <v>779415</v>
      </c>
      <c r="L66" s="270">
        <v>781191</v>
      </c>
      <c r="M66" s="270">
        <v>781921</v>
      </c>
      <c r="O66" s="270">
        <v>784187</v>
      </c>
      <c r="P66" s="270">
        <v>786332</v>
      </c>
    </row>
    <row r="67" spans="1:16" ht="14.45" customHeight="1">
      <c r="A67" s="296"/>
      <c r="B67" s="274" t="s">
        <v>18</v>
      </c>
      <c r="C67" s="290" t="s">
        <v>24</v>
      </c>
      <c r="D67" s="275">
        <v>4500</v>
      </c>
      <c r="E67" s="275">
        <v>4500</v>
      </c>
      <c r="F67" s="283">
        <v>4300</v>
      </c>
      <c r="G67" s="299">
        <v>4300</v>
      </c>
      <c r="H67" s="270">
        <v>4300</v>
      </c>
      <c r="I67" s="270">
        <v>4300</v>
      </c>
      <c r="J67" s="270">
        <v>4300</v>
      </c>
      <c r="K67" s="270">
        <v>4300</v>
      </c>
      <c r="L67" s="270">
        <v>4300</v>
      </c>
      <c r="M67" s="270">
        <v>4400</v>
      </c>
      <c r="O67" s="270">
        <v>4400</v>
      </c>
      <c r="P67" s="270">
        <v>4400</v>
      </c>
    </row>
    <row r="68" spans="1:16">
      <c r="A68" s="291"/>
      <c r="B68" s="274" t="s">
        <v>18</v>
      </c>
      <c r="C68" s="292" t="s">
        <v>27</v>
      </c>
      <c r="D68" s="275">
        <v>16500</v>
      </c>
      <c r="E68" s="275">
        <v>18500</v>
      </c>
      <c r="F68" s="283">
        <v>19500</v>
      </c>
      <c r="G68" s="299">
        <v>20500</v>
      </c>
      <c r="H68" s="270">
        <v>21500</v>
      </c>
      <c r="I68" s="270">
        <v>23500</v>
      </c>
      <c r="J68" s="270">
        <v>23500</v>
      </c>
      <c r="K68" s="270">
        <v>23500</v>
      </c>
      <c r="L68" s="270">
        <v>23500</v>
      </c>
      <c r="M68" s="270">
        <v>26500</v>
      </c>
      <c r="O68" s="270">
        <v>26500</v>
      </c>
      <c r="P68" s="270">
        <v>26500</v>
      </c>
    </row>
    <row r="69" spans="1:16">
      <c r="A69" s="291"/>
      <c r="B69" s="274" t="s">
        <v>18</v>
      </c>
      <c r="C69" s="292" t="s">
        <v>29</v>
      </c>
      <c r="D69" s="275">
        <v>5500</v>
      </c>
      <c r="E69" s="275">
        <v>5500</v>
      </c>
      <c r="F69" s="283">
        <v>5500</v>
      </c>
      <c r="G69" s="299">
        <v>5600</v>
      </c>
      <c r="H69" s="270">
        <v>5600</v>
      </c>
      <c r="I69" s="270">
        <v>5600</v>
      </c>
      <c r="J69" s="270">
        <v>5900</v>
      </c>
      <c r="K69" s="270">
        <v>5900</v>
      </c>
      <c r="L69" s="270">
        <v>5800</v>
      </c>
      <c r="M69" s="270">
        <v>5800</v>
      </c>
      <c r="O69" s="270">
        <v>5500</v>
      </c>
      <c r="P69" s="270">
        <v>5500</v>
      </c>
    </row>
    <row r="70" spans="1:16">
      <c r="A70" s="291"/>
      <c r="B70" s="274" t="s">
        <v>18</v>
      </c>
      <c r="C70" s="292" t="s">
        <v>32</v>
      </c>
      <c r="D70" s="275">
        <v>82000</v>
      </c>
      <c r="E70" s="275">
        <v>82000</v>
      </c>
      <c r="F70" s="283">
        <v>82000</v>
      </c>
      <c r="G70" s="299">
        <v>82000</v>
      </c>
      <c r="H70" s="270">
        <v>82000</v>
      </c>
      <c r="I70" s="270">
        <v>82000</v>
      </c>
      <c r="J70" s="270">
        <v>82000</v>
      </c>
      <c r="K70" s="270">
        <v>82000</v>
      </c>
      <c r="L70" s="270">
        <v>82000</v>
      </c>
      <c r="M70" s="270">
        <v>82000</v>
      </c>
      <c r="O70" s="270">
        <v>325</v>
      </c>
      <c r="P70" s="270">
        <v>82000</v>
      </c>
    </row>
    <row r="71" spans="1:16">
      <c r="A71" s="291"/>
      <c r="B71" s="274" t="s">
        <v>18</v>
      </c>
      <c r="C71" s="292" t="s">
        <v>34</v>
      </c>
      <c r="D71" s="275">
        <v>19800</v>
      </c>
      <c r="E71" s="275">
        <v>19800</v>
      </c>
      <c r="F71" s="283">
        <v>19800</v>
      </c>
      <c r="G71" s="299">
        <v>19800</v>
      </c>
      <c r="H71" s="270">
        <v>19700</v>
      </c>
      <c r="I71" s="270">
        <v>19700</v>
      </c>
      <c r="J71" s="270">
        <v>19700</v>
      </c>
      <c r="K71" s="270">
        <v>19700</v>
      </c>
      <c r="L71" s="270">
        <v>19700</v>
      </c>
      <c r="M71" s="270">
        <v>19700</v>
      </c>
      <c r="O71" s="270">
        <v>19700</v>
      </c>
      <c r="P71" s="270">
        <v>20000</v>
      </c>
    </row>
    <row r="72" spans="1:16">
      <c r="A72" s="291"/>
      <c r="B72" s="274" t="s">
        <v>18</v>
      </c>
      <c r="C72" s="292" t="s">
        <v>36</v>
      </c>
      <c r="D72" s="275">
        <v>1100</v>
      </c>
      <c r="E72" s="275">
        <v>1100</v>
      </c>
      <c r="F72" s="283">
        <v>1100</v>
      </c>
      <c r="G72" s="299">
        <v>1100</v>
      </c>
      <c r="H72" s="270">
        <v>1100</v>
      </c>
      <c r="I72" s="270">
        <v>1100</v>
      </c>
      <c r="J72" s="270">
        <v>1100</v>
      </c>
      <c r="K72" s="270">
        <v>1100</v>
      </c>
      <c r="L72" s="270">
        <v>1100</v>
      </c>
      <c r="M72" s="270">
        <v>1100</v>
      </c>
      <c r="O72" s="270">
        <v>1100</v>
      </c>
      <c r="P72" s="270">
        <v>1100</v>
      </c>
    </row>
    <row r="73" spans="1:16">
      <c r="A73" s="291"/>
      <c r="B73" s="274" t="s">
        <v>18</v>
      </c>
      <c r="C73" s="292" t="s">
        <v>38</v>
      </c>
      <c r="D73" s="274">
        <v>950</v>
      </c>
      <c r="E73" s="274">
        <v>950</v>
      </c>
      <c r="F73" s="270">
        <v>950</v>
      </c>
      <c r="G73" s="299">
        <v>950</v>
      </c>
      <c r="H73" s="270">
        <v>950</v>
      </c>
      <c r="I73" s="270">
        <v>950</v>
      </c>
      <c r="J73" s="270">
        <v>950</v>
      </c>
      <c r="K73" s="270">
        <v>950</v>
      </c>
      <c r="L73" s="270">
        <v>950</v>
      </c>
      <c r="M73" s="270">
        <v>950</v>
      </c>
      <c r="O73" s="270">
        <v>950</v>
      </c>
      <c r="P73" s="270">
        <v>900</v>
      </c>
    </row>
    <row r="74" spans="1:16" ht="12.6" customHeight="1">
      <c r="A74" s="291"/>
      <c r="B74" s="274" t="s">
        <v>18</v>
      </c>
      <c r="C74" s="292" t="s">
        <v>40</v>
      </c>
      <c r="D74" s="275">
        <v>173744</v>
      </c>
      <c r="E74" s="275">
        <v>173744</v>
      </c>
      <c r="F74" s="283">
        <v>173744</v>
      </c>
      <c r="G74" s="299">
        <v>173744</v>
      </c>
      <c r="H74" s="270">
        <v>175014</v>
      </c>
      <c r="I74" s="270">
        <v>175014</v>
      </c>
      <c r="J74" s="270">
        <v>175014</v>
      </c>
      <c r="K74" s="270">
        <v>175014</v>
      </c>
      <c r="L74" s="270">
        <v>175014</v>
      </c>
      <c r="M74" s="270">
        <v>175014</v>
      </c>
      <c r="O74" s="270">
        <v>175014</v>
      </c>
      <c r="P74" s="270">
        <v>174125</v>
      </c>
    </row>
    <row r="75" spans="1:16" ht="15.75" thickBot="1">
      <c r="A75" s="293"/>
      <c r="B75" s="274" t="s">
        <v>18</v>
      </c>
      <c r="C75" s="295" t="s">
        <v>1</v>
      </c>
      <c r="D75" s="275">
        <v>439752</v>
      </c>
      <c r="E75" s="275">
        <v>441702</v>
      </c>
      <c r="F75" s="283">
        <v>442393</v>
      </c>
      <c r="G75" s="299">
        <v>446563</v>
      </c>
      <c r="H75" s="270">
        <v>449178</v>
      </c>
      <c r="I75" s="270">
        <v>451878</v>
      </c>
      <c r="J75" s="270">
        <v>452383</v>
      </c>
      <c r="K75" s="270">
        <v>453708</v>
      </c>
      <c r="L75" s="270">
        <v>453998</v>
      </c>
      <c r="M75" s="270">
        <v>462316</v>
      </c>
      <c r="O75" s="270">
        <v>462921</v>
      </c>
      <c r="P75" s="270">
        <v>462257</v>
      </c>
    </row>
    <row r="76" spans="1:16">
      <c r="A76" s="296"/>
      <c r="B76" s="298" t="s">
        <v>190</v>
      </c>
      <c r="C76" s="290" t="s">
        <v>24</v>
      </c>
      <c r="D76" s="275">
        <v>14800</v>
      </c>
      <c r="E76" s="275">
        <v>14800</v>
      </c>
      <c r="F76" s="283">
        <v>16300</v>
      </c>
      <c r="G76" s="299">
        <v>16300</v>
      </c>
      <c r="H76" s="270">
        <v>16300</v>
      </c>
      <c r="I76" s="270">
        <v>16300</v>
      </c>
      <c r="J76" s="270">
        <v>14300</v>
      </c>
      <c r="K76" s="270">
        <v>14300</v>
      </c>
      <c r="L76" s="270">
        <v>14300</v>
      </c>
      <c r="M76" s="270">
        <v>14600</v>
      </c>
      <c r="O76" s="270">
        <v>15200</v>
      </c>
      <c r="P76" s="270">
        <v>15200</v>
      </c>
    </row>
    <row r="77" spans="1:16" ht="30">
      <c r="A77" s="291"/>
      <c r="B77" s="280" t="s">
        <v>190</v>
      </c>
      <c r="C77" s="292" t="s">
        <v>27</v>
      </c>
      <c r="D77" s="275">
        <v>80500</v>
      </c>
      <c r="E77" s="275">
        <v>81500</v>
      </c>
      <c r="F77" s="283">
        <v>82500</v>
      </c>
      <c r="G77" s="299">
        <v>83500</v>
      </c>
      <c r="H77" s="270">
        <v>85500</v>
      </c>
      <c r="I77" s="270">
        <v>87500</v>
      </c>
      <c r="J77" s="270">
        <v>87500</v>
      </c>
      <c r="K77" s="270">
        <v>88000</v>
      </c>
      <c r="L77" s="270">
        <v>88000</v>
      </c>
      <c r="M77" s="270">
        <v>91000</v>
      </c>
      <c r="O77" s="270">
        <v>91000</v>
      </c>
      <c r="P77" s="270">
        <v>91000</v>
      </c>
    </row>
    <row r="78" spans="1:16" ht="30">
      <c r="A78" s="291"/>
      <c r="B78" s="280" t="s">
        <v>190</v>
      </c>
      <c r="C78" s="292" t="s">
        <v>29</v>
      </c>
      <c r="D78" s="275">
        <v>15500</v>
      </c>
      <c r="E78" s="275">
        <v>15700</v>
      </c>
      <c r="F78" s="283">
        <v>15700</v>
      </c>
      <c r="G78" s="299">
        <v>15600</v>
      </c>
      <c r="H78" s="270">
        <v>15600</v>
      </c>
      <c r="I78" s="270">
        <v>15600</v>
      </c>
      <c r="J78" s="270">
        <v>15500</v>
      </c>
      <c r="K78" s="270">
        <v>15500</v>
      </c>
      <c r="L78" s="270">
        <v>15400</v>
      </c>
      <c r="M78" s="270">
        <v>15400</v>
      </c>
      <c r="O78" s="270">
        <v>14700</v>
      </c>
      <c r="P78" s="270">
        <v>14700</v>
      </c>
    </row>
    <row r="79" spans="1:16" ht="30">
      <c r="A79" s="291"/>
      <c r="B79" s="280" t="s">
        <v>190</v>
      </c>
      <c r="C79" s="292" t="s">
        <v>32</v>
      </c>
      <c r="D79" s="275">
        <v>313000</v>
      </c>
      <c r="E79" s="275">
        <v>313000</v>
      </c>
      <c r="F79" s="283">
        <v>313000</v>
      </c>
      <c r="G79" s="299">
        <v>313000</v>
      </c>
      <c r="H79" s="270">
        <v>313000</v>
      </c>
      <c r="I79" s="270">
        <v>313000</v>
      </c>
      <c r="J79" s="270">
        <v>313000</v>
      </c>
      <c r="K79" s="270">
        <v>313000</v>
      </c>
      <c r="L79" s="270">
        <v>313000</v>
      </c>
      <c r="M79" s="270">
        <v>316000</v>
      </c>
      <c r="O79" s="270">
        <v>3075</v>
      </c>
      <c r="P79" s="270">
        <v>316000</v>
      </c>
    </row>
    <row r="80" spans="1:16" ht="30">
      <c r="A80" s="291"/>
      <c r="B80" s="280" t="s">
        <v>190</v>
      </c>
      <c r="C80" s="292" t="s">
        <v>34</v>
      </c>
      <c r="D80" s="275">
        <v>75600</v>
      </c>
      <c r="E80" s="275">
        <v>75300</v>
      </c>
      <c r="F80" s="283">
        <v>75300</v>
      </c>
      <c r="G80" s="299">
        <v>75100</v>
      </c>
      <c r="H80" s="270">
        <v>75700</v>
      </c>
      <c r="I80" s="270">
        <v>75700</v>
      </c>
      <c r="J80" s="270">
        <v>75700</v>
      </c>
      <c r="K80" s="270">
        <v>75700</v>
      </c>
      <c r="L80" s="270">
        <v>77400</v>
      </c>
      <c r="M80" s="270">
        <v>77900</v>
      </c>
      <c r="O80" s="270">
        <v>77900</v>
      </c>
      <c r="P80" s="270">
        <v>78000</v>
      </c>
    </row>
    <row r="81" spans="1:16" ht="30">
      <c r="A81" s="291"/>
      <c r="B81" s="280" t="s">
        <v>190</v>
      </c>
      <c r="C81" s="292" t="s">
        <v>36</v>
      </c>
      <c r="D81" s="275">
        <v>10300</v>
      </c>
      <c r="E81" s="275">
        <v>10200</v>
      </c>
      <c r="F81" s="283">
        <v>10200</v>
      </c>
      <c r="G81" s="299">
        <v>10200</v>
      </c>
      <c r="H81" s="270">
        <v>10200</v>
      </c>
      <c r="I81" s="270">
        <v>10400</v>
      </c>
      <c r="J81" s="270">
        <v>10400</v>
      </c>
      <c r="K81" s="270">
        <v>10600</v>
      </c>
      <c r="L81" s="270">
        <v>10600</v>
      </c>
      <c r="M81" s="270">
        <v>10600</v>
      </c>
      <c r="O81" s="270">
        <v>10600</v>
      </c>
      <c r="P81" s="270">
        <v>10600</v>
      </c>
    </row>
    <row r="82" spans="1:16" ht="30">
      <c r="A82" s="291"/>
      <c r="B82" s="280" t="s">
        <v>190</v>
      </c>
      <c r="C82" s="292" t="s">
        <v>38</v>
      </c>
      <c r="D82" s="275">
        <v>4050</v>
      </c>
      <c r="E82" s="275">
        <v>4050</v>
      </c>
      <c r="F82" s="283">
        <v>4050</v>
      </c>
      <c r="G82" s="299">
        <v>4050</v>
      </c>
      <c r="H82" s="270">
        <v>4450</v>
      </c>
      <c r="I82" s="270">
        <v>4450</v>
      </c>
      <c r="J82" s="270">
        <v>4950</v>
      </c>
      <c r="K82" s="270">
        <v>5150</v>
      </c>
      <c r="L82" s="270">
        <v>5150</v>
      </c>
      <c r="M82" s="270">
        <v>5150</v>
      </c>
      <c r="O82" s="270">
        <v>5150</v>
      </c>
      <c r="P82" s="270">
        <v>5700</v>
      </c>
    </row>
    <row r="83" spans="1:16" ht="30">
      <c r="A83" s="291"/>
      <c r="B83" s="280" t="s">
        <v>190</v>
      </c>
      <c r="C83" s="292" t="s">
        <v>40</v>
      </c>
      <c r="D83" s="275">
        <v>321706</v>
      </c>
      <c r="E83" s="275">
        <v>321706</v>
      </c>
      <c r="F83" s="283">
        <v>321706</v>
      </c>
      <c r="G83" s="299">
        <v>321706</v>
      </c>
      <c r="H83" s="270">
        <v>322976</v>
      </c>
      <c r="I83" s="270">
        <v>321706</v>
      </c>
      <c r="J83" s="270">
        <v>321706</v>
      </c>
      <c r="K83" s="270">
        <v>321706</v>
      </c>
      <c r="L83" s="270">
        <v>321071</v>
      </c>
      <c r="M83" s="270">
        <v>321071</v>
      </c>
      <c r="O83" s="270">
        <v>319166</v>
      </c>
      <c r="P83" s="270">
        <v>318277</v>
      </c>
    </row>
    <row r="84" spans="1:16" ht="30.75" thickBot="1">
      <c r="A84" s="293"/>
      <c r="B84" s="294" t="s">
        <v>190</v>
      </c>
      <c r="C84" s="295" t="s">
        <v>1</v>
      </c>
      <c r="D84" s="275">
        <v>1212554</v>
      </c>
      <c r="E84" s="275">
        <v>1213884</v>
      </c>
      <c r="F84" s="283">
        <v>1216665</v>
      </c>
      <c r="G84" s="299">
        <v>1223061</v>
      </c>
      <c r="H84" s="270">
        <v>1228541</v>
      </c>
      <c r="I84" s="270">
        <v>1230211</v>
      </c>
      <c r="J84" s="270">
        <v>1229886</v>
      </c>
      <c r="K84" s="270">
        <v>1233123</v>
      </c>
      <c r="L84" s="270">
        <v>1235189</v>
      </c>
      <c r="M84" s="270">
        <v>1244237</v>
      </c>
      <c r="O84" s="270">
        <v>1247108</v>
      </c>
      <c r="P84" s="270">
        <v>1248589</v>
      </c>
    </row>
    <row r="85" spans="1:16">
      <c r="A85" s="296"/>
      <c r="B85" s="298" t="s">
        <v>21</v>
      </c>
      <c r="C85" s="290" t="s">
        <v>24</v>
      </c>
      <c r="D85" s="275">
        <v>1744</v>
      </c>
      <c r="E85" s="275">
        <v>1744</v>
      </c>
      <c r="F85" s="283">
        <v>2794</v>
      </c>
      <c r="G85" s="299">
        <v>2794</v>
      </c>
      <c r="H85" s="270">
        <v>2794</v>
      </c>
      <c r="I85" s="270">
        <v>2794</v>
      </c>
      <c r="J85" s="270">
        <v>2794</v>
      </c>
      <c r="K85" s="270">
        <v>2294</v>
      </c>
      <c r="L85" s="270">
        <v>2383</v>
      </c>
      <c r="M85" s="270">
        <v>2383</v>
      </c>
      <c r="O85" s="270">
        <v>2783</v>
      </c>
      <c r="P85" s="270">
        <v>2783</v>
      </c>
    </row>
    <row r="86" spans="1:16">
      <c r="A86" s="291"/>
      <c r="B86" s="280" t="s">
        <v>21</v>
      </c>
      <c r="C86" s="292" t="s">
        <v>27</v>
      </c>
      <c r="D86" s="275">
        <v>2841</v>
      </c>
      <c r="E86" s="275">
        <v>2841</v>
      </c>
      <c r="F86" s="283">
        <v>2841</v>
      </c>
      <c r="G86" s="299">
        <v>2841</v>
      </c>
      <c r="H86" s="270">
        <v>2841</v>
      </c>
      <c r="I86" s="270">
        <v>2841</v>
      </c>
      <c r="J86" s="270">
        <v>2841</v>
      </c>
      <c r="K86" s="270">
        <v>2958</v>
      </c>
      <c r="L86" s="270">
        <v>2982</v>
      </c>
      <c r="M86" s="270">
        <v>5982</v>
      </c>
      <c r="O86" s="270">
        <v>7988</v>
      </c>
      <c r="P86" s="270">
        <v>7988</v>
      </c>
    </row>
    <row r="87" spans="1:16">
      <c r="A87" s="291"/>
      <c r="B87" s="280" t="s">
        <v>21</v>
      </c>
      <c r="C87" s="292" t="s">
        <v>29</v>
      </c>
      <c r="D87" s="275">
        <v>1604</v>
      </c>
      <c r="E87" s="275">
        <v>1649</v>
      </c>
      <c r="F87" s="283">
        <v>1649</v>
      </c>
      <c r="G87" s="299">
        <v>1896</v>
      </c>
      <c r="H87" s="270">
        <v>1841</v>
      </c>
      <c r="I87" s="270">
        <v>1841</v>
      </c>
      <c r="J87" s="270">
        <v>1941</v>
      </c>
      <c r="K87" s="270">
        <v>1941</v>
      </c>
      <c r="L87" s="270">
        <v>1941</v>
      </c>
      <c r="M87" s="270">
        <v>1941</v>
      </c>
      <c r="O87" s="270">
        <v>1591</v>
      </c>
      <c r="P87" s="270">
        <v>1591</v>
      </c>
    </row>
    <row r="88" spans="1:16">
      <c r="A88" s="291"/>
      <c r="B88" s="280" t="s">
        <v>21</v>
      </c>
      <c r="C88" s="292" t="s">
        <v>32</v>
      </c>
      <c r="D88" s="275">
        <v>212842</v>
      </c>
      <c r="E88" s="275">
        <v>211342</v>
      </c>
      <c r="F88" s="283">
        <v>209342</v>
      </c>
      <c r="G88" s="299">
        <v>206266</v>
      </c>
      <c r="H88" s="270">
        <v>204266</v>
      </c>
      <c r="I88" s="270">
        <v>206183</v>
      </c>
      <c r="J88" s="270">
        <v>203183</v>
      </c>
      <c r="K88" s="270">
        <v>201183</v>
      </c>
      <c r="L88" s="270">
        <v>201183</v>
      </c>
      <c r="M88" s="270">
        <v>198183</v>
      </c>
      <c r="O88" s="270">
        <v>199</v>
      </c>
      <c r="P88" s="270">
        <v>194183</v>
      </c>
    </row>
    <row r="89" spans="1:16">
      <c r="A89" s="291"/>
      <c r="B89" s="280" t="s">
        <v>21</v>
      </c>
      <c r="C89" s="292" t="s">
        <v>34</v>
      </c>
      <c r="D89" s="275">
        <v>6883</v>
      </c>
      <c r="E89" s="275">
        <v>6881</v>
      </c>
      <c r="F89" s="283">
        <v>6881</v>
      </c>
      <c r="G89" s="299">
        <v>6881</v>
      </c>
      <c r="H89" s="270">
        <v>6546</v>
      </c>
      <c r="I89" s="270">
        <v>6590</v>
      </c>
      <c r="J89" s="270">
        <v>6535</v>
      </c>
      <c r="K89" s="270">
        <v>6535</v>
      </c>
      <c r="L89" s="270">
        <v>6726</v>
      </c>
      <c r="M89" s="270">
        <v>6326</v>
      </c>
      <c r="O89" s="270">
        <v>6326</v>
      </c>
      <c r="P89" s="270">
        <v>6226</v>
      </c>
    </row>
    <row r="90" spans="1:16">
      <c r="A90" s="291"/>
      <c r="B90" s="280" t="s">
        <v>21</v>
      </c>
      <c r="C90" s="292" t="s">
        <v>36</v>
      </c>
      <c r="D90" s="274">
        <v>408</v>
      </c>
      <c r="E90" s="274">
        <v>308</v>
      </c>
      <c r="F90" s="270">
        <v>308</v>
      </c>
      <c r="G90" s="299">
        <v>308</v>
      </c>
      <c r="H90" s="270">
        <v>308</v>
      </c>
      <c r="I90" s="270">
        <v>358</v>
      </c>
      <c r="J90" s="270">
        <v>358</v>
      </c>
      <c r="K90" s="270">
        <v>908</v>
      </c>
      <c r="L90" s="270">
        <v>908</v>
      </c>
      <c r="M90" s="270">
        <v>908</v>
      </c>
      <c r="O90" s="270">
        <v>908</v>
      </c>
      <c r="P90" s="270">
        <v>908</v>
      </c>
    </row>
    <row r="91" spans="1:16">
      <c r="A91" s="291"/>
      <c r="B91" s="280" t="s">
        <v>21</v>
      </c>
      <c r="C91" s="292" t="s">
        <v>38</v>
      </c>
      <c r="D91" s="274">
        <v>730</v>
      </c>
      <c r="E91" s="274">
        <v>730</v>
      </c>
      <c r="F91" s="270">
        <v>630</v>
      </c>
      <c r="G91" s="299">
        <v>630</v>
      </c>
      <c r="H91" s="270">
        <v>637</v>
      </c>
      <c r="I91" s="270">
        <v>637</v>
      </c>
      <c r="J91" s="270">
        <v>637</v>
      </c>
      <c r="K91" s="270">
        <v>737</v>
      </c>
      <c r="L91" s="270">
        <v>737</v>
      </c>
      <c r="M91" s="270">
        <v>312</v>
      </c>
      <c r="O91" s="270">
        <v>312</v>
      </c>
      <c r="P91" s="270">
        <v>762</v>
      </c>
    </row>
    <row r="92" spans="1:16">
      <c r="A92" s="291"/>
      <c r="B92" s="280" t="s">
        <v>21</v>
      </c>
      <c r="C92" s="292" t="s">
        <v>40</v>
      </c>
      <c r="D92" s="275">
        <v>52666</v>
      </c>
      <c r="E92" s="275">
        <v>52258</v>
      </c>
      <c r="F92" s="283">
        <v>50771</v>
      </c>
      <c r="G92" s="299">
        <v>49233</v>
      </c>
      <c r="H92" s="270">
        <v>44153</v>
      </c>
      <c r="I92" s="270">
        <v>39121</v>
      </c>
      <c r="J92" s="270">
        <v>39121</v>
      </c>
      <c r="K92" s="270">
        <v>39121</v>
      </c>
      <c r="L92" s="270">
        <v>37216</v>
      </c>
      <c r="M92" s="270">
        <v>35946</v>
      </c>
      <c r="O92" s="270">
        <v>34041</v>
      </c>
      <c r="P92" s="270">
        <v>33152</v>
      </c>
    </row>
    <row r="93" spans="1:16" ht="15.75" thickBot="1">
      <c r="A93" s="293"/>
      <c r="B93" s="294" t="s">
        <v>21</v>
      </c>
      <c r="C93" s="295" t="s">
        <v>1</v>
      </c>
      <c r="D93" s="275">
        <v>310172</v>
      </c>
      <c r="E93" s="275">
        <v>308348</v>
      </c>
      <c r="F93" s="283">
        <v>306520</v>
      </c>
      <c r="G93" s="299">
        <v>304139</v>
      </c>
      <c r="H93" s="270">
        <v>296443</v>
      </c>
      <c r="I93" s="270">
        <v>293338</v>
      </c>
      <c r="J93" s="270">
        <v>290312</v>
      </c>
      <c r="K93" s="270">
        <v>288936</v>
      </c>
      <c r="L93" s="270">
        <v>287649</v>
      </c>
      <c r="M93" s="270">
        <v>287286</v>
      </c>
      <c r="O93" s="270">
        <v>284178</v>
      </c>
      <c r="P93" s="270">
        <v>283111</v>
      </c>
    </row>
    <row r="94" spans="1:16">
      <c r="A94" s="296"/>
      <c r="B94" s="298" t="s">
        <v>302</v>
      </c>
      <c r="C94" s="290" t="s">
        <v>24</v>
      </c>
      <c r="D94" s="275">
        <v>52544</v>
      </c>
      <c r="E94" s="275">
        <v>52544</v>
      </c>
      <c r="F94" s="283">
        <v>55094</v>
      </c>
      <c r="G94" s="299">
        <v>55094</v>
      </c>
      <c r="H94" s="270">
        <v>55094</v>
      </c>
      <c r="I94" s="270">
        <v>55094</v>
      </c>
      <c r="J94" s="270">
        <v>53094</v>
      </c>
      <c r="K94" s="270">
        <v>52594</v>
      </c>
      <c r="L94" s="270">
        <v>52683</v>
      </c>
      <c r="M94" s="270">
        <v>52483</v>
      </c>
      <c r="O94" s="270">
        <v>52483</v>
      </c>
      <c r="P94" s="270">
        <v>52483</v>
      </c>
    </row>
    <row r="95" spans="1:16">
      <c r="A95" s="291"/>
      <c r="B95" s="280" t="s">
        <v>302</v>
      </c>
      <c r="C95" s="292" t="s">
        <v>27</v>
      </c>
      <c r="D95" s="275">
        <v>132341</v>
      </c>
      <c r="E95" s="275">
        <v>133341</v>
      </c>
      <c r="F95" s="283">
        <v>134341</v>
      </c>
      <c r="G95" s="299">
        <v>134341</v>
      </c>
      <c r="H95" s="270">
        <v>136341</v>
      </c>
      <c r="I95" s="270">
        <v>137341</v>
      </c>
      <c r="J95" s="270">
        <v>136341</v>
      </c>
      <c r="K95" s="270">
        <v>134958</v>
      </c>
      <c r="L95" s="270">
        <v>134982</v>
      </c>
      <c r="M95" s="270">
        <v>139982</v>
      </c>
      <c r="O95" s="270">
        <v>141988</v>
      </c>
      <c r="P95" s="270">
        <v>141988</v>
      </c>
    </row>
    <row r="96" spans="1:16">
      <c r="A96" s="291"/>
      <c r="B96" s="280" t="s">
        <v>302</v>
      </c>
      <c r="C96" s="292" t="s">
        <v>29</v>
      </c>
      <c r="D96" s="275">
        <v>18804</v>
      </c>
      <c r="E96" s="275">
        <v>19249</v>
      </c>
      <c r="F96" s="283">
        <v>19249</v>
      </c>
      <c r="G96" s="299">
        <v>19396</v>
      </c>
      <c r="H96" s="270">
        <v>19541</v>
      </c>
      <c r="I96" s="270">
        <v>19541</v>
      </c>
      <c r="J96" s="270">
        <v>19541</v>
      </c>
      <c r="K96" s="270">
        <v>19541</v>
      </c>
      <c r="L96" s="270">
        <v>19541</v>
      </c>
      <c r="M96" s="270">
        <v>19541</v>
      </c>
      <c r="O96" s="270">
        <v>19041</v>
      </c>
      <c r="P96" s="270">
        <v>19041</v>
      </c>
    </row>
    <row r="97" spans="1:16">
      <c r="A97" s="291"/>
      <c r="B97" s="280" t="s">
        <v>302</v>
      </c>
      <c r="C97" s="292" t="s">
        <v>32</v>
      </c>
      <c r="D97" s="275">
        <v>525862</v>
      </c>
      <c r="E97" s="275">
        <v>524362</v>
      </c>
      <c r="F97" s="283">
        <v>522362</v>
      </c>
      <c r="G97" s="299">
        <v>519286</v>
      </c>
      <c r="H97" s="270">
        <v>517286</v>
      </c>
      <c r="I97" s="270">
        <v>519203</v>
      </c>
      <c r="J97" s="270">
        <v>516203</v>
      </c>
      <c r="K97" s="270">
        <v>514203</v>
      </c>
      <c r="L97" s="270">
        <v>514203</v>
      </c>
      <c r="M97" s="270">
        <v>514203</v>
      </c>
      <c r="O97" s="270">
        <v>3294</v>
      </c>
      <c r="P97" s="270">
        <v>510203</v>
      </c>
    </row>
    <row r="98" spans="1:16">
      <c r="A98" s="291"/>
      <c r="B98" s="280" t="s">
        <v>302</v>
      </c>
      <c r="C98" s="292" t="s">
        <v>34</v>
      </c>
      <c r="D98" s="275">
        <v>85983</v>
      </c>
      <c r="E98" s="275">
        <v>85481</v>
      </c>
      <c r="F98" s="283">
        <v>85481</v>
      </c>
      <c r="G98" s="299">
        <v>85281</v>
      </c>
      <c r="H98" s="270">
        <v>84746</v>
      </c>
      <c r="I98" s="270">
        <v>84790</v>
      </c>
      <c r="J98" s="270">
        <v>84735</v>
      </c>
      <c r="K98" s="270">
        <v>84735</v>
      </c>
      <c r="L98" s="270">
        <v>86626</v>
      </c>
      <c r="M98" s="270">
        <v>86626</v>
      </c>
      <c r="O98" s="270">
        <v>86626</v>
      </c>
      <c r="P98" s="270">
        <v>86626</v>
      </c>
    </row>
    <row r="99" spans="1:16">
      <c r="A99" s="291"/>
      <c r="B99" s="280" t="s">
        <v>302</v>
      </c>
      <c r="C99" s="292" t="s">
        <v>36</v>
      </c>
      <c r="D99" s="275">
        <v>14908</v>
      </c>
      <c r="E99" s="275">
        <v>14308</v>
      </c>
      <c r="F99" s="283">
        <v>13808</v>
      </c>
      <c r="G99" s="299">
        <v>13808</v>
      </c>
      <c r="H99" s="270">
        <v>13808</v>
      </c>
      <c r="I99" s="270">
        <v>14058</v>
      </c>
      <c r="J99" s="270">
        <v>14058</v>
      </c>
      <c r="K99" s="270">
        <v>14808</v>
      </c>
      <c r="L99" s="270">
        <v>14808</v>
      </c>
      <c r="M99" s="270">
        <v>14808</v>
      </c>
      <c r="O99" s="270">
        <v>14808</v>
      </c>
      <c r="P99" s="270">
        <v>14808</v>
      </c>
    </row>
    <row r="100" spans="1:16">
      <c r="A100" s="291"/>
      <c r="B100" s="280" t="s">
        <v>302</v>
      </c>
      <c r="C100" s="292" t="s">
        <v>38</v>
      </c>
      <c r="D100" s="275">
        <v>28780</v>
      </c>
      <c r="E100" s="275">
        <v>28780</v>
      </c>
      <c r="F100" s="283">
        <v>27680</v>
      </c>
      <c r="G100" s="299">
        <v>27680</v>
      </c>
      <c r="H100" s="270">
        <v>28087</v>
      </c>
      <c r="I100" s="270">
        <v>28087</v>
      </c>
      <c r="J100" s="270">
        <v>27587</v>
      </c>
      <c r="K100" s="270">
        <v>27887</v>
      </c>
      <c r="L100" s="270">
        <v>27887</v>
      </c>
      <c r="M100" s="270">
        <v>27462</v>
      </c>
      <c r="O100" s="270">
        <v>27462</v>
      </c>
      <c r="P100" s="270">
        <v>27462</v>
      </c>
    </row>
    <row r="101" spans="1:16">
      <c r="A101" s="291"/>
      <c r="B101" s="280" t="s">
        <v>302</v>
      </c>
      <c r="C101" s="292" t="s">
        <v>40</v>
      </c>
      <c r="D101" s="275">
        <v>432795</v>
      </c>
      <c r="E101" s="275">
        <v>432387</v>
      </c>
      <c r="F101" s="283">
        <v>431535</v>
      </c>
      <c r="G101" s="299">
        <v>429997</v>
      </c>
      <c r="H101" s="270">
        <v>429997</v>
      </c>
      <c r="I101" s="270">
        <v>423060</v>
      </c>
      <c r="J101" s="270">
        <v>423060</v>
      </c>
      <c r="K101" s="270">
        <v>423060</v>
      </c>
      <c r="L101" s="270">
        <v>423060</v>
      </c>
      <c r="M101" s="270">
        <v>423060</v>
      </c>
      <c r="O101" s="270">
        <v>423060</v>
      </c>
      <c r="P101" s="270">
        <v>423060</v>
      </c>
    </row>
    <row r="102" spans="1:16" ht="15.75" thickBot="1">
      <c r="A102" s="293"/>
      <c r="B102" s="294" t="s">
        <v>302</v>
      </c>
      <c r="C102" s="295" t="s">
        <v>1</v>
      </c>
      <c r="D102" s="275">
        <v>1714193</v>
      </c>
      <c r="E102" s="275">
        <v>1713599</v>
      </c>
      <c r="F102" s="283">
        <v>1713688</v>
      </c>
      <c r="G102" s="299">
        <v>1717027</v>
      </c>
      <c r="H102" s="270">
        <v>1718027</v>
      </c>
      <c r="I102" s="270">
        <v>1714957</v>
      </c>
      <c r="J102" s="270">
        <v>1709431</v>
      </c>
      <c r="K102" s="270">
        <v>1708417</v>
      </c>
      <c r="L102" s="270">
        <v>1711521</v>
      </c>
      <c r="M102" s="270">
        <v>1720875</v>
      </c>
      <c r="O102" s="270">
        <v>1723858</v>
      </c>
      <c r="P102" s="270">
        <v>1725336</v>
      </c>
    </row>
    <row r="103" spans="1:16">
      <c r="A103" s="296"/>
      <c r="B103" s="298" t="s">
        <v>11</v>
      </c>
      <c r="C103" s="290" t="s">
        <v>24</v>
      </c>
      <c r="D103" s="274">
        <v>7.97</v>
      </c>
      <c r="E103" s="274">
        <v>7.97</v>
      </c>
      <c r="F103" s="270">
        <v>7.97</v>
      </c>
      <c r="G103" s="299">
        <v>7.97</v>
      </c>
      <c r="H103" s="270">
        <v>7.97</v>
      </c>
      <c r="I103" s="270">
        <v>7.97</v>
      </c>
      <c r="J103" s="270">
        <v>7.81</v>
      </c>
      <c r="K103" s="270">
        <v>7.81</v>
      </c>
      <c r="L103" s="270">
        <v>7.81</v>
      </c>
      <c r="M103" s="270">
        <v>7.81</v>
      </c>
      <c r="O103" s="270">
        <v>7.81</v>
      </c>
      <c r="P103" s="270">
        <v>7.81</v>
      </c>
    </row>
    <row r="104" spans="1:16">
      <c r="A104" s="291"/>
      <c r="B104" s="280" t="s">
        <v>11</v>
      </c>
      <c r="C104" s="292" t="s">
        <v>27</v>
      </c>
      <c r="D104" s="274">
        <v>5.7</v>
      </c>
      <c r="E104" s="274">
        <v>5.7</v>
      </c>
      <c r="F104" s="270">
        <v>5.7</v>
      </c>
      <c r="G104" s="299">
        <v>5.7</v>
      </c>
      <c r="H104" s="270">
        <v>5.7</v>
      </c>
      <c r="I104" s="270">
        <v>5.7</v>
      </c>
      <c r="J104" s="270">
        <v>5.65</v>
      </c>
      <c r="K104" s="270">
        <v>5.65</v>
      </c>
      <c r="L104" s="270">
        <v>5.65</v>
      </c>
      <c r="M104" s="270">
        <v>5.83</v>
      </c>
      <c r="O104" s="270">
        <v>5.92</v>
      </c>
      <c r="P104" s="270">
        <v>5.92</v>
      </c>
    </row>
    <row r="105" spans="1:16">
      <c r="A105" s="291"/>
      <c r="B105" s="280" t="s">
        <v>11</v>
      </c>
      <c r="C105" s="292" t="s">
        <v>29</v>
      </c>
      <c r="D105" s="274">
        <v>10</v>
      </c>
      <c r="E105" s="274">
        <v>10.48</v>
      </c>
      <c r="F105" s="270">
        <v>10.48</v>
      </c>
      <c r="G105" s="299">
        <v>10.48</v>
      </c>
      <c r="H105" s="270">
        <v>10.59</v>
      </c>
      <c r="I105" s="270">
        <v>10.59</v>
      </c>
      <c r="J105" s="270">
        <v>10.59</v>
      </c>
      <c r="K105" s="270">
        <v>10.59</v>
      </c>
      <c r="L105" s="270">
        <v>10.59</v>
      </c>
      <c r="M105" s="270">
        <v>10.59</v>
      </c>
      <c r="O105" s="270">
        <v>10.59</v>
      </c>
      <c r="P105" s="270">
        <v>10.59</v>
      </c>
    </row>
    <row r="106" spans="1:16">
      <c r="A106" s="291"/>
      <c r="B106" s="280" t="s">
        <v>11</v>
      </c>
      <c r="C106" s="292" t="s">
        <v>32</v>
      </c>
      <c r="D106" s="274">
        <v>6.53</v>
      </c>
      <c r="E106" s="274">
        <v>6.53</v>
      </c>
      <c r="F106" s="270">
        <v>6.53</v>
      </c>
      <c r="G106" s="299">
        <v>6.53</v>
      </c>
      <c r="H106" s="270">
        <v>6.53</v>
      </c>
      <c r="I106" s="270">
        <v>6.59</v>
      </c>
      <c r="J106" s="270">
        <v>6.59</v>
      </c>
      <c r="K106" s="270">
        <v>6.59</v>
      </c>
      <c r="L106" s="270">
        <v>6.59</v>
      </c>
      <c r="M106" s="270">
        <v>6.59</v>
      </c>
      <c r="O106" s="270">
        <v>11.18</v>
      </c>
      <c r="P106" s="270">
        <v>6.59</v>
      </c>
    </row>
    <row r="107" spans="1:16">
      <c r="A107" s="291"/>
      <c r="B107" s="280" t="s">
        <v>11</v>
      </c>
      <c r="C107" s="292" t="s">
        <v>34</v>
      </c>
      <c r="D107" s="274">
        <v>7.04</v>
      </c>
      <c r="E107" s="274">
        <v>6.86</v>
      </c>
      <c r="F107" s="270">
        <v>6.86</v>
      </c>
      <c r="G107" s="299">
        <v>6.82</v>
      </c>
      <c r="H107" s="270">
        <v>6.74</v>
      </c>
      <c r="I107" s="270">
        <v>6.74</v>
      </c>
      <c r="J107" s="270">
        <v>6.74</v>
      </c>
      <c r="K107" s="270">
        <v>6.74</v>
      </c>
      <c r="L107" s="270">
        <v>6.81</v>
      </c>
      <c r="M107" s="270">
        <v>6.81</v>
      </c>
      <c r="O107" s="270">
        <v>6.81</v>
      </c>
      <c r="P107" s="270">
        <v>6.81</v>
      </c>
    </row>
    <row r="108" spans="1:16">
      <c r="A108" s="291"/>
      <c r="B108" s="280" t="s">
        <v>11</v>
      </c>
      <c r="C108" s="292" t="s">
        <v>36</v>
      </c>
      <c r="D108" s="274">
        <v>5.64</v>
      </c>
      <c r="E108" s="274">
        <v>5.4</v>
      </c>
      <c r="F108" s="270">
        <v>5.2</v>
      </c>
      <c r="G108" s="299">
        <v>5.2</v>
      </c>
      <c r="H108" s="270">
        <v>5.2</v>
      </c>
      <c r="I108" s="270">
        <v>5.0999999999999996</v>
      </c>
      <c r="J108" s="270">
        <v>5.0999999999999996</v>
      </c>
      <c r="K108" s="270">
        <v>5.19</v>
      </c>
      <c r="L108" s="270">
        <v>5.19</v>
      </c>
      <c r="M108" s="270">
        <v>5.19</v>
      </c>
      <c r="O108" s="270">
        <v>5.19</v>
      </c>
      <c r="P108" s="270">
        <v>5.19</v>
      </c>
    </row>
    <row r="109" spans="1:16">
      <c r="A109" s="291"/>
      <c r="B109" s="280" t="s">
        <v>11</v>
      </c>
      <c r="C109" s="292" t="s">
        <v>38</v>
      </c>
      <c r="D109" s="274">
        <v>6.63</v>
      </c>
      <c r="E109" s="274">
        <v>6.63</v>
      </c>
      <c r="F109" s="270">
        <v>6.39</v>
      </c>
      <c r="G109" s="299">
        <v>6.39</v>
      </c>
      <c r="H109" s="270">
        <v>6.46</v>
      </c>
      <c r="I109" s="270">
        <v>6.46</v>
      </c>
      <c r="J109" s="270">
        <v>6.46</v>
      </c>
      <c r="K109" s="270">
        <v>6.54</v>
      </c>
      <c r="L109" s="270">
        <v>6.54</v>
      </c>
      <c r="M109" s="270">
        <v>6.54</v>
      </c>
      <c r="O109" s="270">
        <v>6.54</v>
      </c>
      <c r="P109" s="270">
        <v>6.54</v>
      </c>
    </row>
    <row r="110" spans="1:16">
      <c r="A110" s="291"/>
      <c r="B110" s="280" t="s">
        <v>11</v>
      </c>
      <c r="C110" s="292" t="s">
        <v>40</v>
      </c>
      <c r="D110" s="274">
        <v>11.49</v>
      </c>
      <c r="E110" s="274">
        <v>11.52</v>
      </c>
      <c r="F110" s="270">
        <v>11.54</v>
      </c>
      <c r="G110" s="299">
        <v>11.49</v>
      </c>
      <c r="H110" s="270">
        <v>11.49</v>
      </c>
      <c r="I110" s="270">
        <v>11.26</v>
      </c>
      <c r="J110" s="270">
        <v>11.26</v>
      </c>
      <c r="K110" s="270">
        <v>11.26</v>
      </c>
      <c r="L110" s="270">
        <v>11.26</v>
      </c>
      <c r="M110" s="270">
        <v>11.26</v>
      </c>
      <c r="O110" s="270">
        <v>11.26</v>
      </c>
      <c r="P110" s="270">
        <v>11.26</v>
      </c>
    </row>
    <row r="111" spans="1:16" ht="15.75" thickBot="1">
      <c r="A111" s="293"/>
      <c r="B111" s="294" t="s">
        <v>11</v>
      </c>
      <c r="C111" s="295" t="s">
        <v>1</v>
      </c>
      <c r="D111" s="274">
        <v>6.05</v>
      </c>
      <c r="E111" s="274">
        <v>6.05</v>
      </c>
      <c r="F111" s="270">
        <v>6.04</v>
      </c>
      <c r="G111" s="299">
        <v>6.01</v>
      </c>
      <c r="H111" s="270">
        <v>6.01</v>
      </c>
      <c r="I111" s="270">
        <v>5.99</v>
      </c>
      <c r="J111" s="270">
        <v>5.98</v>
      </c>
      <c r="K111" s="270">
        <v>5.97</v>
      </c>
      <c r="L111" s="270">
        <v>5.98</v>
      </c>
      <c r="M111" s="270">
        <v>6</v>
      </c>
      <c r="O111" s="270">
        <v>6.02</v>
      </c>
      <c r="P111" s="270">
        <v>6.02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5089-79B0-4910-BC92-60E5BC37C5BD}">
  <sheetPr>
    <tabColor theme="7" tint="0.79998168889431442"/>
  </sheetPr>
  <dimension ref="A1:L111"/>
  <sheetViews>
    <sheetView showGridLines="0" topLeftCell="A60" zoomScaleNormal="100" workbookViewId="0">
      <selection activeCell="F3" sqref="F3:G3"/>
    </sheetView>
  </sheetViews>
  <sheetFormatPr defaultColWidth="7.42578125" defaultRowHeight="15"/>
  <cols>
    <col min="1" max="1" width="10" style="270" bestFit="1" customWidth="1"/>
    <col min="2" max="2" width="20.140625" style="270" bestFit="1" customWidth="1"/>
    <col min="3" max="3" width="12.85546875" style="270" bestFit="1" customWidth="1"/>
    <col min="4" max="5" width="8.85546875" style="270" bestFit="1" customWidth="1"/>
    <col min="6" max="6" width="8" style="270" bestFit="1" customWidth="1"/>
    <col min="7" max="7" width="10.42578125" style="270" bestFit="1" customWidth="1"/>
    <col min="8" max="16384" width="7.42578125" style="270"/>
  </cols>
  <sheetData>
    <row r="1" spans="1:12">
      <c r="A1" s="286" t="s">
        <v>303</v>
      </c>
    </row>
    <row r="3" spans="1:12" ht="15.75" thickBot="1">
      <c r="A3" s="271" t="s">
        <v>295</v>
      </c>
      <c r="B3" s="271" t="s">
        <v>296</v>
      </c>
      <c r="C3" s="271" t="s">
        <v>297</v>
      </c>
      <c r="D3" s="297">
        <v>45778</v>
      </c>
      <c r="E3" s="288">
        <v>45809</v>
      </c>
      <c r="F3" s="288">
        <v>45839</v>
      </c>
      <c r="G3" s="288">
        <v>45870</v>
      </c>
      <c r="H3" s="288"/>
      <c r="I3" s="288"/>
      <c r="J3" s="288"/>
      <c r="K3" s="288"/>
      <c r="L3" s="288"/>
    </row>
    <row r="4" spans="1:12">
      <c r="A4" s="289" t="s">
        <v>299</v>
      </c>
      <c r="B4" s="298" t="s">
        <v>10</v>
      </c>
      <c r="C4" s="290" t="s">
        <v>24</v>
      </c>
      <c r="D4" s="275">
        <v>7500</v>
      </c>
      <c r="E4" s="275">
        <v>7500</v>
      </c>
      <c r="F4" s="275">
        <v>7500</v>
      </c>
      <c r="G4" s="305">
        <v>7500</v>
      </c>
    </row>
    <row r="5" spans="1:12">
      <c r="A5" s="291"/>
      <c r="B5" s="280" t="s">
        <v>10</v>
      </c>
      <c r="C5" s="292" t="s">
        <v>27</v>
      </c>
      <c r="D5" s="275">
        <v>22600</v>
      </c>
      <c r="E5" s="275">
        <v>22600</v>
      </c>
      <c r="F5" s="275">
        <v>22600</v>
      </c>
      <c r="G5" s="305">
        <v>22600</v>
      </c>
    </row>
    <row r="6" spans="1:12" ht="15.95" customHeight="1">
      <c r="A6" s="291"/>
      <c r="B6" s="280" t="s">
        <v>10</v>
      </c>
      <c r="C6" s="292" t="s">
        <v>29</v>
      </c>
      <c r="D6" s="275">
        <v>1460</v>
      </c>
      <c r="E6" s="275">
        <v>1460</v>
      </c>
      <c r="F6" s="275">
        <v>1480</v>
      </c>
      <c r="G6" s="305">
        <v>1480</v>
      </c>
    </row>
    <row r="7" spans="1:12">
      <c r="A7" s="291"/>
      <c r="B7" s="280" t="s">
        <v>10</v>
      </c>
      <c r="C7" s="292" t="s">
        <v>32</v>
      </c>
      <c r="D7" s="275">
        <v>44300</v>
      </c>
      <c r="E7" s="275">
        <v>44300</v>
      </c>
      <c r="F7" s="275">
        <v>44300</v>
      </c>
      <c r="G7" s="305">
        <v>44300</v>
      </c>
    </row>
    <row r="8" spans="1:12">
      <c r="A8" s="291"/>
      <c r="B8" s="280" t="s">
        <v>10</v>
      </c>
      <c r="C8" s="292" t="s">
        <v>34</v>
      </c>
      <c r="D8" s="275">
        <v>8250</v>
      </c>
      <c r="E8" s="275">
        <v>8250</v>
      </c>
      <c r="F8" s="275">
        <v>8250</v>
      </c>
      <c r="G8" s="305">
        <v>8050</v>
      </c>
    </row>
    <row r="9" spans="1:12">
      <c r="A9" s="291"/>
      <c r="B9" s="280" t="s">
        <v>10</v>
      </c>
      <c r="C9" s="292" t="s">
        <v>36</v>
      </c>
      <c r="D9" s="275">
        <v>2500</v>
      </c>
      <c r="E9" s="275">
        <v>2500</v>
      </c>
      <c r="F9" s="275">
        <v>2500</v>
      </c>
      <c r="G9" s="305">
        <v>2500</v>
      </c>
    </row>
    <row r="10" spans="1:12">
      <c r="A10" s="291"/>
      <c r="B10" s="280" t="s">
        <v>10</v>
      </c>
      <c r="C10" s="292" t="s">
        <v>38</v>
      </c>
      <c r="D10" s="275">
        <v>4200</v>
      </c>
      <c r="E10" s="275">
        <v>4200</v>
      </c>
      <c r="F10" s="275">
        <v>4200</v>
      </c>
      <c r="G10" s="305">
        <v>4400</v>
      </c>
    </row>
    <row r="11" spans="1:12">
      <c r="A11" s="291"/>
      <c r="B11" s="280" t="s">
        <v>10</v>
      </c>
      <c r="C11" s="292" t="s">
        <v>40</v>
      </c>
      <c r="D11" s="275">
        <v>35370</v>
      </c>
      <c r="E11" s="275">
        <v>35370</v>
      </c>
      <c r="F11" s="275">
        <v>35116</v>
      </c>
      <c r="G11" s="305">
        <v>35892</v>
      </c>
    </row>
    <row r="12" spans="1:12" ht="15.75" thickBot="1">
      <c r="A12" s="293"/>
      <c r="B12" s="294" t="s">
        <v>10</v>
      </c>
      <c r="C12" s="295" t="s">
        <v>1</v>
      </c>
      <c r="D12" s="275">
        <v>208576</v>
      </c>
      <c r="E12" s="275">
        <v>208576</v>
      </c>
      <c r="F12" s="275">
        <v>208442</v>
      </c>
      <c r="G12" s="305">
        <v>209228</v>
      </c>
    </row>
    <row r="13" spans="1:12">
      <c r="A13" s="296"/>
      <c r="B13" s="298" t="s">
        <v>12</v>
      </c>
      <c r="C13" s="290" t="s">
        <v>24</v>
      </c>
      <c r="D13" s="275">
        <v>2383</v>
      </c>
      <c r="E13" s="275">
        <v>2783</v>
      </c>
      <c r="F13" s="275">
        <v>2783</v>
      </c>
      <c r="G13" s="305">
        <v>2783</v>
      </c>
    </row>
    <row r="14" spans="1:12">
      <c r="A14" s="291"/>
      <c r="B14" s="280" t="s">
        <v>12</v>
      </c>
      <c r="C14" s="292" t="s">
        <v>27</v>
      </c>
      <c r="D14" s="275">
        <v>5982</v>
      </c>
      <c r="E14" s="275">
        <v>5988</v>
      </c>
      <c r="F14" s="275">
        <v>7988</v>
      </c>
      <c r="G14" s="305">
        <v>7988</v>
      </c>
    </row>
    <row r="15" spans="1:12">
      <c r="A15" s="291"/>
      <c r="B15" s="280" t="s">
        <v>12</v>
      </c>
      <c r="C15" s="292" t="s">
        <v>29</v>
      </c>
      <c r="D15" s="275">
        <v>1941</v>
      </c>
      <c r="E15" s="275">
        <v>1641</v>
      </c>
      <c r="F15" s="275">
        <v>1591</v>
      </c>
      <c r="G15" s="305">
        <v>1591</v>
      </c>
    </row>
    <row r="16" spans="1:12">
      <c r="A16" s="291"/>
      <c r="B16" s="280" t="s">
        <v>12</v>
      </c>
      <c r="C16" s="292" t="s">
        <v>32</v>
      </c>
      <c r="D16" s="275">
        <v>198183</v>
      </c>
      <c r="E16" s="275">
        <v>197183</v>
      </c>
      <c r="F16" s="275">
        <v>195183</v>
      </c>
      <c r="G16" s="305">
        <v>194183</v>
      </c>
    </row>
    <row r="17" spans="1:7">
      <c r="A17" s="291"/>
      <c r="B17" s="280" t="s">
        <v>12</v>
      </c>
      <c r="C17" s="292" t="s">
        <v>34</v>
      </c>
      <c r="D17" s="275">
        <v>6326</v>
      </c>
      <c r="E17" s="275">
        <v>6326</v>
      </c>
      <c r="F17" s="275">
        <v>6326</v>
      </c>
      <c r="G17" s="305">
        <v>6226</v>
      </c>
    </row>
    <row r="18" spans="1:7">
      <c r="A18" s="291"/>
      <c r="B18" s="280" t="s">
        <v>12</v>
      </c>
      <c r="C18" s="292" t="s">
        <v>36</v>
      </c>
      <c r="D18" s="274">
        <v>908</v>
      </c>
      <c r="E18" s="274">
        <v>908</v>
      </c>
      <c r="F18" s="274">
        <v>908</v>
      </c>
      <c r="G18" s="306">
        <v>908</v>
      </c>
    </row>
    <row r="19" spans="1:7">
      <c r="A19" s="291"/>
      <c r="B19" s="280" t="s">
        <v>12</v>
      </c>
      <c r="C19" s="292" t="s">
        <v>38</v>
      </c>
      <c r="D19" s="275">
        <v>312</v>
      </c>
      <c r="E19" s="275">
        <v>312</v>
      </c>
      <c r="F19" s="275">
        <v>312</v>
      </c>
      <c r="G19" s="306">
        <v>762</v>
      </c>
    </row>
    <row r="20" spans="1:7">
      <c r="A20" s="291"/>
      <c r="B20" s="280" t="s">
        <v>12</v>
      </c>
      <c r="C20" s="292" t="s">
        <v>40</v>
      </c>
      <c r="D20" s="275">
        <v>35946</v>
      </c>
      <c r="E20" s="275">
        <v>34676</v>
      </c>
      <c r="F20" s="275">
        <v>34041</v>
      </c>
      <c r="G20" s="305">
        <v>33152</v>
      </c>
    </row>
    <row r="21" spans="1:7" ht="15.75" thickBot="1">
      <c r="A21" s="293"/>
      <c r="B21" s="294" t="s">
        <v>12</v>
      </c>
      <c r="C21" s="295" t="s">
        <v>1</v>
      </c>
      <c r="D21" s="275">
        <v>287286</v>
      </c>
      <c r="E21" s="275">
        <v>285040</v>
      </c>
      <c r="F21" s="275">
        <v>284178</v>
      </c>
      <c r="G21" s="305">
        <v>283111</v>
      </c>
    </row>
    <row r="22" spans="1:7">
      <c r="A22" s="296"/>
      <c r="B22" s="298" t="s">
        <v>13</v>
      </c>
      <c r="C22" s="290" t="s">
        <v>24</v>
      </c>
      <c r="D22" s="275">
        <v>53000</v>
      </c>
      <c r="E22" s="275">
        <v>53000</v>
      </c>
      <c r="F22" s="275">
        <v>53000</v>
      </c>
      <c r="G22" s="305">
        <v>53000</v>
      </c>
    </row>
    <row r="23" spans="1:7">
      <c r="A23" s="291"/>
      <c r="B23" s="280" t="s">
        <v>13</v>
      </c>
      <c r="C23" s="292" t="s">
        <v>27</v>
      </c>
      <c r="D23" s="275">
        <v>131000</v>
      </c>
      <c r="E23" s="275">
        <v>131000</v>
      </c>
      <c r="F23" s="275">
        <v>131000</v>
      </c>
      <c r="G23" s="305">
        <v>131000</v>
      </c>
    </row>
    <row r="24" spans="1:7">
      <c r="A24" s="291"/>
      <c r="B24" s="280" t="s">
        <v>13</v>
      </c>
      <c r="C24" s="292" t="s">
        <v>29</v>
      </c>
      <c r="D24" s="275">
        <v>14700</v>
      </c>
      <c r="E24" s="275">
        <v>14700</v>
      </c>
      <c r="F24" s="275">
        <v>15000</v>
      </c>
      <c r="G24" s="305">
        <v>15300</v>
      </c>
    </row>
    <row r="25" spans="1:7">
      <c r="A25" s="291"/>
      <c r="B25" s="280" t="s">
        <v>13</v>
      </c>
      <c r="C25" s="292" t="s">
        <v>32</v>
      </c>
      <c r="D25" s="275">
        <v>295000</v>
      </c>
      <c r="E25" s="275">
        <v>295000</v>
      </c>
      <c r="F25" s="275">
        <v>295000</v>
      </c>
      <c r="G25" s="305">
        <v>295000</v>
      </c>
    </row>
    <row r="26" spans="1:7">
      <c r="A26" s="291"/>
      <c r="B26" s="280" t="s">
        <v>13</v>
      </c>
      <c r="C26" s="292" t="s">
        <v>34</v>
      </c>
      <c r="D26" s="275">
        <v>60000</v>
      </c>
      <c r="E26" s="275">
        <v>60000</v>
      </c>
      <c r="F26" s="275">
        <v>60000</v>
      </c>
      <c r="G26" s="305">
        <v>58000</v>
      </c>
    </row>
    <row r="27" spans="1:7">
      <c r="A27" s="291"/>
      <c r="B27" s="280" t="s">
        <v>13</v>
      </c>
      <c r="C27" s="292" t="s">
        <v>36</v>
      </c>
      <c r="D27" s="275">
        <v>15000</v>
      </c>
      <c r="E27" s="275">
        <v>15000</v>
      </c>
      <c r="F27" s="275">
        <v>15000</v>
      </c>
      <c r="G27" s="305">
        <v>15000</v>
      </c>
    </row>
    <row r="28" spans="1:7">
      <c r="A28" s="291"/>
      <c r="B28" s="280" t="s">
        <v>13</v>
      </c>
      <c r="C28" s="292" t="s">
        <v>38</v>
      </c>
      <c r="D28" s="275">
        <v>30500</v>
      </c>
      <c r="E28" s="275">
        <v>30500</v>
      </c>
      <c r="F28" s="275">
        <v>30500</v>
      </c>
      <c r="G28" s="305">
        <v>32000</v>
      </c>
    </row>
    <row r="29" spans="1:7">
      <c r="A29" s="291"/>
      <c r="B29" s="280" t="s">
        <v>13</v>
      </c>
      <c r="C29" s="292" t="s">
        <v>40</v>
      </c>
      <c r="D29" s="275">
        <v>401847</v>
      </c>
      <c r="E29" s="275">
        <v>401847</v>
      </c>
      <c r="F29" s="275">
        <v>398925</v>
      </c>
      <c r="G29" s="305">
        <v>425257</v>
      </c>
    </row>
    <row r="30" spans="1:7" ht="15.75" thickBot="1">
      <c r="A30" s="293"/>
      <c r="B30" s="294" t="s">
        <v>13</v>
      </c>
      <c r="C30" s="295" t="s">
        <v>1</v>
      </c>
      <c r="D30" s="275">
        <v>1264982</v>
      </c>
      <c r="E30" s="275">
        <v>1265982</v>
      </c>
      <c r="F30" s="275">
        <v>1263660</v>
      </c>
      <c r="G30" s="305">
        <v>1288577</v>
      </c>
    </row>
    <row r="31" spans="1:7">
      <c r="A31" s="296"/>
      <c r="B31" s="298" t="s">
        <v>14</v>
      </c>
      <c r="C31" s="290" t="s">
        <v>24</v>
      </c>
      <c r="D31" s="274">
        <v>5</v>
      </c>
      <c r="E31" s="274">
        <v>5</v>
      </c>
      <c r="F31" s="274">
        <v>5</v>
      </c>
      <c r="G31" s="306">
        <v>5</v>
      </c>
    </row>
    <row r="32" spans="1:7">
      <c r="A32" s="291"/>
      <c r="B32" s="280" t="s">
        <v>14</v>
      </c>
      <c r="C32" s="292" t="s">
        <v>27</v>
      </c>
      <c r="D32" s="275">
        <v>1600</v>
      </c>
      <c r="E32" s="275">
        <v>1600</v>
      </c>
      <c r="F32" s="275">
        <v>1600</v>
      </c>
      <c r="G32" s="305">
        <v>1600</v>
      </c>
    </row>
    <row r="33" spans="1:7">
      <c r="A33" s="291"/>
      <c r="B33" s="280" t="s">
        <v>14</v>
      </c>
      <c r="C33" s="292" t="s">
        <v>29</v>
      </c>
      <c r="D33" s="275">
        <v>2500</v>
      </c>
      <c r="E33" s="275">
        <v>2500</v>
      </c>
      <c r="F33" s="275">
        <v>2300</v>
      </c>
      <c r="G33" s="305">
        <v>2100</v>
      </c>
    </row>
    <row r="34" spans="1:7">
      <c r="A34" s="291"/>
      <c r="B34" s="280" t="s">
        <v>14</v>
      </c>
      <c r="C34" s="292" t="s">
        <v>32</v>
      </c>
      <c r="D34" s="275">
        <v>10000</v>
      </c>
      <c r="E34" s="275">
        <v>10000</v>
      </c>
      <c r="F34" s="275">
        <v>10000</v>
      </c>
      <c r="G34" s="305">
        <v>10000</v>
      </c>
    </row>
    <row r="35" spans="1:7">
      <c r="A35" s="291"/>
      <c r="B35" s="280" t="s">
        <v>14</v>
      </c>
      <c r="C35" s="292" t="s">
        <v>34</v>
      </c>
      <c r="D35" s="275">
        <v>20500</v>
      </c>
      <c r="E35" s="275">
        <v>20500</v>
      </c>
      <c r="F35" s="275">
        <v>20500</v>
      </c>
      <c r="G35" s="305">
        <v>22000</v>
      </c>
    </row>
    <row r="36" spans="1:7">
      <c r="A36" s="291"/>
      <c r="B36" s="280" t="s">
        <v>14</v>
      </c>
      <c r="C36" s="292" t="s">
        <v>36</v>
      </c>
      <c r="D36" s="274">
        <v>50</v>
      </c>
      <c r="E36" s="274">
        <v>50</v>
      </c>
      <c r="F36" s="274">
        <v>50</v>
      </c>
      <c r="G36" s="306">
        <v>50</v>
      </c>
    </row>
    <row r="37" spans="1:7">
      <c r="A37" s="291"/>
      <c r="B37" s="280" t="s">
        <v>14</v>
      </c>
      <c r="C37" s="292" t="s">
        <v>38</v>
      </c>
      <c r="D37" s="274">
        <v>10</v>
      </c>
      <c r="E37" s="274">
        <v>10</v>
      </c>
      <c r="F37" s="274">
        <v>10</v>
      </c>
      <c r="G37" s="306">
        <v>10</v>
      </c>
    </row>
    <row r="38" spans="1:7">
      <c r="A38" s="291"/>
      <c r="B38" s="280" t="s">
        <v>14</v>
      </c>
      <c r="C38" s="292" t="s">
        <v>40</v>
      </c>
      <c r="D38" s="274">
        <v>635</v>
      </c>
      <c r="E38" s="274">
        <v>635</v>
      </c>
      <c r="F38" s="274">
        <v>635</v>
      </c>
      <c r="G38" s="306">
        <v>635</v>
      </c>
    </row>
    <row r="39" spans="1:7" ht="15.75" thickBot="1">
      <c r="A39" s="293"/>
      <c r="B39" s="294" t="s">
        <v>14</v>
      </c>
      <c r="C39" s="295" t="s">
        <v>1</v>
      </c>
      <c r="D39" s="275">
        <v>187483</v>
      </c>
      <c r="E39" s="275">
        <v>187483</v>
      </c>
      <c r="F39" s="275">
        <v>187758</v>
      </c>
      <c r="G39" s="305">
        <v>192163</v>
      </c>
    </row>
    <row r="40" spans="1:7">
      <c r="A40" s="296"/>
      <c r="B40" s="298" t="s">
        <v>301</v>
      </c>
      <c r="C40" s="290" t="s">
        <v>24</v>
      </c>
      <c r="D40" s="275">
        <v>55388</v>
      </c>
      <c r="E40" s="275">
        <v>55788</v>
      </c>
      <c r="F40" s="275">
        <v>55788</v>
      </c>
      <c r="G40" s="305">
        <v>55788</v>
      </c>
    </row>
    <row r="41" spans="1:7">
      <c r="A41" s="291"/>
      <c r="B41" s="280" t="s">
        <v>301</v>
      </c>
      <c r="C41" s="292" t="s">
        <v>27</v>
      </c>
      <c r="D41" s="275">
        <v>138582</v>
      </c>
      <c r="E41" s="275">
        <v>138588</v>
      </c>
      <c r="F41" s="275">
        <v>140588</v>
      </c>
      <c r="G41" s="305">
        <v>140588</v>
      </c>
    </row>
    <row r="42" spans="1:7">
      <c r="A42" s="291"/>
      <c r="B42" s="280" t="s">
        <v>301</v>
      </c>
      <c r="C42" s="292" t="s">
        <v>29</v>
      </c>
      <c r="D42" s="275">
        <v>19141</v>
      </c>
      <c r="E42" s="275">
        <v>18841</v>
      </c>
      <c r="F42" s="275">
        <v>18891</v>
      </c>
      <c r="G42" s="305">
        <v>18991</v>
      </c>
    </row>
    <row r="43" spans="1:7">
      <c r="A43" s="291"/>
      <c r="B43" s="280" t="s">
        <v>301</v>
      </c>
      <c r="C43" s="292" t="s">
        <v>32</v>
      </c>
      <c r="D43" s="275">
        <v>503183</v>
      </c>
      <c r="E43" s="275">
        <v>502183</v>
      </c>
      <c r="F43" s="275">
        <v>500183</v>
      </c>
      <c r="G43" s="305">
        <v>499183</v>
      </c>
    </row>
    <row r="44" spans="1:7">
      <c r="A44" s="291"/>
      <c r="B44" s="280" t="s">
        <v>301</v>
      </c>
      <c r="C44" s="292" t="s">
        <v>34</v>
      </c>
      <c r="D44" s="275">
        <v>86826</v>
      </c>
      <c r="E44" s="275">
        <v>86826</v>
      </c>
      <c r="F44" s="275">
        <v>86826</v>
      </c>
      <c r="G44" s="305">
        <v>86226</v>
      </c>
    </row>
    <row r="45" spans="1:7">
      <c r="A45" s="291"/>
      <c r="B45" s="280" t="s">
        <v>301</v>
      </c>
      <c r="C45" s="292" t="s">
        <v>36</v>
      </c>
      <c r="D45" s="275">
        <v>15958</v>
      </c>
      <c r="E45" s="275">
        <v>15958</v>
      </c>
      <c r="F45" s="275">
        <v>15958</v>
      </c>
      <c r="G45" s="305">
        <v>15958</v>
      </c>
    </row>
    <row r="46" spans="1:7">
      <c r="A46" s="291"/>
      <c r="B46" s="280" t="s">
        <v>301</v>
      </c>
      <c r="C46" s="292" t="s">
        <v>38</v>
      </c>
      <c r="D46" s="275">
        <v>30822</v>
      </c>
      <c r="E46" s="275">
        <v>30822</v>
      </c>
      <c r="F46" s="275">
        <v>30822</v>
      </c>
      <c r="G46" s="305">
        <v>32772</v>
      </c>
    </row>
    <row r="47" spans="1:7">
      <c r="A47" s="291"/>
      <c r="B47" s="280" t="s">
        <v>301</v>
      </c>
      <c r="C47" s="292" t="s">
        <v>40</v>
      </c>
      <c r="D47" s="275">
        <v>438428</v>
      </c>
      <c r="E47" s="275">
        <v>437158</v>
      </c>
      <c r="F47" s="275">
        <v>433601</v>
      </c>
      <c r="G47" s="305">
        <v>459044</v>
      </c>
    </row>
    <row r="48" spans="1:7" ht="15.75" thickBot="1">
      <c r="A48" s="293"/>
      <c r="B48" s="294" t="s">
        <v>301</v>
      </c>
      <c r="C48" s="295" t="s">
        <v>1</v>
      </c>
      <c r="D48" s="275">
        <v>1739751</v>
      </c>
      <c r="E48" s="275">
        <v>1738505</v>
      </c>
      <c r="F48" s="275">
        <v>1735596</v>
      </c>
      <c r="G48" s="305">
        <v>1763851</v>
      </c>
    </row>
    <row r="49" spans="1:7">
      <c r="A49" s="296"/>
      <c r="B49" s="298" t="s">
        <v>19</v>
      </c>
      <c r="C49" s="290" t="s">
        <v>24</v>
      </c>
      <c r="D49" s="275">
        <v>37000</v>
      </c>
      <c r="E49" s="275">
        <v>37000</v>
      </c>
      <c r="F49" s="275">
        <v>37000</v>
      </c>
      <c r="G49" s="305">
        <v>37000</v>
      </c>
    </row>
    <row r="50" spans="1:7">
      <c r="A50" s="291"/>
      <c r="B50" s="280" t="s">
        <v>19</v>
      </c>
      <c r="C50" s="292" t="s">
        <v>27</v>
      </c>
      <c r="D50" s="275">
        <v>43000</v>
      </c>
      <c r="E50" s="275">
        <v>43000</v>
      </c>
      <c r="F50" s="275">
        <v>43000</v>
      </c>
      <c r="G50" s="305">
        <v>43000</v>
      </c>
    </row>
    <row r="51" spans="1:7">
      <c r="A51" s="291"/>
      <c r="B51" s="280" t="s">
        <v>19</v>
      </c>
      <c r="C51" s="292" t="s">
        <v>29</v>
      </c>
      <c r="D51" s="275">
        <v>2100</v>
      </c>
      <c r="E51" s="275">
        <v>2100</v>
      </c>
      <c r="F51" s="275">
        <v>2100</v>
      </c>
      <c r="G51" s="305">
        <v>2100</v>
      </c>
    </row>
    <row r="52" spans="1:7">
      <c r="A52" s="291"/>
      <c r="B52" s="280" t="s">
        <v>19</v>
      </c>
      <c r="C52" s="292" t="s">
        <v>32</v>
      </c>
      <c r="D52" s="274">
        <v>20</v>
      </c>
      <c r="E52" s="274">
        <v>20</v>
      </c>
      <c r="F52" s="274">
        <v>20</v>
      </c>
      <c r="G52" s="306">
        <v>20</v>
      </c>
    </row>
    <row r="53" spans="1:7">
      <c r="A53" s="291"/>
      <c r="B53" s="280" t="s">
        <v>19</v>
      </c>
      <c r="C53" s="292" t="s">
        <v>34</v>
      </c>
      <c r="D53" s="275">
        <v>3000</v>
      </c>
      <c r="E53" s="275">
        <v>3000</v>
      </c>
      <c r="F53" s="275">
        <v>3000</v>
      </c>
      <c r="G53" s="305">
        <v>2500</v>
      </c>
    </row>
    <row r="54" spans="1:7">
      <c r="A54" s="291"/>
      <c r="B54" s="280" t="s">
        <v>19</v>
      </c>
      <c r="C54" s="292" t="s">
        <v>36</v>
      </c>
      <c r="D54" s="275">
        <v>3600</v>
      </c>
      <c r="E54" s="275">
        <v>3600</v>
      </c>
      <c r="F54" s="275">
        <v>3600</v>
      </c>
      <c r="G54" s="305">
        <v>3600</v>
      </c>
    </row>
    <row r="55" spans="1:7" ht="13.5" customHeight="1">
      <c r="A55" s="291"/>
      <c r="B55" s="280" t="s">
        <v>19</v>
      </c>
      <c r="C55" s="292" t="s">
        <v>38</v>
      </c>
      <c r="D55" s="275">
        <v>24000</v>
      </c>
      <c r="E55" s="275">
        <v>24000</v>
      </c>
      <c r="F55" s="275">
        <v>24000</v>
      </c>
      <c r="G55" s="305">
        <v>25500</v>
      </c>
    </row>
    <row r="56" spans="1:7">
      <c r="A56" s="291"/>
      <c r="B56" s="280" t="s">
        <v>19</v>
      </c>
      <c r="C56" s="292" t="s">
        <v>40</v>
      </c>
      <c r="D56" s="275">
        <v>67948</v>
      </c>
      <c r="E56" s="275">
        <v>67948</v>
      </c>
      <c r="F56" s="275">
        <v>67948</v>
      </c>
      <c r="G56" s="305">
        <v>73028</v>
      </c>
    </row>
    <row r="57" spans="1:7" ht="15.75" thickBot="1">
      <c r="A57" s="293"/>
      <c r="B57" s="294" t="s">
        <v>19</v>
      </c>
      <c r="C57" s="295" t="s">
        <v>1</v>
      </c>
      <c r="D57" s="275">
        <v>195810</v>
      </c>
      <c r="E57" s="275">
        <v>195820</v>
      </c>
      <c r="F57" s="275">
        <v>195810</v>
      </c>
      <c r="G57" s="305">
        <v>200855</v>
      </c>
    </row>
    <row r="58" spans="1:7">
      <c r="A58" s="296"/>
      <c r="B58" s="274" t="s">
        <v>17</v>
      </c>
      <c r="C58" s="290" t="s">
        <v>24</v>
      </c>
      <c r="D58" s="275">
        <v>11200</v>
      </c>
      <c r="E58" s="275">
        <v>11200</v>
      </c>
      <c r="F58" s="275">
        <v>11200</v>
      </c>
      <c r="G58" s="305">
        <v>11200</v>
      </c>
    </row>
    <row r="59" spans="1:7">
      <c r="A59" s="291"/>
      <c r="B59" s="274" t="s">
        <v>17</v>
      </c>
      <c r="C59" s="292" t="s">
        <v>27</v>
      </c>
      <c r="D59" s="275">
        <v>65500</v>
      </c>
      <c r="E59" s="275">
        <v>65500</v>
      </c>
      <c r="F59" s="275">
        <v>65500</v>
      </c>
      <c r="G59" s="305">
        <v>65500</v>
      </c>
    </row>
    <row r="60" spans="1:7" ht="14.45" customHeight="1">
      <c r="A60" s="291"/>
      <c r="B60" s="274" t="s">
        <v>17</v>
      </c>
      <c r="C60" s="292" t="s">
        <v>29</v>
      </c>
      <c r="D60" s="275">
        <v>9600</v>
      </c>
      <c r="E60" s="275">
        <v>9500</v>
      </c>
      <c r="F60" s="275">
        <v>9500</v>
      </c>
      <c r="G60" s="305">
        <v>9500</v>
      </c>
    </row>
    <row r="61" spans="1:7">
      <c r="A61" s="291"/>
      <c r="B61" s="274" t="s">
        <v>17</v>
      </c>
      <c r="C61" s="292" t="s">
        <v>32</v>
      </c>
      <c r="D61" s="275">
        <v>239000</v>
      </c>
      <c r="E61" s="275">
        <v>239000</v>
      </c>
      <c r="F61" s="275">
        <v>239000</v>
      </c>
      <c r="G61" s="305">
        <v>239000</v>
      </c>
    </row>
    <row r="62" spans="1:7">
      <c r="A62" s="291"/>
      <c r="B62" s="274" t="s">
        <v>17</v>
      </c>
      <c r="C62" s="292" t="s">
        <v>34</v>
      </c>
      <c r="D62" s="275">
        <v>57700</v>
      </c>
      <c r="E62" s="275">
        <v>57700</v>
      </c>
      <c r="F62" s="275">
        <v>57700</v>
      </c>
      <c r="G62" s="305">
        <v>57700</v>
      </c>
    </row>
    <row r="63" spans="1:7">
      <c r="A63" s="291"/>
      <c r="B63" s="274" t="s">
        <v>17</v>
      </c>
      <c r="C63" s="292" t="s">
        <v>36</v>
      </c>
      <c r="D63" s="275">
        <v>10100</v>
      </c>
      <c r="E63" s="275">
        <v>10100</v>
      </c>
      <c r="F63" s="275">
        <v>10100</v>
      </c>
      <c r="G63" s="305">
        <v>10100</v>
      </c>
    </row>
    <row r="64" spans="1:7">
      <c r="A64" s="291"/>
      <c r="B64" s="274" t="s">
        <v>17</v>
      </c>
      <c r="C64" s="292" t="s">
        <v>38</v>
      </c>
      <c r="D64" s="275">
        <v>5300</v>
      </c>
      <c r="E64" s="275">
        <v>5300</v>
      </c>
      <c r="F64" s="275">
        <v>5300</v>
      </c>
      <c r="G64" s="305">
        <v>5400</v>
      </c>
    </row>
    <row r="65" spans="1:7">
      <c r="A65" s="291"/>
      <c r="B65" s="274" t="s">
        <v>17</v>
      </c>
      <c r="C65" s="292" t="s">
        <v>40</v>
      </c>
      <c r="D65" s="275">
        <v>149867</v>
      </c>
      <c r="E65" s="275">
        <v>149867</v>
      </c>
      <c r="F65" s="275">
        <v>148597</v>
      </c>
      <c r="G65" s="305">
        <v>154947</v>
      </c>
    </row>
    <row r="66" spans="1:7" ht="12.95" customHeight="1" thickBot="1">
      <c r="A66" s="293"/>
      <c r="B66" s="294" t="s">
        <v>17</v>
      </c>
      <c r="C66" s="295" t="s">
        <v>1</v>
      </c>
      <c r="D66" s="275">
        <v>801553</v>
      </c>
      <c r="E66" s="275">
        <v>801903</v>
      </c>
      <c r="F66" s="275">
        <v>800943</v>
      </c>
      <c r="G66" s="305">
        <v>811173</v>
      </c>
    </row>
    <row r="67" spans="1:7" ht="14.45" customHeight="1">
      <c r="A67" s="296"/>
      <c r="B67" s="274" t="s">
        <v>18</v>
      </c>
      <c r="C67" s="290" t="s">
        <v>24</v>
      </c>
      <c r="D67" s="275">
        <v>4400</v>
      </c>
      <c r="E67" s="275">
        <v>4400</v>
      </c>
      <c r="F67" s="275">
        <v>4400</v>
      </c>
      <c r="G67" s="305">
        <v>4400</v>
      </c>
    </row>
    <row r="68" spans="1:7">
      <c r="A68" s="291"/>
      <c r="B68" s="274" t="s">
        <v>18</v>
      </c>
      <c r="C68" s="292" t="s">
        <v>27</v>
      </c>
      <c r="D68" s="275">
        <v>27500</v>
      </c>
      <c r="E68" s="275">
        <v>27500</v>
      </c>
      <c r="F68" s="275">
        <v>28500</v>
      </c>
      <c r="G68" s="305">
        <v>28500</v>
      </c>
    </row>
    <row r="69" spans="1:7">
      <c r="A69" s="291"/>
      <c r="B69" s="274" t="s">
        <v>18</v>
      </c>
      <c r="C69" s="292" t="s">
        <v>29</v>
      </c>
      <c r="D69" s="275">
        <v>5500</v>
      </c>
      <c r="E69" s="275">
        <v>5500</v>
      </c>
      <c r="F69" s="275">
        <v>5600</v>
      </c>
      <c r="G69" s="305">
        <v>5600</v>
      </c>
    </row>
    <row r="70" spans="1:7">
      <c r="A70" s="291"/>
      <c r="B70" s="274" t="s">
        <v>18</v>
      </c>
      <c r="C70" s="292" t="s">
        <v>32</v>
      </c>
      <c r="D70" s="275">
        <v>82000</v>
      </c>
      <c r="E70" s="275">
        <v>82000</v>
      </c>
      <c r="F70" s="275">
        <v>82000</v>
      </c>
      <c r="G70" s="305">
        <v>82000</v>
      </c>
    </row>
    <row r="71" spans="1:7">
      <c r="A71" s="291"/>
      <c r="B71" s="274" t="s">
        <v>18</v>
      </c>
      <c r="C71" s="292" t="s">
        <v>34</v>
      </c>
      <c r="D71" s="275">
        <v>20100</v>
      </c>
      <c r="E71" s="275">
        <v>20100</v>
      </c>
      <c r="F71" s="275">
        <v>20100</v>
      </c>
      <c r="G71" s="305">
        <v>20200</v>
      </c>
    </row>
    <row r="72" spans="1:7">
      <c r="A72" s="291"/>
      <c r="B72" s="274" t="s">
        <v>18</v>
      </c>
      <c r="C72" s="292" t="s">
        <v>36</v>
      </c>
      <c r="D72" s="275">
        <v>1100</v>
      </c>
      <c r="E72" s="275">
        <v>1100</v>
      </c>
      <c r="F72" s="275">
        <v>1100</v>
      </c>
      <c r="G72" s="305">
        <v>1100</v>
      </c>
    </row>
    <row r="73" spans="1:7">
      <c r="A73" s="291"/>
      <c r="B73" s="274" t="s">
        <v>18</v>
      </c>
      <c r="C73" s="292" t="s">
        <v>38</v>
      </c>
      <c r="D73" s="274">
        <v>925</v>
      </c>
      <c r="E73" s="274">
        <v>925</v>
      </c>
      <c r="F73" s="274">
        <v>925</v>
      </c>
      <c r="G73" s="306">
        <v>925</v>
      </c>
    </row>
    <row r="74" spans="1:7" ht="12.6" customHeight="1">
      <c r="A74" s="291"/>
      <c r="B74" s="274" t="s">
        <v>18</v>
      </c>
      <c r="C74" s="292" t="s">
        <v>40</v>
      </c>
      <c r="D74" s="275">
        <v>174887</v>
      </c>
      <c r="E74" s="275">
        <v>174887</v>
      </c>
      <c r="F74" s="275">
        <v>174886</v>
      </c>
      <c r="G74" s="305">
        <v>177300</v>
      </c>
    </row>
    <row r="75" spans="1:7" ht="15.75" thickBot="1">
      <c r="A75" s="293"/>
      <c r="B75" s="274" t="s">
        <v>18</v>
      </c>
      <c r="C75" s="295" t="s">
        <v>1</v>
      </c>
      <c r="D75" s="275">
        <v>464546</v>
      </c>
      <c r="E75" s="275">
        <v>465546</v>
      </c>
      <c r="F75" s="275">
        <v>466760</v>
      </c>
      <c r="G75" s="305">
        <v>469284</v>
      </c>
    </row>
    <row r="76" spans="1:7">
      <c r="A76" s="296"/>
      <c r="B76" s="298" t="s">
        <v>190</v>
      </c>
      <c r="C76" s="290" t="s">
        <v>24</v>
      </c>
      <c r="D76" s="275">
        <v>15600</v>
      </c>
      <c r="E76" s="275">
        <v>15600</v>
      </c>
      <c r="F76" s="275">
        <v>15600</v>
      </c>
      <c r="G76" s="305">
        <v>15600</v>
      </c>
    </row>
    <row r="77" spans="1:7" ht="30">
      <c r="A77" s="291"/>
      <c r="B77" s="280" t="s">
        <v>190</v>
      </c>
      <c r="C77" s="292" t="s">
        <v>27</v>
      </c>
      <c r="D77" s="275">
        <v>93000</v>
      </c>
      <c r="E77" s="275">
        <v>93000</v>
      </c>
      <c r="F77" s="275">
        <v>94000</v>
      </c>
      <c r="G77" s="305">
        <v>94000</v>
      </c>
    </row>
    <row r="78" spans="1:7" ht="30">
      <c r="A78" s="291"/>
      <c r="B78" s="280" t="s">
        <v>190</v>
      </c>
      <c r="C78" s="292" t="s">
        <v>29</v>
      </c>
      <c r="D78" s="275">
        <v>15100</v>
      </c>
      <c r="E78" s="275">
        <v>15000</v>
      </c>
      <c r="F78" s="275">
        <v>15100</v>
      </c>
      <c r="G78" s="305">
        <v>15100</v>
      </c>
    </row>
    <row r="79" spans="1:7" ht="30">
      <c r="A79" s="291"/>
      <c r="B79" s="280" t="s">
        <v>190</v>
      </c>
      <c r="C79" s="292" t="s">
        <v>32</v>
      </c>
      <c r="D79" s="275">
        <v>321000</v>
      </c>
      <c r="E79" s="275">
        <v>321000</v>
      </c>
      <c r="F79" s="275">
        <v>321000</v>
      </c>
      <c r="G79" s="305">
        <v>321000</v>
      </c>
    </row>
    <row r="80" spans="1:7" ht="30">
      <c r="A80" s="291"/>
      <c r="B80" s="280" t="s">
        <v>190</v>
      </c>
      <c r="C80" s="292" t="s">
        <v>34</v>
      </c>
      <c r="D80" s="275">
        <v>77800</v>
      </c>
      <c r="E80" s="275">
        <v>77800</v>
      </c>
      <c r="F80" s="275">
        <v>77800</v>
      </c>
      <c r="G80" s="305">
        <v>77900</v>
      </c>
    </row>
    <row r="81" spans="1:7" ht="30">
      <c r="A81" s="291"/>
      <c r="B81" s="280" t="s">
        <v>190</v>
      </c>
      <c r="C81" s="292" t="s">
        <v>36</v>
      </c>
      <c r="D81" s="275">
        <v>11200</v>
      </c>
      <c r="E81" s="275">
        <v>11200</v>
      </c>
      <c r="F81" s="275">
        <v>11200</v>
      </c>
      <c r="G81" s="305">
        <v>11200</v>
      </c>
    </row>
    <row r="82" spans="1:7" ht="30">
      <c r="A82" s="291"/>
      <c r="B82" s="280" t="s">
        <v>190</v>
      </c>
      <c r="C82" s="292" t="s">
        <v>38</v>
      </c>
      <c r="D82" s="275">
        <v>6225</v>
      </c>
      <c r="E82" s="275">
        <v>6225</v>
      </c>
      <c r="F82" s="275">
        <v>6225</v>
      </c>
      <c r="G82" s="305">
        <v>6325</v>
      </c>
    </row>
    <row r="83" spans="1:7" ht="30">
      <c r="A83" s="291"/>
      <c r="B83" s="280" t="s">
        <v>190</v>
      </c>
      <c r="C83" s="292" t="s">
        <v>40</v>
      </c>
      <c r="D83" s="275">
        <v>324754</v>
      </c>
      <c r="E83" s="275">
        <v>324754</v>
      </c>
      <c r="F83" s="275">
        <v>323483</v>
      </c>
      <c r="G83" s="305">
        <v>332247</v>
      </c>
    </row>
    <row r="84" spans="1:7" ht="30.75" thickBot="1">
      <c r="A84" s="293"/>
      <c r="B84" s="294" t="s">
        <v>190</v>
      </c>
      <c r="C84" s="295" t="s">
        <v>1</v>
      </c>
      <c r="D84" s="275">
        <v>1266099</v>
      </c>
      <c r="E84" s="275">
        <v>1267449</v>
      </c>
      <c r="F84" s="275">
        <v>1267703</v>
      </c>
      <c r="G84" s="305">
        <v>1280457</v>
      </c>
    </row>
    <row r="85" spans="1:7">
      <c r="A85" s="296"/>
      <c r="B85" s="298" t="s">
        <v>21</v>
      </c>
      <c r="C85" s="290" t="s">
        <v>24</v>
      </c>
      <c r="D85" s="275">
        <v>2788</v>
      </c>
      <c r="E85" s="275">
        <v>3188</v>
      </c>
      <c r="F85" s="275">
        <v>3188</v>
      </c>
      <c r="G85" s="305">
        <v>3188</v>
      </c>
    </row>
    <row r="86" spans="1:7">
      <c r="A86" s="291"/>
      <c r="B86" s="280" t="s">
        <v>21</v>
      </c>
      <c r="C86" s="292" t="s">
        <v>27</v>
      </c>
      <c r="D86" s="275">
        <v>2582</v>
      </c>
      <c r="E86" s="275">
        <v>2588</v>
      </c>
      <c r="F86" s="275">
        <v>3588</v>
      </c>
      <c r="G86" s="305">
        <v>3588</v>
      </c>
    </row>
    <row r="87" spans="1:7">
      <c r="A87" s="291"/>
      <c r="B87" s="280" t="s">
        <v>21</v>
      </c>
      <c r="C87" s="292" t="s">
        <v>29</v>
      </c>
      <c r="D87" s="275">
        <v>1941</v>
      </c>
      <c r="E87" s="275">
        <v>1741</v>
      </c>
      <c r="F87" s="275">
        <v>1691</v>
      </c>
      <c r="G87" s="305">
        <v>1791</v>
      </c>
    </row>
    <row r="88" spans="1:7">
      <c r="A88" s="291"/>
      <c r="B88" s="280" t="s">
        <v>21</v>
      </c>
      <c r="C88" s="292" t="s">
        <v>32</v>
      </c>
      <c r="D88" s="275">
        <v>182163</v>
      </c>
      <c r="E88" s="275">
        <v>181163</v>
      </c>
      <c r="F88" s="275">
        <v>179163</v>
      </c>
      <c r="G88" s="305">
        <v>178163</v>
      </c>
    </row>
    <row r="89" spans="1:7">
      <c r="A89" s="291"/>
      <c r="B89" s="280" t="s">
        <v>21</v>
      </c>
      <c r="C89" s="292" t="s">
        <v>34</v>
      </c>
      <c r="D89" s="275">
        <v>6026</v>
      </c>
      <c r="E89" s="275">
        <v>6026</v>
      </c>
      <c r="F89" s="275">
        <v>6026</v>
      </c>
      <c r="G89" s="305">
        <v>5826</v>
      </c>
    </row>
    <row r="90" spans="1:7">
      <c r="A90" s="291"/>
      <c r="B90" s="280" t="s">
        <v>21</v>
      </c>
      <c r="C90" s="292" t="s">
        <v>36</v>
      </c>
      <c r="D90" s="274">
        <v>1158</v>
      </c>
      <c r="E90" s="274">
        <v>1158</v>
      </c>
      <c r="F90" s="274">
        <v>1158</v>
      </c>
      <c r="G90" s="305">
        <v>1158</v>
      </c>
    </row>
    <row r="91" spans="1:7">
      <c r="A91" s="291"/>
      <c r="B91" s="280" t="s">
        <v>21</v>
      </c>
      <c r="C91" s="292" t="s">
        <v>38</v>
      </c>
      <c r="D91" s="274">
        <v>597</v>
      </c>
      <c r="E91" s="274">
        <v>597</v>
      </c>
      <c r="F91" s="274">
        <v>597</v>
      </c>
      <c r="G91" s="306">
        <v>947</v>
      </c>
    </row>
    <row r="92" spans="1:7">
      <c r="A92" s="291"/>
      <c r="B92" s="280" t="s">
        <v>21</v>
      </c>
      <c r="C92" s="292" t="s">
        <v>40</v>
      </c>
      <c r="D92" s="275">
        <v>45726</v>
      </c>
      <c r="E92" s="275">
        <v>44456</v>
      </c>
      <c r="F92" s="275">
        <v>42170</v>
      </c>
      <c r="G92" s="305">
        <v>53769</v>
      </c>
    </row>
    <row r="93" spans="1:7" ht="15.75" thickBot="1">
      <c r="A93" s="293"/>
      <c r="B93" s="294" t="s">
        <v>21</v>
      </c>
      <c r="C93" s="295" t="s">
        <v>1</v>
      </c>
      <c r="D93" s="275">
        <v>277842</v>
      </c>
      <c r="E93" s="275">
        <v>275236</v>
      </c>
      <c r="F93" s="275">
        <v>272083</v>
      </c>
      <c r="G93" s="305">
        <v>282539</v>
      </c>
    </row>
    <row r="94" spans="1:7">
      <c r="A94" s="296"/>
      <c r="B94" s="298" t="s">
        <v>302</v>
      </c>
      <c r="C94" s="290" t="s">
        <v>24</v>
      </c>
      <c r="D94" s="275">
        <v>55388</v>
      </c>
      <c r="E94" s="275">
        <v>55788</v>
      </c>
      <c r="F94" s="275">
        <v>55788</v>
      </c>
      <c r="G94" s="305">
        <v>55788</v>
      </c>
    </row>
    <row r="95" spans="1:7">
      <c r="A95" s="291"/>
      <c r="B95" s="280" t="s">
        <v>302</v>
      </c>
      <c r="C95" s="292" t="s">
        <v>27</v>
      </c>
      <c r="D95" s="275">
        <v>138582</v>
      </c>
      <c r="E95" s="275">
        <v>138588</v>
      </c>
      <c r="F95" s="275">
        <v>140588</v>
      </c>
      <c r="G95" s="305">
        <v>140588</v>
      </c>
    </row>
    <row r="96" spans="1:7">
      <c r="A96" s="291"/>
      <c r="B96" s="280" t="s">
        <v>302</v>
      </c>
      <c r="C96" s="292" t="s">
        <v>29</v>
      </c>
      <c r="D96" s="275">
        <v>19141</v>
      </c>
      <c r="E96" s="275">
        <v>18841</v>
      </c>
      <c r="F96" s="275">
        <v>18891</v>
      </c>
      <c r="G96" s="305">
        <v>18991</v>
      </c>
    </row>
    <row r="97" spans="1:7">
      <c r="A97" s="291"/>
      <c r="B97" s="280" t="s">
        <v>302</v>
      </c>
      <c r="C97" s="292" t="s">
        <v>32</v>
      </c>
      <c r="D97" s="275">
        <v>503183</v>
      </c>
      <c r="E97" s="275">
        <v>502183</v>
      </c>
      <c r="F97" s="275">
        <v>500183</v>
      </c>
      <c r="G97" s="305">
        <v>499183</v>
      </c>
    </row>
    <row r="98" spans="1:7">
      <c r="A98" s="291"/>
      <c r="B98" s="280" t="s">
        <v>302</v>
      </c>
      <c r="C98" s="292" t="s">
        <v>34</v>
      </c>
      <c r="D98" s="275">
        <v>86826</v>
      </c>
      <c r="E98" s="275">
        <v>86826</v>
      </c>
      <c r="F98" s="275">
        <v>86826</v>
      </c>
      <c r="G98" s="305">
        <v>86226</v>
      </c>
    </row>
    <row r="99" spans="1:7">
      <c r="A99" s="291"/>
      <c r="B99" s="280" t="s">
        <v>302</v>
      </c>
      <c r="C99" s="292" t="s">
        <v>36</v>
      </c>
      <c r="D99" s="275">
        <v>15958</v>
      </c>
      <c r="E99" s="275">
        <v>15958</v>
      </c>
      <c r="F99" s="275">
        <v>15958</v>
      </c>
      <c r="G99" s="305">
        <v>15958</v>
      </c>
    </row>
    <row r="100" spans="1:7">
      <c r="A100" s="291"/>
      <c r="B100" s="280" t="s">
        <v>302</v>
      </c>
      <c r="C100" s="292" t="s">
        <v>38</v>
      </c>
      <c r="D100" s="275">
        <v>30822</v>
      </c>
      <c r="E100" s="275">
        <v>30822</v>
      </c>
      <c r="F100" s="275">
        <v>30822</v>
      </c>
      <c r="G100" s="305">
        <v>32772</v>
      </c>
    </row>
    <row r="101" spans="1:7">
      <c r="A101" s="291"/>
      <c r="B101" s="280" t="s">
        <v>302</v>
      </c>
      <c r="C101" s="292" t="s">
        <v>40</v>
      </c>
      <c r="D101" s="275">
        <v>438428</v>
      </c>
      <c r="E101" s="275">
        <v>437158</v>
      </c>
      <c r="F101" s="275">
        <v>433601</v>
      </c>
      <c r="G101" s="305">
        <v>459044</v>
      </c>
    </row>
    <row r="102" spans="1:7" ht="15.75" thickBot="1">
      <c r="A102" s="293"/>
      <c r="B102" s="294" t="s">
        <v>302</v>
      </c>
      <c r="C102" s="295" t="s">
        <v>1</v>
      </c>
      <c r="D102" s="275">
        <v>1739751</v>
      </c>
      <c r="E102" s="275">
        <v>1738505</v>
      </c>
      <c r="F102" s="275">
        <v>1735596</v>
      </c>
      <c r="G102" s="305">
        <v>1763851</v>
      </c>
    </row>
    <row r="103" spans="1:7">
      <c r="A103" s="296"/>
      <c r="B103" s="298" t="s">
        <v>11</v>
      </c>
      <c r="C103" s="290" t="s">
        <v>24</v>
      </c>
      <c r="D103" s="274">
        <v>7.07</v>
      </c>
      <c r="E103" s="274">
        <v>7.07</v>
      </c>
      <c r="F103" s="274">
        <v>7.07</v>
      </c>
      <c r="G103" s="306">
        <v>7.07</v>
      </c>
    </row>
    <row r="104" spans="1:7">
      <c r="A104" s="291"/>
      <c r="B104" s="280" t="s">
        <v>11</v>
      </c>
      <c r="C104" s="292" t="s">
        <v>27</v>
      </c>
      <c r="D104" s="274">
        <v>5.8</v>
      </c>
      <c r="E104" s="274">
        <v>5.8</v>
      </c>
      <c r="F104" s="274">
        <v>5.8</v>
      </c>
      <c r="G104" s="306">
        <v>5.8</v>
      </c>
    </row>
    <row r="105" spans="1:7">
      <c r="A105" s="291"/>
      <c r="B105" s="280" t="s">
        <v>11</v>
      </c>
      <c r="C105" s="292" t="s">
        <v>29</v>
      </c>
      <c r="D105" s="274">
        <v>10.07</v>
      </c>
      <c r="E105" s="274">
        <v>10.07</v>
      </c>
      <c r="F105" s="274">
        <v>10.14</v>
      </c>
      <c r="G105" s="306">
        <v>10.34</v>
      </c>
    </row>
    <row r="106" spans="1:7">
      <c r="A106" s="291"/>
      <c r="B106" s="280" t="s">
        <v>11</v>
      </c>
      <c r="C106" s="292" t="s">
        <v>32</v>
      </c>
      <c r="D106" s="274">
        <v>6.66</v>
      </c>
      <c r="E106" s="274">
        <v>6.66</v>
      </c>
      <c r="F106" s="274">
        <v>6.66</v>
      </c>
      <c r="G106" s="306">
        <v>6.66</v>
      </c>
    </row>
    <row r="107" spans="1:7">
      <c r="A107" s="291"/>
      <c r="B107" s="280" t="s">
        <v>11</v>
      </c>
      <c r="C107" s="292" t="s">
        <v>34</v>
      </c>
      <c r="D107" s="274">
        <v>7.27</v>
      </c>
      <c r="E107" s="274">
        <v>7.27</v>
      </c>
      <c r="F107" s="274">
        <v>7.27</v>
      </c>
      <c r="G107" s="306">
        <v>7.21</v>
      </c>
    </row>
    <row r="108" spans="1:7">
      <c r="A108" s="291"/>
      <c r="B108" s="280" t="s">
        <v>11</v>
      </c>
      <c r="C108" s="292" t="s">
        <v>36</v>
      </c>
      <c r="D108" s="274">
        <v>6</v>
      </c>
      <c r="E108" s="274">
        <v>6</v>
      </c>
      <c r="F108" s="274">
        <v>6</v>
      </c>
      <c r="G108" s="306">
        <v>6</v>
      </c>
    </row>
    <row r="109" spans="1:7">
      <c r="A109" s="291"/>
      <c r="B109" s="280" t="s">
        <v>11</v>
      </c>
      <c r="C109" s="292" t="s">
        <v>38</v>
      </c>
      <c r="D109" s="274">
        <v>7.26</v>
      </c>
      <c r="E109" s="274">
        <v>7.26</v>
      </c>
      <c r="F109" s="274">
        <v>7.26</v>
      </c>
      <c r="G109" s="306">
        <v>7.27</v>
      </c>
    </row>
    <row r="110" spans="1:7">
      <c r="A110" s="291"/>
      <c r="B110" s="280" t="s">
        <v>11</v>
      </c>
      <c r="C110" s="292" t="s">
        <v>40</v>
      </c>
      <c r="D110" s="274">
        <v>11.36</v>
      </c>
      <c r="E110" s="274">
        <v>11.36</v>
      </c>
      <c r="F110" s="274">
        <v>11.36</v>
      </c>
      <c r="G110" s="306">
        <v>11.85</v>
      </c>
    </row>
    <row r="111" spans="1:7" ht="15.75" thickBot="1">
      <c r="A111" s="293"/>
      <c r="B111" s="294" t="s">
        <v>11</v>
      </c>
      <c r="C111" s="295" t="s">
        <v>1</v>
      </c>
      <c r="D111" s="274">
        <v>6.07</v>
      </c>
      <c r="E111" s="274">
        <v>6.07</v>
      </c>
      <c r="F111" s="274">
        <v>6.06</v>
      </c>
      <c r="G111" s="306">
        <v>6.16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9FA0-8D10-4EE7-BEBD-E57E550BEC1E}">
  <sheetPr>
    <tabColor theme="8" tint="0.79998168889431442"/>
  </sheetPr>
  <dimension ref="A1:K111"/>
  <sheetViews>
    <sheetView showGridLines="0" topLeftCell="B1" zoomScaleNormal="100" workbookViewId="0">
      <selection activeCell="F12" sqref="F12"/>
    </sheetView>
  </sheetViews>
  <sheetFormatPr defaultColWidth="7.42578125" defaultRowHeight="15"/>
  <cols>
    <col min="1" max="1" width="10" style="270" bestFit="1" customWidth="1"/>
    <col min="2" max="2" width="20.140625" style="270" bestFit="1" customWidth="1"/>
    <col min="3" max="3" width="12.85546875" style="270" bestFit="1" customWidth="1"/>
    <col min="4" max="5" width="12.85546875" style="270" customWidth="1"/>
    <col min="6" max="6" width="9.28515625" style="270" bestFit="1" customWidth="1"/>
    <col min="7" max="7" width="7.42578125" style="270"/>
    <col min="8" max="8" width="8.7109375" style="270" bestFit="1" customWidth="1"/>
    <col min="9" max="16384" width="7.42578125" style="270"/>
  </cols>
  <sheetData>
    <row r="1" spans="1:11">
      <c r="A1" s="286" t="s">
        <v>303</v>
      </c>
      <c r="B1" s="300"/>
    </row>
    <row r="3" spans="1:11" ht="15.75" thickBot="1">
      <c r="A3" s="271" t="s">
        <v>295</v>
      </c>
      <c r="B3" s="287" t="s">
        <v>296</v>
      </c>
      <c r="C3" s="271" t="s">
        <v>297</v>
      </c>
      <c r="D3" s="297">
        <v>45748</v>
      </c>
      <c r="E3" s="297"/>
      <c r="F3" s="297">
        <v>45566</v>
      </c>
      <c r="G3" s="288">
        <v>45597</v>
      </c>
      <c r="H3" s="297">
        <v>45627</v>
      </c>
      <c r="I3" s="297">
        <v>45658</v>
      </c>
      <c r="J3" s="288">
        <v>45689</v>
      </c>
      <c r="K3" s="297">
        <v>45717</v>
      </c>
    </row>
    <row r="4" spans="1:11">
      <c r="A4" s="289" t="s">
        <v>299</v>
      </c>
      <c r="B4" s="280" t="s">
        <v>10</v>
      </c>
      <c r="C4" s="290" t="s">
        <v>24</v>
      </c>
      <c r="D4" s="301">
        <f>'USDA Comp'!E27</f>
        <v>6.788561125293965</v>
      </c>
      <c r="E4" s="274"/>
      <c r="F4" s="285">
        <v>7.3398113658674031</v>
      </c>
      <c r="G4" s="283">
        <v>7.3398113658674031</v>
      </c>
      <c r="H4" s="302">
        <v>7.5379170000000002</v>
      </c>
      <c r="I4" s="270">
        <v>7.5379170000000002</v>
      </c>
      <c r="J4" s="270">
        <v>7.5379170000000002</v>
      </c>
      <c r="K4" s="270">
        <v>7.5379170000000002</v>
      </c>
    </row>
    <row r="5" spans="1:11">
      <c r="A5" s="291"/>
      <c r="B5" s="280" t="s">
        <v>10</v>
      </c>
      <c r="C5" s="292" t="s">
        <v>27</v>
      </c>
      <c r="D5" s="301">
        <f>'USDA Comp'!E47</f>
        <v>22.124099999999999</v>
      </c>
      <c r="E5" s="274"/>
      <c r="F5" s="285">
        <v>21.050799999999995</v>
      </c>
      <c r="G5" s="283">
        <v>21.050799999999995</v>
      </c>
      <c r="H5" s="302">
        <v>21.050799999999995</v>
      </c>
      <c r="I5" s="270">
        <v>21.050799999999995</v>
      </c>
      <c r="J5" s="270">
        <v>21.050799999999995</v>
      </c>
      <c r="K5" s="270">
        <v>21.050799999999995</v>
      </c>
    </row>
    <row r="6" spans="1:11" ht="15.95" customHeight="1">
      <c r="A6" s="291"/>
      <c r="B6" s="280" t="s">
        <v>10</v>
      </c>
      <c r="C6" s="292" t="s">
        <v>29</v>
      </c>
      <c r="D6" s="301">
        <f>'USDA Comp'!E67</f>
        <v>1.4430163550261708</v>
      </c>
      <c r="E6" s="274"/>
      <c r="F6" s="285">
        <v>1.5188999999999999</v>
      </c>
      <c r="G6" s="283">
        <v>1.5188999999999999</v>
      </c>
      <c r="H6" s="302">
        <v>1.5188999999999999</v>
      </c>
      <c r="I6" s="270">
        <v>1.5188999999999999</v>
      </c>
      <c r="J6" s="270">
        <v>1.5188999999999999</v>
      </c>
      <c r="K6" s="270">
        <v>1.5188999999999999</v>
      </c>
    </row>
    <row r="7" spans="1:11">
      <c r="A7" s="291"/>
      <c r="B7" s="280" t="s">
        <v>10</v>
      </c>
      <c r="C7" s="292" t="s">
        <v>32</v>
      </c>
      <c r="D7" s="301">
        <f>'USDA Comp'!E87</f>
        <v>44.622066666666655</v>
      </c>
      <c r="E7" s="274"/>
      <c r="F7" s="285">
        <v>44.218000000000004</v>
      </c>
      <c r="G7" s="283">
        <v>44.218000000000004</v>
      </c>
      <c r="H7" s="302">
        <v>44.218000000000004</v>
      </c>
      <c r="I7" s="270">
        <v>44.218000000000004</v>
      </c>
      <c r="J7" s="270">
        <v>44.218000000000004</v>
      </c>
      <c r="K7" s="270">
        <v>44.218000000000004</v>
      </c>
    </row>
    <row r="8" spans="1:11">
      <c r="A8" s="291"/>
      <c r="B8" s="280" t="s">
        <v>10</v>
      </c>
      <c r="C8" s="292" t="s">
        <v>34</v>
      </c>
      <c r="D8" s="301">
        <f>'USDA Comp'!E107</f>
        <v>8.6136333333333308</v>
      </c>
      <c r="E8" s="274"/>
      <c r="F8" s="285">
        <v>8.3827400000000001</v>
      </c>
      <c r="G8" s="283">
        <v>8.3827400000000001</v>
      </c>
      <c r="H8" s="302">
        <v>8.3827400000000001</v>
      </c>
      <c r="I8" s="270">
        <v>8.3827400000000001</v>
      </c>
      <c r="J8" s="270">
        <v>8.3827400000000001</v>
      </c>
      <c r="K8" s="270">
        <v>8.3827400000000001</v>
      </c>
    </row>
    <row r="9" spans="1:11">
      <c r="A9" s="291"/>
      <c r="B9" s="280" t="s">
        <v>10</v>
      </c>
      <c r="C9" s="292" t="s">
        <v>36</v>
      </c>
      <c r="D9" s="301">
        <f>'USDA Comp'!E127</f>
        <v>2.5</v>
      </c>
      <c r="E9" s="274"/>
      <c r="F9" s="285">
        <v>2.4</v>
      </c>
      <c r="G9" s="283">
        <v>2.4</v>
      </c>
      <c r="H9" s="302">
        <v>2.4</v>
      </c>
      <c r="I9" s="270">
        <v>2.4</v>
      </c>
      <c r="J9" s="270">
        <v>2.4</v>
      </c>
      <c r="K9" s="270">
        <v>2.4</v>
      </c>
    </row>
    <row r="10" spans="1:11">
      <c r="A10" s="291"/>
      <c r="B10" s="280" t="s">
        <v>10</v>
      </c>
      <c r="C10" s="292" t="s">
        <v>38</v>
      </c>
      <c r="D10" s="301">
        <f>'USDA Comp'!E147</f>
        <v>3.9238019170233889</v>
      </c>
      <c r="E10" s="274"/>
      <c r="F10" s="285">
        <v>4.0282878744455388</v>
      </c>
      <c r="G10" s="283">
        <v>4.0282878744455388</v>
      </c>
      <c r="H10" s="302">
        <v>4.0282878744455388</v>
      </c>
      <c r="I10" s="270">
        <v>4.0282878744455388</v>
      </c>
      <c r="J10" s="270">
        <v>4.0282878744455388</v>
      </c>
      <c r="K10" s="270">
        <v>4.0282878744455388</v>
      </c>
    </row>
    <row r="11" spans="1:11">
      <c r="A11" s="291"/>
      <c r="B11" s="280" t="s">
        <v>10</v>
      </c>
      <c r="C11" s="292" t="s">
        <v>40</v>
      </c>
      <c r="D11" s="301">
        <f>'USDA Comp'!E167</f>
        <v>33.546850655999997</v>
      </c>
      <c r="E11" s="274"/>
      <c r="F11" s="285">
        <v>35.010599918000004</v>
      </c>
      <c r="G11" s="283">
        <v>35.010599918000004</v>
      </c>
      <c r="H11" s="302">
        <v>35.010599918000004</v>
      </c>
      <c r="I11" s="270">
        <v>35.010599918000004</v>
      </c>
      <c r="J11" s="270">
        <v>35.010599918000004</v>
      </c>
      <c r="K11" s="270">
        <v>35.007767115999997</v>
      </c>
    </row>
    <row r="12" spans="1:11" ht="15.75" thickBot="1">
      <c r="A12" s="293"/>
      <c r="B12" s="294" t="s">
        <v>10</v>
      </c>
      <c r="C12" s="295" t="s">
        <v>1</v>
      </c>
      <c r="D12" s="301">
        <f>'USDA Comp'!E7</f>
        <v>203.19403005334351</v>
      </c>
      <c r="E12" s="274"/>
      <c r="F12" s="285">
        <v>203.59713915831296</v>
      </c>
      <c r="G12" s="283">
        <v>203.59713915831296</v>
      </c>
      <c r="H12" s="302">
        <v>203.79524479244554</v>
      </c>
      <c r="I12" s="270">
        <v>203.79524479244554</v>
      </c>
      <c r="J12" s="270">
        <v>203.79524479244554</v>
      </c>
      <c r="K12" s="270">
        <v>203.79241199044554</v>
      </c>
    </row>
    <row r="13" spans="1:11">
      <c r="A13" s="296"/>
      <c r="B13" s="280" t="s">
        <v>12</v>
      </c>
      <c r="C13" s="290" t="s">
        <v>24</v>
      </c>
      <c r="D13" s="301">
        <f>'USDA Comp'!E29</f>
        <v>2.4780000000000002</v>
      </c>
      <c r="E13" s="274"/>
      <c r="F13" s="285">
        <v>1.3240000000000001</v>
      </c>
      <c r="G13" s="283">
        <v>1.3240000000000001</v>
      </c>
      <c r="H13" s="302">
        <v>1.3240000000000001</v>
      </c>
      <c r="I13" s="270">
        <v>1.3240000000000001</v>
      </c>
      <c r="J13" s="270">
        <v>2.3239999999999998</v>
      </c>
      <c r="K13" s="270">
        <v>2.3239999999999998</v>
      </c>
    </row>
    <row r="14" spans="1:11">
      <c r="A14" s="291"/>
      <c r="B14" s="280" t="s">
        <v>12</v>
      </c>
      <c r="C14" s="292" t="s">
        <v>27</v>
      </c>
      <c r="D14" s="301">
        <f>'USDA Comp'!E59</f>
        <v>6.8418876532649053E-2</v>
      </c>
      <c r="E14" s="274"/>
      <c r="F14" s="285">
        <v>4.984220622511909E-2</v>
      </c>
      <c r="G14" s="270">
        <v>4.984220622511909E-2</v>
      </c>
      <c r="H14" s="302">
        <v>4.984220622511909E-2</v>
      </c>
      <c r="I14" s="270">
        <v>4.984220622511909E-2</v>
      </c>
      <c r="J14" s="270">
        <v>4.984220622511909E-2</v>
      </c>
      <c r="K14" s="270">
        <v>4.984220622511909E-2</v>
      </c>
    </row>
    <row r="15" spans="1:11">
      <c r="A15" s="291"/>
      <c r="B15" s="280" t="s">
        <v>12</v>
      </c>
      <c r="C15" s="292" t="s">
        <v>29</v>
      </c>
      <c r="D15" s="301">
        <f>'USDA Comp'!E69</f>
        <v>1.996</v>
      </c>
      <c r="E15" s="274"/>
      <c r="F15" s="285">
        <v>1.6279999999999999</v>
      </c>
      <c r="G15" s="283">
        <v>1.6279999999999999</v>
      </c>
      <c r="H15" s="302">
        <v>1.6279999999999999</v>
      </c>
      <c r="I15" s="270">
        <v>1.6279999999999999</v>
      </c>
      <c r="J15" s="270">
        <v>1.6279999999999999</v>
      </c>
      <c r="K15" s="270">
        <v>1.6279999999999999</v>
      </c>
    </row>
    <row r="16" spans="1:11">
      <c r="A16" s="291"/>
      <c r="B16" s="280" t="s">
        <v>12</v>
      </c>
      <c r="C16" s="292" t="s">
        <v>32</v>
      </c>
      <c r="D16" s="301">
        <f>'USDA Comp'!E89</f>
        <v>211.286</v>
      </c>
      <c r="E16" s="274"/>
      <c r="F16" s="285">
        <v>206.04</v>
      </c>
      <c r="G16" s="283">
        <v>206.04</v>
      </c>
      <c r="H16" s="302">
        <v>206.04</v>
      </c>
      <c r="I16" s="270">
        <v>206.04</v>
      </c>
      <c r="J16" s="270">
        <v>206.04</v>
      </c>
      <c r="K16" s="270">
        <v>206.04</v>
      </c>
    </row>
    <row r="17" spans="1:11">
      <c r="A17" s="291"/>
      <c r="B17" s="280" t="s">
        <v>12</v>
      </c>
      <c r="C17" s="292" t="s">
        <v>34</v>
      </c>
      <c r="D17" s="301">
        <f>'USDA Comp'!E109</f>
        <v>7.3140000000000001</v>
      </c>
      <c r="E17" s="274"/>
      <c r="F17" s="285">
        <v>8.0289999999999999</v>
      </c>
      <c r="G17" s="283">
        <v>8.0289999999999999</v>
      </c>
      <c r="H17" s="302">
        <v>8.0289999999999999</v>
      </c>
      <c r="I17" s="270">
        <v>8.0289999999999999</v>
      </c>
      <c r="J17" s="270">
        <v>8.0289999999999999</v>
      </c>
      <c r="K17" s="270">
        <v>8.0289999999999999</v>
      </c>
    </row>
    <row r="18" spans="1:11">
      <c r="A18" s="291"/>
      <c r="B18" s="280" t="s">
        <v>12</v>
      </c>
      <c r="C18" s="292" t="s">
        <v>36</v>
      </c>
      <c r="D18" s="301">
        <f>'USDA Comp'!E129</f>
        <v>0.75800000000000001</v>
      </c>
      <c r="E18" s="274"/>
      <c r="F18" s="285">
        <v>0.90800000000000003</v>
      </c>
      <c r="G18" s="283">
        <v>0.90800000000000003</v>
      </c>
      <c r="H18" s="302">
        <v>0.90800000000000003</v>
      </c>
      <c r="I18" s="270">
        <v>0.90800000000000003</v>
      </c>
      <c r="J18" s="270">
        <v>0.90800000000000003</v>
      </c>
      <c r="K18" s="270">
        <v>0.90800000000000003</v>
      </c>
    </row>
    <row r="19" spans="1:11">
      <c r="A19" s="291"/>
      <c r="B19" s="280" t="s">
        <v>12</v>
      </c>
      <c r="C19" s="292" t="s">
        <v>38</v>
      </c>
      <c r="D19" s="301">
        <f>'USDA Comp'!E149</f>
        <v>1.7090000000000001</v>
      </c>
      <c r="E19" s="274"/>
      <c r="F19" s="285">
        <v>2.7949999999999999</v>
      </c>
      <c r="G19" s="283">
        <v>2.7949999999999999</v>
      </c>
      <c r="H19" s="302">
        <v>2.7949999999999999</v>
      </c>
      <c r="I19" s="270">
        <v>2.7949999999999999</v>
      </c>
      <c r="J19" s="270">
        <v>2.9950000000000001</v>
      </c>
      <c r="K19" s="270">
        <v>2.9950000000000001</v>
      </c>
    </row>
    <row r="20" spans="1:11">
      <c r="A20" s="291"/>
      <c r="B20" s="280" t="s">
        <v>12</v>
      </c>
      <c r="C20" s="292" t="s">
        <v>40</v>
      </c>
      <c r="D20" s="301">
        <f>'USDA Comp'!E169</f>
        <v>44.792000000000002</v>
      </c>
      <c r="E20" s="274"/>
      <c r="F20" s="285">
        <v>34.551000000000002</v>
      </c>
      <c r="G20" s="283">
        <v>34.551000000000002</v>
      </c>
      <c r="H20" s="302">
        <v>34.551000000000002</v>
      </c>
      <c r="I20" s="270">
        <v>34.551000000000002</v>
      </c>
      <c r="J20" s="270">
        <v>34.551000000000002</v>
      </c>
      <c r="K20" s="270">
        <v>34.551000000000002</v>
      </c>
    </row>
    <row r="21" spans="1:11" ht="15.75" thickBot="1">
      <c r="A21" s="293"/>
      <c r="B21" s="294" t="s">
        <v>12</v>
      </c>
      <c r="C21" s="295" t="s">
        <v>1</v>
      </c>
      <c r="D21" s="301">
        <f>'USDA Comp'!E9</f>
        <v>322.14299999999997</v>
      </c>
      <c r="E21" s="274"/>
      <c r="F21" s="285">
        <v>302.82400000000001</v>
      </c>
      <c r="G21" s="283">
        <v>302.82400000000001</v>
      </c>
      <c r="H21" s="302">
        <v>302.82400000000001</v>
      </c>
      <c r="I21" s="270">
        <v>302.82400000000001</v>
      </c>
      <c r="J21" s="270">
        <v>304.82600000000002</v>
      </c>
      <c r="K21" s="270">
        <v>304.82600000000002</v>
      </c>
    </row>
    <row r="22" spans="1:11">
      <c r="A22" s="296"/>
      <c r="B22" s="280" t="s">
        <v>13</v>
      </c>
      <c r="C22" s="290" t="s">
        <v>24</v>
      </c>
      <c r="D22" s="301">
        <f>'USDA Comp'!E30</f>
        <v>49</v>
      </c>
      <c r="E22" s="274"/>
      <c r="F22" s="285">
        <v>49.543726719604969</v>
      </c>
      <c r="G22" s="283">
        <v>49.543726719604969</v>
      </c>
      <c r="H22" s="302">
        <v>49.5</v>
      </c>
      <c r="I22" s="270">
        <v>49.5</v>
      </c>
      <c r="J22" s="270">
        <v>49.5</v>
      </c>
      <c r="K22" s="270">
        <v>49.5</v>
      </c>
    </row>
    <row r="23" spans="1:11">
      <c r="A23" s="291"/>
      <c r="B23" s="280" t="s">
        <v>13</v>
      </c>
      <c r="C23" s="292" t="s">
        <v>27</v>
      </c>
      <c r="D23" s="301">
        <f>'USDA Comp'!E50</f>
        <v>139.69579999999999</v>
      </c>
      <c r="E23" s="274"/>
      <c r="F23" s="285">
        <v>115.7025</v>
      </c>
      <c r="G23" s="283">
        <v>115.7025</v>
      </c>
      <c r="H23" s="302">
        <v>115.7025</v>
      </c>
      <c r="I23" s="270">
        <v>115.7025</v>
      </c>
      <c r="J23" s="270">
        <v>115.7025</v>
      </c>
      <c r="K23" s="270">
        <v>115.7025</v>
      </c>
    </row>
    <row r="24" spans="1:11">
      <c r="A24" s="291"/>
      <c r="B24" s="280" t="s">
        <v>13</v>
      </c>
      <c r="C24" s="292" t="s">
        <v>29</v>
      </c>
      <c r="D24" s="301">
        <f>'USDA Comp'!E70</f>
        <v>15.345000000000001</v>
      </c>
      <c r="E24" s="274"/>
      <c r="F24" s="285">
        <v>15.076000000000001</v>
      </c>
      <c r="G24" s="283">
        <v>15.076000000000001</v>
      </c>
      <c r="H24" s="302">
        <v>15.420999999999999</v>
      </c>
      <c r="I24" s="270">
        <v>15.420999999999999</v>
      </c>
      <c r="J24" s="270">
        <v>15.420999999999999</v>
      </c>
      <c r="K24" s="270">
        <v>15.420999999999999</v>
      </c>
    </row>
    <row r="25" spans="1:11">
      <c r="A25" s="291"/>
      <c r="B25" s="280" t="s">
        <v>13</v>
      </c>
      <c r="C25" s="292" t="s">
        <v>32</v>
      </c>
      <c r="D25" s="301">
        <f>'USDA Comp'!E90</f>
        <v>295</v>
      </c>
      <c r="E25" s="274"/>
      <c r="F25" s="285">
        <v>288.84199999999998</v>
      </c>
      <c r="G25" s="270">
        <v>288.84199999999998</v>
      </c>
      <c r="H25" s="302">
        <v>288.84199999999998</v>
      </c>
      <c r="I25" s="270">
        <v>288.84199999999998</v>
      </c>
      <c r="J25" s="270">
        <v>288.84199999999998</v>
      </c>
      <c r="K25" s="270">
        <v>288.84199999999998</v>
      </c>
    </row>
    <row r="26" spans="1:11">
      <c r="A26" s="291"/>
      <c r="B26" s="280" t="s">
        <v>13</v>
      </c>
      <c r="C26" s="292" t="s">
        <v>34</v>
      </c>
      <c r="D26" s="301">
        <f>'USDA Comp'!E110</f>
        <v>56.7</v>
      </c>
      <c r="E26" s="274"/>
      <c r="F26" s="285">
        <v>62.708652811999997</v>
      </c>
      <c r="G26" s="270">
        <v>62.708652811999997</v>
      </c>
      <c r="H26" s="302">
        <v>62.708652811999997</v>
      </c>
      <c r="I26" s="270">
        <v>62.708652811999997</v>
      </c>
      <c r="J26" s="270">
        <v>62.708652811999997</v>
      </c>
      <c r="K26" s="270">
        <v>62.708652811999997</v>
      </c>
    </row>
    <row r="27" spans="1:11">
      <c r="A27" s="291"/>
      <c r="B27" s="280" t="s">
        <v>13</v>
      </c>
      <c r="C27" s="292" t="s">
        <v>36</v>
      </c>
      <c r="D27" s="301">
        <f>'USDA Comp'!E130</f>
        <v>13.7</v>
      </c>
      <c r="E27" s="274"/>
      <c r="F27" s="285">
        <v>16.600000000000001</v>
      </c>
      <c r="G27" s="283">
        <v>16.600000000000001</v>
      </c>
      <c r="H27" s="302">
        <v>16.600000000000001</v>
      </c>
      <c r="I27" s="270">
        <v>16.600000000000001</v>
      </c>
      <c r="J27" s="270">
        <v>16.600000000000001</v>
      </c>
      <c r="K27" s="270">
        <v>16.600000000000001</v>
      </c>
    </row>
    <row r="28" spans="1:11">
      <c r="A28" s="291"/>
      <c r="B28" s="280" t="s">
        <v>13</v>
      </c>
      <c r="C28" s="292" t="s">
        <v>38</v>
      </c>
      <c r="D28" s="301">
        <f>'USDA Comp'!E150</f>
        <v>24.692053845617313</v>
      </c>
      <c r="E28" s="274"/>
      <c r="F28" s="285">
        <v>31</v>
      </c>
      <c r="G28" s="270">
        <v>31</v>
      </c>
      <c r="H28" s="302">
        <v>31</v>
      </c>
      <c r="I28" s="270">
        <v>31</v>
      </c>
      <c r="J28" s="270">
        <v>31.8</v>
      </c>
      <c r="K28" s="270">
        <v>31.8</v>
      </c>
    </row>
    <row r="29" spans="1:11">
      <c r="A29" s="291"/>
      <c r="B29" s="280" t="s">
        <v>13</v>
      </c>
      <c r="C29" s="292" t="s">
        <v>40</v>
      </c>
      <c r="D29" s="301">
        <f>'USDA Comp'!E170</f>
        <v>377.61529760000002</v>
      </c>
      <c r="E29" s="274"/>
      <c r="F29" s="285">
        <v>389.67651299999994</v>
      </c>
      <c r="G29" s="270">
        <v>389.67651299999994</v>
      </c>
      <c r="H29" s="302">
        <v>389.67651299999994</v>
      </c>
      <c r="I29" s="270">
        <v>389.67651299999994</v>
      </c>
      <c r="J29" s="270">
        <v>389.67651299999994</v>
      </c>
      <c r="K29" s="270">
        <v>389.64920799999999</v>
      </c>
    </row>
    <row r="30" spans="1:11" ht="15.75" thickBot="1">
      <c r="A30" s="293"/>
      <c r="B30" s="294" t="s">
        <v>13</v>
      </c>
      <c r="C30" s="295" t="s">
        <v>1</v>
      </c>
      <c r="D30" s="301">
        <f>'USDA Comp'!E10</f>
        <v>1287.5288224883682</v>
      </c>
      <c r="E30" s="274"/>
      <c r="F30" s="285">
        <v>1209.7534783087704</v>
      </c>
      <c r="G30" s="270">
        <v>1210.8573850569371</v>
      </c>
      <c r="H30" s="302">
        <v>1211.2546583373321</v>
      </c>
      <c r="I30" s="270">
        <v>1205.3623785818322</v>
      </c>
      <c r="J30" s="270">
        <v>1206.2213785818321</v>
      </c>
      <c r="K30" s="270">
        <v>1205.3737976</v>
      </c>
    </row>
    <row r="31" spans="1:11">
      <c r="A31" s="296"/>
      <c r="B31" s="280" t="s">
        <v>14</v>
      </c>
      <c r="C31" s="290" t="s">
        <v>24</v>
      </c>
      <c r="D31" s="301">
        <f>'USDA Comp'!E31</f>
        <v>1.4999999999999999E-2</v>
      </c>
      <c r="E31" s="274"/>
      <c r="F31" s="285">
        <v>1.4999999999999999E-2</v>
      </c>
      <c r="G31" s="283">
        <v>1.4999999999999999E-2</v>
      </c>
      <c r="H31" s="302">
        <v>1.4999999999999999E-2</v>
      </c>
      <c r="I31" s="270">
        <v>1.4999999999999999E-2</v>
      </c>
      <c r="J31" s="270">
        <v>1.4999999999999999E-2</v>
      </c>
      <c r="K31" s="270">
        <v>1.4999999999999999E-2</v>
      </c>
    </row>
    <row r="32" spans="1:11">
      <c r="A32" s="291"/>
      <c r="B32" s="280" t="s">
        <v>14</v>
      </c>
      <c r="C32" s="292" t="s">
        <v>27</v>
      </c>
      <c r="D32" s="301">
        <f>'USDA Comp'!E51</f>
        <v>1.7</v>
      </c>
      <c r="E32" s="274"/>
      <c r="F32" s="285">
        <v>1.5</v>
      </c>
      <c r="G32" s="283">
        <v>1.5</v>
      </c>
      <c r="H32" s="302">
        <v>1.5</v>
      </c>
      <c r="I32" s="270">
        <v>1.5</v>
      </c>
      <c r="J32" s="270">
        <v>1.5</v>
      </c>
      <c r="K32" s="270">
        <v>1.5</v>
      </c>
    </row>
    <row r="33" spans="1:11">
      <c r="A33" s="291"/>
      <c r="B33" s="280" t="s">
        <v>14</v>
      </c>
      <c r="C33" s="292" t="s">
        <v>29</v>
      </c>
      <c r="D33" s="301">
        <f>'USDA Comp'!E71</f>
        <v>2.1886703327965042</v>
      </c>
      <c r="E33" s="274"/>
      <c r="F33" s="285">
        <v>5.2372012166243473E-3</v>
      </c>
      <c r="G33" s="283">
        <v>5.2372012166243473E-3</v>
      </c>
      <c r="H33" s="302">
        <v>5.2372012166243473E-3</v>
      </c>
      <c r="I33" s="270">
        <v>5.2372012166243473E-3</v>
      </c>
      <c r="J33" s="270">
        <v>2.7146109999999997</v>
      </c>
      <c r="K33" s="270">
        <v>2.7146109999999997</v>
      </c>
    </row>
    <row r="34" spans="1:11">
      <c r="A34" s="291"/>
      <c r="B34" s="280" t="s">
        <v>14</v>
      </c>
      <c r="C34" s="292" t="s">
        <v>32</v>
      </c>
      <c r="D34" s="301">
        <f>'USDA Comp'!E91</f>
        <v>7.5</v>
      </c>
      <c r="E34" s="274"/>
      <c r="F34" s="285">
        <v>23.5</v>
      </c>
      <c r="G34" s="283">
        <v>23.5</v>
      </c>
      <c r="H34" s="302">
        <v>23.5</v>
      </c>
      <c r="I34" s="270">
        <v>23.5</v>
      </c>
      <c r="J34" s="270">
        <v>23.5</v>
      </c>
      <c r="K34" s="270">
        <v>23.5</v>
      </c>
    </row>
    <row r="35" spans="1:11">
      <c r="A35" s="291"/>
      <c r="B35" s="280" t="s">
        <v>14</v>
      </c>
      <c r="C35" s="292" t="s">
        <v>34</v>
      </c>
      <c r="D35" s="301">
        <f>'USDA Comp'!E111</f>
        <v>20</v>
      </c>
      <c r="E35" s="274"/>
      <c r="F35" s="285">
        <v>19.07520676</v>
      </c>
      <c r="G35" s="283">
        <v>19.07520676</v>
      </c>
      <c r="H35" s="302">
        <v>19.07520676</v>
      </c>
      <c r="I35" s="270">
        <v>19.07520676</v>
      </c>
      <c r="J35" s="270">
        <v>19.645114000000003</v>
      </c>
      <c r="K35" s="270">
        <v>19.645114000000003</v>
      </c>
    </row>
    <row r="36" spans="1:11">
      <c r="A36" s="291"/>
      <c r="B36" s="280" t="s">
        <v>14</v>
      </c>
      <c r="C36" s="292" t="s">
        <v>36</v>
      </c>
      <c r="D36" s="301">
        <f>'USDA Comp'!E131</f>
        <v>0.05</v>
      </c>
      <c r="E36" s="274"/>
      <c r="F36" s="285">
        <v>0.05</v>
      </c>
      <c r="G36" s="283">
        <v>0.05</v>
      </c>
      <c r="H36" s="302">
        <v>0.05</v>
      </c>
      <c r="I36" s="270">
        <v>0.05</v>
      </c>
      <c r="J36" s="270">
        <v>0.05</v>
      </c>
      <c r="K36" s="270">
        <v>0.05</v>
      </c>
    </row>
    <row r="37" spans="1:11">
      <c r="A37" s="291"/>
      <c r="B37" s="280" t="s">
        <v>14</v>
      </c>
      <c r="C37" s="292" t="s">
        <v>38</v>
      </c>
      <c r="D37" s="301">
        <f>'USDA Comp'!E151</f>
        <v>0</v>
      </c>
      <c r="E37" s="274"/>
      <c r="F37" s="285">
        <v>0</v>
      </c>
      <c r="G37" s="283">
        <v>0</v>
      </c>
      <c r="H37" s="302">
        <v>0</v>
      </c>
      <c r="I37" s="270">
        <v>0</v>
      </c>
      <c r="J37" s="270">
        <v>0</v>
      </c>
      <c r="K37" s="270">
        <v>0</v>
      </c>
    </row>
    <row r="38" spans="1:11">
      <c r="A38" s="291"/>
      <c r="B38" s="280" t="s">
        <v>14</v>
      </c>
      <c r="C38" s="292" t="s">
        <v>40</v>
      </c>
      <c r="D38" s="301">
        <f>'USDA Comp'!E171</f>
        <v>0.52069999999999994</v>
      </c>
      <c r="E38" s="274"/>
      <c r="F38" s="285">
        <v>0.69850000000000001</v>
      </c>
      <c r="G38" s="283">
        <v>0.69850000000000001</v>
      </c>
      <c r="H38" s="302">
        <v>0.69850000000000001</v>
      </c>
      <c r="I38" s="270">
        <v>0.69850000000000001</v>
      </c>
      <c r="J38" s="270">
        <v>0.69850000000000001</v>
      </c>
      <c r="K38" s="270">
        <v>0</v>
      </c>
    </row>
    <row r="39" spans="1:11" ht="15.75" thickBot="1">
      <c r="A39" s="293"/>
      <c r="B39" s="294" t="s">
        <v>14</v>
      </c>
      <c r="C39" s="295" t="s">
        <v>1</v>
      </c>
      <c r="D39" s="301">
        <f>'USDA Comp'!E11</f>
        <v>199.28961571985553</v>
      </c>
      <c r="E39" s="274"/>
      <c r="F39" s="285">
        <v>183.85897847578852</v>
      </c>
      <c r="G39" s="283">
        <v>187.42597847578853</v>
      </c>
      <c r="H39" s="302">
        <v>188.06797847578852</v>
      </c>
      <c r="I39" s="270">
        <v>188.03497847578853</v>
      </c>
      <c r="J39" s="270">
        <v>193.69385184303832</v>
      </c>
      <c r="K39" s="270">
        <v>193.6961533430383</v>
      </c>
    </row>
    <row r="40" spans="1:11">
      <c r="A40" s="296"/>
      <c r="B40" s="280" t="s">
        <v>301</v>
      </c>
      <c r="C40" s="290" t="s">
        <v>24</v>
      </c>
      <c r="D40" s="301">
        <f>'USDA Comp'!E32</f>
        <v>51.493000000000002</v>
      </c>
      <c r="E40" s="274"/>
      <c r="F40" s="285">
        <v>50.882726719604968</v>
      </c>
      <c r="G40" s="283">
        <v>50.882726719604968</v>
      </c>
      <c r="H40" s="302">
        <v>50.838999999999999</v>
      </c>
      <c r="I40" s="270">
        <v>50.838999999999999</v>
      </c>
      <c r="J40" s="270">
        <v>51.838999999999999</v>
      </c>
      <c r="K40" s="270">
        <v>51.838999999999999</v>
      </c>
    </row>
    <row r="41" spans="1:11">
      <c r="A41" s="291"/>
      <c r="B41" s="280" t="s">
        <v>301</v>
      </c>
      <c r="C41" s="292" t="s">
        <v>27</v>
      </c>
      <c r="D41" s="301">
        <f>'USDA Comp'!E52</f>
        <v>149.87779999999998</v>
      </c>
      <c r="E41" s="274"/>
      <c r="F41" s="285">
        <v>127.2435</v>
      </c>
      <c r="G41" s="283">
        <v>127.2435</v>
      </c>
      <c r="H41" s="302">
        <v>127.2435</v>
      </c>
      <c r="I41" s="270">
        <v>127.2435</v>
      </c>
      <c r="J41" s="270">
        <v>127.2435</v>
      </c>
      <c r="K41" s="270">
        <v>127.2435</v>
      </c>
    </row>
    <row r="42" spans="1:11">
      <c r="A42" s="291"/>
      <c r="B42" s="280" t="s">
        <v>301</v>
      </c>
      <c r="C42" s="292" t="s">
        <v>29</v>
      </c>
      <c r="D42" s="301">
        <f>'USDA Comp'!E72</f>
        <v>19.529670332796506</v>
      </c>
      <c r="E42" s="274"/>
      <c r="F42" s="285">
        <v>16.709237201216624</v>
      </c>
      <c r="G42" s="283">
        <v>16.709237201216624</v>
      </c>
      <c r="H42" s="302">
        <v>17.054237201216623</v>
      </c>
      <c r="I42" s="270">
        <v>17.054237201216623</v>
      </c>
      <c r="J42" s="270">
        <v>19.763610999999997</v>
      </c>
      <c r="K42" s="270">
        <v>19.763610999999997</v>
      </c>
    </row>
    <row r="43" spans="1:11">
      <c r="A43" s="291"/>
      <c r="B43" s="280" t="s">
        <v>301</v>
      </c>
      <c r="C43" s="292" t="s">
        <v>32</v>
      </c>
      <c r="D43" s="301">
        <f>'USDA Comp'!E92</f>
        <v>513.78600000000006</v>
      </c>
      <c r="E43" s="274"/>
      <c r="F43" s="285">
        <v>518.38199999999995</v>
      </c>
      <c r="G43" s="270">
        <v>518.38199999999995</v>
      </c>
      <c r="H43" s="302">
        <v>518.38199999999995</v>
      </c>
      <c r="I43" s="270">
        <v>518.38199999999995</v>
      </c>
      <c r="J43" s="270">
        <v>518.38199999999995</v>
      </c>
      <c r="K43" s="270">
        <v>518.38199999999995</v>
      </c>
    </row>
    <row r="44" spans="1:11">
      <c r="A44" s="291"/>
      <c r="B44" s="280" t="s">
        <v>301</v>
      </c>
      <c r="C44" s="292" t="s">
        <v>34</v>
      </c>
      <c r="D44" s="301">
        <f>'USDA Comp'!E112</f>
        <v>84.01400000000001</v>
      </c>
      <c r="E44" s="274"/>
      <c r="F44" s="285">
        <v>89.812859571999994</v>
      </c>
      <c r="G44" s="283">
        <v>89.812859571999994</v>
      </c>
      <c r="H44" s="302">
        <v>89.812859571999994</v>
      </c>
      <c r="I44" s="270">
        <v>89.812859571999994</v>
      </c>
      <c r="J44" s="270">
        <v>90.382766812</v>
      </c>
      <c r="K44" s="270">
        <v>90.382766812</v>
      </c>
    </row>
    <row r="45" spans="1:11">
      <c r="A45" s="291"/>
      <c r="B45" s="280" t="s">
        <v>301</v>
      </c>
      <c r="C45" s="292" t="s">
        <v>36</v>
      </c>
      <c r="D45" s="301">
        <f>'USDA Comp'!E132</f>
        <v>14.507999999999999</v>
      </c>
      <c r="E45" s="274"/>
      <c r="F45" s="285">
        <v>17.558000000000003</v>
      </c>
      <c r="G45" s="283">
        <v>17.558000000000003</v>
      </c>
      <c r="H45" s="302">
        <v>17.558000000000003</v>
      </c>
      <c r="I45" s="270">
        <v>17.558000000000003</v>
      </c>
      <c r="J45" s="270">
        <v>17.558000000000003</v>
      </c>
      <c r="K45" s="270">
        <v>17.558000000000003</v>
      </c>
    </row>
    <row r="46" spans="1:11">
      <c r="A46" s="291"/>
      <c r="B46" s="280" t="s">
        <v>301</v>
      </c>
      <c r="C46" s="292" t="s">
        <v>38</v>
      </c>
      <c r="D46" s="301">
        <f>'USDA Comp'!E152</f>
        <v>26.401053845617312</v>
      </c>
      <c r="E46" s="274"/>
      <c r="F46" s="285">
        <v>33.795000000000002</v>
      </c>
      <c r="G46" s="283">
        <v>33.795000000000002</v>
      </c>
      <c r="H46" s="302">
        <v>33.795000000000002</v>
      </c>
      <c r="I46" s="270">
        <v>33.795000000000002</v>
      </c>
      <c r="J46" s="270">
        <v>34.795000000000002</v>
      </c>
      <c r="K46" s="270">
        <v>34.795000000000002</v>
      </c>
    </row>
    <row r="47" spans="1:11">
      <c r="A47" s="291"/>
      <c r="B47" s="280" t="s">
        <v>301</v>
      </c>
      <c r="C47" s="292" t="s">
        <v>40</v>
      </c>
      <c r="D47" s="301">
        <f>'USDA Comp'!E172</f>
        <v>422.92799759999997</v>
      </c>
      <c r="E47" s="274"/>
      <c r="F47" s="285">
        <v>424.92601299999995</v>
      </c>
      <c r="G47" s="283">
        <v>424.92601299999995</v>
      </c>
      <c r="H47" s="302">
        <v>424.92601299999995</v>
      </c>
      <c r="I47" s="270">
        <v>424.92601299999995</v>
      </c>
      <c r="J47" s="270">
        <v>424.92601299999995</v>
      </c>
      <c r="K47" s="270">
        <v>424.20020799999998</v>
      </c>
    </row>
    <row r="48" spans="1:11" ht="15.75" thickBot="1">
      <c r="A48" s="293"/>
      <c r="B48" s="294" t="s">
        <v>301</v>
      </c>
      <c r="C48" s="295" t="s">
        <v>1</v>
      </c>
      <c r="D48" s="301">
        <f>'USDA Comp'!E12</f>
        <v>1808.9614382082236</v>
      </c>
      <c r="E48" s="274"/>
      <c r="F48" s="285">
        <v>1696.4364567845589</v>
      </c>
      <c r="G48" s="283">
        <v>1701.1073635327257</v>
      </c>
      <c r="H48" s="302">
        <v>1702.1466368131207</v>
      </c>
      <c r="I48" s="270">
        <v>1696.2213570576209</v>
      </c>
      <c r="J48" s="270">
        <v>1704.7412304248705</v>
      </c>
      <c r="K48" s="270">
        <v>1703.8959509430383</v>
      </c>
    </row>
    <row r="49" spans="1:11">
      <c r="A49" s="296"/>
      <c r="B49" s="280" t="s">
        <v>19</v>
      </c>
      <c r="C49" s="290" t="s">
        <v>24</v>
      </c>
      <c r="D49" s="301">
        <f>'USDA Comp'!E36</f>
        <v>34</v>
      </c>
      <c r="E49" s="274"/>
      <c r="F49" s="285">
        <v>31</v>
      </c>
      <c r="G49" s="283">
        <v>31</v>
      </c>
      <c r="H49" s="302">
        <v>31</v>
      </c>
      <c r="I49" s="270">
        <v>31</v>
      </c>
      <c r="J49" s="270">
        <v>34.5</v>
      </c>
      <c r="K49" s="270">
        <v>34.5</v>
      </c>
    </row>
    <row r="50" spans="1:11">
      <c r="A50" s="291"/>
      <c r="B50" s="280" t="s">
        <v>19</v>
      </c>
      <c r="C50" s="292" t="s">
        <v>27</v>
      </c>
      <c r="D50" s="301">
        <f>'USDA Comp'!E56</f>
        <v>50</v>
      </c>
      <c r="E50" s="274"/>
      <c r="F50" s="285">
        <v>47.5</v>
      </c>
      <c r="G50" s="283">
        <v>47.5</v>
      </c>
      <c r="H50" s="302">
        <v>47.5</v>
      </c>
      <c r="I50" s="270">
        <v>47.5</v>
      </c>
      <c r="J50" s="270">
        <v>38.200000000000003</v>
      </c>
      <c r="K50" s="270">
        <v>38.200000000000003</v>
      </c>
    </row>
    <row r="51" spans="1:11">
      <c r="A51" s="291"/>
      <c r="B51" s="280" t="s">
        <v>19</v>
      </c>
      <c r="C51" s="292" t="s">
        <v>29</v>
      </c>
      <c r="D51" s="301">
        <f>'USDA Comp'!E76</f>
        <v>2.1067642022934066</v>
      </c>
      <c r="E51" s="274"/>
      <c r="F51" s="285">
        <v>5.1696972533123685E-3</v>
      </c>
      <c r="G51" s="283">
        <v>5.1696972533123685E-3</v>
      </c>
      <c r="H51" s="302">
        <v>5.1696972533123685E-3</v>
      </c>
      <c r="I51" s="270">
        <v>5.1696972533123685E-3</v>
      </c>
      <c r="J51" s="270">
        <v>2.0672160000000002</v>
      </c>
      <c r="K51" s="270">
        <v>2.0672160000000002</v>
      </c>
    </row>
    <row r="52" spans="1:11">
      <c r="A52" s="291"/>
      <c r="B52" s="280" t="s">
        <v>19</v>
      </c>
      <c r="C52" s="292" t="s">
        <v>32</v>
      </c>
      <c r="D52" s="301">
        <f>'USDA Comp'!E96</f>
        <v>0</v>
      </c>
      <c r="E52" s="274"/>
      <c r="F52" s="285">
        <v>0.02</v>
      </c>
      <c r="G52" s="283">
        <v>0.02</v>
      </c>
      <c r="H52" s="302">
        <v>0.02</v>
      </c>
      <c r="I52" s="270">
        <v>0.02</v>
      </c>
      <c r="J52" s="270">
        <v>0.02</v>
      </c>
      <c r="K52" s="270">
        <v>0.02</v>
      </c>
    </row>
    <row r="53" spans="1:11">
      <c r="A53" s="291"/>
      <c r="B53" s="280" t="s">
        <v>19</v>
      </c>
      <c r="C53" s="292" t="s">
        <v>34</v>
      </c>
      <c r="D53" s="301">
        <f>'USDA Comp'!E116</f>
        <v>2.6</v>
      </c>
      <c r="E53" s="274"/>
      <c r="F53" s="285">
        <v>4.3712218819999986</v>
      </c>
      <c r="G53" s="283">
        <v>4.3712218819999986</v>
      </c>
      <c r="H53" s="302">
        <v>4.3712218819999986</v>
      </c>
      <c r="I53" s="270">
        <v>4.3712218819999986</v>
      </c>
      <c r="J53" s="270">
        <v>4.3783779999999997</v>
      </c>
      <c r="K53" s="270">
        <v>4.3783779999999997</v>
      </c>
    </row>
    <row r="54" spans="1:11">
      <c r="A54" s="291"/>
      <c r="B54" s="280" t="s">
        <v>19</v>
      </c>
      <c r="C54" s="292" t="s">
        <v>36</v>
      </c>
      <c r="D54" s="301">
        <f>'USDA Comp'!E136</f>
        <v>3.3</v>
      </c>
      <c r="E54" s="274"/>
      <c r="F54" s="285">
        <v>5.9</v>
      </c>
      <c r="G54" s="283">
        <v>5.9</v>
      </c>
      <c r="H54" s="302">
        <v>5.9</v>
      </c>
      <c r="I54" s="270">
        <v>5.9</v>
      </c>
      <c r="J54" s="270">
        <v>6.6</v>
      </c>
      <c r="K54" s="270">
        <v>6.6</v>
      </c>
    </row>
    <row r="55" spans="1:11" ht="13.5" customHeight="1">
      <c r="A55" s="291"/>
      <c r="B55" s="280" t="s">
        <v>19</v>
      </c>
      <c r="C55" s="292" t="s">
        <v>38</v>
      </c>
      <c r="D55" s="301">
        <f>'USDA Comp'!E156</f>
        <v>23</v>
      </c>
      <c r="E55" s="274"/>
      <c r="F55" s="285">
        <v>28</v>
      </c>
      <c r="G55" s="283">
        <v>28</v>
      </c>
      <c r="H55" s="302">
        <v>28</v>
      </c>
      <c r="I55" s="270">
        <v>28</v>
      </c>
      <c r="J55" s="270">
        <v>29.488351087999998</v>
      </c>
      <c r="K55" s="270">
        <v>29.488351087999998</v>
      </c>
    </row>
    <row r="56" spans="1:11">
      <c r="A56" s="291"/>
      <c r="B56" s="280" t="s">
        <v>19</v>
      </c>
      <c r="C56" s="292" t="s">
        <v>40</v>
      </c>
      <c r="D56" s="301">
        <f>'USDA Comp'!E176</f>
        <v>69.849999999999994</v>
      </c>
      <c r="E56" s="274"/>
      <c r="F56" s="285">
        <v>56.515000000000001</v>
      </c>
      <c r="G56" s="283">
        <v>58.216799999999999</v>
      </c>
      <c r="H56" s="302">
        <v>58.216799999999999</v>
      </c>
      <c r="I56" s="270">
        <v>58.216799999999999</v>
      </c>
      <c r="J56" s="270">
        <v>58.216799999999999</v>
      </c>
      <c r="K56" s="270">
        <v>58.375437631050247</v>
      </c>
    </row>
    <row r="57" spans="1:11" ht="15.75" thickBot="1">
      <c r="A57" s="293"/>
      <c r="B57" s="294" t="s">
        <v>19</v>
      </c>
      <c r="C57" s="295" t="s">
        <v>1</v>
      </c>
      <c r="D57" s="301">
        <f>'USDA Comp'!E16</f>
        <v>185.07837351958062</v>
      </c>
      <c r="E57" s="274"/>
      <c r="F57" s="285">
        <v>97.131105884826979</v>
      </c>
      <c r="G57" s="270">
        <v>97.540105884826957</v>
      </c>
      <c r="H57" s="302">
        <v>97.537105884826957</v>
      </c>
      <c r="I57" s="270">
        <v>97.551105884826981</v>
      </c>
      <c r="J57" s="270">
        <v>196.12431997384436</v>
      </c>
      <c r="K57" s="270">
        <v>196.13431997384436</v>
      </c>
    </row>
    <row r="58" spans="1:11">
      <c r="A58" s="296"/>
      <c r="B58" s="274" t="s">
        <v>17</v>
      </c>
      <c r="C58" s="290" t="s">
        <v>24</v>
      </c>
      <c r="D58" s="301">
        <f>'USDA Comp'!E34</f>
        <v>7.9861560000000011</v>
      </c>
      <c r="E58" s="274"/>
      <c r="F58" s="285">
        <v>11.318434619724158</v>
      </c>
      <c r="G58" s="283">
        <v>11.318434619724158</v>
      </c>
      <c r="H58" s="302">
        <v>11.276088443181143</v>
      </c>
      <c r="I58" s="270">
        <v>11.276088443181143</v>
      </c>
      <c r="J58" s="270">
        <v>8.776088443181143</v>
      </c>
      <c r="K58" s="270">
        <v>8.776088443181143</v>
      </c>
    </row>
    <row r="59" spans="1:11">
      <c r="A59" s="291"/>
      <c r="B59" s="274" t="s">
        <v>17</v>
      </c>
      <c r="C59" s="292" t="s">
        <v>27</v>
      </c>
      <c r="D59" s="301">
        <f>'USDA Comp'!E54</f>
        <v>67.279999999999973</v>
      </c>
      <c r="E59" s="274"/>
      <c r="F59" s="285">
        <v>55.702500000000001</v>
      </c>
      <c r="G59" s="283">
        <v>55.702500000000001</v>
      </c>
      <c r="H59" s="302">
        <v>55.702500000000001</v>
      </c>
      <c r="I59" s="270">
        <v>55.702500000000001</v>
      </c>
      <c r="J59" s="270">
        <v>65.002499999999998</v>
      </c>
      <c r="K59" s="270">
        <v>65.002499999999998</v>
      </c>
    </row>
    <row r="60" spans="1:11">
      <c r="A60" s="291"/>
      <c r="B60" s="274" t="s">
        <v>17</v>
      </c>
      <c r="C60" s="292" t="s">
        <v>29</v>
      </c>
      <c r="D60" s="301">
        <f>'USDA Comp'!E74</f>
        <v>9.9788733333332402</v>
      </c>
      <c r="E60" s="274"/>
      <c r="F60" s="285">
        <v>10.879204</v>
      </c>
      <c r="G60" s="283">
        <v>10.879204</v>
      </c>
      <c r="H60" s="302">
        <v>9.8566000000000003</v>
      </c>
      <c r="I60" s="270">
        <v>9.8566000000000003</v>
      </c>
      <c r="J60" s="270">
        <v>9.8566000000000003</v>
      </c>
      <c r="K60" s="270">
        <v>9.8566000000000003</v>
      </c>
    </row>
    <row r="61" spans="1:11">
      <c r="A61" s="291"/>
      <c r="B61" s="274" t="s">
        <v>17</v>
      </c>
      <c r="C61" s="292" t="s">
        <v>32</v>
      </c>
      <c r="D61" s="301">
        <f>'USDA Comp'!E94</f>
        <v>223.5</v>
      </c>
      <c r="E61" s="274"/>
      <c r="F61" s="285">
        <v>224.36199999999997</v>
      </c>
      <c r="G61" s="283">
        <v>224.36199999999997</v>
      </c>
      <c r="H61" s="302">
        <v>224.36199999999997</v>
      </c>
      <c r="I61" s="270">
        <v>224.36199999999997</v>
      </c>
      <c r="J61" s="270">
        <v>224.36199999999997</v>
      </c>
      <c r="K61" s="270">
        <v>224.36199999999997</v>
      </c>
    </row>
    <row r="62" spans="1:11" ht="13.5" customHeight="1">
      <c r="A62" s="291"/>
      <c r="B62" s="274" t="s">
        <v>17</v>
      </c>
      <c r="C62" s="292" t="s">
        <v>34</v>
      </c>
      <c r="D62" s="301">
        <f>'USDA Comp'!E114</f>
        <v>53.469056226271789</v>
      </c>
      <c r="E62" s="274"/>
      <c r="F62" s="285">
        <v>59.980236794871999</v>
      </c>
      <c r="G62" s="283">
        <v>59.980236794871999</v>
      </c>
      <c r="H62" s="302">
        <v>59.980236794871999</v>
      </c>
      <c r="I62" s="270">
        <v>59.980236794871999</v>
      </c>
      <c r="J62" s="270">
        <v>60.542987916871994</v>
      </c>
      <c r="K62" s="270">
        <v>60.542987916871994</v>
      </c>
    </row>
    <row r="63" spans="1:11">
      <c r="A63" s="291"/>
      <c r="B63" s="274" t="s">
        <v>17</v>
      </c>
      <c r="C63" s="292" t="s">
        <v>36</v>
      </c>
      <c r="D63" s="301">
        <f>'USDA Comp'!E134</f>
        <v>9.7000000000000011</v>
      </c>
      <c r="E63" s="274"/>
      <c r="F63" s="285">
        <v>15.550000000000002</v>
      </c>
      <c r="G63" s="283">
        <v>15.550000000000002</v>
      </c>
      <c r="H63" s="302">
        <v>9.7000000000000011</v>
      </c>
      <c r="I63" s="270">
        <v>9.7000000000000011</v>
      </c>
      <c r="J63" s="270">
        <v>9.7000000000000011</v>
      </c>
      <c r="K63" s="270">
        <v>9.7000000000000011</v>
      </c>
    </row>
    <row r="64" spans="1:11">
      <c r="A64" s="291"/>
      <c r="B64" s="274" t="s">
        <v>17</v>
      </c>
      <c r="C64" s="292" t="s">
        <v>38</v>
      </c>
      <c r="D64" s="301">
        <f>'USDA Comp'!E154</f>
        <v>0.84205384561731411</v>
      </c>
      <c r="E64" s="274"/>
      <c r="F64" s="285">
        <v>1.8850000000000016</v>
      </c>
      <c r="G64" s="283">
        <v>1.8850000000000016</v>
      </c>
      <c r="H64" s="302">
        <v>1.8850000000000016</v>
      </c>
      <c r="I64" s="270">
        <v>1.8850000000000016</v>
      </c>
      <c r="J64" s="270">
        <v>3.7066489120000008</v>
      </c>
      <c r="K64" s="270">
        <v>3.7066489120000008</v>
      </c>
    </row>
    <row r="65" spans="1:11">
      <c r="A65" s="291"/>
      <c r="B65" s="274" t="s">
        <v>17</v>
      </c>
      <c r="C65" s="292" t="s">
        <v>40</v>
      </c>
      <c r="D65" s="301">
        <f>'USDA Comp'!E174</f>
        <v>141.45028859999999</v>
      </c>
      <c r="E65" s="274"/>
      <c r="F65" s="285">
        <v>147.32</v>
      </c>
      <c r="G65" s="283">
        <v>147.32</v>
      </c>
      <c r="H65" s="302">
        <v>147.32</v>
      </c>
      <c r="I65" s="270">
        <v>147.32</v>
      </c>
      <c r="J65" s="270">
        <v>147.32</v>
      </c>
      <c r="K65" s="270">
        <v>147.1981263289498</v>
      </c>
    </row>
    <row r="66" spans="1:11" ht="15.75" thickBot="1">
      <c r="A66" s="293"/>
      <c r="B66" s="294" t="s">
        <v>17</v>
      </c>
      <c r="C66" s="295" t="s">
        <v>1</v>
      </c>
      <c r="D66" s="301">
        <f>'USDA Comp'!E14</f>
        <v>848.78304082876173</v>
      </c>
      <c r="E66" s="274"/>
      <c r="F66" s="285">
        <v>551.8406002524996</v>
      </c>
      <c r="G66" s="283">
        <v>554.28730700066637</v>
      </c>
      <c r="H66" s="302">
        <v>550.60056432808688</v>
      </c>
      <c r="I66" s="270">
        <v>543.45728457258701</v>
      </c>
      <c r="J66" s="270">
        <v>737.62894385081904</v>
      </c>
      <c r="K66" s="270">
        <v>737.50923332898674</v>
      </c>
    </row>
    <row r="67" spans="1:11">
      <c r="A67" s="296"/>
      <c r="B67" s="280" t="s">
        <v>18</v>
      </c>
      <c r="C67" s="290" t="s">
        <v>24</v>
      </c>
      <c r="D67" s="301">
        <f>'USDA Comp'!E35</f>
        <v>7.0288439999999994</v>
      </c>
      <c r="E67" s="274"/>
      <c r="F67" s="285">
        <v>6.3402920998808119</v>
      </c>
      <c r="G67" s="283">
        <v>6.3402920998808119</v>
      </c>
      <c r="H67" s="302">
        <v>6.338911556818859</v>
      </c>
      <c r="I67" s="270">
        <v>6.338911556818859</v>
      </c>
      <c r="J67" s="270">
        <v>5.338911556818859</v>
      </c>
      <c r="K67" s="270">
        <v>5.338911556818859</v>
      </c>
    </row>
    <row r="68" spans="1:11">
      <c r="A68" s="291"/>
      <c r="B68" s="280" t="s">
        <v>18</v>
      </c>
      <c r="C68" s="292" t="s">
        <v>27</v>
      </c>
      <c r="D68" s="301">
        <f>'USDA Comp'!E55</f>
        <v>23</v>
      </c>
      <c r="E68" s="274"/>
      <c r="F68" s="285">
        <v>18</v>
      </c>
      <c r="G68" s="270">
        <v>18</v>
      </c>
      <c r="H68" s="302">
        <v>18</v>
      </c>
      <c r="I68" s="270">
        <v>18</v>
      </c>
      <c r="J68" s="270">
        <v>18</v>
      </c>
      <c r="K68" s="270">
        <v>18</v>
      </c>
    </row>
    <row r="69" spans="1:11" ht="14.45" customHeight="1">
      <c r="A69" s="291"/>
      <c r="B69" s="280" t="s">
        <v>18</v>
      </c>
      <c r="C69" s="292" t="s">
        <v>29</v>
      </c>
      <c r="D69" s="301">
        <f>'USDA Comp'!E75</f>
        <v>5.768326666666681</v>
      </c>
      <c r="E69" s="274"/>
      <c r="F69" s="285">
        <v>5.5447990000000003</v>
      </c>
      <c r="G69" s="283">
        <v>5.5447990000000003</v>
      </c>
      <c r="H69" s="302">
        <v>5.9988999999999999</v>
      </c>
      <c r="I69" s="270">
        <v>5.9988999999999999</v>
      </c>
      <c r="J69" s="270">
        <v>5.9988999999999999</v>
      </c>
      <c r="K69" s="270">
        <v>5.9988999999999999</v>
      </c>
    </row>
    <row r="70" spans="1:11">
      <c r="A70" s="291"/>
      <c r="B70" s="280" t="s">
        <v>18</v>
      </c>
      <c r="C70" s="292" t="s">
        <v>32</v>
      </c>
      <c r="D70" s="301">
        <f>'USDA Comp'!E95</f>
        <v>81</v>
      </c>
      <c r="E70" s="274"/>
      <c r="F70" s="285">
        <v>82</v>
      </c>
      <c r="G70" s="270">
        <v>82</v>
      </c>
      <c r="H70" s="302">
        <v>82</v>
      </c>
      <c r="I70" s="270">
        <v>82</v>
      </c>
      <c r="J70" s="270">
        <v>82</v>
      </c>
      <c r="K70" s="270">
        <v>82</v>
      </c>
    </row>
    <row r="71" spans="1:11">
      <c r="A71" s="291"/>
      <c r="B71" s="280" t="s">
        <v>18</v>
      </c>
      <c r="C71" s="292" t="s">
        <v>34</v>
      </c>
      <c r="D71" s="301">
        <f>'USDA Comp'!E115</f>
        <v>17.140198569071369</v>
      </c>
      <c r="E71" s="274"/>
      <c r="F71" s="285">
        <v>17.140198569071369</v>
      </c>
      <c r="G71" s="270">
        <v>17.140198569071369</v>
      </c>
      <c r="H71" s="302">
        <v>17.140198569071369</v>
      </c>
      <c r="I71" s="270">
        <v>17.140198569071369</v>
      </c>
      <c r="J71" s="270">
        <v>17.140198569071369</v>
      </c>
      <c r="K71" s="270">
        <v>17.140198569071369</v>
      </c>
    </row>
    <row r="72" spans="1:11">
      <c r="A72" s="291"/>
      <c r="B72" s="280" t="s">
        <v>18</v>
      </c>
      <c r="C72" s="292" t="s">
        <v>36</v>
      </c>
      <c r="D72" s="301">
        <f>'USDA Comp'!E135</f>
        <v>1.1000000000000001</v>
      </c>
      <c r="E72" s="274"/>
      <c r="F72" s="285">
        <v>0</v>
      </c>
      <c r="G72" s="270">
        <v>0</v>
      </c>
      <c r="H72" s="302">
        <v>1.1000000000000001</v>
      </c>
      <c r="I72" s="270">
        <v>1.1000000000000001</v>
      </c>
      <c r="J72" s="270">
        <v>1.1000000000000001</v>
      </c>
      <c r="K72" s="270">
        <v>1.1000000000000001</v>
      </c>
    </row>
    <row r="73" spans="1:11">
      <c r="A73" s="291"/>
      <c r="B73" s="280" t="s">
        <v>18</v>
      </c>
      <c r="C73" s="292" t="s">
        <v>38</v>
      </c>
      <c r="D73" s="301">
        <f>'USDA Comp'!E155</f>
        <v>0.95</v>
      </c>
      <c r="E73" s="274"/>
      <c r="F73" s="285">
        <v>0</v>
      </c>
      <c r="G73" s="283">
        <v>0</v>
      </c>
      <c r="H73" s="302">
        <v>0</v>
      </c>
      <c r="I73" s="270">
        <v>0</v>
      </c>
      <c r="J73" s="270">
        <v>0.9</v>
      </c>
      <c r="K73" s="270">
        <v>0.9</v>
      </c>
    </row>
    <row r="74" spans="1:11">
      <c r="A74" s="291"/>
      <c r="B74" s="280" t="s">
        <v>18</v>
      </c>
      <c r="C74" s="292" t="s">
        <v>40</v>
      </c>
      <c r="D74" s="301">
        <f>'USDA Comp'!E175</f>
        <v>172.72</v>
      </c>
      <c r="E74" s="274"/>
      <c r="F74" s="285">
        <v>170.18</v>
      </c>
      <c r="G74" s="283">
        <v>174.51755800000001</v>
      </c>
      <c r="H74" s="302">
        <v>174.51755800000001</v>
      </c>
      <c r="I74" s="270">
        <v>174.51755800000001</v>
      </c>
      <c r="J74" s="270">
        <v>174.51755800000001</v>
      </c>
      <c r="K74" s="270">
        <v>173.83438944</v>
      </c>
    </row>
    <row r="75" spans="1:11" ht="12.95" customHeight="1" thickBot="1">
      <c r="A75" s="293"/>
      <c r="B75" s="294" t="s">
        <v>18</v>
      </c>
      <c r="C75" s="295" t="s">
        <v>1</v>
      </c>
      <c r="D75" s="301">
        <f>'USDA Comp'!E15</f>
        <v>456.85125251471175</v>
      </c>
      <c r="E75" s="274"/>
      <c r="F75" s="285">
        <v>439.10328966895219</v>
      </c>
      <c r="G75" s="283">
        <v>445.38984766895226</v>
      </c>
      <c r="H75" s="302">
        <v>446.38756812589025</v>
      </c>
      <c r="I75" s="270">
        <v>446.34756812589029</v>
      </c>
      <c r="J75" s="270">
        <v>445.25256812589026</v>
      </c>
      <c r="K75" s="270">
        <v>444.56939956589025</v>
      </c>
    </row>
    <row r="76" spans="1:11" ht="14.45" customHeight="1">
      <c r="A76" s="296"/>
      <c r="B76" s="280" t="s">
        <v>190</v>
      </c>
      <c r="C76" s="290" t="s">
        <v>24</v>
      </c>
      <c r="D76" s="301">
        <f>'USDA Comp'!E33</f>
        <v>15.015000000000001</v>
      </c>
      <c r="E76" s="274"/>
      <c r="F76" s="285">
        <v>17.658726719604971</v>
      </c>
      <c r="G76" s="283">
        <v>17.658726719604971</v>
      </c>
      <c r="H76" s="302">
        <v>17.615000000000002</v>
      </c>
      <c r="I76" s="270">
        <v>17.615000000000002</v>
      </c>
      <c r="J76" s="270">
        <v>14.115000000000002</v>
      </c>
      <c r="K76" s="270">
        <v>14.115000000000002</v>
      </c>
    </row>
    <row r="77" spans="1:11" ht="30">
      <c r="A77" s="291"/>
      <c r="B77" s="280" t="s">
        <v>190</v>
      </c>
      <c r="C77" s="292" t="s">
        <v>27</v>
      </c>
      <c r="D77" s="301">
        <f>'USDA Comp'!E53</f>
        <v>90.279999999999973</v>
      </c>
      <c r="E77" s="274"/>
      <c r="F77" s="285">
        <v>73.702500000000001</v>
      </c>
      <c r="G77" s="283">
        <v>73.702500000000001</v>
      </c>
      <c r="H77" s="302">
        <v>73.702500000000001</v>
      </c>
      <c r="I77" s="270">
        <v>73.702500000000001</v>
      </c>
      <c r="J77" s="270">
        <v>83.002499999999998</v>
      </c>
      <c r="K77" s="270">
        <v>83.002499999999998</v>
      </c>
    </row>
    <row r="78" spans="1:11" ht="30">
      <c r="A78" s="291"/>
      <c r="B78" s="280" t="s">
        <v>190</v>
      </c>
      <c r="C78" s="292" t="s">
        <v>29</v>
      </c>
      <c r="D78" s="301">
        <f>'USDA Comp'!E73</f>
        <v>15.747199999999921</v>
      </c>
      <c r="E78" s="274"/>
      <c r="F78" s="285">
        <v>16.424002999999999</v>
      </c>
      <c r="G78" s="283">
        <v>16.424002999999999</v>
      </c>
      <c r="H78" s="302">
        <v>15.855499999999999</v>
      </c>
      <c r="I78" s="270">
        <v>15.855499999999999</v>
      </c>
      <c r="J78" s="270">
        <v>15.855499999999999</v>
      </c>
      <c r="K78" s="270">
        <v>15.855499999999999</v>
      </c>
    </row>
    <row r="79" spans="1:11" ht="30">
      <c r="A79" s="291"/>
      <c r="B79" s="280" t="s">
        <v>190</v>
      </c>
      <c r="C79" s="292" t="s">
        <v>32</v>
      </c>
      <c r="D79" s="301">
        <f>'USDA Comp'!E93</f>
        <v>304.5</v>
      </c>
      <c r="E79" s="274"/>
      <c r="F79" s="285">
        <v>306.36199999999997</v>
      </c>
      <c r="G79" s="283">
        <v>306.36199999999997</v>
      </c>
      <c r="H79" s="302">
        <v>306.36199999999997</v>
      </c>
      <c r="I79" s="270">
        <v>306.36199999999997</v>
      </c>
      <c r="J79" s="270">
        <v>306.36199999999997</v>
      </c>
      <c r="K79" s="270">
        <v>306.36199999999997</v>
      </c>
    </row>
    <row r="80" spans="1:11" ht="30">
      <c r="A80" s="291"/>
      <c r="B80" s="280" t="s">
        <v>190</v>
      </c>
      <c r="C80" s="292" t="s">
        <v>34</v>
      </c>
      <c r="D80" s="301">
        <f>'USDA Comp'!E113</f>
        <v>70.609254795343162</v>
      </c>
      <c r="E80" s="274"/>
      <c r="F80" s="285">
        <v>77.120435363943372</v>
      </c>
      <c r="G80" s="283">
        <v>77.120435363943372</v>
      </c>
      <c r="H80" s="302">
        <v>77.120435363943372</v>
      </c>
      <c r="I80" s="270">
        <v>77.120435363943372</v>
      </c>
      <c r="J80" s="270">
        <v>77.683186485943367</v>
      </c>
      <c r="K80" s="270">
        <v>77.683186485943367</v>
      </c>
    </row>
    <row r="81" spans="1:11" ht="30">
      <c r="A81" s="291"/>
      <c r="B81" s="280" t="s">
        <v>190</v>
      </c>
      <c r="C81" s="292" t="s">
        <v>36</v>
      </c>
      <c r="D81" s="301">
        <f>'USDA Comp'!E133</f>
        <v>10.8</v>
      </c>
      <c r="E81" s="274"/>
      <c r="F81" s="285">
        <v>15.550000000000002</v>
      </c>
      <c r="G81" s="270">
        <v>15.550000000000002</v>
      </c>
      <c r="H81" s="302">
        <v>10.8</v>
      </c>
      <c r="I81" s="270">
        <v>10.8</v>
      </c>
      <c r="J81" s="270">
        <v>10.8</v>
      </c>
      <c r="K81" s="270">
        <v>10.8</v>
      </c>
    </row>
    <row r="82" spans="1:11" ht="30">
      <c r="A82" s="291"/>
      <c r="B82" s="280" t="s">
        <v>190</v>
      </c>
      <c r="C82" s="292" t="s">
        <v>38</v>
      </c>
      <c r="D82" s="301">
        <f>'USDA Comp'!E153</f>
        <v>1.7920538456173141</v>
      </c>
      <c r="E82" s="274"/>
      <c r="F82" s="285">
        <v>1.8850000000000016</v>
      </c>
      <c r="G82" s="270">
        <v>1.8850000000000016</v>
      </c>
      <c r="H82" s="302">
        <v>1.8850000000000016</v>
      </c>
      <c r="I82" s="270">
        <v>1.8850000000000016</v>
      </c>
      <c r="J82" s="270">
        <v>4.6066489120000007</v>
      </c>
      <c r="K82" s="270">
        <v>4.6066489120000007</v>
      </c>
    </row>
    <row r="83" spans="1:11" ht="12.6" customHeight="1">
      <c r="A83" s="291"/>
      <c r="B83" s="280" t="s">
        <v>190</v>
      </c>
      <c r="C83" s="292" t="s">
        <v>40</v>
      </c>
      <c r="D83" s="301">
        <f>'USDA Comp'!E173</f>
        <v>314.17028859999999</v>
      </c>
      <c r="E83" s="274"/>
      <c r="F83" s="285">
        <v>317.5</v>
      </c>
      <c r="G83" s="270">
        <v>321.837558</v>
      </c>
      <c r="H83" s="302">
        <v>321.837558</v>
      </c>
      <c r="I83" s="270">
        <v>321.837558</v>
      </c>
      <c r="J83" s="270">
        <v>321.837558</v>
      </c>
      <c r="K83" s="270">
        <v>321.03251576894979</v>
      </c>
    </row>
    <row r="84" spans="1:11" ht="30.75" thickBot="1">
      <c r="A84" s="293"/>
      <c r="B84" s="294" t="s">
        <v>190</v>
      </c>
      <c r="C84" s="295" t="s">
        <v>1</v>
      </c>
      <c r="D84" s="301">
        <f>'USDA Comp'!E13</f>
        <v>1305.6342933434735</v>
      </c>
      <c r="E84" s="274"/>
      <c r="F84" s="285">
        <v>990.94388992145173</v>
      </c>
      <c r="G84" s="270">
        <v>999.67715466961863</v>
      </c>
      <c r="H84" s="302">
        <v>996.98813245397719</v>
      </c>
      <c r="I84" s="270">
        <v>989.80485269847736</v>
      </c>
      <c r="J84" s="270">
        <v>1182.8815119767094</v>
      </c>
      <c r="K84" s="270">
        <v>1182.078632894877</v>
      </c>
    </row>
    <row r="85" spans="1:11">
      <c r="A85" s="296"/>
      <c r="B85" s="280" t="s">
        <v>21</v>
      </c>
      <c r="C85" s="290" t="s">
        <v>24</v>
      </c>
      <c r="D85" s="301">
        <f>'USDA Comp'!E38</f>
        <v>2.4780000000000015</v>
      </c>
      <c r="E85" s="274"/>
      <c r="F85" s="285">
        <v>2.2239999999999966</v>
      </c>
      <c r="G85" s="270">
        <v>2.2239999999999966</v>
      </c>
      <c r="H85" s="302">
        <v>2.2239999999999966</v>
      </c>
      <c r="I85" s="270">
        <v>2.2239999999999966</v>
      </c>
      <c r="J85" s="270">
        <v>3.2239999999999966</v>
      </c>
      <c r="K85" s="270">
        <v>3.2239999999999966</v>
      </c>
    </row>
    <row r="86" spans="1:11">
      <c r="A86" s="291"/>
      <c r="B86" s="280" t="s">
        <v>21</v>
      </c>
      <c r="C86" s="292" t="s">
        <v>27</v>
      </c>
      <c r="D86" s="301">
        <f>'USDA Comp'!E58</f>
        <v>9.5978000000000065</v>
      </c>
      <c r="E86" s="274"/>
      <c r="F86" s="285">
        <v>6.0409999999999968</v>
      </c>
      <c r="G86" s="270">
        <v>6.0409999999999968</v>
      </c>
      <c r="H86" s="302">
        <v>6.0409999999999968</v>
      </c>
      <c r="I86" s="270">
        <v>6.0409999999999968</v>
      </c>
      <c r="J86" s="270">
        <v>6.0409999999999968</v>
      </c>
      <c r="K86" s="270">
        <v>6.0409999999999968</v>
      </c>
    </row>
    <row r="87" spans="1:11">
      <c r="A87" s="291"/>
      <c r="B87" s="280" t="s">
        <v>21</v>
      </c>
      <c r="C87" s="292" t="s">
        <v>29</v>
      </c>
      <c r="D87" s="301">
        <f>'USDA Comp'!E78</f>
        <v>1.6757061305031797</v>
      </c>
      <c r="E87" s="274"/>
      <c r="F87" s="285">
        <v>0.28006450396331317</v>
      </c>
      <c r="G87" s="270">
        <v>0.28006450396331317</v>
      </c>
      <c r="H87" s="302">
        <v>1.1935675039633118</v>
      </c>
      <c r="I87" s="270">
        <v>1.1935675039633118</v>
      </c>
      <c r="J87" s="270">
        <v>1.8408949999999962</v>
      </c>
      <c r="K87" s="270">
        <v>1.8408949999999962</v>
      </c>
    </row>
    <row r="88" spans="1:11">
      <c r="A88" s="291"/>
      <c r="B88" s="280" t="s">
        <v>21</v>
      </c>
      <c r="C88" s="292" t="s">
        <v>32</v>
      </c>
      <c r="D88" s="301">
        <f>'USDA Comp'!E98</f>
        <v>209.28600000000006</v>
      </c>
      <c r="F88" s="303">
        <v>212</v>
      </c>
      <c r="G88" s="270">
        <v>212</v>
      </c>
      <c r="H88" s="302">
        <v>212</v>
      </c>
      <c r="I88" s="270">
        <v>212</v>
      </c>
      <c r="J88" s="270">
        <v>212</v>
      </c>
      <c r="K88" s="270">
        <v>212</v>
      </c>
    </row>
    <row r="89" spans="1:11">
      <c r="A89" s="291"/>
      <c r="B89" s="280" t="s">
        <v>21</v>
      </c>
      <c r="C89" s="292" t="s">
        <v>34</v>
      </c>
      <c r="D89" s="301">
        <f>'USDA Comp'!E118</f>
        <v>10.804745204656854</v>
      </c>
      <c r="F89" s="303">
        <v>8.3212023260566212</v>
      </c>
      <c r="G89" s="270">
        <v>8.3212023260566212</v>
      </c>
      <c r="H89" s="302">
        <v>8.3212023260566212</v>
      </c>
      <c r="I89" s="270">
        <v>8.3212023260566212</v>
      </c>
      <c r="J89" s="270">
        <v>8.3212023260566355</v>
      </c>
      <c r="K89" s="270">
        <v>8.3212023260566355</v>
      </c>
    </row>
    <row r="90" spans="1:11">
      <c r="A90" s="291"/>
      <c r="B90" s="280" t="s">
        <v>21</v>
      </c>
      <c r="C90" s="292" t="s">
        <v>36</v>
      </c>
      <c r="D90" s="301">
        <f>'USDA Comp'!E138</f>
        <v>0.4079999999999977</v>
      </c>
      <c r="F90" s="303">
        <v>-3.8919999999999995</v>
      </c>
      <c r="G90" s="270">
        <v>-3.8919999999999995</v>
      </c>
      <c r="H90" s="302">
        <v>0.85800000000000054</v>
      </c>
      <c r="I90" s="270">
        <v>0.85800000000000054</v>
      </c>
      <c r="J90" s="270">
        <v>0.1580000000000048</v>
      </c>
      <c r="K90" s="270">
        <v>0.1580000000000048</v>
      </c>
    </row>
    <row r="91" spans="1:11">
      <c r="A91" s="291"/>
      <c r="B91" s="280" t="s">
        <v>21</v>
      </c>
      <c r="C91" s="292" t="s">
        <v>38</v>
      </c>
      <c r="D91" s="301">
        <f>'USDA Comp'!E158</f>
        <v>1.6089999999999982</v>
      </c>
      <c r="F91" s="303">
        <v>3.91</v>
      </c>
      <c r="G91" s="270">
        <v>3.91</v>
      </c>
      <c r="H91" s="302">
        <v>3.91</v>
      </c>
      <c r="I91" s="270">
        <v>3.91</v>
      </c>
      <c r="J91" s="270">
        <v>0.70000000000000284</v>
      </c>
      <c r="K91" s="270">
        <v>0.70000000000000284</v>
      </c>
    </row>
    <row r="92" spans="1:11">
      <c r="A92" s="291"/>
      <c r="B92" s="280" t="s">
        <v>21</v>
      </c>
      <c r="C92" s="292" t="s">
        <v>40</v>
      </c>
      <c r="D92" s="301">
        <f>'USDA Comp'!E178</f>
        <v>38.907709000000011</v>
      </c>
      <c r="F92" s="303">
        <v>50.911012999999969</v>
      </c>
      <c r="G92" s="270">
        <v>44.871654999999976</v>
      </c>
      <c r="H92" s="302">
        <v>44.871654999999976</v>
      </c>
      <c r="I92" s="270">
        <v>44.871654999999976</v>
      </c>
      <c r="J92" s="270">
        <v>44.871654999999976</v>
      </c>
      <c r="K92" s="270">
        <v>44.792254599999922</v>
      </c>
    </row>
    <row r="93" spans="1:11" ht="15.75" thickBot="1">
      <c r="A93" s="293"/>
      <c r="B93" s="294" t="s">
        <v>21</v>
      </c>
      <c r="C93" s="295" t="s">
        <v>1</v>
      </c>
      <c r="D93" s="301">
        <f>'USDA Comp'!E18</f>
        <v>318.24877134516964</v>
      </c>
      <c r="F93" s="303">
        <v>608.36146097828009</v>
      </c>
      <c r="G93" s="270">
        <v>603.89010297828008</v>
      </c>
      <c r="H93" s="302">
        <v>607.62139847431649</v>
      </c>
      <c r="I93" s="270">
        <v>608.86539847431663</v>
      </c>
      <c r="J93" s="270">
        <v>325.73539847431675</v>
      </c>
      <c r="K93" s="270">
        <v>325.68299807431686</v>
      </c>
    </row>
    <row r="94" spans="1:11">
      <c r="A94" s="296"/>
      <c r="B94" s="280" t="s">
        <v>302</v>
      </c>
      <c r="C94" s="290" t="s">
        <v>24</v>
      </c>
      <c r="D94" s="302">
        <f>D40</f>
        <v>51.493000000000002</v>
      </c>
      <c r="F94" s="303">
        <v>50.882726719604968</v>
      </c>
      <c r="G94" s="270">
        <v>50.882726719604968</v>
      </c>
      <c r="H94" s="302">
        <v>50.838999999999999</v>
      </c>
      <c r="I94" s="270">
        <v>50.838999999999999</v>
      </c>
      <c r="J94" s="270">
        <v>51.838999999999999</v>
      </c>
      <c r="K94" s="270">
        <v>51.838999999999999</v>
      </c>
    </row>
    <row r="95" spans="1:11">
      <c r="A95" s="291"/>
      <c r="B95" s="280" t="s">
        <v>302</v>
      </c>
      <c r="C95" s="292" t="s">
        <v>27</v>
      </c>
      <c r="D95" s="302">
        <f t="shared" ref="D95:D102" si="0">D41</f>
        <v>149.87779999999998</v>
      </c>
      <c r="F95" s="303">
        <v>127.2435</v>
      </c>
      <c r="G95" s="270">
        <v>127.2435</v>
      </c>
      <c r="H95" s="302">
        <v>127.2435</v>
      </c>
      <c r="I95" s="270">
        <v>127.2435</v>
      </c>
      <c r="J95" s="270">
        <v>127.2435</v>
      </c>
      <c r="K95" s="270">
        <v>127.2435</v>
      </c>
    </row>
    <row r="96" spans="1:11">
      <c r="A96" s="291"/>
      <c r="B96" s="280" t="s">
        <v>302</v>
      </c>
      <c r="C96" s="292" t="s">
        <v>29</v>
      </c>
      <c r="D96" s="302">
        <f t="shared" si="0"/>
        <v>19.529670332796506</v>
      </c>
      <c r="F96" s="303">
        <v>16.709237201216624</v>
      </c>
      <c r="G96" s="270">
        <v>16.709237201216624</v>
      </c>
      <c r="H96" s="302">
        <v>17.054237201216623</v>
      </c>
      <c r="I96" s="270">
        <v>17.054237201216623</v>
      </c>
      <c r="J96" s="270">
        <v>19.763610999999997</v>
      </c>
      <c r="K96" s="270">
        <v>19.763610999999997</v>
      </c>
    </row>
    <row r="97" spans="1:11">
      <c r="A97" s="291"/>
      <c r="B97" s="280" t="s">
        <v>302</v>
      </c>
      <c r="C97" s="292" t="s">
        <v>32</v>
      </c>
      <c r="D97" s="302">
        <f t="shared" si="0"/>
        <v>513.78600000000006</v>
      </c>
      <c r="F97" s="303">
        <v>518.38199999999995</v>
      </c>
      <c r="G97" s="270">
        <v>518.38199999999995</v>
      </c>
      <c r="H97" s="302">
        <v>518.38199999999995</v>
      </c>
      <c r="I97" s="270">
        <v>518.38199999999995</v>
      </c>
      <c r="J97" s="270">
        <v>518.38199999999995</v>
      </c>
      <c r="K97" s="270">
        <v>518.38199999999995</v>
      </c>
    </row>
    <row r="98" spans="1:11">
      <c r="A98" s="291"/>
      <c r="B98" s="280" t="s">
        <v>302</v>
      </c>
      <c r="C98" s="292" t="s">
        <v>34</v>
      </c>
      <c r="D98" s="302">
        <f t="shared" si="0"/>
        <v>84.01400000000001</v>
      </c>
      <c r="F98" s="303">
        <v>89.812859571999994</v>
      </c>
      <c r="G98" s="270">
        <v>89.812859571999994</v>
      </c>
      <c r="H98" s="302">
        <v>89.812859571999994</v>
      </c>
      <c r="I98" s="270">
        <v>89.812859571999994</v>
      </c>
      <c r="J98" s="270">
        <v>90.382766812</v>
      </c>
      <c r="K98" s="270">
        <v>90.382766812</v>
      </c>
    </row>
    <row r="99" spans="1:11">
      <c r="A99" s="291"/>
      <c r="B99" s="280" t="s">
        <v>302</v>
      </c>
      <c r="C99" s="292" t="s">
        <v>36</v>
      </c>
      <c r="D99" s="302">
        <f t="shared" si="0"/>
        <v>14.507999999999999</v>
      </c>
      <c r="F99" s="303">
        <v>17.558000000000003</v>
      </c>
      <c r="G99" s="270">
        <v>17.558000000000003</v>
      </c>
      <c r="H99" s="302">
        <v>17.558000000000003</v>
      </c>
      <c r="I99" s="270">
        <v>17.558000000000003</v>
      </c>
      <c r="J99" s="270">
        <v>17.558000000000003</v>
      </c>
      <c r="K99" s="270">
        <v>17.558000000000003</v>
      </c>
    </row>
    <row r="100" spans="1:11">
      <c r="A100" s="291"/>
      <c r="B100" s="280" t="s">
        <v>302</v>
      </c>
      <c r="C100" s="292" t="s">
        <v>38</v>
      </c>
      <c r="D100" s="302">
        <f t="shared" si="0"/>
        <v>26.401053845617312</v>
      </c>
      <c r="F100" s="303">
        <v>33.795000000000002</v>
      </c>
      <c r="G100" s="270">
        <v>33.795000000000002</v>
      </c>
      <c r="H100" s="302">
        <v>33.795000000000002</v>
      </c>
      <c r="I100" s="270">
        <v>33.795000000000002</v>
      </c>
      <c r="J100" s="270">
        <v>34.795000000000002</v>
      </c>
      <c r="K100" s="270">
        <v>34.795000000000002</v>
      </c>
    </row>
    <row r="101" spans="1:11">
      <c r="A101" s="291"/>
      <c r="B101" s="280" t="s">
        <v>302</v>
      </c>
      <c r="C101" s="292" t="s">
        <v>40</v>
      </c>
      <c r="D101" s="302">
        <f t="shared" si="0"/>
        <v>422.92799759999997</v>
      </c>
      <c r="F101" s="303">
        <v>424.92601299999995</v>
      </c>
      <c r="G101" s="270">
        <v>424.92601299999995</v>
      </c>
      <c r="H101" s="302">
        <v>424.92601299999995</v>
      </c>
      <c r="I101" s="270">
        <v>424.92601299999995</v>
      </c>
      <c r="J101" s="270">
        <v>424.92601299999995</v>
      </c>
      <c r="K101" s="270">
        <v>424.20020799999998</v>
      </c>
    </row>
    <row r="102" spans="1:11" ht="15.75" thickBot="1">
      <c r="A102" s="293"/>
      <c r="B102" s="294" t="s">
        <v>302</v>
      </c>
      <c r="C102" s="295" t="s">
        <v>1</v>
      </c>
      <c r="D102" s="302">
        <f t="shared" si="0"/>
        <v>1808.9614382082236</v>
      </c>
      <c r="F102" s="303">
        <v>1696.4364567845589</v>
      </c>
      <c r="G102" s="270">
        <v>1701.1073635327257</v>
      </c>
      <c r="H102" s="302">
        <v>1702.1466368131207</v>
      </c>
      <c r="I102" s="270">
        <v>1696.2213570576209</v>
      </c>
      <c r="J102" s="270">
        <v>1704.7412304248705</v>
      </c>
      <c r="K102" s="270">
        <v>1703.8959509430383</v>
      </c>
    </row>
    <row r="103" spans="1:11">
      <c r="A103" s="296"/>
      <c r="B103" s="280" t="s">
        <v>11</v>
      </c>
      <c r="C103" s="290" t="s">
        <v>24</v>
      </c>
      <c r="D103" s="304">
        <f>'USDA Comp'!E28</f>
        <v>6.8930116397431789</v>
      </c>
      <c r="F103" s="303">
        <v>6.75</v>
      </c>
      <c r="G103" s="270">
        <v>6.75</v>
      </c>
      <c r="H103" s="302">
        <v>6.75</v>
      </c>
      <c r="I103" s="270">
        <v>6.75</v>
      </c>
      <c r="J103" s="270">
        <v>6.75</v>
      </c>
      <c r="K103" s="270">
        <v>6.75</v>
      </c>
    </row>
    <row r="104" spans="1:11">
      <c r="A104" s="291"/>
      <c r="B104" s="280" t="s">
        <v>11</v>
      </c>
      <c r="C104" s="292" t="s">
        <v>27</v>
      </c>
      <c r="D104" s="304">
        <f>'USDA Comp'!E48</f>
        <v>6.314191311736975</v>
      </c>
      <c r="F104" s="303">
        <v>5.4963469321831013</v>
      </c>
      <c r="G104" s="270">
        <v>5.4963469321831013</v>
      </c>
      <c r="H104" s="302">
        <v>5.4963469321831013</v>
      </c>
      <c r="I104" s="270">
        <v>5.4963469321831013</v>
      </c>
      <c r="J104" s="270">
        <v>5.4963469321831013</v>
      </c>
      <c r="K104" s="270">
        <v>5.4963469321831013</v>
      </c>
    </row>
    <row r="105" spans="1:11">
      <c r="A105" s="291"/>
      <c r="B105" s="280" t="s">
        <v>11</v>
      </c>
      <c r="C105" s="292" t="s">
        <v>29</v>
      </c>
      <c r="D105" s="304">
        <f>'USDA Comp'!E68</f>
        <v>10.633975108148862</v>
      </c>
      <c r="F105" s="303">
        <v>9.925604055566529</v>
      </c>
      <c r="G105" s="270">
        <v>9.925604055566529</v>
      </c>
      <c r="H105" s="302">
        <v>10.152742116005005</v>
      </c>
      <c r="I105" s="270">
        <v>10.152742116005005</v>
      </c>
      <c r="J105" s="270">
        <v>10.152742116005005</v>
      </c>
      <c r="K105" s="270">
        <v>10.152742116005005</v>
      </c>
    </row>
    <row r="106" spans="1:11">
      <c r="A106" s="291"/>
      <c r="B106" s="280" t="s">
        <v>11</v>
      </c>
      <c r="C106" s="292" t="s">
        <v>32</v>
      </c>
      <c r="D106" s="304">
        <f>'USDA Comp'!E88</f>
        <v>6.6090202453957545</v>
      </c>
      <c r="F106" s="303">
        <v>6.5322266950110803</v>
      </c>
      <c r="G106" s="270">
        <v>6.5322266950110803</v>
      </c>
      <c r="H106" s="302">
        <v>6.5322266950110803</v>
      </c>
      <c r="I106" s="270">
        <v>6.5322266950110803</v>
      </c>
      <c r="J106" s="270">
        <v>6.5322266950110803</v>
      </c>
      <c r="K106" s="270">
        <v>6.5322266950110803</v>
      </c>
    </row>
    <row r="107" spans="1:11">
      <c r="A107" s="291"/>
      <c r="B107" s="280" t="s">
        <v>11</v>
      </c>
      <c r="C107" s="292" t="s">
        <v>34</v>
      </c>
      <c r="D107" s="304">
        <f>'USDA Comp'!E108</f>
        <v>6.5825880677530604</v>
      </c>
      <c r="F107" s="303">
        <v>7.480686841295328</v>
      </c>
      <c r="G107" s="270">
        <v>7.480686841295328</v>
      </c>
      <c r="H107" s="302">
        <v>7.480686841295328</v>
      </c>
      <c r="I107" s="270">
        <v>7.480686841295328</v>
      </c>
      <c r="J107" s="270">
        <v>7.480686841295328</v>
      </c>
      <c r="K107" s="270">
        <v>7.480686841295328</v>
      </c>
    </row>
    <row r="108" spans="1:11">
      <c r="A108" s="291"/>
      <c r="B108" s="280" t="s">
        <v>11</v>
      </c>
      <c r="C108" s="292" t="s">
        <v>36</v>
      </c>
      <c r="D108" s="304">
        <f>'USDA Comp'!E128</f>
        <v>5.4799999999999995</v>
      </c>
      <c r="F108" s="303">
        <v>6.9166666666666679</v>
      </c>
      <c r="G108" s="270">
        <v>6.9166666666666679</v>
      </c>
      <c r="H108" s="302">
        <v>6.9166666666666679</v>
      </c>
      <c r="I108" s="270">
        <v>6.9166666666666679</v>
      </c>
      <c r="J108" s="270">
        <v>6.9166666666666679</v>
      </c>
      <c r="K108" s="270">
        <v>6.9166666666666679</v>
      </c>
    </row>
    <row r="109" spans="1:11">
      <c r="A109" s="291"/>
      <c r="B109" s="280" t="s">
        <v>11</v>
      </c>
      <c r="C109" s="292" t="s">
        <v>38</v>
      </c>
      <c r="D109" s="304">
        <f>'USDA Comp'!E148</f>
        <v>6.2928899999999999</v>
      </c>
      <c r="F109" s="303">
        <v>7.69557712015974</v>
      </c>
      <c r="G109" s="270">
        <v>7.69557712015974</v>
      </c>
      <c r="H109" s="302">
        <v>7.69557712015974</v>
      </c>
      <c r="I109" s="270">
        <v>7.69557712015974</v>
      </c>
      <c r="J109" s="270">
        <v>7.894172658744508</v>
      </c>
      <c r="K109" s="270">
        <v>7.894172658744508</v>
      </c>
    </row>
    <row r="110" spans="1:11">
      <c r="A110" s="291"/>
      <c r="B110" s="280" t="s">
        <v>11</v>
      </c>
      <c r="C110" s="292" t="s">
        <v>40</v>
      </c>
      <c r="D110" s="304">
        <f>'USDA Comp'!E168</f>
        <v>12.06972436788265</v>
      </c>
      <c r="F110" s="303">
        <v>11.934499364257393</v>
      </c>
      <c r="G110" s="270">
        <v>11.934499364257393</v>
      </c>
      <c r="H110" s="302">
        <v>11.934499364257393</v>
      </c>
      <c r="I110" s="270">
        <v>11.934499364257393</v>
      </c>
      <c r="J110" s="270">
        <v>11.934499364257393</v>
      </c>
      <c r="K110" s="270">
        <v>11.934628765634752</v>
      </c>
    </row>
    <row r="111" spans="1:11" ht="15.75" thickBot="1">
      <c r="A111" s="293"/>
      <c r="B111" s="294" t="s">
        <v>11</v>
      </c>
      <c r="C111" s="295" t="s">
        <v>1</v>
      </c>
      <c r="D111" s="304">
        <f>'USDA Comp'!E8</f>
        <v>6.336450052938857</v>
      </c>
      <c r="F111" s="303">
        <v>5.9418982177745185</v>
      </c>
      <c r="G111" s="270">
        <v>5.9473202328024817</v>
      </c>
      <c r="H111" s="302">
        <v>5.9434883260938181</v>
      </c>
      <c r="I111" s="270">
        <v>5.9145755820231658</v>
      </c>
      <c r="J111" s="270">
        <v>5.9187905969557999</v>
      </c>
      <c r="K111" s="270">
        <v>5.9147138297598234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4239-C9F6-4FB8-B255-7D9E45A27275}">
  <sheetPr>
    <tabColor theme="8" tint="0.79998168889431442"/>
  </sheetPr>
  <dimension ref="A1:K111"/>
  <sheetViews>
    <sheetView showGridLines="0" zoomScaleNormal="100" workbookViewId="0">
      <selection activeCell="P12" sqref="P12"/>
    </sheetView>
  </sheetViews>
  <sheetFormatPr defaultColWidth="7.42578125" defaultRowHeight="15"/>
  <cols>
    <col min="1" max="1" width="10" style="270" bestFit="1" customWidth="1"/>
    <col min="2" max="2" width="20.140625" style="270" bestFit="1" customWidth="1"/>
    <col min="3" max="3" width="12.85546875" style="270" bestFit="1" customWidth="1"/>
    <col min="4" max="5" width="12.85546875" style="270" customWidth="1"/>
    <col min="6" max="16384" width="7.42578125" style="270"/>
  </cols>
  <sheetData>
    <row r="1" spans="1:11">
      <c r="A1" s="286" t="s">
        <v>303</v>
      </c>
    </row>
    <row r="3" spans="1:11" ht="15.75" thickBot="1">
      <c r="A3" s="271" t="s">
        <v>295</v>
      </c>
      <c r="B3" s="287" t="s">
        <v>296</v>
      </c>
      <c r="C3" s="271" t="s">
        <v>297</v>
      </c>
      <c r="D3" s="297">
        <v>45748</v>
      </c>
      <c r="E3" s="297"/>
      <c r="F3" s="297">
        <v>45566</v>
      </c>
      <c r="G3" s="288">
        <v>45597</v>
      </c>
      <c r="H3" s="297">
        <v>45627</v>
      </c>
      <c r="I3" s="297">
        <v>45658</v>
      </c>
      <c r="J3" s="297">
        <v>45689</v>
      </c>
      <c r="K3" s="297">
        <v>45717</v>
      </c>
    </row>
    <row r="4" spans="1:11">
      <c r="A4" s="289" t="s">
        <v>299</v>
      </c>
      <c r="B4" s="280" t="s">
        <v>10</v>
      </c>
      <c r="C4" s="290" t="s">
        <v>24</v>
      </c>
      <c r="D4" s="301">
        <f>'USDA Comp'!H27</f>
        <v>7.1557653591137012</v>
      </c>
      <c r="E4" s="274"/>
      <c r="F4" s="275">
        <v>7.3884138870126597</v>
      </c>
      <c r="G4" s="283">
        <v>7.7423551654282381</v>
      </c>
      <c r="H4" s="270">
        <v>7.7037984541596858</v>
      </c>
      <c r="I4" s="270">
        <v>7.4149060121286974</v>
      </c>
      <c r="J4" s="270">
        <v>7.0297160894207131</v>
      </c>
      <c r="K4" s="270">
        <v>7.0297160894207131</v>
      </c>
    </row>
    <row r="5" spans="1:11">
      <c r="A5" s="291"/>
      <c r="B5" s="280" t="s">
        <v>10</v>
      </c>
      <c r="C5" s="292" t="s">
        <v>27</v>
      </c>
      <c r="D5" s="301">
        <f>'USDA Comp'!H47</f>
        <v>23.530867857142912</v>
      </c>
      <c r="E5" s="274"/>
      <c r="F5" s="275">
        <v>21.002099999999999</v>
      </c>
      <c r="G5" s="283">
        <v>21.002099999999999</v>
      </c>
      <c r="H5" s="270">
        <v>22.124099999999999</v>
      </c>
      <c r="I5" s="270">
        <v>22.124099999999999</v>
      </c>
      <c r="J5" s="270">
        <v>22.124099999999999</v>
      </c>
      <c r="K5" s="270">
        <v>22.124099999999999</v>
      </c>
    </row>
    <row r="6" spans="1:11" ht="15.95" customHeight="1">
      <c r="A6" s="291"/>
      <c r="B6" s="280" t="s">
        <v>10</v>
      </c>
      <c r="C6" s="292" t="s">
        <v>29</v>
      </c>
      <c r="D6" s="301">
        <f>'USDA Comp'!H67</f>
        <v>1.5107298511700202</v>
      </c>
      <c r="E6" s="274"/>
      <c r="F6" s="275">
        <v>1.4430163550261708</v>
      </c>
      <c r="G6" s="283">
        <v>1.4430163550261708</v>
      </c>
      <c r="H6" s="270">
        <v>1.4430163550261708</v>
      </c>
      <c r="I6" s="270">
        <v>1.4430163550261708</v>
      </c>
      <c r="J6" s="270">
        <v>1.4430163550261708</v>
      </c>
      <c r="K6" s="270">
        <v>1.4430163550261708</v>
      </c>
    </row>
    <row r="7" spans="1:11">
      <c r="A7" s="291"/>
      <c r="B7" s="280" t="s">
        <v>10</v>
      </c>
      <c r="C7" s="292" t="s">
        <v>32</v>
      </c>
      <c r="D7" s="301">
        <f>'USDA Comp'!H87</f>
        <v>45.281559999999999</v>
      </c>
      <c r="E7" s="274"/>
      <c r="F7" s="275">
        <v>44.622066666666655</v>
      </c>
      <c r="G7" s="283">
        <v>44.622066666666655</v>
      </c>
      <c r="H7" s="270">
        <v>44.622066666666655</v>
      </c>
      <c r="I7" s="270">
        <v>44.622066666666655</v>
      </c>
      <c r="J7" s="270">
        <v>44.622066666666655</v>
      </c>
      <c r="K7" s="270">
        <v>44.622066666666655</v>
      </c>
    </row>
    <row r="8" spans="1:11">
      <c r="A8" s="291"/>
      <c r="B8" s="280" t="s">
        <v>10</v>
      </c>
      <c r="C8" s="292" t="s">
        <v>34</v>
      </c>
      <c r="D8" s="301">
        <f>'USDA Comp'!H107</f>
        <v>8.7794881237880329</v>
      </c>
      <c r="E8" s="274"/>
      <c r="F8" s="275">
        <v>8.6136333333333308</v>
      </c>
      <c r="G8" s="283">
        <v>8.6136333333333308</v>
      </c>
      <c r="H8" s="270">
        <v>8.6136333333333308</v>
      </c>
      <c r="I8" s="270">
        <v>8.6136333333333308</v>
      </c>
      <c r="J8" s="270">
        <v>8.6136333333333308</v>
      </c>
      <c r="K8" s="270">
        <v>8.6136333333333308</v>
      </c>
    </row>
    <row r="9" spans="1:11">
      <c r="A9" s="291"/>
      <c r="B9" s="280" t="s">
        <v>10</v>
      </c>
      <c r="C9" s="292" t="s">
        <v>36</v>
      </c>
      <c r="D9" s="301">
        <f>'USDA Comp'!H127</f>
        <v>2.9673619047619297</v>
      </c>
      <c r="E9" s="274"/>
      <c r="F9" s="275">
        <v>2.5</v>
      </c>
      <c r="G9" s="283">
        <v>2.5</v>
      </c>
      <c r="H9" s="270">
        <v>2.5</v>
      </c>
      <c r="I9" s="270">
        <v>2.5</v>
      </c>
      <c r="J9" s="270">
        <v>2.5</v>
      </c>
      <c r="K9" s="270">
        <v>2.5</v>
      </c>
    </row>
    <row r="10" spans="1:11">
      <c r="A10" s="291"/>
      <c r="B10" s="280" t="s">
        <v>10</v>
      </c>
      <c r="C10" s="292" t="s">
        <v>38</v>
      </c>
      <c r="D10" s="301">
        <f>'USDA Comp'!H147</f>
        <v>4.4683871998889373</v>
      </c>
      <c r="E10" s="274"/>
      <c r="F10" s="275">
        <v>3.9238019170233889</v>
      </c>
      <c r="G10" s="283">
        <v>3.9238019170233889</v>
      </c>
      <c r="H10" s="270">
        <v>3.9238019170233889</v>
      </c>
      <c r="I10" s="270">
        <v>3.9238019170233889</v>
      </c>
      <c r="J10" s="270">
        <v>3.9238019170233889</v>
      </c>
      <c r="K10" s="270">
        <v>3.9238019170233889</v>
      </c>
    </row>
    <row r="11" spans="1:11">
      <c r="A11" s="291"/>
      <c r="B11" s="280" t="s">
        <v>10</v>
      </c>
      <c r="C11" s="292" t="s">
        <v>40</v>
      </c>
      <c r="D11" s="301">
        <f>'USDA Comp'!H167</f>
        <v>36.483339965545987</v>
      </c>
      <c r="E11" s="274"/>
      <c r="F11" s="275">
        <v>33.316384398087465</v>
      </c>
      <c r="G11" s="283">
        <v>33.316384398087465</v>
      </c>
      <c r="H11" s="270">
        <v>33.316384398087465</v>
      </c>
      <c r="I11" s="270">
        <v>33.316384398087465</v>
      </c>
      <c r="J11" s="270">
        <v>33.316384398087465</v>
      </c>
      <c r="K11" s="270">
        <v>33.546850655999997</v>
      </c>
    </row>
    <row r="12" spans="1:11" ht="15.75" thickBot="1">
      <c r="A12" s="293"/>
      <c r="B12" s="294" t="s">
        <v>10</v>
      </c>
      <c r="C12" s="295" t="s">
        <v>1</v>
      </c>
      <c r="D12" s="301">
        <f>'USDA Comp'!H7</f>
        <v>212.57350026141151</v>
      </c>
      <c r="E12" s="274"/>
      <c r="F12" s="274">
        <v>203.59713915831296</v>
      </c>
      <c r="G12" s="283">
        <v>203.59713915831296</v>
      </c>
      <c r="H12" s="270">
        <v>203.79524479244554</v>
      </c>
      <c r="I12" s="270">
        <v>203.79524479244554</v>
      </c>
      <c r="J12" s="270">
        <v>204.6877187595577</v>
      </c>
      <c r="K12" s="270">
        <v>204.90118501747025</v>
      </c>
    </row>
    <row r="13" spans="1:11">
      <c r="A13" s="296"/>
      <c r="B13" s="280" t="s">
        <v>12</v>
      </c>
      <c r="C13" s="290" t="s">
        <v>24</v>
      </c>
      <c r="D13" s="301">
        <f>'USDA Comp'!H29</f>
        <v>2.4780000000000015</v>
      </c>
      <c r="E13" s="274"/>
      <c r="F13" s="275">
        <v>2.2239999999999966</v>
      </c>
      <c r="G13" s="283">
        <v>2.2239999999999966</v>
      </c>
      <c r="H13" s="270">
        <v>2.2239999999999966</v>
      </c>
      <c r="I13" s="270">
        <v>2.2239999999999966</v>
      </c>
      <c r="J13" s="270">
        <v>3.2239999999999966</v>
      </c>
      <c r="K13" s="270">
        <v>3.2239999999999966</v>
      </c>
    </row>
    <row r="14" spans="1:11">
      <c r="A14" s="291"/>
      <c r="B14" s="280" t="s">
        <v>12</v>
      </c>
      <c r="C14" s="292" t="s">
        <v>27</v>
      </c>
      <c r="D14" s="301">
        <f>'USDA Comp'!H59</f>
        <v>7.2176790177815212E-2</v>
      </c>
      <c r="E14" s="274"/>
      <c r="F14" s="274">
        <v>2.4437656652933012E-2</v>
      </c>
      <c r="G14" s="270">
        <v>2.2916352675207214E-2</v>
      </c>
      <c r="H14" s="270">
        <v>2.276197604790417E-2</v>
      </c>
      <c r="I14" s="270">
        <v>2.276197604790417E-2</v>
      </c>
      <c r="J14" s="270">
        <v>2.276197604790417E-2</v>
      </c>
      <c r="K14" s="270">
        <v>2.276197604790417E-2</v>
      </c>
    </row>
    <row r="15" spans="1:11">
      <c r="A15" s="291"/>
      <c r="B15" s="280" t="s">
        <v>12</v>
      </c>
      <c r="C15" s="292" t="s">
        <v>29</v>
      </c>
      <c r="D15" s="301">
        <f>'USDA Comp'!H69</f>
        <v>1.6757061305031797</v>
      </c>
      <c r="E15" s="274"/>
      <c r="F15" s="275">
        <v>0.28006450396331317</v>
      </c>
      <c r="G15" s="283">
        <v>0.28006450396331317</v>
      </c>
      <c r="H15" s="270">
        <v>1.1935675039633118</v>
      </c>
      <c r="I15" s="270">
        <v>1.1935675039633118</v>
      </c>
      <c r="J15" s="270">
        <v>1.8408949999999962</v>
      </c>
      <c r="K15" s="270">
        <v>1.8408949999999962</v>
      </c>
    </row>
    <row r="16" spans="1:11">
      <c r="A16" s="291"/>
      <c r="B16" s="280" t="s">
        <v>12</v>
      </c>
      <c r="C16" s="292" t="s">
        <v>32</v>
      </c>
      <c r="D16" s="301">
        <f>'USDA Comp'!H89</f>
        <v>209.28600000000006</v>
      </c>
      <c r="E16" s="274"/>
      <c r="F16" s="275">
        <v>212</v>
      </c>
      <c r="G16" s="283">
        <v>212</v>
      </c>
      <c r="H16" s="270">
        <v>212</v>
      </c>
      <c r="I16" s="270">
        <v>212</v>
      </c>
      <c r="J16" s="270">
        <v>212</v>
      </c>
      <c r="K16" s="270">
        <v>212</v>
      </c>
    </row>
    <row r="17" spans="1:11">
      <c r="A17" s="291"/>
      <c r="B17" s="280" t="s">
        <v>12</v>
      </c>
      <c r="C17" s="292" t="s">
        <v>34</v>
      </c>
      <c r="D17" s="301">
        <f>'USDA Comp'!H109</f>
        <v>10.804745204656854</v>
      </c>
      <c r="E17" s="274"/>
      <c r="F17" s="275">
        <v>8.3212023260566212</v>
      </c>
      <c r="G17" s="283">
        <v>8.3212023260566212</v>
      </c>
      <c r="H17" s="270">
        <v>8.3212023260566212</v>
      </c>
      <c r="I17" s="270">
        <v>8.3212023260566212</v>
      </c>
      <c r="J17" s="270">
        <v>8.3212023260566355</v>
      </c>
      <c r="K17" s="270">
        <v>8.3212023260566355</v>
      </c>
    </row>
    <row r="18" spans="1:11">
      <c r="A18" s="291"/>
      <c r="B18" s="280" t="s">
        <v>12</v>
      </c>
      <c r="C18" s="292" t="s">
        <v>36</v>
      </c>
      <c r="D18" s="301">
        <f>'USDA Comp'!H129</f>
        <v>0.4079999999999977</v>
      </c>
      <c r="E18" s="274"/>
      <c r="F18" s="275">
        <v>-3.8919999999999995</v>
      </c>
      <c r="G18" s="283">
        <v>-3.8919999999999995</v>
      </c>
      <c r="H18" s="270">
        <v>0.85800000000000054</v>
      </c>
      <c r="I18" s="270">
        <v>0.85800000000000054</v>
      </c>
      <c r="J18" s="270">
        <v>0.1580000000000048</v>
      </c>
      <c r="K18" s="270">
        <v>0.1580000000000048</v>
      </c>
    </row>
    <row r="19" spans="1:11">
      <c r="A19" s="291"/>
      <c r="B19" s="280" t="s">
        <v>12</v>
      </c>
      <c r="C19" s="292" t="s">
        <v>38</v>
      </c>
      <c r="D19" s="301">
        <f>'USDA Comp'!H149</f>
        <v>1.6089999999999982</v>
      </c>
      <c r="E19" s="274"/>
      <c r="F19" s="275">
        <v>3.91</v>
      </c>
      <c r="G19" s="283">
        <v>3.91</v>
      </c>
      <c r="H19" s="270">
        <v>3.91</v>
      </c>
      <c r="I19" s="270">
        <v>3.91</v>
      </c>
      <c r="J19" s="270">
        <v>0.70000000000000284</v>
      </c>
      <c r="K19" s="270">
        <v>0.70000000000000284</v>
      </c>
    </row>
    <row r="20" spans="1:11">
      <c r="A20" s="291"/>
      <c r="B20" s="280" t="s">
        <v>12</v>
      </c>
      <c r="C20" s="292" t="s">
        <v>40</v>
      </c>
      <c r="D20" s="301">
        <f>'USDA Comp'!H169</f>
        <v>38.907709000000011</v>
      </c>
      <c r="E20" s="274"/>
      <c r="F20" s="275">
        <v>50.911012999999969</v>
      </c>
      <c r="G20" s="283">
        <v>44.871654999999976</v>
      </c>
      <c r="H20" s="270">
        <v>44.871654999999976</v>
      </c>
      <c r="I20" s="270">
        <v>44.871654999999976</v>
      </c>
      <c r="J20" s="270">
        <v>44.871654999999976</v>
      </c>
      <c r="K20" s="270">
        <v>44.792254599999922</v>
      </c>
    </row>
    <row r="21" spans="1:11" ht="15.75" thickBot="1">
      <c r="A21" s="293"/>
      <c r="B21" s="294" t="s">
        <v>12</v>
      </c>
      <c r="C21" s="295" t="s">
        <v>1</v>
      </c>
      <c r="D21" s="301">
        <f>'USDA Comp'!H9</f>
        <v>318.24877134516964</v>
      </c>
      <c r="E21" s="274"/>
      <c r="F21" s="275">
        <v>608.36146097828009</v>
      </c>
      <c r="G21" s="283">
        <v>603.89010297828008</v>
      </c>
      <c r="H21" s="270">
        <v>607.62139847431649</v>
      </c>
      <c r="I21" s="270">
        <v>608.86539847431663</v>
      </c>
      <c r="J21" s="270">
        <v>325.73539847431675</v>
      </c>
      <c r="K21" s="270">
        <v>325.68299807431686</v>
      </c>
    </row>
    <row r="22" spans="1:11">
      <c r="A22" s="296"/>
      <c r="B22" s="280" t="s">
        <v>13</v>
      </c>
      <c r="C22" s="290" t="s">
        <v>24</v>
      </c>
      <c r="D22" s="301">
        <f>'USDA Comp'!H30</f>
        <v>50.127094073438265</v>
      </c>
      <c r="E22" s="274"/>
      <c r="F22" s="275">
        <v>51.071778197578752</v>
      </c>
      <c r="G22" s="283">
        <v>53.518366970574071</v>
      </c>
      <c r="H22" s="270">
        <v>53.251847006201615</v>
      </c>
      <c r="I22" s="270">
        <v>51.254902743469053</v>
      </c>
      <c r="J22" s="270">
        <v>46.48339556633276</v>
      </c>
      <c r="K22" s="270">
        <v>46.48339556633276</v>
      </c>
    </row>
    <row r="23" spans="1:11">
      <c r="A23" s="291"/>
      <c r="B23" s="280" t="s">
        <v>13</v>
      </c>
      <c r="C23" s="292" t="s">
        <v>27</v>
      </c>
      <c r="D23" s="301">
        <f>'USDA Comp'!H50</f>
        <v>138.6037</v>
      </c>
      <c r="E23" s="274"/>
      <c r="F23" s="275">
        <v>119.73910000000001</v>
      </c>
      <c r="G23" s="283">
        <v>128</v>
      </c>
      <c r="H23" s="270">
        <v>128.9</v>
      </c>
      <c r="I23" s="270">
        <v>128.9</v>
      </c>
      <c r="J23" s="270">
        <v>128.9</v>
      </c>
      <c r="K23" s="270">
        <v>128.9</v>
      </c>
    </row>
    <row r="24" spans="1:11">
      <c r="A24" s="291"/>
      <c r="B24" s="280" t="s">
        <v>13</v>
      </c>
      <c r="C24" s="292" t="s">
        <v>29</v>
      </c>
      <c r="D24" s="301">
        <f>'USDA Comp'!H70</f>
        <v>15.532954750117703</v>
      </c>
      <c r="E24" s="274"/>
      <c r="F24" s="275">
        <v>14.453196931091101</v>
      </c>
      <c r="G24" s="283">
        <v>14.453196931091101</v>
      </c>
      <c r="H24" s="270">
        <v>15.345000000000001</v>
      </c>
      <c r="I24" s="270">
        <v>15.345000000000001</v>
      </c>
      <c r="J24" s="270">
        <v>15.345000000000001</v>
      </c>
      <c r="K24" s="270">
        <v>15.345000000000001</v>
      </c>
    </row>
    <row r="25" spans="1:11">
      <c r="A25" s="291"/>
      <c r="B25" s="280" t="s">
        <v>13</v>
      </c>
      <c r="C25" s="292" t="s">
        <v>32</v>
      </c>
      <c r="D25" s="301">
        <f>'USDA Comp'!H90</f>
        <v>301.02652240690958</v>
      </c>
      <c r="E25" s="274"/>
      <c r="F25" s="274">
        <v>294.90814199139896</v>
      </c>
      <c r="G25" s="270">
        <v>294.90814199139896</v>
      </c>
      <c r="H25" s="270">
        <v>294.90814199139896</v>
      </c>
      <c r="I25" s="270">
        <v>295</v>
      </c>
      <c r="J25" s="270">
        <v>295</v>
      </c>
      <c r="K25" s="270">
        <v>295</v>
      </c>
    </row>
    <row r="26" spans="1:11">
      <c r="A26" s="291"/>
      <c r="B26" s="280" t="s">
        <v>13</v>
      </c>
      <c r="C26" s="292" t="s">
        <v>34</v>
      </c>
      <c r="D26" s="301">
        <f>'USDA Comp'!H110</f>
        <v>61.76109215040794</v>
      </c>
      <c r="E26" s="274"/>
      <c r="F26" s="285">
        <v>56.7</v>
      </c>
      <c r="G26" s="270">
        <v>56.7</v>
      </c>
      <c r="H26" s="270">
        <v>56.7</v>
      </c>
      <c r="I26" s="270">
        <v>56.7</v>
      </c>
      <c r="J26" s="270">
        <v>56.7</v>
      </c>
      <c r="K26" s="270">
        <v>56.7</v>
      </c>
    </row>
    <row r="27" spans="1:11">
      <c r="A27" s="291"/>
      <c r="B27" s="280" t="s">
        <v>13</v>
      </c>
      <c r="C27" s="292" t="s">
        <v>36</v>
      </c>
      <c r="D27" s="301">
        <f>'USDA Comp'!H130</f>
        <v>16.720469852008765</v>
      </c>
      <c r="E27" s="274"/>
      <c r="F27" s="275">
        <v>13.5</v>
      </c>
      <c r="G27" s="283">
        <v>13.5</v>
      </c>
      <c r="H27" s="270">
        <v>13.5</v>
      </c>
      <c r="I27" s="270">
        <v>13.5</v>
      </c>
      <c r="J27" s="270">
        <v>13.5</v>
      </c>
      <c r="K27" s="270">
        <v>13.5</v>
      </c>
    </row>
    <row r="28" spans="1:11">
      <c r="A28" s="291"/>
      <c r="B28" s="280" t="s">
        <v>13</v>
      </c>
      <c r="C28" s="292" t="s">
        <v>38</v>
      </c>
      <c r="D28" s="301">
        <f>'USDA Comp'!H150</f>
        <v>28.967899925119617</v>
      </c>
      <c r="E28" s="274"/>
      <c r="F28" s="274">
        <v>24.692053845617313</v>
      </c>
      <c r="G28" s="270">
        <v>24.692053845617313</v>
      </c>
      <c r="H28" s="270">
        <v>24.692053845617313</v>
      </c>
      <c r="I28" s="270">
        <v>24.692053845617313</v>
      </c>
      <c r="J28" s="270">
        <v>24.692053845617313</v>
      </c>
      <c r="K28" s="270">
        <v>24.692053845617313</v>
      </c>
    </row>
    <row r="29" spans="1:11">
      <c r="A29" s="291"/>
      <c r="B29" s="280" t="s">
        <v>13</v>
      </c>
      <c r="C29" s="292" t="s">
        <v>40</v>
      </c>
      <c r="D29" s="301">
        <f>'USDA Comp'!H170</f>
        <v>424.3998764923428</v>
      </c>
      <c r="E29" s="274"/>
      <c r="F29" s="274">
        <v>386.85225158916546</v>
      </c>
      <c r="G29" s="270">
        <v>384.76115833733212</v>
      </c>
      <c r="H29" s="270">
        <v>384.76115833733212</v>
      </c>
      <c r="I29" s="270">
        <v>378.48787858183215</v>
      </c>
      <c r="J29" s="270">
        <v>378.48787858183215</v>
      </c>
      <c r="K29" s="270">
        <v>377.61529760000002</v>
      </c>
    </row>
    <row r="30" spans="1:11" ht="15.75" thickBot="1">
      <c r="A30" s="293"/>
      <c r="B30" s="294" t="s">
        <v>13</v>
      </c>
      <c r="C30" s="295" t="s">
        <v>1</v>
      </c>
      <c r="D30" s="301">
        <f>'USDA Comp'!H10</f>
        <v>926.4452026564943</v>
      </c>
      <c r="E30" s="274"/>
      <c r="F30" s="274">
        <v>1209.7534783087704</v>
      </c>
      <c r="G30" s="270">
        <v>1210.8573850569371</v>
      </c>
      <c r="H30" s="270">
        <v>1211.2546583373321</v>
      </c>
      <c r="I30" s="270">
        <v>1205.3623785818322</v>
      </c>
      <c r="J30" s="270">
        <v>1213.2583615771214</v>
      </c>
      <c r="K30" s="270">
        <v>1213.2397452768216</v>
      </c>
    </row>
    <row r="31" spans="1:11">
      <c r="A31" s="296"/>
      <c r="B31" s="280" t="s">
        <v>14</v>
      </c>
      <c r="C31" s="290" t="s">
        <v>24</v>
      </c>
      <c r="D31" s="301">
        <f>'USDA Comp'!H31</f>
        <v>1.0149999999999999</v>
      </c>
      <c r="E31" s="274"/>
      <c r="F31" s="275">
        <v>1.4999999999999999E-2</v>
      </c>
      <c r="G31" s="283">
        <v>1.4999999999999999E-2</v>
      </c>
      <c r="H31" s="270">
        <v>1.4999999999999999E-2</v>
      </c>
      <c r="I31" s="270">
        <v>1.4999999999999999E-2</v>
      </c>
      <c r="J31" s="270">
        <v>1.4999999999999999E-2</v>
      </c>
      <c r="K31" s="270">
        <v>1.4999999999999999E-2</v>
      </c>
    </row>
    <row r="32" spans="1:11">
      <c r="A32" s="291"/>
      <c r="B32" s="280" t="s">
        <v>14</v>
      </c>
      <c r="C32" s="292" t="s">
        <v>27</v>
      </c>
      <c r="D32" s="301">
        <f>'USDA Comp'!H51</f>
        <v>1.8</v>
      </c>
      <c r="E32" s="274"/>
      <c r="F32" s="275">
        <v>1.7</v>
      </c>
      <c r="G32" s="283">
        <v>1.7</v>
      </c>
      <c r="H32" s="270">
        <v>1.7</v>
      </c>
      <c r="I32" s="270">
        <v>1.7</v>
      </c>
      <c r="J32" s="270">
        <v>1.7</v>
      </c>
      <c r="K32" s="270">
        <v>1.7</v>
      </c>
    </row>
    <row r="33" spans="1:11">
      <c r="A33" s="291"/>
      <c r="B33" s="280" t="s">
        <v>14</v>
      </c>
      <c r="C33" s="292" t="s">
        <v>29</v>
      </c>
      <c r="D33" s="301">
        <f>'USDA Comp'!H71</f>
        <v>2.3321847351545166</v>
      </c>
      <c r="E33" s="274"/>
      <c r="F33" s="275">
        <v>0</v>
      </c>
      <c r="G33" s="283">
        <v>0</v>
      </c>
      <c r="H33" s="270">
        <v>0</v>
      </c>
      <c r="I33" s="270">
        <v>0</v>
      </c>
      <c r="J33" s="270">
        <v>2.1886703327965042</v>
      </c>
      <c r="K33" s="270">
        <v>2.1886703327965042</v>
      </c>
    </row>
    <row r="34" spans="1:11">
      <c r="A34" s="291"/>
      <c r="B34" s="280" t="s">
        <v>14</v>
      </c>
      <c r="C34" s="292" t="s">
        <v>32</v>
      </c>
      <c r="D34" s="301">
        <f>'USDA Comp'!H91</f>
        <v>10</v>
      </c>
      <c r="E34" s="274"/>
      <c r="F34" s="275">
        <v>20</v>
      </c>
      <c r="G34" s="283">
        <v>20</v>
      </c>
      <c r="H34" s="270">
        <v>20</v>
      </c>
      <c r="I34" s="270">
        <v>10</v>
      </c>
      <c r="J34" s="270">
        <v>10</v>
      </c>
      <c r="K34" s="270">
        <v>7.5</v>
      </c>
    </row>
    <row r="35" spans="1:11">
      <c r="A35" s="291"/>
      <c r="B35" s="280" t="s">
        <v>14</v>
      </c>
      <c r="C35" s="292" t="s">
        <v>34</v>
      </c>
      <c r="D35" s="301">
        <f>'USDA Comp'!H111</f>
        <v>19</v>
      </c>
      <c r="E35" s="274"/>
      <c r="F35" s="275">
        <v>21</v>
      </c>
      <c r="G35" s="283">
        <v>21</v>
      </c>
      <c r="H35" s="270">
        <v>21</v>
      </c>
      <c r="I35" s="270">
        <v>21</v>
      </c>
      <c r="J35" s="270">
        <v>21</v>
      </c>
      <c r="K35" s="270">
        <v>21</v>
      </c>
    </row>
    <row r="36" spans="1:11">
      <c r="A36" s="291"/>
      <c r="B36" s="280" t="s">
        <v>14</v>
      </c>
      <c r="C36" s="292" t="s">
        <v>36</v>
      </c>
      <c r="D36" s="301">
        <f>'USDA Comp'!H131</f>
        <v>0.05</v>
      </c>
      <c r="E36" s="274"/>
      <c r="F36" s="275">
        <v>0.05</v>
      </c>
      <c r="G36" s="283">
        <v>0.05</v>
      </c>
      <c r="H36" s="270">
        <v>0.05</v>
      </c>
      <c r="I36" s="270">
        <v>0.05</v>
      </c>
      <c r="J36" s="270">
        <v>0.05</v>
      </c>
      <c r="K36" s="270">
        <v>0.05</v>
      </c>
    </row>
    <row r="37" spans="1:11">
      <c r="A37" s="291"/>
      <c r="B37" s="280" t="s">
        <v>14</v>
      </c>
      <c r="C37" s="292" t="s">
        <v>38</v>
      </c>
      <c r="D37" s="301">
        <f>'USDA Comp'!H151</f>
        <v>1.4999999999999999E-2</v>
      </c>
      <c r="E37" s="274"/>
      <c r="F37" s="275">
        <v>0</v>
      </c>
      <c r="G37" s="283">
        <v>0</v>
      </c>
      <c r="H37" s="270">
        <v>0</v>
      </c>
      <c r="I37" s="270">
        <v>0</v>
      </c>
      <c r="J37" s="270">
        <v>0</v>
      </c>
      <c r="K37" s="270">
        <v>0</v>
      </c>
    </row>
    <row r="38" spans="1:11">
      <c r="A38" s="291"/>
      <c r="B38" s="280" t="s">
        <v>14</v>
      </c>
      <c r="C38" s="292" t="s">
        <v>40</v>
      </c>
      <c r="D38" s="301">
        <f>'USDA Comp'!H171</f>
        <v>0.76200000000000001</v>
      </c>
      <c r="E38" s="274"/>
      <c r="F38" s="275">
        <v>0.76200000000000001</v>
      </c>
      <c r="G38" s="283">
        <v>0.76200000000000001</v>
      </c>
      <c r="H38" s="270">
        <v>0.76200000000000001</v>
      </c>
      <c r="I38" s="270">
        <v>0.76200000000000001</v>
      </c>
      <c r="J38" s="270">
        <v>0.76200000000000001</v>
      </c>
      <c r="K38" s="270">
        <v>0.76200000000000001</v>
      </c>
    </row>
    <row r="39" spans="1:11" ht="15.75" thickBot="1">
      <c r="A39" s="293"/>
      <c r="B39" s="294" t="s">
        <v>14</v>
      </c>
      <c r="C39" s="295" t="s">
        <v>1</v>
      </c>
      <c r="D39" s="301">
        <f>'USDA Comp'!H11</f>
        <v>30.316678344823021</v>
      </c>
      <c r="E39" s="274"/>
      <c r="F39" s="275">
        <v>183.85897847578852</v>
      </c>
      <c r="G39" s="283">
        <v>187.42597847578853</v>
      </c>
      <c r="H39" s="270">
        <v>188.06797847578852</v>
      </c>
      <c r="I39" s="270">
        <v>188.03497847578853</v>
      </c>
      <c r="J39" s="270">
        <v>193.32577402041059</v>
      </c>
      <c r="K39" s="270">
        <v>194.46677402041061</v>
      </c>
    </row>
    <row r="40" spans="1:11">
      <c r="A40" s="296"/>
      <c r="B40" s="280" t="s">
        <v>301</v>
      </c>
      <c r="C40" s="290" t="s">
        <v>24</v>
      </c>
      <c r="D40" s="301">
        <f>'USDA Comp'!H32</f>
        <v>53.620094073438267</v>
      </c>
      <c r="E40" s="274"/>
      <c r="F40" s="275">
        <v>53.310778197578749</v>
      </c>
      <c r="G40" s="283">
        <v>55.757366970574068</v>
      </c>
      <c r="H40" s="270">
        <v>55.490847006201612</v>
      </c>
      <c r="I40" s="270">
        <v>53.49390274346905</v>
      </c>
      <c r="J40" s="270">
        <v>49.722395566332757</v>
      </c>
      <c r="K40" s="270">
        <v>49.722395566332757</v>
      </c>
    </row>
    <row r="41" spans="1:11">
      <c r="A41" s="291"/>
      <c r="B41" s="280" t="s">
        <v>301</v>
      </c>
      <c r="C41" s="292" t="s">
        <v>27</v>
      </c>
      <c r="D41" s="301">
        <f>'USDA Comp'!H52</f>
        <v>150.00150000000002</v>
      </c>
      <c r="E41" s="274"/>
      <c r="F41" s="275">
        <v>127.48010000000001</v>
      </c>
      <c r="G41" s="283">
        <v>135.74099999999999</v>
      </c>
      <c r="H41" s="270">
        <v>136.64099999999999</v>
      </c>
      <c r="I41" s="270">
        <v>136.64099999999999</v>
      </c>
      <c r="J41" s="270">
        <v>136.64099999999999</v>
      </c>
      <c r="K41" s="270">
        <v>136.64099999999999</v>
      </c>
    </row>
    <row r="42" spans="1:11">
      <c r="A42" s="291"/>
      <c r="B42" s="280" t="s">
        <v>301</v>
      </c>
      <c r="C42" s="292" t="s">
        <v>29</v>
      </c>
      <c r="D42" s="301">
        <f>'USDA Comp'!H72</f>
        <v>19.5408456157754</v>
      </c>
      <c r="E42" s="274"/>
      <c r="F42" s="275">
        <v>14.733261435054414</v>
      </c>
      <c r="G42" s="283">
        <v>14.733261435054414</v>
      </c>
      <c r="H42" s="270">
        <v>16.538567503963314</v>
      </c>
      <c r="I42" s="270">
        <v>16.538567503963314</v>
      </c>
      <c r="J42" s="270">
        <v>19.3745653327965</v>
      </c>
      <c r="K42" s="270">
        <v>19.3745653327965</v>
      </c>
    </row>
    <row r="43" spans="1:11">
      <c r="A43" s="291"/>
      <c r="B43" s="280" t="s">
        <v>301</v>
      </c>
      <c r="C43" s="292" t="s">
        <v>32</v>
      </c>
      <c r="D43" s="301">
        <f>'USDA Comp'!H92</f>
        <v>520.31252240690969</v>
      </c>
      <c r="E43" s="274"/>
      <c r="F43" s="274">
        <v>526.90814199139891</v>
      </c>
      <c r="G43" s="270">
        <v>526.90814199139891</v>
      </c>
      <c r="H43" s="270">
        <v>526.90814199139891</v>
      </c>
      <c r="I43" s="270">
        <v>517</v>
      </c>
      <c r="J43" s="270">
        <v>517</v>
      </c>
      <c r="K43" s="270">
        <v>514.5</v>
      </c>
    </row>
    <row r="44" spans="1:11">
      <c r="A44" s="291"/>
      <c r="B44" s="280" t="s">
        <v>301</v>
      </c>
      <c r="C44" s="292" t="s">
        <v>34</v>
      </c>
      <c r="D44" s="301">
        <f>'USDA Comp'!H112</f>
        <v>91.565837355064787</v>
      </c>
      <c r="E44" s="274"/>
      <c r="F44" s="275">
        <v>86.021202326056624</v>
      </c>
      <c r="G44" s="283">
        <v>86.021202326056624</v>
      </c>
      <c r="H44" s="270">
        <v>86.021202326056624</v>
      </c>
      <c r="I44" s="270">
        <v>86.021202326056624</v>
      </c>
      <c r="J44" s="270">
        <v>86.021202326056638</v>
      </c>
      <c r="K44" s="270">
        <v>86.021202326056638</v>
      </c>
    </row>
    <row r="45" spans="1:11">
      <c r="A45" s="291"/>
      <c r="B45" s="280" t="s">
        <v>301</v>
      </c>
      <c r="C45" s="292" t="s">
        <v>36</v>
      </c>
      <c r="D45" s="301">
        <f>'USDA Comp'!H132</f>
        <v>17.178469852008764</v>
      </c>
      <c r="E45" s="274"/>
      <c r="F45" s="275">
        <v>9.6580000000000013</v>
      </c>
      <c r="G45" s="283">
        <v>9.6580000000000013</v>
      </c>
      <c r="H45" s="270">
        <v>14.408000000000001</v>
      </c>
      <c r="I45" s="270">
        <v>14.408000000000001</v>
      </c>
      <c r="J45" s="270">
        <v>13.708000000000006</v>
      </c>
      <c r="K45" s="270">
        <v>13.708000000000006</v>
      </c>
    </row>
    <row r="46" spans="1:11">
      <c r="A46" s="291"/>
      <c r="B46" s="280" t="s">
        <v>301</v>
      </c>
      <c r="C46" s="292" t="s">
        <v>38</v>
      </c>
      <c r="D46" s="301">
        <f>'USDA Comp'!H152</f>
        <v>30.591899925119616</v>
      </c>
      <c r="E46" s="274"/>
      <c r="F46" s="275">
        <v>28.602053845617313</v>
      </c>
      <c r="G46" s="283">
        <v>28.602053845617313</v>
      </c>
      <c r="H46" s="270">
        <v>28.602053845617313</v>
      </c>
      <c r="I46" s="270">
        <v>28.602053845617313</v>
      </c>
      <c r="J46" s="270">
        <v>25.392053845617315</v>
      </c>
      <c r="K46" s="270">
        <v>25.392053845617315</v>
      </c>
    </row>
    <row r="47" spans="1:11">
      <c r="A47" s="291"/>
      <c r="B47" s="280" t="s">
        <v>301</v>
      </c>
      <c r="C47" s="292" t="s">
        <v>40</v>
      </c>
      <c r="D47" s="301">
        <f>'USDA Comp'!H172</f>
        <v>464.06958549234281</v>
      </c>
      <c r="E47" s="274"/>
      <c r="F47" s="275">
        <v>438.52526458916543</v>
      </c>
      <c r="G47" s="283">
        <v>430.3948133373321</v>
      </c>
      <c r="H47" s="270">
        <v>430.3948133373321</v>
      </c>
      <c r="I47" s="270">
        <v>424.12153358183213</v>
      </c>
      <c r="J47" s="270">
        <v>424.12153358183213</v>
      </c>
      <c r="K47" s="270">
        <v>423.16955219999994</v>
      </c>
    </row>
    <row r="48" spans="1:11" ht="15.75" thickBot="1">
      <c r="A48" s="293"/>
      <c r="B48" s="294" t="s">
        <v>301</v>
      </c>
      <c r="C48" s="295" t="s">
        <v>1</v>
      </c>
      <c r="D48" s="301">
        <f>'USDA Comp'!H12</f>
        <v>1275.0106523464869</v>
      </c>
      <c r="E48" s="274"/>
      <c r="F48" s="275">
        <v>2001.9739177628389</v>
      </c>
      <c r="G48" s="283">
        <v>2002.1734665110057</v>
      </c>
      <c r="H48" s="270">
        <v>2006.9440352874371</v>
      </c>
      <c r="I48" s="270">
        <v>2002.2627555319373</v>
      </c>
      <c r="J48" s="270">
        <v>1732.3195340718487</v>
      </c>
      <c r="K48" s="270">
        <v>1733.3895173715491</v>
      </c>
    </row>
    <row r="49" spans="1:11">
      <c r="A49" s="296"/>
      <c r="B49" s="280" t="s">
        <v>19</v>
      </c>
      <c r="C49" s="290" t="s">
        <v>24</v>
      </c>
      <c r="D49" s="301">
        <f>'USDA Comp'!H36</f>
        <v>34.299999999999997</v>
      </c>
      <c r="E49" s="274"/>
      <c r="F49" s="275">
        <v>34</v>
      </c>
      <c r="G49" s="283">
        <v>34</v>
      </c>
      <c r="H49" s="270">
        <v>34</v>
      </c>
      <c r="I49" s="270">
        <v>34</v>
      </c>
      <c r="J49" s="270">
        <v>34</v>
      </c>
      <c r="K49" s="270">
        <v>34</v>
      </c>
    </row>
    <row r="50" spans="1:11">
      <c r="A50" s="291"/>
      <c r="B50" s="280" t="s">
        <v>19</v>
      </c>
      <c r="C50" s="292" t="s">
        <v>27</v>
      </c>
      <c r="D50" s="301">
        <f>'USDA Comp'!H56</f>
        <v>48</v>
      </c>
      <c r="E50" s="274"/>
      <c r="F50" s="275">
        <v>50</v>
      </c>
      <c r="G50" s="283">
        <v>52</v>
      </c>
      <c r="H50" s="270">
        <v>52</v>
      </c>
      <c r="I50" s="270">
        <v>52</v>
      </c>
      <c r="J50" s="270">
        <v>52</v>
      </c>
      <c r="K50" s="270">
        <v>52</v>
      </c>
    </row>
    <row r="51" spans="1:11">
      <c r="A51" s="291"/>
      <c r="B51" s="280" t="s">
        <v>19</v>
      </c>
      <c r="C51" s="292" t="s">
        <v>29</v>
      </c>
      <c r="D51" s="301">
        <f>'USDA Comp'!H76</f>
        <v>2.1549592916294951</v>
      </c>
      <c r="E51" s="274"/>
      <c r="F51" s="275">
        <v>0</v>
      </c>
      <c r="G51" s="283">
        <v>0</v>
      </c>
      <c r="H51" s="270">
        <v>0</v>
      </c>
      <c r="I51" s="270">
        <v>0</v>
      </c>
      <c r="J51" s="270">
        <v>2.1067642022934066</v>
      </c>
      <c r="K51" s="270">
        <v>2.1067642022934066</v>
      </c>
    </row>
    <row r="52" spans="1:11">
      <c r="A52" s="291"/>
      <c r="B52" s="280" t="s">
        <v>19</v>
      </c>
      <c r="C52" s="292" t="s">
        <v>32</v>
      </c>
      <c r="D52" s="301">
        <f>'USDA Comp'!H96</f>
        <v>0</v>
      </c>
      <c r="E52" s="274"/>
      <c r="F52" s="275">
        <v>5</v>
      </c>
      <c r="G52" s="283">
        <v>5</v>
      </c>
      <c r="H52" s="270">
        <v>5</v>
      </c>
      <c r="I52" s="270">
        <v>0</v>
      </c>
      <c r="J52" s="270">
        <v>0</v>
      </c>
      <c r="K52" s="270">
        <v>0</v>
      </c>
    </row>
    <row r="53" spans="1:11">
      <c r="A53" s="291"/>
      <c r="B53" s="280" t="s">
        <v>19</v>
      </c>
      <c r="C53" s="292" t="s">
        <v>34</v>
      </c>
      <c r="D53" s="301">
        <f>'USDA Comp'!H116</f>
        <v>3</v>
      </c>
      <c r="E53" s="274"/>
      <c r="F53" s="275">
        <v>3</v>
      </c>
      <c r="G53" s="283">
        <v>3</v>
      </c>
      <c r="H53" s="270">
        <v>3</v>
      </c>
      <c r="I53" s="270">
        <v>3</v>
      </c>
      <c r="J53" s="270">
        <v>3</v>
      </c>
      <c r="K53" s="270">
        <v>3</v>
      </c>
    </row>
    <row r="54" spans="1:11">
      <c r="A54" s="291"/>
      <c r="B54" s="280" t="s">
        <v>19</v>
      </c>
      <c r="C54" s="292" t="s">
        <v>36</v>
      </c>
      <c r="D54" s="301">
        <f>'USDA Comp'!H136</f>
        <v>4.5</v>
      </c>
      <c r="E54" s="274"/>
      <c r="F54" s="275">
        <v>6.2</v>
      </c>
      <c r="G54" s="283">
        <v>6.2</v>
      </c>
      <c r="H54" s="270">
        <v>3.3</v>
      </c>
      <c r="I54" s="270">
        <v>3.3</v>
      </c>
      <c r="J54" s="270">
        <v>3.3</v>
      </c>
      <c r="K54" s="270">
        <v>3.3</v>
      </c>
    </row>
    <row r="55" spans="1:11" ht="13.5" customHeight="1">
      <c r="A55" s="291"/>
      <c r="B55" s="280" t="s">
        <v>19</v>
      </c>
      <c r="C55" s="292" t="s">
        <v>38</v>
      </c>
      <c r="D55" s="301">
        <f>'USDA Comp'!H156</f>
        <v>23</v>
      </c>
      <c r="E55" s="274"/>
      <c r="F55" s="275">
        <v>23.034764159979638</v>
      </c>
      <c r="G55" s="283">
        <v>23.034764159979638</v>
      </c>
      <c r="H55" s="270">
        <v>23.034764159979638</v>
      </c>
      <c r="I55" s="270">
        <v>23.034764159979638</v>
      </c>
      <c r="J55" s="270">
        <v>20</v>
      </c>
      <c r="K55" s="270">
        <v>20</v>
      </c>
    </row>
    <row r="56" spans="1:11">
      <c r="A56" s="291"/>
      <c r="B56" s="280" t="s">
        <v>19</v>
      </c>
      <c r="C56" s="292" t="s">
        <v>40</v>
      </c>
      <c r="D56" s="301">
        <f>'USDA Comp'!H176</f>
        <v>74.929999999999993</v>
      </c>
      <c r="E56" s="274"/>
      <c r="F56" s="275">
        <v>60.96</v>
      </c>
      <c r="G56" s="283">
        <v>60.96</v>
      </c>
      <c r="H56" s="270">
        <v>60.96</v>
      </c>
      <c r="I56" s="270">
        <v>60.96</v>
      </c>
      <c r="J56" s="270">
        <v>60.96</v>
      </c>
      <c r="K56" s="270">
        <v>62.23</v>
      </c>
    </row>
    <row r="57" spans="1:11" ht="15.75" thickBot="1">
      <c r="A57" s="293"/>
      <c r="B57" s="294" t="s">
        <v>19</v>
      </c>
      <c r="C57" s="295" t="s">
        <v>1</v>
      </c>
      <c r="D57" s="301" t="e">
        <f>'USDA Comp'!H16</f>
        <v>#REF!</v>
      </c>
      <c r="E57" s="274"/>
      <c r="F57" s="274">
        <v>97.131105884826979</v>
      </c>
      <c r="G57" s="270">
        <v>97.540105884826957</v>
      </c>
      <c r="H57" s="270">
        <v>97.537105884826957</v>
      </c>
      <c r="I57" s="270">
        <v>97.551105884826981</v>
      </c>
      <c r="J57" s="270">
        <v>184.04608420735897</v>
      </c>
      <c r="K57" s="270">
        <v>184.44108420735893</v>
      </c>
    </row>
    <row r="58" spans="1:11">
      <c r="A58" s="296"/>
      <c r="B58" s="274" t="s">
        <v>17</v>
      </c>
      <c r="C58" s="290" t="s">
        <v>24</v>
      </c>
      <c r="D58" s="301">
        <f>'USDA Comp'!H34</f>
        <v>9.1250410020097164</v>
      </c>
      <c r="E58" s="274"/>
      <c r="F58" s="275">
        <v>10.568307637765795</v>
      </c>
      <c r="G58" s="283">
        <v>13.011629062431021</v>
      </c>
      <c r="H58" s="270">
        <v>12.745565509333211</v>
      </c>
      <c r="I58" s="270">
        <v>10.751349499857835</v>
      </c>
      <c r="J58" s="270">
        <v>7.6444671472279691</v>
      </c>
      <c r="K58" s="270">
        <v>7.6444671472279691</v>
      </c>
    </row>
    <row r="59" spans="1:11">
      <c r="A59" s="291"/>
      <c r="B59" s="274" t="s">
        <v>17</v>
      </c>
      <c r="C59" s="292" t="s">
        <v>27</v>
      </c>
      <c r="D59" s="301">
        <f>'USDA Comp'!H54</f>
        <v>68.903700000000015</v>
      </c>
      <c r="E59" s="274"/>
      <c r="F59" s="275">
        <v>54.43910000000001</v>
      </c>
      <c r="G59" s="283">
        <v>57.699999999999989</v>
      </c>
      <c r="H59" s="270">
        <v>58.599999999999994</v>
      </c>
      <c r="I59" s="270">
        <v>58.599999999999994</v>
      </c>
      <c r="J59" s="270">
        <v>58.599999999999994</v>
      </c>
      <c r="K59" s="270">
        <v>58.599999999999994</v>
      </c>
    </row>
    <row r="60" spans="1:11">
      <c r="A60" s="291"/>
      <c r="B60" s="274" t="s">
        <v>17</v>
      </c>
      <c r="C60" s="292" t="s">
        <v>29</v>
      </c>
      <c r="D60" s="301">
        <f>'USDA Comp'!H74</f>
        <v>9.4900559999999814</v>
      </c>
      <c r="E60" s="274"/>
      <c r="F60" s="275">
        <v>0</v>
      </c>
      <c r="G60" s="283">
        <v>0</v>
      </c>
      <c r="H60" s="270">
        <v>10.97887333333324</v>
      </c>
      <c r="I60" s="270">
        <v>10.97887333333324</v>
      </c>
      <c r="J60" s="270">
        <v>10.97887333333324</v>
      </c>
      <c r="K60" s="270">
        <v>10.97887333333324</v>
      </c>
    </row>
    <row r="61" spans="1:11">
      <c r="A61" s="291"/>
      <c r="B61" s="274" t="s">
        <v>17</v>
      </c>
      <c r="C61" s="292" t="s">
        <v>32</v>
      </c>
      <c r="D61" s="301">
        <f>'USDA Comp'!H94</f>
        <v>225.02652240690963</v>
      </c>
      <c r="E61" s="274"/>
      <c r="F61" s="275">
        <v>225.90814199139891</v>
      </c>
      <c r="G61" s="283">
        <v>225.90814199139891</v>
      </c>
      <c r="H61" s="270">
        <v>225.90814199139891</v>
      </c>
      <c r="I61" s="270">
        <v>226</v>
      </c>
      <c r="J61" s="270">
        <v>226</v>
      </c>
      <c r="K61" s="270">
        <v>223.5</v>
      </c>
    </row>
    <row r="62" spans="1:11" ht="13.5" customHeight="1">
      <c r="A62" s="291"/>
      <c r="B62" s="274" t="s">
        <v>17</v>
      </c>
      <c r="C62" s="292" t="s">
        <v>34</v>
      </c>
      <c r="D62" s="301">
        <f>'USDA Comp'!H114</f>
        <v>59.644173893101765</v>
      </c>
      <c r="E62" s="274"/>
      <c r="F62" s="275">
        <v>54.069056226271783</v>
      </c>
      <c r="G62" s="283">
        <v>54.069056226271783</v>
      </c>
      <c r="H62" s="270">
        <v>54.069056226271783</v>
      </c>
      <c r="I62" s="270">
        <v>54.069056226271783</v>
      </c>
      <c r="J62" s="270">
        <v>54.069056226271783</v>
      </c>
      <c r="K62" s="270">
        <v>54.069056226271783</v>
      </c>
    </row>
    <row r="63" spans="1:11">
      <c r="A63" s="291"/>
      <c r="B63" s="274" t="s">
        <v>17</v>
      </c>
      <c r="C63" s="292" t="s">
        <v>36</v>
      </c>
      <c r="D63" s="301">
        <f>'USDA Comp'!H134</f>
        <v>10.928469852008766</v>
      </c>
      <c r="E63" s="274"/>
      <c r="F63" s="275">
        <v>12.450000000000001</v>
      </c>
      <c r="G63" s="283">
        <v>12.450000000000001</v>
      </c>
      <c r="H63" s="270">
        <v>9.7000000000000011</v>
      </c>
      <c r="I63" s="270">
        <v>9.7000000000000011</v>
      </c>
      <c r="J63" s="270">
        <v>9.7000000000000011</v>
      </c>
      <c r="K63" s="270">
        <v>9.7000000000000011</v>
      </c>
    </row>
    <row r="64" spans="1:11">
      <c r="A64" s="291"/>
      <c r="B64" s="274" t="s">
        <v>17</v>
      </c>
      <c r="C64" s="292" t="s">
        <v>38</v>
      </c>
      <c r="D64" s="301">
        <f>'USDA Comp'!H154</f>
        <v>3.4295665917862834</v>
      </c>
      <c r="E64" s="274"/>
      <c r="F64" s="275">
        <v>2.8172896856376743</v>
      </c>
      <c r="G64" s="283">
        <v>2.8172896856376743</v>
      </c>
      <c r="H64" s="270">
        <v>2.8172896856376743</v>
      </c>
      <c r="I64" s="270">
        <v>2.8172896856376743</v>
      </c>
      <c r="J64" s="270">
        <v>3.8420538456173139</v>
      </c>
      <c r="K64" s="270">
        <v>3.8420538456173139</v>
      </c>
    </row>
    <row r="65" spans="1:11">
      <c r="A65" s="291"/>
      <c r="B65" s="274" t="s">
        <v>17</v>
      </c>
      <c r="C65" s="292" t="s">
        <v>40</v>
      </c>
      <c r="D65" s="301">
        <f>'USDA Comp'!H174</f>
        <v>162.56</v>
      </c>
      <c r="E65" s="274"/>
      <c r="F65" s="275">
        <v>152.4</v>
      </c>
      <c r="G65" s="283">
        <v>152.4</v>
      </c>
      <c r="H65" s="270">
        <v>152.4</v>
      </c>
      <c r="I65" s="270">
        <v>152.4</v>
      </c>
      <c r="J65" s="270">
        <v>152.4</v>
      </c>
      <c r="K65" s="270">
        <v>148.59</v>
      </c>
    </row>
    <row r="66" spans="1:11" ht="15.75" thickBot="1">
      <c r="A66" s="293"/>
      <c r="B66" s="294" t="s">
        <v>17</v>
      </c>
      <c r="C66" s="295" t="s">
        <v>1</v>
      </c>
      <c r="D66" s="301" t="e">
        <f>'USDA Comp'!H14</f>
        <v>#REF!</v>
      </c>
      <c r="E66" s="274"/>
      <c r="F66" s="275">
        <v>551.8406002524996</v>
      </c>
      <c r="G66" s="283">
        <v>554.28730700066637</v>
      </c>
      <c r="H66" s="270">
        <v>550.60056432808688</v>
      </c>
      <c r="I66" s="270">
        <v>543.45728457258701</v>
      </c>
      <c r="J66" s="270">
        <v>789.5785735293548</v>
      </c>
      <c r="K66" s="270">
        <v>786.98353821088722</v>
      </c>
    </row>
    <row r="67" spans="1:11">
      <c r="A67" s="296"/>
      <c r="B67" s="280" t="s">
        <v>18</v>
      </c>
      <c r="C67" s="290" t="s">
        <v>24</v>
      </c>
      <c r="D67" s="301">
        <f>'USDA Comp'!H35</f>
        <v>7.7170530714285519</v>
      </c>
      <c r="E67" s="274"/>
      <c r="F67" s="275">
        <v>6.5184705598129575</v>
      </c>
      <c r="G67" s="283">
        <v>6.5217379081430504</v>
      </c>
      <c r="H67" s="270">
        <v>6.5212814968684052</v>
      </c>
      <c r="I67" s="270">
        <v>6.5185532436112181</v>
      </c>
      <c r="J67" s="270">
        <v>4.8539284191047916</v>
      </c>
      <c r="K67" s="270">
        <v>4.8539284191047916</v>
      </c>
    </row>
    <row r="68" spans="1:11">
      <c r="A68" s="291"/>
      <c r="B68" s="280" t="s">
        <v>18</v>
      </c>
      <c r="C68" s="292" t="s">
        <v>27</v>
      </c>
      <c r="D68" s="301">
        <f>'USDA Comp'!H55</f>
        <v>23</v>
      </c>
      <c r="E68" s="274"/>
      <c r="F68" s="274">
        <v>20</v>
      </c>
      <c r="G68" s="270">
        <v>23</v>
      </c>
      <c r="H68" s="270">
        <v>23</v>
      </c>
      <c r="I68" s="270">
        <v>23</v>
      </c>
      <c r="J68" s="270">
        <v>23</v>
      </c>
      <c r="K68" s="270">
        <v>23</v>
      </c>
    </row>
    <row r="69" spans="1:11" ht="14.45" customHeight="1">
      <c r="A69" s="291"/>
      <c r="B69" s="280" t="s">
        <v>18</v>
      </c>
      <c r="C69" s="292" t="s">
        <v>29</v>
      </c>
      <c r="D69" s="301">
        <f>'USDA Comp'!H75</f>
        <v>5.8670639999999992</v>
      </c>
      <c r="E69" s="274"/>
      <c r="F69" s="275">
        <v>0</v>
      </c>
      <c r="G69" s="283">
        <v>0</v>
      </c>
      <c r="H69" s="270">
        <v>5.768326666666681</v>
      </c>
      <c r="I69" s="270">
        <v>5.768326666666681</v>
      </c>
      <c r="J69" s="270">
        <v>5.768326666666681</v>
      </c>
      <c r="K69" s="270">
        <v>5.768326666666681</v>
      </c>
    </row>
    <row r="70" spans="1:11">
      <c r="A70" s="291"/>
      <c r="B70" s="280" t="s">
        <v>18</v>
      </c>
      <c r="C70" s="292" t="s">
        <v>32</v>
      </c>
      <c r="D70" s="301">
        <f>'USDA Comp'!H95</f>
        <v>81</v>
      </c>
      <c r="E70" s="274"/>
      <c r="F70" s="274">
        <v>81</v>
      </c>
      <c r="G70" s="270">
        <v>81</v>
      </c>
      <c r="H70" s="270">
        <v>81</v>
      </c>
      <c r="I70" s="270">
        <v>81</v>
      </c>
      <c r="J70" s="270">
        <v>81</v>
      </c>
      <c r="K70" s="270">
        <v>81</v>
      </c>
    </row>
    <row r="71" spans="1:11">
      <c r="A71" s="291"/>
      <c r="B71" s="280" t="s">
        <v>18</v>
      </c>
      <c r="C71" s="292" t="s">
        <v>34</v>
      </c>
      <c r="D71" s="301">
        <f>'USDA Comp'!H115</f>
        <v>17.31691825730617</v>
      </c>
      <c r="E71" s="274"/>
      <c r="F71" s="274">
        <v>17.149284382806414</v>
      </c>
      <c r="G71" s="270">
        <v>17.149284382806414</v>
      </c>
      <c r="H71" s="270">
        <v>17.149284382806414</v>
      </c>
      <c r="I71" s="270">
        <v>17.149284382806414</v>
      </c>
      <c r="J71" s="270">
        <v>17.149284382806414</v>
      </c>
      <c r="K71" s="270">
        <v>17.149284382806414</v>
      </c>
    </row>
    <row r="72" spans="1:11">
      <c r="A72" s="291"/>
      <c r="B72" s="280" t="s">
        <v>18</v>
      </c>
      <c r="C72" s="292" t="s">
        <v>36</v>
      </c>
      <c r="D72" s="301">
        <f>'USDA Comp'!H135</f>
        <v>1.1000000000000001</v>
      </c>
      <c r="E72" s="274"/>
      <c r="F72" s="274">
        <v>0</v>
      </c>
      <c r="G72" s="270">
        <v>0</v>
      </c>
      <c r="H72" s="270">
        <v>1.1000000000000001</v>
      </c>
      <c r="I72" s="270">
        <v>1.1000000000000001</v>
      </c>
      <c r="J72" s="270">
        <v>1.1000000000000001</v>
      </c>
      <c r="K72" s="270">
        <v>1.1000000000000001</v>
      </c>
    </row>
    <row r="73" spans="1:11">
      <c r="A73" s="291"/>
      <c r="B73" s="280" t="s">
        <v>18</v>
      </c>
      <c r="C73" s="292" t="s">
        <v>38</v>
      </c>
      <c r="D73" s="301">
        <f>'USDA Comp'!H155</f>
        <v>0.95333333333333314</v>
      </c>
      <c r="E73" s="274"/>
      <c r="F73" s="275">
        <v>0</v>
      </c>
      <c r="G73" s="283">
        <v>0</v>
      </c>
      <c r="H73" s="270">
        <v>0</v>
      </c>
      <c r="I73" s="270">
        <v>0</v>
      </c>
      <c r="J73" s="270">
        <v>0.95</v>
      </c>
      <c r="K73" s="270">
        <v>0.95</v>
      </c>
    </row>
    <row r="74" spans="1:11">
      <c r="A74" s="291"/>
      <c r="B74" s="280" t="s">
        <v>18</v>
      </c>
      <c r="C74" s="292" t="s">
        <v>40</v>
      </c>
      <c r="D74" s="301">
        <f>'USDA Comp'!H175</f>
        <v>173.98999999999998</v>
      </c>
      <c r="E74" s="274"/>
      <c r="F74" s="275">
        <v>170.815</v>
      </c>
      <c r="G74" s="283">
        <v>170.815</v>
      </c>
      <c r="H74" s="270">
        <v>168.91</v>
      </c>
      <c r="I74" s="270">
        <v>170.18</v>
      </c>
      <c r="J74" s="270">
        <v>170.815</v>
      </c>
      <c r="K74" s="270">
        <v>170.815</v>
      </c>
    </row>
    <row r="75" spans="1:11" ht="12.95" customHeight="1" thickBot="1">
      <c r="A75" s="293"/>
      <c r="B75" s="294" t="s">
        <v>18</v>
      </c>
      <c r="C75" s="295" t="s">
        <v>1</v>
      </c>
      <c r="D75" s="301">
        <f>'USDA Comp'!H15</f>
        <v>310.94436866206809</v>
      </c>
      <c r="E75" s="274"/>
      <c r="F75" s="275">
        <v>439.10328966895219</v>
      </c>
      <c r="G75" s="283">
        <v>445.38984766895226</v>
      </c>
      <c r="H75" s="270">
        <v>446.38756812589025</v>
      </c>
      <c r="I75" s="270">
        <v>446.34756812589029</v>
      </c>
      <c r="J75" s="270">
        <v>444.55633693381651</v>
      </c>
      <c r="K75" s="270">
        <v>445.8813369338165</v>
      </c>
    </row>
    <row r="76" spans="1:11" ht="14.45" customHeight="1">
      <c r="A76" s="296"/>
      <c r="B76" s="280" t="s">
        <v>190</v>
      </c>
      <c r="C76" s="290" t="s">
        <v>24</v>
      </c>
      <c r="D76" s="301">
        <f>'USDA Comp'!H33</f>
        <v>16.842094073438268</v>
      </c>
      <c r="E76" s="274"/>
      <c r="F76" s="275">
        <v>17.086778197578752</v>
      </c>
      <c r="G76" s="283">
        <v>19.533366970574072</v>
      </c>
      <c r="H76" s="270">
        <v>19.266847006201615</v>
      </c>
      <c r="I76" s="270">
        <v>17.269902743469054</v>
      </c>
      <c r="J76" s="270">
        <v>12.498395566332761</v>
      </c>
      <c r="K76" s="270">
        <v>12.498395566332761</v>
      </c>
    </row>
    <row r="77" spans="1:11" ht="30">
      <c r="A77" s="291"/>
      <c r="B77" s="280" t="s">
        <v>190</v>
      </c>
      <c r="C77" s="292" t="s">
        <v>27</v>
      </c>
      <c r="D77" s="301">
        <f>'USDA Comp'!H53</f>
        <v>91.903700000000015</v>
      </c>
      <c r="E77" s="274"/>
      <c r="F77" s="275">
        <v>74.43910000000001</v>
      </c>
      <c r="G77" s="283">
        <v>80.699999999999989</v>
      </c>
      <c r="H77" s="270">
        <v>81.599999999999994</v>
      </c>
      <c r="I77" s="270">
        <v>81.599999999999994</v>
      </c>
      <c r="J77" s="270">
        <v>81.599999999999994</v>
      </c>
      <c r="K77" s="270">
        <v>81.599999999999994</v>
      </c>
    </row>
    <row r="78" spans="1:11" ht="30">
      <c r="A78" s="291"/>
      <c r="B78" s="280" t="s">
        <v>190</v>
      </c>
      <c r="C78" s="292" t="s">
        <v>29</v>
      </c>
      <c r="D78" s="301">
        <f>'USDA Comp'!H73</f>
        <v>15.357119999999981</v>
      </c>
      <c r="E78" s="274"/>
      <c r="F78" s="275">
        <v>0</v>
      </c>
      <c r="G78" s="283">
        <v>0</v>
      </c>
      <c r="H78" s="270">
        <v>16.747199999999921</v>
      </c>
      <c r="I78" s="270">
        <v>16.747199999999921</v>
      </c>
      <c r="J78" s="270">
        <v>16.747199999999921</v>
      </c>
      <c r="K78" s="270">
        <v>16.747199999999921</v>
      </c>
    </row>
    <row r="79" spans="1:11" ht="30">
      <c r="A79" s="291"/>
      <c r="B79" s="280" t="s">
        <v>190</v>
      </c>
      <c r="C79" s="292" t="s">
        <v>32</v>
      </c>
      <c r="D79" s="301">
        <f>'USDA Comp'!H93</f>
        <v>306.02652240690963</v>
      </c>
      <c r="E79" s="274"/>
      <c r="F79" s="275">
        <v>306.90814199139891</v>
      </c>
      <c r="G79" s="283">
        <v>306.90814199139891</v>
      </c>
      <c r="H79" s="270">
        <v>306.90814199139891</v>
      </c>
      <c r="I79" s="270">
        <v>307</v>
      </c>
      <c r="J79" s="270">
        <v>307</v>
      </c>
      <c r="K79" s="270">
        <v>304.5</v>
      </c>
    </row>
    <row r="80" spans="1:11" ht="30">
      <c r="A80" s="291"/>
      <c r="B80" s="280" t="s">
        <v>190</v>
      </c>
      <c r="C80" s="292" t="s">
        <v>34</v>
      </c>
      <c r="D80" s="301">
        <f>'USDA Comp'!H113</f>
        <v>76.961092150407936</v>
      </c>
      <c r="E80" s="274"/>
      <c r="F80" s="275">
        <v>71.218340609078197</v>
      </c>
      <c r="G80" s="283">
        <v>71.218340609078197</v>
      </c>
      <c r="H80" s="270">
        <v>71.218340609078197</v>
      </c>
      <c r="I80" s="270">
        <v>71.218340609078197</v>
      </c>
      <c r="J80" s="270">
        <v>71.218340609078197</v>
      </c>
      <c r="K80" s="270">
        <v>71.218340609078197</v>
      </c>
    </row>
    <row r="81" spans="1:11" ht="30">
      <c r="A81" s="291"/>
      <c r="B81" s="280" t="s">
        <v>190</v>
      </c>
      <c r="C81" s="292" t="s">
        <v>36</v>
      </c>
      <c r="D81" s="301">
        <f>'USDA Comp'!H133</f>
        <v>12.028469852008765</v>
      </c>
      <c r="E81" s="274"/>
      <c r="F81" s="274">
        <v>12.450000000000001</v>
      </c>
      <c r="G81" s="270">
        <v>12.450000000000001</v>
      </c>
      <c r="H81" s="270">
        <v>10.8</v>
      </c>
      <c r="I81" s="270">
        <v>10.8</v>
      </c>
      <c r="J81" s="270">
        <v>10.8</v>
      </c>
      <c r="K81" s="270">
        <v>10.8</v>
      </c>
    </row>
    <row r="82" spans="1:11" ht="30">
      <c r="A82" s="291"/>
      <c r="B82" s="280" t="s">
        <v>190</v>
      </c>
      <c r="C82" s="292" t="s">
        <v>38</v>
      </c>
      <c r="D82" s="301">
        <f>'USDA Comp'!H153</f>
        <v>4.3828999251196166</v>
      </c>
      <c r="E82" s="274"/>
      <c r="F82" s="274">
        <v>2.8172896856376743</v>
      </c>
      <c r="G82" s="270">
        <v>2.8172896856376743</v>
      </c>
      <c r="H82" s="270">
        <v>2.8172896856376743</v>
      </c>
      <c r="I82" s="270">
        <v>2.8172896856376743</v>
      </c>
      <c r="J82" s="270">
        <v>4.7920538456173141</v>
      </c>
      <c r="K82" s="270">
        <v>4.7920538456173141</v>
      </c>
    </row>
    <row r="83" spans="1:11" ht="12.6" customHeight="1">
      <c r="A83" s="291"/>
      <c r="B83" s="280" t="s">
        <v>190</v>
      </c>
      <c r="C83" s="292" t="s">
        <v>40</v>
      </c>
      <c r="D83" s="301">
        <f>'USDA Comp'!H173</f>
        <v>336.54999999999995</v>
      </c>
      <c r="E83" s="274"/>
      <c r="F83" s="274">
        <v>323.21500000000003</v>
      </c>
      <c r="G83" s="270">
        <v>323.21500000000003</v>
      </c>
      <c r="H83" s="270">
        <v>321.31</v>
      </c>
      <c r="I83" s="270">
        <v>322.58000000000004</v>
      </c>
      <c r="J83" s="270">
        <v>323.21500000000003</v>
      </c>
      <c r="K83" s="270">
        <v>319.40499999999997</v>
      </c>
    </row>
    <row r="84" spans="1:11" ht="30.75" thickBot="1">
      <c r="A84" s="293"/>
      <c r="B84" s="294" t="s">
        <v>190</v>
      </c>
      <c r="C84" s="295" t="s">
        <v>1</v>
      </c>
      <c r="D84" s="301" t="e">
        <f>'USDA Comp'!H13</f>
        <v>#REF!</v>
      </c>
      <c r="E84" s="274"/>
      <c r="F84" s="274">
        <v>990.94388992145173</v>
      </c>
      <c r="G84" s="270">
        <v>999.67715466961863</v>
      </c>
      <c r="H84" s="270">
        <v>996.98813245397719</v>
      </c>
      <c r="I84" s="270">
        <v>989.80485269847736</v>
      </c>
      <c r="J84" s="270">
        <v>1234.1349104631713</v>
      </c>
      <c r="K84" s="270">
        <v>1232.8648751447038</v>
      </c>
    </row>
    <row r="85" spans="1:11">
      <c r="A85" s="296"/>
      <c r="B85" s="280" t="s">
        <v>21</v>
      </c>
      <c r="C85" s="290" t="s">
        <v>24</v>
      </c>
      <c r="D85" s="301">
        <f>'USDA Comp'!H38</f>
        <v>2.4780000000000015</v>
      </c>
      <c r="E85" s="274"/>
      <c r="F85" s="274">
        <v>2.2239999999999966</v>
      </c>
      <c r="G85" s="270">
        <v>2.2239999999999966</v>
      </c>
      <c r="H85" s="270">
        <v>2.2239999999999966</v>
      </c>
      <c r="I85" s="270">
        <v>2.2239999999999966</v>
      </c>
      <c r="J85" s="270">
        <v>3.2239999999999966</v>
      </c>
      <c r="K85" s="270">
        <v>3.2239999999999966</v>
      </c>
    </row>
    <row r="86" spans="1:11">
      <c r="A86" s="291"/>
      <c r="B86" s="280" t="s">
        <v>21</v>
      </c>
      <c r="C86" s="292" t="s">
        <v>27</v>
      </c>
      <c r="D86" s="301">
        <f>'USDA Comp'!H58</f>
        <v>10.097800000000007</v>
      </c>
      <c r="E86" s="274"/>
      <c r="F86" s="274">
        <v>3.0409999999999968</v>
      </c>
      <c r="G86" s="270">
        <v>3.0409999999999968</v>
      </c>
      <c r="H86" s="270">
        <v>3.0409999999999968</v>
      </c>
      <c r="I86" s="270">
        <v>3.0409999999999968</v>
      </c>
      <c r="J86" s="270">
        <v>3.0409999999999968</v>
      </c>
      <c r="K86" s="270">
        <v>3.0409999999999968</v>
      </c>
    </row>
    <row r="87" spans="1:11">
      <c r="A87" s="291"/>
      <c r="B87" s="280" t="s">
        <v>21</v>
      </c>
      <c r="C87" s="292" t="s">
        <v>29</v>
      </c>
      <c r="D87" s="301">
        <f>'USDA Comp'!H78</f>
        <v>2.0287663241459235</v>
      </c>
      <c r="E87" s="274"/>
      <c r="F87" s="274">
        <v>14.733261435054414</v>
      </c>
      <c r="G87" s="270">
        <v>14.733261435054414</v>
      </c>
      <c r="H87" s="270">
        <v>-0.20863249603660705</v>
      </c>
      <c r="I87" s="270">
        <v>-0.20863249603660705</v>
      </c>
      <c r="J87" s="270">
        <v>0.52060113050317369</v>
      </c>
      <c r="K87" s="270">
        <v>0.52060113050317369</v>
      </c>
    </row>
    <row r="88" spans="1:11">
      <c r="A88" s="291"/>
      <c r="B88" s="280" t="s">
        <v>21</v>
      </c>
      <c r="C88" s="292" t="s">
        <v>32</v>
      </c>
      <c r="D88" s="301">
        <f>'USDA Comp'!H98</f>
        <v>214.28600000000006</v>
      </c>
      <c r="F88" s="270">
        <v>215</v>
      </c>
      <c r="G88" s="270">
        <v>215</v>
      </c>
      <c r="H88" s="270">
        <v>215</v>
      </c>
      <c r="I88" s="270">
        <v>210</v>
      </c>
      <c r="J88" s="270">
        <v>210</v>
      </c>
      <c r="K88" s="270">
        <v>210</v>
      </c>
    </row>
    <row r="89" spans="1:11">
      <c r="A89" s="291"/>
      <c r="B89" s="280" t="s">
        <v>21</v>
      </c>
      <c r="C89" s="292" t="s">
        <v>34</v>
      </c>
      <c r="D89" s="301">
        <f>'USDA Comp'!H118</f>
        <v>11.604745204656851</v>
      </c>
      <c r="F89" s="270">
        <v>11.802861716978427</v>
      </c>
      <c r="G89" s="270">
        <v>11.802861716978427</v>
      </c>
      <c r="H89" s="270">
        <v>11.802861716978427</v>
      </c>
      <c r="I89" s="270">
        <v>11.802861716978427</v>
      </c>
      <c r="J89" s="270">
        <v>11.802861716978441</v>
      </c>
      <c r="K89" s="270">
        <v>11.802861716978441</v>
      </c>
    </row>
    <row r="90" spans="1:11">
      <c r="A90" s="291"/>
      <c r="B90" s="280" t="s">
        <v>21</v>
      </c>
      <c r="C90" s="292" t="s">
        <v>36</v>
      </c>
      <c r="D90" s="301">
        <f>'USDA Comp'!H138</f>
        <v>0.64999999999999858</v>
      </c>
      <c r="F90" s="270">
        <v>-8.9920000000000009</v>
      </c>
      <c r="G90" s="270">
        <v>-8.9920000000000009</v>
      </c>
      <c r="H90" s="270">
        <v>0.30799999999999983</v>
      </c>
      <c r="I90" s="270">
        <v>0.30799999999999983</v>
      </c>
      <c r="J90" s="270">
        <v>-0.39199999999999591</v>
      </c>
      <c r="K90" s="270">
        <v>-0.39199999999999591</v>
      </c>
    </row>
    <row r="91" spans="1:11">
      <c r="A91" s="291"/>
      <c r="B91" s="280" t="s">
        <v>21</v>
      </c>
      <c r="C91" s="292" t="s">
        <v>38</v>
      </c>
      <c r="D91" s="301">
        <f>'USDA Comp'!H158</f>
        <v>3.2089999999999996</v>
      </c>
      <c r="F91" s="270">
        <v>2.75</v>
      </c>
      <c r="G91" s="270">
        <v>2.75</v>
      </c>
      <c r="H91" s="270">
        <v>2.75</v>
      </c>
      <c r="I91" s="270">
        <v>2.75</v>
      </c>
      <c r="J91" s="270">
        <v>0.60000000000000142</v>
      </c>
      <c r="K91" s="270">
        <v>0.60000000000000142</v>
      </c>
    </row>
    <row r="92" spans="1:11">
      <c r="A92" s="291"/>
      <c r="B92" s="280" t="s">
        <v>21</v>
      </c>
      <c r="C92" s="292" t="s">
        <v>40</v>
      </c>
      <c r="D92" s="301">
        <f>'USDA Comp'!H178</f>
        <v>52.589585492342849</v>
      </c>
      <c r="F92" s="270">
        <v>54.35026458916542</v>
      </c>
      <c r="G92" s="270">
        <v>46.219813337332084</v>
      </c>
      <c r="H92" s="270">
        <v>48.124813337332114</v>
      </c>
      <c r="I92" s="270">
        <v>40.581533581832105</v>
      </c>
      <c r="J92" s="270">
        <v>39.946533581832114</v>
      </c>
      <c r="K92" s="270">
        <v>41.534552199999951</v>
      </c>
    </row>
    <row r="93" spans="1:11" ht="15.75" thickBot="1">
      <c r="A93" s="293"/>
      <c r="B93" s="294" t="s">
        <v>21</v>
      </c>
      <c r="C93" s="295" t="s">
        <v>1</v>
      </c>
      <c r="D93" s="301" t="e">
        <f>'USDA Comp'!H18</f>
        <v>#REF!</v>
      </c>
      <c r="F93" s="270">
        <v>913.89892195656012</v>
      </c>
      <c r="G93" s="270">
        <v>904.9562059565601</v>
      </c>
      <c r="H93" s="270">
        <v>912.41879694863292</v>
      </c>
      <c r="I93" s="270">
        <v>914.90679694863297</v>
      </c>
      <c r="J93" s="270">
        <v>314.13853940131844</v>
      </c>
      <c r="K93" s="270">
        <v>316.08355801948642</v>
      </c>
    </row>
    <row r="94" spans="1:11">
      <c r="A94" s="296"/>
      <c r="B94" s="280" t="s">
        <v>302</v>
      </c>
      <c r="C94" s="290" t="s">
        <v>24</v>
      </c>
      <c r="D94" s="302">
        <f>D40</f>
        <v>53.620094073438267</v>
      </c>
      <c r="F94" s="270">
        <v>53.310778197578749</v>
      </c>
      <c r="G94" s="270">
        <v>55.757366970574068</v>
      </c>
      <c r="H94" s="270">
        <v>55.490847006201612</v>
      </c>
      <c r="I94" s="270">
        <v>53.49390274346905</v>
      </c>
      <c r="J94" s="270">
        <v>49.722395566332757</v>
      </c>
      <c r="K94" s="270">
        <v>49.722395566332757</v>
      </c>
    </row>
    <row r="95" spans="1:11">
      <c r="A95" s="291"/>
      <c r="B95" s="280" t="s">
        <v>302</v>
      </c>
      <c r="C95" s="292" t="s">
        <v>27</v>
      </c>
      <c r="D95" s="302">
        <f t="shared" ref="D95:D102" si="0">D41</f>
        <v>150.00150000000002</v>
      </c>
      <c r="F95" s="270">
        <v>127.48010000000001</v>
      </c>
      <c r="G95" s="270">
        <v>135.74099999999999</v>
      </c>
      <c r="H95" s="270">
        <v>136.64099999999999</v>
      </c>
      <c r="I95" s="270">
        <v>136.64099999999999</v>
      </c>
      <c r="J95" s="270">
        <v>136.64099999999999</v>
      </c>
      <c r="K95" s="270">
        <v>136.64099999999999</v>
      </c>
    </row>
    <row r="96" spans="1:11">
      <c r="A96" s="291"/>
      <c r="B96" s="280" t="s">
        <v>302</v>
      </c>
      <c r="C96" s="292" t="s">
        <v>29</v>
      </c>
      <c r="D96" s="302">
        <f t="shared" si="0"/>
        <v>19.5408456157754</v>
      </c>
      <c r="F96" s="270">
        <v>14.733261435054414</v>
      </c>
      <c r="G96" s="270">
        <v>14.733261435054414</v>
      </c>
      <c r="H96" s="270">
        <v>16.538567503963314</v>
      </c>
      <c r="I96" s="270">
        <v>16.538567503963314</v>
      </c>
      <c r="J96" s="270">
        <v>19.3745653327965</v>
      </c>
      <c r="K96" s="270">
        <v>19.3745653327965</v>
      </c>
    </row>
    <row r="97" spans="1:11">
      <c r="A97" s="291"/>
      <c r="B97" s="280" t="s">
        <v>302</v>
      </c>
      <c r="C97" s="292" t="s">
        <v>32</v>
      </c>
      <c r="D97" s="302">
        <f t="shared" si="0"/>
        <v>520.31252240690969</v>
      </c>
      <c r="F97" s="270">
        <v>526.90814199139891</v>
      </c>
      <c r="G97" s="270">
        <v>526.90814199139891</v>
      </c>
      <c r="H97" s="270">
        <v>526.90814199139891</v>
      </c>
      <c r="I97" s="270">
        <v>517</v>
      </c>
      <c r="J97" s="270">
        <v>517</v>
      </c>
      <c r="K97" s="270">
        <v>514.5</v>
      </c>
    </row>
    <row r="98" spans="1:11">
      <c r="A98" s="291"/>
      <c r="B98" s="280" t="s">
        <v>302</v>
      </c>
      <c r="C98" s="292" t="s">
        <v>34</v>
      </c>
      <c r="D98" s="302">
        <f t="shared" si="0"/>
        <v>91.565837355064787</v>
      </c>
      <c r="F98" s="270">
        <v>86.021202326056624</v>
      </c>
      <c r="G98" s="270">
        <v>86.021202326056624</v>
      </c>
      <c r="H98" s="270">
        <v>86.021202326056624</v>
      </c>
      <c r="I98" s="270">
        <v>86.021202326056624</v>
      </c>
      <c r="J98" s="270">
        <v>86.021202326056638</v>
      </c>
      <c r="K98" s="270">
        <v>86.021202326056638</v>
      </c>
    </row>
    <row r="99" spans="1:11">
      <c r="A99" s="291"/>
      <c r="B99" s="280" t="s">
        <v>302</v>
      </c>
      <c r="C99" s="292" t="s">
        <v>36</v>
      </c>
      <c r="D99" s="302">
        <f t="shared" si="0"/>
        <v>17.178469852008764</v>
      </c>
      <c r="F99" s="270">
        <v>9.6580000000000013</v>
      </c>
      <c r="G99" s="270">
        <v>9.6580000000000013</v>
      </c>
      <c r="H99" s="270">
        <v>14.408000000000001</v>
      </c>
      <c r="I99" s="270">
        <v>14.408000000000001</v>
      </c>
      <c r="J99" s="270">
        <v>13.708000000000006</v>
      </c>
      <c r="K99" s="270">
        <v>13.708000000000006</v>
      </c>
    </row>
    <row r="100" spans="1:11">
      <c r="A100" s="291"/>
      <c r="B100" s="280" t="s">
        <v>302</v>
      </c>
      <c r="C100" s="292" t="s">
        <v>38</v>
      </c>
      <c r="D100" s="302">
        <f t="shared" si="0"/>
        <v>30.591899925119616</v>
      </c>
      <c r="F100" s="270">
        <v>28.602053845617313</v>
      </c>
      <c r="G100" s="270">
        <v>28.602053845617313</v>
      </c>
      <c r="H100" s="270">
        <v>28.602053845617313</v>
      </c>
      <c r="I100" s="270">
        <v>28.602053845617313</v>
      </c>
      <c r="J100" s="270">
        <v>25.392053845617315</v>
      </c>
      <c r="K100" s="270">
        <v>25.392053845617315</v>
      </c>
    </row>
    <row r="101" spans="1:11">
      <c r="A101" s="291"/>
      <c r="B101" s="280" t="s">
        <v>302</v>
      </c>
      <c r="C101" s="292" t="s">
        <v>40</v>
      </c>
      <c r="D101" s="302">
        <f t="shared" si="0"/>
        <v>464.06958549234281</v>
      </c>
      <c r="F101" s="270">
        <v>438.52526458916543</v>
      </c>
      <c r="G101" s="270">
        <v>430.3948133373321</v>
      </c>
      <c r="H101" s="270">
        <v>430.3948133373321</v>
      </c>
      <c r="I101" s="270">
        <v>424.12153358183213</v>
      </c>
      <c r="J101" s="270">
        <v>424.12153358183213</v>
      </c>
      <c r="K101" s="270">
        <v>423.16955219999994</v>
      </c>
    </row>
    <row r="102" spans="1:11" ht="15.75" thickBot="1">
      <c r="A102" s="293"/>
      <c r="B102" s="294" t="s">
        <v>302</v>
      </c>
      <c r="C102" s="295" t="s">
        <v>1</v>
      </c>
      <c r="D102" s="302">
        <f t="shared" si="0"/>
        <v>1275.0106523464869</v>
      </c>
      <c r="F102" s="270">
        <v>2001.9739177628389</v>
      </c>
      <c r="G102" s="270">
        <v>2002.1734665110057</v>
      </c>
      <c r="H102" s="270">
        <v>2006.9440352874371</v>
      </c>
      <c r="I102" s="270">
        <v>2002.2627555319373</v>
      </c>
      <c r="J102" s="270">
        <v>1732.3195340718487</v>
      </c>
      <c r="K102" s="270">
        <v>1733.3895173715491</v>
      </c>
    </row>
    <row r="103" spans="1:11">
      <c r="A103" s="296"/>
      <c r="B103" s="280" t="s">
        <v>11</v>
      </c>
      <c r="C103" s="290" t="s">
        <v>24</v>
      </c>
      <c r="D103" s="304">
        <f>'USDA Comp'!H28</f>
        <v>7.0051338407282415</v>
      </c>
      <c r="F103" s="270">
        <v>6.9124143528765529</v>
      </c>
      <c r="G103" s="270">
        <v>6.9124143528765529</v>
      </c>
      <c r="H103" s="270">
        <v>6.9124143528765529</v>
      </c>
      <c r="I103" s="270">
        <v>6.9124143528765529</v>
      </c>
      <c r="J103" s="270">
        <v>6.6124143528765531</v>
      </c>
      <c r="K103" s="270">
        <v>6.6124143528765531</v>
      </c>
    </row>
    <row r="104" spans="1:11">
      <c r="A104" s="291"/>
      <c r="B104" s="280" t="s">
        <v>11</v>
      </c>
      <c r="C104" s="292" t="s">
        <v>27</v>
      </c>
      <c r="D104" s="304">
        <f>'USDA Comp'!H48</f>
        <v>5.856959476247539</v>
      </c>
      <c r="F104" s="270">
        <v>5.7012917755843473</v>
      </c>
      <c r="G104" s="270">
        <v>6.0946286323748584</v>
      </c>
      <c r="H104" s="270">
        <v>5.8262256995764803</v>
      </c>
      <c r="I104" s="270">
        <v>5.8262256995764803</v>
      </c>
      <c r="J104" s="270">
        <v>5.8262256995764803</v>
      </c>
      <c r="K104" s="270">
        <v>5.8262256995764803</v>
      </c>
    </row>
    <row r="105" spans="1:11">
      <c r="A105" s="291"/>
      <c r="B105" s="280" t="s">
        <v>11</v>
      </c>
      <c r="C105" s="292" t="s">
        <v>29</v>
      </c>
      <c r="D105" s="304">
        <f>'USDA Comp'!H68</f>
        <v>10.28175536353362</v>
      </c>
      <c r="F105" s="270">
        <v>10.015961967963264</v>
      </c>
      <c r="G105" s="270">
        <v>10.015961967963264</v>
      </c>
      <c r="H105" s="270">
        <v>10.633975108148862</v>
      </c>
      <c r="I105" s="270">
        <v>10.633975108148862</v>
      </c>
      <c r="J105" s="270">
        <v>10.633975108148862</v>
      </c>
      <c r="K105" s="270">
        <v>10.633975108148862</v>
      </c>
    </row>
    <row r="106" spans="1:11">
      <c r="A106" s="291"/>
      <c r="B106" s="280" t="s">
        <v>11</v>
      </c>
      <c r="C106" s="292" t="s">
        <v>32</v>
      </c>
      <c r="D106" s="304">
        <f>'USDA Comp'!H88</f>
        <v>6.6478832091233073</v>
      </c>
      <c r="F106" s="270">
        <v>6.6090202453957545</v>
      </c>
      <c r="G106" s="270">
        <v>6.6090202453957545</v>
      </c>
      <c r="H106" s="270">
        <v>6.6090202453957545</v>
      </c>
      <c r="I106" s="270">
        <v>6.6090202453957545</v>
      </c>
      <c r="J106" s="270">
        <v>6.6090202453957545</v>
      </c>
      <c r="K106" s="270">
        <v>6.6090202453957545</v>
      </c>
    </row>
    <row r="107" spans="1:11">
      <c r="A107" s="291"/>
      <c r="B107" s="280" t="s">
        <v>11</v>
      </c>
      <c r="C107" s="292" t="s">
        <v>34</v>
      </c>
      <c r="D107" s="304">
        <f>'USDA Comp'!H108</f>
        <v>7.0347030805891961</v>
      </c>
      <c r="F107" s="270">
        <v>6.5825880677530604</v>
      </c>
      <c r="G107" s="270">
        <v>6.5825880677530604</v>
      </c>
      <c r="H107" s="270">
        <v>6.5825880677530604</v>
      </c>
      <c r="I107" s="270">
        <v>6.5825880677530604</v>
      </c>
      <c r="J107" s="270">
        <v>6.5825880677530604</v>
      </c>
      <c r="K107" s="270">
        <v>6.5825880677530604</v>
      </c>
    </row>
    <row r="108" spans="1:11">
      <c r="A108" s="291"/>
      <c r="B108" s="280" t="s">
        <v>11</v>
      </c>
      <c r="C108" s="292" t="s">
        <v>36</v>
      </c>
      <c r="D108" s="304">
        <f>'USDA Comp'!H128</f>
        <v>5.6347929199927647</v>
      </c>
      <c r="F108" s="270">
        <v>5.4</v>
      </c>
      <c r="G108" s="270">
        <v>5.4</v>
      </c>
      <c r="H108" s="270">
        <v>5.4</v>
      </c>
      <c r="I108" s="270">
        <v>5.4</v>
      </c>
      <c r="J108" s="270">
        <v>5.4</v>
      </c>
      <c r="K108" s="270">
        <v>5.4</v>
      </c>
    </row>
    <row r="109" spans="1:11">
      <c r="A109" s="291"/>
      <c r="B109" s="280" t="s">
        <v>11</v>
      </c>
      <c r="C109" s="292" t="s">
        <v>38</v>
      </c>
      <c r="D109" s="304">
        <f>'USDA Comp'!H148</f>
        <v>6.4828535731728039</v>
      </c>
      <c r="F109" s="270">
        <v>6.2928899999999999</v>
      </c>
      <c r="G109" s="270">
        <v>6.2928899999999999</v>
      </c>
      <c r="H109" s="270">
        <v>6.2928899999999999</v>
      </c>
      <c r="I109" s="270">
        <v>6.2928899999999999</v>
      </c>
      <c r="J109" s="270">
        <v>6.2928899999999999</v>
      </c>
      <c r="K109" s="270">
        <v>6.2928899999999999</v>
      </c>
    </row>
    <row r="110" spans="1:11">
      <c r="A110" s="291"/>
      <c r="B110" s="280" t="s">
        <v>11</v>
      </c>
      <c r="C110" s="292" t="s">
        <v>40</v>
      </c>
      <c r="D110" s="304">
        <f>'USDA Comp'!H168</f>
        <v>12.473266075531086</v>
      </c>
      <c r="F110" s="270">
        <v>12.4505</v>
      </c>
      <c r="G110" s="270">
        <v>12.3832</v>
      </c>
      <c r="H110" s="270">
        <v>12.3832</v>
      </c>
      <c r="I110" s="270">
        <v>12.1813</v>
      </c>
      <c r="J110" s="270">
        <v>12.1813</v>
      </c>
      <c r="K110" s="270">
        <v>12.06972436788265</v>
      </c>
    </row>
    <row r="111" spans="1:11" ht="15.75" thickBot="1">
      <c r="A111" s="293"/>
      <c r="B111" s="294" t="s">
        <v>11</v>
      </c>
      <c r="C111" s="295" t="s">
        <v>1</v>
      </c>
      <c r="D111" s="304">
        <f>'USDA Comp'!H8</f>
        <v>4.3582346883181655</v>
      </c>
      <c r="F111" s="270">
        <v>5.9418982177745185</v>
      </c>
      <c r="G111" s="270">
        <v>5.9473202328024817</v>
      </c>
      <c r="H111" s="270">
        <v>5.9434883260938181</v>
      </c>
      <c r="I111" s="270">
        <v>5.9145755820231658</v>
      </c>
      <c r="J111" s="270">
        <v>5.9273627598649927</v>
      </c>
      <c r="K111" s="270">
        <v>5.9210967724436463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0B39-B2B9-4906-8F10-E03C29F06A52}">
  <sheetPr>
    <tabColor theme="8" tint="0.79998168889431442"/>
  </sheetPr>
  <dimension ref="A1:K111"/>
  <sheetViews>
    <sheetView showGridLines="0" zoomScaleNormal="100" workbookViewId="0">
      <selection activeCell="P12" sqref="P12"/>
    </sheetView>
  </sheetViews>
  <sheetFormatPr defaultColWidth="7.42578125" defaultRowHeight="15"/>
  <cols>
    <col min="1" max="1" width="10" style="270" bestFit="1" customWidth="1"/>
    <col min="2" max="2" width="20.140625" style="270" bestFit="1" customWidth="1"/>
    <col min="3" max="3" width="12.85546875" style="270" bestFit="1" customWidth="1"/>
    <col min="4" max="5" width="12.85546875" style="270" customWidth="1"/>
    <col min="6" max="16384" width="7.42578125" style="270"/>
  </cols>
  <sheetData>
    <row r="1" spans="1:11">
      <c r="A1" s="286" t="s">
        <v>303</v>
      </c>
    </row>
    <row r="3" spans="1:11" ht="15.75" thickBot="1">
      <c r="A3" s="271" t="s">
        <v>295</v>
      </c>
      <c r="B3" s="287" t="s">
        <v>296</v>
      </c>
      <c r="C3" s="271" t="s">
        <v>297</v>
      </c>
      <c r="D3" s="297">
        <v>45748</v>
      </c>
      <c r="E3" s="297"/>
      <c r="F3" s="297">
        <v>45778</v>
      </c>
      <c r="G3" s="288"/>
      <c r="H3" s="297"/>
      <c r="I3" s="297"/>
      <c r="J3" s="297"/>
      <c r="K3" s="297"/>
    </row>
    <row r="4" spans="1:11">
      <c r="A4" s="289" t="s">
        <v>299</v>
      </c>
      <c r="B4" s="280" t="s">
        <v>10</v>
      </c>
      <c r="C4" s="290" t="s">
        <v>24</v>
      </c>
      <c r="D4" s="301">
        <f>'USDA Comp'!H27</f>
        <v>7.1557653591137012</v>
      </c>
      <c r="E4" s="274"/>
      <c r="F4" s="275"/>
      <c r="G4" s="283"/>
    </row>
    <row r="5" spans="1:11">
      <c r="A5" s="291"/>
      <c r="B5" s="280" t="s">
        <v>10</v>
      </c>
      <c r="C5" s="292" t="s">
        <v>27</v>
      </c>
      <c r="D5" s="301">
        <f>'USDA Comp'!H47</f>
        <v>23.530867857142912</v>
      </c>
      <c r="E5" s="274"/>
      <c r="F5" s="275"/>
      <c r="G5" s="283"/>
    </row>
    <row r="6" spans="1:11" ht="15.95" customHeight="1">
      <c r="A6" s="291"/>
      <c r="B6" s="280" t="s">
        <v>10</v>
      </c>
      <c r="C6" s="292" t="s">
        <v>29</v>
      </c>
      <c r="D6" s="301">
        <f>'USDA Comp'!H67</f>
        <v>1.5107298511700202</v>
      </c>
      <c r="E6" s="274"/>
      <c r="F6" s="275"/>
      <c r="G6" s="283"/>
    </row>
    <row r="7" spans="1:11">
      <c r="A7" s="291"/>
      <c r="B7" s="280" t="s">
        <v>10</v>
      </c>
      <c r="C7" s="292" t="s">
        <v>32</v>
      </c>
      <c r="D7" s="301">
        <f>'USDA Comp'!H87</f>
        <v>45.281559999999999</v>
      </c>
      <c r="E7" s="274"/>
      <c r="F7" s="275"/>
      <c r="G7" s="283"/>
    </row>
    <row r="8" spans="1:11">
      <c r="A8" s="291"/>
      <c r="B8" s="280" t="s">
        <v>10</v>
      </c>
      <c r="C8" s="292" t="s">
        <v>34</v>
      </c>
      <c r="D8" s="301">
        <f>'USDA Comp'!H107</f>
        <v>8.7794881237880329</v>
      </c>
      <c r="E8" s="274"/>
      <c r="F8" s="275"/>
      <c r="G8" s="283"/>
    </row>
    <row r="9" spans="1:11">
      <c r="A9" s="291"/>
      <c r="B9" s="280" t="s">
        <v>10</v>
      </c>
      <c r="C9" s="292" t="s">
        <v>36</v>
      </c>
      <c r="D9" s="301">
        <f>'USDA Comp'!H127</f>
        <v>2.9673619047619297</v>
      </c>
      <c r="E9" s="274"/>
      <c r="F9" s="275"/>
      <c r="G9" s="283"/>
    </row>
    <row r="10" spans="1:11">
      <c r="A10" s="291"/>
      <c r="B10" s="280" t="s">
        <v>10</v>
      </c>
      <c r="C10" s="292" t="s">
        <v>38</v>
      </c>
      <c r="D10" s="301">
        <f>'USDA Comp'!H147</f>
        <v>4.4683871998889373</v>
      </c>
      <c r="E10" s="274"/>
      <c r="F10" s="275"/>
      <c r="G10" s="283"/>
    </row>
    <row r="11" spans="1:11">
      <c r="A11" s="291"/>
      <c r="B11" s="280" t="s">
        <v>10</v>
      </c>
      <c r="C11" s="292" t="s">
        <v>40</v>
      </c>
      <c r="D11" s="301">
        <f>'USDA Comp'!H167</f>
        <v>36.483339965545987</v>
      </c>
      <c r="E11" s="274"/>
      <c r="F11" s="275"/>
      <c r="G11" s="283"/>
    </row>
    <row r="12" spans="1:11" ht="15.75" thickBot="1">
      <c r="A12" s="293"/>
      <c r="B12" s="294" t="s">
        <v>10</v>
      </c>
      <c r="C12" s="295" t="s">
        <v>1</v>
      </c>
      <c r="D12" s="301">
        <f>'USDA Comp'!H7</f>
        <v>212.57350026141151</v>
      </c>
      <c r="E12" s="274"/>
      <c r="F12" s="274"/>
      <c r="G12" s="283"/>
    </row>
    <row r="13" spans="1:11">
      <c r="A13" s="296"/>
      <c r="B13" s="280" t="s">
        <v>12</v>
      </c>
      <c r="C13" s="290" t="s">
        <v>24</v>
      </c>
      <c r="D13" s="301">
        <f>'USDA Comp'!H29</f>
        <v>2.4780000000000015</v>
      </c>
      <c r="E13" s="274"/>
      <c r="F13" s="275"/>
      <c r="G13" s="283"/>
    </row>
    <row r="14" spans="1:11">
      <c r="A14" s="291"/>
      <c r="B14" s="280" t="s">
        <v>12</v>
      </c>
      <c r="C14" s="292" t="s">
        <v>27</v>
      </c>
      <c r="D14" s="301">
        <f>'USDA Comp'!H59</f>
        <v>7.2176790177815212E-2</v>
      </c>
      <c r="E14" s="274"/>
      <c r="F14" s="274"/>
    </row>
    <row r="15" spans="1:11">
      <c r="A15" s="291"/>
      <c r="B15" s="280" t="s">
        <v>12</v>
      </c>
      <c r="C15" s="292" t="s">
        <v>29</v>
      </c>
      <c r="D15" s="301">
        <f>'USDA Comp'!H69</f>
        <v>1.6757061305031797</v>
      </c>
      <c r="E15" s="274"/>
      <c r="F15" s="275"/>
      <c r="G15" s="283"/>
    </row>
    <row r="16" spans="1:11">
      <c r="A16" s="291"/>
      <c r="B16" s="280" t="s">
        <v>12</v>
      </c>
      <c r="C16" s="292" t="s">
        <v>32</v>
      </c>
      <c r="D16" s="301">
        <f>'USDA Comp'!H89</f>
        <v>209.28600000000006</v>
      </c>
      <c r="E16" s="274"/>
      <c r="F16" s="275"/>
      <c r="G16" s="283"/>
    </row>
    <row r="17" spans="1:7">
      <c r="A17" s="291"/>
      <c r="B17" s="280" t="s">
        <v>12</v>
      </c>
      <c r="C17" s="292" t="s">
        <v>34</v>
      </c>
      <c r="D17" s="301">
        <f>'USDA Comp'!H109</f>
        <v>10.804745204656854</v>
      </c>
      <c r="E17" s="274"/>
      <c r="F17" s="275"/>
      <c r="G17" s="283"/>
    </row>
    <row r="18" spans="1:7">
      <c r="A18" s="291"/>
      <c r="B18" s="280" t="s">
        <v>12</v>
      </c>
      <c r="C18" s="292" t="s">
        <v>36</v>
      </c>
      <c r="D18" s="301">
        <f>'USDA Comp'!H129</f>
        <v>0.4079999999999977</v>
      </c>
      <c r="E18" s="274"/>
      <c r="F18" s="275"/>
      <c r="G18" s="283"/>
    </row>
    <row r="19" spans="1:7">
      <c r="A19" s="291"/>
      <c r="B19" s="280" t="s">
        <v>12</v>
      </c>
      <c r="C19" s="292" t="s">
        <v>38</v>
      </c>
      <c r="D19" s="301">
        <f>'USDA Comp'!H149</f>
        <v>1.6089999999999982</v>
      </c>
      <c r="E19" s="274"/>
      <c r="F19" s="275"/>
      <c r="G19" s="283"/>
    </row>
    <row r="20" spans="1:7">
      <c r="A20" s="291"/>
      <c r="B20" s="280" t="s">
        <v>12</v>
      </c>
      <c r="C20" s="292" t="s">
        <v>40</v>
      </c>
      <c r="D20" s="301">
        <f>'USDA Comp'!H169</f>
        <v>38.907709000000011</v>
      </c>
      <c r="E20" s="274"/>
      <c r="F20" s="275"/>
      <c r="G20" s="283"/>
    </row>
    <row r="21" spans="1:7" ht="15.75" thickBot="1">
      <c r="A21" s="293"/>
      <c r="B21" s="294" t="s">
        <v>12</v>
      </c>
      <c r="C21" s="295" t="s">
        <v>1</v>
      </c>
      <c r="D21" s="301">
        <f>'USDA Comp'!H9</f>
        <v>318.24877134516964</v>
      </c>
      <c r="E21" s="274"/>
      <c r="F21" s="275"/>
      <c r="G21" s="283"/>
    </row>
    <row r="22" spans="1:7">
      <c r="A22" s="296"/>
      <c r="B22" s="280" t="s">
        <v>13</v>
      </c>
      <c r="C22" s="290" t="s">
        <v>24</v>
      </c>
      <c r="D22" s="301">
        <f>'USDA Comp'!H30</f>
        <v>50.127094073438265</v>
      </c>
      <c r="E22" s="274"/>
      <c r="F22" s="275"/>
      <c r="G22" s="283"/>
    </row>
    <row r="23" spans="1:7">
      <c r="A23" s="291"/>
      <c r="B23" s="280" t="s">
        <v>13</v>
      </c>
      <c r="C23" s="292" t="s">
        <v>27</v>
      </c>
      <c r="D23" s="301">
        <f>'USDA Comp'!H50</f>
        <v>138.6037</v>
      </c>
      <c r="E23" s="274"/>
      <c r="F23" s="275"/>
      <c r="G23" s="283"/>
    </row>
    <row r="24" spans="1:7">
      <c r="A24" s="291"/>
      <c r="B24" s="280" t="s">
        <v>13</v>
      </c>
      <c r="C24" s="292" t="s">
        <v>29</v>
      </c>
      <c r="D24" s="301">
        <f>'USDA Comp'!H70</f>
        <v>15.532954750117703</v>
      </c>
      <c r="E24" s="274"/>
      <c r="F24" s="275"/>
      <c r="G24" s="283"/>
    </row>
    <row r="25" spans="1:7">
      <c r="A25" s="291"/>
      <c r="B25" s="280" t="s">
        <v>13</v>
      </c>
      <c r="C25" s="292" t="s">
        <v>32</v>
      </c>
      <c r="D25" s="301">
        <f>'USDA Comp'!H90</f>
        <v>301.02652240690958</v>
      </c>
      <c r="E25" s="274"/>
      <c r="F25" s="274"/>
    </row>
    <row r="26" spans="1:7">
      <c r="A26" s="291"/>
      <c r="B26" s="280" t="s">
        <v>13</v>
      </c>
      <c r="C26" s="292" t="s">
        <v>34</v>
      </c>
      <c r="D26" s="301">
        <f>'USDA Comp'!H110</f>
        <v>61.76109215040794</v>
      </c>
      <c r="E26" s="274"/>
      <c r="F26" s="285"/>
    </row>
    <row r="27" spans="1:7">
      <c r="A27" s="291"/>
      <c r="B27" s="280" t="s">
        <v>13</v>
      </c>
      <c r="C27" s="292" t="s">
        <v>36</v>
      </c>
      <c r="D27" s="301">
        <f>'USDA Comp'!H130</f>
        <v>16.720469852008765</v>
      </c>
      <c r="E27" s="274"/>
      <c r="F27" s="275"/>
      <c r="G27" s="283"/>
    </row>
    <row r="28" spans="1:7">
      <c r="A28" s="291"/>
      <c r="B28" s="280" t="s">
        <v>13</v>
      </c>
      <c r="C28" s="292" t="s">
        <v>38</v>
      </c>
      <c r="D28" s="301">
        <f>'USDA Comp'!H150</f>
        <v>28.967899925119617</v>
      </c>
      <c r="E28" s="274"/>
      <c r="F28" s="274"/>
    </row>
    <row r="29" spans="1:7">
      <c r="A29" s="291"/>
      <c r="B29" s="280" t="s">
        <v>13</v>
      </c>
      <c r="C29" s="292" t="s">
        <v>40</v>
      </c>
      <c r="D29" s="301">
        <f>'USDA Comp'!H170</f>
        <v>424.3998764923428</v>
      </c>
      <c r="E29" s="274"/>
      <c r="F29" s="274"/>
    </row>
    <row r="30" spans="1:7" ht="15.75" thickBot="1">
      <c r="A30" s="293"/>
      <c r="B30" s="294" t="s">
        <v>13</v>
      </c>
      <c r="C30" s="295" t="s">
        <v>1</v>
      </c>
      <c r="D30" s="301">
        <f>'USDA Comp'!H10</f>
        <v>926.4452026564943</v>
      </c>
      <c r="E30" s="274"/>
      <c r="F30" s="274"/>
    </row>
    <row r="31" spans="1:7">
      <c r="A31" s="296"/>
      <c r="B31" s="280" t="s">
        <v>14</v>
      </c>
      <c r="C31" s="290" t="s">
        <v>24</v>
      </c>
      <c r="D31" s="301">
        <f>'USDA Comp'!H31</f>
        <v>1.0149999999999999</v>
      </c>
      <c r="E31" s="274"/>
      <c r="F31" s="275"/>
      <c r="G31" s="283"/>
    </row>
    <row r="32" spans="1:7">
      <c r="A32" s="291"/>
      <c r="B32" s="280" t="s">
        <v>14</v>
      </c>
      <c r="C32" s="292" t="s">
        <v>27</v>
      </c>
      <c r="D32" s="301">
        <f>'USDA Comp'!H51</f>
        <v>1.8</v>
      </c>
      <c r="E32" s="274"/>
      <c r="F32" s="275"/>
      <c r="G32" s="283"/>
    </row>
    <row r="33" spans="1:7">
      <c r="A33" s="291"/>
      <c r="B33" s="280" t="s">
        <v>14</v>
      </c>
      <c r="C33" s="292" t="s">
        <v>29</v>
      </c>
      <c r="D33" s="301">
        <f>'USDA Comp'!H71</f>
        <v>2.3321847351545166</v>
      </c>
      <c r="E33" s="274"/>
      <c r="F33" s="275"/>
      <c r="G33" s="283"/>
    </row>
    <row r="34" spans="1:7">
      <c r="A34" s="291"/>
      <c r="B34" s="280" t="s">
        <v>14</v>
      </c>
      <c r="C34" s="292" t="s">
        <v>32</v>
      </c>
      <c r="D34" s="301">
        <f>'USDA Comp'!H91</f>
        <v>10</v>
      </c>
      <c r="E34" s="274"/>
      <c r="F34" s="275"/>
      <c r="G34" s="283"/>
    </row>
    <row r="35" spans="1:7">
      <c r="A35" s="291"/>
      <c r="B35" s="280" t="s">
        <v>14</v>
      </c>
      <c r="C35" s="292" t="s">
        <v>34</v>
      </c>
      <c r="D35" s="301">
        <f>'USDA Comp'!H111</f>
        <v>19</v>
      </c>
      <c r="E35" s="274"/>
      <c r="F35" s="275"/>
      <c r="G35" s="283"/>
    </row>
    <row r="36" spans="1:7">
      <c r="A36" s="291"/>
      <c r="B36" s="280" t="s">
        <v>14</v>
      </c>
      <c r="C36" s="292" t="s">
        <v>36</v>
      </c>
      <c r="D36" s="301">
        <f>'USDA Comp'!H131</f>
        <v>0.05</v>
      </c>
      <c r="E36" s="274"/>
      <c r="F36" s="275"/>
      <c r="G36" s="283"/>
    </row>
    <row r="37" spans="1:7">
      <c r="A37" s="291"/>
      <c r="B37" s="280" t="s">
        <v>14</v>
      </c>
      <c r="C37" s="292" t="s">
        <v>38</v>
      </c>
      <c r="D37" s="301">
        <f>'USDA Comp'!H151</f>
        <v>1.4999999999999999E-2</v>
      </c>
      <c r="E37" s="274"/>
      <c r="F37" s="275"/>
      <c r="G37" s="283"/>
    </row>
    <row r="38" spans="1:7">
      <c r="A38" s="291"/>
      <c r="B38" s="280" t="s">
        <v>14</v>
      </c>
      <c r="C38" s="292" t="s">
        <v>40</v>
      </c>
      <c r="D38" s="301">
        <f>'USDA Comp'!H171</f>
        <v>0.76200000000000001</v>
      </c>
      <c r="E38" s="274"/>
      <c r="F38" s="275"/>
      <c r="G38" s="283"/>
    </row>
    <row r="39" spans="1:7" ht="15.75" thickBot="1">
      <c r="A39" s="293"/>
      <c r="B39" s="294" t="s">
        <v>14</v>
      </c>
      <c r="C39" s="295" t="s">
        <v>1</v>
      </c>
      <c r="D39" s="301">
        <f>'USDA Comp'!H11</f>
        <v>30.316678344823021</v>
      </c>
      <c r="E39" s="274"/>
      <c r="F39" s="275"/>
      <c r="G39" s="283"/>
    </row>
    <row r="40" spans="1:7">
      <c r="A40" s="296"/>
      <c r="B40" s="280" t="s">
        <v>301</v>
      </c>
      <c r="C40" s="290" t="s">
        <v>24</v>
      </c>
      <c r="D40" s="301">
        <f>'USDA Comp'!H32</f>
        <v>53.620094073438267</v>
      </c>
      <c r="E40" s="274"/>
      <c r="F40" s="275"/>
      <c r="G40" s="283"/>
    </row>
    <row r="41" spans="1:7">
      <c r="A41" s="291"/>
      <c r="B41" s="280" t="s">
        <v>301</v>
      </c>
      <c r="C41" s="292" t="s">
        <v>27</v>
      </c>
      <c r="D41" s="301">
        <f>'USDA Comp'!H52</f>
        <v>150.00150000000002</v>
      </c>
      <c r="E41" s="274"/>
      <c r="F41" s="275"/>
      <c r="G41" s="283"/>
    </row>
    <row r="42" spans="1:7">
      <c r="A42" s="291"/>
      <c r="B42" s="280" t="s">
        <v>301</v>
      </c>
      <c r="C42" s="292" t="s">
        <v>29</v>
      </c>
      <c r="D42" s="301">
        <f>'USDA Comp'!H72</f>
        <v>19.5408456157754</v>
      </c>
      <c r="E42" s="274"/>
      <c r="F42" s="275"/>
      <c r="G42" s="283"/>
    </row>
    <row r="43" spans="1:7">
      <c r="A43" s="291"/>
      <c r="B43" s="280" t="s">
        <v>301</v>
      </c>
      <c r="C43" s="292" t="s">
        <v>32</v>
      </c>
      <c r="D43" s="301">
        <f>'USDA Comp'!H92</f>
        <v>520.31252240690969</v>
      </c>
      <c r="E43" s="274"/>
      <c r="F43" s="274"/>
    </row>
    <row r="44" spans="1:7">
      <c r="A44" s="291"/>
      <c r="B44" s="280" t="s">
        <v>301</v>
      </c>
      <c r="C44" s="292" t="s">
        <v>34</v>
      </c>
      <c r="D44" s="301">
        <f>'USDA Comp'!H112</f>
        <v>91.565837355064787</v>
      </c>
      <c r="E44" s="274"/>
      <c r="F44" s="275"/>
      <c r="G44" s="283"/>
    </row>
    <row r="45" spans="1:7">
      <c r="A45" s="291"/>
      <c r="B45" s="280" t="s">
        <v>301</v>
      </c>
      <c r="C45" s="292" t="s">
        <v>36</v>
      </c>
      <c r="D45" s="301">
        <f>'USDA Comp'!H132</f>
        <v>17.178469852008764</v>
      </c>
      <c r="E45" s="274"/>
      <c r="F45" s="275"/>
      <c r="G45" s="283"/>
    </row>
    <row r="46" spans="1:7">
      <c r="A46" s="291"/>
      <c r="B46" s="280" t="s">
        <v>301</v>
      </c>
      <c r="C46" s="292" t="s">
        <v>38</v>
      </c>
      <c r="D46" s="301">
        <f>'USDA Comp'!H152</f>
        <v>30.591899925119616</v>
      </c>
      <c r="E46" s="274"/>
      <c r="F46" s="275"/>
      <c r="G46" s="283"/>
    </row>
    <row r="47" spans="1:7">
      <c r="A47" s="291"/>
      <c r="B47" s="280" t="s">
        <v>301</v>
      </c>
      <c r="C47" s="292" t="s">
        <v>40</v>
      </c>
      <c r="D47" s="301">
        <f>'USDA Comp'!H172</f>
        <v>464.06958549234281</v>
      </c>
      <c r="E47" s="274"/>
      <c r="F47" s="275"/>
      <c r="G47" s="283"/>
    </row>
    <row r="48" spans="1:7" ht="15.75" thickBot="1">
      <c r="A48" s="293"/>
      <c r="B48" s="294" t="s">
        <v>301</v>
      </c>
      <c r="C48" s="295" t="s">
        <v>1</v>
      </c>
      <c r="D48" s="301">
        <f>'USDA Comp'!H12</f>
        <v>1275.0106523464869</v>
      </c>
      <c r="E48" s="274"/>
      <c r="F48" s="275"/>
      <c r="G48" s="283"/>
    </row>
    <row r="49" spans="1:7">
      <c r="A49" s="296"/>
      <c r="B49" s="280" t="s">
        <v>19</v>
      </c>
      <c r="C49" s="290" t="s">
        <v>24</v>
      </c>
      <c r="D49" s="301">
        <f>'USDA Comp'!H36</f>
        <v>34.299999999999997</v>
      </c>
      <c r="E49" s="274"/>
      <c r="F49" s="275"/>
      <c r="G49" s="283"/>
    </row>
    <row r="50" spans="1:7">
      <c r="A50" s="291"/>
      <c r="B50" s="280" t="s">
        <v>19</v>
      </c>
      <c r="C50" s="292" t="s">
        <v>27</v>
      </c>
      <c r="D50" s="301">
        <f>'USDA Comp'!H56</f>
        <v>48</v>
      </c>
      <c r="E50" s="274"/>
      <c r="F50" s="275"/>
      <c r="G50" s="283"/>
    </row>
    <row r="51" spans="1:7">
      <c r="A51" s="291"/>
      <c r="B51" s="280" t="s">
        <v>19</v>
      </c>
      <c r="C51" s="292" t="s">
        <v>29</v>
      </c>
      <c r="D51" s="301">
        <f>'USDA Comp'!H76</f>
        <v>2.1549592916294951</v>
      </c>
      <c r="E51" s="274"/>
      <c r="F51" s="275"/>
      <c r="G51" s="283"/>
    </row>
    <row r="52" spans="1:7">
      <c r="A52" s="291"/>
      <c r="B52" s="280" t="s">
        <v>19</v>
      </c>
      <c r="C52" s="292" t="s">
        <v>32</v>
      </c>
      <c r="D52" s="301">
        <f>'USDA Comp'!H96</f>
        <v>0</v>
      </c>
      <c r="E52" s="274"/>
      <c r="F52" s="275"/>
      <c r="G52" s="283"/>
    </row>
    <row r="53" spans="1:7">
      <c r="A53" s="291"/>
      <c r="B53" s="280" t="s">
        <v>19</v>
      </c>
      <c r="C53" s="292" t="s">
        <v>34</v>
      </c>
      <c r="D53" s="301">
        <f>'USDA Comp'!H116</f>
        <v>3</v>
      </c>
      <c r="E53" s="274"/>
      <c r="F53" s="275"/>
      <c r="G53" s="283"/>
    </row>
    <row r="54" spans="1:7">
      <c r="A54" s="291"/>
      <c r="B54" s="280" t="s">
        <v>19</v>
      </c>
      <c r="C54" s="292" t="s">
        <v>36</v>
      </c>
      <c r="D54" s="301">
        <f>'USDA Comp'!H136</f>
        <v>4.5</v>
      </c>
      <c r="E54" s="274"/>
      <c r="F54" s="275"/>
      <c r="G54" s="283"/>
    </row>
    <row r="55" spans="1:7" ht="13.5" customHeight="1">
      <c r="A55" s="291"/>
      <c r="B55" s="280" t="s">
        <v>19</v>
      </c>
      <c r="C55" s="292" t="s">
        <v>38</v>
      </c>
      <c r="D55" s="301">
        <f>'USDA Comp'!H156</f>
        <v>23</v>
      </c>
      <c r="E55" s="274"/>
      <c r="F55" s="275"/>
      <c r="G55" s="283"/>
    </row>
    <row r="56" spans="1:7">
      <c r="A56" s="291"/>
      <c r="B56" s="280" t="s">
        <v>19</v>
      </c>
      <c r="C56" s="292" t="s">
        <v>40</v>
      </c>
      <c r="D56" s="301">
        <f>'USDA Comp'!H176</f>
        <v>74.929999999999993</v>
      </c>
      <c r="E56" s="274"/>
      <c r="F56" s="275"/>
      <c r="G56" s="283"/>
    </row>
    <row r="57" spans="1:7" ht="15.75" thickBot="1">
      <c r="A57" s="293"/>
      <c r="B57" s="294" t="s">
        <v>19</v>
      </c>
      <c r="C57" s="295" t="s">
        <v>1</v>
      </c>
      <c r="D57" s="301" t="e">
        <f>'USDA Comp'!H16</f>
        <v>#REF!</v>
      </c>
      <c r="E57" s="274"/>
      <c r="F57" s="274"/>
    </row>
    <row r="58" spans="1:7">
      <c r="A58" s="296"/>
      <c r="B58" s="274" t="s">
        <v>17</v>
      </c>
      <c r="C58" s="290" t="s">
        <v>24</v>
      </c>
      <c r="D58" s="301">
        <f>'USDA Comp'!H34</f>
        <v>9.1250410020097164</v>
      </c>
      <c r="E58" s="274"/>
      <c r="F58" s="275"/>
      <c r="G58" s="283"/>
    </row>
    <row r="59" spans="1:7">
      <c r="A59" s="291"/>
      <c r="B59" s="274" t="s">
        <v>17</v>
      </c>
      <c r="C59" s="292" t="s">
        <v>27</v>
      </c>
      <c r="D59" s="301">
        <f>'USDA Comp'!H54</f>
        <v>68.903700000000015</v>
      </c>
      <c r="E59" s="274"/>
      <c r="F59" s="275"/>
      <c r="G59" s="283"/>
    </row>
    <row r="60" spans="1:7">
      <c r="A60" s="291"/>
      <c r="B60" s="274" t="s">
        <v>17</v>
      </c>
      <c r="C60" s="292" t="s">
        <v>29</v>
      </c>
      <c r="D60" s="301">
        <f>'USDA Comp'!H74</f>
        <v>9.4900559999999814</v>
      </c>
      <c r="E60" s="274"/>
      <c r="F60" s="275"/>
      <c r="G60" s="283"/>
    </row>
    <row r="61" spans="1:7">
      <c r="A61" s="291"/>
      <c r="B61" s="274" t="s">
        <v>17</v>
      </c>
      <c r="C61" s="292" t="s">
        <v>32</v>
      </c>
      <c r="D61" s="301">
        <f>'USDA Comp'!H94</f>
        <v>225.02652240690963</v>
      </c>
      <c r="E61" s="274"/>
      <c r="F61" s="275"/>
      <c r="G61" s="283"/>
    </row>
    <row r="62" spans="1:7" ht="13.5" customHeight="1">
      <c r="A62" s="291"/>
      <c r="B62" s="274" t="s">
        <v>17</v>
      </c>
      <c r="C62" s="292" t="s">
        <v>34</v>
      </c>
      <c r="D62" s="301">
        <f>'USDA Comp'!H114</f>
        <v>59.644173893101765</v>
      </c>
      <c r="E62" s="274"/>
      <c r="F62" s="275"/>
      <c r="G62" s="283"/>
    </row>
    <row r="63" spans="1:7">
      <c r="A63" s="291"/>
      <c r="B63" s="274" t="s">
        <v>17</v>
      </c>
      <c r="C63" s="292" t="s">
        <v>36</v>
      </c>
      <c r="D63" s="301">
        <f>'USDA Comp'!H134</f>
        <v>10.928469852008766</v>
      </c>
      <c r="E63" s="274"/>
      <c r="F63" s="275"/>
      <c r="G63" s="283"/>
    </row>
    <row r="64" spans="1:7">
      <c r="A64" s="291"/>
      <c r="B64" s="274" t="s">
        <v>17</v>
      </c>
      <c r="C64" s="292" t="s">
        <v>38</v>
      </c>
      <c r="D64" s="301">
        <f>'USDA Comp'!H154</f>
        <v>3.4295665917862834</v>
      </c>
      <c r="E64" s="274"/>
      <c r="F64" s="275"/>
      <c r="G64" s="283"/>
    </row>
    <row r="65" spans="1:7">
      <c r="A65" s="291"/>
      <c r="B65" s="274" t="s">
        <v>17</v>
      </c>
      <c r="C65" s="292" t="s">
        <v>40</v>
      </c>
      <c r="D65" s="301">
        <f>'USDA Comp'!H174</f>
        <v>162.56</v>
      </c>
      <c r="E65" s="274"/>
      <c r="F65" s="275"/>
      <c r="G65" s="283"/>
    </row>
    <row r="66" spans="1:7" ht="15.75" thickBot="1">
      <c r="A66" s="293"/>
      <c r="B66" s="294" t="s">
        <v>17</v>
      </c>
      <c r="C66" s="295" t="s">
        <v>1</v>
      </c>
      <c r="D66" s="301" t="e">
        <f>'USDA Comp'!H14</f>
        <v>#REF!</v>
      </c>
      <c r="E66" s="274"/>
      <c r="F66" s="275"/>
      <c r="G66" s="283"/>
    </row>
    <row r="67" spans="1:7">
      <c r="A67" s="296"/>
      <c r="B67" s="280" t="s">
        <v>18</v>
      </c>
      <c r="C67" s="290" t="s">
        <v>24</v>
      </c>
      <c r="D67" s="301">
        <f>'USDA Comp'!H35</f>
        <v>7.7170530714285519</v>
      </c>
      <c r="E67" s="274"/>
      <c r="F67" s="275"/>
      <c r="G67" s="283"/>
    </row>
    <row r="68" spans="1:7">
      <c r="A68" s="291"/>
      <c r="B68" s="280" t="s">
        <v>18</v>
      </c>
      <c r="C68" s="292" t="s">
        <v>27</v>
      </c>
      <c r="D68" s="301">
        <f>'USDA Comp'!H55</f>
        <v>23</v>
      </c>
      <c r="E68" s="274"/>
      <c r="F68" s="274"/>
    </row>
    <row r="69" spans="1:7" ht="14.45" customHeight="1">
      <c r="A69" s="291"/>
      <c r="B69" s="280" t="s">
        <v>18</v>
      </c>
      <c r="C69" s="292" t="s">
        <v>29</v>
      </c>
      <c r="D69" s="301">
        <f>'USDA Comp'!H75</f>
        <v>5.8670639999999992</v>
      </c>
      <c r="E69" s="274"/>
      <c r="F69" s="275"/>
      <c r="G69" s="283"/>
    </row>
    <row r="70" spans="1:7">
      <c r="A70" s="291"/>
      <c r="B70" s="280" t="s">
        <v>18</v>
      </c>
      <c r="C70" s="292" t="s">
        <v>32</v>
      </c>
      <c r="D70" s="301">
        <f>'USDA Comp'!H95</f>
        <v>81</v>
      </c>
      <c r="E70" s="274"/>
      <c r="F70" s="274"/>
    </row>
    <row r="71" spans="1:7">
      <c r="A71" s="291"/>
      <c r="B71" s="280" t="s">
        <v>18</v>
      </c>
      <c r="C71" s="292" t="s">
        <v>34</v>
      </c>
      <c r="D71" s="301">
        <f>'USDA Comp'!H115</f>
        <v>17.31691825730617</v>
      </c>
      <c r="E71" s="274"/>
      <c r="F71" s="274"/>
    </row>
    <row r="72" spans="1:7">
      <c r="A72" s="291"/>
      <c r="B72" s="280" t="s">
        <v>18</v>
      </c>
      <c r="C72" s="292" t="s">
        <v>36</v>
      </c>
      <c r="D72" s="301">
        <f>'USDA Comp'!H135</f>
        <v>1.1000000000000001</v>
      </c>
      <c r="E72" s="274"/>
      <c r="F72" s="274"/>
    </row>
    <row r="73" spans="1:7">
      <c r="A73" s="291"/>
      <c r="B73" s="280" t="s">
        <v>18</v>
      </c>
      <c r="C73" s="292" t="s">
        <v>38</v>
      </c>
      <c r="D73" s="301">
        <f>'USDA Comp'!H155</f>
        <v>0.95333333333333314</v>
      </c>
      <c r="E73" s="274"/>
      <c r="F73" s="275"/>
      <c r="G73" s="283"/>
    </row>
    <row r="74" spans="1:7">
      <c r="A74" s="291"/>
      <c r="B74" s="280" t="s">
        <v>18</v>
      </c>
      <c r="C74" s="292" t="s">
        <v>40</v>
      </c>
      <c r="D74" s="301">
        <f>'USDA Comp'!H175</f>
        <v>173.98999999999998</v>
      </c>
      <c r="E74" s="274"/>
      <c r="F74" s="275"/>
      <c r="G74" s="283"/>
    </row>
    <row r="75" spans="1:7" ht="12.95" customHeight="1" thickBot="1">
      <c r="A75" s="293"/>
      <c r="B75" s="294" t="s">
        <v>18</v>
      </c>
      <c r="C75" s="295" t="s">
        <v>1</v>
      </c>
      <c r="D75" s="301">
        <f>'USDA Comp'!H15</f>
        <v>310.94436866206809</v>
      </c>
      <c r="E75" s="274"/>
      <c r="F75" s="275"/>
      <c r="G75" s="283"/>
    </row>
    <row r="76" spans="1:7" ht="14.45" customHeight="1">
      <c r="A76" s="296"/>
      <c r="B76" s="280" t="s">
        <v>190</v>
      </c>
      <c r="C76" s="290" t="s">
        <v>24</v>
      </c>
      <c r="D76" s="301">
        <f>'USDA Comp'!H33</f>
        <v>16.842094073438268</v>
      </c>
      <c r="E76" s="274"/>
      <c r="F76" s="275"/>
      <c r="G76" s="283"/>
    </row>
    <row r="77" spans="1:7" ht="30">
      <c r="A77" s="291"/>
      <c r="B77" s="280" t="s">
        <v>190</v>
      </c>
      <c r="C77" s="292" t="s">
        <v>27</v>
      </c>
      <c r="D77" s="301">
        <f>'USDA Comp'!H53</f>
        <v>91.903700000000015</v>
      </c>
      <c r="E77" s="274"/>
      <c r="F77" s="275"/>
      <c r="G77" s="283"/>
    </row>
    <row r="78" spans="1:7" ht="30">
      <c r="A78" s="291"/>
      <c r="B78" s="280" t="s">
        <v>190</v>
      </c>
      <c r="C78" s="292" t="s">
        <v>29</v>
      </c>
      <c r="D78" s="301">
        <f>'USDA Comp'!H73</f>
        <v>15.357119999999981</v>
      </c>
      <c r="E78" s="274"/>
      <c r="F78" s="275"/>
      <c r="G78" s="283"/>
    </row>
    <row r="79" spans="1:7" ht="30">
      <c r="A79" s="291"/>
      <c r="B79" s="280" t="s">
        <v>190</v>
      </c>
      <c r="C79" s="292" t="s">
        <v>32</v>
      </c>
      <c r="D79" s="301">
        <f>'USDA Comp'!H93</f>
        <v>306.02652240690963</v>
      </c>
      <c r="E79" s="274"/>
      <c r="F79" s="275"/>
      <c r="G79" s="283"/>
    </row>
    <row r="80" spans="1:7" ht="30">
      <c r="A80" s="291"/>
      <c r="B80" s="280" t="s">
        <v>190</v>
      </c>
      <c r="C80" s="292" t="s">
        <v>34</v>
      </c>
      <c r="D80" s="301">
        <f>'USDA Comp'!H113</f>
        <v>76.961092150407936</v>
      </c>
      <c r="E80" s="274"/>
      <c r="F80" s="275"/>
      <c r="G80" s="283"/>
    </row>
    <row r="81" spans="1:6" ht="30">
      <c r="A81" s="291"/>
      <c r="B81" s="280" t="s">
        <v>190</v>
      </c>
      <c r="C81" s="292" t="s">
        <v>36</v>
      </c>
      <c r="D81" s="301">
        <f>'USDA Comp'!H133</f>
        <v>12.028469852008765</v>
      </c>
      <c r="E81" s="274"/>
      <c r="F81" s="274"/>
    </row>
    <row r="82" spans="1:6" ht="30">
      <c r="A82" s="291"/>
      <c r="B82" s="280" t="s">
        <v>190</v>
      </c>
      <c r="C82" s="292" t="s">
        <v>38</v>
      </c>
      <c r="D82" s="301">
        <f>'USDA Comp'!H153</f>
        <v>4.3828999251196166</v>
      </c>
      <c r="E82" s="274"/>
      <c r="F82" s="274"/>
    </row>
    <row r="83" spans="1:6" ht="12.6" customHeight="1">
      <c r="A83" s="291"/>
      <c r="B83" s="280" t="s">
        <v>190</v>
      </c>
      <c r="C83" s="292" t="s">
        <v>40</v>
      </c>
      <c r="D83" s="301">
        <f>'USDA Comp'!H173</f>
        <v>336.54999999999995</v>
      </c>
      <c r="E83" s="274"/>
      <c r="F83" s="274"/>
    </row>
    <row r="84" spans="1:6" ht="30.75" thickBot="1">
      <c r="A84" s="293"/>
      <c r="B84" s="294" t="s">
        <v>190</v>
      </c>
      <c r="C84" s="295" t="s">
        <v>1</v>
      </c>
      <c r="D84" s="301" t="e">
        <f>'USDA Comp'!H13</f>
        <v>#REF!</v>
      </c>
      <c r="E84" s="274"/>
      <c r="F84" s="274"/>
    </row>
    <row r="85" spans="1:6">
      <c r="A85" s="296"/>
      <c r="B85" s="280" t="s">
        <v>21</v>
      </c>
      <c r="C85" s="290" t="s">
        <v>24</v>
      </c>
      <c r="D85" s="301">
        <f>'USDA Comp'!H38</f>
        <v>2.4780000000000015</v>
      </c>
      <c r="E85" s="274"/>
      <c r="F85" s="274"/>
    </row>
    <row r="86" spans="1:6">
      <c r="A86" s="291"/>
      <c r="B86" s="280" t="s">
        <v>21</v>
      </c>
      <c r="C86" s="292" t="s">
        <v>27</v>
      </c>
      <c r="D86" s="301">
        <f>'USDA Comp'!H58</f>
        <v>10.097800000000007</v>
      </c>
      <c r="E86" s="274"/>
      <c r="F86" s="274"/>
    </row>
    <row r="87" spans="1:6">
      <c r="A87" s="291"/>
      <c r="B87" s="280" t="s">
        <v>21</v>
      </c>
      <c r="C87" s="292" t="s">
        <v>29</v>
      </c>
      <c r="D87" s="301">
        <f>'USDA Comp'!H78</f>
        <v>2.0287663241459235</v>
      </c>
      <c r="E87" s="274"/>
      <c r="F87" s="274"/>
    </row>
    <row r="88" spans="1:6">
      <c r="A88" s="291"/>
      <c r="B88" s="280" t="s">
        <v>21</v>
      </c>
      <c r="C88" s="292" t="s">
        <v>32</v>
      </c>
      <c r="D88" s="301">
        <f>'USDA Comp'!H98</f>
        <v>214.28600000000006</v>
      </c>
    </row>
    <row r="89" spans="1:6">
      <c r="A89" s="291"/>
      <c r="B89" s="280" t="s">
        <v>21</v>
      </c>
      <c r="C89" s="292" t="s">
        <v>34</v>
      </c>
      <c r="D89" s="301">
        <f>'USDA Comp'!H118</f>
        <v>11.604745204656851</v>
      </c>
    </row>
    <row r="90" spans="1:6">
      <c r="A90" s="291"/>
      <c r="B90" s="280" t="s">
        <v>21</v>
      </c>
      <c r="C90" s="292" t="s">
        <v>36</v>
      </c>
      <c r="D90" s="301">
        <f>'USDA Comp'!H138</f>
        <v>0.64999999999999858</v>
      </c>
    </row>
    <row r="91" spans="1:6">
      <c r="A91" s="291"/>
      <c r="B91" s="280" t="s">
        <v>21</v>
      </c>
      <c r="C91" s="292" t="s">
        <v>38</v>
      </c>
      <c r="D91" s="301">
        <f>'USDA Comp'!H158</f>
        <v>3.2089999999999996</v>
      </c>
    </row>
    <row r="92" spans="1:6">
      <c r="A92" s="291"/>
      <c r="B92" s="280" t="s">
        <v>21</v>
      </c>
      <c r="C92" s="292" t="s">
        <v>40</v>
      </c>
      <c r="D92" s="301">
        <f>'USDA Comp'!H178</f>
        <v>52.589585492342849</v>
      </c>
    </row>
    <row r="93" spans="1:6" ht="15.75" thickBot="1">
      <c r="A93" s="293"/>
      <c r="B93" s="294" t="s">
        <v>21</v>
      </c>
      <c r="C93" s="295" t="s">
        <v>1</v>
      </c>
      <c r="D93" s="301" t="e">
        <f>'USDA Comp'!H18</f>
        <v>#REF!</v>
      </c>
    </row>
    <row r="94" spans="1:6">
      <c r="A94" s="296"/>
      <c r="B94" s="280" t="s">
        <v>302</v>
      </c>
      <c r="C94" s="290" t="s">
        <v>24</v>
      </c>
      <c r="D94" s="302">
        <f>D40</f>
        <v>53.620094073438267</v>
      </c>
    </row>
    <row r="95" spans="1:6">
      <c r="A95" s="291"/>
      <c r="B95" s="280" t="s">
        <v>302</v>
      </c>
      <c r="C95" s="292" t="s">
        <v>27</v>
      </c>
      <c r="D95" s="302">
        <f t="shared" ref="D95:D102" si="0">D41</f>
        <v>150.00150000000002</v>
      </c>
    </row>
    <row r="96" spans="1:6">
      <c r="A96" s="291"/>
      <c r="B96" s="280" t="s">
        <v>302</v>
      </c>
      <c r="C96" s="292" t="s">
        <v>29</v>
      </c>
      <c r="D96" s="302">
        <f t="shared" si="0"/>
        <v>19.5408456157754</v>
      </c>
    </row>
    <row r="97" spans="1:4">
      <c r="A97" s="291"/>
      <c r="B97" s="280" t="s">
        <v>302</v>
      </c>
      <c r="C97" s="292" t="s">
        <v>32</v>
      </c>
      <c r="D97" s="302">
        <f t="shared" si="0"/>
        <v>520.31252240690969</v>
      </c>
    </row>
    <row r="98" spans="1:4">
      <c r="A98" s="291"/>
      <c r="B98" s="280" t="s">
        <v>302</v>
      </c>
      <c r="C98" s="292" t="s">
        <v>34</v>
      </c>
      <c r="D98" s="302">
        <f t="shared" si="0"/>
        <v>91.565837355064787</v>
      </c>
    </row>
    <row r="99" spans="1:4">
      <c r="A99" s="291"/>
      <c r="B99" s="280" t="s">
        <v>302</v>
      </c>
      <c r="C99" s="292" t="s">
        <v>36</v>
      </c>
      <c r="D99" s="302">
        <f t="shared" si="0"/>
        <v>17.178469852008764</v>
      </c>
    </row>
    <row r="100" spans="1:4">
      <c r="A100" s="291"/>
      <c r="B100" s="280" t="s">
        <v>302</v>
      </c>
      <c r="C100" s="292" t="s">
        <v>38</v>
      </c>
      <c r="D100" s="302">
        <f t="shared" si="0"/>
        <v>30.591899925119616</v>
      </c>
    </row>
    <row r="101" spans="1:4">
      <c r="A101" s="291"/>
      <c r="B101" s="280" t="s">
        <v>302</v>
      </c>
      <c r="C101" s="292" t="s">
        <v>40</v>
      </c>
      <c r="D101" s="302">
        <f t="shared" si="0"/>
        <v>464.06958549234281</v>
      </c>
    </row>
    <row r="102" spans="1:4" ht="15.75" thickBot="1">
      <c r="A102" s="293"/>
      <c r="B102" s="294" t="s">
        <v>302</v>
      </c>
      <c r="C102" s="295" t="s">
        <v>1</v>
      </c>
      <c r="D102" s="302">
        <f t="shared" si="0"/>
        <v>1275.0106523464869</v>
      </c>
    </row>
    <row r="103" spans="1:4">
      <c r="A103" s="296"/>
      <c r="B103" s="280" t="s">
        <v>11</v>
      </c>
      <c r="C103" s="290" t="s">
        <v>24</v>
      </c>
      <c r="D103" s="304">
        <f>'USDA Comp'!H28</f>
        <v>7.0051338407282415</v>
      </c>
    </row>
    <row r="104" spans="1:4">
      <c r="A104" s="291"/>
      <c r="B104" s="280" t="s">
        <v>11</v>
      </c>
      <c r="C104" s="292" t="s">
        <v>27</v>
      </c>
      <c r="D104" s="304">
        <f>'USDA Comp'!H48</f>
        <v>5.856959476247539</v>
      </c>
    </row>
    <row r="105" spans="1:4">
      <c r="A105" s="291"/>
      <c r="B105" s="280" t="s">
        <v>11</v>
      </c>
      <c r="C105" s="292" t="s">
        <v>29</v>
      </c>
      <c r="D105" s="304">
        <f>'USDA Comp'!H68</f>
        <v>10.28175536353362</v>
      </c>
    </row>
    <row r="106" spans="1:4">
      <c r="A106" s="291"/>
      <c r="B106" s="280" t="s">
        <v>11</v>
      </c>
      <c r="C106" s="292" t="s">
        <v>32</v>
      </c>
      <c r="D106" s="304">
        <f>'USDA Comp'!H88</f>
        <v>6.6478832091233073</v>
      </c>
    </row>
    <row r="107" spans="1:4">
      <c r="A107" s="291"/>
      <c r="B107" s="280" t="s">
        <v>11</v>
      </c>
      <c r="C107" s="292" t="s">
        <v>34</v>
      </c>
      <c r="D107" s="304">
        <f>'USDA Comp'!H108</f>
        <v>7.0347030805891961</v>
      </c>
    </row>
    <row r="108" spans="1:4">
      <c r="A108" s="291"/>
      <c r="B108" s="280" t="s">
        <v>11</v>
      </c>
      <c r="C108" s="292" t="s">
        <v>36</v>
      </c>
      <c r="D108" s="304">
        <f>'USDA Comp'!H128</f>
        <v>5.6347929199927647</v>
      </c>
    </row>
    <row r="109" spans="1:4">
      <c r="A109" s="291"/>
      <c r="B109" s="280" t="s">
        <v>11</v>
      </c>
      <c r="C109" s="292" t="s">
        <v>38</v>
      </c>
      <c r="D109" s="304">
        <f>'USDA Comp'!H148</f>
        <v>6.4828535731728039</v>
      </c>
    </row>
    <row r="110" spans="1:4">
      <c r="A110" s="291"/>
      <c r="B110" s="280" t="s">
        <v>11</v>
      </c>
      <c r="C110" s="292" t="s">
        <v>40</v>
      </c>
      <c r="D110" s="304">
        <f>'USDA Comp'!H168</f>
        <v>12.473266075531086</v>
      </c>
    </row>
    <row r="111" spans="1:4" ht="15.75" thickBot="1">
      <c r="A111" s="293"/>
      <c r="B111" s="294" t="s">
        <v>11</v>
      </c>
      <c r="C111" s="295" t="s">
        <v>1</v>
      </c>
      <c r="D111" s="304">
        <f>'USDA Comp'!H8</f>
        <v>4.3582346883181655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Charts</vt:lpstr>
      </vt:variant>
      <vt:variant>
        <vt:i4>6</vt:i4>
      </vt:variant>
    </vt:vector>
  </HeadingPairs>
  <TitlesOfParts>
    <vt:vector size="28" baseType="lpstr">
      <vt:lpstr>USDA Comp</vt:lpstr>
      <vt:lpstr>FM World</vt:lpstr>
      <vt:lpstr>Argentina</vt:lpstr>
      <vt:lpstr>Brazil</vt:lpstr>
      <vt:lpstr>Brazil Corn by State</vt:lpstr>
      <vt:lpstr>BZ by State 1st Crop</vt:lpstr>
      <vt:lpstr>BZ by State 2nd Crop</vt:lpstr>
      <vt:lpstr>BZ by State 3rd Crop</vt:lpstr>
      <vt:lpstr>Canada</vt:lpstr>
      <vt:lpstr>China</vt:lpstr>
      <vt:lpstr>EU27</vt:lpstr>
      <vt:lpstr>Russia</vt:lpstr>
      <vt:lpstr>Ukraine</vt:lpstr>
      <vt:lpstr>Japan</vt:lpstr>
      <vt:lpstr>South Korea</vt:lpstr>
      <vt:lpstr>Corn World-Major</vt:lpstr>
      <vt:lpstr>Historic WASDE MY 202324</vt:lpstr>
      <vt:lpstr>Historic WASDE MY 202425</vt:lpstr>
      <vt:lpstr>Historic WASDE MY 202526</vt:lpstr>
      <vt:lpstr>Historic Fastmarkets MY 202324</vt:lpstr>
      <vt:lpstr>Historic Fastmarkets MY 202425</vt:lpstr>
      <vt:lpstr>Historic Fastmarkets MY 202526</vt:lpstr>
      <vt:lpstr>Brazil Corn Production by Crop</vt:lpstr>
      <vt:lpstr>Brazil Corn Exports by Month</vt:lpstr>
      <vt:lpstr>Argentina Planted Area by Crop</vt:lpstr>
      <vt:lpstr>Argentine Monthly Corn Exports</vt:lpstr>
      <vt:lpstr>Argy Feed and Residual Annual</vt:lpstr>
      <vt:lpstr>China Feed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2025-07-09T11:40:30Z</dcterms:created>
  <dcterms:modified xsi:type="dcterms:W3CDTF">2025-12-04T17:34:32Z</dcterms:modified>
</cp:coreProperties>
</file>